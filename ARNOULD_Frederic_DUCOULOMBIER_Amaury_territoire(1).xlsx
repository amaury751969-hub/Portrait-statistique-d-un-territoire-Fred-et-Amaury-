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es" sheetId="1" r:id="rId4"/>
    <sheet state="visible" name="Analyse" sheetId="2" r:id="rId5"/>
    <sheet state="visible" name="Indicateurs" sheetId="3" r:id="rId6"/>
    <sheet state="visible" name="Manquants" sheetId="4" r:id="rId7"/>
    <sheet state="visible" name="Méthode" sheetId="5" r:id="rId8"/>
    <sheet state="visible" name="Copie de Communes_HDF" sheetId="6" r:id="rId9"/>
    <sheet state="visible" name="Copie de INSEE_Communes" sheetId="7" r:id="rId10"/>
    <sheet state="visible" name="Copie de INSEE_EPCI" sheetId="8" r:id="rId11"/>
    <sheet state="visible" name="INSEE_EPCI" sheetId="9" r:id="rId12"/>
    <sheet state="visible" name="INSEE_Communes" sheetId="10" r:id="rId13"/>
    <sheet state="visible" name="Communes_HDF" sheetId="11" r:id="rId14"/>
  </sheets>
  <definedNames>
    <definedName hidden="1" localSheetId="10" name="_xlnm._FilterDatabase">Communes_HDF!$A$1:$I$3783</definedName>
    <definedName hidden="1" localSheetId="5" name="Z_6A10AF1C_CBE8_4CBD_806B_1F91B56E607D_.wvu.FilterData">'Copie de Communes_HDF'!$A$1:$I$3783</definedName>
  </definedNames>
  <calcPr/>
  <customWorkbookViews>
    <customWorkbookView activeSheetId="0" maximized="1" windowHeight="0" windowWidth="0" guid="{6A10AF1C-CBE8-4CBD-806B-1F91B56E607D}" name="T_HDF filter view"/>
  </customWorkbookViews>
  <pivotCaches>
    <pivotCache cacheId="0" r:id="rId15"/>
    <pivotCache cacheId="1" r:id="rId16"/>
  </pivotCaches>
  <extLst>
    <ext uri="GoogleSheetsCustomDataVersion2">
      <go:sheetsCustomData xmlns:go="http://customooxmlschemas.google.com/" r:id="rId17" roundtripDataChecksum="g2Tbe02aDa/L+M8YOhV6porl3MMKoLjn74WWpd/liGM="/>
    </ext>
  </extLst>
</workbook>
</file>

<file path=xl/sharedStrings.xml><?xml version="1.0" encoding="utf-8"?>
<sst xmlns="http://schemas.openxmlformats.org/spreadsheetml/2006/main" count="68456" uniqueCount="7760">
  <si>
    <t>Colonne</t>
  </si>
  <si>
    <t>formules</t>
  </si>
  <si>
    <t>Nombre de communes</t>
  </si>
  <si>
    <t>taux de pauvreté</t>
  </si>
  <si>
    <t>"=COUNTIFS(T_HDF[Code_EPCI];A3)"</t>
  </si>
  <si>
    <t>niveau de vie médian</t>
  </si>
  <si>
    <t>Superficie (km²)</t>
  </si>
  <si>
    <t>"=SUMIFS(T_HDF[Superficie_km2];T_HDF[Code_EPCI];A3)"</t>
  </si>
  <si>
    <t>Population 2017</t>
  </si>
  <si>
    <t>"=XLOOKUP(T_Analyse[Code_EPCI];T_EPCI[Code_EPCI];T_EPCI[Population_2017])"</t>
  </si>
  <si>
    <t>minimum</t>
  </si>
  <si>
    <t>non publié</t>
  </si>
  <si>
    <t>Population 2023</t>
  </si>
  <si>
    <t>"=XLOOKUP(T_Analyse[Code_EPCI];T_EPCI[Code_EPCI];T_EPCI[Population_2023])"</t>
  </si>
  <si>
    <t>Niveau de vie médian 2023</t>
  </si>
  <si>
    <t>"=XLOOKUP(T_Analyse[Code_EPCI];T_EPCI[Code_EPCI];T_EPCI[Niveau_vie_median_2023])"</t>
  </si>
  <si>
    <t>Taux de pauvreté 2023</t>
  </si>
  <si>
    <t>Évolution de la population (%)</t>
  </si>
  <si>
    <t>Nombre de personnes pauvres</t>
  </si>
  <si>
    <t>Densité (hab/km²)</t>
  </si>
  <si>
    <t>nombre d'habitans non publié</t>
  </si>
  <si>
    <t>Q1</t>
  </si>
  <si>
    <t>Code_EPCI</t>
  </si>
  <si>
    <t>médiane</t>
  </si>
  <si>
    <t>Population_2023 (Commune_HDF)</t>
  </si>
  <si>
    <t>Nom_EPCI</t>
  </si>
  <si>
    <t xml:space="preserve">Population 2017 </t>
  </si>
  <si>
    <t>Population_2023 (INSEE_EPCI)</t>
  </si>
  <si>
    <t>Q3</t>
  </si>
  <si>
    <t>ce chiffre comprend les deux communautées de communes de CC des Villes Soeurs (35390) et CC Interrégionale Aumale - Blangy-sur-Bresle (21154) avec des communes en normandies.</t>
  </si>
  <si>
    <t>indicateurs de territoires prioritaire</t>
  </si>
  <si>
    <t xml:space="preserve">indicateurs </t>
  </si>
  <si>
    <t>choix</t>
  </si>
  <si>
    <t>Résultat by Xavier</t>
  </si>
  <si>
    <t>Formule by Xavier</t>
  </si>
  <si>
    <t>248000531</t>
  </si>
  <si>
    <t>oui</t>
  </si>
  <si>
    <t xml:space="preserve">nombre de personnes pauvres </t>
  </si>
  <si>
    <t>évolution de la population</t>
  </si>
  <si>
    <t>maximum</t>
  </si>
  <si>
    <t>non</t>
  </si>
  <si>
    <t>CA Amiens Métropole</t>
  </si>
  <si>
    <t>Justification</t>
  </si>
  <si>
    <t>moyenne simple</t>
  </si>
  <si>
    <t>moyenne pondérée par la population 2023</t>
  </si>
  <si>
    <t>SUM de Population_2023</t>
  </si>
  <si>
    <t>Que dit l'écart ?</t>
  </si>
  <si>
    <t>La moyenne pondérée (19,06 %) supérieure à la moyenne simple (16,09 %) indique que le taux de pauvreté est plus élevé dans les territoires les plus peuplés.</t>
  </si>
  <si>
    <t>a moyenne pondérée (23 979 €) inférieure à la moyenne simple (24 483 €) indique que le niveau de vie médian est plus faible dans les territoires les plus peuplés.</t>
  </si>
  <si>
    <t>200071785</t>
  </si>
  <si>
    <t>CA Chauny Tergnier La Fère</t>
  </si>
  <si>
    <t>Code_INSEE</t>
  </si>
  <si>
    <t>Commune</t>
  </si>
  <si>
    <t>Departement</t>
  </si>
  <si>
    <t>EPCI</t>
  </si>
  <si>
    <t>Population</t>
  </si>
  <si>
    <t>Superficie_km2</t>
  </si>
  <si>
    <t>Densite_hab_km2</t>
  </si>
  <si>
    <t>Taille_commune</t>
  </si>
  <si>
    <t>02001</t>
  </si>
  <si>
    <t>Abbécourt</t>
  </si>
  <si>
    <t>Aisne</t>
  </si>
  <si>
    <t>500 a 2 000</t>
  </si>
  <si>
    <t>02002</t>
  </si>
  <si>
    <t>Achery</t>
  </si>
  <si>
    <t>02003</t>
  </si>
  <si>
    <t>Acy</t>
  </si>
  <si>
    <t>CA GrandSoissons Agglomération</t>
  </si>
  <si>
    <t>240200477</t>
  </si>
  <si>
    <t>02004</t>
  </si>
  <si>
    <t>Agnicourt-et-Séchelles</t>
  </si>
  <si>
    <t>245901152</t>
  </si>
  <si>
    <t>CA Coeur d'Ostrevent</t>
  </si>
  <si>
    <t>CC du Pays de la Serre</t>
  </si>
  <si>
    <t>240200469</t>
  </si>
  <si>
    <t>&lt; 500 hab.</t>
  </si>
  <si>
    <t>02005</t>
  </si>
  <si>
    <t>Aguilcourt</t>
  </si>
  <si>
    <t>CC de la Champagne Picarde</t>
  </si>
  <si>
    <t>240200576</t>
  </si>
  <si>
    <t>02006</t>
  </si>
  <si>
    <t>Aisonville-et-Bernoville</t>
  </si>
  <si>
    <t>CC Thiérache Sambre et Oise</t>
  </si>
  <si>
    <t>200071983</t>
  </si>
  <si>
    <t>02007</t>
  </si>
  <si>
    <t>Aizelles</t>
  </si>
  <si>
    <t>CC du Chemin des Dames</t>
  </si>
  <si>
    <t>240200592</t>
  </si>
  <si>
    <t>02008</t>
  </si>
  <si>
    <t>Aizy-Jouy</t>
  </si>
  <si>
    <t>CC du Val de l'Aisne</t>
  </si>
  <si>
    <t>240200501</t>
  </si>
  <si>
    <t>02009</t>
  </si>
  <si>
    <t>Alaincourt</t>
  </si>
  <si>
    <t>CC du Val de l'Oise</t>
  </si>
  <si>
    <t>200040426</t>
  </si>
  <si>
    <t>02010</t>
  </si>
  <si>
    <t>Allemant</t>
  </si>
  <si>
    <t>200040947</t>
  </si>
  <si>
    <t>CA Coeur de Flandre</t>
  </si>
  <si>
    <t>02011</t>
  </si>
  <si>
    <t>Ambleny</t>
  </si>
  <si>
    <t>CC Retz en Valois</t>
  </si>
  <si>
    <t>200071991</t>
  </si>
  <si>
    <t>02012</t>
  </si>
  <si>
    <t>Ambrief</t>
  </si>
  <si>
    <t>CC du Canton d'Oulchy-le-Château</t>
  </si>
  <si>
    <t>240200519</t>
  </si>
  <si>
    <t>02013</t>
  </si>
  <si>
    <t>Amifontaine</t>
  </si>
  <si>
    <t>SUM de Population</t>
  </si>
  <si>
    <t>02014</t>
  </si>
  <si>
    <t>Amigny-Rouy</t>
  </si>
  <si>
    <t>02015</t>
  </si>
  <si>
    <t>Ancienville</t>
  </si>
  <si>
    <t>CA Creil Sud Oise</t>
  </si>
  <si>
    <t>CA d'Hénin-Carvin</t>
  </si>
  <si>
    <t>02016</t>
  </si>
  <si>
    <t>CA de Béthune-Bruay, Artois-Lys Romane</t>
  </si>
  <si>
    <t>Andelain</t>
  </si>
  <si>
    <t>CA de Cambrai</t>
  </si>
  <si>
    <t>CA de la Baie de Somme</t>
  </si>
  <si>
    <t>CA de la Porte du Hainaut</t>
  </si>
  <si>
    <t>CA de la Région de Château-Thierry</t>
  </si>
  <si>
    <t>CA de la Région de Compiègne et de la Basse Automne</t>
  </si>
  <si>
    <t>02017</t>
  </si>
  <si>
    <t>Anguilcourt-le-Sart</t>
  </si>
  <si>
    <t>CA de Lens - Liévin</t>
  </si>
  <si>
    <t>CA des Deux Baies en Montreuillois</t>
  </si>
  <si>
    <t>200068047</t>
  </si>
  <si>
    <t>CA Douaisis Agglo</t>
  </si>
  <si>
    <t>CA du Beauvaisis</t>
  </si>
  <si>
    <t>CA du Boulonnais</t>
  </si>
  <si>
    <t>02018</t>
  </si>
  <si>
    <t>Anizy-le-Grand</t>
  </si>
  <si>
    <t>CA du Caudrésis et du Catésis</t>
  </si>
  <si>
    <t>CA du Pays de Laon</t>
  </si>
  <si>
    <t>CC Picardie des Châteaux</t>
  </si>
  <si>
    <t>200071769</t>
  </si>
  <si>
    <t>CA du Pays de Saint-Omer</t>
  </si>
  <si>
    <t>CA du Saint-Quentinois</t>
  </si>
  <si>
    <t>CA Grand Calais Terres et Mers</t>
  </si>
  <si>
    <t>2 000 a 10 000</t>
  </si>
  <si>
    <t>02019</t>
  </si>
  <si>
    <t>Annois</t>
  </si>
  <si>
    <t>CA Maubeuge Val de Sambre</t>
  </si>
  <si>
    <t>CA Valenciennes Métropole</t>
  </si>
  <si>
    <t>200071892</t>
  </si>
  <si>
    <t>CC Avre Luce Noye</t>
  </si>
  <si>
    <t>CC Coeur de l'Avesnois</t>
  </si>
  <si>
    <t>CC de Desvres-Samer</t>
  </si>
  <si>
    <t>CC de l'Aire Cantilienne</t>
  </si>
  <si>
    <t>CC de l'Est de la Somme</t>
  </si>
  <si>
    <t>02020</t>
  </si>
  <si>
    <t>Any-Martin-Rieux</t>
  </si>
  <si>
    <t>CC de l'Oise Picarde</t>
  </si>
  <si>
    <t>CC des Trois Rivières</t>
  </si>
  <si>
    <t>240200600</t>
  </si>
  <si>
    <t>CC de la Haute Somme (Combles - Péronne - Roisel)</t>
  </si>
  <si>
    <t>CC de la Picardie Verte</t>
  </si>
  <si>
    <t>CC de la Plaine d'Estrées</t>
  </si>
  <si>
    <t>CC de la Région d'Audruicq</t>
  </si>
  <si>
    <t>02021</t>
  </si>
  <si>
    <t>CC de la Terre des Deux Caps</t>
  </si>
  <si>
    <t>Archon</t>
  </si>
  <si>
    <t>CC de la Thiérache du Centre</t>
  </si>
  <si>
    <t>CC des Portes de la Thiérache</t>
  </si>
  <si>
    <t>CC des 7 Vallées</t>
  </si>
  <si>
    <t>240200634</t>
  </si>
  <si>
    <t>CC des Campagnes de l'Artois</t>
  </si>
  <si>
    <t>CC des Deux Vallées</t>
  </si>
  <si>
    <t>CC des Hauts de Flandre</t>
  </si>
  <si>
    <t>02022</t>
  </si>
  <si>
    <t>CC des Lisières de l'Oise</t>
  </si>
  <si>
    <t>Arcy-Sainte-Restitue</t>
  </si>
  <si>
    <t>CC des Pays d'Oise et d'Halatte</t>
  </si>
  <si>
    <t>CC des Sablons</t>
  </si>
  <si>
    <t>02023</t>
  </si>
  <si>
    <t>CC des Villes Soeurs</t>
  </si>
  <si>
    <t>Armentières-sur-Ourcq</t>
  </si>
  <si>
    <t>200044618</t>
  </si>
  <si>
    <t>200072031</t>
  </si>
  <si>
    <t>CC du Canton de Charly-sur-Marne</t>
  </si>
  <si>
    <t>CC du Clermontois</t>
  </si>
  <si>
    <t>02024</t>
  </si>
  <si>
    <t>CC du Grand Roye</t>
  </si>
  <si>
    <t>Arrancy</t>
  </si>
  <si>
    <t>CC du Haut Pays du Montreuillois</t>
  </si>
  <si>
    <t>CC du Liancourtois</t>
  </si>
  <si>
    <t>200043495</t>
  </si>
  <si>
    <t>CC du Pays de Bray</t>
  </si>
  <si>
    <t>CC du Pays de Lumbres</t>
  </si>
  <si>
    <t>CC du Pays de Mormal</t>
  </si>
  <si>
    <t>02025</t>
  </si>
  <si>
    <t>Artemps</t>
  </si>
  <si>
    <t>CC du Pays de Valois</t>
  </si>
  <si>
    <t>CC du Pays des Sources</t>
  </si>
  <si>
    <t>CC du Pays du Coquelicot</t>
  </si>
  <si>
    <t>CC du Pays du Vermandois</t>
  </si>
  <si>
    <t>02027</t>
  </si>
  <si>
    <t>CC du Pays Noyonnais</t>
  </si>
  <si>
    <t>Assis-sur-Serre</t>
  </si>
  <si>
    <t>CC du Pays Solesmois</t>
  </si>
  <si>
    <t>CC du Plateau Picard</t>
  </si>
  <si>
    <t>CC du Sud Artois</t>
  </si>
  <si>
    <t>CC du Sud Avesnois</t>
  </si>
  <si>
    <t>CC du Ternois</t>
  </si>
  <si>
    <t>CC du Territoire Nord Picardie</t>
  </si>
  <si>
    <t>02028</t>
  </si>
  <si>
    <t>Athies-sous-Laon</t>
  </si>
  <si>
    <t>CC du Val de Somme</t>
  </si>
  <si>
    <t>CC du Vexin-Thelle</t>
  </si>
  <si>
    <t>CC du Vimeu</t>
  </si>
  <si>
    <t>02029</t>
  </si>
  <si>
    <t>CC Flandre Lys</t>
  </si>
  <si>
    <t>Attilly</t>
  </si>
  <si>
    <t>CC Interrégionale Aumale - Blangy-sur-Bresle</t>
  </si>
  <si>
    <t>240200493</t>
  </si>
  <si>
    <t>CC Nièvre et Somme</t>
  </si>
  <si>
    <t>CC Osartis Marquion</t>
  </si>
  <si>
    <t>200090751</t>
  </si>
  <si>
    <t>02030</t>
  </si>
  <si>
    <t>Aubencheul-aux-Bois</t>
  </si>
  <si>
    <t>CC Pays d'Opale</t>
  </si>
  <si>
    <t>CC Pévèle-Carembault</t>
  </si>
  <si>
    <t>CC Ponthieu-Marquenterre</t>
  </si>
  <si>
    <t>02031</t>
  </si>
  <si>
    <t>Aubenton</t>
  </si>
  <si>
    <t>CC Senlis Sud Oise</t>
  </si>
  <si>
    <t>CC Somme Sud-Ouest</t>
  </si>
  <si>
    <t>CC Terre de Picardie</t>
  </si>
  <si>
    <t>CC Thelloise</t>
  </si>
  <si>
    <t>02032</t>
  </si>
  <si>
    <t>Aubigny-aux-Kaisnes</t>
  </si>
  <si>
    <t>CU d'Arras</t>
  </si>
  <si>
    <t>CU de Dunkerque</t>
  </si>
  <si>
    <t>Métropole Européenne de Lille</t>
  </si>
  <si>
    <t>Total général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</si>
  <si>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</si>
  <si>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</si>
  <si>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</si>
  <si>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</si>
  <si>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</si>
  <si>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</si>
  <si>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</si>
  <si>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</si>
  <si>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</si>
  <si>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</si>
  <si>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</si>
  <si>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</si>
  <si>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</si>
  <si>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</si>
  <si>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</si>
  <si>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</si>
  <si>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240200444</t>
  </si>
  <si>
    <t>200043396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</si>
  <si>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</si>
  <si>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</si>
  <si>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</si>
  <si>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</si>
  <si>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</si>
  <si>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</si>
  <si>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</si>
  <si>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</si>
  <si>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</si>
  <si>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</si>
  <si>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</si>
  <si>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</si>
  <si>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245901160</t>
  </si>
  <si>
    <t>02048</t>
  </si>
  <si>
    <t>Barenton-sur-Serre</t>
  </si>
  <si>
    <t>02049</t>
  </si>
  <si>
    <t>Barisis-aux-Bois</t>
  </si>
  <si>
    <t>Population_2017</t>
  </si>
  <si>
    <t>02050</t>
  </si>
  <si>
    <t>Barzy-en-Thiérache</t>
  </si>
  <si>
    <t>Population_2023</t>
  </si>
  <si>
    <t>Niveau_vie_median_2023</t>
  </si>
  <si>
    <t>Taux_pauvrete_2023</t>
  </si>
  <si>
    <t>02051</t>
  </si>
  <si>
    <t>Barzy-sur-Marne</t>
  </si>
  <si>
    <t>02052</t>
  </si>
  <si>
    <t>Bassoles-Aulers</t>
  </si>
  <si>
    <t>02053</t>
  </si>
  <si>
    <t>Vallées en Champagne</t>
  </si>
  <si>
    <t>246200299</t>
  </si>
  <si>
    <t>02054</t>
  </si>
  <si>
    <t>Bazoches-et-Saint-Thibaut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</si>
  <si>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</si>
  <si>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</si>
  <si>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</si>
  <si>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</si>
  <si>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</si>
  <si>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</si>
  <si>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</si>
  <si>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</si>
  <si>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</si>
  <si>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</si>
  <si>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</si>
  <si>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</si>
  <si>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200072460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</si>
  <si>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</si>
  <si>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</si>
  <si>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</si>
  <si>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</si>
  <si>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</si>
  <si>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</si>
  <si>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</si>
  <si>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</si>
  <si>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</si>
  <si>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</si>
  <si>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</si>
  <si>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200068500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</si>
  <si>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</si>
  <si>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</si>
  <si>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</si>
  <si>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</si>
  <si>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</si>
  <si>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</si>
  <si>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</si>
  <si>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</si>
  <si>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</si>
  <si>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</si>
  <si>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246200364</t>
  </si>
  <si>
    <t>Berny-Rivière</t>
  </si>
  <si>
    <t>200070993</t>
  </si>
  <si>
    <t>02072</t>
  </si>
  <si>
    <t>Berrieux</t>
  </si>
  <si>
    <t>200042190</t>
  </si>
  <si>
    <t>02073</t>
  </si>
  <si>
    <t>Berry-au-Bac</t>
  </si>
  <si>
    <t>02074</t>
  </si>
  <si>
    <t>Bertaucourt-Epourdon</t>
  </si>
  <si>
    <t>200067965</t>
  </si>
  <si>
    <t>02075</t>
  </si>
  <si>
    <t>Berthenicourt</t>
  </si>
  <si>
    <t>02076</t>
  </si>
  <si>
    <t>Bertricourt</t>
  </si>
  <si>
    <t>200069029</t>
  </si>
  <si>
    <t>02078</t>
  </si>
  <si>
    <t>Besmé</t>
  </si>
  <si>
    <t>200067999</t>
  </si>
  <si>
    <t>02079</t>
  </si>
  <si>
    <t>Besmont</t>
  </si>
  <si>
    <t>02080</t>
  </si>
  <si>
    <t>Besny-et-Loizy</t>
  </si>
  <si>
    <t>246200729</t>
  </si>
  <si>
    <t>02081</t>
  </si>
  <si>
    <t>Béthancourt-en-Vaux</t>
  </si>
  <si>
    <t>200030633</t>
  </si>
  <si>
    <t>02082</t>
  </si>
  <si>
    <t>Beugneux</t>
  </si>
  <si>
    <t>02083</t>
  </si>
  <si>
    <t>Beuvardes</t>
  </si>
  <si>
    <t>200069037</t>
  </si>
  <si>
    <t>02084</t>
  </si>
  <si>
    <t>Bézu-le-Guéry</t>
  </si>
  <si>
    <t>240200584</t>
  </si>
  <si>
    <t>02085</t>
  </si>
  <si>
    <t>Bézu-Saint-Germain</t>
  </si>
  <si>
    <t>200070969</t>
  </si>
  <si>
    <t>02086</t>
  </si>
  <si>
    <t>Bichancourt</t>
  </si>
  <si>
    <t>200043263</t>
  </si>
  <si>
    <t>02087</t>
  </si>
  <si>
    <t>Bieuxy</t>
  </si>
  <si>
    <t>245900758</t>
  </si>
  <si>
    <t>02088</t>
  </si>
  <si>
    <t>Bièvres</t>
  </si>
  <si>
    <t>02089</t>
  </si>
  <si>
    <t>Billy-sur-Aisne</t>
  </si>
  <si>
    <t>200069722</t>
  </si>
  <si>
    <t>02090</t>
  </si>
  <si>
    <t>Billy-sur-Ourcq</t>
  </si>
  <si>
    <t>200071223</t>
  </si>
  <si>
    <t>02091</t>
  </si>
  <si>
    <t>Blanzy-lès-Fismes</t>
  </si>
  <si>
    <t>200044048</t>
  </si>
  <si>
    <t>02093</t>
  </si>
  <si>
    <t>Blérancourt</t>
  </si>
  <si>
    <t>200072478</t>
  </si>
  <si>
    <t>02094</t>
  </si>
  <si>
    <t>Blesmes</t>
  </si>
  <si>
    <t>02095</t>
  </si>
  <si>
    <t>Bohain-en-Vermandois</t>
  </si>
  <si>
    <t>02096</t>
  </si>
  <si>
    <t>Bois-lès-Pargny</t>
  </si>
  <si>
    <t>200070936</t>
  </si>
  <si>
    <t>02097</t>
  </si>
  <si>
    <t>Boncourt</t>
  </si>
  <si>
    <t>200041960</t>
  </si>
  <si>
    <t>02098</t>
  </si>
  <si>
    <t>Bonneil</t>
  </si>
  <si>
    <t>02099</t>
  </si>
  <si>
    <t>Bonnesvalyn</t>
  </si>
  <si>
    <t>02100</t>
  </si>
  <si>
    <t>200066975</t>
  </si>
  <si>
    <t>Bony</t>
  </si>
  <si>
    <t>02101</t>
  </si>
  <si>
    <t>Bosmont-sur-Serre</t>
  </si>
  <si>
    <t>200071181</t>
  </si>
  <si>
    <t>02102</t>
  </si>
  <si>
    <t>200070928</t>
  </si>
  <si>
    <t>Bouconville-Vauclair</t>
  </si>
  <si>
    <t>02103</t>
  </si>
  <si>
    <t>Boué</t>
  </si>
  <si>
    <t>200067973</t>
  </si>
  <si>
    <t>02104</t>
  </si>
  <si>
    <t>Bouffignereux</t>
  </si>
  <si>
    <t>02105</t>
  </si>
  <si>
    <t>Bouresches</t>
  </si>
  <si>
    <t>200018083</t>
  </si>
  <si>
    <t>02106</t>
  </si>
  <si>
    <t>Bourg-et-Comin</t>
  </si>
  <si>
    <t>246000764</t>
  </si>
  <si>
    <t>02107</t>
  </si>
  <si>
    <t>Bourguignon-sous-Coucy</t>
  </si>
  <si>
    <t>200070985</t>
  </si>
  <si>
    <t>02108</t>
  </si>
  <si>
    <t>Bourguignon-sous-Montbavin</t>
  </si>
  <si>
    <t>200068005</t>
  </si>
  <si>
    <t>02109</t>
  </si>
  <si>
    <t>La Bouteille</t>
  </si>
  <si>
    <t>02110</t>
  </si>
  <si>
    <t>Braine</t>
  </si>
  <si>
    <t>02111</t>
  </si>
  <si>
    <t>Brancourt-en-Laonnois</t>
  </si>
  <si>
    <t>200037059</t>
  </si>
  <si>
    <t>02112</t>
  </si>
  <si>
    <t>Brancourt-le-Grand</t>
  </si>
  <si>
    <t>246000848</t>
  </si>
  <si>
    <t>02114</t>
  </si>
  <si>
    <t>Brasles</t>
  </si>
  <si>
    <t>02115</t>
  </si>
  <si>
    <t>Braye-en-Laonnois</t>
  </si>
  <si>
    <t>246000897</t>
  </si>
  <si>
    <t>02116</t>
  </si>
  <si>
    <t>Braye-en-Thiérache</t>
  </si>
  <si>
    <t>246200844</t>
  </si>
  <si>
    <t>02117</t>
  </si>
  <si>
    <t>Bray-Saint-Christophe</t>
  </si>
  <si>
    <t>246200380</t>
  </si>
  <si>
    <t>02118</t>
  </si>
  <si>
    <t>Braye</t>
  </si>
  <si>
    <t>02119</t>
  </si>
  <si>
    <t>Brécy</t>
  </si>
  <si>
    <t>02120</t>
  </si>
  <si>
    <t>200044030</t>
  </si>
  <si>
    <t>Brenelle</t>
  </si>
  <si>
    <t>200069482</t>
  </si>
  <si>
    <t>02121</t>
  </si>
  <si>
    <t>Breny</t>
  </si>
  <si>
    <t>246000772</t>
  </si>
  <si>
    <t>02122</t>
  </si>
  <si>
    <t>Brie</t>
  </si>
  <si>
    <t>02123</t>
  </si>
  <si>
    <t>Brissay-Choigny</t>
  </si>
  <si>
    <t>200040954</t>
  </si>
  <si>
    <t>02124</t>
  </si>
  <si>
    <t>Brissy-Hamégicourt</t>
  </si>
  <si>
    <t>246000749</t>
  </si>
  <si>
    <t>02125</t>
  </si>
  <si>
    <t>Brumetz</t>
  </si>
  <si>
    <t>246000921</t>
  </si>
  <si>
    <t>02126</t>
  </si>
  <si>
    <t>Brunehamel</t>
  </si>
  <si>
    <t>02127</t>
  </si>
  <si>
    <t>Bruyères-sur-Fère</t>
  </si>
  <si>
    <t>02128</t>
  </si>
  <si>
    <t>Bruyères-et-Montbérault</t>
  </si>
  <si>
    <t>246000582</t>
  </si>
  <si>
    <t>02129</t>
  </si>
  <si>
    <t>Bruys</t>
  </si>
  <si>
    <t>02130</t>
  </si>
  <si>
    <t>Bucilly</t>
  </si>
  <si>
    <t>247600588</t>
  </si>
  <si>
    <t>02131</t>
  </si>
  <si>
    <t>Bucy-le-Long</t>
  </si>
  <si>
    <t>02132</t>
  </si>
  <si>
    <t>Bucy-lès-Cerny</t>
  </si>
  <si>
    <t>02133</t>
  </si>
  <si>
    <t>Bucy-lès-Pierrepont</t>
  </si>
  <si>
    <t>246000376</t>
  </si>
  <si>
    <t>02134</t>
  </si>
  <si>
    <t>Buire</t>
  </si>
  <si>
    <t>200070977</t>
  </si>
  <si>
    <t>02135</t>
  </si>
  <si>
    <t>Buironfosse</t>
  </si>
  <si>
    <t>200069235</t>
  </si>
  <si>
    <t>02136</t>
  </si>
  <si>
    <t>Burelles</t>
  </si>
  <si>
    <t>246000129</t>
  </si>
  <si>
    <t>02137</t>
  </si>
  <si>
    <t>Bussiares</t>
  </si>
  <si>
    <t>246000756</t>
  </si>
  <si>
    <t>02138</t>
  </si>
  <si>
    <t>Buzancy</t>
  </si>
  <si>
    <t>02139</t>
  </si>
  <si>
    <t>Caillouël-Crépigny</t>
  </si>
  <si>
    <t>245901038</t>
  </si>
  <si>
    <t>02140</t>
  </si>
  <si>
    <t>246000913</t>
  </si>
  <si>
    <t>Camelin</t>
  </si>
  <si>
    <t>02141</t>
  </si>
  <si>
    <t>246201016</t>
  </si>
  <si>
    <t>La Capelle</t>
  </si>
  <si>
    <t>02142</t>
  </si>
  <si>
    <t>Castres</t>
  </si>
  <si>
    <t>200043321</t>
  </si>
  <si>
    <t>246000871</t>
  </si>
  <si>
    <t>02143</t>
  </si>
  <si>
    <t>Le Catelet</t>
  </si>
  <si>
    <t>02144</t>
  </si>
  <si>
    <t>Caulaincourt</t>
  </si>
  <si>
    <t>246000855</t>
  </si>
  <si>
    <t>02145</t>
  </si>
  <si>
    <t>Caumont</t>
  </si>
  <si>
    <t>248000747</t>
  </si>
  <si>
    <t>02146</t>
  </si>
  <si>
    <t>Celles-lès-Condé</t>
  </si>
  <si>
    <t>02148</t>
  </si>
  <si>
    <t>Celles-sur-Aisne</t>
  </si>
  <si>
    <t>02149</t>
  </si>
  <si>
    <t>Cerizy</t>
  </si>
  <si>
    <t>246000566</t>
  </si>
  <si>
    <t>02150</t>
  </si>
  <si>
    <t>Cerny-en-Laonnois</t>
  </si>
  <si>
    <t>200035442</t>
  </si>
  <si>
    <t>02151</t>
  </si>
  <si>
    <t>Cerny-lès-Bucy</t>
  </si>
  <si>
    <t>200043404</t>
  </si>
  <si>
    <t>02152</t>
  </si>
  <si>
    <t>Cerseuil</t>
  </si>
  <si>
    <t>200069672</t>
  </si>
  <si>
    <t>200070951</t>
  </si>
  <si>
    <t>02153</t>
  </si>
  <si>
    <t>Cessières-Suzy</t>
  </si>
  <si>
    <t>248000499</t>
  </si>
  <si>
    <t>02154</t>
  </si>
  <si>
    <t>Chacrise</t>
  </si>
  <si>
    <t>02155</t>
  </si>
  <si>
    <t>Chaillevois</t>
  </si>
  <si>
    <t>02156</t>
  </si>
  <si>
    <t>Chalandry</t>
  </si>
  <si>
    <t>246000707</t>
  </si>
  <si>
    <t>02157</t>
  </si>
  <si>
    <t>Chambry</t>
  </si>
  <si>
    <t>02158</t>
  </si>
  <si>
    <t>Chamouille</t>
  </si>
  <si>
    <t>200070944</t>
  </si>
  <si>
    <t>02159</t>
  </si>
  <si>
    <t>Champs</t>
  </si>
  <si>
    <t>200033579</t>
  </si>
  <si>
    <t>02160</t>
  </si>
  <si>
    <t>Chaourse</t>
  </si>
  <si>
    <t>245900428</t>
  </si>
  <si>
    <t>02162</t>
  </si>
  <si>
    <t>La Chapelle-sur-Chézy</t>
  </si>
  <si>
    <t>200093201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</si>
  <si>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</si>
  <si>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</si>
  <si>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</si>
  <si>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</si>
  <si>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</si>
  <si>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</si>
  <si>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</si>
  <si>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</si>
  <si>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</si>
  <si>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</si>
  <si>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</si>
  <si>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</si>
  <si>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10 000 a 50 000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</si>
  <si>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</si>
  <si>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</si>
  <si>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</si>
  <si>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</si>
  <si>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</si>
  <si>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</si>
  <si>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</si>
  <si>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</si>
  <si>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</si>
  <si>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</si>
  <si>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</si>
  <si>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</si>
  <si>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</si>
  <si>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</si>
  <si>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</si>
  <si>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</si>
  <si>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</si>
  <si>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</si>
  <si>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</si>
  <si>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</si>
  <si>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</si>
  <si>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</si>
  <si>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</si>
  <si>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</si>
  <si>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</si>
  <si>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</si>
  <si>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</si>
  <si>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</si>
  <si>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</si>
  <si>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</si>
  <si>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</si>
  <si>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</si>
  <si>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</si>
  <si>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</si>
  <si>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</si>
  <si>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</si>
  <si>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</si>
  <si>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</si>
  <si>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</si>
  <si>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</si>
  <si>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</si>
  <si>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</si>
  <si>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</si>
  <si>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</si>
  <si>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</si>
  <si>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</si>
  <si>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</si>
  <si>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</si>
  <si>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</si>
  <si>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</si>
  <si>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</si>
  <si>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</si>
  <si>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</si>
  <si>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</si>
  <si>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</si>
  <si>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</si>
  <si>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</si>
  <si>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</si>
  <si>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</si>
  <si>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</si>
  <si>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</si>
  <si>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</si>
  <si>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</si>
  <si>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</si>
  <si>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</si>
  <si>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Cœuvres-et-Valsery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</si>
  <si>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</si>
  <si>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</si>
  <si>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</si>
  <si>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</si>
  <si>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</si>
  <si>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</si>
  <si>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</si>
  <si>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</si>
  <si>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</si>
  <si>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</si>
  <si>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</si>
  <si>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</si>
  <si>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</si>
  <si>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</si>
  <si>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</si>
  <si>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</si>
  <si>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</si>
  <si>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</si>
  <si>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</si>
  <si>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</si>
  <si>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</si>
  <si>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</si>
  <si>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</si>
  <si>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</si>
  <si>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</si>
  <si>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</si>
  <si>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</si>
  <si>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</si>
  <si>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</si>
  <si>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</si>
  <si>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</si>
  <si>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</si>
  <si>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</si>
  <si>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</si>
  <si>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</si>
  <si>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</si>
  <si>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</si>
  <si>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</si>
  <si>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</si>
  <si>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</si>
  <si>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</si>
  <si>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</si>
  <si>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</si>
  <si>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</si>
  <si>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</si>
  <si>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</si>
  <si>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</si>
  <si>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</si>
  <si>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</si>
  <si>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</si>
  <si>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</si>
  <si>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</si>
  <si>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</si>
  <si>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</si>
  <si>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</si>
  <si>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</si>
  <si>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</si>
  <si>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</si>
  <si>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</si>
  <si>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</si>
  <si>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</si>
  <si>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</si>
  <si>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</si>
  <si>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</si>
  <si>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</si>
  <si>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</si>
  <si>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</si>
  <si>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</si>
  <si>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</si>
  <si>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</si>
  <si>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</si>
  <si>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</si>
  <si>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</si>
  <si>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</si>
  <si>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</si>
  <si>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</si>
  <si>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</si>
  <si>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</si>
  <si>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</si>
  <si>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</si>
  <si>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</si>
  <si>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</si>
  <si>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</si>
  <si>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</si>
  <si>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</si>
  <si>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</si>
  <si>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</si>
  <si>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</si>
  <si>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</si>
  <si>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</si>
  <si>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</si>
  <si>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</si>
  <si>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</si>
  <si>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</si>
  <si>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</si>
  <si>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</si>
  <si>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</si>
  <si>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</si>
  <si>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</si>
  <si>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</si>
  <si>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</si>
  <si>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</si>
  <si>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</si>
  <si>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</si>
  <si>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</si>
  <si>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</si>
  <si>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</si>
  <si>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</si>
  <si>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</si>
  <si>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</si>
  <si>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</si>
  <si>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</si>
  <si>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</si>
  <si>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</si>
  <si>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</si>
  <si>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</si>
  <si>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</si>
  <si>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</si>
  <si>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</si>
  <si>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</si>
  <si>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</si>
  <si>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</si>
  <si>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</si>
  <si>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</si>
  <si>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</si>
  <si>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</si>
  <si>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</si>
  <si>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</si>
  <si>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</si>
  <si>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</si>
  <si>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</si>
  <si>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</si>
  <si>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</si>
  <si>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</si>
  <si>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</si>
  <si>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</si>
  <si>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</si>
  <si>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</si>
  <si>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</si>
  <si>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</si>
  <si>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</si>
  <si>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</si>
  <si>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</si>
  <si>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</si>
  <si>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</si>
  <si>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</si>
  <si>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</si>
  <si>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</si>
  <si>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</si>
  <si>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</si>
  <si>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</si>
  <si>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</si>
  <si>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</si>
  <si>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</si>
  <si>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</si>
  <si>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</si>
  <si>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</si>
  <si>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</si>
  <si>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</si>
  <si>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</si>
  <si>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</si>
  <si>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</si>
  <si>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</si>
  <si>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</si>
  <si>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</si>
  <si>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</si>
  <si>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</si>
  <si>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</si>
  <si>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</si>
  <si>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</si>
  <si>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</si>
  <si>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</si>
  <si>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</si>
  <si>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</si>
  <si>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</si>
  <si>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</si>
  <si>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</si>
  <si>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</si>
  <si>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</si>
  <si>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</si>
  <si>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</si>
  <si>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</si>
  <si>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</si>
  <si>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</si>
  <si>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</si>
  <si>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</si>
  <si>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</si>
  <si>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</si>
  <si>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</si>
  <si>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</si>
  <si>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</si>
  <si>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</si>
  <si>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</si>
  <si>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</si>
  <si>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</si>
  <si>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</si>
  <si>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</si>
  <si>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</si>
  <si>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</si>
  <si>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</si>
  <si>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</si>
  <si>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</si>
  <si>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</si>
  <si>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</si>
  <si>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</si>
  <si>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</si>
  <si>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</si>
  <si>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</si>
  <si>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</si>
  <si>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</si>
  <si>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</si>
  <si>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</si>
  <si>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</si>
  <si>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</si>
  <si>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</si>
  <si>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</si>
  <si>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</si>
  <si>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</si>
  <si>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</si>
  <si>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</si>
  <si>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</si>
  <si>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</si>
  <si>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</si>
  <si>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</si>
  <si>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</si>
  <si>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</si>
  <si>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</si>
  <si>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</si>
  <si>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</si>
  <si>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</si>
  <si>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</si>
  <si>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</si>
  <si>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</si>
  <si>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</si>
  <si>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</si>
  <si>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</si>
  <si>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</si>
  <si>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</si>
  <si>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</si>
  <si>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</si>
  <si>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</si>
  <si>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</si>
  <si>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</si>
  <si>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</si>
  <si>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</si>
  <si>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</si>
  <si>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</si>
  <si>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</si>
  <si>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</si>
  <si>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</si>
  <si>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</si>
  <si>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</si>
  <si>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</si>
  <si>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</si>
  <si>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</si>
  <si>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</si>
  <si>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</si>
  <si>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</si>
  <si>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</si>
  <si>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</si>
  <si>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</si>
  <si>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</si>
  <si>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</si>
  <si>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</si>
  <si>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</si>
  <si>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</si>
  <si>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</si>
  <si>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</si>
  <si>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</si>
  <si>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</si>
  <si>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</si>
  <si>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</si>
  <si>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</si>
  <si>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</si>
  <si>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</si>
  <si>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</si>
  <si>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</si>
  <si>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</si>
  <si>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</si>
  <si>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</si>
  <si>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</si>
  <si>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</si>
  <si>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</si>
  <si>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</si>
  <si>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</si>
  <si>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</si>
  <si>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</si>
  <si>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</si>
  <si>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</si>
  <si>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</si>
  <si>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</si>
  <si>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</si>
  <si>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</si>
  <si>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</si>
  <si>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</si>
  <si>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</si>
  <si>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</si>
  <si>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</si>
  <si>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</si>
  <si>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</si>
  <si>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</si>
  <si>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</si>
  <si>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</si>
  <si>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</si>
  <si>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</si>
  <si>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</si>
  <si>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</si>
  <si>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</si>
  <si>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</si>
  <si>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</si>
  <si>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</si>
  <si>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</si>
  <si>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</si>
  <si>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</si>
  <si>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</si>
  <si>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</si>
  <si>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</si>
  <si>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</si>
  <si>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</si>
  <si>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</si>
  <si>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</si>
  <si>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</si>
  <si>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</si>
  <si>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</si>
  <si>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</si>
  <si>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</si>
  <si>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</si>
  <si>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</si>
  <si>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</si>
  <si>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</si>
  <si>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</si>
  <si>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</si>
  <si>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</si>
  <si>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</si>
  <si>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</si>
  <si>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</si>
  <si>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</si>
  <si>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</si>
  <si>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</si>
  <si>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</si>
  <si>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</si>
  <si>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</si>
  <si>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</si>
  <si>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</si>
  <si>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</si>
  <si>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</si>
  <si>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</si>
  <si>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</si>
  <si>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</si>
  <si>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</si>
  <si>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</si>
  <si>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</si>
  <si>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</si>
  <si>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</si>
  <si>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</si>
  <si>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</si>
  <si>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</si>
  <si>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</si>
  <si>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</si>
  <si>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</si>
  <si>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</si>
  <si>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</si>
  <si>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</si>
  <si>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</si>
  <si>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</si>
  <si>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</si>
  <si>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</si>
  <si>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</si>
  <si>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</si>
  <si>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</si>
  <si>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</si>
  <si>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</si>
  <si>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</si>
  <si>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</si>
  <si>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</si>
  <si>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</si>
  <si>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</si>
  <si>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</si>
  <si>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</si>
  <si>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</si>
  <si>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</si>
  <si>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</si>
  <si>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</si>
  <si>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</si>
  <si>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</si>
  <si>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</si>
  <si>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</si>
  <si>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</si>
  <si>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</si>
  <si>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</si>
  <si>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</si>
  <si>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</si>
  <si>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</si>
  <si>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</si>
  <si>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</si>
  <si>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</si>
  <si>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</si>
  <si>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</si>
  <si>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</si>
  <si>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</si>
  <si>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</si>
  <si>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</si>
  <si>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</si>
  <si>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</si>
  <si>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</si>
  <si>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</si>
  <si>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</si>
  <si>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</si>
  <si>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</si>
  <si>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</si>
  <si>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</si>
  <si>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</si>
  <si>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</si>
  <si>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</si>
  <si>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</si>
  <si>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</si>
  <si>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</si>
  <si>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</si>
  <si>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</si>
  <si>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</si>
  <si>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</si>
  <si>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</si>
  <si>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</si>
  <si>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</si>
  <si>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</si>
  <si>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</si>
  <si>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</si>
  <si>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</si>
  <si>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</si>
  <si>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</si>
  <si>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</si>
  <si>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</si>
  <si>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</si>
  <si>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</si>
  <si>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</si>
  <si>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</si>
  <si>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</si>
  <si>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</si>
  <si>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</si>
  <si>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</si>
  <si>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</si>
  <si>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</si>
  <si>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</si>
  <si>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</si>
  <si>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</si>
  <si>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</si>
  <si>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</si>
  <si>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</si>
  <si>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</si>
  <si>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</si>
  <si>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</si>
  <si>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</si>
  <si>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</si>
  <si>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</si>
  <si>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</si>
  <si>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</si>
  <si>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</si>
  <si>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</si>
  <si>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</si>
  <si>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</si>
  <si>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</si>
  <si>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</si>
  <si>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</si>
  <si>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</si>
  <si>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</si>
  <si>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</si>
  <si>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</si>
  <si>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</si>
  <si>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</si>
  <si>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</si>
  <si>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</si>
  <si>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</si>
  <si>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</si>
  <si>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</si>
  <si>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</si>
  <si>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</si>
  <si>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</si>
  <si>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</si>
  <si>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</si>
  <si>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</si>
  <si>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</si>
  <si>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</si>
  <si>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</si>
  <si>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</si>
  <si>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</si>
  <si>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</si>
  <si>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</si>
  <si>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</si>
  <si>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</si>
  <si>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</si>
  <si>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</si>
  <si>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</si>
  <si>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</si>
  <si>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</si>
  <si>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</si>
  <si>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</si>
  <si>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</si>
  <si>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</si>
  <si>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</si>
  <si>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</si>
  <si>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</si>
  <si>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</si>
  <si>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</si>
  <si>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</si>
  <si>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</si>
  <si>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</si>
  <si>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</si>
  <si>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</si>
  <si>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</si>
  <si>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</si>
  <si>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</si>
  <si>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</si>
  <si>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</si>
  <si>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</si>
  <si>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</si>
  <si>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</si>
  <si>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</si>
  <si>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</si>
  <si>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</si>
  <si>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</si>
  <si>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</si>
  <si>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</si>
  <si>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</si>
  <si>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</si>
  <si>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</si>
  <si>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</si>
  <si>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</si>
  <si>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</si>
  <si>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</si>
  <si>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</si>
  <si>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</si>
  <si>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</si>
  <si>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</si>
  <si>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</si>
  <si>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</si>
  <si>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</si>
  <si>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</si>
  <si>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</si>
  <si>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</si>
  <si>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</si>
  <si>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</si>
  <si>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</si>
  <si>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</si>
  <si>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</si>
  <si>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</si>
  <si>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</si>
  <si>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</si>
  <si>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</si>
  <si>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</si>
  <si>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</si>
  <si>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</si>
  <si>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</si>
  <si>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</si>
  <si>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</si>
  <si>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</si>
  <si>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</si>
  <si>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</si>
  <si>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</si>
  <si>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</si>
  <si>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</si>
  <si>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</si>
  <si>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</si>
  <si>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</si>
  <si>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</si>
  <si>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</si>
  <si>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</si>
  <si>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</si>
  <si>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</si>
  <si>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</si>
  <si>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</si>
  <si>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</si>
  <si>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</si>
  <si>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</si>
  <si>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</si>
  <si>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</si>
  <si>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</si>
  <si>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</si>
  <si>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</si>
  <si>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</si>
  <si>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</si>
  <si>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</si>
  <si>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</si>
  <si>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</si>
  <si>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</si>
  <si>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</si>
  <si>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</si>
  <si>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</si>
  <si>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</si>
  <si>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</si>
  <si>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</si>
  <si>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</si>
  <si>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</si>
  <si>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</si>
  <si>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</si>
  <si>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</si>
  <si>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</si>
  <si>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</si>
  <si>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</si>
  <si>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</si>
  <si>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</si>
  <si>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</si>
  <si>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</si>
  <si>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</si>
  <si>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</si>
  <si>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</si>
  <si>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</si>
  <si>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</si>
  <si>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</si>
  <si>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</si>
  <si>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</si>
  <si>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</si>
  <si>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</si>
  <si>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</si>
  <si>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</si>
  <si>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</si>
  <si>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</si>
  <si>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</si>
  <si>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</si>
  <si>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</si>
  <si>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</si>
  <si>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</si>
  <si>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</si>
  <si>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</si>
  <si>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</si>
  <si>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</si>
  <si>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</si>
  <si>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</si>
  <si>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</si>
  <si>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</si>
  <si>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</si>
  <si>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</si>
  <si>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</si>
  <si>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</si>
  <si>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</si>
  <si>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</si>
  <si>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</si>
  <si>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</si>
  <si>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</si>
  <si>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</si>
  <si>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</si>
  <si>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</si>
  <si>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</si>
  <si>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</si>
  <si>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</si>
  <si>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</si>
  <si>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</si>
  <si>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</si>
  <si>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</si>
  <si>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</si>
  <si>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</si>
  <si>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</si>
  <si>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</si>
  <si>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</si>
  <si>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</si>
  <si>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</si>
  <si>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</si>
  <si>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</si>
  <si>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</si>
  <si>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</si>
  <si>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</si>
  <si>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</si>
  <si>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</si>
  <si>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</si>
  <si>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</si>
  <si>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</si>
  <si>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</si>
  <si>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</si>
  <si>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</si>
  <si>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</si>
  <si>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</si>
  <si>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</si>
  <si>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</si>
  <si>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</si>
  <si>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</si>
  <si>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</si>
  <si>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</si>
  <si>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</si>
  <si>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</si>
  <si>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</si>
  <si>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</si>
  <si>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</si>
  <si>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</si>
  <si>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</si>
  <si>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</si>
  <si>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</si>
  <si>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</si>
  <si>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</si>
  <si>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</si>
  <si>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</si>
  <si>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</si>
  <si>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</si>
  <si>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Bernoy-le-Château</t>
  </si>
  <si>
    <t>02565</t>
  </si>
  <si>
    <t>Œuilly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</si>
  <si>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</si>
  <si>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</si>
  <si>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</si>
  <si>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</si>
  <si>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</si>
  <si>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</si>
  <si>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</si>
  <si>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</si>
  <si>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</si>
  <si>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</si>
  <si>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</si>
  <si>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</si>
  <si>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</si>
  <si>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</si>
  <si>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</si>
  <si>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</si>
  <si>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</si>
  <si>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</si>
  <si>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</si>
  <si>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</si>
  <si>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</si>
  <si>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</si>
  <si>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</si>
  <si>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</si>
  <si>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</si>
  <si>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</si>
  <si>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</si>
  <si>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</si>
  <si>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</si>
  <si>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</si>
  <si>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</si>
  <si>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</si>
  <si>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</si>
  <si>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</si>
  <si>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</si>
  <si>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</si>
  <si>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</si>
  <si>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</si>
  <si>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</si>
  <si>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</si>
  <si>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</si>
  <si>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</si>
  <si>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</si>
  <si>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</si>
  <si>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</si>
  <si>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</si>
  <si>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</si>
  <si>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Pargny-et-Filain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</si>
  <si>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</si>
  <si>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</si>
  <si>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</si>
  <si>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</si>
  <si>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</si>
  <si>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</si>
  <si>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</si>
  <si>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</si>
  <si>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</si>
  <si>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</si>
  <si>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</si>
  <si>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</si>
  <si>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</si>
  <si>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</si>
  <si>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</si>
  <si>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</si>
  <si>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</si>
  <si>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</si>
  <si>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</si>
  <si>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</si>
  <si>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</si>
  <si>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</si>
  <si>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</si>
  <si>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</si>
  <si>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</si>
  <si>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</si>
  <si>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</si>
  <si>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</si>
  <si>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</si>
  <si>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</si>
  <si>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</si>
  <si>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</si>
  <si>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</si>
  <si>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</si>
  <si>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</si>
  <si>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</si>
  <si>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</si>
  <si>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</si>
  <si>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</si>
  <si>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</si>
  <si>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</si>
  <si>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</si>
  <si>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</si>
  <si>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</si>
  <si>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</si>
  <si>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</si>
  <si>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</si>
  <si>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</si>
  <si>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</si>
  <si>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</si>
  <si>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</si>
  <si>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</si>
  <si>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</si>
  <si>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</si>
  <si>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</si>
  <si>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</si>
  <si>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</si>
  <si>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</si>
  <si>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</si>
  <si>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</si>
  <si>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</si>
  <si>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</si>
  <si>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</si>
  <si>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</si>
  <si>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</si>
  <si>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</si>
  <si>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</si>
  <si>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</si>
  <si>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</si>
  <si>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</si>
  <si>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</si>
  <si>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</si>
  <si>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</si>
  <si>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</si>
  <si>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</si>
  <si>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</si>
  <si>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</si>
  <si>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</si>
  <si>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</si>
  <si>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</si>
  <si>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</si>
  <si>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</si>
  <si>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</si>
  <si>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</si>
  <si>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</si>
  <si>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</si>
  <si>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</si>
  <si>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</si>
  <si>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</si>
  <si>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</si>
  <si>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</si>
  <si>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</si>
  <si>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</si>
  <si>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</si>
  <si>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</si>
  <si>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</si>
  <si>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</si>
  <si>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</si>
  <si>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</si>
  <si>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</si>
  <si>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</si>
  <si>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</si>
  <si>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</si>
  <si>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</si>
  <si>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</si>
  <si>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</si>
  <si>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</si>
  <si>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</si>
  <si>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</si>
  <si>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</si>
  <si>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</si>
  <si>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</si>
  <si>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</si>
  <si>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</si>
  <si>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</si>
  <si>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</si>
  <si>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</si>
  <si>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</si>
  <si>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</si>
  <si>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</si>
  <si>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</si>
  <si>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</si>
  <si>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</si>
  <si>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</si>
  <si>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</si>
  <si>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</si>
  <si>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</si>
  <si>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</si>
  <si>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</si>
  <si>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</si>
  <si>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</si>
  <si>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</si>
  <si>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</si>
  <si>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</si>
  <si>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</si>
  <si>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</si>
  <si>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</si>
  <si>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</si>
  <si>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</si>
  <si>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</si>
  <si>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</si>
  <si>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</si>
  <si>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</si>
  <si>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</si>
  <si>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</si>
  <si>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</si>
  <si>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</si>
  <si>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</si>
  <si>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</si>
  <si>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</si>
  <si>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</si>
  <si>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</si>
  <si>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</si>
  <si>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</si>
  <si>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</si>
  <si>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</si>
  <si>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</si>
  <si>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</si>
  <si>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</si>
  <si>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Sainte-Croix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</si>
  <si>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</si>
  <si>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</si>
  <si>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</si>
  <si>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</si>
  <si>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</si>
  <si>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</si>
  <si>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</si>
  <si>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</si>
  <si>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</si>
  <si>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</si>
  <si>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</si>
  <si>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</si>
  <si>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</si>
  <si>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</si>
  <si>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</si>
  <si>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</si>
  <si>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</si>
  <si>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</si>
  <si>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</si>
  <si>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</si>
  <si>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</si>
  <si>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</si>
  <si>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</si>
  <si>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</si>
  <si>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</si>
  <si>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</si>
  <si>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</si>
  <si>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</si>
  <si>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</si>
  <si>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</si>
  <si>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</si>
  <si>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</si>
  <si>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</si>
  <si>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</si>
  <si>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</si>
  <si>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Saint-Simon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</si>
  <si>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</si>
  <si>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</si>
  <si>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</si>
  <si>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</si>
  <si>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</si>
  <si>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</si>
  <si>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</si>
  <si>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</si>
  <si>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</si>
  <si>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</si>
  <si>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</si>
  <si>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</si>
  <si>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</si>
  <si>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</si>
  <si>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</si>
  <si>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</si>
  <si>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</si>
  <si>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</si>
  <si>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</si>
  <si>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</si>
  <si>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</si>
  <si>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</si>
  <si>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</si>
  <si>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</si>
  <si>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</si>
  <si>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</si>
  <si>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</si>
  <si>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</si>
  <si>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</si>
  <si>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</si>
  <si>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</si>
  <si>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Sergy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</si>
  <si>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</si>
  <si>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</si>
  <si>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</si>
  <si>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</si>
  <si>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</si>
  <si>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</si>
  <si>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</si>
  <si>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</si>
  <si>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</si>
  <si>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</si>
  <si>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</si>
  <si>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</si>
  <si>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</si>
  <si>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</si>
  <si>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</si>
  <si>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</si>
  <si>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</si>
  <si>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</si>
  <si>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</si>
  <si>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</si>
  <si>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</si>
  <si>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</si>
  <si>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</si>
  <si>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</si>
  <si>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</si>
  <si>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</si>
  <si>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</si>
  <si>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</si>
  <si>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</si>
  <si>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</si>
  <si>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</si>
  <si>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</si>
  <si>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</si>
  <si>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</si>
  <si>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</si>
  <si>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</si>
  <si>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</si>
  <si>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</si>
  <si>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</si>
  <si>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</si>
  <si>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</si>
  <si>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</si>
  <si>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</si>
  <si>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</si>
  <si>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</si>
  <si>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</si>
  <si>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</si>
  <si>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</si>
  <si>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</si>
  <si>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</si>
  <si>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</si>
  <si>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</si>
  <si>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</si>
  <si>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</si>
  <si>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</si>
  <si>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</si>
  <si>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</si>
  <si>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</si>
  <si>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</si>
  <si>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</si>
  <si>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</si>
  <si>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</si>
  <si>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</si>
  <si>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</si>
  <si>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</si>
  <si>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</si>
  <si>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</si>
  <si>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</si>
  <si>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</si>
  <si>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</si>
  <si>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</si>
  <si>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</si>
  <si>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</si>
  <si>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</si>
  <si>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</si>
  <si>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</si>
  <si>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</si>
  <si>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</si>
  <si>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</si>
  <si>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</si>
  <si>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</si>
  <si>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</si>
  <si>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</si>
  <si>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</si>
  <si>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</si>
  <si>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</si>
  <si>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</si>
  <si>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</si>
  <si>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</si>
  <si>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</si>
  <si>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</si>
  <si>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</si>
  <si>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</si>
  <si>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</si>
  <si>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</si>
  <si>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</si>
  <si>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</si>
  <si>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</si>
  <si>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</si>
  <si>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</si>
  <si>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</si>
  <si>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</si>
  <si>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</si>
  <si>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</si>
  <si>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</si>
  <si>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</si>
  <si>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</si>
  <si>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</si>
  <si>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</si>
  <si>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</si>
  <si>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</si>
  <si>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</si>
  <si>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</si>
  <si>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</si>
  <si>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</si>
  <si>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</si>
  <si>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</si>
  <si>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</si>
  <si>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</si>
  <si>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</si>
  <si>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</si>
  <si>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</si>
  <si>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</si>
  <si>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</si>
  <si>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</si>
  <si>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</si>
  <si>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</si>
  <si>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</si>
  <si>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</si>
  <si>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</si>
  <si>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</si>
  <si>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</si>
  <si>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</si>
  <si>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</si>
  <si>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</si>
  <si>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</si>
  <si>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</si>
  <si>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</si>
  <si>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</si>
  <si>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</si>
  <si>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</si>
  <si>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</si>
  <si>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</si>
  <si>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</si>
  <si>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</si>
  <si>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</si>
  <si>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</si>
  <si>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</si>
  <si>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</si>
  <si>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</si>
  <si>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</si>
  <si>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</si>
  <si>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</si>
  <si>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</si>
  <si>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</si>
  <si>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</si>
  <si>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</si>
  <si>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</si>
  <si>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</si>
  <si>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</si>
  <si>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</si>
  <si>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</si>
  <si>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</si>
  <si>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</si>
  <si>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</si>
  <si>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</si>
  <si>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</si>
  <si>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</si>
  <si>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</si>
  <si>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</si>
  <si>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</si>
  <si>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</si>
  <si>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</si>
  <si>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</si>
  <si>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</si>
  <si>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</si>
  <si>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</si>
  <si>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</si>
  <si>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</si>
  <si>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</si>
  <si>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</si>
  <si>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</si>
  <si>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</si>
  <si>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</si>
  <si>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</si>
  <si>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</si>
  <si>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</si>
  <si>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</si>
  <si>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</si>
  <si>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</si>
  <si>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</si>
  <si>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</si>
  <si>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</si>
  <si>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</si>
  <si>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</si>
  <si>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</si>
  <si>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</si>
  <si>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</si>
  <si>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</si>
  <si>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</si>
  <si>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</si>
  <si>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</si>
  <si>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</si>
  <si>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</si>
  <si>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</si>
  <si>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</si>
  <si>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</si>
  <si>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</si>
  <si>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</si>
  <si>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</si>
  <si>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</si>
  <si>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</si>
  <si>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</si>
  <si>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</si>
  <si>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</si>
  <si>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</si>
  <si>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</si>
  <si>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</si>
  <si>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</si>
  <si>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</si>
  <si>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</si>
  <si>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</si>
  <si>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</si>
  <si>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</si>
  <si>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</si>
  <si>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</si>
  <si>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</si>
  <si>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</si>
  <si>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</si>
  <si>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</si>
  <si>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</si>
  <si>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</si>
  <si>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</si>
  <si>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</si>
  <si>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</si>
  <si>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</si>
  <si>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59001</t>
  </si>
  <si>
    <t>Abancourt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</si>
  <si>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</si>
  <si>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</si>
  <si>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</si>
  <si>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</si>
  <si>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</si>
  <si>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</si>
  <si>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</si>
  <si>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</si>
  <si>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</si>
  <si>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L'Orée de Mormal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</si>
  <si>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</si>
  <si>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</si>
  <si>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</si>
  <si>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</si>
  <si>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</si>
  <si>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</si>
  <si>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</si>
  <si>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</si>
  <si>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</si>
  <si>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Annœullin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</si>
  <si>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</si>
  <si>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</si>
  <si>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</si>
  <si>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</si>
  <si>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</si>
  <si>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</si>
  <si>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</si>
  <si>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</si>
  <si>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</si>
  <si>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</si>
  <si>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</si>
  <si>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</si>
  <si>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</si>
  <si>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</si>
  <si>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</si>
  <si>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</si>
  <si>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</si>
  <si>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</si>
  <si>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</si>
  <si>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</si>
  <si>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</si>
  <si>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</si>
  <si>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</si>
  <si>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</si>
  <si>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</si>
  <si>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</si>
  <si>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</si>
  <si>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</si>
  <si>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</si>
  <si>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</si>
  <si>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</si>
  <si>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</si>
  <si>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</si>
  <si>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</si>
  <si>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</si>
  <si>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</si>
  <si>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</si>
  <si>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</si>
  <si>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</si>
  <si>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</si>
  <si>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</si>
  <si>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</si>
  <si>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</si>
  <si>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</si>
  <si>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</si>
  <si>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</si>
  <si>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</si>
  <si>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</si>
  <si>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</si>
  <si>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</si>
  <si>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</si>
  <si>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</si>
  <si>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</si>
  <si>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</si>
  <si>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</si>
  <si>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</si>
  <si>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</si>
  <si>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</si>
  <si>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</si>
  <si>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</si>
  <si>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</si>
  <si>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</si>
  <si>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</si>
  <si>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</si>
  <si>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</si>
  <si>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</si>
  <si>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</si>
  <si>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</si>
  <si>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</si>
  <si>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</si>
  <si>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</si>
  <si>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</si>
  <si>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</si>
  <si>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</si>
  <si>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</si>
  <si>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</si>
  <si>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</si>
  <si>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</si>
  <si>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</si>
  <si>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</si>
  <si>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</si>
  <si>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</si>
  <si>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</si>
  <si>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</si>
  <si>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</si>
  <si>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</si>
  <si>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</si>
  <si>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Beaufort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</si>
  <si>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</si>
  <si>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</si>
  <si>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</si>
  <si>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</si>
  <si>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</si>
  <si>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</si>
  <si>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</si>
  <si>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</si>
  <si>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</si>
  <si>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</si>
  <si>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</si>
  <si>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</si>
  <si>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</si>
  <si>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</si>
  <si>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</si>
  <si>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</si>
  <si>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</si>
  <si>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</si>
  <si>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</si>
  <si>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</si>
  <si>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</si>
  <si>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</si>
  <si>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</si>
  <si>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</si>
  <si>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</si>
  <si>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</si>
  <si>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</si>
  <si>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</si>
  <si>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</si>
  <si>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</si>
  <si>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</si>
  <si>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</si>
  <si>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</si>
  <si>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</si>
  <si>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</si>
  <si>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</si>
  <si>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</si>
  <si>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</si>
  <si>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</si>
  <si>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</si>
  <si>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</si>
  <si>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</si>
  <si>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</si>
  <si>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</si>
  <si>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</si>
  <si>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</si>
  <si>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</si>
  <si>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</si>
  <si>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</si>
  <si>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</si>
  <si>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Blécourt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</si>
  <si>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</si>
  <si>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</si>
  <si>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</si>
  <si>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</si>
  <si>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</si>
  <si>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</si>
  <si>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</si>
  <si>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</si>
  <si>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</si>
  <si>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</si>
  <si>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</si>
  <si>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</si>
  <si>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</si>
  <si>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</si>
  <si>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</si>
  <si>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</si>
  <si>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</si>
  <si>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</si>
  <si>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</si>
  <si>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</si>
  <si>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</si>
  <si>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</si>
  <si>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</si>
  <si>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</si>
  <si>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</si>
  <si>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</si>
  <si>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</si>
  <si>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</si>
  <si>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</si>
  <si>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</si>
  <si>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</si>
  <si>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</si>
  <si>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</si>
  <si>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</si>
  <si>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</si>
  <si>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</si>
  <si>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</si>
  <si>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</si>
  <si>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</si>
  <si>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</si>
  <si>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</si>
  <si>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</si>
  <si>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</si>
  <si>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</si>
  <si>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</si>
  <si>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</si>
  <si>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</si>
  <si>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</si>
  <si>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</si>
  <si>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</si>
  <si>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</si>
  <si>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</si>
  <si>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</si>
  <si>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</si>
  <si>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</si>
  <si>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</si>
  <si>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</si>
  <si>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</si>
  <si>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</si>
  <si>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</si>
  <si>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</si>
  <si>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</si>
  <si>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</si>
  <si>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</si>
  <si>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</si>
  <si>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</si>
  <si>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</si>
  <si>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</si>
  <si>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</si>
  <si>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</si>
  <si>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</si>
  <si>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</si>
  <si>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</si>
  <si>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</si>
  <si>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</si>
  <si>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</si>
  <si>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</si>
  <si>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</si>
  <si>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</si>
  <si>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</si>
  <si>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</si>
  <si>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</si>
  <si>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</si>
  <si>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</si>
  <si>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</si>
  <si>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</si>
  <si>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</si>
  <si>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</si>
  <si>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</si>
  <si>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</si>
  <si>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</si>
  <si>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</si>
  <si>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</si>
  <si>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</si>
  <si>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</si>
  <si>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</si>
  <si>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</si>
  <si>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</si>
  <si>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</si>
  <si>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</si>
  <si>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</si>
  <si>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</si>
  <si>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</si>
  <si>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</si>
  <si>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</si>
  <si>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</si>
  <si>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</si>
  <si>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</si>
  <si>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</si>
  <si>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</si>
  <si>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</si>
  <si>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</si>
  <si>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</si>
  <si>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</si>
  <si>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</si>
  <si>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</si>
  <si>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</si>
  <si>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</si>
  <si>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</si>
  <si>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</si>
  <si>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</si>
  <si>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</si>
  <si>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</si>
  <si>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</si>
  <si>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</si>
  <si>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</si>
  <si>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</si>
  <si>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</si>
  <si>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</si>
  <si>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</si>
  <si>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</si>
  <si>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</si>
  <si>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</si>
  <si>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</si>
  <si>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</si>
  <si>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</si>
  <si>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</si>
  <si>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</si>
  <si>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</si>
  <si>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</si>
  <si>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</si>
  <si>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</si>
  <si>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</si>
  <si>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</si>
  <si>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</si>
  <si>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Crespin</t>
  </si>
  <si>
    <t>59161</t>
  </si>
  <si>
    <t>Crèvecœur-sur-l'Escaut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</si>
  <si>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</si>
  <si>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</si>
  <si>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</si>
  <si>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</si>
  <si>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</si>
  <si>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</si>
  <si>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</si>
  <si>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</si>
  <si>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</si>
  <si>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</si>
  <si>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</si>
  <si>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</si>
  <si>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</si>
  <si>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</si>
  <si>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</si>
  <si>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</si>
  <si>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</si>
  <si>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</si>
  <si>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</si>
  <si>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</si>
  <si>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</si>
  <si>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</si>
  <si>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</si>
  <si>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</si>
  <si>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</si>
  <si>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</si>
  <si>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</si>
  <si>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</si>
  <si>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</si>
  <si>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</si>
  <si>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</si>
  <si>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</si>
  <si>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</si>
  <si>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</si>
  <si>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</si>
  <si>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</si>
  <si>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</si>
  <si>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</si>
  <si>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</si>
  <si>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</si>
  <si>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</si>
  <si>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</si>
  <si>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</si>
  <si>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</si>
  <si>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</si>
  <si>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</si>
  <si>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</si>
  <si>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</si>
  <si>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</si>
  <si>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</si>
  <si>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</si>
  <si>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</si>
  <si>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</si>
  <si>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</si>
  <si>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</si>
  <si>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</si>
  <si>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</si>
  <si>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</si>
  <si>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</si>
  <si>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</si>
  <si>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</si>
  <si>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</si>
  <si>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</si>
  <si>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</si>
  <si>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</si>
  <si>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</si>
  <si>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</si>
  <si>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</si>
  <si>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</si>
  <si>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</si>
  <si>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</si>
  <si>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</si>
  <si>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</si>
  <si>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</si>
  <si>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</si>
  <si>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</si>
  <si>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</si>
  <si>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</si>
  <si>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</si>
  <si>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</si>
  <si>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</si>
  <si>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</si>
  <si>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</si>
  <si>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</si>
  <si>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</si>
  <si>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</si>
  <si>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</si>
  <si>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</si>
  <si>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</si>
  <si>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Escaudœuvres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</si>
  <si>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</si>
  <si>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</si>
  <si>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</si>
  <si>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</si>
  <si>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</si>
  <si>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</si>
  <si>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</si>
  <si>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</si>
  <si>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</si>
  <si>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</si>
  <si>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</si>
  <si>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</si>
  <si>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</si>
  <si>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</si>
  <si>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</si>
  <si>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</si>
  <si>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</si>
  <si>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</si>
  <si>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</si>
  <si>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</si>
  <si>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</si>
  <si>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</si>
  <si>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Étrœungt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</si>
  <si>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</si>
  <si>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</si>
  <si>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</si>
  <si>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</si>
  <si>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</si>
  <si>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</si>
  <si>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</si>
  <si>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</si>
  <si>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</si>
  <si>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Le Favril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</si>
  <si>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</si>
  <si>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</si>
  <si>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</si>
  <si>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</si>
  <si>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</si>
  <si>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</si>
  <si>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</si>
  <si>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</si>
  <si>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</si>
  <si>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</si>
  <si>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</si>
  <si>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</si>
  <si>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</si>
  <si>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</si>
  <si>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</si>
  <si>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</si>
  <si>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</si>
  <si>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</si>
  <si>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</si>
  <si>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</si>
  <si>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</si>
  <si>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</si>
  <si>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</si>
  <si>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</si>
  <si>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</si>
  <si>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</si>
  <si>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</si>
  <si>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</si>
  <si>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</si>
  <si>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</si>
  <si>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</si>
  <si>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</si>
  <si>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</si>
  <si>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</si>
  <si>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</si>
  <si>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</si>
  <si>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</si>
  <si>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</si>
  <si>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</si>
  <si>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</si>
  <si>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</si>
  <si>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</si>
  <si>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</si>
  <si>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</si>
  <si>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</si>
  <si>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</si>
  <si>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</si>
  <si>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</si>
  <si>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</si>
  <si>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</si>
  <si>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</si>
  <si>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</si>
  <si>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</si>
  <si>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</si>
  <si>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</si>
  <si>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</si>
  <si>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</si>
  <si>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</si>
  <si>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</si>
  <si>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</si>
  <si>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</si>
  <si>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</si>
  <si>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</si>
  <si>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</si>
  <si>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</si>
  <si>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</si>
  <si>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</si>
  <si>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</si>
  <si>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</si>
  <si>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</si>
  <si>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</si>
  <si>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Gœulzin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</si>
  <si>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</si>
  <si>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</si>
  <si>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</si>
  <si>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</si>
  <si>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</si>
  <si>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</si>
  <si>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</si>
  <si>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</si>
  <si>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</si>
  <si>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</si>
  <si>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</si>
  <si>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</si>
  <si>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</si>
  <si>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</si>
  <si>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</si>
  <si>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</si>
  <si>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</si>
  <si>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</si>
  <si>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</si>
  <si>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</si>
  <si>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</si>
  <si>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</si>
  <si>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</si>
  <si>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</si>
  <si>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</si>
  <si>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</si>
  <si>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</si>
  <si>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</si>
  <si>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</si>
  <si>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</si>
  <si>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</si>
  <si>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</si>
  <si>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</si>
  <si>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</si>
  <si>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</si>
  <si>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</si>
  <si>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</si>
  <si>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</si>
  <si>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</si>
  <si>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Hargnies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</si>
  <si>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</si>
  <si>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</si>
  <si>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</si>
  <si>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</si>
  <si>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</si>
  <si>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</si>
  <si>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</si>
  <si>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</si>
  <si>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</si>
  <si>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</si>
  <si>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</si>
  <si>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</si>
  <si>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</si>
  <si>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</si>
  <si>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</si>
  <si>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</si>
  <si>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</si>
  <si>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</si>
  <si>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</si>
  <si>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</si>
  <si>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</si>
  <si>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</si>
  <si>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</si>
  <si>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</si>
  <si>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</si>
  <si>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</si>
  <si>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</si>
  <si>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</si>
  <si>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</si>
  <si>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</si>
  <si>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</si>
  <si>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</si>
  <si>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</si>
  <si>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</si>
  <si>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</si>
  <si>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</si>
  <si>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</si>
  <si>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</si>
  <si>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</si>
  <si>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</si>
  <si>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</si>
  <si>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</si>
  <si>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</si>
  <si>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</si>
  <si>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</si>
  <si>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</si>
  <si>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</si>
  <si>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</si>
  <si>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</si>
  <si>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</si>
  <si>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</si>
  <si>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</si>
  <si>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</si>
  <si>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</si>
  <si>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</si>
  <si>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</si>
  <si>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</si>
  <si>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</si>
  <si>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</si>
  <si>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</si>
  <si>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</si>
  <si>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</si>
  <si>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</si>
  <si>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</si>
  <si>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</si>
  <si>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</si>
  <si>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</si>
  <si>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</si>
  <si>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</si>
  <si>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</si>
  <si>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</si>
  <si>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</si>
  <si>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</si>
  <si>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</si>
  <si>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</si>
  <si>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</si>
  <si>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</si>
  <si>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</si>
  <si>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</si>
  <si>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</si>
  <si>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</si>
  <si>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</si>
  <si>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</si>
  <si>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</si>
  <si>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</si>
  <si>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</si>
  <si>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</si>
  <si>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</si>
  <si>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</si>
  <si>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</si>
  <si>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</si>
  <si>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</si>
  <si>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</si>
  <si>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</si>
  <si>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</si>
  <si>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</si>
  <si>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</si>
  <si>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</si>
  <si>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</si>
  <si>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</si>
  <si>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</si>
  <si>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</si>
  <si>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</si>
  <si>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</si>
  <si>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</si>
  <si>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</si>
  <si>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</si>
  <si>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</si>
  <si>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</si>
  <si>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</si>
  <si>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</si>
  <si>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</si>
  <si>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</si>
  <si>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</si>
  <si>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</si>
  <si>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</si>
  <si>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</si>
  <si>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</si>
  <si>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</si>
  <si>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</si>
  <si>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</si>
  <si>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</si>
  <si>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</si>
  <si>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</si>
  <si>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</si>
  <si>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</si>
  <si>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</si>
  <si>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</si>
  <si>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</si>
  <si>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</si>
  <si>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</si>
  <si>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</si>
  <si>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</si>
  <si>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</si>
  <si>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</si>
  <si>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</si>
  <si>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</si>
  <si>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</si>
  <si>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</si>
  <si>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</si>
  <si>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</si>
  <si>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</si>
  <si>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</si>
  <si>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</si>
  <si>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</si>
  <si>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</si>
  <si>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</si>
  <si>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</si>
  <si>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</si>
  <si>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</si>
  <si>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</si>
  <si>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</si>
  <si>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</si>
  <si>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</si>
  <si>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</si>
  <si>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</si>
  <si>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</si>
  <si>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</si>
  <si>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</si>
  <si>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</si>
  <si>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</si>
  <si>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</si>
  <si>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</si>
  <si>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</si>
  <si>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</si>
  <si>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</si>
  <si>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</si>
  <si>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</si>
  <si>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</si>
  <si>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</si>
  <si>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</si>
  <si>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</si>
  <si>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</si>
  <si>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</si>
  <si>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</si>
  <si>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</si>
  <si>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</si>
  <si>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</si>
  <si>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</si>
  <si>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Marcq-en-Barœul</t>
  </si>
  <si>
    <t>59379</t>
  </si>
  <si>
    <t>Marcq-en-Ostrevent</t>
  </si>
  <si>
    <t>59381</t>
  </si>
  <si>
    <t>Maresches</t>
  </si>
  <si>
    <t>59382</t>
  </si>
  <si>
    <t>Maretz</t>
  </si>
  <si>
    <t>59383</t>
  </si>
  <si>
    <t>Marly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</si>
  <si>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</si>
  <si>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</si>
  <si>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</si>
  <si>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</si>
  <si>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</si>
  <si>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</si>
  <si>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</si>
  <si>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</si>
  <si>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</si>
  <si>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</si>
  <si>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</si>
  <si>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</si>
  <si>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</si>
  <si>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</si>
  <si>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</si>
  <si>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</si>
  <si>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</si>
  <si>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</si>
  <si>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</si>
  <si>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</si>
  <si>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</si>
  <si>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</si>
  <si>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</si>
  <si>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</si>
  <si>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</si>
  <si>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</si>
  <si>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</si>
  <si>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</si>
  <si>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</si>
  <si>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</si>
  <si>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</si>
  <si>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</si>
  <si>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</si>
  <si>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Merville</t>
  </si>
  <si>
    <t>59401</t>
  </si>
  <si>
    <t>Méteren</t>
  </si>
  <si>
    <t>59402</t>
  </si>
  <si>
    <t>Millam</t>
  </si>
  <si>
    <t>59403</t>
  </si>
  <si>
    <t>Millonfosse</t>
  </si>
  <si>
    <t>59405</t>
  </si>
  <si>
    <t>Mœuvres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</si>
  <si>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</si>
  <si>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</si>
  <si>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</si>
  <si>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</si>
  <si>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</si>
  <si>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</si>
  <si>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</si>
  <si>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</si>
  <si>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</si>
  <si>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Mons-en-Barœul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</si>
  <si>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</si>
  <si>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</si>
  <si>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</si>
  <si>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</si>
  <si>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</si>
  <si>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</si>
  <si>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</si>
  <si>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</si>
  <si>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</si>
  <si>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</si>
  <si>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</si>
  <si>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</si>
  <si>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</si>
  <si>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</si>
  <si>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</si>
  <si>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</si>
  <si>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</si>
  <si>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</si>
  <si>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</si>
  <si>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</si>
  <si>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</si>
  <si>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Naves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</si>
  <si>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</si>
  <si>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</si>
  <si>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</si>
  <si>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</si>
  <si>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</si>
  <si>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</si>
  <si>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</si>
  <si>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</si>
  <si>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</si>
  <si>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</si>
  <si>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</si>
  <si>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</si>
  <si>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</si>
  <si>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</si>
  <si>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</si>
  <si>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</si>
  <si>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</si>
  <si>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</si>
  <si>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</si>
  <si>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</si>
  <si>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</si>
  <si>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</si>
  <si>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</si>
  <si>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</si>
  <si>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</si>
  <si>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</si>
  <si>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</si>
  <si>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</si>
  <si>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</si>
  <si>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</si>
  <si>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</si>
  <si>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</si>
  <si>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</si>
  <si>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</si>
  <si>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</si>
  <si>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</si>
  <si>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</si>
  <si>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</si>
  <si>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</si>
  <si>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</si>
  <si>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</si>
  <si>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</si>
  <si>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</si>
  <si>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</si>
  <si>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</si>
  <si>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</si>
  <si>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</si>
  <si>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</si>
  <si>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</si>
  <si>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</si>
  <si>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</si>
  <si>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</si>
  <si>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</si>
  <si>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</si>
  <si>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</si>
  <si>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</si>
  <si>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</si>
  <si>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</si>
  <si>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</si>
  <si>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</si>
  <si>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</si>
  <si>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</si>
  <si>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</si>
  <si>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</si>
  <si>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</si>
  <si>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</si>
  <si>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</si>
  <si>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</si>
  <si>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</si>
  <si>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</si>
  <si>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</si>
  <si>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</si>
  <si>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</si>
  <si>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</si>
  <si>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</si>
  <si>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</si>
  <si>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</si>
  <si>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</si>
  <si>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</si>
  <si>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</si>
  <si>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</si>
  <si>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</si>
  <si>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</si>
  <si>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</si>
  <si>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</si>
  <si>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</si>
  <si>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</si>
  <si>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</si>
  <si>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</si>
  <si>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</si>
  <si>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Pradelles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</si>
  <si>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</si>
  <si>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</si>
  <si>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</si>
  <si>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</si>
  <si>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</si>
  <si>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</si>
  <si>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</si>
  <si>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</si>
  <si>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</si>
  <si>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</si>
  <si>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</si>
  <si>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</si>
  <si>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</si>
  <si>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</si>
  <si>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</si>
  <si>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</si>
  <si>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</si>
  <si>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</si>
  <si>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</si>
  <si>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</si>
  <si>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</si>
  <si>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</si>
  <si>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</si>
  <si>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</si>
  <si>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</si>
  <si>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</si>
  <si>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</si>
  <si>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</si>
  <si>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</si>
  <si>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</si>
  <si>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</si>
  <si>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</si>
  <si>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</si>
  <si>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</si>
  <si>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</si>
  <si>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</si>
  <si>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</si>
  <si>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</si>
  <si>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</si>
  <si>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</si>
  <si>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</si>
  <si>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</si>
  <si>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</si>
  <si>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</si>
  <si>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</si>
  <si>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</si>
  <si>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</si>
  <si>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</si>
  <si>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</si>
  <si>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</si>
  <si>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</si>
  <si>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</si>
  <si>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</si>
  <si>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</si>
  <si>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</si>
  <si>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</si>
  <si>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</si>
  <si>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</si>
  <si>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</si>
  <si>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</si>
  <si>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</si>
  <si>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</si>
  <si>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</si>
  <si>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</si>
  <si>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</si>
  <si>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</si>
  <si>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</si>
  <si>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</si>
  <si>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</si>
  <si>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Rœulx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</si>
  <si>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</si>
  <si>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</si>
  <si>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</si>
  <si>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</si>
  <si>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</si>
  <si>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</si>
  <si>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</si>
  <si>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</si>
  <si>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</si>
  <si>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</si>
  <si>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</si>
  <si>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</si>
  <si>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</si>
  <si>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</si>
  <si>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</si>
  <si>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</si>
  <si>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</si>
  <si>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</si>
  <si>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</si>
  <si>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</si>
  <si>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</si>
  <si>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</si>
  <si>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</si>
  <si>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</si>
  <si>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</si>
  <si>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</si>
  <si>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</si>
  <si>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</si>
  <si>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</si>
  <si>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</si>
  <si>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</si>
  <si>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</si>
  <si>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</si>
  <si>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</si>
  <si>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</si>
  <si>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</si>
  <si>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</si>
  <si>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</si>
  <si>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</si>
  <si>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</si>
  <si>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</si>
  <si>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</si>
  <si>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</si>
  <si>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</si>
  <si>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</si>
  <si>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</si>
  <si>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</si>
  <si>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</si>
  <si>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</si>
  <si>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</si>
  <si>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</si>
  <si>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</si>
  <si>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</si>
  <si>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</si>
  <si>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</si>
  <si>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</si>
  <si>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</si>
  <si>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</si>
  <si>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</si>
  <si>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</si>
  <si>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</si>
  <si>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</si>
  <si>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</si>
  <si>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</si>
  <si>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</si>
  <si>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</si>
  <si>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</si>
  <si>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</si>
  <si>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</si>
  <si>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</si>
  <si>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</si>
  <si>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</si>
  <si>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</si>
  <si>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</si>
  <si>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</si>
  <si>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</si>
  <si>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</si>
  <si>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</si>
  <si>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</si>
  <si>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</si>
  <si>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</si>
  <si>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</si>
  <si>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</si>
  <si>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</si>
  <si>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</si>
  <si>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</si>
  <si>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</si>
  <si>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</si>
  <si>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</si>
  <si>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</si>
  <si>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Sancourt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</si>
  <si>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</si>
  <si>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</si>
  <si>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</si>
  <si>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</si>
  <si>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</si>
  <si>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</si>
  <si>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</si>
  <si>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</si>
  <si>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</si>
  <si>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</si>
  <si>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</si>
  <si>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</si>
  <si>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</si>
  <si>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</si>
  <si>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</si>
  <si>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</si>
  <si>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</si>
  <si>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</si>
  <si>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</si>
  <si>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</si>
  <si>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</si>
  <si>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</si>
  <si>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</si>
  <si>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</si>
  <si>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</si>
  <si>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</si>
  <si>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</si>
  <si>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</si>
  <si>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</si>
  <si>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</si>
  <si>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</si>
  <si>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</si>
  <si>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</si>
  <si>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</si>
  <si>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</si>
  <si>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</si>
  <si>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</si>
  <si>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</si>
  <si>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</si>
  <si>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</si>
  <si>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</si>
  <si>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</si>
  <si>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</si>
  <si>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</si>
  <si>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</si>
  <si>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</si>
  <si>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</si>
  <si>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</si>
  <si>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</si>
  <si>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</si>
  <si>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</si>
  <si>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</si>
  <si>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</si>
  <si>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</si>
  <si>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</si>
  <si>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</si>
  <si>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</si>
  <si>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</si>
  <si>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</si>
  <si>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</si>
  <si>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</si>
  <si>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</si>
  <si>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</si>
  <si>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</si>
  <si>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</si>
  <si>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</si>
  <si>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</si>
  <si>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</si>
  <si>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</si>
  <si>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</si>
  <si>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</si>
  <si>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</si>
  <si>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</si>
  <si>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</si>
  <si>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</si>
  <si>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</si>
  <si>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</si>
  <si>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</si>
  <si>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</si>
  <si>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</si>
  <si>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</si>
  <si>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</si>
  <si>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</si>
  <si>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</si>
  <si>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</si>
  <si>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</si>
  <si>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</si>
  <si>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</si>
  <si>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</si>
  <si>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</si>
  <si>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</si>
  <si>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</si>
  <si>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</si>
  <si>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</si>
  <si>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</si>
  <si>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</si>
  <si>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</si>
  <si>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</si>
  <si>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</si>
  <si>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</si>
  <si>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</si>
  <si>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</si>
  <si>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</si>
  <si>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</si>
  <si>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</si>
  <si>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</si>
  <si>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</si>
  <si>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</si>
  <si>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</si>
  <si>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</si>
  <si>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</si>
  <si>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</si>
  <si>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</si>
  <si>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</si>
  <si>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</si>
  <si>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</si>
  <si>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</si>
  <si>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</si>
  <si>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</si>
  <si>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Vicq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</si>
  <si>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</si>
  <si>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</si>
  <si>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</si>
  <si>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</si>
  <si>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</si>
  <si>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</si>
  <si>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</si>
  <si>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</si>
  <si>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</si>
  <si>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</si>
  <si>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</si>
  <si>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Villereau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</si>
  <si>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</si>
  <si>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</si>
  <si>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</si>
  <si>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</si>
  <si>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</si>
  <si>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</si>
  <si>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</si>
  <si>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</si>
  <si>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</si>
  <si>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</si>
  <si>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</si>
  <si>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</si>
  <si>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</si>
  <si>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</si>
  <si>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</si>
  <si>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</si>
  <si>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</si>
  <si>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</si>
  <si>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</si>
  <si>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</si>
  <si>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</si>
  <si>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</si>
  <si>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</si>
  <si>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</si>
  <si>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</si>
  <si>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</si>
  <si>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</si>
  <si>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</si>
  <si>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</si>
  <si>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</si>
  <si>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</si>
  <si>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</si>
  <si>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</si>
  <si>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</si>
  <si>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</si>
  <si>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</si>
  <si>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</si>
  <si>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</si>
  <si>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</si>
  <si>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</si>
  <si>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</si>
  <si>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</si>
  <si>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</si>
  <si>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</si>
  <si>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</si>
  <si>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</si>
  <si>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</si>
  <si>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</si>
  <si>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</si>
  <si>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</si>
  <si>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</si>
  <si>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</si>
  <si>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</si>
  <si>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</si>
  <si>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</si>
  <si>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</si>
  <si>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</si>
  <si>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</si>
  <si>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</si>
  <si>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</si>
  <si>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</si>
  <si>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</si>
  <si>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</si>
  <si>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</si>
  <si>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</si>
  <si>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</si>
  <si>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</si>
  <si>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</si>
  <si>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</si>
  <si>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</si>
  <si>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</si>
  <si>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</si>
  <si>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</si>
  <si>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</si>
  <si>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</si>
  <si>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</si>
  <si>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</si>
  <si>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</si>
  <si>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</si>
  <si>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</si>
  <si>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</si>
  <si>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</si>
  <si>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</si>
  <si>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</si>
  <si>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</si>
  <si>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</si>
  <si>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</si>
  <si>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</si>
  <si>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</si>
  <si>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</si>
  <si>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</si>
  <si>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</si>
  <si>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</si>
  <si>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</si>
  <si>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</si>
  <si>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</si>
  <si>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</si>
  <si>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</si>
  <si>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</si>
  <si>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</si>
  <si>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</si>
  <si>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</si>
  <si>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</si>
  <si>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</si>
  <si>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</si>
  <si>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</si>
  <si>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</si>
  <si>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</si>
  <si>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</si>
  <si>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</si>
  <si>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</si>
  <si>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</si>
  <si>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</si>
  <si>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</si>
  <si>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</si>
  <si>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</si>
  <si>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</si>
  <si>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</si>
  <si>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</si>
  <si>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</si>
  <si>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</si>
  <si>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</si>
  <si>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</si>
  <si>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</si>
  <si>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</si>
  <si>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</si>
  <si>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</si>
  <si>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</si>
  <si>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</si>
  <si>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</si>
  <si>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</si>
  <si>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</si>
  <si>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</si>
  <si>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</si>
  <si>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Antilly</t>
  </si>
  <si>
    <t>60021</t>
  </si>
  <si>
    <t>Appilly</t>
  </si>
  <si>
    <t>60022</t>
  </si>
  <si>
    <t>Apremont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</si>
  <si>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</si>
  <si>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</si>
  <si>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</si>
  <si>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</si>
  <si>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</si>
  <si>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</si>
  <si>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</si>
  <si>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</si>
  <si>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</si>
  <si>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</si>
  <si>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</si>
  <si>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</si>
  <si>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</si>
  <si>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</si>
  <si>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</si>
  <si>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</si>
  <si>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</si>
  <si>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</si>
  <si>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</si>
  <si>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</si>
  <si>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</si>
  <si>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</si>
  <si>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</si>
  <si>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</si>
  <si>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</si>
  <si>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Avricourt</t>
  </si>
  <si>
    <t>60036</t>
  </si>
  <si>
    <t>Avrigny</t>
  </si>
  <si>
    <t>60037</t>
  </si>
  <si>
    <t>Babœuf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</si>
  <si>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</si>
  <si>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</si>
  <si>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</si>
  <si>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</si>
  <si>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</si>
  <si>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</si>
  <si>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</si>
  <si>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</si>
  <si>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</si>
  <si>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</si>
  <si>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</si>
  <si>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</si>
  <si>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</si>
  <si>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Barbery</t>
  </si>
  <si>
    <t>60046</t>
  </si>
  <si>
    <t>Bargny</t>
  </si>
  <si>
    <t>60047</t>
  </si>
  <si>
    <t>Baron</t>
  </si>
  <si>
    <t>60048</t>
  </si>
  <si>
    <t>Baugy</t>
  </si>
  <si>
    <t>60049</t>
  </si>
  <si>
    <t>Bazancourt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</si>
  <si>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</si>
  <si>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</si>
  <si>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</si>
  <si>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</si>
  <si>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</si>
  <si>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</si>
  <si>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</si>
  <si>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</si>
  <si>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</si>
  <si>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Beaumont-les-Nonains</t>
  </si>
  <si>
    <t>60055</t>
  </si>
  <si>
    <t>Beaurains-lès-Noyon</t>
  </si>
  <si>
    <t>60056</t>
  </si>
  <si>
    <t>Beaurepaire</t>
  </si>
  <si>
    <t>60057</t>
  </si>
  <si>
    <t>Beauvais</t>
  </si>
  <si>
    <t>60058</t>
  </si>
  <si>
    <t>Beauvoir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</si>
  <si>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</si>
  <si>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</si>
  <si>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</si>
  <si>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</si>
  <si>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</si>
  <si>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</si>
  <si>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</si>
  <si>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</si>
  <si>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</si>
  <si>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</si>
  <si>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</si>
  <si>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</si>
  <si>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</si>
  <si>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</si>
  <si>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</si>
  <si>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</si>
  <si>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</si>
  <si>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</si>
  <si>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</si>
  <si>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</si>
  <si>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</si>
  <si>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</si>
  <si>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</si>
  <si>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</si>
  <si>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</si>
  <si>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</si>
  <si>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Bitry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</si>
  <si>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</si>
  <si>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</si>
  <si>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</si>
  <si>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</si>
  <si>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</si>
  <si>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</si>
  <si>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</si>
  <si>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</si>
  <si>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</si>
  <si>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</si>
  <si>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</si>
  <si>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</si>
  <si>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</si>
  <si>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</si>
  <si>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</si>
  <si>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</si>
  <si>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</si>
  <si>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</si>
  <si>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</si>
  <si>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</si>
  <si>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</si>
  <si>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</si>
  <si>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</si>
  <si>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</si>
  <si>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</si>
  <si>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</si>
  <si>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</si>
  <si>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</si>
  <si>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</si>
  <si>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</si>
  <si>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</si>
  <si>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</si>
  <si>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</si>
  <si>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</si>
  <si>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</si>
  <si>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</si>
  <si>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</si>
  <si>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</si>
  <si>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</si>
  <si>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</si>
  <si>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</si>
  <si>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</si>
  <si>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</si>
  <si>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</si>
  <si>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</si>
  <si>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</si>
  <si>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</si>
  <si>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</si>
  <si>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</si>
  <si>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</si>
  <si>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</si>
  <si>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</si>
  <si>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</si>
  <si>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</si>
  <si>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</si>
  <si>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</si>
  <si>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</si>
  <si>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</si>
  <si>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</si>
  <si>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Breteuil</t>
  </si>
  <si>
    <t>60105</t>
  </si>
  <si>
    <t>Brétigny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</si>
  <si>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</si>
  <si>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</si>
  <si>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</si>
  <si>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</si>
  <si>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</si>
  <si>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</si>
  <si>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</si>
  <si>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</si>
  <si>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</si>
  <si>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</si>
  <si>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</si>
  <si>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Broyes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</si>
  <si>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</si>
  <si>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</si>
  <si>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</si>
  <si>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</si>
  <si>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</si>
  <si>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</si>
  <si>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</si>
  <si>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</si>
  <si>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</si>
  <si>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</si>
  <si>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</si>
  <si>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Bussy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</si>
  <si>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</si>
  <si>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</si>
  <si>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</si>
  <si>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</si>
  <si>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</si>
  <si>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</si>
  <si>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</si>
  <si>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Campagne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</si>
  <si>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</si>
  <si>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</si>
  <si>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</si>
  <si>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</si>
  <si>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</si>
  <si>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</si>
  <si>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</si>
  <si>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</si>
  <si>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</si>
  <si>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</si>
  <si>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</si>
  <si>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</si>
  <si>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</si>
  <si>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</si>
  <si>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</si>
  <si>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</si>
  <si>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</si>
  <si>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</si>
  <si>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</si>
  <si>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</si>
  <si>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</si>
  <si>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</si>
  <si>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</si>
  <si>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</si>
  <si>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</si>
  <si>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</si>
  <si>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</si>
  <si>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</si>
  <si>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</si>
  <si>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</si>
  <si>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</si>
  <si>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</si>
  <si>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</si>
  <si>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</si>
  <si>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</si>
  <si>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</si>
  <si>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</si>
  <si>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</si>
  <si>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</si>
  <si>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</si>
  <si>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</si>
  <si>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</si>
  <si>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</si>
  <si>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</si>
  <si>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</si>
  <si>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</si>
  <si>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</si>
  <si>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</si>
  <si>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</si>
  <si>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</si>
  <si>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</si>
  <si>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</si>
  <si>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</si>
  <si>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</si>
  <si>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</si>
  <si>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Chevrières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</si>
  <si>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</si>
  <si>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</si>
  <si>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</si>
  <si>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</si>
  <si>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</si>
  <si>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</si>
  <si>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</si>
  <si>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</si>
  <si>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</si>
  <si>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</si>
  <si>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</si>
  <si>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</si>
  <si>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</si>
  <si>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</si>
  <si>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</si>
  <si>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Clermont</t>
  </si>
  <si>
    <t>60158</t>
  </si>
  <si>
    <t>Coivrel</t>
  </si>
  <si>
    <t>60159</t>
  </si>
  <si>
    <t>Compiègne</t>
  </si>
  <si>
    <t>60160</t>
  </si>
  <si>
    <t>Conchy-les-Pots</t>
  </si>
  <si>
    <t>60161</t>
  </si>
  <si>
    <t>Conteville</t>
  </si>
  <si>
    <t>60162</t>
  </si>
  <si>
    <t>Corbeil-Cerf</t>
  </si>
  <si>
    <t>60163</t>
  </si>
  <si>
    <t>Cormeilles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</si>
  <si>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</si>
  <si>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</si>
  <si>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</si>
  <si>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</si>
  <si>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</si>
  <si>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</si>
  <si>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</si>
  <si>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</si>
  <si>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</si>
  <si>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</si>
  <si>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</si>
  <si>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</si>
  <si>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</si>
  <si>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</si>
  <si>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</si>
  <si>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</si>
  <si>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</si>
  <si>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</si>
  <si>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</si>
  <si>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</si>
  <si>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</si>
  <si>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</si>
  <si>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</si>
  <si>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</si>
  <si>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</si>
  <si>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</si>
  <si>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</si>
  <si>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</si>
  <si>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</si>
  <si>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Crèvecœur-le-Grand</t>
  </si>
  <si>
    <t>60179</t>
  </si>
  <si>
    <t>Crèvecœur-le-Petit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</si>
  <si>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</si>
  <si>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</si>
  <si>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</si>
  <si>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</si>
  <si>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</si>
  <si>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</si>
  <si>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</si>
  <si>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</si>
  <si>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</si>
  <si>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</si>
  <si>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</si>
  <si>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</si>
  <si>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</si>
  <si>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</si>
  <si>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</si>
  <si>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</si>
  <si>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</si>
  <si>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</si>
  <si>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</si>
  <si>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</si>
  <si>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</si>
  <si>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</si>
  <si>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</si>
  <si>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</si>
  <si>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</si>
  <si>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</si>
  <si>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</si>
  <si>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</si>
  <si>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</si>
  <si>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</si>
  <si>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</si>
  <si>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</si>
  <si>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</si>
  <si>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</si>
  <si>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</si>
  <si>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</si>
  <si>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</si>
  <si>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</si>
  <si>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</si>
  <si>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</si>
  <si>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</si>
  <si>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</si>
  <si>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</si>
  <si>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</si>
  <si>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</si>
  <si>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</si>
  <si>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</si>
  <si>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</si>
  <si>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</si>
  <si>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</si>
  <si>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</si>
  <si>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</si>
  <si>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</si>
  <si>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</si>
  <si>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</si>
  <si>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</si>
  <si>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</si>
  <si>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</si>
  <si>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</si>
  <si>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</si>
  <si>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</si>
  <si>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</si>
  <si>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</si>
  <si>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</si>
  <si>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</si>
  <si>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</si>
  <si>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</si>
  <si>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</si>
  <si>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</si>
  <si>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</si>
  <si>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</si>
  <si>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</si>
  <si>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</si>
  <si>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</si>
  <si>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</si>
  <si>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</si>
  <si>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</si>
  <si>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</si>
  <si>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</si>
  <si>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</si>
  <si>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</si>
  <si>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</si>
  <si>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</si>
  <si>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</si>
  <si>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</si>
  <si>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</si>
  <si>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</si>
  <si>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</si>
  <si>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</si>
  <si>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</si>
  <si>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</si>
  <si>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</si>
  <si>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</si>
  <si>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</si>
  <si>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</si>
  <si>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</si>
  <si>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</si>
  <si>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</si>
  <si>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</si>
  <si>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</si>
  <si>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</si>
  <si>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</si>
  <si>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</si>
  <si>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Ferrières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</si>
  <si>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</si>
  <si>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</si>
  <si>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</si>
  <si>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</si>
  <si>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</si>
  <si>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</si>
  <si>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</si>
  <si>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</si>
  <si>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</si>
  <si>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</si>
  <si>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</si>
  <si>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</si>
  <si>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</si>
  <si>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</si>
  <si>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</si>
  <si>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</si>
  <si>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</si>
  <si>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</si>
  <si>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</si>
  <si>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</si>
  <si>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</si>
  <si>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</si>
  <si>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</si>
  <si>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</si>
  <si>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</si>
  <si>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</si>
  <si>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</si>
  <si>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</si>
  <si>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</si>
  <si>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</si>
  <si>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</si>
  <si>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</si>
  <si>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</si>
  <si>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</si>
  <si>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</si>
  <si>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</si>
  <si>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</si>
  <si>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</si>
  <si>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</si>
  <si>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</si>
  <si>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</si>
  <si>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</si>
  <si>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</si>
  <si>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</si>
  <si>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</si>
  <si>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</si>
  <si>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</si>
  <si>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</si>
  <si>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</si>
  <si>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</si>
  <si>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</si>
  <si>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</si>
  <si>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</si>
  <si>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</si>
  <si>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</si>
  <si>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</si>
  <si>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</si>
  <si>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</si>
  <si>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</si>
  <si>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</si>
  <si>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</si>
  <si>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</si>
  <si>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</si>
  <si>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</si>
  <si>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</si>
  <si>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</si>
  <si>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</si>
  <si>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</si>
  <si>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</si>
  <si>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</si>
  <si>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</si>
  <si>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</si>
  <si>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</si>
  <si>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</si>
  <si>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</si>
  <si>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</si>
  <si>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Giraumont</t>
  </si>
  <si>
    <t>60274</t>
  </si>
  <si>
    <t>Glaignes</t>
  </si>
  <si>
    <t>60275</t>
  </si>
  <si>
    <t>Glatigny</t>
  </si>
  <si>
    <t>60276</t>
  </si>
  <si>
    <t>Godenvillers</t>
  </si>
  <si>
    <t>60277</t>
  </si>
  <si>
    <t>Goincourt</t>
  </si>
  <si>
    <t>60278</t>
  </si>
  <si>
    <t>Golancourt</t>
  </si>
  <si>
    <t>60279</t>
  </si>
  <si>
    <t>Gondreville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</si>
  <si>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</si>
  <si>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</si>
  <si>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</si>
  <si>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</si>
  <si>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</si>
  <si>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</si>
  <si>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</si>
  <si>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</si>
  <si>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</si>
  <si>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</si>
  <si>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</si>
  <si>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</si>
  <si>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</si>
  <si>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</si>
  <si>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</si>
  <si>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</si>
  <si>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</si>
  <si>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</si>
  <si>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</si>
  <si>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</si>
  <si>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</si>
  <si>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</si>
  <si>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</si>
  <si>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</si>
  <si>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</si>
  <si>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</si>
  <si>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</si>
  <si>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</si>
  <si>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</si>
  <si>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</si>
  <si>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</si>
  <si>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</si>
  <si>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</si>
  <si>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</si>
  <si>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</si>
  <si>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</si>
  <si>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</si>
  <si>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</si>
  <si>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</si>
  <si>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</si>
  <si>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</si>
  <si>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</si>
  <si>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</si>
  <si>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</si>
  <si>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</si>
  <si>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</si>
  <si>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</si>
  <si>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</si>
  <si>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</si>
  <si>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</si>
  <si>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</si>
  <si>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Hécourt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</si>
  <si>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</si>
  <si>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</si>
  <si>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</si>
  <si>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</si>
  <si>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</si>
  <si>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</si>
  <si>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</si>
  <si>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</si>
  <si>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</si>
  <si>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</si>
  <si>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</si>
  <si>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</si>
  <si>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</si>
  <si>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</si>
  <si>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</si>
  <si>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</si>
  <si>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</si>
  <si>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</si>
  <si>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</si>
  <si>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</si>
  <si>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</si>
  <si>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</si>
  <si>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</si>
  <si>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</si>
  <si>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</si>
  <si>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</si>
  <si>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</si>
  <si>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</si>
  <si>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</si>
  <si>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</si>
  <si>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</si>
  <si>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</si>
  <si>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</si>
  <si>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Janville</t>
  </si>
  <si>
    <t>60324</t>
  </si>
  <si>
    <t>Jaulzy</t>
  </si>
  <si>
    <t>60325</t>
  </si>
  <si>
    <t>Jaux</t>
  </si>
  <si>
    <t>60326</t>
  </si>
  <si>
    <t>Jonquières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</si>
  <si>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</si>
  <si>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</si>
  <si>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</si>
  <si>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</si>
  <si>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</si>
  <si>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</si>
  <si>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</si>
  <si>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</si>
  <si>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</si>
  <si>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</si>
  <si>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</si>
  <si>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Labruyère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</si>
  <si>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</si>
  <si>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</si>
  <si>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</si>
  <si>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</si>
  <si>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</si>
  <si>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</si>
  <si>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</si>
  <si>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</si>
  <si>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</si>
  <si>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</si>
  <si>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</si>
  <si>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</si>
  <si>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</si>
  <si>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</si>
  <si>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</si>
  <si>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</si>
  <si>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</si>
  <si>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</si>
  <si>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</si>
  <si>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</si>
  <si>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</si>
  <si>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</si>
  <si>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</si>
  <si>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</si>
  <si>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</si>
  <si>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</si>
  <si>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</si>
  <si>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</si>
  <si>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</si>
  <si>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</si>
  <si>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</si>
  <si>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</si>
  <si>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</si>
  <si>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</si>
  <si>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</si>
  <si>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</si>
  <si>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</si>
  <si>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</si>
  <si>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</si>
  <si>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</si>
  <si>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</si>
  <si>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</si>
  <si>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</si>
  <si>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</si>
  <si>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</si>
  <si>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</si>
  <si>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</si>
  <si>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</si>
  <si>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</si>
  <si>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</si>
  <si>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</si>
  <si>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</si>
  <si>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</si>
  <si>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</si>
  <si>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</si>
  <si>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</si>
  <si>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</si>
  <si>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</si>
  <si>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</si>
  <si>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</si>
  <si>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</si>
  <si>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</si>
  <si>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</si>
  <si>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</si>
  <si>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</si>
  <si>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</si>
  <si>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</si>
  <si>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</si>
  <si>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</si>
  <si>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</si>
  <si>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</si>
  <si>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</si>
  <si>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</si>
  <si>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</si>
  <si>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</si>
  <si>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</si>
  <si>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</si>
  <si>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</si>
  <si>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</si>
  <si>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</si>
  <si>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</si>
  <si>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</si>
  <si>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</si>
  <si>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</si>
  <si>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</si>
  <si>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</si>
  <si>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</si>
  <si>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</si>
  <si>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</si>
  <si>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</si>
  <si>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</si>
  <si>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</si>
  <si>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</si>
  <si>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</si>
  <si>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</si>
  <si>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</si>
  <si>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</si>
  <si>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</si>
  <si>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</si>
  <si>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</si>
  <si>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</si>
  <si>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Marolles</t>
  </si>
  <si>
    <t>60386</t>
  </si>
  <si>
    <t>Marquéglise</t>
  </si>
  <si>
    <t>60387</t>
  </si>
  <si>
    <t>Marseille-en-Beauvaisis</t>
  </si>
  <si>
    <t>60388</t>
  </si>
  <si>
    <t>Martincourt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</si>
  <si>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</si>
  <si>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</si>
  <si>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</si>
  <si>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</si>
  <si>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</si>
  <si>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</si>
  <si>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</si>
  <si>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</si>
  <si>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</si>
  <si>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</si>
  <si>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</si>
  <si>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</si>
  <si>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</si>
  <si>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</si>
  <si>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</si>
  <si>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</si>
  <si>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</si>
  <si>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</si>
  <si>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</si>
  <si>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</si>
  <si>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</si>
  <si>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</si>
  <si>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</si>
  <si>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</si>
  <si>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</si>
  <si>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</si>
  <si>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</si>
  <si>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</si>
  <si>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</si>
  <si>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</si>
  <si>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</si>
  <si>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</si>
  <si>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</si>
  <si>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</si>
  <si>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</si>
  <si>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</si>
  <si>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</si>
  <si>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</si>
  <si>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</si>
  <si>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</si>
  <si>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</si>
  <si>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</si>
  <si>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</si>
  <si>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</si>
  <si>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</si>
  <si>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</si>
  <si>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</si>
  <si>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</si>
  <si>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</si>
  <si>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</si>
  <si>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</si>
  <si>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</si>
  <si>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</si>
  <si>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</si>
  <si>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</si>
  <si>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</si>
  <si>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</si>
  <si>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</si>
  <si>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</si>
  <si>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</si>
  <si>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</si>
  <si>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</si>
  <si>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</si>
  <si>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</si>
  <si>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</si>
  <si>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</si>
  <si>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</si>
  <si>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</si>
  <si>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</si>
  <si>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</si>
  <si>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</si>
  <si>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</si>
  <si>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</si>
  <si>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Monts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</si>
  <si>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</si>
  <si>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</si>
  <si>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</si>
  <si>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</si>
  <si>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</si>
  <si>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</si>
  <si>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</si>
  <si>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</si>
  <si>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</si>
  <si>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</si>
  <si>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</si>
  <si>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</si>
  <si>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</si>
  <si>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</si>
  <si>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</si>
  <si>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</si>
  <si>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</si>
  <si>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</si>
  <si>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</si>
  <si>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</si>
  <si>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</si>
  <si>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</si>
  <si>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</si>
  <si>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</si>
  <si>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</si>
  <si>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</si>
  <si>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</si>
  <si>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</si>
  <si>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</si>
  <si>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</si>
  <si>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</si>
  <si>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</si>
  <si>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</si>
  <si>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</si>
  <si>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</si>
  <si>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</si>
  <si>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</si>
  <si>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</si>
  <si>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</si>
  <si>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</si>
  <si>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</si>
  <si>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</si>
  <si>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</si>
  <si>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</si>
  <si>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</si>
  <si>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</si>
  <si>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</si>
  <si>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</si>
  <si>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</si>
  <si>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</si>
  <si>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</si>
  <si>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</si>
  <si>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</si>
  <si>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</si>
  <si>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</si>
  <si>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</si>
  <si>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</si>
  <si>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</si>
  <si>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</si>
  <si>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</si>
  <si>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</si>
  <si>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</si>
  <si>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</si>
  <si>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</si>
  <si>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Noailles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</si>
  <si>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</si>
  <si>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</si>
  <si>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</si>
  <si>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</si>
  <si>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</si>
  <si>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</si>
  <si>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</si>
  <si>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</si>
  <si>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</si>
  <si>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</si>
  <si>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</si>
  <si>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</si>
  <si>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</si>
  <si>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</si>
  <si>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</si>
  <si>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</si>
  <si>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</si>
  <si>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</si>
  <si>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</si>
  <si>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</si>
  <si>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</si>
  <si>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</si>
  <si>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</si>
  <si>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</si>
  <si>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</si>
  <si>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</si>
  <si>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</si>
  <si>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</si>
  <si>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</si>
  <si>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</si>
  <si>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</si>
  <si>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</si>
  <si>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</si>
  <si>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</si>
  <si>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</si>
  <si>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</si>
  <si>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</si>
  <si>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</si>
  <si>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</si>
  <si>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</si>
  <si>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</si>
  <si>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</si>
  <si>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</si>
  <si>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</si>
  <si>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</si>
  <si>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</si>
  <si>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</si>
  <si>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</si>
  <si>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</si>
  <si>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</si>
  <si>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</si>
  <si>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</si>
  <si>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</si>
  <si>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</si>
  <si>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</si>
  <si>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</si>
  <si>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</si>
  <si>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</si>
  <si>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</si>
  <si>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</si>
  <si>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</si>
  <si>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</si>
  <si>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Plainville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</si>
  <si>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</si>
  <si>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</si>
  <si>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</si>
  <si>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</si>
  <si>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</si>
  <si>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</si>
  <si>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</si>
  <si>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</si>
  <si>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</si>
  <si>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</si>
  <si>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</si>
  <si>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</si>
  <si>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</si>
  <si>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</si>
  <si>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</si>
  <si>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</si>
  <si>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</si>
  <si>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</si>
  <si>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</si>
  <si>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Pont-l'Évêque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</si>
  <si>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</si>
  <si>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</si>
  <si>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</si>
  <si>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</si>
  <si>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</si>
  <si>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</si>
  <si>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</si>
  <si>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</si>
  <si>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</si>
  <si>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</si>
  <si>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</si>
  <si>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Pouilly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</si>
  <si>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</si>
  <si>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</si>
  <si>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</si>
  <si>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</si>
  <si>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</si>
  <si>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</si>
  <si>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</si>
  <si>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</si>
  <si>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</si>
  <si>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</si>
  <si>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</si>
  <si>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</si>
  <si>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</si>
  <si>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</si>
  <si>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</si>
  <si>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</si>
  <si>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</si>
  <si>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</si>
  <si>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</si>
  <si>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</si>
  <si>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</si>
  <si>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</si>
  <si>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</si>
  <si>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</si>
  <si>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</si>
  <si>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</si>
  <si>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</si>
  <si>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</si>
  <si>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</si>
  <si>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</si>
  <si>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</si>
  <si>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</si>
  <si>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</si>
  <si>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</si>
  <si>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</si>
  <si>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</si>
  <si>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</si>
  <si>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</si>
  <si>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</si>
  <si>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</si>
  <si>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</si>
  <si>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</si>
  <si>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</si>
  <si>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</si>
  <si>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</si>
  <si>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</si>
  <si>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</si>
  <si>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</si>
  <si>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</si>
  <si>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</si>
  <si>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</si>
  <si>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Rieux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</si>
  <si>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</si>
  <si>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</si>
  <si>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</si>
  <si>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</si>
  <si>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</si>
  <si>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</si>
  <si>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</si>
  <si>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</si>
  <si>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</si>
  <si>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</si>
  <si>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</si>
  <si>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</si>
  <si>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</si>
  <si>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Rosières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</si>
  <si>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</si>
  <si>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</si>
  <si>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</si>
  <si>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</si>
  <si>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</si>
  <si>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</si>
  <si>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</si>
  <si>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</si>
  <si>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</si>
  <si>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</si>
  <si>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</si>
  <si>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</si>
  <si>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</si>
  <si>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</si>
  <si>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</si>
  <si>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</si>
  <si>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</si>
  <si>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</si>
  <si>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</si>
  <si>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</si>
  <si>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</si>
  <si>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</si>
  <si>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</si>
  <si>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</si>
  <si>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</si>
  <si>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</si>
  <si>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</si>
  <si>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</si>
  <si>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</si>
  <si>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</si>
  <si>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</si>
  <si>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</si>
  <si>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</si>
  <si>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</si>
  <si>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</si>
  <si>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</si>
  <si>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</si>
  <si>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</si>
  <si>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</si>
  <si>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Saint-Arnoult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</si>
  <si>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</si>
  <si>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</si>
  <si>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</si>
  <si>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</si>
  <si>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</si>
  <si>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</si>
  <si>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</si>
  <si>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</si>
  <si>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</si>
  <si>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</si>
  <si>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</si>
  <si>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</si>
  <si>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</si>
  <si>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</si>
  <si>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</si>
  <si>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Saint-Félix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</si>
  <si>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</si>
  <si>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</si>
  <si>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</si>
  <si>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</si>
  <si>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</si>
  <si>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</si>
  <si>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</si>
  <si>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</si>
  <si>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Saint-Jean-aux-Bois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</si>
  <si>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</si>
  <si>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</si>
  <si>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</si>
  <si>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</si>
  <si>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</si>
  <si>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</si>
  <si>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</si>
  <si>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</si>
  <si>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</si>
  <si>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</si>
  <si>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</si>
  <si>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Saint-Martin-le-Nœud</t>
  </si>
  <si>
    <t>60587</t>
  </si>
  <si>
    <t>Saint-Martin-Longueau</t>
  </si>
  <si>
    <t>60588</t>
  </si>
  <si>
    <t>Saint-Maur</t>
  </si>
  <si>
    <t>60589</t>
  </si>
  <si>
    <t>Saint-Maximin</t>
  </si>
  <si>
    <t>60590</t>
  </si>
  <si>
    <t>Saint-Omer-en-Chaussée</t>
  </si>
  <si>
    <t>60591</t>
  </si>
  <si>
    <t>Saint-Paul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</si>
  <si>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</si>
  <si>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</si>
  <si>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</si>
  <si>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</si>
  <si>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</si>
  <si>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</si>
  <si>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</si>
  <si>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</si>
  <si>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</si>
  <si>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</si>
  <si>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</si>
  <si>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Saint-Sauveur</t>
  </si>
  <si>
    <t>60598</t>
  </si>
  <si>
    <t>Saint-Sulpice</t>
  </si>
  <si>
    <t>60599</t>
  </si>
  <si>
    <t>Saint-Thibault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</si>
  <si>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</si>
  <si>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</si>
  <si>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</si>
  <si>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</si>
  <si>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</si>
  <si>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</si>
  <si>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</si>
  <si>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</si>
  <si>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</si>
  <si>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</si>
  <si>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</si>
  <si>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</si>
  <si>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</si>
  <si>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</si>
  <si>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</si>
  <si>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</si>
  <si>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</si>
  <si>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</si>
  <si>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</si>
  <si>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Senantes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</si>
  <si>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</si>
  <si>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</si>
  <si>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</si>
  <si>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</si>
  <si>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</si>
  <si>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</si>
  <si>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</si>
  <si>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</si>
  <si>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</si>
  <si>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</si>
  <si>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</si>
  <si>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</si>
  <si>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</si>
  <si>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</si>
  <si>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</si>
  <si>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</si>
  <si>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</si>
  <si>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</si>
  <si>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</si>
  <si>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</si>
  <si>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</si>
  <si>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</si>
  <si>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</si>
  <si>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</si>
  <si>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</si>
  <si>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Sully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</si>
  <si>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</si>
  <si>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</si>
  <si>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</si>
  <si>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</si>
  <si>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</si>
  <si>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</si>
  <si>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</si>
  <si>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</si>
  <si>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</si>
  <si>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</si>
  <si>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</si>
  <si>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</si>
  <si>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</si>
  <si>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</si>
  <si>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</si>
  <si>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</si>
  <si>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</si>
  <si>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</si>
  <si>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</si>
  <si>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</si>
  <si>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</si>
  <si>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</si>
  <si>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</si>
  <si>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</si>
  <si>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</si>
  <si>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</si>
  <si>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</si>
  <si>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</si>
  <si>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</si>
  <si>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</si>
  <si>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</si>
  <si>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</si>
  <si>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</si>
  <si>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</si>
  <si>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</si>
  <si>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</si>
  <si>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</si>
  <si>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</si>
  <si>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</si>
  <si>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</si>
  <si>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</si>
  <si>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</si>
  <si>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</si>
  <si>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</si>
  <si>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</si>
  <si>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</si>
  <si>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</si>
  <si>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</si>
  <si>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</si>
  <si>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</si>
  <si>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</si>
  <si>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</si>
  <si>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</si>
  <si>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</si>
  <si>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</si>
  <si>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</si>
  <si>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</si>
  <si>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</si>
  <si>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</si>
  <si>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</si>
  <si>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</si>
  <si>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</si>
  <si>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</si>
  <si>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</si>
  <si>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</si>
  <si>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Vauciennes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</si>
  <si>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</si>
  <si>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</si>
  <si>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</si>
  <si>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</si>
  <si>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</si>
  <si>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</si>
  <si>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</si>
  <si>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</si>
  <si>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</si>
  <si>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</si>
  <si>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</si>
  <si>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</si>
  <si>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</si>
  <si>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</si>
  <si>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</si>
  <si>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</si>
  <si>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</si>
  <si>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</si>
  <si>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</si>
  <si>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</si>
  <si>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</si>
  <si>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</si>
  <si>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</si>
  <si>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</si>
  <si>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</si>
  <si>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</si>
  <si>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</si>
  <si>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</si>
  <si>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</si>
  <si>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</si>
  <si>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</si>
  <si>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</si>
  <si>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</si>
  <si>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</si>
  <si>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</si>
  <si>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</si>
  <si>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</si>
  <si>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</si>
  <si>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</si>
  <si>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</si>
  <si>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</si>
  <si>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</si>
  <si>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</si>
  <si>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</si>
  <si>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</si>
  <si>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</si>
  <si>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</si>
  <si>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</si>
  <si>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</si>
  <si>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</si>
  <si>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</si>
  <si>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</si>
  <si>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</si>
  <si>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</si>
  <si>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</si>
  <si>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</si>
  <si>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</si>
  <si>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</si>
  <si>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</si>
  <si>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</si>
  <si>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</si>
  <si>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</si>
  <si>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</si>
  <si>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</si>
  <si>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</si>
  <si>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</si>
  <si>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</si>
  <si>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60694</t>
  </si>
  <si>
    <t>Les Hauts-Talican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</si>
  <si>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</si>
  <si>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</si>
  <si>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</si>
  <si>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</si>
  <si>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</si>
  <si>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</si>
  <si>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</si>
  <si>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</si>
  <si>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</si>
  <si>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</si>
  <si>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</si>
  <si>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</si>
  <si>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</si>
  <si>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</si>
  <si>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</si>
  <si>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</si>
  <si>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62001</t>
  </si>
  <si>
    <t>Ablain-Saint-Nazaire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</si>
  <si>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</si>
  <si>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</si>
  <si>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</si>
  <si>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</si>
  <si>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</si>
  <si>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</si>
  <si>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</si>
  <si>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</si>
  <si>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</si>
  <si>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</si>
  <si>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</si>
  <si>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</si>
  <si>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</si>
  <si>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</si>
  <si>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</si>
  <si>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</si>
  <si>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</si>
  <si>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</si>
  <si>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</si>
  <si>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</si>
  <si>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</si>
  <si>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</si>
  <si>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</si>
  <si>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</si>
  <si>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</si>
  <si>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</si>
  <si>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</si>
  <si>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</si>
  <si>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</si>
  <si>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</si>
  <si>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</si>
  <si>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</si>
  <si>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</si>
  <si>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</si>
  <si>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</si>
  <si>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</si>
  <si>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</si>
  <si>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</si>
  <si>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</si>
  <si>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</si>
  <si>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</si>
  <si>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</si>
  <si>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</si>
  <si>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</si>
  <si>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</si>
  <si>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</si>
  <si>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</si>
  <si>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</si>
  <si>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</si>
  <si>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</si>
  <si>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</si>
  <si>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</si>
  <si>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</si>
  <si>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</si>
  <si>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</si>
  <si>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</si>
  <si>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</si>
  <si>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</si>
  <si>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</si>
  <si>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</si>
  <si>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</si>
  <si>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</si>
  <si>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</si>
  <si>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Annay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</si>
  <si>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</si>
  <si>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</si>
  <si>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</si>
  <si>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</si>
  <si>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</si>
  <si>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</si>
  <si>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</si>
  <si>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</si>
  <si>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</si>
  <si>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</si>
  <si>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</si>
  <si>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</si>
  <si>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</si>
  <si>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Arques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</si>
  <si>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</si>
  <si>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</si>
  <si>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</si>
  <si>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</si>
  <si>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</si>
  <si>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</si>
  <si>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</si>
  <si>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</si>
  <si>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</si>
  <si>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</si>
  <si>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</si>
  <si>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</si>
  <si>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</si>
  <si>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</si>
  <si>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</si>
  <si>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</si>
  <si>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</si>
  <si>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</si>
  <si>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</si>
  <si>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</si>
  <si>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</si>
  <si>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</si>
  <si>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</si>
  <si>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</si>
  <si>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</si>
  <si>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</si>
  <si>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</si>
  <si>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</si>
  <si>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</si>
  <si>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</si>
  <si>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</si>
  <si>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</si>
  <si>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</si>
  <si>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</si>
  <si>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</si>
  <si>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</si>
  <si>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</si>
  <si>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</si>
  <si>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</si>
  <si>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</si>
  <si>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</si>
  <si>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</si>
  <si>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</si>
  <si>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</si>
  <si>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</si>
  <si>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</si>
  <si>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</si>
  <si>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</si>
  <si>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</si>
  <si>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</si>
  <si>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</si>
  <si>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</si>
  <si>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</si>
  <si>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</si>
  <si>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</si>
  <si>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</si>
  <si>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</si>
  <si>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</si>
  <si>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</si>
  <si>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</si>
  <si>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</si>
  <si>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</si>
  <si>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</si>
  <si>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</si>
  <si>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</si>
  <si>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</si>
  <si>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</si>
  <si>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</si>
  <si>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</si>
  <si>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</si>
  <si>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</si>
  <si>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</si>
  <si>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</si>
  <si>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</si>
  <si>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</si>
  <si>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</si>
  <si>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</si>
  <si>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</si>
  <si>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</si>
  <si>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</si>
  <si>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</si>
  <si>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</si>
  <si>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</si>
  <si>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</si>
  <si>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</si>
  <si>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</si>
  <si>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</si>
  <si>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</si>
  <si>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</si>
  <si>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</si>
  <si>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</si>
  <si>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</si>
  <si>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</si>
  <si>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</si>
  <si>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</si>
  <si>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</si>
  <si>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</si>
  <si>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</si>
  <si>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</si>
  <si>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</si>
  <si>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</si>
  <si>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</si>
  <si>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</si>
  <si>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</si>
  <si>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</si>
  <si>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</si>
  <si>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</si>
  <si>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</si>
  <si>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</si>
  <si>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</si>
  <si>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</si>
  <si>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</si>
  <si>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</si>
  <si>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</si>
  <si>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</si>
  <si>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</si>
  <si>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</si>
  <si>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</si>
  <si>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</si>
  <si>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</si>
  <si>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</si>
  <si>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</si>
  <si>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</si>
  <si>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</si>
  <si>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</si>
  <si>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</si>
  <si>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</si>
  <si>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</si>
  <si>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</si>
  <si>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</si>
  <si>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</si>
  <si>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</si>
  <si>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</si>
  <si>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</si>
  <si>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</si>
  <si>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</si>
  <si>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</si>
  <si>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</si>
  <si>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</si>
  <si>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</si>
  <si>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</si>
  <si>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</si>
  <si>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</si>
  <si>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</si>
  <si>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</si>
  <si>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</si>
  <si>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</si>
  <si>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</si>
  <si>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</si>
  <si>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</si>
  <si>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</si>
  <si>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</si>
  <si>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</si>
  <si>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</si>
  <si>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</si>
  <si>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</si>
  <si>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</si>
  <si>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</si>
  <si>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</si>
  <si>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</si>
  <si>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</si>
  <si>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</si>
  <si>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</si>
  <si>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</si>
  <si>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</si>
  <si>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</si>
  <si>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</si>
  <si>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</si>
  <si>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</si>
  <si>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</si>
  <si>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</si>
  <si>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</si>
  <si>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</si>
  <si>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</si>
  <si>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</si>
  <si>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</si>
  <si>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</si>
  <si>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</si>
  <si>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</si>
  <si>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</si>
  <si>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</si>
  <si>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</si>
  <si>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</si>
  <si>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</si>
  <si>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</si>
  <si>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</si>
  <si>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</si>
  <si>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</si>
  <si>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</si>
  <si>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</si>
  <si>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</si>
  <si>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</si>
  <si>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</si>
  <si>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</si>
  <si>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</si>
  <si>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</si>
  <si>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</si>
  <si>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</si>
  <si>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</si>
  <si>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</si>
  <si>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</si>
  <si>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</si>
  <si>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</si>
  <si>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</si>
  <si>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</si>
  <si>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</si>
  <si>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</si>
  <si>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</si>
  <si>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</si>
  <si>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</si>
  <si>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</si>
  <si>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</si>
  <si>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</si>
  <si>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</si>
  <si>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</si>
  <si>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</si>
  <si>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</si>
  <si>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</si>
  <si>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</si>
  <si>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</si>
  <si>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</si>
  <si>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</si>
  <si>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</si>
  <si>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</si>
  <si>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</si>
  <si>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</si>
  <si>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</si>
  <si>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</si>
  <si>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</si>
  <si>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</si>
  <si>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</si>
  <si>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</si>
  <si>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</si>
  <si>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</si>
  <si>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</si>
  <si>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</si>
  <si>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</si>
  <si>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</si>
  <si>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</si>
  <si>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</si>
  <si>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</si>
  <si>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</si>
  <si>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</si>
  <si>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</si>
  <si>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</si>
  <si>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</si>
  <si>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</si>
  <si>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</si>
  <si>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</si>
  <si>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</si>
  <si>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</si>
  <si>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</si>
  <si>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</si>
  <si>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</si>
  <si>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</si>
  <si>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</si>
  <si>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</si>
  <si>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</si>
  <si>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</si>
  <si>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</si>
  <si>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</si>
  <si>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</si>
  <si>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</si>
  <si>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</si>
  <si>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</si>
  <si>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</si>
  <si>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</si>
  <si>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</si>
  <si>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</si>
  <si>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</si>
  <si>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</si>
  <si>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</si>
  <si>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</si>
  <si>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</si>
  <si>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</si>
  <si>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</si>
  <si>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</si>
  <si>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</si>
  <si>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</si>
  <si>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</si>
  <si>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</si>
  <si>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</si>
  <si>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</si>
  <si>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</si>
  <si>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</si>
  <si>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</si>
  <si>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</si>
  <si>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</si>
  <si>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</si>
  <si>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</si>
  <si>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</si>
  <si>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</si>
  <si>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</si>
  <si>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</si>
  <si>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</si>
  <si>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</si>
  <si>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</si>
  <si>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</si>
  <si>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</si>
  <si>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</si>
  <si>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</si>
  <si>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</si>
  <si>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</si>
  <si>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</si>
  <si>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</si>
  <si>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</si>
  <si>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</si>
  <si>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</si>
  <si>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</si>
  <si>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</si>
  <si>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</si>
  <si>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</si>
  <si>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</si>
  <si>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</si>
  <si>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</si>
  <si>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</si>
  <si>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</si>
  <si>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</si>
  <si>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</si>
  <si>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</si>
  <si>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</si>
  <si>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</si>
  <si>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</si>
  <si>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</si>
  <si>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</si>
  <si>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</si>
  <si>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</si>
  <si>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</si>
  <si>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</si>
  <si>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</si>
  <si>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</si>
  <si>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</si>
  <si>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</si>
  <si>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</si>
  <si>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</si>
  <si>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</si>
  <si>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</si>
  <si>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</si>
  <si>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</si>
  <si>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</si>
  <si>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</si>
  <si>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</si>
  <si>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</si>
  <si>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</si>
  <si>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</si>
  <si>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</si>
  <si>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</si>
  <si>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</si>
  <si>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</si>
  <si>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</si>
  <si>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</si>
  <si>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</si>
  <si>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</si>
  <si>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</si>
  <si>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</si>
  <si>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</si>
  <si>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</si>
  <si>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</si>
  <si>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</si>
  <si>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</si>
  <si>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</si>
  <si>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</si>
  <si>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</si>
  <si>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</si>
  <si>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</si>
  <si>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</si>
  <si>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</si>
  <si>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</si>
  <si>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</si>
  <si>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</si>
  <si>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</si>
  <si>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</si>
  <si>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</si>
  <si>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</si>
  <si>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</si>
  <si>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</si>
  <si>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</si>
  <si>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Contes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</si>
  <si>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</si>
  <si>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</si>
  <si>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</si>
  <si>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</si>
  <si>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</si>
  <si>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</si>
  <si>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</si>
  <si>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</si>
  <si>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</si>
  <si>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</si>
  <si>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</si>
  <si>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</si>
  <si>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</si>
  <si>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</si>
  <si>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</si>
  <si>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</si>
  <si>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</si>
  <si>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</si>
  <si>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</si>
  <si>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</si>
  <si>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</si>
  <si>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</si>
  <si>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</si>
  <si>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</si>
  <si>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</si>
  <si>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</si>
  <si>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</si>
  <si>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</si>
  <si>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</si>
  <si>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</si>
  <si>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</si>
  <si>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</si>
  <si>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</si>
  <si>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</si>
  <si>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</si>
  <si>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</si>
  <si>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</si>
  <si>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</si>
  <si>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</si>
  <si>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</si>
  <si>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</si>
  <si>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</si>
  <si>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</si>
  <si>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</si>
  <si>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Croisilles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</si>
  <si>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</si>
  <si>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</si>
  <si>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</si>
  <si>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</si>
  <si>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</si>
  <si>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</si>
  <si>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</si>
  <si>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</si>
  <si>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</si>
  <si>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</si>
  <si>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</si>
  <si>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</si>
  <si>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</si>
  <si>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</si>
  <si>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</si>
  <si>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Dennebrœucq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</si>
  <si>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</si>
  <si>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</si>
  <si>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</si>
  <si>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</si>
  <si>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</si>
  <si>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</si>
  <si>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</si>
  <si>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</si>
  <si>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</si>
  <si>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</si>
  <si>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</si>
  <si>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</si>
  <si>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</si>
  <si>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</si>
  <si>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</si>
  <si>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</si>
  <si>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</si>
  <si>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</si>
  <si>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</si>
  <si>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</si>
  <si>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</si>
  <si>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</si>
  <si>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</si>
  <si>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</si>
  <si>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</si>
  <si>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</si>
  <si>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</si>
  <si>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</si>
  <si>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</si>
  <si>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</si>
  <si>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</si>
  <si>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</si>
  <si>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</si>
  <si>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</si>
  <si>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</si>
  <si>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</si>
  <si>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</si>
  <si>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</si>
  <si>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</si>
  <si>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</si>
  <si>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</si>
  <si>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</si>
  <si>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</si>
  <si>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</si>
  <si>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</si>
  <si>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</si>
  <si>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</si>
  <si>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</si>
  <si>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</si>
  <si>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</si>
  <si>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</si>
  <si>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</si>
  <si>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</si>
  <si>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</si>
  <si>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</si>
  <si>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</si>
  <si>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</si>
  <si>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</si>
  <si>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</si>
  <si>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</si>
  <si>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</si>
  <si>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</si>
  <si>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</si>
  <si>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</si>
  <si>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</si>
  <si>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</si>
  <si>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</si>
  <si>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</si>
  <si>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</si>
  <si>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</si>
  <si>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</si>
  <si>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</si>
  <si>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</si>
  <si>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</si>
  <si>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</si>
  <si>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</si>
  <si>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</si>
  <si>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</si>
  <si>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</si>
  <si>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</si>
  <si>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</si>
  <si>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</si>
  <si>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</si>
  <si>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</si>
  <si>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</si>
  <si>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</si>
  <si>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</si>
  <si>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</si>
  <si>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</si>
  <si>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</si>
  <si>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</si>
  <si>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</si>
  <si>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</si>
  <si>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</si>
  <si>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</si>
  <si>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</si>
  <si>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</si>
  <si>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</si>
  <si>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</si>
  <si>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</si>
  <si>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</si>
  <si>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</si>
  <si>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</si>
  <si>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</si>
  <si>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</si>
  <si>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</si>
  <si>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</si>
  <si>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</si>
  <si>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</si>
  <si>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</si>
  <si>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</si>
  <si>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</si>
  <si>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</si>
  <si>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</si>
  <si>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</si>
  <si>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</si>
  <si>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</si>
  <si>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</si>
  <si>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</si>
  <si>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</si>
  <si>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</si>
  <si>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</si>
  <si>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</si>
  <si>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</si>
  <si>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</si>
  <si>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</si>
  <si>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</si>
  <si>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</si>
  <si>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</si>
  <si>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</si>
  <si>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</si>
  <si>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</si>
  <si>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Flers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</si>
  <si>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</si>
  <si>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</si>
  <si>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</si>
  <si>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</si>
  <si>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</si>
  <si>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</si>
  <si>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</si>
  <si>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</si>
  <si>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</si>
  <si>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</si>
  <si>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</si>
  <si>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</si>
  <si>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</si>
  <si>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</si>
  <si>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</si>
  <si>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</si>
  <si>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</si>
  <si>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</si>
  <si>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</si>
  <si>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</si>
  <si>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</si>
  <si>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</si>
  <si>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</si>
  <si>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</si>
  <si>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</si>
  <si>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</si>
  <si>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</si>
  <si>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</si>
  <si>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</si>
  <si>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</si>
  <si>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</si>
  <si>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</si>
  <si>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</si>
  <si>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</si>
  <si>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</si>
  <si>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</si>
  <si>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</si>
  <si>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</si>
  <si>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</si>
  <si>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</si>
  <si>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</si>
  <si>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</si>
  <si>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</si>
  <si>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</si>
  <si>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</si>
  <si>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</si>
  <si>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</si>
  <si>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</si>
  <si>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</si>
  <si>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</si>
  <si>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</si>
  <si>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</si>
  <si>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</si>
  <si>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</si>
  <si>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</si>
  <si>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</si>
  <si>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</si>
  <si>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</si>
  <si>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</si>
  <si>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</si>
  <si>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</si>
  <si>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</si>
  <si>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</si>
  <si>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</si>
  <si>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</si>
  <si>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</si>
  <si>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</si>
  <si>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</si>
  <si>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</si>
  <si>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</si>
  <si>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</si>
  <si>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</si>
  <si>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</si>
  <si>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</si>
  <si>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</si>
  <si>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</si>
  <si>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</si>
  <si>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</si>
  <si>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</si>
  <si>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</si>
  <si>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</si>
  <si>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</si>
  <si>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</si>
  <si>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</si>
  <si>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</si>
  <si>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</si>
  <si>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</si>
  <si>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</si>
  <si>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</si>
  <si>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</si>
  <si>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</si>
  <si>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</si>
  <si>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</si>
  <si>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</si>
  <si>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</si>
  <si>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</si>
  <si>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Grenay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</si>
  <si>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</si>
  <si>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</si>
  <si>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</si>
  <si>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</si>
  <si>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</si>
  <si>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</si>
  <si>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</si>
  <si>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</si>
  <si>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</si>
  <si>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</si>
  <si>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</si>
  <si>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</si>
  <si>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</si>
  <si>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</si>
  <si>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</si>
  <si>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</si>
  <si>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</si>
  <si>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</si>
  <si>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</si>
  <si>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</si>
  <si>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</si>
  <si>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</si>
  <si>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</si>
  <si>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</si>
  <si>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</si>
  <si>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</si>
  <si>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</si>
  <si>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</si>
  <si>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</si>
  <si>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</si>
  <si>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</si>
  <si>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</si>
  <si>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</si>
  <si>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</si>
  <si>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</si>
  <si>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</si>
  <si>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</si>
  <si>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</si>
  <si>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</si>
  <si>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</si>
  <si>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</si>
  <si>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</si>
  <si>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</si>
  <si>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</si>
  <si>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</si>
  <si>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</si>
  <si>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</si>
  <si>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</si>
  <si>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</si>
  <si>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</si>
  <si>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</si>
  <si>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</si>
  <si>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</si>
  <si>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</si>
  <si>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</si>
  <si>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</si>
  <si>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</si>
  <si>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</si>
  <si>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</si>
  <si>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</si>
  <si>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</si>
  <si>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</si>
  <si>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</si>
  <si>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</si>
  <si>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</si>
  <si>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</si>
  <si>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</si>
  <si>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</si>
  <si>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</si>
  <si>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</si>
  <si>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</si>
  <si>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</si>
  <si>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</si>
  <si>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</si>
  <si>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</si>
  <si>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</si>
  <si>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</si>
  <si>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</si>
  <si>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</si>
  <si>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</si>
  <si>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</si>
  <si>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</si>
  <si>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</si>
  <si>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</si>
  <si>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</si>
  <si>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</si>
  <si>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</si>
  <si>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</si>
  <si>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</si>
  <si>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</si>
  <si>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</si>
  <si>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</si>
  <si>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</si>
  <si>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</si>
  <si>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</si>
  <si>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</si>
  <si>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</si>
  <si>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</si>
  <si>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</si>
  <si>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</si>
  <si>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</si>
  <si>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</si>
  <si>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</si>
  <si>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</si>
  <si>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</si>
  <si>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</si>
  <si>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</si>
  <si>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</si>
  <si>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</si>
  <si>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</si>
  <si>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Hesdin-la-Forêt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</si>
  <si>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</si>
  <si>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</si>
  <si>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</si>
  <si>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</si>
  <si>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</si>
  <si>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</si>
  <si>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</si>
  <si>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</si>
  <si>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</si>
  <si>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</si>
  <si>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</si>
  <si>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</si>
  <si>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</si>
  <si>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</si>
  <si>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</si>
  <si>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</si>
  <si>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</si>
  <si>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</si>
  <si>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</si>
  <si>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</si>
  <si>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</si>
  <si>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</si>
  <si>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</si>
  <si>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</si>
  <si>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</si>
  <si>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</si>
  <si>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</si>
  <si>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</si>
  <si>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</si>
  <si>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</si>
  <si>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</si>
  <si>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</si>
  <si>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</si>
  <si>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</si>
  <si>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</si>
  <si>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</si>
  <si>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</si>
  <si>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</si>
  <si>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</si>
  <si>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</si>
  <si>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</si>
  <si>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</si>
  <si>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</si>
  <si>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</si>
  <si>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</si>
  <si>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</si>
  <si>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</si>
  <si>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</si>
  <si>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</si>
  <si>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</si>
  <si>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</si>
  <si>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</si>
  <si>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</si>
  <si>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</si>
  <si>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</si>
  <si>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</si>
  <si>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</si>
  <si>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</si>
  <si>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</si>
  <si>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</si>
  <si>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</si>
  <si>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</si>
  <si>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</si>
  <si>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</si>
  <si>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</si>
  <si>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</si>
  <si>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</si>
  <si>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</si>
  <si>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</si>
  <si>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</si>
  <si>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</si>
  <si>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</si>
  <si>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</si>
  <si>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Lambres-lez-Aire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</si>
  <si>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</si>
  <si>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</si>
  <si>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</si>
  <si>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</si>
  <si>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</si>
  <si>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</si>
  <si>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</si>
  <si>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</si>
  <si>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</si>
  <si>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</si>
  <si>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</si>
  <si>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</si>
  <si>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</si>
  <si>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</si>
  <si>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</si>
  <si>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</si>
  <si>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</si>
  <si>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</si>
  <si>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</si>
  <si>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</si>
  <si>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</si>
  <si>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</si>
  <si>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</si>
  <si>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</si>
  <si>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</si>
  <si>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</si>
  <si>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</si>
  <si>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</si>
  <si>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</si>
  <si>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</si>
  <si>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</si>
  <si>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</si>
  <si>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</si>
  <si>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</si>
  <si>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</si>
  <si>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</si>
  <si>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</si>
  <si>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</si>
  <si>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</si>
  <si>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</si>
  <si>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</si>
  <si>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</si>
  <si>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</si>
  <si>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</si>
  <si>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</si>
  <si>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</si>
  <si>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</si>
  <si>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</si>
  <si>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</si>
  <si>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</si>
  <si>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</si>
  <si>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</si>
  <si>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</si>
  <si>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</si>
  <si>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</si>
  <si>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</si>
  <si>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</si>
  <si>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</si>
  <si>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</si>
  <si>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</si>
  <si>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</si>
  <si>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</si>
  <si>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</si>
  <si>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</si>
  <si>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</si>
  <si>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</si>
  <si>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</si>
  <si>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</si>
  <si>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</si>
  <si>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</si>
  <si>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</si>
  <si>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</si>
  <si>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</si>
  <si>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</si>
  <si>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</si>
  <si>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</si>
  <si>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</si>
  <si>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</si>
  <si>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</si>
  <si>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Longueville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</si>
  <si>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</si>
  <si>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</si>
  <si>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</si>
  <si>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</si>
  <si>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</si>
  <si>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</si>
  <si>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</si>
  <si>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</si>
  <si>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</si>
  <si>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</si>
  <si>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</si>
  <si>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</si>
  <si>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</si>
  <si>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</si>
  <si>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</si>
  <si>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</si>
  <si>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</si>
  <si>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</si>
  <si>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</si>
  <si>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</si>
  <si>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</si>
  <si>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</si>
  <si>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</si>
  <si>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</si>
  <si>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</si>
  <si>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</si>
  <si>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</si>
  <si>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</si>
  <si>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</si>
  <si>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</si>
  <si>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</si>
  <si>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Maizières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</si>
  <si>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</si>
  <si>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</si>
  <si>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</si>
  <si>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</si>
  <si>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</si>
  <si>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</si>
  <si>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</si>
  <si>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</si>
  <si>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</si>
  <si>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</si>
  <si>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</si>
  <si>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</si>
  <si>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</si>
  <si>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</si>
  <si>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</si>
  <si>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</si>
  <si>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</si>
  <si>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</si>
  <si>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</si>
  <si>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</si>
  <si>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</si>
  <si>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</si>
  <si>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</si>
  <si>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</si>
  <si>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</si>
  <si>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</si>
  <si>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</si>
  <si>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Marœuil</t>
  </si>
  <si>
    <t>62558</t>
  </si>
  <si>
    <t>Marquay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</si>
  <si>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</si>
  <si>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</si>
  <si>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</si>
  <si>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</si>
  <si>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</si>
  <si>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</si>
  <si>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</si>
  <si>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</si>
  <si>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</si>
  <si>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</si>
  <si>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</si>
  <si>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</si>
  <si>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</si>
  <si>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</si>
  <si>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</si>
  <si>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</si>
  <si>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</si>
  <si>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</si>
  <si>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</si>
  <si>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</si>
  <si>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</si>
  <si>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</si>
  <si>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</si>
  <si>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</si>
  <si>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</si>
  <si>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</si>
  <si>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</si>
  <si>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</si>
  <si>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</si>
  <si>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</si>
  <si>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</si>
  <si>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</si>
  <si>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</si>
  <si>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</si>
  <si>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</si>
  <si>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</si>
  <si>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</si>
  <si>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</si>
  <si>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</si>
  <si>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</si>
  <si>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</si>
  <si>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</si>
  <si>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</si>
  <si>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</si>
  <si>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</si>
  <si>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</si>
  <si>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</si>
  <si>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</si>
  <si>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</si>
  <si>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</si>
  <si>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</si>
  <si>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</si>
  <si>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</si>
  <si>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</si>
  <si>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</si>
  <si>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</si>
  <si>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</si>
  <si>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Montreuil-sur-Mer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</si>
  <si>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</si>
  <si>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</si>
  <si>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</si>
  <si>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</si>
  <si>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</si>
  <si>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</si>
  <si>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</si>
  <si>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</si>
  <si>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</si>
  <si>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</si>
  <si>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</si>
  <si>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</si>
  <si>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</si>
  <si>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</si>
  <si>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</si>
  <si>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</si>
  <si>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</si>
  <si>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</si>
  <si>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</si>
  <si>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</si>
  <si>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</si>
  <si>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</si>
  <si>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</si>
  <si>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</si>
  <si>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</si>
  <si>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</si>
  <si>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</si>
  <si>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</si>
  <si>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</si>
  <si>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</si>
  <si>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</si>
  <si>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</si>
  <si>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</si>
  <si>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</si>
  <si>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</si>
  <si>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</si>
  <si>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</si>
  <si>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</si>
  <si>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</si>
  <si>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</si>
  <si>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</si>
  <si>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</si>
  <si>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</si>
  <si>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</si>
  <si>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</si>
  <si>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</si>
  <si>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</si>
  <si>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</si>
  <si>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</si>
  <si>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</si>
  <si>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</si>
  <si>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</si>
  <si>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</si>
  <si>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</si>
  <si>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Nœux-lès-Auxi</t>
  </si>
  <si>
    <t>62617</t>
  </si>
  <si>
    <t>Nœux-les-Mines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</si>
  <si>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</si>
  <si>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</si>
  <si>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</si>
  <si>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</si>
  <si>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</si>
  <si>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</si>
  <si>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</si>
  <si>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</si>
  <si>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</si>
  <si>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</si>
  <si>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</si>
  <si>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</si>
  <si>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</si>
  <si>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</si>
  <si>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</si>
  <si>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</si>
  <si>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</si>
  <si>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</si>
  <si>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</si>
  <si>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</si>
  <si>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</si>
  <si>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</si>
  <si>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</si>
  <si>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</si>
  <si>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</si>
  <si>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</si>
  <si>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</si>
  <si>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</si>
  <si>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</si>
  <si>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</si>
  <si>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</si>
  <si>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Œuf-en-Ternois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</si>
  <si>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</si>
  <si>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</si>
  <si>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</si>
  <si>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</si>
  <si>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</si>
  <si>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</si>
  <si>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</si>
  <si>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</si>
  <si>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</si>
  <si>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</si>
  <si>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</si>
  <si>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</si>
  <si>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</si>
  <si>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Orville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</si>
  <si>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</si>
  <si>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</si>
  <si>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</si>
  <si>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</si>
  <si>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</si>
  <si>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</si>
  <si>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</si>
  <si>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</si>
  <si>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</si>
  <si>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</si>
  <si>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</si>
  <si>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</si>
  <si>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</si>
  <si>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</si>
  <si>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</si>
  <si>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</si>
  <si>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</si>
  <si>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</si>
  <si>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</si>
  <si>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</si>
  <si>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</si>
  <si>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</si>
  <si>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</si>
  <si>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</si>
  <si>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</si>
  <si>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</si>
  <si>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</si>
  <si>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</si>
  <si>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</si>
  <si>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</si>
  <si>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</si>
  <si>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</si>
  <si>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</si>
  <si>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</si>
  <si>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</si>
  <si>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</si>
  <si>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</si>
  <si>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</si>
  <si>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</si>
  <si>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</si>
  <si>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</si>
  <si>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</si>
  <si>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</si>
  <si>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</si>
  <si>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</si>
  <si>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</si>
  <si>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</si>
  <si>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</si>
  <si>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</si>
  <si>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</si>
  <si>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</si>
  <si>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</si>
  <si>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</si>
  <si>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</si>
  <si>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</si>
  <si>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</si>
  <si>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</si>
  <si>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</si>
  <si>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</si>
  <si>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</si>
  <si>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</si>
  <si>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</si>
  <si>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</si>
  <si>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</si>
  <si>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</si>
  <si>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</si>
  <si>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</si>
  <si>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</si>
  <si>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</si>
  <si>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</si>
  <si>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</si>
  <si>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</si>
  <si>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</si>
  <si>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</si>
  <si>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</si>
  <si>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</si>
  <si>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</si>
  <si>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</si>
  <si>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</si>
  <si>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</si>
  <si>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</si>
  <si>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</si>
  <si>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</si>
  <si>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</si>
  <si>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</si>
  <si>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Quœux-Haut-Maînil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</si>
  <si>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</si>
  <si>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</si>
  <si>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</si>
  <si>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</si>
  <si>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</si>
  <si>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</si>
  <si>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</si>
  <si>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</si>
  <si>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</si>
  <si>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</si>
  <si>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</si>
  <si>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</si>
  <si>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</si>
  <si>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Saint-Augustin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</si>
  <si>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</si>
  <si>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</si>
  <si>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</si>
  <si>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</si>
  <si>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</si>
  <si>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</si>
  <si>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</si>
  <si>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</si>
  <si>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</si>
  <si>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</si>
  <si>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</si>
  <si>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</si>
  <si>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</si>
  <si>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</si>
  <si>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</si>
  <si>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</si>
  <si>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</si>
  <si>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</si>
  <si>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</si>
  <si>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</si>
  <si>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</si>
  <si>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</si>
  <si>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</si>
  <si>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</si>
  <si>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</si>
  <si>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</si>
  <si>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</si>
  <si>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</si>
  <si>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</si>
  <si>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Richebourg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</si>
  <si>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</si>
  <si>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</si>
  <si>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</si>
  <si>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</si>
  <si>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</si>
  <si>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</si>
  <si>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</si>
  <si>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</si>
  <si>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</si>
  <si>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Rivière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</si>
  <si>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</si>
  <si>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</si>
  <si>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</si>
  <si>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</si>
  <si>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</si>
  <si>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</si>
  <si>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</si>
  <si>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</si>
  <si>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</si>
  <si>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</si>
  <si>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Rœux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</si>
  <si>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</si>
  <si>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</si>
  <si>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</si>
  <si>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</si>
  <si>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</si>
  <si>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</si>
  <si>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</si>
  <si>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</si>
  <si>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</si>
  <si>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</si>
  <si>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</si>
  <si>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</si>
  <si>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</si>
  <si>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</si>
  <si>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</si>
  <si>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</si>
  <si>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</si>
  <si>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</si>
  <si>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</si>
  <si>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</si>
  <si>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</si>
  <si>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</si>
  <si>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</si>
  <si>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</si>
  <si>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</si>
  <si>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</si>
  <si>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</si>
  <si>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</si>
  <si>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</si>
  <si>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</si>
  <si>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</si>
  <si>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</si>
  <si>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</si>
  <si>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</si>
  <si>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</si>
  <si>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</si>
  <si>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</si>
  <si>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</si>
  <si>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</si>
  <si>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</si>
  <si>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</si>
  <si>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</si>
  <si>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</si>
  <si>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</si>
  <si>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Saint-Amand</t>
  </si>
  <si>
    <t>62742</t>
  </si>
  <si>
    <t>62744</t>
  </si>
  <si>
    <t>Sainte-Catherine</t>
  </si>
  <si>
    <t>62745</t>
  </si>
  <si>
    <t>Saint-Denœux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</si>
  <si>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</si>
  <si>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</si>
  <si>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</si>
  <si>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</si>
  <si>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</si>
  <si>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</si>
  <si>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</si>
  <si>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Saint-Georges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</si>
  <si>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</si>
  <si>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</si>
  <si>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</si>
  <si>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</si>
  <si>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</si>
  <si>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</si>
  <si>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</si>
  <si>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</si>
  <si>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</si>
  <si>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Saint-Léger</t>
  </si>
  <si>
    <t>62755</t>
  </si>
  <si>
    <t>Saint-Léonard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</si>
  <si>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</si>
  <si>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</si>
  <si>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</si>
  <si>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</si>
  <si>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</si>
  <si>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</si>
  <si>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</si>
  <si>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</si>
  <si>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</si>
  <si>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</si>
  <si>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</si>
  <si>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</si>
  <si>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</si>
  <si>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</si>
  <si>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</si>
  <si>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</si>
  <si>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</si>
  <si>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</si>
  <si>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</si>
  <si>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Saint-Omer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</si>
  <si>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</si>
  <si>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</si>
  <si>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</si>
  <si>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</si>
  <si>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</si>
  <si>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</si>
  <si>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</si>
  <si>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</si>
  <si>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</si>
  <si>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</si>
  <si>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</si>
  <si>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</si>
  <si>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</si>
  <si>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</si>
  <si>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</si>
  <si>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</si>
  <si>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</si>
  <si>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</si>
  <si>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</si>
  <si>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</si>
  <si>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</si>
  <si>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</si>
  <si>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</si>
  <si>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</si>
  <si>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</si>
  <si>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</si>
  <si>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</si>
  <si>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</si>
  <si>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</si>
  <si>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</si>
  <si>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</si>
  <si>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</si>
  <si>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</si>
  <si>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</si>
  <si>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</si>
  <si>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</si>
  <si>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</si>
  <si>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</si>
  <si>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</si>
  <si>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</si>
  <si>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</si>
  <si>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Selles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</si>
  <si>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</si>
  <si>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</si>
  <si>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</si>
  <si>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</si>
  <si>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</si>
  <si>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</si>
  <si>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</si>
  <si>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</si>
  <si>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</si>
  <si>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</si>
  <si>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</si>
  <si>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</si>
  <si>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</si>
  <si>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</si>
  <si>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</si>
  <si>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</si>
  <si>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</si>
  <si>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</si>
  <si>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</si>
  <si>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</si>
  <si>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</si>
  <si>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</si>
  <si>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</si>
  <si>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</si>
  <si>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</si>
  <si>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</si>
  <si>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</si>
  <si>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</si>
  <si>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</si>
  <si>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</si>
  <si>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</si>
  <si>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</si>
  <si>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</si>
  <si>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</si>
  <si>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</si>
  <si>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</si>
  <si>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</si>
  <si>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</si>
  <si>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</si>
  <si>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</si>
  <si>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</si>
  <si>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</si>
  <si>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</si>
  <si>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</si>
  <si>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</si>
  <si>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</si>
  <si>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</si>
  <si>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</si>
  <si>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</si>
  <si>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</si>
  <si>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</si>
  <si>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</si>
  <si>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</si>
  <si>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</si>
  <si>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</si>
  <si>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</si>
  <si>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</si>
  <si>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</si>
  <si>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</si>
  <si>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</si>
  <si>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</si>
  <si>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</si>
  <si>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</si>
  <si>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</si>
  <si>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</si>
  <si>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</si>
  <si>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</si>
  <si>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</si>
  <si>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</si>
  <si>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</si>
  <si>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</si>
  <si>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</si>
  <si>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</si>
  <si>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</si>
  <si>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</si>
  <si>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</si>
  <si>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</si>
  <si>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</si>
  <si>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</si>
  <si>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</si>
  <si>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</si>
  <si>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</si>
  <si>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</si>
  <si>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</si>
  <si>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</si>
  <si>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</si>
  <si>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</si>
  <si>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</si>
  <si>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</si>
  <si>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</si>
  <si>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</si>
  <si>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</si>
  <si>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</si>
  <si>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</si>
  <si>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</si>
  <si>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</si>
  <si>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</si>
  <si>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</si>
  <si>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</si>
  <si>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</si>
  <si>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</si>
  <si>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</si>
  <si>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</si>
  <si>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</si>
  <si>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</si>
  <si>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</si>
  <si>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</si>
  <si>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</si>
  <si>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</si>
  <si>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</si>
  <si>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</si>
  <si>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</si>
  <si>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</si>
  <si>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</si>
  <si>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</si>
  <si>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</si>
  <si>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</si>
  <si>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</si>
  <si>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</si>
  <si>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</si>
  <si>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</si>
  <si>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</si>
  <si>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</si>
  <si>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</si>
  <si>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</si>
  <si>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</si>
  <si>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</si>
  <si>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</si>
  <si>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</si>
  <si>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</si>
  <si>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</si>
  <si>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</si>
  <si>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</si>
  <si>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</si>
  <si>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</si>
  <si>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</si>
  <si>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</si>
  <si>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</si>
  <si>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</si>
  <si>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</si>
  <si>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</si>
  <si>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</si>
  <si>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</si>
  <si>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</si>
  <si>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</si>
  <si>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</si>
  <si>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</si>
  <si>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</si>
  <si>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</si>
  <si>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</si>
  <si>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</si>
  <si>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</si>
  <si>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</si>
  <si>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</si>
  <si>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</si>
  <si>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</si>
  <si>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</si>
  <si>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</si>
  <si>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</si>
  <si>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</si>
  <si>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</si>
  <si>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</si>
  <si>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</si>
  <si>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</si>
  <si>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</si>
  <si>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</si>
  <si>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</si>
  <si>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</si>
  <si>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</si>
  <si>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</si>
  <si>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</si>
  <si>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</si>
  <si>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</si>
  <si>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</si>
  <si>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</si>
  <si>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</si>
  <si>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</si>
  <si>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</si>
  <si>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</si>
  <si>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</si>
  <si>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</si>
  <si>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</si>
  <si>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</si>
  <si>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</si>
  <si>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</si>
  <si>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</si>
  <si>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</si>
  <si>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</si>
  <si>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</si>
  <si>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</si>
  <si>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</si>
  <si>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</si>
  <si>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</si>
  <si>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</si>
  <si>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</si>
  <si>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</si>
  <si>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</si>
  <si>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</si>
  <si>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</si>
  <si>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</si>
  <si>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</si>
  <si>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</si>
  <si>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</si>
  <si>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</si>
  <si>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</si>
  <si>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</si>
  <si>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</si>
  <si>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</si>
  <si>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</si>
  <si>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</si>
  <si>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</si>
  <si>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</si>
  <si>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</si>
  <si>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</si>
  <si>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</si>
  <si>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</si>
  <si>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</si>
  <si>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</si>
  <si>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</si>
  <si>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</si>
  <si>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</si>
  <si>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</si>
  <si>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</si>
  <si>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</si>
  <si>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</si>
  <si>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</si>
  <si>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</si>
  <si>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</si>
  <si>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</si>
  <si>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</si>
  <si>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</si>
  <si>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</si>
  <si>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</si>
  <si>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</si>
  <si>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</si>
  <si>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</si>
  <si>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</si>
  <si>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</si>
  <si>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</si>
  <si>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</si>
  <si>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</si>
  <si>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80001</t>
  </si>
  <si>
    <t>Abbeville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</si>
  <si>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</si>
  <si>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</si>
  <si>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</si>
  <si>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</si>
  <si>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</si>
  <si>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</si>
  <si>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</si>
  <si>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</si>
  <si>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</si>
  <si>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</si>
  <si>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</si>
  <si>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</si>
  <si>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</si>
  <si>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</si>
  <si>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</si>
  <si>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</si>
  <si>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</si>
  <si>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</si>
  <si>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</si>
  <si>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</si>
  <si>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</si>
  <si>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</si>
  <si>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</si>
  <si>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</si>
  <si>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</si>
  <si>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</si>
  <si>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</si>
  <si>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</si>
  <si>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</si>
  <si>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</si>
  <si>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</si>
  <si>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</si>
  <si>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</si>
  <si>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</si>
  <si>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</si>
  <si>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</si>
  <si>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</si>
  <si>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</si>
  <si>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</si>
  <si>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</si>
  <si>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</si>
  <si>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Argœuves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</si>
  <si>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</si>
  <si>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</si>
  <si>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</si>
  <si>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</si>
  <si>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</si>
  <si>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</si>
  <si>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</si>
  <si>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</si>
  <si>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</si>
  <si>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</si>
  <si>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Arry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</si>
  <si>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</si>
  <si>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</si>
  <si>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</si>
  <si>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</si>
  <si>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</si>
  <si>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</si>
  <si>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</si>
  <si>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</si>
  <si>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</si>
  <si>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</si>
  <si>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Aubigny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</si>
  <si>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</si>
  <si>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</si>
  <si>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</si>
  <si>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</si>
  <si>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</si>
  <si>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</si>
  <si>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</si>
  <si>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</si>
  <si>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</si>
  <si>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Aumont</t>
  </si>
  <si>
    <t>80042</t>
  </si>
  <si>
    <t>Autheux</t>
  </si>
  <si>
    <t>80043</t>
  </si>
  <si>
    <t>Authie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</si>
  <si>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</si>
  <si>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</si>
  <si>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</si>
  <si>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</si>
  <si>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</si>
  <si>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</si>
  <si>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</si>
  <si>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</si>
  <si>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</si>
  <si>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</si>
  <si>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</si>
  <si>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</si>
  <si>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</si>
  <si>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</si>
  <si>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</si>
  <si>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</si>
  <si>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</si>
  <si>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</si>
  <si>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</si>
  <si>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</si>
  <si>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</si>
  <si>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</si>
  <si>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</si>
  <si>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</si>
  <si>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</si>
  <si>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</si>
  <si>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</si>
  <si>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</si>
  <si>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</si>
  <si>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</si>
  <si>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</si>
  <si>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</si>
  <si>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</si>
  <si>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</si>
  <si>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</si>
  <si>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</si>
  <si>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</si>
  <si>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Beauchamps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</si>
  <si>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</si>
  <si>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</si>
  <si>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</si>
  <si>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</si>
  <si>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</si>
  <si>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</si>
  <si>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</si>
  <si>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</si>
  <si>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</si>
  <si>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</si>
  <si>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</si>
  <si>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</si>
  <si>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</si>
  <si>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</si>
  <si>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</si>
  <si>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</si>
  <si>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</si>
  <si>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</si>
  <si>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</si>
  <si>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</si>
  <si>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</si>
  <si>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</si>
  <si>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</si>
  <si>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</si>
  <si>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</si>
  <si>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</si>
  <si>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</si>
  <si>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</si>
  <si>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</si>
  <si>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</si>
  <si>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</si>
  <si>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</si>
  <si>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</si>
  <si>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</si>
  <si>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</si>
  <si>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</si>
  <si>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</si>
  <si>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</si>
  <si>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</si>
  <si>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</si>
  <si>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</si>
  <si>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</si>
  <si>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</si>
  <si>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</si>
  <si>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</si>
  <si>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</si>
  <si>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Berneuil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</si>
  <si>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</si>
  <si>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</si>
  <si>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</si>
  <si>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</si>
  <si>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</si>
  <si>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</si>
  <si>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</si>
  <si>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</si>
  <si>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</si>
  <si>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</si>
  <si>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</si>
  <si>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</si>
  <si>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</si>
  <si>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</si>
  <si>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</si>
  <si>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</si>
  <si>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</si>
  <si>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</si>
  <si>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</si>
  <si>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</si>
  <si>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</si>
  <si>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</si>
  <si>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</si>
  <si>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</si>
  <si>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</si>
  <si>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</si>
  <si>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</si>
  <si>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</si>
  <si>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</si>
  <si>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</si>
  <si>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</si>
  <si>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</si>
  <si>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</si>
  <si>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</si>
  <si>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</si>
  <si>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</si>
  <si>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</si>
  <si>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</si>
  <si>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</si>
  <si>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Boismont</t>
  </si>
  <si>
    <t>80112</t>
  </si>
  <si>
    <t>Bonnay</t>
  </si>
  <si>
    <t>80113</t>
  </si>
  <si>
    <t>Bonneville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</si>
  <si>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</si>
  <si>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</si>
  <si>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</si>
  <si>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</si>
  <si>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</si>
  <si>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</si>
  <si>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</si>
  <si>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</si>
  <si>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</si>
  <si>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</si>
  <si>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</si>
  <si>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</si>
  <si>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</si>
  <si>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</si>
  <si>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</si>
  <si>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</si>
  <si>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</si>
  <si>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</si>
  <si>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</si>
  <si>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</si>
  <si>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</si>
  <si>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</si>
  <si>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</si>
  <si>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</si>
  <si>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</si>
  <si>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</si>
  <si>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</si>
  <si>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</si>
  <si>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</si>
  <si>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</si>
  <si>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</si>
  <si>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</si>
  <si>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</si>
  <si>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</si>
  <si>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</si>
  <si>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</si>
  <si>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</si>
  <si>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</si>
  <si>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</si>
  <si>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</si>
  <si>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</si>
  <si>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Brassy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</si>
  <si>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</si>
  <si>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</si>
  <si>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</si>
  <si>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</si>
  <si>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</si>
  <si>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</si>
  <si>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</si>
  <si>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</si>
  <si>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</si>
  <si>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</si>
  <si>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</si>
  <si>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</si>
  <si>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</si>
  <si>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</si>
  <si>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</si>
  <si>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</si>
  <si>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</si>
  <si>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</si>
  <si>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</si>
  <si>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</si>
  <si>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</si>
  <si>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</si>
  <si>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</si>
  <si>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</si>
  <si>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</si>
  <si>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</si>
  <si>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</si>
  <si>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</si>
  <si>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</si>
  <si>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</si>
  <si>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</si>
  <si>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</si>
  <si>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</si>
  <si>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</si>
  <si>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</si>
  <si>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</si>
  <si>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</si>
  <si>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</si>
  <si>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</si>
  <si>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Bussus-lès-Yaucourt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</si>
  <si>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</si>
  <si>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</si>
  <si>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</si>
  <si>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</si>
  <si>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</si>
  <si>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</si>
  <si>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</si>
  <si>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</si>
  <si>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</si>
  <si>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Cagny</t>
  </si>
  <si>
    <t>80161</t>
  </si>
  <si>
    <t>Cahon</t>
  </si>
  <si>
    <t>80162</t>
  </si>
  <si>
    <t>Caix</t>
  </si>
  <si>
    <t>80163</t>
  </si>
  <si>
    <t>Cambron</t>
  </si>
  <si>
    <t>80164</t>
  </si>
  <si>
    <t>Camon</t>
  </si>
  <si>
    <t>80165</t>
  </si>
  <si>
    <t>Camps-en-Amiénois</t>
  </si>
  <si>
    <t>80166</t>
  </si>
  <si>
    <t>Canaples</t>
  </si>
  <si>
    <t>80167</t>
  </si>
  <si>
    <t>Canchy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</si>
  <si>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</si>
  <si>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</si>
  <si>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</si>
  <si>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</si>
  <si>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</si>
  <si>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</si>
  <si>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</si>
  <si>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</si>
  <si>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</si>
  <si>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</si>
  <si>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</si>
  <si>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</si>
  <si>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</si>
  <si>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</si>
  <si>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</si>
  <si>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</si>
  <si>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</si>
  <si>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</si>
  <si>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</si>
  <si>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</si>
  <si>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</si>
  <si>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</si>
  <si>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</si>
  <si>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</si>
  <si>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</si>
  <si>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</si>
  <si>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</si>
  <si>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</si>
  <si>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</si>
  <si>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</si>
  <si>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</si>
  <si>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</si>
  <si>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</si>
  <si>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</si>
  <si>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</si>
  <si>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</si>
  <si>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</si>
  <si>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</si>
  <si>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</si>
  <si>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</si>
  <si>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</si>
  <si>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</si>
  <si>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</si>
  <si>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Chilly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</si>
  <si>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</si>
  <si>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</si>
  <si>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</si>
  <si>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</si>
  <si>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</si>
  <si>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</si>
  <si>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</si>
  <si>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</si>
  <si>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</si>
  <si>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</si>
  <si>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</si>
  <si>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</si>
  <si>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</si>
  <si>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</si>
  <si>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</si>
  <si>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</si>
  <si>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</si>
  <si>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</si>
  <si>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</si>
  <si>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</si>
  <si>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</si>
  <si>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</si>
  <si>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</si>
  <si>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</si>
  <si>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</si>
  <si>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</si>
  <si>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</si>
  <si>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</si>
  <si>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</si>
  <si>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</si>
  <si>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</si>
  <si>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</si>
  <si>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</si>
  <si>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</si>
  <si>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</si>
  <si>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</si>
  <si>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</si>
  <si>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</si>
  <si>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</si>
  <si>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</si>
  <si>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</si>
  <si>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</si>
  <si>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</si>
  <si>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</si>
  <si>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</si>
  <si>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</si>
  <si>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</si>
  <si>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</si>
  <si>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</si>
  <si>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</si>
  <si>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</si>
  <si>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</si>
  <si>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</si>
  <si>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</si>
  <si>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</si>
  <si>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</si>
  <si>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</si>
  <si>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</si>
  <si>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</si>
  <si>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</si>
  <si>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</si>
  <si>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</si>
  <si>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</si>
  <si>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</si>
  <si>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</si>
  <si>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</si>
  <si>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</si>
  <si>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</si>
  <si>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</si>
  <si>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</si>
  <si>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</si>
  <si>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</si>
  <si>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</si>
  <si>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</si>
  <si>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</si>
  <si>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</si>
  <si>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</si>
  <si>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</si>
  <si>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Damery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</si>
  <si>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</si>
  <si>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</si>
  <si>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</si>
  <si>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</si>
  <si>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</si>
  <si>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</si>
  <si>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</si>
  <si>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</si>
  <si>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</si>
  <si>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</si>
  <si>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</si>
  <si>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</si>
  <si>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</si>
  <si>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</si>
  <si>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</si>
  <si>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</si>
  <si>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</si>
  <si>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</si>
  <si>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</si>
  <si>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</si>
  <si>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</si>
  <si>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</si>
  <si>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</si>
  <si>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</si>
  <si>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</si>
  <si>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</si>
  <si>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</si>
  <si>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Dommartin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</si>
  <si>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</si>
  <si>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</si>
  <si>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</si>
  <si>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</si>
  <si>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</si>
  <si>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</si>
  <si>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</si>
  <si>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</si>
  <si>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</si>
  <si>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</si>
  <si>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</si>
  <si>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</si>
  <si>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</si>
  <si>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</si>
  <si>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</si>
  <si>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</si>
  <si>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</si>
  <si>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</si>
  <si>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</si>
  <si>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</si>
  <si>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</si>
  <si>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</si>
  <si>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</si>
  <si>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</si>
  <si>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</si>
  <si>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</si>
  <si>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</si>
  <si>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</si>
  <si>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</si>
  <si>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</si>
  <si>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</si>
  <si>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</si>
  <si>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</si>
  <si>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</si>
  <si>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</si>
  <si>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</si>
  <si>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</si>
  <si>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</si>
  <si>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</si>
  <si>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</si>
  <si>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</si>
  <si>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</si>
  <si>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</si>
  <si>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</si>
  <si>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</si>
  <si>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</si>
  <si>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</si>
  <si>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</si>
  <si>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</si>
  <si>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</si>
  <si>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</si>
  <si>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</si>
  <si>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</si>
  <si>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</si>
  <si>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</si>
  <si>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</si>
  <si>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</si>
  <si>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</si>
  <si>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</si>
  <si>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</si>
  <si>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</si>
  <si>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</si>
  <si>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</si>
  <si>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</si>
  <si>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</si>
  <si>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</si>
  <si>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</si>
  <si>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</si>
  <si>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</si>
  <si>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</si>
  <si>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Estrébœuf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</si>
  <si>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</si>
  <si>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</si>
  <si>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</si>
  <si>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</si>
  <si>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</si>
  <si>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</si>
  <si>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</si>
  <si>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</si>
  <si>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</si>
  <si>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</si>
  <si>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</si>
  <si>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</si>
  <si>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</si>
  <si>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</si>
  <si>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L'Étoile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</si>
  <si>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</si>
  <si>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</si>
  <si>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</si>
  <si>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</si>
  <si>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</si>
  <si>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</si>
  <si>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</si>
  <si>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</si>
  <si>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</si>
  <si>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</si>
  <si>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</si>
  <si>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Favières</t>
  </si>
  <si>
    <t>80304</t>
  </si>
  <si>
    <t>Fay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</si>
  <si>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</si>
  <si>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</si>
  <si>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</si>
  <si>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</si>
  <si>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</si>
  <si>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</si>
  <si>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</si>
  <si>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</si>
  <si>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</si>
  <si>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</si>
  <si>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</si>
  <si>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</si>
  <si>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</si>
  <si>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</si>
  <si>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</si>
  <si>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</si>
  <si>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</si>
  <si>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</si>
  <si>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</si>
  <si>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</si>
  <si>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</si>
  <si>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</si>
  <si>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</si>
  <si>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</si>
  <si>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</si>
  <si>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</si>
  <si>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</si>
  <si>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</si>
  <si>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Folleville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</si>
  <si>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</si>
  <si>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</si>
  <si>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</si>
  <si>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</si>
  <si>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</si>
  <si>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</si>
  <si>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</si>
  <si>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</si>
  <si>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</si>
  <si>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</si>
  <si>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</si>
  <si>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</si>
  <si>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</si>
  <si>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</si>
  <si>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</si>
  <si>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</si>
  <si>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</si>
  <si>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</si>
  <si>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</si>
  <si>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</si>
  <si>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</si>
  <si>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</si>
  <si>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</si>
  <si>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</si>
  <si>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</si>
  <si>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</si>
  <si>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</si>
  <si>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</si>
  <si>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</si>
  <si>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</si>
  <si>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</si>
  <si>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</si>
  <si>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</si>
  <si>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</si>
  <si>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</si>
  <si>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</si>
  <si>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</si>
  <si>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</si>
  <si>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</si>
  <si>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</si>
  <si>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</si>
  <si>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</si>
  <si>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</si>
  <si>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</si>
  <si>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</si>
  <si>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</si>
  <si>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</si>
  <si>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</si>
  <si>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</si>
  <si>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</si>
  <si>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</si>
  <si>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</si>
  <si>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</si>
  <si>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</si>
  <si>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</si>
  <si>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</si>
  <si>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</si>
  <si>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</si>
  <si>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</si>
  <si>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</si>
  <si>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</si>
  <si>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</si>
  <si>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</si>
  <si>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</si>
  <si>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</si>
  <si>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</si>
  <si>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</si>
  <si>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</si>
  <si>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</si>
  <si>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</si>
  <si>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</si>
  <si>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</si>
  <si>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</si>
  <si>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</si>
  <si>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</si>
  <si>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</si>
  <si>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</si>
  <si>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</si>
  <si>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</si>
  <si>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</si>
  <si>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</si>
  <si>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</si>
  <si>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</si>
  <si>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</si>
  <si>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</si>
  <si>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</si>
  <si>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</si>
  <si>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</si>
  <si>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</si>
  <si>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</si>
  <si>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</si>
  <si>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</si>
  <si>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</si>
  <si>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</si>
  <si>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</si>
  <si>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</si>
  <si>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</si>
  <si>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</si>
  <si>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</si>
  <si>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</si>
  <si>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</si>
  <si>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</si>
  <si>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</si>
  <si>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</si>
  <si>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</si>
  <si>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</si>
  <si>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</si>
  <si>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</si>
  <si>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</si>
  <si>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</si>
  <si>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Gorges</t>
  </si>
  <si>
    <t>80383</t>
  </si>
  <si>
    <t>Goyencourt</t>
  </si>
  <si>
    <t>80384</t>
  </si>
  <si>
    <t>Grandcourt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</si>
  <si>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</si>
  <si>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</si>
  <si>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</si>
  <si>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</si>
  <si>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</si>
  <si>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</si>
  <si>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</si>
  <si>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</si>
  <si>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</si>
  <si>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</si>
  <si>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</si>
  <si>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</si>
  <si>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</si>
  <si>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</si>
  <si>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</si>
  <si>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</si>
  <si>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</si>
  <si>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</si>
  <si>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</si>
  <si>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</si>
  <si>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</si>
  <si>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</si>
  <si>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</si>
  <si>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</si>
  <si>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</si>
  <si>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</si>
  <si>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</si>
  <si>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</si>
  <si>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</si>
  <si>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</si>
  <si>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</si>
  <si>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</si>
  <si>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</si>
  <si>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</si>
  <si>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</si>
  <si>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</si>
  <si>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</si>
  <si>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</si>
  <si>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</si>
  <si>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</si>
  <si>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</si>
  <si>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</si>
  <si>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</si>
  <si>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</si>
  <si>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</si>
  <si>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</si>
  <si>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</si>
  <si>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</si>
  <si>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</si>
  <si>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</si>
  <si>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</si>
  <si>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</si>
  <si>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</si>
  <si>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</si>
  <si>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</si>
  <si>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</si>
  <si>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</si>
  <si>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</si>
  <si>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</si>
  <si>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</si>
  <si>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</si>
  <si>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</si>
  <si>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</si>
  <si>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</si>
  <si>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</si>
  <si>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</si>
  <si>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</si>
  <si>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</si>
  <si>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</si>
  <si>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</si>
  <si>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Hébécourt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</si>
  <si>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</si>
  <si>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</si>
  <si>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</si>
  <si>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</si>
  <si>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</si>
  <si>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</si>
  <si>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</si>
  <si>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</si>
  <si>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</si>
  <si>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</si>
  <si>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</si>
  <si>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</si>
  <si>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</si>
  <si>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</si>
  <si>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</si>
  <si>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</si>
  <si>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</si>
  <si>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</si>
  <si>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</si>
  <si>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</si>
  <si>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</si>
  <si>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</si>
  <si>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</si>
  <si>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</si>
  <si>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</si>
  <si>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</si>
  <si>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Heudicourt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</si>
  <si>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</si>
  <si>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</si>
  <si>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</si>
  <si>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</si>
  <si>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</si>
  <si>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</si>
  <si>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</si>
  <si>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</si>
  <si>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</si>
  <si>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</si>
  <si>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</si>
  <si>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</si>
  <si>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</si>
  <si>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</si>
  <si>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</si>
  <si>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</si>
  <si>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</si>
  <si>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</si>
  <si>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</si>
  <si>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</si>
  <si>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</si>
  <si>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</si>
  <si>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</si>
  <si>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</si>
  <si>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</si>
  <si>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Lachapelle</t>
  </si>
  <si>
    <t>80456</t>
  </si>
  <si>
    <t>Lafresguimont-Saint-Martin</t>
  </si>
  <si>
    <t>80458</t>
  </si>
  <si>
    <t>Lahoussoye</t>
  </si>
  <si>
    <t>80459</t>
  </si>
  <si>
    <t>Laleu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</si>
  <si>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</si>
  <si>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</si>
  <si>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</si>
  <si>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</si>
  <si>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</si>
  <si>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</si>
  <si>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</si>
  <si>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</si>
  <si>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</si>
  <si>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</si>
  <si>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</si>
  <si>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</si>
  <si>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</si>
  <si>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</si>
  <si>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</si>
  <si>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</si>
  <si>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</si>
  <si>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</si>
  <si>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</si>
  <si>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</si>
  <si>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</si>
  <si>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</si>
  <si>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</si>
  <si>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Lesbœufs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</si>
  <si>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</si>
  <si>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</si>
  <si>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</si>
  <si>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</si>
  <si>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</si>
  <si>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</si>
  <si>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</si>
  <si>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</si>
  <si>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</si>
  <si>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</si>
  <si>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</si>
  <si>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Lignières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</si>
  <si>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</si>
  <si>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</si>
  <si>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</si>
  <si>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</si>
  <si>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</si>
  <si>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</si>
  <si>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</si>
  <si>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Limeux</t>
  </si>
  <si>
    <t>80484</t>
  </si>
  <si>
    <t>Liomer</t>
  </si>
  <si>
    <t>80485</t>
  </si>
  <si>
    <t>Ô-de-Selle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</si>
  <si>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</si>
  <si>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</si>
  <si>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</si>
  <si>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</si>
  <si>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</si>
  <si>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</si>
  <si>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</si>
  <si>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</si>
  <si>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</si>
  <si>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</si>
  <si>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</si>
  <si>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</si>
  <si>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</si>
  <si>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</si>
  <si>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</si>
  <si>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</si>
  <si>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</si>
  <si>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</si>
  <si>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</si>
  <si>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</si>
  <si>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</si>
  <si>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Machy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</si>
  <si>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</si>
  <si>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</si>
  <si>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</si>
  <si>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</si>
  <si>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</si>
  <si>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</si>
  <si>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</si>
  <si>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</si>
  <si>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</si>
  <si>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</si>
  <si>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</si>
  <si>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</si>
  <si>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</si>
  <si>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</si>
  <si>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</si>
  <si>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</si>
  <si>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</si>
  <si>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</si>
  <si>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</si>
  <si>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</si>
  <si>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</si>
  <si>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</si>
  <si>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</si>
  <si>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</si>
  <si>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</si>
  <si>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</si>
  <si>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</si>
  <si>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</si>
  <si>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</si>
  <si>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</si>
  <si>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</si>
  <si>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</si>
  <si>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</si>
  <si>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</si>
  <si>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</si>
  <si>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</si>
  <si>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</si>
  <si>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</si>
  <si>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</si>
  <si>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</si>
  <si>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</si>
  <si>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</si>
  <si>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Maurepas</t>
  </si>
  <si>
    <t>80522</t>
  </si>
  <si>
    <t>Le Mazis</t>
  </si>
  <si>
    <t>80523</t>
  </si>
  <si>
    <t>Méaulte</t>
  </si>
  <si>
    <t>80524</t>
  </si>
  <si>
    <t>Méharicourt</t>
  </si>
  <si>
    <t>80525</t>
  </si>
  <si>
    <t>Meigneux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</si>
  <si>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</si>
  <si>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</si>
  <si>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</si>
  <si>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</si>
  <si>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</si>
  <si>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</si>
  <si>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</si>
  <si>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</si>
  <si>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</si>
  <si>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</si>
  <si>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</si>
  <si>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</si>
  <si>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</si>
  <si>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</si>
  <si>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</si>
  <si>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</si>
  <si>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</si>
  <si>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</si>
  <si>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</si>
  <si>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</si>
  <si>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</si>
  <si>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</si>
  <si>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</si>
  <si>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</si>
  <si>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</si>
  <si>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</si>
  <si>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</si>
  <si>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</si>
  <si>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</si>
  <si>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</si>
  <si>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</si>
  <si>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</si>
  <si>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</si>
  <si>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</si>
  <si>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</si>
  <si>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</si>
  <si>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</si>
  <si>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</si>
  <si>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</si>
  <si>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</si>
  <si>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</si>
  <si>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</si>
  <si>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</si>
  <si>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</si>
  <si>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</si>
  <si>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</si>
  <si>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</si>
  <si>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</si>
  <si>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</si>
  <si>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</si>
  <si>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</si>
  <si>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</si>
  <si>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</si>
  <si>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</si>
  <si>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</si>
  <si>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</si>
  <si>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</si>
  <si>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</si>
  <si>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</si>
  <si>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</si>
  <si>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</si>
  <si>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</si>
  <si>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</si>
  <si>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Montdidier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</si>
  <si>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</si>
  <si>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</si>
  <si>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</si>
  <si>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</si>
  <si>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</si>
  <si>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</si>
  <si>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</si>
  <si>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</si>
  <si>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</si>
  <si>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</si>
  <si>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</si>
  <si>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</si>
  <si>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</si>
  <si>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</si>
  <si>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</si>
  <si>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</si>
  <si>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</si>
  <si>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</si>
  <si>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</si>
  <si>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</si>
  <si>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</si>
  <si>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</si>
  <si>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</si>
  <si>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</si>
  <si>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</si>
  <si>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</si>
  <si>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</si>
  <si>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</si>
  <si>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</si>
  <si>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</si>
  <si>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</si>
  <si>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</si>
  <si>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</si>
  <si>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</si>
  <si>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</si>
  <si>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</si>
  <si>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</si>
  <si>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</si>
  <si>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</si>
  <si>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</si>
  <si>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</si>
  <si>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</si>
  <si>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</si>
  <si>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</si>
  <si>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</si>
  <si>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</si>
  <si>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</si>
  <si>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</si>
  <si>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</si>
  <si>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</si>
  <si>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</si>
  <si>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</si>
  <si>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</si>
  <si>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</si>
  <si>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</si>
  <si>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</si>
  <si>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</si>
  <si>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</si>
  <si>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</si>
  <si>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</si>
  <si>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</si>
  <si>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</si>
  <si>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</si>
  <si>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</si>
  <si>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</si>
  <si>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</si>
  <si>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</si>
  <si>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</si>
  <si>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</si>
  <si>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</si>
  <si>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</si>
  <si>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</si>
  <si>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</si>
  <si>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</si>
  <si>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</si>
  <si>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</si>
  <si>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</si>
  <si>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</si>
  <si>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</si>
  <si>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</si>
  <si>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</si>
  <si>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</si>
  <si>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</si>
  <si>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</si>
  <si>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</si>
  <si>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</si>
  <si>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</si>
  <si>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</si>
  <si>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</si>
  <si>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</si>
  <si>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</si>
  <si>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</si>
  <si>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</si>
  <si>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</si>
  <si>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</si>
  <si>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</si>
  <si>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</si>
  <si>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</si>
  <si>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</si>
  <si>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Péronne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</si>
  <si>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</si>
  <si>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</si>
  <si>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</si>
  <si>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</si>
  <si>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</si>
  <si>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</si>
  <si>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</si>
  <si>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</si>
  <si>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</si>
  <si>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</si>
  <si>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</si>
  <si>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</si>
  <si>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</si>
  <si>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</si>
  <si>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</si>
  <si>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</si>
  <si>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</si>
  <si>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Pœuilly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</si>
  <si>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</si>
  <si>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</si>
  <si>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</si>
  <si>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</si>
  <si>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</si>
  <si>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</si>
  <si>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</si>
  <si>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</si>
  <si>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</si>
  <si>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</si>
  <si>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</si>
  <si>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</si>
  <si>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</si>
  <si>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</si>
  <si>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</si>
  <si>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</si>
  <si>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</si>
  <si>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</si>
  <si>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</si>
  <si>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</si>
  <si>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</si>
  <si>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</si>
  <si>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</si>
  <si>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</si>
  <si>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</si>
  <si>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</si>
  <si>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</si>
  <si>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</si>
  <si>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</si>
  <si>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</si>
  <si>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</si>
  <si>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</si>
  <si>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</si>
  <si>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</si>
  <si>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</si>
  <si>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</si>
  <si>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</si>
  <si>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</si>
  <si>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</si>
  <si>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</si>
  <si>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</si>
  <si>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</si>
  <si>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</si>
  <si>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</si>
  <si>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</si>
  <si>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</si>
  <si>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</si>
  <si>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</si>
  <si>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</si>
  <si>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</si>
  <si>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</si>
  <si>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</si>
  <si>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</si>
  <si>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</si>
  <si>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</si>
  <si>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</si>
  <si>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</si>
  <si>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</si>
  <si>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</si>
  <si>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</si>
  <si>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</si>
  <si>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</si>
  <si>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</si>
  <si>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</si>
  <si>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</si>
  <si>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</si>
  <si>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</si>
  <si>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</si>
  <si>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</si>
  <si>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</si>
  <si>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</si>
  <si>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</si>
  <si>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</si>
  <si>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</si>
  <si>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50 000 hab. et +</t>
  </si>
  <si>
    <t>80671</t>
  </si>
  <si>
    <t>Ribeaucourt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</si>
  <si>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</si>
  <si>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</si>
  <si>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</si>
  <si>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</si>
  <si>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</si>
  <si>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</si>
  <si>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</si>
  <si>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</si>
  <si>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</si>
  <si>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</si>
  <si>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</si>
  <si>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</si>
  <si>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</si>
  <si>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</si>
  <si>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</si>
  <si>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</si>
  <si>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</si>
  <si>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</si>
  <si>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</si>
  <si>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</si>
  <si>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</si>
  <si>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</si>
  <si>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</si>
  <si>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</si>
  <si>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</si>
  <si>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</si>
  <si>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</si>
  <si>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Roye</t>
  </si>
  <si>
    <t>80686</t>
  </si>
  <si>
    <t>Rubempré</t>
  </si>
  <si>
    <t>80687</t>
  </si>
  <si>
    <t>Rubescourt</t>
  </si>
  <si>
    <t>80688</t>
  </si>
  <si>
    <t>Rue</t>
  </si>
  <si>
    <t>80690</t>
  </si>
  <si>
    <t>Rumigny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</si>
  <si>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</si>
  <si>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</si>
  <si>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</si>
  <si>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</si>
  <si>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</si>
  <si>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</si>
  <si>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</si>
  <si>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</si>
  <si>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</si>
  <si>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</si>
  <si>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</si>
  <si>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</si>
  <si>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</si>
  <si>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</si>
  <si>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</si>
  <si>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</si>
  <si>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</si>
  <si>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</si>
  <si>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</si>
  <si>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</si>
  <si>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</si>
  <si>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</si>
  <si>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</si>
  <si>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</si>
  <si>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</si>
  <si>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</si>
  <si>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</si>
  <si>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</si>
  <si>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</si>
  <si>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</si>
  <si>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</si>
  <si>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</si>
  <si>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</si>
  <si>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</si>
  <si>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</si>
  <si>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</si>
  <si>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</si>
  <si>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</si>
  <si>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</si>
  <si>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</si>
  <si>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Saint-Ouen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</si>
  <si>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</si>
  <si>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</si>
  <si>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</si>
  <si>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</si>
  <si>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</si>
  <si>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</si>
  <si>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</si>
  <si>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</si>
  <si>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</si>
  <si>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</si>
  <si>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</si>
  <si>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</si>
  <si>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</si>
  <si>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</si>
  <si>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</si>
  <si>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</si>
  <si>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</si>
  <si>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</si>
  <si>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</si>
  <si>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</si>
  <si>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</si>
  <si>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</si>
  <si>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</si>
  <si>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</si>
  <si>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</si>
  <si>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</si>
  <si>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</si>
  <si>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</si>
  <si>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</si>
  <si>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</si>
  <si>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</si>
  <si>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</si>
  <si>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</si>
  <si>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</si>
  <si>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</si>
  <si>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</si>
  <si>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</si>
  <si>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</si>
  <si>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</si>
  <si>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</si>
  <si>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</si>
  <si>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Soues</t>
  </si>
  <si>
    <t>80740</t>
  </si>
  <si>
    <t>Sourdon</t>
  </si>
  <si>
    <t>80741</t>
  </si>
  <si>
    <t>Soyécourt</t>
  </si>
  <si>
    <t>80742</t>
  </si>
  <si>
    <t>Surcamps</t>
  </si>
  <si>
    <t>80743</t>
  </si>
  <si>
    <t>Suzanne</t>
  </si>
  <si>
    <t>80744</t>
  </si>
  <si>
    <t>Tailly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</si>
  <si>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</si>
  <si>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</si>
  <si>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</si>
  <si>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</si>
  <si>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</si>
  <si>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</si>
  <si>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</si>
  <si>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</si>
  <si>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</si>
  <si>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</si>
  <si>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</si>
  <si>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</si>
  <si>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</si>
  <si>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</si>
  <si>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</si>
  <si>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</si>
  <si>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</si>
  <si>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</si>
  <si>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</si>
  <si>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</si>
  <si>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</si>
  <si>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</si>
  <si>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</si>
  <si>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</si>
  <si>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</si>
  <si>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</si>
  <si>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</si>
  <si>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</si>
  <si>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</si>
  <si>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</si>
  <si>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</si>
  <si>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</si>
  <si>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</si>
  <si>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</si>
  <si>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Tœufles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</si>
  <si>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</si>
  <si>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</si>
  <si>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</si>
  <si>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</si>
  <si>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</si>
  <si>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</si>
  <si>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</si>
  <si>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</si>
  <si>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</si>
  <si>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</si>
  <si>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</si>
  <si>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</si>
  <si>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</si>
  <si>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</si>
  <si>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</si>
  <si>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</si>
  <si>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</si>
  <si>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</si>
  <si>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Varennes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</si>
  <si>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</si>
  <si>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</si>
  <si>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</si>
  <si>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</si>
  <si>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</si>
  <si>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</si>
  <si>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</si>
  <si>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</si>
  <si>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Vauvillers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</si>
  <si>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</si>
  <si>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</si>
  <si>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</si>
  <si>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</si>
  <si>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</si>
  <si>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</si>
  <si>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</si>
  <si>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</si>
  <si>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</si>
  <si>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</si>
  <si>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</si>
  <si>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</si>
  <si>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</si>
  <si>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</si>
  <si>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</si>
  <si>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</si>
  <si>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</si>
  <si>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</si>
  <si>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</si>
  <si>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</si>
  <si>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</si>
  <si>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</si>
  <si>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</si>
  <si>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</si>
  <si>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</si>
  <si>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</si>
  <si>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</si>
  <si>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</si>
  <si>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Villeroy</t>
  </si>
  <si>
    <t>80797</t>
  </si>
  <si>
    <t>Villers-aux-Érables</t>
  </si>
  <si>
    <t>80798</t>
  </si>
  <si>
    <t>Villers-Bocage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</si>
  <si>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</si>
  <si>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</si>
  <si>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</si>
  <si>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</si>
  <si>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</si>
  <si>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</si>
  <si>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</si>
  <si>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</si>
  <si>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</si>
  <si>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</si>
  <si>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</si>
  <si>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</si>
  <si>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</si>
  <si>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</si>
  <si>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</si>
  <si>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</si>
  <si>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</si>
  <si>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</si>
  <si>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</si>
  <si>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</si>
  <si>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</si>
  <si>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</si>
  <si>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</si>
  <si>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</si>
  <si>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</si>
  <si>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</si>
  <si>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</si>
  <si>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</si>
  <si>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</si>
  <si>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</si>
  <si>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</si>
  <si>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</si>
  <si>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</si>
  <si>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</si>
  <si>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</si>
  <si>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</si>
  <si>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</si>
  <si>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</si>
  <si>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</si>
  <si>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</si>
  <si>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</si>
  <si>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</si>
  <si>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</si>
  <si>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</si>
  <si>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</si>
  <si>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</si>
  <si>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</si>
  <si>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</si>
  <si>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</si>
  <si>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</si>
  <si>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</si>
  <si>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</si>
  <si>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</si>
  <si>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</si>
  <si>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</si>
  <si>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</si>
  <si>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</si>
  <si>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</si>
  <si>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</si>
  <si>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</si>
  <si>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</si>
  <si>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</si>
  <si>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</si>
  <si>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</si>
  <si>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</si>
  <si>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Nord</t>
  </si>
  <si>
    <t>Oise</t>
  </si>
  <si>
    <t>Pas-de-Calais</t>
  </si>
  <si>
    <t>Somme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</si>
</sst>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</font>
    <font>
      <color theme="1"/>
      <name val="Arial"/>
    </font>
    <font>
      <b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1F4E78"/>
        <bgColor rgb="FF1F4E78"/>
      </patternFill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horizontal="left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horizontal="right" readingOrder="0"/>
    </xf>
    <xf borderId="0" fillId="0" fontId="4" numFmtId="0" xfId="0" applyAlignment="1" applyFont="1">
      <alignment readingOrder="0" vertical="bottom"/>
    </xf>
    <xf borderId="0" fillId="4" fontId="1" numFmtId="0" xfId="0" applyAlignment="1" applyFill="1" applyFont="1">
      <alignment horizontal="right" readingOrder="0"/>
    </xf>
    <xf borderId="0" fillId="5" fontId="1" numFmtId="0" xfId="0" applyAlignment="1" applyFill="1" applyFont="1">
      <alignment horizontal="left" readingOrder="0"/>
    </xf>
    <xf borderId="0" fillId="0" fontId="3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1" xfId="0" applyFont="1" applyNumberFormat="1"/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6" fontId="3" numFmtId="1" xfId="0" applyAlignment="1" applyFill="1" applyFont="1" applyNumberFormat="1">
      <alignment readingOrder="0" shrinkToFit="0" wrapText="1"/>
    </xf>
    <xf borderId="0" fillId="6" fontId="1" numFmtId="0" xfId="0" applyAlignment="1" applyFill="1" applyFont="1">
      <alignment horizontal="center"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0" fillId="0" fontId="2" numFmtId="49" xfId="0" applyAlignment="1" applyFont="1" applyNumberFormat="1">
      <alignment horizontal="left" readingOrder="0" shrinkToFit="0" vertical="bottom" wrapText="0"/>
    </xf>
    <xf borderId="0" fillId="5" fontId="1" numFmtId="0" xfId="0" applyAlignment="1" applyFill="1" applyFont="1">
      <alignment readingOrder="0"/>
    </xf>
    <xf borderId="0" fillId="0" fontId="4" numFmtId="49" xfId="0" applyAlignment="1" applyFont="1" applyNumberFormat="1">
      <alignment shrinkToFit="0" vertical="bottom" wrapText="0"/>
    </xf>
    <xf borderId="0" fillId="6" fontId="1" numFmtId="0" xfId="0" applyAlignment="1" applyFill="1" applyFont="1">
      <alignment readingOrder="0"/>
    </xf>
    <xf borderId="0" fillId="0" fontId="4" numFmtId="0" xfId="0" applyAlignment="1" applyFont="1">
      <alignment horizontal="center" shrinkToFit="0" vertical="bottom" wrapText="0"/>
    </xf>
    <xf borderId="0" fillId="6" fontId="3" numFmtId="0" xfId="0" applyFill="1" applyFont="1"/>
    <xf borderId="0" fillId="0" fontId="4" numFmtId="0" xfId="0" applyAlignment="1" applyFont="1">
      <alignment shrinkToFit="0" vertical="bottom" wrapText="0"/>
    </xf>
    <xf borderId="0" fillId="0" fontId="3" numFmtId="2" xfId="0" applyFont="1" applyNumberFormat="1"/>
    <xf borderId="0" fillId="0" fontId="4" numFmtId="0" xfId="0" applyAlignment="1" applyFont="1">
      <alignment readingOrder="0" shrinkToFit="0" vertical="bottom" wrapText="0"/>
    </xf>
    <xf borderId="0" fillId="6" fontId="1" numFmtId="0" xfId="0" applyAlignment="1" applyFill="1" applyFont="1">
      <alignment horizontal="left" readingOrder="0" vertical="center"/>
    </xf>
    <xf borderId="0" fillId="0" fontId="3" numFmtId="0" xfId="0" applyAlignment="1" applyFont="1">
      <alignment readingOrder="0" shrinkToFit="0" textRotation="0" wrapText="1"/>
    </xf>
    <xf borderId="0" fillId="0" fontId="3" numFmtId="0" xfId="0" applyAlignment="1" applyFont="1">
      <alignment horizontal="left"/>
    </xf>
    <xf borderId="0" fillId="0" fontId="4" numFmtId="10" xfId="0" applyAlignment="1" applyFont="1" applyNumberFormat="1">
      <alignment shrinkToFit="0" vertical="bottom" wrapText="0"/>
    </xf>
    <xf borderId="0" fillId="0" fontId="4" numFmtId="1" xfId="0" applyAlignment="1" applyFont="1" applyNumberForma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2" numFmtId="0" xfId="0" applyAlignment="1" applyFont="1">
      <alignment readingOrder="0" vertical="bottom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1" fillId="7" fontId="7" numFmtId="0" xfId="0" applyBorder="1" applyFill="1" applyFont="1"/>
    <xf borderId="0" fillId="0" fontId="4" numFmtId="49" xfId="0" applyFont="1" applyNumberFormat="1"/>
    <xf borderId="0" fillId="0" fontId="6" numFmtId="0" xfId="0" applyFont="1"/>
    <xf borderId="0" fillId="0" fontId="3" numFmtId="0" xfId="0" applyAlignment="1" applyFont="1">
      <alignment horizontal="center"/>
    </xf>
    <xf borderId="1" fillId="8" fontId="7" numFmtId="0" xfId="0" applyAlignment="1" applyBorder="1" applyFill="1" applyFont="1">
      <alignment shrinkToFit="0" vertical="center" wrapText="1"/>
    </xf>
    <xf borderId="0" fillId="8" fontId="7" numFmtId="0" xfId="0" applyAlignment="1" applyFill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Analy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ie de Communes_HDF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opie de INSEE_Commune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opie de INSEE_EPC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93" sheet="Copie de INSEE_EPCI"/>
  </cacheSource>
  <cacheFields>
    <cacheField name="Code_EPCI" numFmtId="49">
      <sharedItems>
        <s v="248000531"/>
        <s v="200071785"/>
        <s v="245901152"/>
        <s v="200040947"/>
        <s v="200068047"/>
        <s v="200044618"/>
        <s v="200090751"/>
        <s v="240200477"/>
        <s v="200043396"/>
        <s v="245901160"/>
        <s v="246200299"/>
        <s v="200072460"/>
        <s v="200068500"/>
        <s v="246200364"/>
        <s v="200070993"/>
        <s v="200042190"/>
        <s v="200072031"/>
        <s v="200067965"/>
        <s v="200069029"/>
        <s v="200067999"/>
        <s v="246200729"/>
        <s v="200030633"/>
        <s v="200043495"/>
        <s v="200069037"/>
        <s v="200071892"/>
        <s v="200070969"/>
        <s v="200043263"/>
        <s v="245900758"/>
        <s v="200069722"/>
        <s v="200071223"/>
        <s v="200044048"/>
        <s v="200072478"/>
        <s v="200071769"/>
        <s v="200070936"/>
        <s v="200041960"/>
        <s v="200071991"/>
        <s v="200066975"/>
        <s v="200071181"/>
        <s v="200070928"/>
        <s v="200067973"/>
        <s v="200071983"/>
        <s v="200018083"/>
        <s v="246000764"/>
        <s v="200070985"/>
        <s v="200068005"/>
        <s v="240200576"/>
        <s v="200037059"/>
        <s v="246000848"/>
        <s v="246000897"/>
        <s v="246200844"/>
        <s v="246200380"/>
        <s v="240200444"/>
        <s v="200044030"/>
        <s v="200069482"/>
        <s v="246000772"/>
        <s v="200040954"/>
        <s v="246000749"/>
        <s v="246000921"/>
        <s v="240200634"/>
        <s v="246000582"/>
        <s v="240200600"/>
        <s v="247600588"/>
        <s v="240200519"/>
        <s v="240200584"/>
        <s v="240200592"/>
        <s v="246000376"/>
        <s v="200070977"/>
        <s v="200069235"/>
        <s v="246000129"/>
        <s v="246000756"/>
        <s v="245901038"/>
        <s v="246000913"/>
        <s v="246201016"/>
        <s v="200043321"/>
        <s v="246000871"/>
        <s v="240200469"/>
        <s v="246000855"/>
        <s v="248000747"/>
        <s v="240200493"/>
        <s v="246000566"/>
        <s v="200035442"/>
        <s v="200043404"/>
        <s v="200069672"/>
        <s v="200070951"/>
        <s v="248000499"/>
        <s v="240200501"/>
        <s v="200040426"/>
        <s v="246000707"/>
        <s v="200070944"/>
        <s v="200033579"/>
        <s v="245900428"/>
        <s v="200093201"/>
      </sharedItems>
    </cacheField>
    <cacheField name="Nom_EPCI" numFmtId="0">
      <sharedItems>
        <s v="CA Amiens Métropole"/>
        <s v="CA Chauny Tergnier La Fère"/>
        <s v="CA Coeur d'Ostrevent"/>
        <s v="CA Coeur de Flandre"/>
        <s v="CA Creil Sud Oise"/>
        <s v="CA Douaisis Agglo"/>
        <s v="CA Grand Calais Terres et Mers"/>
        <s v="CA GrandSoissons Agglomération"/>
        <s v="CA Maubeuge Val de Sambre"/>
        <s v="CA Valenciennes Métropole"/>
        <s v="CA d'Hénin-Carvin"/>
        <s v="CA de Béthune-Bruay, Artois-Lys Romane"/>
        <s v="CA de Cambrai"/>
        <s v="CA de Lens - Liévin"/>
        <s v="CA de la Baie de Somme"/>
        <s v="CA de la Porte du Hainaut"/>
        <s v="CA de la Région de Château-Thierry"/>
        <s v="CA de la Région de Compiègne et de la Basse Automne"/>
        <s v="CA des Deux Baies en Montreuillois"/>
        <s v="CA du Beauvaisis"/>
        <s v="CA du Boulonnais"/>
        <s v="CA du Caudrésis et du Catésis"/>
        <s v="CA du Pays de Laon"/>
        <s v="CA du Pays de Saint-Omer"/>
        <s v="CA du Saint-Quentinois"/>
        <s v="CC Avre Luce Noye"/>
        <s v="CC Coeur de l'Avesnois"/>
        <s v="CC Flandre Lys"/>
        <s v="CC Interrégionale Aumale - Blangy-sur-Bresle"/>
        <s v="CC Nièvre et Somme"/>
        <s v="CC Osartis Marquion"/>
        <s v="CC Pays d'Opale"/>
        <s v="CC Picardie des Châteaux"/>
        <s v="CC Ponthieu-Marquenterre"/>
        <s v="CC Pévèle-Carembault"/>
        <s v="CC Retz en Valois"/>
        <s v="CC Senlis Sud Oise"/>
        <s v="CC Somme Sud-Ouest"/>
        <s v="CC Terre de Picardie"/>
        <s v="CC Thelloise"/>
        <s v="CC Thiérache Sambre et Oise"/>
        <s v="CC de Desvres-Samer"/>
        <s v="CC de l'Aire Cantilienne"/>
        <s v="CC de l'Est de la Somme"/>
        <s v="CC de l'Oise Picarde"/>
        <s v="CC de la Champagne Picarde"/>
        <s v="CC de la Haute Somme (Combles - Péronne - Roisel)"/>
        <s v="CC de la Picardie Verte"/>
        <s v="CC de la Plaine d'Estrées"/>
        <s v="CC de la Région d'Audruicq"/>
        <s v="CC de la Terre des Deux Caps"/>
        <s v="CC de la Thiérache du Centre"/>
        <s v="CC des 7 Vallées"/>
        <s v="CC des Campagnes de l'Artois"/>
        <s v="CC des Deux Vallées"/>
        <s v="CC des Hauts de Flandre"/>
        <s v="CC des Lisières de l'Oise"/>
        <s v="CC des Pays d'Oise et d'Halatte"/>
        <s v="CC des Portes de la Thiérache"/>
        <s v="CC des Sablons"/>
        <s v="CC des Trois Rivières"/>
        <s v="CC des Villes Soeurs"/>
        <s v="CC du Canton d'Oulchy-le-Château"/>
        <s v="CC du Canton de Charly-sur-Marne"/>
        <s v="CC du Chemin des Dames"/>
        <s v="CC du Clermontois"/>
        <s v="CC du Grand Roye"/>
        <s v="CC du Haut Pays du Montreuillois"/>
        <s v="CC du Liancourtois"/>
        <s v="CC du Pays Noyonnais"/>
        <s v="CC du Pays Solesmois"/>
        <s v="CC du Pays de Bray"/>
        <s v="CC du Pays de Lumbres"/>
        <s v="CC du Pays de Mormal"/>
        <s v="CC du Pays de Valois"/>
        <s v="CC du Pays de la Serre"/>
        <s v="CC du Pays des Sources"/>
        <s v="CC du Pays du Coquelicot"/>
        <s v="CC du Pays du Vermandois"/>
        <s v="CC du Plateau Picard"/>
        <s v="CC du Sud Artois"/>
        <s v="CC du Sud Avesnois"/>
        <s v="CC du Ternois"/>
        <s v="CC du Territoire Nord Picardie"/>
        <s v="CC du Val de Somme"/>
        <s v="CC du Val de l'Aisne"/>
        <s v="CC du Val de l'Oise"/>
        <s v="CC du Vexin-Thelle"/>
        <s v="CC du Vimeu"/>
        <s v="CU d'Arras"/>
        <s v="CU de Dunkerque"/>
        <s v="Métropole Européenne de Lille"/>
      </sharedItems>
    </cacheField>
    <cacheField name="Population_2017" numFmtId="0">
      <sharedItems containsSemiMixedTypes="0" containsString="0" containsNumber="1" containsInteger="1">
        <n v="180816.0"/>
        <n v="55470.0"/>
        <n v="70957.0"/>
        <n v="102272.0"/>
        <n v="86512.0"/>
        <n v="149258.0"/>
        <n v="105269.0"/>
        <n v="52328.0"/>
        <n v="125651.0"/>
        <n v="192594.0"/>
        <n v="125835.0"/>
        <n v="276895.0"/>
        <n v="81906.0"/>
        <n v="241934.0"/>
        <n v="49191.0"/>
        <n v="158754.0"/>
        <n v="54319.0"/>
        <n v="82281.0"/>
        <n v="66334.0"/>
        <n v="102607.0"/>
        <n v="113211.0"/>
        <n v="64841.0"/>
        <n v="42884.0"/>
        <n v="105743.0"/>
        <n v="80781.0"/>
        <n v="21867.0"/>
        <n v="30153.0"/>
        <n v="39399.0"/>
        <n v="21686.0"/>
        <n v="28252.0"/>
        <n v="42151.0"/>
        <n v="25187.0"/>
        <n v="17380.0"/>
        <n v="33144.0"/>
        <n v="95294.0"/>
        <n v="29643.0"/>
        <n v="23717.0"/>
        <n v="38782.0"/>
        <n v="18371.0"/>
        <n v="60767.0"/>
        <n v="16923.0"/>
        <n v="23107.0"/>
        <n v="44831.0"/>
        <n v="20391.0"/>
        <n v="21163.0"/>
        <n v="20923.0"/>
        <n v="27435.0"/>
        <n v="32930.0"/>
        <n v="17849.0"/>
        <n v="27330.0"/>
        <n v="22209.0"/>
        <n v="26448.0"/>
        <n v="29729.0"/>
        <n v="33399.0"/>
        <n v="22926.0"/>
        <n v="53436.0"/>
        <n v="16282.0"/>
        <n v="33799.0"/>
        <n v="6999.0"/>
        <n v="38379.0"/>
        <n v="21271.0"/>
        <n v="37550.0"/>
        <n v="5675.0"/>
        <n v="15740.0"/>
        <n v="5484.0"/>
        <n v="37135.0"/>
        <n v="25803.0"/>
        <n v="15741.0"/>
        <n v="23660.0"/>
        <n v="32964.0"/>
        <n v="14908.0"/>
        <n v="18297.0"/>
        <n v="24248.0"/>
        <n v="48441.0"/>
        <n v="55733.0"/>
        <n v="14565.0"/>
        <n v="22104.0"/>
        <n v="28416.0"/>
        <n v="31207.0"/>
        <n v="30249.0"/>
        <n v="27456.0"/>
        <n v="25206.0"/>
        <n v="38364.0"/>
        <n v="31450.0"/>
        <n v="26605.0"/>
        <n v="20284.0"/>
        <n v="16083.0"/>
        <n v="20318.0"/>
        <n v="22805.0"/>
        <n v="107763.0"/>
        <n v="196901.0"/>
        <n v="1170630.0"/>
      </sharedItems>
    </cacheField>
    <cacheField name="Population_2023" numFmtId="0">
      <sharedItems containsSemiMixedTypes="0" containsString="0" containsNumber="1" containsInteger="1">
        <n v="184392.0"/>
        <n v="54027.0"/>
        <n v="69764.0"/>
        <n v="102743.0"/>
        <n v="90234.0"/>
        <n v="149282.0"/>
        <n v="98895.0"/>
        <n v="51809.0"/>
        <n v="122247.0"/>
        <n v="191738.0"/>
        <n v="125793.0"/>
        <n v="275028.0"/>
        <n v="80120.0"/>
        <n v="242013.0"/>
        <n v="47572.0"/>
        <n v="158419.0"/>
        <n v="54040.0"/>
        <n v="83992.0"/>
        <n v="64943.0"/>
        <n v="103106.0"/>
        <n v="111647.0"/>
        <n v="62870.0"/>
        <n v="41835.0"/>
        <n v="104207.0"/>
        <n v="79010.0"/>
        <n v="21385.0"/>
        <n v="28503.0"/>
        <n v="40306.0"/>
        <n v="21154.0"/>
        <n v="27658.0"/>
        <n v="42999.0"/>
        <n v="25148.0"/>
        <n v="16523.0"/>
        <n v="32495.0"/>
        <n v="99749.0"/>
        <n v="29037.0"/>
        <n v="24968.0"/>
        <n v="37863.0"/>
        <n v="17968.0"/>
        <n v="61824.0"/>
        <n v="16257.0"/>
        <n v="23211.0"/>
        <n v="44610.0"/>
        <n v="19637.0"/>
        <n v="20928.0"/>
        <n v="20865.0"/>
        <n v="26393.0"/>
        <n v="32039.0"/>
        <n v="18131.0"/>
        <n v="28202.0"/>
        <n v="22357.0"/>
        <n v="25590.0"/>
        <n v="29526.0"/>
        <n v="33442.0"/>
        <n v="22523.0"/>
        <n v="53437.0"/>
        <n v="15898.0"/>
        <n v="34469.0"/>
        <n v="6622.0"/>
        <n v="38351.0"/>
        <n v="20346.0"/>
        <n v="35390.0"/>
        <n v="5512.0"/>
        <n v="15224.0"/>
        <n v="5505.0"/>
        <n v="37535.0"/>
        <n v="25273.0"/>
        <n v="15781.0"/>
        <n v="23801.0"/>
        <n v="31901.0"/>
        <n v="14470.0"/>
        <n v="18086.0"/>
        <n v="24109.0"/>
        <n v="48048.0"/>
        <n v="55548.0"/>
        <n v="14337.0"/>
        <n v="22081.0"/>
        <n v="27713.0"/>
        <n v="30577.0"/>
        <n v="29412.0"/>
        <n v="26962.0"/>
        <n v="24208.0"/>
        <n v="36913.0"/>
        <n v="30685.0"/>
        <n v="26314.0"/>
        <n v="20310.0"/>
        <n v="15838.0"/>
        <n v="20462.0"/>
        <n v="22072.0"/>
        <n v="109884.0"/>
        <n v="191478.0"/>
        <n v="1195234.0"/>
      </sharedItems>
    </cacheField>
    <cacheField name="Niveau_vie_median_2023" numFmtId="0">
      <sharedItems containsSemiMixedTypes="0" containsString="0" containsNumber="1" containsInteger="1">
        <n v="23640.0"/>
        <n v="22590.0"/>
        <n v="22340.0"/>
        <n v="25990.0"/>
        <n v="19250.0"/>
        <n v="22540.0"/>
        <n v="22150.0"/>
        <n v="22560.0"/>
        <n v="20580.0"/>
        <n v="22000.0"/>
        <n v="21790.0"/>
        <n v="22990.0"/>
        <n v="23780.0"/>
        <n v="21190.0"/>
        <n v="23410.0"/>
        <n v="21900.0"/>
        <n v="24320.0"/>
        <n v="25950.0"/>
        <n v="25280.0"/>
        <n v="24370.0"/>
        <n v="22740.0"/>
        <n v="21850.0"/>
        <n v="23010.0"/>
        <n v="23440.0"/>
        <n v="22260.0"/>
        <n v="26230.0"/>
        <n v="22920.0"/>
        <n v="25980.0"/>
        <n v="23850.0"/>
        <n v="24700.0"/>
        <n v="25860.0"/>
        <n v="24080.0"/>
        <n v="24100.0"/>
        <n v="24290.0"/>
        <n v="29620.0"/>
        <n v="25030.0"/>
        <n v="31670.0"/>
        <n v="25250.0"/>
        <n v="23790.0"/>
        <n v="27960.0"/>
        <n v="21700.0"/>
        <n v="24030.0"/>
        <n v="34810.0"/>
        <n v="23140.0"/>
        <n v="24840.0"/>
        <n v="24780.0"/>
        <n v="23420.0"/>
        <n v="24540.0"/>
        <n v="28230.0"/>
        <n v="25520.0"/>
        <n v="22900.0"/>
        <n v="23150.0"/>
        <n v="26140.0"/>
        <n v="25850.0"/>
        <n v="26130.0"/>
        <n v="26930.0"/>
        <n v="27230.0"/>
        <n v="21250.0"/>
        <n v="26310.0"/>
        <n v="20630.0"/>
        <n v="24010.0"/>
        <n v="25290.0"/>
        <n v="25680.0"/>
        <n v="25190.0"/>
        <n v="26840.0"/>
        <n v="23630.0"/>
        <n v="23240.0"/>
        <n v="25840.0"/>
        <n v="24330.0"/>
        <n v="25560.0"/>
        <n v="25710.0"/>
        <n v="28270.0"/>
        <n v="23550.0"/>
        <n v="27170.0"/>
        <n v="24530.0"/>
        <n v="23320.0"/>
        <n v="25350.0"/>
        <n v="24390.0"/>
        <n v="20100.0"/>
        <n v="23180.0"/>
        <n v="24940.0"/>
        <n v="26250.0"/>
        <n v="25120.0"/>
        <n v="24580.0"/>
        <n v="28390.0"/>
        <n v="23690.0"/>
        <n v="25670.0"/>
        <n v="23270.0"/>
        <n v="24430.0"/>
      </sharedItems>
    </cacheField>
    <cacheField name="Taux_pauvrete_2023" numFmtId="0">
      <sharedItems containsSemiMixedTypes="0" containsString="0" containsNumber="1">
        <n v="23.5"/>
        <n v="21.6"/>
        <n v="21.1"/>
        <n v="11.1"/>
        <n v="33.5"/>
        <n v="22.4"/>
        <n v="23.0"/>
        <n v="23.9"/>
        <n v="28.6"/>
        <n v="25.0"/>
        <n v="23.3"/>
        <n v="19.4"/>
        <n v="17.6"/>
        <n v="25.3"/>
        <n v="18.5"/>
        <n v="23.6"/>
        <n v="17.0"/>
        <n v="16.3"/>
        <n v="13.7"/>
        <n v="19.2"/>
        <n v="20.6"/>
        <n v="22.3"/>
        <n v="24.0"/>
        <n v="10.3"/>
        <n v="20.9"/>
        <n v="11.6"/>
        <n v="14.0"/>
        <n v="13.0"/>
        <n v="10.6"/>
        <n v="14.7"/>
        <n v="16.0"/>
        <n v="14.2"/>
        <n v="8.0"/>
        <n v="8.8"/>
        <n v="12.5"/>
        <n v="8.1"/>
        <n v="14.1"/>
        <n v="7.1"/>
        <n v="13.4"/>
        <n v="12.7"/>
        <n v="17.2"/>
        <n v="13.6"/>
        <n v="7.0"/>
        <n v="12.0"/>
        <n v="13.8"/>
        <n v="19.3"/>
        <n v="17.9"/>
        <n v="10.1"/>
        <n v="11.8"/>
        <n v="10.0"/>
        <n v="26.0"/>
        <n v="14.9"/>
        <n v="11.0"/>
        <n v="16.9"/>
        <n v="20.1"/>
        <n v="15.0"/>
        <n v="12.8"/>
        <n v="14.3"/>
        <n v="9.0"/>
        <n v="18.2"/>
        <n v="11.5"/>
        <n v="13.5"/>
        <n v="29.7"/>
        <n v="18.9"/>
        <n v="13.9"/>
        <n v="9.6"/>
        <n v="16.5"/>
        <n v="20.3"/>
        <n v="21.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783" sheet="Copie de Communes_HDF"/>
  </cacheSource>
  <cacheFields>
    <cacheField name="Code_INSEE" numFmtId="0">
      <sharedItems>
        <s v="02001"/>
        <s v="02002"/>
        <s v="02003"/>
        <s v="02004"/>
        <s v="02005"/>
        <s v="02006"/>
        <s v="02007"/>
        <s v="02008"/>
        <s v="02009"/>
        <s v="02010"/>
        <s v="02011"/>
        <s v="02012"/>
        <s v="02013"/>
        <s v="02014"/>
        <s v="02015"/>
        <s v="02016"/>
        <s v="02017"/>
        <s v="02018"/>
        <s v="02019"/>
        <s v="02020"/>
        <s v="02021"/>
        <s v="02022"/>
        <s v="02023"/>
        <s v="02024"/>
        <s v="02025"/>
        <s v="02027"/>
        <s v="02028"/>
        <s v="02029"/>
        <s v="02030"/>
        <s v="02031"/>
        <s v="02032"/>
        <s v="02033"/>
        <s v="02034"/>
        <s v="02035"/>
        <s v="02036"/>
        <s v="02037"/>
        <s v="02038"/>
        <s v="02039"/>
        <s v="02040"/>
        <s v="02041"/>
        <s v="02042"/>
        <s v="02043"/>
        <s v="02044"/>
        <s v="02046"/>
        <s v="02047"/>
        <s v="02048"/>
        <s v="02049"/>
        <s v="02050"/>
        <s v="02051"/>
        <s v="02052"/>
        <s v="02053"/>
        <s v="02054"/>
        <s v="02055"/>
        <s v="02056"/>
        <s v="02057"/>
        <s v="02058"/>
        <s v="02059"/>
        <s v="02060"/>
        <s v="02061"/>
        <s v="02062"/>
        <s v="02063"/>
        <s v="02064"/>
        <s v="02065"/>
        <s v="02066"/>
        <s v="02067"/>
        <s v="02068"/>
        <s v="02069"/>
        <s v="02070"/>
        <s v="02071"/>
        <s v="02072"/>
        <s v="02073"/>
        <s v="02074"/>
        <s v="02075"/>
        <s v="02076"/>
        <s v="02078"/>
        <s v="02079"/>
        <s v="02080"/>
        <s v="02081"/>
        <s v="02082"/>
        <s v="02083"/>
        <s v="02084"/>
        <s v="02085"/>
        <s v="02086"/>
        <s v="02087"/>
        <s v="02088"/>
        <s v="02089"/>
        <s v="02090"/>
        <s v="02091"/>
        <s v="02093"/>
        <s v="02094"/>
        <s v="02095"/>
        <s v="02096"/>
        <s v="02097"/>
        <s v="02098"/>
        <s v="02099"/>
        <s v="02100"/>
        <s v="02101"/>
        <s v="02102"/>
        <s v="02103"/>
        <s v="02104"/>
        <s v="02105"/>
        <s v="02106"/>
        <s v="02107"/>
        <s v="02108"/>
        <s v="02109"/>
        <s v="02110"/>
        <s v="02111"/>
        <s v="02112"/>
        <s v="02114"/>
        <s v="02115"/>
        <s v="02116"/>
        <s v="02117"/>
        <s v="02118"/>
        <s v="02119"/>
        <s v="02120"/>
        <s v="02121"/>
        <s v="02122"/>
        <s v="02123"/>
        <s v="02124"/>
        <s v="02125"/>
        <s v="02126"/>
        <s v="02127"/>
        <s v="02128"/>
        <s v="02129"/>
        <s v="02130"/>
        <s v="02131"/>
        <s v="02132"/>
        <s v="02133"/>
        <s v="02134"/>
        <s v="02135"/>
        <s v="02136"/>
        <s v="02137"/>
        <s v="02138"/>
        <s v="02139"/>
        <s v="02140"/>
        <s v="02141"/>
        <s v="02142"/>
        <s v="02143"/>
        <s v="02144"/>
        <s v="02145"/>
        <s v="02146"/>
        <s v="02148"/>
        <s v="02149"/>
        <s v="02150"/>
        <s v="02151"/>
        <s v="02152"/>
        <s v="02153"/>
        <s v="02154"/>
        <s v="02155"/>
        <s v="02156"/>
        <s v="02157"/>
        <s v="02158"/>
        <s v="02159"/>
        <s v="02160"/>
        <s v="02162"/>
        <s v="02163"/>
        <s v="02164"/>
        <s v="02165"/>
        <s v="02166"/>
        <s v="02167"/>
        <s v="02168"/>
        <s v="02169"/>
        <s v="02170"/>
        <s v="02171"/>
        <s v="02172"/>
        <s v="02173"/>
        <s v="02174"/>
        <s v="02175"/>
        <s v="02176"/>
        <s v="02177"/>
        <s v="02178"/>
        <s v="02179"/>
        <s v="02180"/>
        <s v="02181"/>
        <s v="02182"/>
        <s v="02183"/>
        <s v="02184"/>
        <s v="02185"/>
        <s v="02186"/>
        <s v="02187"/>
        <s v="02188"/>
        <s v="02189"/>
        <s v="02190"/>
        <s v="02191"/>
        <s v="02192"/>
        <s v="02193"/>
        <s v="02194"/>
        <s v="02195"/>
        <s v="02196"/>
        <s v="02197"/>
        <s v="02198"/>
        <s v="02199"/>
        <s v="02200"/>
        <s v="02201"/>
        <s v="02203"/>
        <s v="02204"/>
        <s v="02205"/>
        <s v="02206"/>
        <s v="02207"/>
        <s v="02208"/>
        <s v="02209"/>
        <s v="02210"/>
        <s v="02211"/>
        <s v="02212"/>
        <s v="02213"/>
        <s v="02214"/>
        <s v="02215"/>
        <s v="02216"/>
        <s v="02217"/>
        <s v="02218"/>
        <s v="02219"/>
        <s v="02220"/>
        <s v="02221"/>
        <s v="02222"/>
        <s v="02223"/>
        <s v="02224"/>
        <s v="02225"/>
        <s v="02226"/>
        <s v="02227"/>
        <s v="02228"/>
        <s v="02229"/>
        <s v="02230"/>
        <s v="02231"/>
        <s v="02232"/>
        <s v="02233"/>
        <s v="02234"/>
        <s v="02235"/>
        <s v="02236"/>
        <s v="02237"/>
        <s v="02238"/>
        <s v="02239"/>
        <s v="02240"/>
        <s v="02241"/>
        <s v="02242"/>
        <s v="02243"/>
        <s v="02244"/>
        <s v="02245"/>
        <s v="02246"/>
        <s v="02248"/>
        <s v="02249"/>
        <s v="02250"/>
        <s v="02251"/>
        <s v="02252"/>
        <s v="02253"/>
        <s v="02254"/>
        <s v="02255"/>
        <s v="02256"/>
        <s v="02257"/>
        <s v="02258"/>
        <s v="02259"/>
        <s v="02260"/>
        <s v="02261"/>
        <s v="02262"/>
        <s v="02263"/>
        <s v="02264"/>
        <s v="02265"/>
        <s v="02266"/>
        <s v="02267"/>
        <s v="02268"/>
        <s v="02269"/>
        <s v="02270"/>
        <s v="02271"/>
        <s v="02272"/>
        <s v="02273"/>
        <s v="02274"/>
        <s v="02275"/>
        <s v="02276"/>
        <s v="02277"/>
        <s v="02278"/>
        <s v="02279"/>
        <s v="02280"/>
        <s v="02281"/>
        <s v="02282"/>
        <s v="02283"/>
        <s v="02284"/>
        <s v="02286"/>
        <s v="02287"/>
        <s v="02288"/>
        <s v="02289"/>
        <s v="02290"/>
        <s v="02291"/>
        <s v="02292"/>
        <s v="02293"/>
        <s v="02294"/>
        <s v="02295"/>
        <s v="02296"/>
        <s v="02297"/>
        <s v="02298"/>
        <s v="02299"/>
        <s v="02302"/>
        <s v="02303"/>
        <s v="02304"/>
        <s v="02305"/>
        <s v="02306"/>
        <s v="02307"/>
        <s v="02308"/>
        <s v="02309"/>
        <s v="02310"/>
        <s v="02312"/>
        <s v="02313"/>
        <s v="02315"/>
        <s v="02316"/>
        <s v="02317"/>
        <s v="02318"/>
        <s v="02319"/>
        <s v="02320"/>
        <s v="02321"/>
        <s v="02322"/>
        <s v="02323"/>
        <s v="02324"/>
        <s v="02326"/>
        <s v="02327"/>
        <s v="02328"/>
        <s v="02329"/>
        <s v="02330"/>
        <s v="02331"/>
        <s v="02332"/>
        <s v="02333"/>
        <s v="02334"/>
        <s v="02335"/>
        <s v="02336"/>
        <s v="02337"/>
        <s v="02338"/>
        <s v="02339"/>
        <s v="02340"/>
        <s v="02341"/>
        <s v="02342"/>
        <s v="02343"/>
        <s v="02345"/>
        <s v="02346"/>
        <s v="02347"/>
        <s v="02349"/>
        <s v="02350"/>
        <s v="02351"/>
        <s v="02352"/>
        <s v="02353"/>
        <s v="02354"/>
        <s v="02355"/>
        <s v="02356"/>
        <s v="02357"/>
        <s v="02358"/>
        <s v="02359"/>
        <s v="02360"/>
        <s v="02361"/>
        <s v="02362"/>
        <s v="02363"/>
        <s v="02364"/>
        <s v="02366"/>
        <s v="02367"/>
        <s v="02368"/>
        <s v="02369"/>
        <s v="02370"/>
        <s v="02371"/>
        <s v="02372"/>
        <s v="02373"/>
        <s v="02374"/>
        <s v="02375"/>
        <s v="02376"/>
        <s v="02377"/>
        <s v="02378"/>
        <s v="02379"/>
        <s v="02380"/>
        <s v="02381"/>
        <s v="02382"/>
        <s v="02383"/>
        <s v="02384"/>
        <s v="02385"/>
        <s v="02386"/>
        <s v="02387"/>
        <s v="02388"/>
        <s v="02389"/>
        <s v="02390"/>
        <s v="02391"/>
        <s v="02392"/>
        <s v="02393"/>
        <s v="02395"/>
        <s v="02396"/>
        <s v="02397"/>
        <s v="02398"/>
        <s v="02399"/>
        <s v="02400"/>
        <s v="02401"/>
        <s v="02402"/>
        <s v="02403"/>
        <s v="02404"/>
        <s v="02405"/>
        <s v="02406"/>
        <s v="02407"/>
        <s v="02408"/>
        <s v="02409"/>
        <s v="02410"/>
        <s v="02411"/>
        <s v="02412"/>
        <s v="02413"/>
        <s v="02414"/>
        <s v="02415"/>
        <s v="02416"/>
        <s v="02417"/>
        <s v="02418"/>
        <s v="02419"/>
        <s v="02420"/>
        <s v="02421"/>
        <s v="02422"/>
        <s v="02423"/>
        <s v="02424"/>
        <s v="02425"/>
        <s v="02426"/>
        <s v="02427"/>
        <s v="02428"/>
        <s v="02429"/>
        <s v="02430"/>
        <s v="02431"/>
        <s v="02432"/>
        <s v="02433"/>
        <s v="02435"/>
        <s v="02438"/>
        <s v="02439"/>
        <s v="02440"/>
        <s v="02441"/>
        <s v="02442"/>
        <s v="02443"/>
        <s v="02444"/>
        <s v="02445"/>
        <s v="02446"/>
        <s v="02447"/>
        <s v="02448"/>
        <s v="02449"/>
        <s v="02450"/>
        <s v="02451"/>
        <s v="02452"/>
        <s v="02453"/>
        <s v="02454"/>
        <s v="02455"/>
        <s v="02456"/>
        <s v="02457"/>
        <s v="02458"/>
        <s v="02459"/>
        <s v="02460"/>
        <s v="02461"/>
        <s v="02462"/>
        <s v="02463"/>
        <s v="02464"/>
        <s v="02465"/>
        <s v="02466"/>
        <s v="02467"/>
        <s v="02468"/>
        <s v="02469"/>
        <s v="02470"/>
        <s v="02471"/>
        <s v="02472"/>
        <s v="02473"/>
        <s v="02474"/>
        <s v="02476"/>
        <s v="02477"/>
        <s v="02478"/>
        <s v="02480"/>
        <s v="02481"/>
        <s v="02482"/>
        <s v="02483"/>
        <s v="02484"/>
        <s v="02485"/>
        <s v="02486"/>
        <s v="02487"/>
        <s v="02488"/>
        <s v="02489"/>
        <s v="02490"/>
        <s v="02491"/>
        <s v="02492"/>
        <s v="02493"/>
        <s v="02494"/>
        <s v="02495"/>
        <s v="02496"/>
        <s v="02497"/>
        <s v="02498"/>
        <s v="02499"/>
        <s v="02500"/>
        <s v="02501"/>
        <s v="02502"/>
        <s v="02503"/>
        <s v="02504"/>
        <s v="02505"/>
        <s v="02506"/>
        <s v="02507"/>
        <s v="02508"/>
        <s v="02509"/>
        <s v="02510"/>
        <s v="02511"/>
        <s v="02512"/>
        <s v="02513"/>
        <s v="02514"/>
        <s v="02515"/>
        <s v="02516"/>
        <s v="02517"/>
        <s v="02518"/>
        <s v="02519"/>
        <s v="02520"/>
        <s v="02521"/>
        <s v="02522"/>
        <s v="02523"/>
        <s v="02524"/>
        <s v="02525"/>
        <s v="02526"/>
        <s v="02527"/>
        <s v="02528"/>
        <s v="02529"/>
        <s v="02530"/>
        <s v="02531"/>
        <s v="02532"/>
        <s v="02533"/>
        <s v="02534"/>
        <s v="02535"/>
        <s v="02536"/>
        <s v="02537"/>
        <s v="02538"/>
        <s v="02539"/>
        <s v="02540"/>
        <s v="02541"/>
        <s v="02542"/>
        <s v="02543"/>
        <s v="02544"/>
        <s v="02545"/>
        <s v="02546"/>
        <s v="02547"/>
        <s v="02548"/>
        <s v="02549"/>
        <s v="02550"/>
        <s v="02551"/>
        <s v="02552"/>
        <s v="02553"/>
        <s v="02554"/>
        <s v="02555"/>
        <s v="02556"/>
        <s v="02557"/>
        <s v="02558"/>
        <s v="02559"/>
        <s v="02560"/>
        <s v="02561"/>
        <s v="02562"/>
        <s v="02563"/>
        <s v="02564"/>
        <s v="02565"/>
        <s v="02566"/>
        <s v="02567"/>
        <s v="02568"/>
        <s v="02569"/>
        <s v="02570"/>
        <s v="02571"/>
        <s v="02572"/>
        <s v="02573"/>
        <s v="02574"/>
        <s v="02575"/>
        <s v="02576"/>
        <s v="02577"/>
        <s v="02578"/>
        <s v="02579"/>
        <s v="02580"/>
        <s v="02581"/>
        <s v="02582"/>
        <s v="02583"/>
        <s v="02584"/>
        <s v="02585"/>
        <s v="02586"/>
        <s v="02587"/>
        <s v="02588"/>
        <s v="02589"/>
        <s v="02590"/>
        <s v="02591"/>
        <s v="02592"/>
        <s v="02593"/>
        <s v="02594"/>
        <s v="02595"/>
        <s v="02596"/>
        <s v="02598"/>
        <s v="02599"/>
        <s v="02600"/>
        <s v="02601"/>
        <s v="02602"/>
        <s v="02604"/>
        <s v="02605"/>
        <s v="02606"/>
        <s v="02607"/>
        <s v="02608"/>
        <s v="02609"/>
        <s v="02610"/>
        <s v="02612"/>
        <s v="02613"/>
        <s v="02614"/>
        <s v="02615"/>
        <s v="02616"/>
        <s v="02617"/>
        <s v="02618"/>
        <s v="02619"/>
        <s v="02620"/>
        <s v="02621"/>
        <s v="02622"/>
        <s v="02623"/>
        <s v="02624"/>
        <s v="02625"/>
        <s v="02626"/>
        <s v="02627"/>
        <s v="02628"/>
        <s v="02629"/>
        <s v="02631"/>
        <s v="02632"/>
        <s v="02633"/>
        <s v="02634"/>
        <s v="02635"/>
        <s v="02636"/>
        <s v="02637"/>
        <s v="02638"/>
        <s v="02639"/>
        <s v="02640"/>
        <s v="02641"/>
        <s v="02642"/>
        <s v="02643"/>
        <s v="02644"/>
        <s v="02645"/>
        <s v="02647"/>
        <s v="02648"/>
        <s v="02649"/>
        <s v="02650"/>
        <s v="02651"/>
        <s v="02652"/>
        <s v="02653"/>
        <s v="02654"/>
        <s v="02655"/>
        <s v="02656"/>
        <s v="02657"/>
        <s v="02658"/>
        <s v="02659"/>
        <s v="02660"/>
        <s v="02661"/>
        <s v="02662"/>
        <s v="02663"/>
        <s v="02664"/>
        <s v="02665"/>
        <s v="02666"/>
        <s v="02667"/>
        <s v="02668"/>
        <s v="02670"/>
        <s v="02671"/>
        <s v="02672"/>
        <s v="02673"/>
        <s v="02674"/>
        <s v="02675"/>
        <s v="02676"/>
        <s v="02677"/>
        <s v="02678"/>
        <s v="02679"/>
        <s v="02680"/>
        <s v="02681"/>
        <s v="02682"/>
        <s v="02683"/>
        <s v="02684"/>
        <s v="02685"/>
        <s v="02686"/>
        <s v="02687"/>
        <s v="02688"/>
        <s v="02689"/>
        <s v="02690"/>
        <s v="02691"/>
        <s v="02693"/>
        <s v="02694"/>
        <s v="02696"/>
        <s v="02697"/>
        <s v="02698"/>
        <s v="02699"/>
        <s v="02701"/>
        <s v="02702"/>
        <s v="02703"/>
        <s v="02704"/>
        <s v="02705"/>
        <s v="02706"/>
        <s v="02707"/>
        <s v="02708"/>
        <s v="02709"/>
        <s v="02710"/>
        <s v="02711"/>
        <s v="02712"/>
        <s v="02713"/>
        <s v="02714"/>
        <s v="02715"/>
        <s v="02716"/>
        <s v="02717"/>
        <s v="02718"/>
        <s v="02719"/>
        <s v="02720"/>
        <s v="02721"/>
        <s v="02722"/>
        <s v="02723"/>
        <s v="02724"/>
        <s v="02725"/>
        <s v="02726"/>
        <s v="02727"/>
        <s v="02728"/>
        <s v="02729"/>
        <s v="02730"/>
        <s v="02731"/>
        <s v="02732"/>
        <s v="02734"/>
        <s v="02735"/>
        <s v="02736"/>
        <s v="02737"/>
        <s v="02738"/>
        <s v="02739"/>
        <s v="02740"/>
        <s v="02741"/>
        <s v="02742"/>
        <s v="02743"/>
        <s v="02744"/>
        <s v="02745"/>
        <s v="02746"/>
        <s v="02747"/>
        <s v="02748"/>
        <s v="02749"/>
        <s v="02750"/>
        <s v="02751"/>
        <s v="02752"/>
        <s v="02753"/>
        <s v="02754"/>
        <s v="02755"/>
        <s v="02756"/>
        <s v="02757"/>
        <s v="02758"/>
        <s v="02759"/>
        <s v="02760"/>
        <s v="02761"/>
        <s v="02762"/>
        <s v="02763"/>
        <s v="02764"/>
        <s v="02765"/>
        <s v="02766"/>
        <s v="02767"/>
        <s v="02768"/>
        <s v="02769"/>
        <s v="02770"/>
        <s v="02772"/>
        <s v="02773"/>
        <s v="02774"/>
        <s v="02775"/>
        <s v="02776"/>
        <s v="02777"/>
        <s v="02778"/>
        <s v="02779"/>
        <s v="02780"/>
        <s v="02781"/>
        <s v="02782"/>
        <s v="02783"/>
        <s v="02784"/>
        <s v="02785"/>
        <s v="02786"/>
        <s v="02787"/>
        <s v="02788"/>
        <s v="02789"/>
        <s v="02790"/>
        <s v="02791"/>
        <s v="02792"/>
        <s v="02793"/>
        <s v="02794"/>
        <s v="02795"/>
        <s v="02796"/>
        <s v="02797"/>
        <s v="02798"/>
        <s v="02799"/>
        <s v="02800"/>
        <s v="02801"/>
        <s v="02802"/>
        <s v="02803"/>
        <s v="02804"/>
        <s v="02805"/>
        <s v="02806"/>
        <s v="02807"/>
        <s v="02808"/>
        <s v="02809"/>
        <s v="02810"/>
        <s v="02812"/>
        <s v="02813"/>
        <s v="02814"/>
        <s v="02815"/>
        <s v="02816"/>
        <s v="02817"/>
        <s v="02818"/>
        <s v="02819"/>
        <s v="02820"/>
        <s v="02821"/>
        <s v="02822"/>
        <s v="02823"/>
        <s v="02824"/>
        <s v="02826"/>
        <s v="02827"/>
        <s v="02828"/>
        <s v="02829"/>
        <s v="02830"/>
        <s v="02831"/>
        <s v="02832"/>
        <s v="02833"/>
        <s v="02834"/>
        <s v="59001"/>
        <s v="59002"/>
        <s v="59003"/>
        <s v="59004"/>
        <s v="59005"/>
        <s v="59006"/>
        <s v="59007"/>
        <s v="59008"/>
        <s v="59009"/>
        <s v="59010"/>
        <s v="59011"/>
        <s v="59012"/>
        <s v="59013"/>
        <s v="59014"/>
        <s v="59015"/>
        <s v="59016"/>
        <s v="59017"/>
        <s v="59018"/>
        <s v="59019"/>
        <s v="59021"/>
        <s v="59022"/>
        <s v="59023"/>
        <s v="59024"/>
        <s v="59025"/>
        <s v="59026"/>
        <s v="59027"/>
        <s v="59028"/>
        <s v="59029"/>
        <s v="59031"/>
        <s v="59032"/>
        <s v="59033"/>
        <s v="59034"/>
        <s v="59035"/>
        <s v="59036"/>
        <s v="59037"/>
        <s v="59038"/>
        <s v="59039"/>
        <s v="59041"/>
        <s v="59042"/>
        <s v="59043"/>
        <s v="59044"/>
        <s v="59045"/>
        <s v="59046"/>
        <s v="59047"/>
        <s v="59048"/>
        <s v="59049"/>
        <s v="59050"/>
        <s v="59051"/>
        <s v="59052"/>
        <s v="59053"/>
        <s v="59054"/>
        <s v="59055"/>
        <s v="59056"/>
        <s v="59057"/>
        <s v="59058"/>
        <s v="59059"/>
        <s v="59060"/>
        <s v="59061"/>
        <s v="59062"/>
        <s v="59063"/>
        <s v="59064"/>
        <s v="59065"/>
        <s v="59066"/>
        <s v="59067"/>
        <s v="59068"/>
        <s v="59069"/>
        <s v="59071"/>
        <s v="59072"/>
        <s v="59073"/>
        <s v="59074"/>
        <s v="59075"/>
        <s v="59076"/>
        <s v="59077"/>
        <s v="59078"/>
        <s v="59079"/>
        <s v="59080"/>
        <s v="59081"/>
        <s v="59082"/>
        <s v="59083"/>
        <s v="59084"/>
        <s v="59085"/>
        <s v="59086"/>
        <s v="59087"/>
        <s v="59088"/>
        <s v="59089"/>
        <s v="59090"/>
        <s v="59091"/>
        <s v="59092"/>
        <s v="59093"/>
        <s v="59094"/>
        <s v="59096"/>
        <s v="59097"/>
        <s v="59098"/>
        <s v="59099"/>
        <s v="59100"/>
        <s v="59101"/>
        <s v="59102"/>
        <s v="59103"/>
        <s v="59104"/>
        <s v="59105"/>
        <s v="59106"/>
        <s v="59107"/>
        <s v="59108"/>
        <s v="59109"/>
        <s v="59110"/>
        <s v="59111"/>
        <s v="59112"/>
        <s v="59113"/>
        <s v="59114"/>
        <s v="59115"/>
        <s v="59116"/>
        <s v="59117"/>
        <s v="59118"/>
        <s v="59119"/>
        <s v="59120"/>
        <s v="59121"/>
        <s v="59122"/>
        <s v="59123"/>
        <s v="59124"/>
        <s v="59125"/>
        <s v="59126"/>
        <s v="59127"/>
        <s v="59128"/>
        <s v="59129"/>
        <s v="59130"/>
        <s v="59131"/>
        <s v="59132"/>
        <s v="59133"/>
        <s v="59134"/>
        <s v="59135"/>
        <s v="59136"/>
        <s v="59137"/>
        <s v="59138"/>
        <s v="59139"/>
        <s v="59140"/>
        <s v="59141"/>
        <s v="59142"/>
        <s v="59143"/>
        <s v="59144"/>
        <s v="59145"/>
        <s v="59146"/>
        <s v="59147"/>
        <s v="59148"/>
        <s v="59149"/>
        <s v="59150"/>
        <s v="59151"/>
        <s v="59152"/>
        <s v="59153"/>
        <s v="59155"/>
        <s v="59156"/>
        <s v="59157"/>
        <s v="59158"/>
        <s v="59159"/>
        <s v="59160"/>
        <s v="59161"/>
        <s v="59162"/>
        <s v="59163"/>
        <s v="59164"/>
        <s v="59165"/>
        <s v="59166"/>
        <s v="59167"/>
        <s v="59168"/>
        <s v="59169"/>
        <s v="59170"/>
        <s v="59171"/>
        <s v="59172"/>
        <s v="59173"/>
        <s v="59174"/>
        <s v="59175"/>
        <s v="59176"/>
        <s v="59177"/>
        <s v="59178"/>
        <s v="59179"/>
        <s v="59180"/>
        <s v="59181"/>
        <s v="59182"/>
        <s v="59183"/>
        <s v="59184"/>
        <s v="59185"/>
        <s v="59186"/>
        <s v="59187"/>
        <s v="59188"/>
        <s v="59189"/>
        <s v="59190"/>
        <s v="59191"/>
        <s v="59192"/>
        <s v="59193"/>
        <s v="59194"/>
        <s v="59195"/>
        <s v="59196"/>
        <s v="59197"/>
        <s v="59198"/>
        <s v="59199"/>
        <s v="59200"/>
        <s v="59201"/>
        <s v="59202"/>
        <s v="59203"/>
        <s v="59204"/>
        <s v="59205"/>
        <s v="59206"/>
        <s v="59207"/>
        <s v="59208"/>
        <s v="59209"/>
        <s v="59210"/>
        <s v="59211"/>
        <s v="59212"/>
        <s v="59213"/>
        <s v="59214"/>
        <s v="59215"/>
        <s v="59216"/>
        <s v="59217"/>
        <s v="59218"/>
        <s v="59219"/>
        <s v="59220"/>
        <s v="59221"/>
        <s v="59222"/>
        <s v="59223"/>
        <s v="59224"/>
        <s v="59225"/>
        <s v="59226"/>
        <s v="59227"/>
        <s v="59228"/>
        <s v="59229"/>
        <s v="59230"/>
        <s v="59231"/>
        <s v="59232"/>
        <s v="59233"/>
        <s v="59234"/>
        <s v="59236"/>
        <s v="59237"/>
        <s v="59238"/>
        <s v="59239"/>
        <s v="59240"/>
        <s v="59241"/>
        <s v="59242"/>
        <s v="59243"/>
        <s v="59244"/>
        <s v="59246"/>
        <s v="59247"/>
        <s v="59249"/>
        <s v="59250"/>
        <s v="59251"/>
        <s v="59252"/>
        <s v="59253"/>
        <s v="59254"/>
        <s v="59255"/>
        <s v="59256"/>
        <s v="59257"/>
        <s v="59258"/>
        <s v="59259"/>
        <s v="59260"/>
        <s v="59261"/>
        <s v="59262"/>
        <s v="59263"/>
        <s v="59264"/>
        <s v="59265"/>
        <s v="59266"/>
        <s v="59267"/>
        <s v="59268"/>
        <s v="59269"/>
        <s v="59270"/>
        <s v="59271"/>
        <s v="59272"/>
        <s v="59273"/>
        <s v="59274"/>
        <s v="59275"/>
        <s v="59276"/>
        <s v="59277"/>
        <s v="59278"/>
        <s v="59279"/>
        <s v="59280"/>
        <s v="59281"/>
        <s v="59282"/>
        <s v="59283"/>
        <s v="59284"/>
        <s v="59285"/>
        <s v="59286"/>
        <s v="59287"/>
        <s v="59288"/>
        <s v="59289"/>
        <s v="59290"/>
        <s v="59291"/>
        <s v="59292"/>
        <s v="59293"/>
        <s v="59294"/>
        <s v="59295"/>
        <s v="59296"/>
        <s v="59297"/>
        <s v="59299"/>
        <s v="59300"/>
        <s v="59301"/>
        <s v="59302"/>
        <s v="59303"/>
        <s v="59304"/>
        <s v="59305"/>
        <s v="59306"/>
        <s v="59307"/>
        <s v="59308"/>
        <s v="59309"/>
        <s v="59310"/>
        <s v="59311"/>
        <s v="59312"/>
        <s v="59313"/>
        <s v="59314"/>
        <s v="59315"/>
        <s v="59316"/>
        <s v="59317"/>
        <s v="59318"/>
        <s v="59319"/>
        <s v="59320"/>
        <s v="59321"/>
        <s v="59322"/>
        <s v="59323"/>
        <s v="59324"/>
        <s v="59325"/>
        <s v="59326"/>
        <s v="59327"/>
        <s v="59328"/>
        <s v="59329"/>
        <s v="59330"/>
        <s v="59331"/>
        <s v="59332"/>
        <s v="59333"/>
        <s v="59334"/>
        <s v="59335"/>
        <s v="59336"/>
        <s v="59337"/>
        <s v="59338"/>
        <s v="59339"/>
        <s v="59340"/>
        <s v="59341"/>
        <s v="59342"/>
        <s v="59343"/>
        <s v="59344"/>
        <s v="59345"/>
        <s v="59346"/>
        <s v="59347"/>
        <s v="59348"/>
        <s v="59349"/>
        <s v="59350"/>
        <s v="59351"/>
        <s v="59352"/>
        <s v="59353"/>
        <s v="59354"/>
        <s v="59356"/>
        <s v="59357"/>
        <s v="59358"/>
        <s v="59359"/>
        <s v="59360"/>
        <s v="59361"/>
        <s v="59363"/>
        <s v="59364"/>
        <s v="59365"/>
        <s v="59366"/>
        <s v="59367"/>
        <s v="59368"/>
        <s v="59369"/>
        <s v="59370"/>
        <s v="59371"/>
        <s v="59372"/>
        <s v="59374"/>
        <s v="59375"/>
        <s v="59377"/>
        <s v="59378"/>
        <s v="59379"/>
        <s v="59381"/>
        <s v="59382"/>
        <s v="59383"/>
        <s v="59384"/>
        <s v="59385"/>
        <s v="59386"/>
        <s v="59387"/>
        <s v="59388"/>
        <s v="59389"/>
        <s v="59390"/>
        <s v="59391"/>
        <s v="59392"/>
        <s v="59393"/>
        <s v="59394"/>
        <s v="59395"/>
        <s v="59396"/>
        <s v="59397"/>
        <s v="59398"/>
        <s v="59399"/>
        <s v="59400"/>
        <s v="59401"/>
        <s v="59402"/>
        <s v="59403"/>
        <s v="59405"/>
        <s v="59406"/>
        <s v="59407"/>
        <s v="59408"/>
        <s v="59409"/>
        <s v="59410"/>
        <s v="59411"/>
        <s v="59412"/>
        <s v="59413"/>
        <s v="59414"/>
        <s v="59415"/>
        <s v="59416"/>
        <s v="59418"/>
        <s v="59419"/>
        <s v="59420"/>
        <s v="59421"/>
        <s v="59422"/>
        <s v="59423"/>
        <s v="59424"/>
        <s v="59425"/>
        <s v="59426"/>
        <s v="59427"/>
        <s v="59428"/>
        <s v="59429"/>
        <s v="59430"/>
        <s v="59431"/>
        <s v="59432"/>
        <s v="59433"/>
        <s v="59434"/>
        <s v="59435"/>
        <s v="59436"/>
        <s v="59437"/>
        <s v="59438"/>
        <s v="59439"/>
        <s v="59440"/>
        <s v="59441"/>
        <s v="59442"/>
        <s v="59443"/>
        <s v="59444"/>
        <s v="59445"/>
        <s v="59446"/>
        <s v="59447"/>
        <s v="59448"/>
        <s v="59449"/>
        <s v="59450"/>
        <s v="59451"/>
        <s v="59452"/>
        <s v="59453"/>
        <s v="59454"/>
        <s v="59455"/>
        <s v="59456"/>
        <s v="59457"/>
        <s v="59458"/>
        <s v="59459"/>
        <s v="59461"/>
        <s v="59462"/>
        <s v="59463"/>
        <s v="59464"/>
        <s v="59465"/>
        <s v="59466"/>
        <s v="59467"/>
        <s v="59468"/>
        <s v="59469"/>
        <s v="59470"/>
        <s v="59471"/>
        <s v="59472"/>
        <s v="59473"/>
        <s v="59474"/>
        <s v="59475"/>
        <s v="59476"/>
        <s v="59477"/>
        <s v="59478"/>
        <s v="59479"/>
        <s v="59480"/>
        <s v="59481"/>
        <s v="59482"/>
        <s v="59483"/>
        <s v="59484"/>
        <s v="59485"/>
        <s v="59486"/>
        <s v="59487"/>
        <s v="59488"/>
        <s v="59489"/>
        <s v="59490"/>
        <s v="59491"/>
        <s v="59492"/>
        <s v="59493"/>
        <s v="59494"/>
        <s v="59495"/>
        <s v="59496"/>
        <s v="59497"/>
        <s v="59498"/>
        <s v="59499"/>
        <s v="59500"/>
        <s v="59501"/>
        <s v="59502"/>
        <s v="59503"/>
        <s v="59504"/>
        <s v="59505"/>
        <s v="59506"/>
        <s v="59507"/>
        <s v="59508"/>
        <s v="59509"/>
        <s v="59511"/>
        <s v="59512"/>
        <s v="59513"/>
        <s v="59514"/>
        <s v="59515"/>
        <s v="59516"/>
        <s v="59517"/>
        <s v="59518"/>
        <s v="59519"/>
        <s v="59520"/>
        <s v="59521"/>
        <s v="59522"/>
        <s v="59523"/>
        <s v="59524"/>
        <s v="59525"/>
        <s v="59526"/>
        <s v="59527"/>
        <s v="59528"/>
        <s v="59529"/>
        <s v="59530"/>
        <s v="59531"/>
        <s v="59532"/>
        <s v="59533"/>
        <s v="59534"/>
        <s v="59535"/>
        <s v="59536"/>
        <s v="59537"/>
        <s v="59538"/>
        <s v="59539"/>
        <s v="59541"/>
        <s v="59542"/>
        <s v="59543"/>
        <s v="59544"/>
        <s v="59545"/>
        <s v="59546"/>
        <s v="59547"/>
        <s v="59548"/>
        <s v="59549"/>
        <s v="59550"/>
        <s v="59551"/>
        <s v="59552"/>
        <s v="59553"/>
        <s v="59554"/>
        <s v="59555"/>
        <s v="59556"/>
        <s v="59557"/>
        <s v="59558"/>
        <s v="59559"/>
        <s v="59560"/>
        <s v="59562"/>
        <s v="59563"/>
        <s v="59564"/>
        <s v="59565"/>
        <s v="59566"/>
        <s v="59567"/>
        <s v="59568"/>
        <s v="59569"/>
        <s v="59570"/>
        <s v="59571"/>
        <s v="59572"/>
        <s v="59573"/>
        <s v="59574"/>
        <s v="59575"/>
        <s v="59576"/>
        <s v="59577"/>
        <s v="59578"/>
        <s v="59579"/>
        <s v="59580"/>
        <s v="59581"/>
        <s v="59582"/>
        <s v="59583"/>
        <s v="59584"/>
        <s v="59585"/>
        <s v="59586"/>
        <s v="59587"/>
        <s v="59588"/>
        <s v="59589"/>
        <s v="59590"/>
        <s v="59591"/>
        <s v="59592"/>
        <s v="59593"/>
        <s v="59594"/>
        <s v="59595"/>
        <s v="59596"/>
        <s v="59597"/>
        <s v="59598"/>
        <s v="59599"/>
        <s v="59600"/>
        <s v="59601"/>
        <s v="59602"/>
        <s v="59603"/>
        <s v="59604"/>
        <s v="59605"/>
        <s v="59606"/>
        <s v="59607"/>
        <s v="59608"/>
        <s v="59609"/>
        <s v="59610"/>
        <s v="59611"/>
        <s v="59612"/>
        <s v="59613"/>
        <s v="59614"/>
        <s v="59615"/>
        <s v="59616"/>
        <s v="59617"/>
        <s v="59618"/>
        <s v="59619"/>
        <s v="59620"/>
        <s v="59622"/>
        <s v="59623"/>
        <s v="59624"/>
        <s v="59625"/>
        <s v="59626"/>
        <s v="59627"/>
        <s v="59628"/>
        <s v="59629"/>
        <s v="59630"/>
        <s v="59631"/>
        <s v="59632"/>
        <s v="59633"/>
        <s v="59634"/>
        <s v="59635"/>
        <s v="59636"/>
        <s v="59637"/>
        <s v="59638"/>
        <s v="59639"/>
        <s v="59640"/>
        <s v="59641"/>
        <s v="59642"/>
        <s v="59643"/>
        <s v="59645"/>
        <s v="59646"/>
        <s v="59647"/>
        <s v="59648"/>
        <s v="59649"/>
        <s v="59650"/>
        <s v="59651"/>
        <s v="59652"/>
        <s v="59653"/>
        <s v="59654"/>
        <s v="59655"/>
        <s v="59656"/>
        <s v="59657"/>
        <s v="59658"/>
        <s v="59659"/>
        <s v="59660"/>
        <s v="59661"/>
        <s v="59662"/>
        <s v="59663"/>
        <s v="59664"/>
        <s v="59665"/>
        <s v="59666"/>
        <s v="59667"/>
        <s v="59668"/>
        <s v="59669"/>
        <s v="59670"/>
        <s v="60001"/>
        <s v="60002"/>
        <s v="60003"/>
        <s v="60004"/>
        <s v="60005"/>
        <s v="60006"/>
        <s v="60007"/>
        <s v="60008"/>
        <s v="60009"/>
        <s v="60010"/>
        <s v="60011"/>
        <s v="60012"/>
        <s v="60013"/>
        <s v="60014"/>
        <s v="60015"/>
        <s v="60016"/>
        <s v="60017"/>
        <s v="60019"/>
        <s v="60020"/>
        <s v="60021"/>
        <s v="60022"/>
        <s v="60023"/>
        <s v="60024"/>
        <s v="60025"/>
        <s v="60026"/>
        <s v="60027"/>
        <s v="60028"/>
        <s v="60029"/>
        <s v="60030"/>
        <s v="60031"/>
        <s v="60032"/>
        <s v="60033"/>
        <s v="60034"/>
        <s v="60035"/>
        <s v="60036"/>
        <s v="60037"/>
        <s v="60039"/>
        <s v="60040"/>
        <s v="60041"/>
        <s v="60042"/>
        <s v="60043"/>
        <s v="60044"/>
        <s v="60045"/>
        <s v="60046"/>
        <s v="60047"/>
        <s v="60048"/>
        <s v="60049"/>
        <s v="60050"/>
        <s v="60051"/>
        <s v="60052"/>
        <s v="60053"/>
        <s v="60054"/>
        <s v="60055"/>
        <s v="60056"/>
        <s v="60057"/>
        <s v="60058"/>
        <s v="60059"/>
        <s v="60060"/>
        <s v="60061"/>
        <s v="60062"/>
        <s v="60063"/>
        <s v="60064"/>
        <s v="60065"/>
        <s v="60066"/>
        <s v="60067"/>
        <s v="60068"/>
        <s v="60069"/>
        <s v="60070"/>
        <s v="60071"/>
        <s v="60072"/>
        <s v="60073"/>
        <s v="60074"/>
        <s v="60075"/>
        <s v="60076"/>
        <s v="60077"/>
        <s v="60078"/>
        <s v="60079"/>
        <s v="60081"/>
        <s v="60082"/>
        <s v="60083"/>
        <s v="60084"/>
        <s v="60085"/>
        <s v="60086"/>
        <s v="60087"/>
        <s v="60088"/>
        <s v="60089"/>
        <s v="60090"/>
        <s v="60091"/>
        <s v="60092"/>
        <s v="60093"/>
        <s v="60094"/>
        <s v="60095"/>
        <s v="60097"/>
        <s v="60098"/>
        <s v="60099"/>
        <s v="60100"/>
        <s v="60101"/>
        <s v="60102"/>
        <s v="60103"/>
        <s v="60104"/>
        <s v="60105"/>
        <s v="60106"/>
        <s v="60107"/>
        <s v="60108"/>
        <s v="60109"/>
        <s v="60110"/>
        <s v="60111"/>
        <s v="60112"/>
        <s v="60113"/>
        <s v="60114"/>
        <s v="60115"/>
        <s v="60116"/>
        <s v="60117"/>
        <s v="60118"/>
        <s v="60119"/>
        <s v="60120"/>
        <s v="60121"/>
        <s v="60122"/>
        <s v="60123"/>
        <s v="60124"/>
        <s v="60125"/>
        <s v="60126"/>
        <s v="60127"/>
        <s v="60128"/>
        <s v="60129"/>
        <s v="60130"/>
        <s v="60131"/>
        <s v="60132"/>
        <s v="60133"/>
        <s v="60134"/>
        <s v="60135"/>
        <s v="60136"/>
        <s v="60137"/>
        <s v="60138"/>
        <s v="60139"/>
        <s v="60140"/>
        <s v="60141"/>
        <s v="60142"/>
        <s v="60143"/>
        <s v="60144"/>
        <s v="60145"/>
        <s v="60146"/>
        <s v="60147"/>
        <s v="60148"/>
        <s v="60149"/>
        <s v="60150"/>
        <s v="60151"/>
        <s v="60152"/>
        <s v="60153"/>
        <s v="60154"/>
        <s v="60155"/>
        <s v="60156"/>
        <s v="60157"/>
        <s v="60158"/>
        <s v="60159"/>
        <s v="60160"/>
        <s v="60161"/>
        <s v="60162"/>
        <s v="60163"/>
        <s v="60164"/>
        <s v="60165"/>
        <s v="60166"/>
        <s v="60167"/>
        <s v="60168"/>
        <s v="60169"/>
        <s v="60170"/>
        <s v="60171"/>
        <s v="60172"/>
        <s v="60173"/>
        <s v="60174"/>
        <s v="60175"/>
        <s v="60176"/>
        <s v="60177"/>
        <s v="60178"/>
        <s v="60179"/>
        <s v="60180"/>
        <s v="60181"/>
        <s v="60182"/>
        <s v="60183"/>
        <s v="60184"/>
        <s v="60185"/>
        <s v="60186"/>
        <s v="60187"/>
        <s v="60188"/>
        <s v="60189"/>
        <s v="60190"/>
        <s v="60191"/>
        <s v="60192"/>
        <s v="60193"/>
        <s v="60194"/>
        <s v="60195"/>
        <s v="60196"/>
        <s v="60197"/>
        <s v="60198"/>
        <s v="60199"/>
        <s v="60200"/>
        <s v="60201"/>
        <s v="60203"/>
        <s v="60204"/>
        <s v="60205"/>
        <s v="60206"/>
        <s v="60207"/>
        <s v="60208"/>
        <s v="60209"/>
        <s v="60210"/>
        <s v="60211"/>
        <s v="60212"/>
        <s v="60213"/>
        <s v="60214"/>
        <s v="60215"/>
        <s v="60216"/>
        <s v="60217"/>
        <s v="60218"/>
        <s v="60219"/>
        <s v="60220"/>
        <s v="60221"/>
        <s v="60222"/>
        <s v="60223"/>
        <s v="60224"/>
        <s v="60225"/>
        <s v="60226"/>
        <s v="60227"/>
        <s v="60228"/>
        <s v="60229"/>
        <s v="60230"/>
        <s v="60231"/>
        <s v="60232"/>
        <s v="60233"/>
        <s v="60234"/>
        <s v="60235"/>
        <s v="60236"/>
        <s v="60237"/>
        <s v="60238"/>
        <s v="60239"/>
        <s v="60240"/>
        <s v="60241"/>
        <s v="60242"/>
        <s v="60243"/>
        <s v="60244"/>
        <s v="60245"/>
        <s v="60247"/>
        <s v="60248"/>
        <s v="60249"/>
        <s v="60250"/>
        <s v="60251"/>
        <s v="60252"/>
        <s v="60253"/>
        <s v="60254"/>
        <s v="60255"/>
        <s v="60256"/>
        <s v="60257"/>
        <s v="60258"/>
        <s v="60259"/>
        <s v="60260"/>
        <s v="60261"/>
        <s v="60262"/>
        <s v="60263"/>
        <s v="60264"/>
        <s v="60265"/>
        <s v="60267"/>
        <s v="60268"/>
        <s v="60269"/>
        <s v="60270"/>
        <s v="60271"/>
        <s v="60272"/>
        <s v="60273"/>
        <s v="60274"/>
        <s v="60275"/>
        <s v="60276"/>
        <s v="60277"/>
        <s v="60278"/>
        <s v="60279"/>
        <s v="60280"/>
        <s v="60281"/>
        <s v="60282"/>
        <s v="60283"/>
        <s v="60284"/>
        <s v="60285"/>
        <s v="60286"/>
        <s v="60287"/>
        <s v="60288"/>
        <s v="60289"/>
        <s v="60290"/>
        <s v="60291"/>
        <s v="60292"/>
        <s v="60293"/>
        <s v="60294"/>
        <s v="60295"/>
        <s v="60296"/>
        <s v="60297"/>
        <s v="60298"/>
        <s v="60299"/>
        <s v="60301"/>
        <s v="60302"/>
        <s v="60303"/>
        <s v="60304"/>
        <s v="60305"/>
        <s v="60306"/>
        <s v="60307"/>
        <s v="60308"/>
        <s v="60309"/>
        <s v="60310"/>
        <s v="60311"/>
        <s v="60312"/>
        <s v="60313"/>
        <s v="60314"/>
        <s v="60315"/>
        <s v="60316"/>
        <s v="60317"/>
        <s v="60318"/>
        <s v="60319"/>
        <s v="60320"/>
        <s v="60321"/>
        <s v="60322"/>
        <s v="60323"/>
        <s v="60324"/>
        <s v="60325"/>
        <s v="60326"/>
        <s v="60327"/>
        <s v="60328"/>
        <s v="60329"/>
        <s v="60330"/>
        <s v="60331"/>
        <s v="60332"/>
        <s v="60333"/>
        <s v="60334"/>
        <s v="60335"/>
        <s v="60336"/>
        <s v="60337"/>
        <s v="60338"/>
        <s v="60339"/>
        <s v="60340"/>
        <s v="60341"/>
        <s v="60342"/>
        <s v="60343"/>
        <s v="60344"/>
        <s v="60345"/>
        <s v="60346"/>
        <s v="60347"/>
        <s v="60348"/>
        <s v="60350"/>
        <s v="60351"/>
        <s v="60352"/>
        <s v="60353"/>
        <s v="60354"/>
        <s v="60355"/>
        <s v="60356"/>
        <s v="60357"/>
        <s v="60358"/>
        <s v="60359"/>
        <s v="60360"/>
        <s v="60361"/>
        <s v="60362"/>
        <s v="60363"/>
        <s v="60364"/>
        <s v="60365"/>
        <s v="60366"/>
        <s v="60367"/>
        <s v="60368"/>
        <s v="60369"/>
        <s v="60370"/>
        <s v="60371"/>
        <s v="60372"/>
        <s v="60373"/>
        <s v="60374"/>
        <s v="60375"/>
        <s v="60376"/>
        <s v="60377"/>
        <s v="60378"/>
        <s v="60379"/>
        <s v="60380"/>
        <s v="60381"/>
        <s v="60382"/>
        <s v="60383"/>
        <s v="60385"/>
        <s v="60386"/>
        <s v="60387"/>
        <s v="60388"/>
        <s v="60389"/>
        <s v="60390"/>
        <s v="60391"/>
        <s v="60392"/>
        <s v="60393"/>
        <s v="60394"/>
        <s v="60395"/>
        <s v="60396"/>
        <s v="60397"/>
        <s v="60398"/>
        <s v="60399"/>
        <s v="60400"/>
        <s v="60401"/>
        <s v="60402"/>
        <s v="60403"/>
        <s v="60404"/>
        <s v="60405"/>
        <s v="60406"/>
        <s v="60407"/>
        <s v="60408"/>
        <s v="60409"/>
        <s v="60410"/>
        <s v="60411"/>
        <s v="60412"/>
        <s v="60413"/>
        <s v="60414"/>
        <s v="60415"/>
        <s v="60416"/>
        <s v="60418"/>
        <s v="60420"/>
        <s v="60421"/>
        <s v="60422"/>
        <s v="60423"/>
        <s v="60424"/>
        <s v="60425"/>
        <s v="60426"/>
        <s v="60427"/>
        <s v="60428"/>
        <s v="60429"/>
        <s v="60430"/>
        <s v="60431"/>
        <s v="60432"/>
        <s v="60433"/>
        <s v="60434"/>
        <s v="60435"/>
        <s v="60436"/>
        <s v="60437"/>
        <s v="60438"/>
        <s v="60439"/>
        <s v="60440"/>
        <s v="60441"/>
        <s v="60442"/>
        <s v="60443"/>
        <s v="60444"/>
        <s v="60445"/>
        <s v="60446"/>
        <s v="60447"/>
        <s v="60448"/>
        <s v="60449"/>
        <s v="60450"/>
        <s v="60451"/>
        <s v="60452"/>
        <s v="60454"/>
        <s v="60456"/>
        <s v="60457"/>
        <s v="60458"/>
        <s v="60459"/>
        <s v="60460"/>
        <s v="60461"/>
        <s v="60462"/>
        <s v="60463"/>
        <s v="60464"/>
        <s v="60465"/>
        <s v="60466"/>
        <s v="60468"/>
        <s v="60469"/>
        <s v="60470"/>
        <s v="60471"/>
        <s v="60472"/>
        <s v="60473"/>
        <s v="60474"/>
        <s v="60476"/>
        <s v="60477"/>
        <s v="60478"/>
        <s v="60479"/>
        <s v="60480"/>
        <s v="60481"/>
        <s v="60482"/>
        <s v="60483"/>
        <s v="60484"/>
        <s v="60485"/>
        <s v="60486"/>
        <s v="60487"/>
        <s v="60488"/>
        <s v="60489"/>
        <s v="60490"/>
        <s v="60491"/>
        <s v="60492"/>
        <s v="60493"/>
        <s v="60494"/>
        <s v="60495"/>
        <s v="60496"/>
        <s v="60497"/>
        <s v="60498"/>
        <s v="60499"/>
        <s v="60500"/>
        <s v="60501"/>
        <s v="60502"/>
        <s v="60503"/>
        <s v="60504"/>
        <s v="60505"/>
        <s v="60506"/>
        <s v="60507"/>
        <s v="60508"/>
        <s v="60509"/>
        <s v="60510"/>
        <s v="60511"/>
        <s v="60512"/>
        <s v="60513"/>
        <s v="60514"/>
        <s v="60515"/>
        <s v="60516"/>
        <s v="60517"/>
        <s v="60518"/>
        <s v="60519"/>
        <s v="60520"/>
        <s v="60521"/>
        <s v="60522"/>
        <s v="60523"/>
        <s v="60524"/>
        <s v="60525"/>
        <s v="60526"/>
        <s v="60527"/>
        <s v="60528"/>
        <s v="60529"/>
        <s v="60530"/>
        <s v="60531"/>
        <s v="60533"/>
        <s v="60534"/>
        <s v="60535"/>
        <s v="60536"/>
        <s v="60537"/>
        <s v="60538"/>
        <s v="60539"/>
        <s v="60540"/>
        <s v="60541"/>
        <s v="60542"/>
        <s v="60543"/>
        <s v="60544"/>
        <s v="60545"/>
        <s v="60546"/>
        <s v="60547"/>
        <s v="60548"/>
        <s v="60549"/>
        <s v="60550"/>
        <s v="60551"/>
        <s v="60552"/>
        <s v="60553"/>
        <s v="60554"/>
        <s v="60555"/>
        <s v="60556"/>
        <s v="60557"/>
        <s v="60558"/>
        <s v="60559"/>
        <s v="60560"/>
        <s v="60561"/>
        <s v="60562"/>
        <s v="60563"/>
        <s v="60564"/>
        <s v="60565"/>
        <s v="60566"/>
        <s v="60567"/>
        <s v="60568"/>
        <s v="60569"/>
        <s v="60570"/>
        <s v="60571"/>
        <s v="60572"/>
        <s v="60573"/>
        <s v="60574"/>
        <s v="60575"/>
        <s v="60576"/>
        <s v="60577"/>
        <s v="60578"/>
        <s v="60579"/>
        <s v="60581"/>
        <s v="60582"/>
        <s v="60583"/>
        <s v="60584"/>
        <s v="60585"/>
        <s v="60586"/>
        <s v="60587"/>
        <s v="60588"/>
        <s v="60589"/>
        <s v="60590"/>
        <s v="60591"/>
        <s v="60592"/>
        <s v="60593"/>
        <s v="60594"/>
        <s v="60595"/>
        <s v="60596"/>
        <s v="60597"/>
        <s v="60598"/>
        <s v="60599"/>
        <s v="60600"/>
        <s v="60601"/>
        <s v="60602"/>
        <s v="60603"/>
        <s v="60604"/>
        <s v="60605"/>
        <s v="60608"/>
        <s v="60609"/>
        <s v="60610"/>
        <s v="60611"/>
        <s v="60612"/>
        <s v="60613"/>
        <s v="60614"/>
        <s v="60615"/>
        <s v="60616"/>
        <s v="60617"/>
        <s v="60618"/>
        <s v="60619"/>
        <s v="60620"/>
        <s v="60621"/>
        <s v="60622"/>
        <s v="60623"/>
        <s v="60624"/>
        <s v="60625"/>
        <s v="60626"/>
        <s v="60627"/>
        <s v="60628"/>
        <s v="60629"/>
        <s v="60630"/>
        <s v="60631"/>
        <s v="60632"/>
        <s v="60633"/>
        <s v="60634"/>
        <s v="60635"/>
        <s v="60636"/>
        <s v="60637"/>
        <s v="60638"/>
        <s v="60639"/>
        <s v="60640"/>
        <s v="60641"/>
        <s v="60642"/>
        <s v="60643"/>
        <s v="60644"/>
        <s v="60645"/>
        <s v="60646"/>
        <s v="60647"/>
        <s v="60648"/>
        <s v="60650"/>
        <s v="60651"/>
        <s v="60652"/>
        <s v="60653"/>
        <s v="60654"/>
        <s v="60655"/>
        <s v="60656"/>
        <s v="60657"/>
        <s v="60658"/>
        <s v="60659"/>
        <s v="60660"/>
        <s v="60661"/>
        <s v="60662"/>
        <s v="60663"/>
        <s v="60664"/>
        <s v="60665"/>
        <s v="60666"/>
        <s v="60667"/>
        <s v="60668"/>
        <s v="60669"/>
        <s v="60670"/>
        <s v="60671"/>
        <s v="60672"/>
        <s v="60673"/>
        <s v="60674"/>
        <s v="60675"/>
        <s v="60676"/>
        <s v="60677"/>
        <s v="60678"/>
        <s v="60679"/>
        <s v="60680"/>
        <s v="60681"/>
        <s v="60682"/>
        <s v="60683"/>
        <s v="60684"/>
        <s v="60685"/>
        <s v="60686"/>
        <s v="60687"/>
        <s v="60688"/>
        <s v="60689"/>
        <s v="60691"/>
        <s v="60692"/>
        <s v="60693"/>
        <s v="60694"/>
        <s v="60695"/>
        <s v="60697"/>
        <s v="60698"/>
        <s v="60699"/>
        <s v="60700"/>
        <s v="60701"/>
        <s v="60702"/>
        <s v="60703"/>
        <s v="62001"/>
        <s v="62002"/>
        <s v="62003"/>
        <s v="62004"/>
        <s v="62005"/>
        <s v="62006"/>
        <s v="62007"/>
        <s v="62008"/>
        <s v="62009"/>
        <s v="62010"/>
        <s v="62011"/>
        <s v="62012"/>
        <s v="62013"/>
        <s v="62014"/>
        <s v="62015"/>
        <s v="62016"/>
        <s v="62017"/>
        <s v="62018"/>
        <s v="62019"/>
        <s v="62020"/>
        <s v="62021"/>
        <s v="62022"/>
        <s v="62023"/>
        <s v="62024"/>
        <s v="62025"/>
        <s v="62026"/>
        <s v="62027"/>
        <s v="62028"/>
        <s v="62029"/>
        <s v="62030"/>
        <s v="62031"/>
        <s v="62032"/>
        <s v="62033"/>
        <s v="62034"/>
        <s v="62035"/>
        <s v="62036"/>
        <s v="62037"/>
        <s v="62038"/>
        <s v="62039"/>
        <s v="62040"/>
        <s v="62041"/>
        <s v="62042"/>
        <s v="62043"/>
        <s v="62044"/>
        <s v="62045"/>
        <s v="62046"/>
        <s v="62047"/>
        <s v="62048"/>
        <s v="62049"/>
        <s v="62050"/>
        <s v="62051"/>
        <s v="62052"/>
        <s v="62053"/>
        <s v="62054"/>
        <s v="62055"/>
        <s v="62056"/>
        <s v="62057"/>
        <s v="62058"/>
        <s v="62059"/>
        <s v="62060"/>
        <s v="62061"/>
        <s v="62062"/>
        <s v="62063"/>
        <s v="62064"/>
        <s v="62065"/>
        <s v="62066"/>
        <s v="62067"/>
        <s v="62068"/>
        <s v="62069"/>
        <s v="62070"/>
        <s v="62071"/>
        <s v="62072"/>
        <s v="62073"/>
        <s v="62074"/>
        <s v="62075"/>
        <s v="62076"/>
        <s v="62077"/>
        <s v="62078"/>
        <s v="62079"/>
        <s v="62080"/>
        <s v="62081"/>
        <s v="62082"/>
        <s v="62083"/>
        <s v="62084"/>
        <s v="62085"/>
        <s v="62086"/>
        <s v="62087"/>
        <s v="62088"/>
        <s v="62089"/>
        <s v="62090"/>
        <s v="62091"/>
        <s v="62092"/>
        <s v="62093"/>
        <s v="62094"/>
        <s v="62095"/>
        <s v="62096"/>
        <s v="62097"/>
        <s v="62099"/>
        <s v="62100"/>
        <s v="62101"/>
        <s v="62102"/>
        <s v="62103"/>
        <s v="62104"/>
        <s v="62105"/>
        <s v="62106"/>
        <s v="62107"/>
        <s v="62108"/>
        <s v="62109"/>
        <s v="62111"/>
        <s v="62112"/>
        <s v="62113"/>
        <s v="62114"/>
        <s v="62115"/>
        <s v="62116"/>
        <s v="62117"/>
        <s v="62118"/>
        <s v="62119"/>
        <s v="62120"/>
        <s v="62121"/>
        <s v="62122"/>
        <s v="62123"/>
        <s v="62124"/>
        <s v="62125"/>
        <s v="62126"/>
        <s v="62127"/>
        <s v="62128"/>
        <s v="62129"/>
        <s v="62130"/>
        <s v="62131"/>
        <s v="62132"/>
        <s v="62133"/>
        <s v="62134"/>
        <s v="62135"/>
        <s v="62137"/>
        <s v="62138"/>
        <s v="62139"/>
        <s v="62140"/>
        <s v="62141"/>
        <s v="62142"/>
        <s v="62143"/>
        <s v="62144"/>
        <s v="62145"/>
        <s v="62146"/>
        <s v="62147"/>
        <s v="62148"/>
        <s v="62149"/>
        <s v="62150"/>
        <s v="62151"/>
        <s v="62152"/>
        <s v="62153"/>
        <s v="62154"/>
        <s v="62155"/>
        <s v="62156"/>
        <s v="62157"/>
        <s v="62158"/>
        <s v="62160"/>
        <s v="62161"/>
        <s v="62162"/>
        <s v="62163"/>
        <s v="62164"/>
        <s v="62165"/>
        <s v="62166"/>
        <s v="62167"/>
        <s v="62168"/>
        <s v="62169"/>
        <s v="62170"/>
        <s v="62171"/>
        <s v="62172"/>
        <s v="62173"/>
        <s v="62174"/>
        <s v="62175"/>
        <s v="62176"/>
        <s v="62177"/>
        <s v="62178"/>
        <s v="62179"/>
        <s v="62180"/>
        <s v="62181"/>
        <s v="62182"/>
        <s v="62183"/>
        <s v="62184"/>
        <s v="62185"/>
        <s v="62186"/>
        <s v="62187"/>
        <s v="62188"/>
        <s v="62189"/>
        <s v="62190"/>
        <s v="62191"/>
        <s v="62192"/>
        <s v="62193"/>
        <s v="62194"/>
        <s v="62195"/>
        <s v="62196"/>
        <s v="62197"/>
        <s v="62198"/>
        <s v="62199"/>
        <s v="62200"/>
        <s v="62201"/>
        <s v="62202"/>
        <s v="62203"/>
        <s v="62204"/>
        <s v="62205"/>
        <s v="62206"/>
        <s v="62207"/>
        <s v="62208"/>
        <s v="62209"/>
        <s v="62211"/>
        <s v="62212"/>
        <s v="62213"/>
        <s v="62214"/>
        <s v="62215"/>
        <s v="62216"/>
        <s v="62217"/>
        <s v="62218"/>
        <s v="62219"/>
        <s v="62220"/>
        <s v="62221"/>
        <s v="62222"/>
        <s v="62223"/>
        <s v="62224"/>
        <s v="62225"/>
        <s v="62227"/>
        <s v="62228"/>
        <s v="62229"/>
        <s v="62230"/>
        <s v="62231"/>
        <s v="62232"/>
        <s v="62233"/>
        <s v="62234"/>
        <s v="62235"/>
        <s v="62236"/>
        <s v="62237"/>
        <s v="62238"/>
        <s v="62239"/>
        <s v="62240"/>
        <s v="62241"/>
        <s v="62242"/>
        <s v="62243"/>
        <s v="62244"/>
        <s v="62245"/>
        <s v="62246"/>
        <s v="62247"/>
        <s v="62248"/>
        <s v="62249"/>
        <s v="62250"/>
        <s v="62251"/>
        <s v="62252"/>
        <s v="62253"/>
        <s v="62254"/>
        <s v="62255"/>
        <s v="62256"/>
        <s v="62257"/>
        <s v="62258"/>
        <s v="62259"/>
        <s v="62260"/>
        <s v="62261"/>
        <s v="62262"/>
        <s v="62263"/>
        <s v="62264"/>
        <s v="62265"/>
        <s v="62266"/>
        <s v="62267"/>
        <s v="62268"/>
        <s v="62269"/>
        <s v="62270"/>
        <s v="62271"/>
        <s v="62272"/>
        <s v="62273"/>
        <s v="62274"/>
        <s v="62275"/>
        <s v="62276"/>
        <s v="62277"/>
        <s v="62278"/>
        <s v="62279"/>
        <s v="62280"/>
        <s v="62281"/>
        <s v="62282"/>
        <s v="62283"/>
        <s v="62284"/>
        <s v="62285"/>
        <s v="62286"/>
        <s v="62288"/>
        <s v="62289"/>
        <s v="62290"/>
        <s v="62291"/>
        <s v="62292"/>
        <s v="62293"/>
        <s v="62295"/>
        <s v="62296"/>
        <s v="62297"/>
        <s v="62298"/>
        <s v="62299"/>
        <s v="62300"/>
        <s v="62301"/>
        <s v="62302"/>
        <s v="62303"/>
        <s v="62304"/>
        <s v="62306"/>
        <s v="62307"/>
        <s v="62308"/>
        <s v="62309"/>
        <s v="62310"/>
        <s v="62311"/>
        <s v="62312"/>
        <s v="62313"/>
        <s v="62314"/>
        <s v="62315"/>
        <s v="62316"/>
        <s v="62317"/>
        <s v="62318"/>
        <s v="62319"/>
        <s v="62320"/>
        <s v="62321"/>
        <s v="62322"/>
        <s v="62323"/>
        <s v="62324"/>
        <s v="62325"/>
        <s v="62326"/>
        <s v="62327"/>
        <s v="62328"/>
        <s v="62329"/>
        <s v="62330"/>
        <s v="62331"/>
        <s v="62332"/>
        <s v="62333"/>
        <s v="62334"/>
        <s v="62335"/>
        <s v="62336"/>
        <s v="62337"/>
        <s v="62338"/>
        <s v="62339"/>
        <s v="62340"/>
        <s v="62341"/>
        <s v="62342"/>
        <s v="62343"/>
        <s v="62344"/>
        <s v="62345"/>
        <s v="62346"/>
        <s v="62347"/>
        <s v="62348"/>
        <s v="62349"/>
        <s v="62350"/>
        <s v="62351"/>
        <s v="62352"/>
        <s v="62353"/>
        <s v="62354"/>
        <s v="62355"/>
        <s v="62356"/>
        <s v="62357"/>
        <s v="62358"/>
        <s v="62359"/>
        <s v="62360"/>
        <s v="62361"/>
        <s v="62362"/>
        <s v="62363"/>
        <s v="62364"/>
        <s v="62365"/>
        <s v="62366"/>
        <s v="62367"/>
        <s v="62368"/>
        <s v="62369"/>
        <s v="62370"/>
        <s v="62371"/>
        <s v="62372"/>
        <s v="62373"/>
        <s v="62374"/>
        <s v="62375"/>
        <s v="62376"/>
        <s v="62377"/>
        <s v="62378"/>
        <s v="62379"/>
        <s v="62380"/>
        <s v="62381"/>
        <s v="62382"/>
        <s v="62383"/>
        <s v="62384"/>
        <s v="62385"/>
        <s v="62386"/>
        <s v="62387"/>
        <s v="62388"/>
        <s v="62389"/>
        <s v="62390"/>
        <s v="62391"/>
        <s v="62392"/>
        <s v="62393"/>
        <s v="62395"/>
        <s v="62396"/>
        <s v="62397"/>
        <s v="62398"/>
        <s v="62399"/>
        <s v="62400"/>
        <s v="62401"/>
        <s v="62402"/>
        <s v="62403"/>
        <s v="62404"/>
        <s v="62405"/>
        <s v="62406"/>
        <s v="62407"/>
        <s v="62408"/>
        <s v="62409"/>
        <s v="62410"/>
        <s v="62411"/>
        <s v="62412"/>
        <s v="62413"/>
        <s v="62414"/>
        <s v="62415"/>
        <s v="62416"/>
        <s v="62418"/>
        <s v="62419"/>
        <s v="62421"/>
        <s v="62422"/>
        <s v="62423"/>
        <s v="62424"/>
        <s v="62425"/>
        <s v="62426"/>
        <s v="62427"/>
        <s v="62428"/>
        <s v="62429"/>
        <s v="62430"/>
        <s v="62432"/>
        <s v="62433"/>
        <s v="62434"/>
        <s v="62435"/>
        <s v="62436"/>
        <s v="62437"/>
        <s v="62438"/>
        <s v="62439"/>
        <s v="62440"/>
        <s v="62441"/>
        <s v="62442"/>
        <s v="62443"/>
        <s v="62444"/>
        <s v="62445"/>
        <s v="62446"/>
        <s v="62447"/>
        <s v="62448"/>
        <s v="62449"/>
        <s v="62450"/>
        <s v="62451"/>
        <s v="62452"/>
        <s v="62453"/>
        <s v="62454"/>
        <s v="62455"/>
        <s v="62456"/>
        <s v="62457"/>
        <s v="62458"/>
        <s v="62459"/>
        <s v="62460"/>
        <s v="62462"/>
        <s v="62463"/>
        <s v="62464"/>
        <s v="62465"/>
        <s v="62466"/>
        <s v="62467"/>
        <s v="62468"/>
        <s v="62469"/>
        <s v="62470"/>
        <s v="62471"/>
        <s v="62472"/>
        <s v="62473"/>
        <s v="62474"/>
        <s v="62475"/>
        <s v="62476"/>
        <s v="62477"/>
        <s v="62478"/>
        <s v="62479"/>
        <s v="62480"/>
        <s v="62481"/>
        <s v="62483"/>
        <s v="62484"/>
        <s v="62485"/>
        <s v="62486"/>
        <s v="62487"/>
        <s v="62488"/>
        <s v="62489"/>
        <s v="62490"/>
        <s v="62491"/>
        <s v="62492"/>
        <s v="62493"/>
        <s v="62494"/>
        <s v="62495"/>
        <s v="62496"/>
        <s v="62497"/>
        <s v="62498"/>
        <s v="62499"/>
        <s v="62500"/>
        <s v="62501"/>
        <s v="62502"/>
        <s v="62503"/>
        <s v="62504"/>
        <s v="62505"/>
        <s v="62506"/>
        <s v="62507"/>
        <s v="62508"/>
        <s v="62509"/>
        <s v="62510"/>
        <s v="62511"/>
        <s v="62512"/>
        <s v="62513"/>
        <s v="62514"/>
        <s v="62515"/>
        <s v="62516"/>
        <s v="62517"/>
        <s v="62518"/>
        <s v="62519"/>
        <s v="62520"/>
        <s v="62521"/>
        <s v="62522"/>
        <s v="62523"/>
        <s v="62524"/>
        <s v="62525"/>
        <s v="62526"/>
        <s v="62527"/>
        <s v="62528"/>
        <s v="62529"/>
        <s v="62530"/>
        <s v="62531"/>
        <s v="62532"/>
        <s v="62533"/>
        <s v="62534"/>
        <s v="62535"/>
        <s v="62536"/>
        <s v="62537"/>
        <s v="62538"/>
        <s v="62539"/>
        <s v="62540"/>
        <s v="62541"/>
        <s v="62542"/>
        <s v="62543"/>
        <s v="62544"/>
        <s v="62545"/>
        <s v="62546"/>
        <s v="62547"/>
        <s v="62548"/>
        <s v="62550"/>
        <s v="62551"/>
        <s v="62552"/>
        <s v="62553"/>
        <s v="62554"/>
        <s v="62555"/>
        <s v="62556"/>
        <s v="62557"/>
        <s v="62558"/>
        <s v="62559"/>
        <s v="62560"/>
        <s v="62561"/>
        <s v="62562"/>
        <s v="62563"/>
        <s v="62564"/>
        <s v="62565"/>
        <s v="62566"/>
        <s v="62567"/>
        <s v="62568"/>
        <s v="62569"/>
        <s v="62570"/>
        <s v="62571"/>
        <s v="62572"/>
        <s v="62573"/>
        <s v="62574"/>
        <s v="62576"/>
        <s v="62577"/>
        <s v="62578"/>
        <s v="62579"/>
        <s v="62580"/>
        <s v="62581"/>
        <s v="62582"/>
        <s v="62583"/>
        <s v="62584"/>
        <s v="62585"/>
        <s v="62586"/>
        <s v="62587"/>
        <s v="62588"/>
        <s v="62589"/>
        <s v="62590"/>
        <s v="62591"/>
        <s v="62592"/>
        <s v="62593"/>
        <s v="62594"/>
        <s v="62595"/>
        <s v="62596"/>
        <s v="62597"/>
        <s v="62598"/>
        <s v="62599"/>
        <s v="62600"/>
        <s v="62601"/>
        <s v="62602"/>
        <s v="62603"/>
        <s v="62604"/>
        <s v="62605"/>
        <s v="62606"/>
        <s v="62607"/>
        <s v="62608"/>
        <s v="62609"/>
        <s v="62610"/>
        <s v="62611"/>
        <s v="62612"/>
        <s v="62613"/>
        <s v="62614"/>
        <s v="62615"/>
        <s v="62616"/>
        <s v="62617"/>
        <s v="62618"/>
        <s v="62619"/>
        <s v="62620"/>
        <s v="62621"/>
        <s v="62622"/>
        <s v="62623"/>
        <s v="62624"/>
        <s v="62625"/>
        <s v="62626"/>
        <s v="62627"/>
        <s v="62628"/>
        <s v="62629"/>
        <s v="62630"/>
        <s v="62631"/>
        <s v="62632"/>
        <s v="62633"/>
        <s v="62634"/>
        <s v="62635"/>
        <s v="62636"/>
        <s v="62637"/>
        <s v="62638"/>
        <s v="62639"/>
        <s v="62640"/>
        <s v="62641"/>
        <s v="62642"/>
        <s v="62643"/>
        <s v="62644"/>
        <s v="62645"/>
        <s v="62646"/>
        <s v="62647"/>
        <s v="62648"/>
        <s v="62649"/>
        <s v="62650"/>
        <s v="62651"/>
        <s v="62652"/>
        <s v="62653"/>
        <s v="62654"/>
        <s v="62655"/>
        <s v="62656"/>
        <s v="62657"/>
        <s v="62658"/>
        <s v="62659"/>
        <s v="62660"/>
        <s v="62661"/>
        <s v="62662"/>
        <s v="62663"/>
        <s v="62664"/>
        <s v="62665"/>
        <s v="62666"/>
        <s v="62667"/>
        <s v="62668"/>
        <s v="62669"/>
        <s v="62670"/>
        <s v="62671"/>
        <s v="62672"/>
        <s v="62673"/>
        <s v="62674"/>
        <s v="62675"/>
        <s v="62676"/>
        <s v="62677"/>
        <s v="62678"/>
        <s v="62679"/>
        <s v="62680"/>
        <s v="62681"/>
        <s v="62682"/>
        <s v="62683"/>
        <s v="62684"/>
        <s v="62685"/>
        <s v="62686"/>
        <s v="62688"/>
        <s v="62689"/>
        <s v="62690"/>
        <s v="62691"/>
        <s v="62692"/>
        <s v="62693"/>
        <s v="62694"/>
        <s v="62695"/>
        <s v="62696"/>
        <s v="62697"/>
        <s v="62698"/>
        <s v="62699"/>
        <s v="62700"/>
        <s v="62701"/>
        <s v="62702"/>
        <s v="62703"/>
        <s v="62704"/>
        <s v="62705"/>
        <s v="62706"/>
        <s v="62708"/>
        <s v="62709"/>
        <s v="62710"/>
        <s v="62711"/>
        <s v="62712"/>
        <s v="62713"/>
        <s v="62714"/>
        <s v="62715"/>
        <s v="62716"/>
        <s v="62717"/>
        <s v="62718"/>
        <s v="62719"/>
        <s v="62720"/>
        <s v="62721"/>
        <s v="62722"/>
        <s v="62723"/>
        <s v="62724"/>
        <s v="62725"/>
        <s v="62726"/>
        <s v="62727"/>
        <s v="62728"/>
        <s v="62729"/>
        <s v="62730"/>
        <s v="62731"/>
        <s v="62732"/>
        <s v="62733"/>
        <s v="62734"/>
        <s v="62735"/>
        <s v="62736"/>
        <s v="62737"/>
        <s v="62738"/>
        <s v="62739"/>
        <s v="62740"/>
        <s v="62741"/>
        <s v="62742"/>
        <s v="62744"/>
        <s v="62745"/>
        <s v="62746"/>
        <s v="62747"/>
        <s v="62748"/>
        <s v="62749"/>
        <s v="62750"/>
        <s v="62751"/>
        <s v="62752"/>
        <s v="62753"/>
        <s v="62754"/>
        <s v="62755"/>
        <s v="62756"/>
        <s v="62757"/>
        <s v="62758"/>
        <s v="62759"/>
        <s v="62760"/>
        <s v="62761"/>
        <s v="62762"/>
        <s v="62763"/>
        <s v="62764"/>
        <s v="62765"/>
        <s v="62766"/>
        <s v="62767"/>
        <s v="62768"/>
        <s v="62769"/>
        <s v="62770"/>
        <s v="62771"/>
        <s v="62772"/>
        <s v="62773"/>
        <s v="62774"/>
        <s v="62775"/>
        <s v="62776"/>
        <s v="62777"/>
        <s v="62778"/>
        <s v="62779"/>
        <s v="62780"/>
        <s v="62781"/>
        <s v="62782"/>
        <s v="62783"/>
        <s v="62784"/>
        <s v="62785"/>
        <s v="62786"/>
        <s v="62787"/>
        <s v="62788"/>
        <s v="62789"/>
        <s v="62790"/>
        <s v="62791"/>
        <s v="62792"/>
        <s v="62793"/>
        <s v="62794"/>
        <s v="62795"/>
        <s v="62796"/>
        <s v="62797"/>
        <s v="62798"/>
        <s v="62799"/>
        <s v="62800"/>
        <s v="62801"/>
        <s v="62802"/>
        <s v="62803"/>
        <s v="62804"/>
        <s v="62805"/>
        <s v="62806"/>
        <s v="62808"/>
        <s v="62809"/>
        <s v="62810"/>
        <s v="62811"/>
        <s v="62812"/>
        <s v="62813"/>
        <s v="62814"/>
        <s v="62815"/>
        <s v="62816"/>
        <s v="62817"/>
        <s v="62818"/>
        <s v="62819"/>
        <s v="62820"/>
        <s v="62821"/>
        <s v="62822"/>
        <s v="62823"/>
        <s v="62824"/>
        <s v="62825"/>
        <s v="62826"/>
        <s v="62827"/>
        <s v="62828"/>
        <s v="62829"/>
        <s v="62830"/>
        <s v="62831"/>
        <s v="62832"/>
        <s v="62833"/>
        <s v="62834"/>
        <s v="62835"/>
        <s v="62836"/>
        <s v="62837"/>
        <s v="62838"/>
        <s v="62839"/>
        <s v="62840"/>
        <s v="62841"/>
        <s v="62842"/>
        <s v="62843"/>
        <s v="62844"/>
        <s v="62845"/>
        <s v="62846"/>
        <s v="62847"/>
        <s v="62848"/>
        <s v="62849"/>
        <s v="62850"/>
        <s v="62851"/>
        <s v="62852"/>
        <s v="62853"/>
        <s v="62854"/>
        <s v="62855"/>
        <s v="62856"/>
        <s v="62857"/>
        <s v="62858"/>
        <s v="62859"/>
        <s v="62860"/>
        <s v="62861"/>
        <s v="62862"/>
        <s v="62863"/>
        <s v="62864"/>
        <s v="62865"/>
        <s v="62866"/>
        <s v="62867"/>
        <s v="62868"/>
        <s v="62869"/>
        <s v="62870"/>
        <s v="62871"/>
        <s v="62872"/>
        <s v="62873"/>
        <s v="62874"/>
        <s v="62875"/>
        <s v="62876"/>
        <s v="62877"/>
        <s v="62878"/>
        <s v="62879"/>
        <s v="62880"/>
        <s v="62881"/>
        <s v="62882"/>
        <s v="62883"/>
        <s v="62885"/>
        <s v="62886"/>
        <s v="62887"/>
        <s v="62888"/>
        <s v="62889"/>
        <s v="62890"/>
        <s v="62891"/>
        <s v="62892"/>
        <s v="62893"/>
        <s v="62894"/>
        <s v="62895"/>
        <s v="62896"/>
        <s v="62897"/>
        <s v="62898"/>
        <s v="62899"/>
        <s v="62900"/>
        <s v="62901"/>
        <s v="62902"/>
        <s v="62903"/>
        <s v="62904"/>
        <s v="62905"/>
        <s v="62906"/>
        <s v="62907"/>
        <s v="62908"/>
        <s v="62909"/>
        <s v="80001"/>
        <s v="80002"/>
        <s v="80003"/>
        <s v="80004"/>
        <s v="80005"/>
        <s v="80006"/>
        <s v="80008"/>
        <s v="80009"/>
        <s v="80010"/>
        <s v="80011"/>
        <s v="80013"/>
        <s v="80014"/>
        <s v="80015"/>
        <s v="80016"/>
        <s v="80017"/>
        <s v="80018"/>
        <s v="80019"/>
        <s v="80020"/>
        <s v="80021"/>
        <s v="80022"/>
        <s v="80023"/>
        <s v="80024"/>
        <s v="80025"/>
        <s v="80026"/>
        <s v="80027"/>
        <s v="80028"/>
        <s v="80029"/>
        <s v="80030"/>
        <s v="80031"/>
        <s v="80032"/>
        <s v="80033"/>
        <s v="80034"/>
        <s v="80035"/>
        <s v="80036"/>
        <s v="80037"/>
        <s v="80038"/>
        <s v="80039"/>
        <s v="80040"/>
        <s v="80041"/>
        <s v="80042"/>
        <s v="80043"/>
        <s v="80044"/>
        <s v="80045"/>
        <s v="80046"/>
        <s v="80047"/>
        <s v="80048"/>
        <s v="80049"/>
        <s v="80050"/>
        <s v="80051"/>
        <s v="80052"/>
        <s v="80053"/>
        <s v="80054"/>
        <s v="80055"/>
        <s v="80056"/>
        <s v="80057"/>
        <s v="80058"/>
        <s v="80059"/>
        <s v="80060"/>
        <s v="80061"/>
        <s v="80062"/>
        <s v="80063"/>
        <s v="80064"/>
        <s v="80065"/>
        <s v="80066"/>
        <s v="80067"/>
        <s v="80068"/>
        <s v="80069"/>
        <s v="80070"/>
        <s v="80071"/>
        <s v="80073"/>
        <s v="80074"/>
        <s v="80076"/>
        <s v="80077"/>
        <s v="80078"/>
        <s v="80079"/>
        <s v="80080"/>
        <s v="80081"/>
        <s v="80082"/>
        <s v="80083"/>
        <s v="80084"/>
        <s v="80085"/>
        <s v="80086"/>
        <s v="80087"/>
        <s v="80088"/>
        <s v="80089"/>
        <s v="80090"/>
        <s v="80092"/>
        <s v="80093"/>
        <s v="80094"/>
        <s v="80095"/>
        <s v="80096"/>
        <s v="80097"/>
        <s v="80098"/>
        <s v="80099"/>
        <s v="80100"/>
        <s v="80101"/>
        <s v="80102"/>
        <s v="80103"/>
        <s v="80104"/>
        <s v="80105"/>
        <s v="80106"/>
        <s v="80107"/>
        <s v="80108"/>
        <s v="80109"/>
        <s v="80110"/>
        <s v="80112"/>
        <s v="80113"/>
        <s v="80114"/>
        <s v="80115"/>
        <s v="80116"/>
        <s v="80117"/>
        <s v="80118"/>
        <s v="80119"/>
        <s v="80120"/>
        <s v="80121"/>
        <s v="80122"/>
        <s v="80123"/>
        <s v="80124"/>
        <s v="80125"/>
        <s v="80126"/>
        <s v="80127"/>
        <s v="80128"/>
        <s v="80129"/>
        <s v="80130"/>
        <s v="80131"/>
        <s v="80132"/>
        <s v="80133"/>
        <s v="80134"/>
        <s v="80135"/>
        <s v="80136"/>
        <s v="80137"/>
        <s v="80138"/>
        <s v="80139"/>
        <s v="80140"/>
        <s v="80141"/>
        <s v="80142"/>
        <s v="80143"/>
        <s v="80144"/>
        <s v="80145"/>
        <s v="80146"/>
        <s v="80147"/>
        <s v="80148"/>
        <s v="80149"/>
        <s v="80150"/>
        <s v="80151"/>
        <s v="80152"/>
        <s v="80153"/>
        <s v="80154"/>
        <s v="80155"/>
        <s v="80156"/>
        <s v="80157"/>
        <s v="80158"/>
        <s v="80159"/>
        <s v="80160"/>
        <s v="80161"/>
        <s v="80162"/>
        <s v="80163"/>
        <s v="80164"/>
        <s v="80165"/>
        <s v="80166"/>
        <s v="80167"/>
        <s v="80168"/>
        <s v="80169"/>
        <s v="80170"/>
        <s v="80171"/>
        <s v="80172"/>
        <s v="80173"/>
        <s v="80174"/>
        <s v="80176"/>
        <s v="80177"/>
        <s v="80179"/>
        <s v="80180"/>
        <s v="80181"/>
        <s v="80182"/>
        <s v="80183"/>
        <s v="80184"/>
        <s v="80185"/>
        <s v="80186"/>
        <s v="80187"/>
        <s v="80188"/>
        <s v="80189"/>
        <s v="80190"/>
        <s v="80191"/>
        <s v="80192"/>
        <s v="80193"/>
        <s v="80194"/>
        <s v="80195"/>
        <s v="80196"/>
        <s v="80197"/>
        <s v="80198"/>
        <s v="80199"/>
        <s v="80200"/>
        <s v="80201"/>
        <s v="80202"/>
        <s v="80203"/>
        <s v="80204"/>
        <s v="80205"/>
        <s v="80206"/>
        <s v="80207"/>
        <s v="80208"/>
        <s v="80210"/>
        <s v="80211"/>
        <s v="80212"/>
        <s v="80213"/>
        <s v="80214"/>
        <s v="80215"/>
        <s v="80216"/>
        <s v="80217"/>
        <s v="80218"/>
        <s v="80219"/>
        <s v="80220"/>
        <s v="80221"/>
        <s v="80222"/>
        <s v="80223"/>
        <s v="80224"/>
        <s v="80225"/>
        <s v="80226"/>
        <s v="80227"/>
        <s v="80228"/>
        <s v="80229"/>
        <s v="80230"/>
        <s v="80231"/>
        <s v="80232"/>
        <s v="80233"/>
        <s v="80234"/>
        <s v="80235"/>
        <s v="80236"/>
        <s v="80237"/>
        <s v="80238"/>
        <s v="80239"/>
        <s v="80240"/>
        <s v="80241"/>
        <s v="80242"/>
        <s v="80243"/>
        <s v="80244"/>
        <s v="80245"/>
        <s v="80246"/>
        <s v="80247"/>
        <s v="80248"/>
        <s v="80249"/>
        <s v="80250"/>
        <s v="80251"/>
        <s v="80252"/>
        <s v="80253"/>
        <s v="80256"/>
        <s v="80258"/>
        <s v="80259"/>
        <s v="80260"/>
        <s v="80261"/>
        <s v="80262"/>
        <s v="80263"/>
        <s v="80264"/>
        <s v="80265"/>
        <s v="80266"/>
        <s v="80267"/>
        <s v="80268"/>
        <s v="80269"/>
        <s v="80270"/>
        <s v="80271"/>
        <s v="80272"/>
        <s v="80273"/>
        <s v="80274"/>
        <s v="80275"/>
        <s v="80276"/>
        <s v="80278"/>
        <s v="80279"/>
        <s v="80280"/>
        <s v="80281"/>
        <s v="80282"/>
        <s v="80283"/>
        <s v="80284"/>
        <s v="80285"/>
        <s v="80287"/>
        <s v="80288"/>
        <s v="80290"/>
        <s v="80291"/>
        <s v="80292"/>
        <s v="80293"/>
        <s v="80294"/>
        <s v="80295"/>
        <s v="80296"/>
        <s v="80297"/>
        <s v="80298"/>
        <s v="80299"/>
        <s v="80300"/>
        <s v="80301"/>
        <s v="80302"/>
        <s v="80303"/>
        <s v="80304"/>
        <s v="80305"/>
        <s v="80306"/>
        <s v="80307"/>
        <s v="80308"/>
        <s v="80310"/>
        <s v="80311"/>
        <s v="80312"/>
        <s v="80313"/>
        <s v="80314"/>
        <s v="80315"/>
        <s v="80316"/>
        <s v="80317"/>
        <s v="80318"/>
        <s v="80319"/>
        <s v="80320"/>
        <s v="80321"/>
        <s v="80322"/>
        <s v="80324"/>
        <s v="80325"/>
        <s v="80326"/>
        <s v="80327"/>
        <s v="80328"/>
        <s v="80329"/>
        <s v="80330"/>
        <s v="80331"/>
        <s v="80332"/>
        <s v="80333"/>
        <s v="80334"/>
        <s v="80335"/>
        <s v="80336"/>
        <s v="80337"/>
        <s v="80338"/>
        <s v="80339"/>
        <s v="80340"/>
        <s v="80341"/>
        <s v="80342"/>
        <s v="80343"/>
        <s v="80344"/>
        <s v="80345"/>
        <s v="80346"/>
        <s v="80347"/>
        <s v="80348"/>
        <s v="80349"/>
        <s v="80350"/>
        <s v="80351"/>
        <s v="80352"/>
        <s v="80353"/>
        <s v="80354"/>
        <s v="80355"/>
        <s v="80356"/>
        <s v="80357"/>
        <s v="80358"/>
        <s v="80359"/>
        <s v="80360"/>
        <s v="80361"/>
        <s v="80362"/>
        <s v="80364"/>
        <s v="80365"/>
        <s v="80366"/>
        <s v="80367"/>
        <s v="80368"/>
        <s v="80369"/>
        <s v="80371"/>
        <s v="80372"/>
        <s v="80373"/>
        <s v="80374"/>
        <s v="80375"/>
        <s v="80376"/>
        <s v="80377"/>
        <s v="80378"/>
        <s v="80379"/>
        <s v="80380"/>
        <s v="80381"/>
        <s v="80383"/>
        <s v="80384"/>
        <s v="80385"/>
        <s v="80386"/>
        <s v="80387"/>
        <s v="80388"/>
        <s v="80390"/>
        <s v="80391"/>
        <s v="80392"/>
        <s v="80393"/>
        <s v="80395"/>
        <s v="80396"/>
        <s v="80397"/>
        <s v="80399"/>
        <s v="80400"/>
        <s v="80401"/>
        <s v="80402"/>
        <s v="80403"/>
        <s v="80404"/>
        <s v="80405"/>
        <s v="80406"/>
        <s v="80407"/>
        <s v="80408"/>
        <s v="80409"/>
        <s v="80410"/>
        <s v="80411"/>
        <s v="80412"/>
        <s v="80413"/>
        <s v="80414"/>
        <s v="80415"/>
        <s v="80416"/>
        <s v="80417"/>
        <s v="80418"/>
        <s v="80420"/>
        <s v="80421"/>
        <s v="80422"/>
        <s v="80423"/>
        <s v="80424"/>
        <s v="80425"/>
        <s v="80426"/>
        <s v="80427"/>
        <s v="80428"/>
        <s v="80429"/>
        <s v="80430"/>
        <s v="80431"/>
        <s v="80432"/>
        <s v="80433"/>
        <s v="80434"/>
        <s v="80435"/>
        <s v="80436"/>
        <s v="80437"/>
        <s v="80438"/>
        <s v="80439"/>
        <s v="80440"/>
        <s v="80442"/>
        <s v="80443"/>
        <s v="80444"/>
        <s v="80445"/>
        <s v="80446"/>
        <s v="80449"/>
        <s v="80450"/>
        <s v="80451"/>
        <s v="80452"/>
        <s v="80453"/>
        <s v="80455"/>
        <s v="80456"/>
        <s v="80458"/>
        <s v="80459"/>
        <s v="80460"/>
        <s v="80461"/>
        <s v="80462"/>
        <s v="80463"/>
        <s v="80464"/>
        <s v="80465"/>
        <s v="80466"/>
        <s v="80467"/>
        <s v="80468"/>
        <s v="80469"/>
        <s v="80470"/>
        <s v="80472"/>
        <s v="80473"/>
        <s v="80474"/>
        <s v="80475"/>
        <s v="80476"/>
        <s v="80477"/>
        <s v="80478"/>
        <s v="80479"/>
        <s v="80480"/>
        <s v="80481"/>
        <s v="80482"/>
        <s v="80484"/>
        <s v="80485"/>
        <s v="80486"/>
        <s v="80487"/>
        <s v="80488"/>
        <s v="80489"/>
        <s v="80490"/>
        <s v="80491"/>
        <s v="80493"/>
        <s v="80494"/>
        <s v="80495"/>
        <s v="80496"/>
        <s v="80497"/>
        <s v="80498"/>
        <s v="80499"/>
        <s v="80500"/>
        <s v="80501"/>
        <s v="80502"/>
        <s v="80503"/>
        <s v="80504"/>
        <s v="80505"/>
        <s v="80507"/>
        <s v="80508"/>
        <s v="80509"/>
        <s v="80511"/>
        <s v="80512"/>
        <s v="80513"/>
        <s v="80514"/>
        <s v="80515"/>
        <s v="80516"/>
        <s v="80517"/>
        <s v="80518"/>
        <s v="80519"/>
        <s v="80520"/>
        <s v="80521"/>
        <s v="80522"/>
        <s v="80523"/>
        <s v="80524"/>
        <s v="80525"/>
        <s v="80526"/>
        <s v="80527"/>
        <s v="80528"/>
        <s v="80529"/>
        <s v="80530"/>
        <s v="80531"/>
        <s v="80533"/>
        <s v="80535"/>
        <s v="80536"/>
        <s v="80537"/>
        <s v="80538"/>
        <s v="80540"/>
        <s v="80541"/>
        <s v="80542"/>
        <s v="80543"/>
        <s v="80544"/>
        <s v="80545"/>
        <s v="80546"/>
        <s v="80547"/>
        <s v="80548"/>
        <s v="80549"/>
        <s v="80550"/>
        <s v="80552"/>
        <s v="80553"/>
        <s v="80554"/>
        <s v="80555"/>
        <s v="80556"/>
        <s v="80557"/>
        <s v="80558"/>
        <s v="80559"/>
        <s v="80560"/>
        <s v="80561"/>
        <s v="80562"/>
        <s v="80563"/>
        <s v="80565"/>
        <s v="80566"/>
        <s v="80568"/>
        <s v="80569"/>
        <s v="80570"/>
        <s v="80571"/>
        <s v="80572"/>
        <s v="80573"/>
        <s v="80574"/>
        <s v="80575"/>
        <s v="80576"/>
        <s v="80577"/>
        <s v="80578"/>
        <s v="80579"/>
        <s v="80580"/>
        <s v="80582"/>
        <s v="80583"/>
        <s v="80584"/>
        <s v="80585"/>
        <s v="80586"/>
        <s v="80587"/>
        <s v="80588"/>
        <s v="80589"/>
        <s v="80590"/>
        <s v="80591"/>
        <s v="80592"/>
        <s v="80593"/>
        <s v="80595"/>
        <s v="80596"/>
        <s v="80597"/>
        <s v="80598"/>
        <s v="80599"/>
        <s v="80600"/>
        <s v="80601"/>
        <s v="80602"/>
        <s v="80603"/>
        <s v="80604"/>
        <s v="80605"/>
        <s v="80606"/>
        <s v="80607"/>
        <s v="80609"/>
        <s v="80611"/>
        <s v="80613"/>
        <s v="80614"/>
        <s v="80615"/>
        <s v="80616"/>
        <s v="80617"/>
        <s v="80618"/>
        <s v="80619"/>
        <s v="80620"/>
        <s v="80621"/>
        <s v="80622"/>
        <s v="80623"/>
        <s v="80624"/>
        <s v="80625"/>
        <s v="80626"/>
        <s v="80627"/>
        <s v="80628"/>
        <s v="80629"/>
        <s v="80630"/>
        <s v="80631"/>
        <s v="80632"/>
        <s v="80633"/>
        <s v="80634"/>
        <s v="80635"/>
        <s v="80637"/>
        <s v="80638"/>
        <s v="80639"/>
        <s v="80640"/>
        <s v="80642"/>
        <s v="80643"/>
        <s v="80644"/>
        <s v="80645"/>
        <s v="80646"/>
        <s v="80647"/>
        <s v="80648"/>
        <s v="80649"/>
        <s v="80650"/>
        <s v="80651"/>
        <s v="80652"/>
        <s v="80654"/>
        <s v="80655"/>
        <s v="80656"/>
        <s v="80657"/>
        <s v="80658"/>
        <s v="80659"/>
        <s v="80661"/>
        <s v="80662"/>
        <s v="80663"/>
        <s v="80664"/>
        <s v="80665"/>
        <s v="80666"/>
        <s v="80667"/>
        <s v="80668"/>
        <s v="80669"/>
        <s v="80670"/>
        <s v="80671"/>
        <s v="80672"/>
        <s v="80673"/>
        <s v="80674"/>
        <s v="80675"/>
        <s v="80676"/>
        <s v="80677"/>
        <s v="80678"/>
        <s v="80679"/>
        <s v="80680"/>
        <s v="80681"/>
        <s v="80682"/>
        <s v="80683"/>
        <s v="80684"/>
        <s v="80685"/>
        <s v="80686"/>
        <s v="80687"/>
        <s v="80688"/>
        <s v="80690"/>
        <s v="80691"/>
        <s v="80692"/>
        <s v="80693"/>
        <s v="80694"/>
        <s v="80695"/>
        <s v="80696"/>
        <s v="80697"/>
        <s v="80698"/>
        <s v="80699"/>
        <s v="80700"/>
        <s v="80701"/>
        <s v="80702"/>
        <s v="80703"/>
        <s v="80704"/>
        <s v="80705"/>
        <s v="80706"/>
        <s v="80707"/>
        <s v="80708"/>
        <s v="80709"/>
        <s v="80710"/>
        <s v="80711"/>
        <s v="80713"/>
        <s v="80714"/>
        <s v="80716"/>
        <s v="80717"/>
        <s v="80718"/>
        <s v="80719"/>
        <s v="80721"/>
        <s v="80722"/>
        <s v="80723"/>
        <s v="80724"/>
        <s v="80725"/>
        <s v="80726"/>
        <s v="80728"/>
        <s v="80729"/>
        <s v="80730"/>
        <s v="80732"/>
        <s v="80733"/>
        <s v="80734"/>
        <s v="80735"/>
        <s v="80736"/>
        <s v="80737"/>
        <s v="80738"/>
        <s v="80740"/>
        <s v="80741"/>
        <s v="80742"/>
        <s v="80743"/>
        <s v="80744"/>
        <s v="80746"/>
        <s v="80747"/>
        <s v="80748"/>
        <s v="80749"/>
        <s v="80750"/>
        <s v="80751"/>
        <s v="80752"/>
        <s v="80753"/>
        <s v="80754"/>
        <s v="80755"/>
        <s v="80756"/>
        <s v="80757"/>
        <s v="80758"/>
        <s v="80759"/>
        <s v="80760"/>
        <s v="80762"/>
        <s v="80763"/>
        <s v="80764"/>
        <s v="80765"/>
        <s v="80766"/>
        <s v="80767"/>
        <s v="80769"/>
        <s v="80770"/>
        <s v="80771"/>
        <s v="80773"/>
        <s v="80774"/>
        <s v="80775"/>
        <s v="80776"/>
        <s v="80777"/>
        <s v="80778"/>
        <s v="80779"/>
        <s v="80780"/>
        <s v="80781"/>
        <s v="80782"/>
        <s v="80783"/>
        <s v="80784"/>
        <s v="80785"/>
        <s v="80786"/>
        <s v="80787"/>
        <s v="80788"/>
        <s v="80789"/>
        <s v="80790"/>
        <s v="80791"/>
        <s v="80792"/>
        <s v="80793"/>
        <s v="80794"/>
        <s v="80795"/>
        <s v="80796"/>
        <s v="80797"/>
        <s v="80798"/>
        <s v="80799"/>
        <s v="80800"/>
        <s v="80801"/>
        <s v="80802"/>
        <s v="80803"/>
        <s v="80804"/>
        <s v="80805"/>
        <s v="80806"/>
        <s v="80807"/>
        <s v="80808"/>
        <s v="80809"/>
        <s v="80810"/>
        <s v="80811"/>
        <s v="80812"/>
        <s v="80813"/>
        <s v="80814"/>
        <s v="80815"/>
        <s v="80819"/>
        <s v="80820"/>
        <s v="80821"/>
        <s v="80822"/>
        <s v="80823"/>
        <s v="80824"/>
        <s v="80825"/>
        <s v="80826"/>
        <s v="80827"/>
        <s v="80828"/>
        <s v="80829"/>
        <s v="80832"/>
        <s v="80833"/>
        <s v="80834"/>
        <s v="80835"/>
        <s v="80836"/>
      </sharedItems>
    </cacheField>
    <cacheField name="Commune" numFmtId="0">
      <sharedItems>
        <s v="Abbécourt"/>
        <s v="Achery"/>
        <s v="Acy"/>
        <s v="Agnicourt-et-Séchelles"/>
        <s v="Aguilcourt"/>
        <s v="Aisonville-et-Bernoville"/>
        <s v="Aizelles"/>
        <s v="Aizy-Jouy"/>
        <s v="Alaincourt"/>
        <s v="Allemant"/>
        <s v="Ambleny"/>
        <s v="Ambrief"/>
        <s v="Amifontaine"/>
        <s v="Amigny-Rouy"/>
        <s v="Ancienville"/>
        <s v="Andelain"/>
        <s v="Anguilcourt-le-Sart"/>
        <s v="Anizy-le-Grand"/>
        <s v="Annois"/>
        <s v="Any-Martin-Rieux"/>
        <s v="Archon"/>
        <s v="Arcy-Sainte-Restitue"/>
        <s v="Armentières-sur-Ourcq"/>
        <s v="Arrancy"/>
        <s v="Artemps"/>
        <s v="Assis-sur-Serre"/>
        <s v="Athies-sous-Laon"/>
        <s v="Attilly"/>
        <s v="Aubencheul-aux-Bois"/>
        <s v="Aubenton"/>
        <s v="Aubigny-aux-Kaisnes"/>
        <s v="Aubigny-en-Laonnois"/>
        <s v="Audignicourt"/>
        <s v="Audigny"/>
        <s v="Augy"/>
        <s v="Aulnois-sous-Laon"/>
        <s v="Les Autels"/>
        <s v="Autremencourt"/>
        <s v="Autreppes"/>
        <s v="Autreville"/>
        <s v="Azy-sur-Marne"/>
        <s v="Bagneux"/>
        <s v="Bancigny"/>
        <s v="Barenton-Bugny"/>
        <s v="Barenton-Cel"/>
        <s v="Barenton-sur-Serre"/>
        <s v="Barisis-aux-Bois"/>
        <s v="Barzy-en-Thiérache"/>
        <s v="Barzy-sur-Marne"/>
        <s v="Bassoles-Aulers"/>
        <s v="Vallées en Champagne"/>
        <s v="Bazoches-et-Saint-Thibaut"/>
        <s v="Beaumé"/>
        <s v="Beaumont-en-Beine"/>
        <s v="Beaurevoir"/>
        <s v="Beaurieux"/>
        <s v="Beautor"/>
        <s v="Beauvois-en-Vermandois"/>
        <s v="Becquigny"/>
        <s v="Belleau"/>
        <s v="Bellenglise"/>
        <s v="Belleu"/>
        <s v="Bellicourt"/>
        <s v="Benay"/>
        <s v="Bergues-sur-Sambre"/>
        <s v="Berlancourt"/>
        <s v="Berlise"/>
        <s v="Bernot"/>
        <s v="Berny-Rivière"/>
        <s v="Berrieux"/>
        <s v="Berry-au-Bac"/>
        <s v="Bertaucourt-Epourdon"/>
        <s v="Berthenicourt"/>
        <s v="Bertricourt"/>
        <s v="Besmé"/>
        <s v="Besmont"/>
        <s v="Besny-et-Loizy"/>
        <s v="Béthancourt-en-Vaux"/>
        <s v="Beugneux"/>
        <s v="Beuvardes"/>
        <s v="Bézu-le-Guéry"/>
        <s v="Bézu-Saint-Germain"/>
        <s v="Bichancourt"/>
        <s v="Bieuxy"/>
        <s v="Bièvres"/>
        <s v="Billy-sur-Aisne"/>
        <s v="Billy-sur-Ourcq"/>
        <s v="Blanzy-lès-Fismes"/>
        <s v="Blérancourt"/>
        <s v="Blesmes"/>
        <s v="Bohain-en-Vermandois"/>
        <s v="Bois-lès-Pargny"/>
        <s v="Boncourt"/>
        <s v="Bonneil"/>
        <s v="Bonnesvalyn"/>
        <s v="Bony"/>
        <s v="Bosmont-sur-Serre"/>
        <s v="Bouconville-Vauclair"/>
        <s v="Boué"/>
        <s v="Bouffignereux"/>
        <s v="Bouresches"/>
        <s v="Bourg-et-Comin"/>
        <s v="Bourguignon-sous-Coucy"/>
        <s v="Bourguignon-sous-Montbavin"/>
        <s v="La Bouteille"/>
        <s v="Braine"/>
        <s v="Brancourt-en-Laonnois"/>
        <s v="Brancourt-le-Grand"/>
        <s v="Brasles"/>
        <s v="Braye-en-Laonnois"/>
        <s v="Braye-en-Thiérache"/>
        <s v="Bray-Saint-Christophe"/>
        <s v="Braye"/>
        <s v="Brécy"/>
        <s v="Brenelle"/>
        <s v="Breny"/>
        <s v="Brie"/>
        <s v="Brissay-Choigny"/>
        <s v="Brissy-Hamégicourt"/>
        <s v="Brumetz"/>
        <s v="Brunehamel"/>
        <s v="Bruyères-sur-Fère"/>
        <s v="Bruyères-et-Montbérault"/>
        <s v="Bruys"/>
        <s v="Bucilly"/>
        <s v="Bucy-le-Long"/>
        <s v="Bucy-lès-Cerny"/>
        <s v="Bucy-lès-Pierrepont"/>
        <s v="Buire"/>
        <s v="Buironfosse"/>
        <s v="Burelles"/>
        <s v="Bussiares"/>
        <s v="Buzancy"/>
        <s v="Caillouël-Crépigny"/>
        <s v="Camelin"/>
        <s v="La Capelle"/>
        <s v="Castres"/>
        <s v="Le Catelet"/>
        <s v="Caulaincourt"/>
        <s v="Caumont"/>
        <s v="Celles-lès-Condé"/>
        <s v="Celles-sur-Aisne"/>
        <s v="Cerizy"/>
        <s v="Cerny-en-Laonnois"/>
        <s v="Cerny-lès-Bucy"/>
        <s v="Cerseuil"/>
        <s v="Cessières-Suzy"/>
        <s v="Chacrise"/>
        <s v="Chaillevois"/>
        <s v="Chalandry"/>
        <s v="Chambry"/>
        <s v="Chamouille"/>
        <s v="Champs"/>
        <s v="Chaourse"/>
        <s v="La Chapelle-sur-Chézy"/>
        <s v="Charly-sur-Marne"/>
        <s v="Le Charmel"/>
        <s v="Charmes"/>
        <s v="Chartèves"/>
        <s v="Chassemy"/>
        <s v="Château-Thierry"/>
        <s v="Châtillon-lès-Sons"/>
        <s v="Châtillon-sur-Oise"/>
        <s v="Chaudardes"/>
        <s v="Chaudun"/>
        <s v="Chauny"/>
        <s v="Chavignon"/>
        <s v="Chavigny"/>
        <s v="Chavonne"/>
        <s v="Chérêt"/>
        <s v="Chermizy-Ailles"/>
        <s v="Chéry-Chartreuve"/>
        <s v="Chéry-lès-Pouilly"/>
        <s v="Chéry-lès-Rozoy"/>
        <s v="Chevennes"/>
        <s v="Chevregny"/>
        <s v="Chevresis-Monceau"/>
        <s v="Chézy-en-Orxois"/>
        <s v="Chézy-sur-Marne"/>
        <s v="Chierry"/>
        <s v="Chigny"/>
        <s v="Chivres-en-Laonnois"/>
        <s v="Chivres-Val"/>
        <s v="Chivy-lès-Étouvelles"/>
        <s v="Chouy"/>
        <s v="Cierges"/>
        <s v="Cilly"/>
        <s v="Ciry-Salsogne"/>
        <s v="Clacy-et-Thierret"/>
        <s v="Clairfontaine"/>
        <s v="Clamecy"/>
        <s v="Clastres"/>
        <s v="Clermont-les-Fermes"/>
        <s v="Cœuvres-et-Valsery"/>
        <s v="Coincy"/>
        <s v="Coingt"/>
        <s v="Colligis-Crandelain"/>
        <s v="Colonfay"/>
        <s v="Commenchon"/>
        <s v="Concevreux"/>
        <s v="Condé-en-Brie"/>
        <s v="Condé-sur-Aisne"/>
        <s v="Condé-sur-Suippe"/>
        <s v="Condren"/>
        <s v="Connigis"/>
        <s v="Contescourt"/>
        <s v="Corbeny"/>
        <s v="Corcy"/>
        <s v="Coucy-le-Château-Auffrique"/>
        <s v="Coucy-lès-Eppes"/>
        <s v="Coucy-la-Ville"/>
        <s v="Coulonges-Cohan"/>
        <s v="Coupru"/>
        <s v="Courbes"/>
        <s v="Courboin"/>
        <s v="Courcelles-sur-Vesle"/>
        <s v="Courchamps"/>
        <s v="Courmelles"/>
        <s v="Courmont"/>
        <s v="Courtemont-Varennes"/>
        <s v="Courtrizy-et-Fussigny"/>
        <s v="Couvrelles"/>
        <s v="Couvron-et-Aumencourt"/>
        <s v="Coyolles"/>
        <s v="Cramaille"/>
        <s v="Craonne"/>
        <s v="Craonnelle"/>
        <s v="Crécy-au-Mont"/>
        <s v="Crécy-sur-Serre"/>
        <s v="Crépy"/>
        <s v="Crézancy"/>
        <s v="Croix-Fonsomme"/>
        <s v="La Croix-sur-Ourcq"/>
        <s v="Crouttes-sur-Marne"/>
        <s v="Crouy"/>
        <s v="Crupilly"/>
        <s v="Cuffies"/>
        <s v="Cugny"/>
        <s v="Cuirieux"/>
        <s v="Cuiry-Housse"/>
        <s v="Cuiry-lès-Chaudardes"/>
        <s v="Cuiry-lès-Iviers"/>
        <s v="Cuissy-et-Geny"/>
        <s v="Cuisy-en-Almont"/>
        <s v="Cutry"/>
        <s v="Cys-la-Commune"/>
        <s v="Dagny-Lambercy"/>
        <s v="Dallon"/>
        <s v="Dammard"/>
        <s v="Dampleux"/>
        <s v="Danizy"/>
        <s v="Dercy"/>
        <s v="Deuillet"/>
        <s v="Dhuizel"/>
        <s v="Dizy-le-Gros"/>
        <s v="Dohis"/>
        <s v="Dolignon"/>
        <s v="Dommiers"/>
        <s v="Domptin"/>
        <s v="Dorengt"/>
        <s v="Douchy"/>
        <s v="Dravegny"/>
        <s v="Droizy"/>
        <s v="Dury"/>
        <s v="Ébouleau"/>
        <s v="Effry"/>
        <s v="Englancourt"/>
        <s v="Épagny"/>
        <s v="Éparcy"/>
        <s v="Épaux-Bézu"/>
        <s v="Épieds"/>
        <s v="L'Épine-aux-Bois"/>
        <s v="Eppes"/>
        <s v="Erlon"/>
        <s v="Erloy"/>
        <s v="Esquéhéries"/>
        <s v="Essigny-le-Grand"/>
        <s v="Essigny-le-Petit"/>
        <s v="Essises"/>
        <s v="Essômes-sur-Marne"/>
        <s v="Estrées"/>
        <s v="Étampes-sur-Marne"/>
        <s v="Étaves-et-Bocquiaux"/>
        <s v="Étouvelles"/>
        <s v="Étréaupont"/>
        <s v="Étreillers"/>
        <s v="Étrépilly"/>
        <s v="Étreux"/>
        <s v="Évergnicourt"/>
        <s v="Faverolles"/>
        <s v="Fayet"/>
        <s v="La Fère"/>
        <s v="Fère-en-Tardenois"/>
        <s v="La Ferté-Chevresis"/>
        <s v="La Ferté-Milon"/>
        <s v="Fesmy-le-Sart"/>
        <s v="Festieux"/>
        <s v="Fieulaine"/>
        <s v="La Flamengrie"/>
        <s v="Flavigny-le-Grand-et-Beaurain"/>
        <s v="Flavy-le-Martel"/>
        <s v="Fleury"/>
        <s v="Fluquières"/>
        <s v="Folembray"/>
        <s v="Fonsomme"/>
        <s v="Fontaine-lès-Clercs"/>
        <s v="Fontaine-lès-Vervins"/>
        <s v="Fontaine-Notre-Dame"/>
        <s v="Fontaine-Uterte"/>
        <s v="Fontenelle"/>
        <s v="Fontenoy"/>
        <s v="Foreste"/>
        <s v="Fossoy"/>
        <s v="Fourdrain"/>
        <s v="Francilly-Selency"/>
        <s v="Franqueville"/>
        <s v="Fresnes-en-Tardenois"/>
        <s v="Fresnes-sous-Coucy"/>
        <s v="Fresnoy-le-Grand"/>
        <s v="Fressancourt"/>
        <s v="Frières-Faillouël"/>
        <s v="Froidestrées"/>
        <s v="Froidmont-Cohartille"/>
        <s v="Gandelu"/>
        <s v="Gauchy"/>
        <s v="Gercy"/>
        <s v="Gergny"/>
        <s v="Germaine"/>
        <s v="Gibercourt"/>
        <s v="Gizy"/>
        <s v="Gland"/>
        <s v="Goudelancourt-lès-Berrieux"/>
        <s v="Goudelancourt-lès-Pierrepont"/>
        <s v="Goussancourt"/>
        <s v="Gouy"/>
        <s v="Grandlup-et-Fay"/>
        <s v="Grandrieux"/>
        <s v="Gricourt"/>
        <s v="Grisolles"/>
        <s v="Gronard"/>
        <s v="Grougis"/>
        <s v="Grugies"/>
        <s v="Villeneuve-sur-Aisne"/>
        <s v="Guise"/>
        <s v="Guivry"/>
        <s v="Guny"/>
        <s v="Guyencourt"/>
        <s v="Hannapes"/>
        <s v="Happencourt"/>
        <s v="Haramont"/>
        <s v="Harcigny"/>
        <s v="Hargicourt"/>
        <s v="Harly"/>
        <s v="Hartennes-et-Taux"/>
        <s v="Hary"/>
        <s v="Lehaucourt"/>
        <s v="Hautevesnes"/>
        <s v="Hauteville"/>
        <s v="Haution"/>
        <s v="La Hérie"/>
        <s v="Le Hérie-la-Viéville"/>
        <s v="Hinacourt"/>
        <s v="Hirson"/>
        <s v="Holnon"/>
        <s v="Homblières"/>
        <s v="Houry"/>
        <s v="Housset"/>
        <s v="Iron"/>
        <s v="Itancourt"/>
        <s v="Iviers"/>
        <s v="Jaulgonne"/>
        <s v="Jeancourt"/>
        <s v="Jeantes"/>
        <s v="Joncourt"/>
        <s v="Jouaignes"/>
        <s v="Jumencourt"/>
        <s v="Jumigny"/>
        <s v="Jussy"/>
        <s v="Juvigny"/>
        <s v="Juvincourt-et-Damary"/>
        <s v="Laffaux"/>
        <s v="Laigny"/>
        <s v="Lanchy"/>
        <s v="Landifay-et-Bertaignemont"/>
        <s v="Landouzy-la-Cour"/>
        <s v="Landouzy-la-Ville"/>
        <s v="Landricourt"/>
        <s v="Laniscourt"/>
        <s v="Laon"/>
        <s v="Lappion"/>
        <s v="Largny-sur-Automne"/>
        <s v="Latilly"/>
        <s v="Launoy"/>
        <s v="Laval-en-Laonnois"/>
        <s v="Lavaqueresse"/>
        <s v="Laversine"/>
        <s v="Lemé"/>
        <s v="Lempire"/>
        <s v="Lerzy"/>
        <s v="Leschelle"/>
        <s v="Lesdins"/>
        <s v="Lesges"/>
        <s v="Lesquielles-Saint-Germain"/>
        <s v="Leuilly-sous-Coucy"/>
        <s v="Leury"/>
        <s v="Leuze"/>
        <s v="Levergies"/>
        <s v="Lhuys"/>
        <s v="Licy-Clignon"/>
        <s v="Lierval"/>
        <s v="Liesse-Notre-Dame"/>
        <s v="Liez"/>
        <s v="Limé"/>
        <s v="Lislet"/>
        <s v="Logny-lès-Aubenton"/>
        <s v="Longpont"/>
        <s v="Les Septvallons"/>
        <s v="Lor"/>
        <s v="Louâtre"/>
        <s v="Loupeigne"/>
        <s v="Lucy-le-Bocage"/>
        <s v="Lugny"/>
        <s v="Luzoir"/>
        <s v="Ly-Fontaine"/>
        <s v="Maast-et-Violaine"/>
        <s v="Mâchecourt"/>
        <s v="Macogny"/>
        <s v="Macquigny"/>
        <s v="Magny-la-Fosse"/>
        <s v="Maissemy"/>
        <s v="Maizy"/>
        <s v="La Malmaison"/>
        <s v="Malzy"/>
        <s v="Manicamp"/>
        <s v="Marchais"/>
        <s v="Dhuys et Morin-en-Brie"/>
        <s v="Marcy"/>
        <s v="Marcy-sous-Marle"/>
        <s v="Marest-Dampcourt"/>
        <s v="Mareuil-en-Dôle"/>
        <s v="Marfontaine"/>
        <s v="Margival"/>
        <s v="Marigny-en-Orxois"/>
        <s v="Marizy-Sainte-Geneviève"/>
        <s v="Marizy-Saint-Mard"/>
        <s v="Marle"/>
        <s v="Marly-Gomont"/>
        <s v="Martigny"/>
        <s v="Martigny-Courpierre"/>
        <s v="Mauregny-en-Haye"/>
        <s v="Mayot"/>
        <s v="Mennessis"/>
        <s v="Mennevret"/>
        <s v="Mercin-et-Vaux"/>
        <s v="Merlieux-et-Fouquerolles"/>
        <s v="Mesbrecourt-Richecourt"/>
        <s v="Mesnil-Saint-Laurent"/>
        <s v="Meurival"/>
        <s v="Mézières-sur-Oise"/>
        <s v="Mézy-Moulins"/>
        <s v="Missy-aux-Bois"/>
        <s v="Missy-lès-Pierrepont"/>
        <s v="Missy-sur-Aisne"/>
        <s v="Molain"/>
        <s v="Molinchart"/>
        <s v="Monampteuil"/>
        <s v="Monceau-le-Neuf-et-Faucouzy"/>
        <s v="Monceau-lès-Leups"/>
        <s v="Monceau-le-Waast"/>
        <s v="Monceau-sur-Oise"/>
        <s v="Mondrepuis"/>
        <s v="Monnes"/>
        <s v="Mons-en-Laonnois"/>
        <s v="Montaigu"/>
        <s v="Montbavin"/>
        <s v="Montbrehain"/>
        <s v="Montchâlons"/>
        <s v="Montcornet"/>
        <s v="Mont-d'Origny"/>
        <s v="Montescourt-Lizerolles"/>
        <s v="Montfaucon"/>
        <s v="Montgobert"/>
        <s v="Montgru-Saint-Hilaire"/>
        <s v="Monthenault"/>
        <s v="Monthiers"/>
        <s v="Monthurel"/>
        <s v="Montigny-en-Arrouaise"/>
        <s v="Montigny-l'Allier"/>
        <s v="Montigny-le-Franc"/>
        <s v="Montigny-Lengrain"/>
        <s v="Montigny-lès-Condé"/>
        <s v="Montigny-sous-Marle"/>
        <s v="Montigny-sur-Crécy"/>
        <s v="Montlevon"/>
        <s v="Montloué"/>
        <s v="Mont-Notre-Dame"/>
        <s v="Montreuil-aux-Lions"/>
        <s v="Mont-Saint-Jean"/>
        <s v="Mont-Saint-Martin"/>
        <s v="Mont-Saint-Père"/>
        <s v="Morcourt"/>
        <s v="Morgny-en-Thiérache"/>
        <s v="Morsain"/>
        <s v="Mortefontaine"/>
        <s v="Mortiers"/>
        <s v="Moulins"/>
        <s v="Moussy-Verneuil"/>
        <s v="Moÿ-de-l'Aisne"/>
        <s v="Muret-et-Crouttes"/>
        <s v="Muscourt"/>
        <s v="Nampcelles-la-Cour"/>
        <s v="Nampteuil-sous-Muret"/>
        <s v="Nanteuil-la-Fosse"/>
        <s v="Nanteuil-Notre-Dame"/>
        <s v="Nauroy"/>
        <s v="Nesles-la-Montagne"/>
        <s v="Neufchâtel-sur-Aisne"/>
        <s v="Neuflieux"/>
        <s v="Neuilly-Saint-Front"/>
        <s v="Neuve-Maison"/>
        <s v="La Neuville-Bosmont"/>
        <s v="La Neuville-en-Beine"/>
        <s v="La Neuville-Housset"/>
        <s v="La Neuville-lès-Dorengt"/>
        <s v="Neuville-Saint-Amand"/>
        <s v="Neuville-sur-Ailette"/>
        <s v="Neuville-sur-Margival"/>
        <s v="Neuvillette"/>
        <s v="Nizy-le-Comte"/>
        <s v="Nogentel"/>
        <s v="Nogent-l'Artaud"/>
        <s v="Noircourt"/>
        <s v="Noroy-sur-Ourcq"/>
        <s v="Le Nouvion-en-Thiérache"/>
        <s v="Nouvion-et-Catillon"/>
        <s v="Nouvion-le-Comte"/>
        <s v="Nouvion-le-Vineux"/>
        <s v="Nouvron-Vingré"/>
        <s v="Noyales"/>
        <s v="Bernoy-le-Château"/>
        <s v="Œuilly"/>
        <s v="Ognes"/>
        <s v="Ohis"/>
        <s v="Oigny-en-Valois"/>
        <s v="Oisy"/>
        <s v="Ollezy"/>
        <s v="Omissy"/>
        <s v="Orainville"/>
        <s v="Orgeval"/>
        <s v="Origny-en-Thiérache"/>
        <s v="Origny-Sainte-Benoite"/>
        <s v="Osly-Courtil"/>
        <s v="Ostel"/>
        <s v="Oulches-la-Vallée-Foulon"/>
        <s v="Oulchy-la-Ville"/>
        <s v="Oulchy-le-Château"/>
        <s v="Paars"/>
        <s v="Paissy"/>
        <s v="Pancy-Courtecon"/>
        <s v="Papleux"/>
        <s v="Parcy-et-Tigny"/>
        <s v="Parfondeval"/>
        <s v="Parfondru"/>
        <s v="Pargnan"/>
        <s v="Pargny-et-Filain"/>
        <s v="Pargny-la-Dhuys"/>
        <s v="Pargny-les-Bois"/>
        <s v="Parpeville"/>
        <s v="Pasly"/>
        <s v="Passy-en-Valois"/>
        <s v="Passy-sur-Marne"/>
        <s v="Pavant"/>
        <s v="Pernant"/>
        <s v="Pierremande"/>
        <s v="Pierrepont"/>
        <s v="Pignicourt"/>
        <s v="Pinon"/>
        <s v="Pithon"/>
        <s v="Pleine-Selve"/>
        <s v="Le Plessier-Huleu"/>
        <s v="Ploisy"/>
        <s v="Plomion"/>
        <s v="Ployart-et-Vaurseine"/>
        <s v="Pommiers"/>
        <s v="Pont-Arcy"/>
        <s v="Pontavert"/>
        <s v="Pontru"/>
        <s v="Pontruet"/>
        <s v="Pont-Saint-Mard"/>
        <s v="Pouilly-sur-Serre"/>
        <s v="Prémont"/>
        <s v="Prémontré"/>
        <s v="Presles-et-Boves"/>
        <s v="Presles-et-Thierny"/>
        <s v="Priez"/>
        <s v="Prisces"/>
        <s v="Proisy"/>
        <s v="Proix"/>
        <s v="Prouvais"/>
        <s v="Proviseux-et-Plesnoy"/>
        <s v="Puiseux-en-Retz"/>
        <s v="Puisieux-et-Clanlieu"/>
        <s v="Quierzy"/>
        <s v="Quincy-Basse"/>
        <s v="Quincy-sous-le-Mont"/>
        <s v="Raillimont"/>
        <s v="Ramicourt"/>
        <s v="Regny"/>
        <s v="Remaucourt"/>
        <s v="Remies"/>
        <s v="Remigny"/>
        <s v="Renansart"/>
        <s v="Renneval"/>
        <s v="Résigny"/>
        <s v="Ressons-le-Long"/>
        <s v="Retheuil"/>
        <s v="Reuilly-Sauvigny"/>
        <s v="Ribeauville"/>
        <s v="Ribemont"/>
        <s v="Rocourt-Saint-Martin"/>
        <s v="Rocquigny"/>
        <s v="Rogécourt"/>
        <s v="Rogny"/>
        <s v="Romeny-sur-Marne"/>
        <s v="Romery"/>
        <s v="Ronchères"/>
        <s v="Roucy"/>
        <s v="Rougeries"/>
        <s v="Roupy"/>
        <s v="Rouvroy"/>
        <s v="Rouvroy-sur-Serre"/>
        <s v="Royaucourt-et-Chailvet"/>
        <s v="Rozet-Saint-Albin"/>
        <s v="Rozières-sur-Crise"/>
        <s v="Rozoy-Bellevalle"/>
        <s v="Grand-Rozoy"/>
        <s v="Rozoy-sur-Serre"/>
        <s v="Saconin-et-Breuil"/>
        <s v="Sains-Richaumont"/>
        <s v="Saint-Algis"/>
        <s v="Saint-Aubin"/>
        <s v="Saint-Bandry"/>
        <s v="Saint-Christophe-à-Berry"/>
        <s v="Saint-Clément"/>
        <s v="Sainte-Croix"/>
        <s v="Saint-Erme-Outre-et-Ramecourt"/>
        <s v="Saint-Eugène"/>
        <s v="Sainte-Geneviève"/>
        <s v="Saint-Gengoulph"/>
        <s v="Saint-Gobain"/>
        <s v="Saint-Gobert"/>
        <s v="Saint-Mard"/>
        <s v="Saint-Martin-Rivière"/>
        <s v="Saint-Michel"/>
        <s v="Saint-Nicolas-aux-Bois"/>
        <s v="Saint-Paul-aux-Bois"/>
        <s v="Saint-Pierre-Aigle"/>
        <s v="Saint-Pierre-lès-Franqueville"/>
        <s v="Saint-Pierremont"/>
        <s v="Sainte-Preuve"/>
        <s v="Saint-Quentin"/>
        <s v="Saint-Rémy-Blanzy"/>
        <s v="Saint-Simon"/>
        <s v="Saint-Thomas"/>
        <s v="Samoussy"/>
        <s v="Sancy-les-Cheminots"/>
        <s v="Saponay"/>
        <s v="Saulchery"/>
        <s v="Savy"/>
        <s v="Seboncourt"/>
        <s v="Selens"/>
        <s v="La Selve"/>
        <s v="Septmonts"/>
        <s v="Septvaux"/>
        <s v="Sequehart"/>
        <s v="Serain"/>
        <s v="Seraucourt-le-Grand"/>
        <s v="Serches"/>
        <s v="Sergy"/>
        <s v="Seringes-et-Nesles"/>
        <s v="Sermoise"/>
        <s v="Serval"/>
        <s v="Servais"/>
        <s v="Séry-lès-Mézières"/>
        <s v="Silly-la-Poterie"/>
        <s v="Sinceny"/>
        <s v="Sissonne"/>
        <s v="Sissy"/>
        <s v="Soissons"/>
        <s v="Soize"/>
        <s v="Sommelans"/>
        <s v="Sommeron"/>
        <s v="Sommette-Eaucourt"/>
        <s v="Sons-et-Ronchères"/>
        <s v="Sorbais"/>
        <s v="Soucy"/>
        <s v="Soupir"/>
        <s v="Le Sourd"/>
        <s v="Surfontaine"/>
        <s v="Taillefontaine"/>
        <s v="Tannières"/>
        <s v="Tartiers"/>
        <s v="Tavaux-et-Pontséricourt"/>
        <s v="Tergnier"/>
        <s v="Terny-Sorny"/>
        <s v="Thenailles"/>
        <s v="Thenelles"/>
        <s v="Thiernu"/>
        <s v="Le Thuel"/>
        <s v="Torcy-en-Valois"/>
        <s v="Toulis-et-Attencourt"/>
        <s v="Travecy"/>
        <s v="Trefcon"/>
        <s v="Trélou-sur-Marne"/>
        <s v="Troësnes"/>
        <s v="Trosly-Loire"/>
        <s v="Trucy"/>
        <s v="Tugny-et-Pont"/>
        <s v="Tupigny"/>
        <s v="Ugny-le-Gay"/>
        <s v="Urcel"/>
        <s v="Urvillers"/>
        <s v="Vadencourt"/>
        <s v="Vailly-sur-Aisne"/>
        <s v="La Vallée-au-Blé"/>
        <s v="La Vallée-Mulâtre"/>
        <s v="Variscourt"/>
        <s v="Vassens"/>
        <s v="Vasseny"/>
        <s v="Vassogne"/>
        <s v="Vaucelles-et-Beffecourt"/>
        <s v="Vaudesson"/>
        <s v="Vauxrezis"/>
        <s v="Vauxaillon"/>
        <s v="Vaux-Andigny"/>
        <s v="Vauxbuin"/>
        <s v="Vaux-en-Vermandois"/>
        <s v="Vauxtin"/>
        <s v="Vendelles"/>
        <s v="Vendeuil"/>
        <s v="Vendhuile"/>
        <s v="Vendières"/>
        <s v="Vendresse-Beaulne"/>
        <s v="Vénérolles"/>
        <s v="Venizel"/>
        <s v="Verdilly"/>
        <s v="Le Verguier"/>
        <s v="Grand-Verly"/>
        <s v="Petit-Verly"/>
        <s v="Vermand"/>
        <s v="Verneuil-sous-Coucy"/>
        <s v="Verneuil-sur-Serre"/>
        <s v="Versigny"/>
        <s v="Vervins"/>
        <s v="Vesles-et-Caumont"/>
        <s v="Veslud"/>
        <s v="Veuilly-la-Poterie"/>
        <s v="Vézaponin"/>
        <s v="Vézilly"/>
        <s v="Vic-sur-Aisne"/>
        <s v="Vichel-Nanteuil"/>
        <s v="Viel-Arcy"/>
        <s v="Viels-Maisons"/>
        <s v="Vierzy"/>
        <s v="Viffort"/>
        <s v="Vigneux-Hocquet"/>
        <s v="La Ville-aux-Bois-lès-Dizy"/>
        <s v="La Ville-aux-Bois-lès-Pontavert"/>
        <s v="Villemontoire"/>
        <s v="Villeneuve-Saint-Germain"/>
        <s v="Villeneuve-sur-Fère"/>
        <s v="Villequier-Aumont"/>
        <s v="Villeret"/>
        <s v="Villers-Agron-Aiguizy"/>
        <s v="Villers-Cotterêts"/>
        <s v="Villers-Hélon"/>
        <s v="Villers-le-Sec"/>
        <s v="Villers-lès-Guise"/>
        <s v="Villers-Saint-Christophe"/>
        <s v="Villers-sur-Fère"/>
        <s v="Ville-Savoye"/>
        <s v="Villiers-Saint-Denis"/>
        <s v="Vincy-Reuil-et-Magny"/>
        <s v="Viry-Noureuil"/>
        <s v="Vivaise"/>
        <s v="Vivières"/>
        <s v="Voharies"/>
        <s v="Vorges"/>
        <s v="Voulpaix"/>
        <s v="Voyenne"/>
        <s v="Vregny"/>
        <s v="Vuillery"/>
        <s v="Wassigny"/>
        <s v="Watigny"/>
        <s v="Wiège-Faty"/>
        <s v="Wimy"/>
        <s v="Wissignicourt"/>
        <s v="Abancourt"/>
        <s v="Abscon"/>
        <s v="Aibes"/>
        <s v="Aix-en-Pévèle"/>
        <s v="Allennes-les-Marais"/>
        <s v="L'Orée de Mormal"/>
        <s v="Anhiers"/>
        <s v="Aniche"/>
        <s v="Villeneuve-d'Ascq"/>
        <s v="Anneux"/>
        <s v="Annœullin"/>
        <s v="Anor"/>
        <s v="Anstaing"/>
        <s v="Anzin"/>
        <s v="Arleux"/>
        <s v="Armbouts-Cappel"/>
        <s v="Armentières"/>
        <s v="Arnèke"/>
        <s v="Artres"/>
        <s v="Assevent"/>
        <s v="Attiches"/>
        <s v="Aubencheul-au-Bac"/>
        <s v="Auberchicourt"/>
        <s v="Aubers"/>
        <s v="Aubigny-au-Bac"/>
        <s v="Aubry-du-Hainaut"/>
        <s v="Auby"/>
        <s v="Auchy-lez-Orchies"/>
        <s v="Audignies"/>
        <s v="Aulnoy-lez-Valenciennes"/>
        <s v="Aulnoye-Aymeries"/>
        <s v="Avelin"/>
        <s v="Avesnelles"/>
        <s v="Avesnes-sur-Helpe"/>
        <s v="Avesnes-les-Aubert"/>
        <s v="Avesnes-le-Sec"/>
        <s v="Awoingt"/>
        <s v="Bachant"/>
        <s v="Bachy"/>
        <s v="Bailleul"/>
        <s v="Baisieux"/>
        <s v="Baives"/>
        <s v="Bambecque"/>
        <s v="Banteux"/>
        <s v="Bantigny"/>
        <s v="Bantouzelle"/>
        <s v="Bas-Lieu"/>
        <s v="La Bassée"/>
        <s v="Bauvin"/>
        <s v="Bavay"/>
        <s v="Bavinchove"/>
        <s v="Bazuel"/>
        <s v="Beaucamps-Ligny"/>
        <s v="Beaudignies"/>
        <s v="Beaufort"/>
        <s v="Beaumont-en-Cambrésis"/>
        <s v="Beaurain"/>
        <s v="Beaurepaire-sur-Sambre"/>
        <s v="Beauvois-en-Cambrésis"/>
        <s v="Bellaing"/>
        <s v="Bellignies"/>
        <s v="Bérelles"/>
        <s v="Bergues"/>
        <s v="Berlaimont"/>
        <s v="Bermerain"/>
        <s v="Bersée"/>
        <s v="Bersillies"/>
        <s v="Berthen"/>
        <s v="Bertry"/>
        <s v="Béthencourt"/>
        <s v="Bettignies"/>
        <s v="Bettrechies"/>
        <s v="Beugnies"/>
        <s v="Beuvrages"/>
        <s v="Beuvry-la-Forêt"/>
        <s v="Bévillers"/>
        <s v="Bierne"/>
        <s v="Bissezeele"/>
        <s v="Blaringhem"/>
        <s v="Blécourt"/>
        <s v="Boeschepe"/>
        <s v="Boëseghem"/>
        <s v="Bois-Grenier"/>
        <s v="Bollezeele"/>
        <s v="Bondues"/>
        <s v="Borre"/>
        <s v="Bouchain"/>
        <s v="Boulogne-sur-Helpe"/>
        <s v="Bourbourg"/>
        <s v="Bourghelles"/>
        <s v="Boursies"/>
        <s v="Bousbecque"/>
        <s v="Bousies"/>
        <s v="Bousignies"/>
        <s v="Bousignies-sur-Roc"/>
        <s v="Boussières-en-Cambrésis"/>
        <s v="Boussières-sur-Sambre"/>
        <s v="Boussois"/>
        <s v="Bouvignies"/>
        <s v="Bouvines"/>
        <s v="Bray-Dunes"/>
        <s v="Briastre"/>
        <s v="Brillon"/>
        <s v="Brouckerque"/>
        <s v="Broxeele"/>
        <s v="Bruay-sur-l'Escaut"/>
        <s v="Bruille-lez-Marchiennes"/>
        <s v="Bruille-Saint-Amand"/>
        <s v="Brunémont"/>
        <s v="Bry"/>
        <s v="Bugnicourt"/>
        <s v="Busigny"/>
        <s v="Buysscheure"/>
        <s v="Caëstre"/>
        <s v="Cagnoncles"/>
        <s v="Cambrai"/>
        <s v="Camphin-en-Carembault"/>
        <s v="Camphin-en-Pévèle"/>
        <s v="Cantaing-sur-Escaut"/>
        <s v="Cantin"/>
        <s v="Capelle"/>
        <s v="Capinghem"/>
        <s v="Cappelle-en-Pévèle"/>
        <s v="Cappelle-Brouck"/>
        <s v="Cappelle-la-Grande"/>
        <s v="Carnières"/>
        <s v="Carnin"/>
        <s v="Cartignies"/>
        <s v="Cassel"/>
        <s v="Le Cateau-Cambrésis"/>
        <s v="Catillon-sur-Sambre"/>
        <s v="Cattenières"/>
        <s v="Caudry"/>
        <s v="Caullery"/>
        <s v="Cauroir"/>
        <s v="Cerfontaine"/>
        <s v="La Chapelle-d'Armentières"/>
        <s v="Château-l'Abbaye"/>
        <s v="Chemy"/>
        <s v="Chéreng"/>
        <s v="Choisies"/>
        <s v="Clairfayts"/>
        <s v="Clary"/>
        <s v="Cobrieux"/>
        <s v="Colleret"/>
        <s v="Comines"/>
        <s v="Condé-sur-l'Escaut"/>
        <s v="Coudekerque-Branche"/>
        <s v="Courchelettes"/>
        <s v="Cousolre"/>
        <s v="Coutiches"/>
        <s v="Craywick"/>
        <s v="Crespin"/>
        <s v="Crèvecœur-sur-l'Escaut"/>
        <s v="Crochte"/>
        <s v="Croix"/>
        <s v="Croix-Caluyau"/>
        <s v="Cuincy"/>
        <s v="Curgies"/>
        <s v="Cuvillers"/>
        <s v="Cysoing"/>
        <s v="Damousies"/>
        <s v="Dechy"/>
        <s v="Dehéries"/>
        <s v="Denain"/>
        <s v="Deûlémont"/>
        <s v="Dimechaux"/>
        <s v="Dimont"/>
        <s v="Doignies"/>
        <s v="Dompierre-sur-Helpe"/>
        <s v="Douai"/>
        <s v="Douchy-les-Mines"/>
        <s v="Le Doulieu"/>
        <s v="Dourlers"/>
        <s v="Drincham"/>
        <s v="Dunkerque"/>
        <s v="Ebblinghem"/>
        <s v="Écaillon"/>
        <s v="Eccles"/>
        <s v="Éclaibes"/>
        <s v="Écuélin"/>
        <s v="Eecke"/>
        <s v="Élesmes"/>
        <s v="Élincourt"/>
        <s v="Émerchicourt"/>
        <s v="Emmerin"/>
        <s v="Englefontaine"/>
        <s v="Englos"/>
        <s v="Ennetières-en-Weppes"/>
        <s v="Ennevelin"/>
        <s v="Eppe-Sauvage"/>
        <s v="Erchin"/>
        <s v="Eringhem"/>
        <s v="Erquinghem-le-Sec"/>
        <s v="Erquinghem-Lys"/>
        <s v="Erre"/>
        <s v="Escarmain"/>
        <s v="Escaudain"/>
        <s v="Escaudœuvres"/>
        <s v="Escautpont"/>
        <s v="Escobecques"/>
        <s v="Esnes"/>
        <s v="Esquelbecq"/>
        <s v="Esquerchin"/>
        <s v="Estaires"/>
        <s v="Estourmel"/>
        <s v="Estreux"/>
        <s v="Eswars"/>
        <s v="Eth"/>
        <s v="Étrœungt"/>
        <s v="Estrun"/>
        <s v="Faches-Thumesnil"/>
        <s v="Famars"/>
        <s v="Faumont"/>
        <s v="Le Favril"/>
        <s v="Féchain"/>
        <s v="Feignies"/>
        <s v="Felleries"/>
        <s v="Fenain"/>
        <s v="Férin"/>
        <s v="Féron"/>
        <s v="Ferrière-la-Grande"/>
        <s v="Ferrière-la-Petite"/>
        <s v="Flaumont-Waudrechies"/>
        <s v="Flers-en-Escrebieux"/>
        <s v="Flesquières"/>
        <s v="Flêtre"/>
        <s v="Flines-lès-Mortagne"/>
        <s v="Flines-lez-Raches"/>
        <s v="Floursies"/>
        <s v="Floyon"/>
        <s v="Fontaine-au-Bois"/>
        <s v="Fontaine-au-Pire"/>
        <s v="Forest-en-Cambrésis"/>
        <s v="Forest-sur-Marque"/>
        <s v="Fourmies"/>
        <s v="Fournes-en-Weppes"/>
        <s v="Frasnoy"/>
        <s v="Frelinghien"/>
        <s v="Fresnes-sur-Escaut"/>
        <s v="Fressain"/>
        <s v="Fressies"/>
        <s v="Fretin"/>
        <s v="Fromelles"/>
        <s v="Genech"/>
        <s v="Ghissignies"/>
        <s v="Ghyvelde"/>
        <s v="Glageon"/>
        <s v="Godewaersvelde"/>
        <s v="Gœulzin"/>
        <s v="Gognies-Chaussée"/>
        <s v="Gommegnies"/>
        <s v="Gondecourt"/>
        <s v="Gonnelieu"/>
        <s v="La Gorgue"/>
        <s v="Gouzeaucourt"/>
        <s v="Grand-Fayt"/>
        <s v="Grande-Synthe"/>
        <s v="Grand-Fort-Philippe"/>
        <s v="Gravelines"/>
        <s v="La Groise"/>
        <s v="Gruson"/>
        <s v="Guesnain"/>
        <s v="Gussignies"/>
        <s v="Hallennes-lez-Haubourdin"/>
        <s v="Halluin"/>
        <s v="Hamel"/>
        <s v="Hantay"/>
        <s v="Hardifort"/>
        <s v="Hargnies"/>
        <s v="Hasnon"/>
        <s v="Haspres"/>
        <s v="Haubourdin"/>
        <s v="Haucourt-en-Cambrésis"/>
        <s v="Haulchin"/>
        <s v="Haussy"/>
        <s v="Haut-Lieu"/>
        <s v="Hautmont"/>
        <s v="Haveluy"/>
        <s v="Haverskerque"/>
        <s v="Haynecourt"/>
        <s v="Hazebrouck"/>
        <s v="Hecq"/>
        <s v="Hélesmes"/>
        <s v="Hem"/>
        <s v="Hem-Lenglet"/>
        <s v="Hergnies"/>
        <s v="Hérin"/>
        <s v="Herlies"/>
        <s v="Herrin"/>
        <s v="Herzeele"/>
        <s v="Hestrud"/>
        <s v="Holque"/>
        <s v="Hondeghem"/>
        <s v="Hondschoote"/>
        <s v="Hon-Hergies"/>
        <s v="Honnechy"/>
        <s v="Honnecourt-sur-Escaut"/>
        <s v="Hordain"/>
        <s v="Hornaing"/>
        <s v="Houdain-lez-Bavay"/>
        <s v="Houplin-Ancoisne"/>
        <s v="Houplines"/>
        <s v="Houtkerque"/>
        <s v="Hoymille"/>
        <s v="Illies"/>
        <s v="Inchy"/>
        <s v="Iwuy"/>
        <s v="Jenlain"/>
        <s v="Jeumont"/>
        <s v="Jolimetz"/>
        <s v="Killem"/>
        <s v="Lallaing"/>
        <s v="Lambersart"/>
        <s v="Lambres-lez-Douai"/>
        <s v="Landas"/>
        <s v="Landrecies"/>
        <s v="Lannoy"/>
        <s v="Larouillies"/>
        <s v="Lauwin-Planque"/>
        <s v="Lecelles"/>
        <s v="Lécluse"/>
        <s v="Lederzeele"/>
        <s v="Ledringhem"/>
        <s v="Leers"/>
        <s v="Leffrinckoucke"/>
        <s v="Lesdain"/>
        <s v="Lez-Fontaine"/>
        <s v="Lesquin"/>
        <s v="Leval"/>
        <s v="Lewarde"/>
        <s v="Lezennes"/>
        <s v="Liessies"/>
        <s v="Lieu-Saint-Amand"/>
        <s v="Ligny-en-Cambrésis"/>
        <s v="Lille"/>
        <s v="Limont-Fontaine"/>
        <s v="Linselles"/>
        <s v="Locquignol"/>
        <s v="Loffre"/>
        <s v="Lompret"/>
        <s v="La Longueville"/>
        <s v="Looberghe"/>
        <s v="Loon-Plage"/>
        <s v="Loos"/>
        <s v="Lourches"/>
        <s v="Louvignies-Quesnoy"/>
        <s v="Louvil"/>
        <s v="Louvroil"/>
        <s v="Lynde"/>
        <s v="Lys-lez-Lannoy"/>
        <s v="La Madeleine"/>
        <s v="Maing"/>
        <s v="Mairieux"/>
        <s v="Le Maisnil"/>
        <s v="Malincourt"/>
        <s v="Marbaix"/>
        <s v="Marchiennes"/>
        <s v="Marcoing"/>
        <s v="Marcq-en-Barœul"/>
        <s v="Marcq-en-Ostrevent"/>
        <s v="Maresches"/>
        <s v="Maretz"/>
        <s v="Marly"/>
        <s v="Maroilles"/>
        <s v="Marpent"/>
        <s v="Marquette-lez-Lille"/>
        <s v="Marquette-en-Ostrevant"/>
        <s v="Marquillies"/>
        <s v="Masnières"/>
        <s v="Masny"/>
        <s v="Mastaing"/>
        <s v="Maubeuge"/>
        <s v="Maulde"/>
        <s v="Maurois"/>
        <s v="Mazinghien"/>
        <s v="Mecquignies"/>
        <s v="Merckeghem"/>
        <s v="Mérignies"/>
        <s v="Merris"/>
        <s v="Merville"/>
        <s v="Méteren"/>
        <s v="Millam"/>
        <s v="Millonfosse"/>
        <s v="Mœuvres"/>
        <s v="Monceau-Saint-Waast"/>
        <s v="Monchaux-sur-Écaillon"/>
        <s v="Moncheaux"/>
        <s v="Monchecourt"/>
        <s v="Mons-en-Barœul"/>
        <s v="Mons-en-Pévèle"/>
        <s v="Montay"/>
        <s v="Montigny-en-Cambrésis"/>
        <s v="Montigny-en-Ostrevent"/>
        <s v="Montrécourt"/>
        <s v="Morbecque"/>
        <s v="Mortagne-du-Nord"/>
        <s v="Mouchin"/>
        <s v="Moustier-en-Fagne"/>
        <s v="Mouvaux"/>
        <s v="Naves"/>
        <s v="Neuf-Berquin"/>
        <s v="Neuf-Mesnil"/>
        <s v="Neuville-en-Avesnois"/>
        <s v="Neuville-en-Ferrain"/>
        <s v="La Neuville"/>
        <s v="Neuville-Saint-Rémy"/>
        <s v="Neuville-sur-Escaut"/>
        <s v="Neuvilly"/>
        <s v="Nieppe"/>
        <s v="Niergnies"/>
        <s v="Nieurlet"/>
        <s v="Nivelle"/>
        <s v="Nomain"/>
        <s v="Noordpeene"/>
        <s v="Noyelles-lès-Seclin"/>
        <s v="Noyelles-sur-Escaut"/>
        <s v="Noyelles-sur-Sambre"/>
        <s v="Noyelles-sur-Selle"/>
        <s v="Obies"/>
        <s v="Obrechies"/>
        <s v="Ochtezeele"/>
        <s v="Odomez"/>
        <s v="Ohain"/>
        <s v="Onnaing"/>
        <s v="Oost-Cappel"/>
        <s v="Orchies"/>
        <s v="Ors"/>
        <s v="Orsinval"/>
        <s v="Ostricourt"/>
        <s v="Oudezeele"/>
        <s v="Oxelaëre"/>
        <s v="Paillencourt"/>
        <s v="Pecquencourt"/>
        <s v="Pérenchies"/>
        <s v="Péronne-en-Mélantois"/>
        <s v="Petite-Forêt"/>
        <s v="Petit-Fayt"/>
        <s v="Phalempin"/>
        <s v="Pitgam"/>
        <s v="Poix-du-Nord"/>
        <s v="Pommereuil"/>
        <s v="Pont-à-Marcq"/>
        <s v="Pont-sur-Sambre"/>
        <s v="Potelle"/>
        <s v="Pradelles"/>
        <s v="Prémesques"/>
        <s v="Préseau"/>
        <s v="Preux-au-Bois"/>
        <s v="Preux-au-Sart"/>
        <s v="Prisches"/>
        <s v="Prouvy"/>
        <s v="Proville"/>
        <s v="Provin"/>
        <s v="Quaëdypre"/>
        <s v="Quarouble"/>
        <s v="Quérénaing"/>
        <s v="Le Quesnoy"/>
        <s v="Quesnoy-sur-Deûle"/>
        <s v="Quiévelon"/>
        <s v="Quiévrechain"/>
        <s v="Quiévy"/>
        <s v="Râches"/>
        <s v="Radinghem-en-Weppes"/>
        <s v="Raillencourt-Sainte-Olle"/>
        <s v="Raimbeaucourt"/>
        <s v="Rainsars"/>
        <s v="Raismes"/>
        <s v="Ramillies"/>
        <s v="Ramousies"/>
        <s v="Raucourt-au-Bois"/>
        <s v="Recquignies"/>
        <s v="Rejet-de-Beaulieu"/>
        <s v="Renescure"/>
        <s v="Reumont"/>
        <s v="Rexpoëde"/>
        <s v="Ribécourt-la-Tour"/>
        <s v="Rieulay"/>
        <s v="Rieux-en-Cambrésis"/>
        <s v="Robersart"/>
        <s v="Rœulx"/>
        <s v="Rombies-et-Marchipont"/>
        <s v="Romeries"/>
        <s v="Ronchin"/>
        <s v="Roncq"/>
        <s v="Roost-Warendin"/>
        <s v="Rosult"/>
        <s v="Roubaix"/>
        <s v="Roucourt"/>
        <s v="Rousies"/>
        <s v="Rouvignies"/>
        <s v="Rubrouck"/>
        <s v="Les Rues-des-Vignes"/>
        <s v="Ruesnes"/>
        <s v="Rumegies"/>
        <s v="Rumilly-en-Cambrésis"/>
        <s v="Sailly-lez-Cambrai"/>
        <s v="Sailly-lez-Lannoy"/>
        <s v="Sainghin-en-Mélantois"/>
        <s v="Sainghin-en-Weppes"/>
        <s v="Sains-du-Nord"/>
        <s v="Saint-Amand-les-Eaux"/>
        <s v="Saint-André-lez-Lille"/>
        <s v="Saint-Aubert"/>
        <s v="Saint-Aybert"/>
        <s v="Saint-Benin"/>
        <s v="Saint-Georges-sur-l'Aa"/>
        <s v="Saint-Hilaire-lez-Cambrai"/>
        <s v="Saint-Hilaire-sur-Helpe"/>
        <s v="Saint-Jans-Cappel"/>
        <s v="Sainte-Marie-Cappel"/>
        <s v="Saint-Martin-sur-Écaillon"/>
        <s v="Saint-Momelin"/>
        <s v="Saint-Pierre-Brouck"/>
        <s v="Saint-Python"/>
        <s v="Saint-Remy-Chaussée"/>
        <s v="Saint-Remy-du-Nord"/>
        <s v="Saint-Saulve"/>
        <s v="Saint-Souplet"/>
        <s v="Saint-Sylvestre-Cappel"/>
        <s v="Saint-Vaast-en-Cambrésis"/>
        <s v="Saint-Waast"/>
        <s v="Salesches"/>
        <s v="Salomé"/>
        <s v="Saméon"/>
        <s v="Sancourt"/>
        <s v="Santes"/>
        <s v="Sars-et-Rosières"/>
        <s v="Sars-Poteries"/>
        <s v="Sassegnies"/>
        <s v="Saultain"/>
        <s v="Saulzoir"/>
        <s v="Sebourg"/>
        <s v="Seclin"/>
        <s v="Sémeries"/>
        <s v="Semousies"/>
        <s v="La Sentinelle"/>
        <s v="Sepmeries"/>
        <s v="Sequedin"/>
        <s v="Séranvillers-Forenville"/>
        <s v="Sercus"/>
        <s v="Sin-le-Noble"/>
        <s v="Socx"/>
        <s v="Solesmes"/>
        <s v="Solre-le-Château"/>
        <s v="Solrinnes"/>
        <s v="Somain"/>
        <s v="Sommaing"/>
        <s v="Spycker"/>
        <s v="Staple"/>
        <s v="Steenbecque"/>
        <s v="Steene"/>
        <s v="Steenvoorde"/>
        <s v="Steenwerck"/>
        <s v="Strazeele"/>
        <s v="Taisnières-en-Thiérache"/>
        <s v="Taisnières-sur-Hon"/>
        <s v="Templemars"/>
        <s v="Templeuve-en-Pévèle"/>
        <s v="Terdeghem"/>
        <s v="Téteghem-Coudekerque-Village"/>
        <s v="Thiant"/>
        <s v="Thiennes"/>
        <s v="Thivencelle"/>
        <s v="Thumeries"/>
        <s v="Thun-l'Évêque"/>
        <s v="Thun-Saint-Amand"/>
        <s v="Thun-Saint-Martin"/>
        <s v="Tilloy-lez-Marchiennes"/>
        <s v="Tilloy-lez-Cambrai"/>
        <s v="Toufflers"/>
        <s v="Tourcoing"/>
        <s v="Tourmignies"/>
        <s v="Trélon"/>
        <s v="Tressin"/>
        <s v="Trith-Saint-Léger"/>
        <s v="Troisvilles"/>
        <s v="Uxem"/>
        <s v="Valenciennes"/>
        <s v="Vendegies-au-Bois"/>
        <s v="Vendegies-sur-Écaillon"/>
        <s v="Vendeville"/>
        <s v="Verchain-Maugré"/>
        <s v="Verlinghem"/>
        <s v="Vertain"/>
        <s v="Vicq"/>
        <s v="Viesly"/>
        <s v="Vieux-Berquin"/>
        <s v="Vieux-Condé"/>
        <s v="Vieux-Mesnil"/>
        <s v="Vieux-Reng"/>
        <s v="Villereau"/>
        <s v="Villers-au-Tertre"/>
        <s v="Villers-en-Cauchies"/>
        <s v="Villers-Guislain"/>
        <s v="Villers-Outréaux"/>
        <s v="Villers-Plouich"/>
        <s v="Villers-Pol"/>
        <s v="Villers-Sire-Nicole"/>
        <s v="Volckerinckhove"/>
        <s v="Vred"/>
        <s v="Wahagnies"/>
        <s v="Walincourt-Selvigny"/>
        <s v="Wallers"/>
        <s v="Wallers-en-Fagne"/>
        <s v="Wallon-Cappel"/>
        <s v="Wambaix"/>
        <s v="Wambrechies"/>
        <s v="Wandignies-Hamage"/>
        <s v="Wannehain"/>
        <s v="Wargnies-le-Grand"/>
        <s v="Wargnies-le-Petit"/>
        <s v="Warhem"/>
        <s v="Warlaing"/>
        <s v="Warneton"/>
        <s v="Wasnes-au-Bac"/>
        <s v="Wasquehal"/>
        <s v="Watten"/>
        <s v="Wattignies"/>
        <s v="Wattignies-la-Victoire"/>
        <s v="Wattrelos"/>
        <s v="Wavrechain-sous-Denain"/>
        <s v="Wavrechain-sous-Faulx"/>
        <s v="Wavrin"/>
        <s v="Waziers"/>
        <s v="Wemaers-Cappel"/>
        <s v="Wervicq-Sud"/>
        <s v="West-Cappel"/>
        <s v="Wicres"/>
        <s v="Wignehies"/>
        <s v="Willems"/>
        <s v="Willies"/>
        <s v="Winnezeele"/>
        <s v="Wormhout"/>
        <s v="Wulverdinghe"/>
        <s v="Wylder"/>
        <s v="Zegerscappel"/>
        <s v="Zermezeele"/>
        <s v="Zuydcoote"/>
        <s v="Zuytpeene"/>
        <s v="Don"/>
        <s v="Abbecourt"/>
        <s v="Abbeville-Saint-Lucien"/>
        <s v="Achy"/>
        <s v="Acy-en-Multien"/>
        <s v="Les Ageux"/>
        <s v="Agnetz"/>
        <s v="Airion"/>
        <s v="Allonne"/>
        <s v="Amblainville"/>
        <s v="Amy"/>
        <s v="Andeville"/>
        <s v="Angicourt"/>
        <s v="Angivillers"/>
        <s v="Angy"/>
        <s v="Ansacq"/>
        <s v="Ansauvillers"/>
        <s v="Antheuil-Portes"/>
        <s v="Antilly"/>
        <s v="Appilly"/>
        <s v="Apremont"/>
        <s v="Armancourt"/>
        <s v="Arsy"/>
        <s v="Attichy"/>
        <s v="Auchy-la-Montagne"/>
        <s v="Auger-Saint-Vincent"/>
        <s v="Aumont-en-Halatte"/>
        <s v="Auneuil"/>
        <s v="Auteuil"/>
        <s v="Autheuil-en-Valois"/>
        <s v="Autrêches"/>
        <s v="Avilly-Saint-Léonard"/>
        <s v="Avrechy"/>
        <s v="Avricourt"/>
        <s v="Avrigny"/>
        <s v="Babœuf"/>
        <s v="Bacouël"/>
        <s v="Bailleul-le-Soc"/>
        <s v="Bailleul-sur-Thérain"/>
        <s v="Bailleval"/>
        <s v="Bailly"/>
        <s v="Balagny-sur-Thérain"/>
        <s v="Barbery"/>
        <s v="Bargny"/>
        <s v="Baron"/>
        <s v="Baugy"/>
        <s v="Bazancourt"/>
        <s v="Bazicourt"/>
        <s v="Beaudéduit"/>
        <s v="Beaugies-sous-Bois"/>
        <s v="Beaulieu-les-Fontaines"/>
        <s v="Beaumont-les-Nonains"/>
        <s v="Beaurains-lès-Noyon"/>
        <s v="Beaurepaire"/>
        <s v="Beauvais"/>
        <s v="Beauvoir"/>
        <s v="Béhéricourt"/>
        <s v="Belle-Église"/>
        <s v="Belloy"/>
        <s v="Berneuil-en-Bray"/>
        <s v="Berneuil-sur-Aisne"/>
        <s v="Berthecourt"/>
        <s v="Béthancourt-en-Valois"/>
        <s v="Béthisy-Saint-Martin"/>
        <s v="Béthisy-Saint-Pierre"/>
        <s v="Betz"/>
        <s v="Bienville"/>
        <s v="Biermont"/>
        <s v="Bitry"/>
        <s v="Blacourt"/>
        <s v="Blaincourt-lès-Précy"/>
        <s v="Blancfossé"/>
        <s v="Blargies"/>
        <s v="Blicourt"/>
        <s v="Blincourt"/>
        <s v="Boissy-Fresnoy"/>
        <s v="Bonlier"/>
        <s v="Bonneuil-les-Eaux"/>
        <s v="Bonneuil-en-Valois"/>
        <s v="Bonnières"/>
        <s v="Bonvillers"/>
        <s v="Boran-sur-Oise"/>
        <s v="Borest"/>
        <s v="Bornel"/>
        <s v="Boubiers"/>
        <s v="Bouconvillers"/>
        <s v="Bouillancy"/>
        <s v="Boullarre"/>
        <s v="Boulogne-la-Grasse"/>
        <s v="Boursonne"/>
        <s v="Boury-en-Vexin"/>
        <s v="Boutencourt"/>
        <s v="Bouvresse"/>
        <s v="Braisnes-sur-Aronde"/>
        <s v="Brasseuse"/>
        <s v="Brégy"/>
        <s v="Brenouille"/>
        <s v="Bresles"/>
        <s v="Breteuil"/>
        <s v="Brétigny"/>
        <s v="Breuil-le-Sec"/>
        <s v="Breuil-le-Vert"/>
        <s v="Briot"/>
        <s v="Brombos"/>
        <s v="Broquiers"/>
        <s v="Broyes"/>
        <s v="Brunvillers-la-Motte"/>
        <s v="Bucamps"/>
        <s v="Buicourt"/>
        <s v="Bulles"/>
        <s v="Bury"/>
        <s v="Bussy"/>
        <s v="Caisnes"/>
        <s v="Cambronne-lès-Ribécourt"/>
        <s v="Cambronne-lès-Clermont"/>
        <s v="Campagne"/>
        <s v="Campeaux"/>
        <s v="Campremy"/>
        <s v="Candor"/>
        <s v="Canly"/>
        <s v="Cannectancourt"/>
        <s v="Canny-sur-Matz"/>
        <s v="Canny-sur-Thérain"/>
        <s v="Carlepont"/>
        <s v="Catenoy"/>
        <s v="Catheux"/>
        <s v="Catigny"/>
        <s v="Catillon-Fumechon"/>
        <s v="Cauffry"/>
        <s v="Cauvigny"/>
        <s v="Cempuis"/>
        <s v="Cernoy"/>
        <s v="Chamant"/>
        <s v="Chambly"/>
        <s v="Chambors"/>
        <s v="Chantilly"/>
        <s v="La Chapelle-en-Serval"/>
        <s v="Chaumont-en-Vexin"/>
        <s v="Chavençon"/>
        <s v="Chelles"/>
        <s v="Chepoix"/>
        <s v="Chevincourt"/>
        <s v="Chèvreville"/>
        <s v="Chevrières"/>
        <s v="Chiry-Ourscamp"/>
        <s v="Choisy-au-Bac"/>
        <s v="Choisy-la-Victoire"/>
        <s v="Choqueuse-les-Bénards"/>
        <s v="Cinqueux"/>
        <s v="Cires-lès-Mello"/>
        <s v="Clairoix"/>
        <s v="Clermont"/>
        <s v="Coivrel"/>
        <s v="Compiègne"/>
        <s v="Conchy-les-Pots"/>
        <s v="Conteville"/>
        <s v="Corbeil-Cerf"/>
        <s v="Cormeilles"/>
        <s v="Le Coudray-Saint-Germer"/>
        <s v="Le Coudray-sur-Thelle"/>
        <s v="Coudun"/>
        <s v="Couloisy"/>
        <s v="Courcelles-Epayelles"/>
        <s v="Courcelles-lès-Gisors"/>
        <s v="Courteuil"/>
        <s v="Courtieux"/>
        <s v="Coye-la-Forêt"/>
        <s v="Cramoisy"/>
        <s v="Crapeaumesnil"/>
        <s v="Creil"/>
        <s v="Crépy-en-Valois"/>
        <s v="Cressonsacq"/>
        <s v="Crèvecœur-le-Grand"/>
        <s v="Crèvecœur-le-Petit"/>
        <s v="Crillon"/>
        <s v="Crisolles"/>
        <s v="Le Crocq"/>
        <s v="Croissy-sur-Celle"/>
        <s v="Croutoy"/>
        <s v="Crouy-en-Thelle"/>
        <s v="Cuignières"/>
        <s v="Cuigy-en-Bray"/>
        <s v="Cuise-la-Motte"/>
        <s v="Cuts"/>
        <s v="Cuvergnon"/>
        <s v="Cuvilly"/>
        <s v="Cuy"/>
        <s v="Daméraucourt"/>
        <s v="Dargies"/>
        <s v="Delincourt"/>
        <s v="La Drenne"/>
        <s v="Dieudonné"/>
        <s v="Dives"/>
        <s v="Doméliers"/>
        <s v="Domfront"/>
        <s v="Dompierre"/>
        <s v="Duvy"/>
        <s v="Écuvilly"/>
        <s v="Élencourt"/>
        <s v="Élincourt-Sainte-Marguerite"/>
        <s v="Éméville"/>
        <s v="Énencourt-Léage"/>
        <s v="La Corne-en-Vexin"/>
        <s v="Épineuse"/>
        <s v="Éragny-sur-Epte"/>
        <s v="Ercuis"/>
        <s v="Ermenonville"/>
        <s v="Ernemont-Boutavent"/>
        <s v="Erquery"/>
        <s v="Erquinvillers"/>
        <s v="Escames"/>
        <s v="Esches"/>
        <s v="Escles-Saint-Pierre"/>
        <s v="Espaubourg"/>
        <s v="Esquennoy"/>
        <s v="Essuiles"/>
        <s v="Estrées-Saint-Denis"/>
        <s v="Étavigny"/>
        <s v="Étouy"/>
        <s v="Ève"/>
        <s v="Évricourt"/>
        <s v="Fay-les-Étangs"/>
        <s v="Le Fayel"/>
        <s v="Le Fay-Saint-Quentin"/>
        <s v="Feigneux"/>
        <s v="Ferrières"/>
        <s v="Feuquières"/>
        <s v="Fitz-James"/>
        <s v="Flavacourt"/>
        <s v="Flavy-le-Meldeux"/>
        <s v="Fléchy"/>
        <s v="Fleurines"/>
        <s v="Fontaine-Bonneleau"/>
        <s v="Fontaine-Chaalis"/>
        <s v="Fontaine-Lavaganne"/>
        <s v="Fontaine-Saint-Lucien"/>
        <s v="Fontenay-Torcy"/>
        <s v="Formerie"/>
        <s v="Fouilleuse"/>
        <s v="Fouilloy"/>
        <s v="Foulangues"/>
        <s v="Fouquenies"/>
        <s v="Fouquerolles"/>
        <s v="Fournival"/>
        <s v="Francastel"/>
        <s v="Francières"/>
        <s v="Fréniches"/>
        <s v="Montchevreuil"/>
        <s v="Fresne-Léguillon"/>
        <s v="Fresnières"/>
        <s v="Fresnoy-en-Thelle"/>
        <s v="Fresnoy-la-Rivière"/>
        <s v="Fresnoy-le-Luat"/>
        <s v="Le Frestoy-Vaux"/>
        <s v="Frétoy-le-Château"/>
        <s v="Frocourt"/>
        <s v="Froissy"/>
        <s v="Le Gallet"/>
        <s v="Gannes"/>
        <s v="Gaudechart"/>
        <s v="Genvry"/>
        <s v="Gerberoy"/>
        <s v="Gilocourt"/>
        <s v="Giraumont"/>
        <s v="Glaignes"/>
        <s v="Glatigny"/>
        <s v="Godenvillers"/>
        <s v="Goincourt"/>
        <s v="Golancourt"/>
        <s v="Gondreville"/>
        <s v="Gourchelles"/>
        <s v="Gournay-sur-Aronde"/>
        <s v="Gouvieux"/>
        <s v="Gouy-les-Groseillers"/>
        <s v="Grandfresnoy"/>
        <s v="Grandvillers-aux-Bois"/>
        <s v="Grandvilliers"/>
        <s v="Grandrû"/>
        <s v="Grémévillers"/>
        <s v="Grez"/>
        <s v="Guignecourt"/>
        <s v="Guiscard"/>
        <s v="Gury"/>
        <s v="Hadancourt-le-Haut-Clocher"/>
        <s v="Hainvillers"/>
        <s v="Halloy"/>
        <s v="Hannaches"/>
        <s v="Le Hamel"/>
        <s v="Hanvoile"/>
        <s v="Hardivillers"/>
        <s v="Haucourt"/>
        <s v="Haudivillers"/>
        <s v="Hautbos"/>
        <s v="Haute-Épine"/>
        <s v="Hautefontaine"/>
        <s v="Hécourt"/>
        <s v="Heilles"/>
        <s v="Hémévillers"/>
        <s v="Hénonville"/>
        <s v="Herchies"/>
        <s v="La Hérelle"/>
        <s v="Héricourt-sur-Thérain"/>
        <s v="Hermes"/>
        <s v="Hétomesnil"/>
        <s v="Hodenc-en-Bray"/>
        <s v="Hodenc-l'Évêque"/>
        <s v="Hondainville"/>
        <s v="Houdancourt"/>
        <s v="La Houssoye"/>
        <s v="Ivors"/>
        <s v="Ivry-le-Temple"/>
        <s v="Jaméricourt"/>
        <s v="Janville"/>
        <s v="Jaulzy"/>
        <s v="Jaux"/>
        <s v="Jonquières"/>
        <s v="Jouy-sous-Thelle"/>
        <s v="Juvignies"/>
        <s v="Laberlière"/>
        <s v="Laboissière-en-Thelle"/>
        <s v="Labosse"/>
        <s v="Labruyère"/>
        <s v="Lachapelle-aux-Pots"/>
        <s v="Lachapelle-Saint-Pierre"/>
        <s v="Lachapelle-sous-Gerberoy"/>
        <s v="Lachaussée-du-Bois-d'Écu"/>
        <s v="Lachelle"/>
        <s v="Lacroix-Saint-Ouen"/>
        <s v="Lafraye"/>
        <s v="Lagny"/>
        <s v="Lagny-le-Sec"/>
        <s v="Laigneville"/>
        <s v="Lalande-en-Son"/>
        <s v="Lalandelle"/>
        <s v="Lamécourt"/>
        <s v="Lamorlaye"/>
        <s v="Lannoy-Cuillère"/>
        <s v="Larbroye"/>
        <s v="Lassigny"/>
        <s v="Lataule"/>
        <s v="Lattainville"/>
        <s v="Lavacquerie"/>
        <s v="Laverrière"/>
        <s v="Laversines"/>
        <s v="Lavilletertre"/>
        <s v="Léglantiers"/>
        <s v="Lévignen"/>
        <s v="Lhéraule"/>
        <s v="Liancourt"/>
        <s v="Liancourt-Saint-Pierre"/>
        <s v="Libermont"/>
        <s v="Lierville"/>
        <s v="Lieuvillers"/>
        <s v="Lihus"/>
        <s v="Litz"/>
        <s v="Loconville"/>
        <s v="Longueil-Annel"/>
        <s v="Longueil-Sainte-Marie"/>
        <s v="Lormaison"/>
        <s v="Loueuse"/>
        <s v="Luchy"/>
        <s v="Machemont"/>
        <s v="Maignelay-Montigny"/>
        <s v="Maimbeville"/>
        <s v="Maisoncelle-Saint-Pierre"/>
        <s v="Maisoncelle-Tuilerie"/>
        <s v="Marest-sur-Matz"/>
        <s v="Mareuil-la-Motte"/>
        <s v="Mareuil-sur-Ourcq"/>
        <s v="Margny-aux-Cerises"/>
        <s v="Margny-lès-Compiègne"/>
        <s v="Margny-sur-Matz"/>
        <s v="Marolles"/>
        <s v="Marquéglise"/>
        <s v="Marseille-en-Beauvaisis"/>
        <s v="Martincourt"/>
        <s v="Maucourt"/>
        <s v="Maulers"/>
        <s v="Maysel"/>
        <s v="Mélicocq"/>
        <s v="Mello"/>
        <s v="Ménévillers"/>
        <s v="Méru"/>
        <s v="Méry-la-Bataille"/>
        <s v="Le Mesnil-Conteville"/>
        <s v="Le Mesnil-en-Thelle"/>
        <s v="Le Mesnil-Saint-Firmin"/>
        <s v="Le Mesnil-sur-Bulles"/>
        <s v="Le Mesnil-Théribus"/>
        <s v="Le Meux"/>
        <s v="Milly-sur-Thérain"/>
        <s v="Mogneville"/>
        <s v="Moliens"/>
        <s v="Monceaux"/>
        <s v="Monceaux-l'Abbaye"/>
        <s v="Monchy-Humières"/>
        <s v="Monchy-Saint-Éloi"/>
        <s v="Mondescourt"/>
        <s v="Monneville"/>
        <s v="Montagny-en-Vexin"/>
        <s v="Montagny-Sainte-Félicité"/>
        <s v="Montataire"/>
        <s v="Montépilloy"/>
        <s v="Montgérain"/>
        <s v="Montiers"/>
        <s v="Montjavoult"/>
        <s v="Mont-l'Évêque"/>
        <s v="Montlognon"/>
        <s v="Montmacq"/>
        <s v="Montmartin"/>
        <s v="Montreuil-sur-Brêche"/>
        <s v="Montreuil-sur-Thérain"/>
        <s v="Monts"/>
        <s v="Le Mont-Saint-Adrien"/>
        <s v="Morangles"/>
        <s v="Morienval"/>
        <s v="Morlincourt"/>
        <s v="Mortefontaine-en-Thelle"/>
        <s v="Mortemer"/>
        <s v="Morvillers"/>
        <s v="Mory-Montcrux"/>
        <s v="Mouchy-le-Châtel"/>
        <s v="Moulin-sous-Touvent"/>
        <s v="Mouy"/>
        <s v="Moyenneville"/>
        <s v="Moyvillers"/>
        <s v="Muidorge"/>
        <s v="Muirancourt"/>
        <s v="Mureaumont"/>
        <s v="Nampcel"/>
        <s v="Nanteuil-le-Haudouin"/>
        <s v="Néry"/>
        <s v="Neufchelles"/>
        <s v="Neufvy-sur-Aronde"/>
        <s v="Neuilly-en-Thelle"/>
        <s v="Neuilly-sous-Clermont"/>
        <s v="Neuville-Bosc"/>
        <s v="La Neuville-en-Hez"/>
        <s v="La Neuville-Roy"/>
        <s v="La Neuville-Saint-Pierre"/>
        <s v="La Neuville-sur-Oudeuil"/>
        <s v="La Neuville-sur-Ressons"/>
        <s v="La Neuville-Vault"/>
        <s v="Nivillers"/>
        <s v="Noailles"/>
        <s v="Nogent-sur-Oise"/>
        <s v="Nointel"/>
        <s v="Noirémont"/>
        <s v="Noroy"/>
        <s v="Nourard-le-Franc"/>
        <s v="Novillers"/>
        <s v="Noyers-Saint-Martin"/>
        <s v="Noyon"/>
        <s v="Offoy"/>
        <s v="Ognolles"/>
        <s v="Omécourt"/>
        <s v="Ons-en-Bray"/>
        <s v="Ormoy-le-Davien"/>
        <s v="Ormoy-Villers"/>
        <s v="Oroër"/>
        <s v="Orrouy"/>
        <s v="Orry-la-Ville"/>
        <s v="Orvillers-Sorel"/>
        <s v="Oudeuil"/>
        <s v="Oursel-Maison"/>
        <s v="Paillart"/>
        <s v="Parnes"/>
        <s v="Passel"/>
        <s v="Péroy-les-Gombries"/>
        <s v="Pierrefitte-en-Beauvaisis"/>
        <s v="Pierrefonds"/>
        <s v="Pimprez"/>
        <s v="Pisseleu"/>
        <s v="Plailly"/>
        <s v="Plainval"/>
        <s v="Plainville"/>
        <s v="Le Plessier-sur-Bulles"/>
        <s v="Le Plessier-sur-Saint-Just"/>
        <s v="Plessis-de-Roye"/>
        <s v="Le Plessis-Belleville"/>
        <s v="Le Plessis-Brion"/>
        <s v="Le Plessis-Patte-d'Oie"/>
        <s v="Le Ployron"/>
        <s v="Ponchon"/>
        <s v="Pontarmé"/>
        <s v="Pont-l'Évêque"/>
        <s v="Pontoise-lès-Noyon"/>
        <s v="Pontpoint"/>
        <s v="Pont-Sainte-Maxence"/>
        <s v="Porcheux"/>
        <s v="Porquéricourt"/>
        <s v="Pouilly"/>
        <s v="Précy-sur-Oise"/>
        <s v="Prévillers"/>
        <s v="Pronleroy"/>
        <s v="Puiseux-en-Bray"/>
        <s v="Puiseux-le-Hauberger"/>
        <s v="Puits-la-Vallée"/>
        <s v="Quesmy"/>
        <s v="Le Quesnel-Aubry"/>
        <s v="Quincampoix-Fleuzy"/>
        <s v="Quinquempoix"/>
        <s v="Rainvillers"/>
        <s v="Rantigny"/>
        <s v="Raray"/>
        <s v="Ravenel"/>
        <s v="Réez-Fosse-Martin"/>
        <s v="Reilly"/>
        <s v="Rémécourt"/>
        <s v="Rémérangles"/>
        <s v="Remy"/>
        <s v="Ressons-sur-Matz"/>
        <s v="Rethondes"/>
        <s v="Reuil-sur-Brêche"/>
        <s v="Rhuis"/>
        <s v="Ribécourt-Dreslincourt"/>
        <s v="Ricquebourg"/>
        <s v="Rieux"/>
        <s v="Rivecourt"/>
        <s v="Roberval"/>
        <s v="Rochy-Condé"/>
        <s v="Rocquemont"/>
        <s v="Rocquencourt"/>
        <s v="Romescamps"/>
        <s v="Rosières"/>
        <s v="Rosoy"/>
        <s v="Rosoy-en-Multien"/>
        <s v="Rotangy"/>
        <s v="Rothois"/>
        <s v="Rousseloy"/>
        <s v="Rouville"/>
        <s v="Rouvillers"/>
        <s v="Rouvres-en-Multien"/>
        <s v="Rouvroy-les-Merles"/>
        <s v="Royaucourt"/>
        <s v="Roy-Boissy"/>
        <s v="Roye-sur-Matz"/>
        <s v="La Rue-Saint-Pierre"/>
        <s v="Rully"/>
        <s v="Russy-Bémont"/>
        <s v="Sacy-le-Grand"/>
        <s v="Sacy-le-Petit"/>
        <s v="Sains-Morainvillers"/>
        <s v="Saint-André-Farivillers"/>
        <s v="Saint-Arnoult"/>
        <s v="Saint-Aubin-en-Bray"/>
        <s v="Saint-Aubin-sous-Erquery"/>
        <s v="Saint-Crépin-aux-Bois"/>
        <s v="Saint-Crépin-Ibouvillers"/>
        <s v="Saint-Deniscourt"/>
        <s v="Saint-Étienne-Roilaye"/>
        <s v="Sainte-Eusoye"/>
        <s v="Saint-Félix"/>
        <s v="Saint-Germain-la-Poterie"/>
        <s v="Saint-Germer-de-Fly"/>
        <s v="Saintines"/>
        <s v="Saint-Jean-aux-Bois"/>
        <s v="Saint-Just-en-Chaussée"/>
        <s v="Saint-Léger-aux-Bois"/>
        <s v="Saint-Léger-en-Bray"/>
        <s v="Saint-Leu-d'Esserent"/>
        <s v="Saint-Martin-aux-Bois"/>
        <s v="Saint-Martin-le-Nœud"/>
        <s v="Saint-Martin-Longueau"/>
        <s v="Saint-Maur"/>
        <s v="Saint-Maximin"/>
        <s v="Saint-Omer-en-Chaussée"/>
        <s v="Saint-Paul"/>
        <s v="Saint-Pierre-es-Champs"/>
        <s v="Saint-Pierre-lès-Bitry"/>
        <s v="Saint-Quentin-des-Prés"/>
        <s v="Saint-Remy-en-l'Eau"/>
        <s v="Saint-Samson-la-Poterie"/>
        <s v="Saint-Sauveur"/>
        <s v="Saint-Sulpice"/>
        <s v="Saint-Thibault"/>
        <s v="Saint-Vaast-de-Longmont"/>
        <s v="Saint-Vaast-lès-Mello"/>
        <s v="Saint-Valery"/>
        <s v="Salency"/>
        <s v="Sarcus"/>
        <s v="Sarnois"/>
        <s v="Le Saulchoy"/>
        <s v="Savignies"/>
        <s v="Sempigny"/>
        <s v="Senantes"/>
        <s v="Senlis"/>
        <s v="Senots"/>
        <s v="Serans"/>
        <s v="Sérévillers"/>
        <s v="Sérifontaine"/>
        <s v="Sermaize"/>
        <s v="Séry-Magneval"/>
        <s v="Silly-le-Long"/>
        <s v="Silly-Tillard"/>
        <s v="Solente"/>
        <s v="Sommereux"/>
        <s v="Songeons"/>
        <s v="Sully"/>
        <s v="Suzoy"/>
        <s v="Talmontiers"/>
        <s v="Tartigny"/>
        <s v="Therdonne"/>
        <s v="Thérines"/>
        <s v="Thibivillers"/>
        <s v="Thiers-sur-Thève"/>
        <s v="Thiescourt"/>
        <s v="Thieuloy-Saint-Antoine"/>
        <s v="Thieux"/>
        <s v="Thiverny"/>
        <s v="Thourotte"/>
        <s v="Thury-en-Valois"/>
        <s v="Thury-sous-Clermont"/>
        <s v="Tillé"/>
        <s v="Tourly"/>
        <s v="Tracy-le-Mont"/>
        <s v="Tracy-le-Val"/>
        <s v="Tricot"/>
        <s v="Trie-Château"/>
        <s v="Trie-la-Ville"/>
        <s v="Troissereux"/>
        <s v="Trosly-Breuil"/>
        <s v="Troussencourt"/>
        <s v="Trumilly"/>
        <s v="Ully-Saint-Georges"/>
        <s v="Valdampierre"/>
        <s v="Valescourt"/>
        <s v="Vandélicourt"/>
        <s v="Varesnes"/>
        <s v="Varinfroy"/>
        <s v="Vauchelles"/>
        <s v="Vauciennes"/>
        <s v="Vaudancourt"/>
        <s v="Le Vaumain"/>
        <s v="Vaumoise"/>
        <s v="Le Vauroux"/>
        <s v="Velennes"/>
        <s v="Vendeuil-Caply"/>
        <s v="Venette"/>
        <s v="Ver-sur-Launette"/>
        <s v="Verberie"/>
        <s v="Verderel-lès-Sauqueuse"/>
        <s v="Verderonne"/>
        <s v="Verneuil-en-Halatte"/>
        <s v="Vez"/>
        <s v="Viefvillers"/>
        <s v="Vieux-Moulin"/>
        <s v="Vignemont"/>
        <s v="Ville"/>
        <s v="Villembray"/>
        <s v="Villeneuve-les-Sablons"/>
        <s v="La Villeneuve-sous-Thury"/>
        <s v="Villeneuve-sur-Verberie"/>
        <s v="Villers-Saint-Barthélemy"/>
        <s v="Villers-Saint-Frambourg-Ognon"/>
        <s v="Villers-Saint-Genest"/>
        <s v="Villers-Saint-Paul"/>
        <s v="Villers-Saint-Sépulcre"/>
        <s v="Villers-sous-Saint-Leu"/>
        <s v="Villers-sur-Auchy"/>
        <s v="Villers-sur-Bonnières"/>
        <s v="Villers-sur-Coudun"/>
        <s v="Villers-Vermont"/>
        <s v="Villers-Vicomte"/>
        <s v="Villeselve"/>
        <s v="Les Hauts-Talican"/>
        <s v="Vineuil-Saint-Firmin"/>
        <s v="Vrocourt"/>
        <s v="Wacquemoulin"/>
        <s v="Wambez"/>
        <s v="Warluis"/>
        <s v="Wavignies"/>
        <s v="Welles-Pérennes"/>
        <s v="Aux Marais"/>
        <s v="Ablain-Saint-Nazaire"/>
        <s v="Ablainzevelle"/>
        <s v="Acheville"/>
        <s v="Achicourt"/>
        <s v="Achiet-le-Grand"/>
        <s v="Achiet-le-Petit"/>
        <s v="Acq"/>
        <s v="Acquin-Westbécourt"/>
        <s v="Adinfer"/>
        <s v="Affringues"/>
        <s v="Agnez-lès-Duisans"/>
        <s v="Agnières"/>
        <s v="Agny"/>
        <s v="Aire-sur-la-Lys"/>
        <s v="Airon-Notre-Dame"/>
        <s v="Airon-Saint-Vaast"/>
        <s v="Aix-en-Ergny"/>
        <s v="Aix-en-Issart"/>
        <s v="Aix-Noulette"/>
        <s v="Alembon"/>
        <s v="Alette"/>
        <s v="Alincthun"/>
        <s v="Allouagne"/>
        <s v="Alquines"/>
        <s v="Ambleteuse"/>
        <s v="Ambricourt"/>
        <s v="Ambrines"/>
        <s v="Ames"/>
        <s v="Amettes"/>
        <s v="Amplier"/>
        <s v="Andres"/>
        <s v="Angres"/>
        <s v="Annay"/>
        <s v="Annequin"/>
        <s v="Annezin"/>
        <s v="Anvin"/>
        <s v="Anzin-Saint-Aubin"/>
        <s v="Ardres"/>
        <s v="Arleux-en-Gohelle"/>
        <s v="Arques"/>
        <s v="Arras"/>
        <s v="Athies"/>
        <s v="Les Attaques"/>
        <s v="Attin"/>
        <s v="Aubigny-en-Artois"/>
        <s v="Aubin-Saint-Vaast"/>
        <s v="Aubrometz"/>
        <s v="Auchel"/>
        <s v="Auchy-au-Bois"/>
        <s v="Auchy-lès-Hesdin"/>
        <s v="Auchy-les-Mines"/>
        <s v="Audembert"/>
        <s v="Audincthun"/>
        <s v="Audinghen"/>
        <s v="Audrehem"/>
        <s v="Audresselles"/>
        <s v="Audruicq"/>
        <s v="Aumerval"/>
        <s v="Autingues"/>
        <s v="Auxi-le-Château"/>
        <s v="Averdoingt"/>
        <s v="Avesnes"/>
        <s v="Avesnes-le-Comte"/>
        <s v="Avesnes-lès-Bapaume"/>
        <s v="Avion"/>
        <s v="Avondance"/>
        <s v="Avroult"/>
        <s v="Ayette"/>
        <s v="Azincourt"/>
        <s v="Bailleul-aux-Cornailles"/>
        <s v="Bailleul-lès-Pernes"/>
        <s v="Bailleulmont"/>
        <s v="Bailleul-Sir-Berthoult"/>
        <s v="Bailleulval"/>
        <s v="Baincthun"/>
        <s v="Bainghen"/>
        <s v="Bajus"/>
        <s v="Balinghem"/>
        <s v="Bancourt"/>
        <s v="Bapaume"/>
        <s v="Baralle"/>
        <s v="Barastre"/>
        <s v="Barlin"/>
        <s v="Barly"/>
        <s v="Basseux"/>
        <s v="Bavincourt"/>
        <s v="Bayenghem-lès-Éperlecques"/>
        <s v="Bayenghem-lès-Seninghem"/>
        <s v="Bazinghen"/>
        <s v="Béalencourt"/>
        <s v="Beaudricourt"/>
        <s v="Beaufort-Blavincourt"/>
        <s v="Beaulencourt"/>
        <s v="Beaumerie-Saint-Martin"/>
        <s v="Beaumetz-lès-Aire"/>
        <s v="Beaumetz-lès-Cambrai"/>
        <s v="Beaumetz-lès-Loges"/>
        <s v="Beaurains"/>
        <s v="Beaurainville"/>
        <s v="Beauvois"/>
        <s v="Bécourt"/>
        <s v="Béhagnies"/>
        <s v="Bellebrune"/>
        <s v="Belle-et-Houllefort"/>
        <s v="Bellonne"/>
        <s v="Bénifontaine"/>
        <s v="Berck"/>
        <s v="Bergueneuse"/>
        <s v="Berlencourt-le-Cauroy"/>
        <s v="Berles-au-Bois"/>
        <s v="Berles-Monchel"/>
        <s v="Bermicourt"/>
        <s v="Berneville"/>
        <s v="Bernieulles"/>
        <s v="Bertincourt"/>
        <s v="Béthonsart"/>
        <s v="Béthune"/>
        <s v="Beugin"/>
        <s v="Beugnâtre"/>
        <s v="Beugny"/>
        <s v="Beussent"/>
        <s v="Beutin"/>
        <s v="Beuvrequen"/>
        <s v="Beuvry"/>
        <s v="Bezinghem"/>
        <s v="Biache-Saint-Vaast"/>
        <s v="Biefvillers-lès-Bapaume"/>
        <s v="Bienvillers-au-Bois"/>
        <s v="Bihucourt"/>
        <s v="Billy-Berclau"/>
        <s v="Billy-Montigny"/>
        <s v="Bimont"/>
        <s v="Blairville"/>
        <s v="Blangerval-Blangermont"/>
        <s v="Blangy-sur-Ternoise"/>
        <s v="Blendecques"/>
        <s v="Bléquin"/>
        <s v="Blessy"/>
        <s v="Blingel"/>
        <s v="Boffles"/>
        <s v="Boiry-Becquerelle"/>
        <s v="Boiry-Notre-Dame"/>
        <s v="Boiry-Saint-Martin"/>
        <s v="Boiry-Sainte-Rictrude"/>
        <s v="Bois-Bernard"/>
        <s v="Boisdinghem"/>
        <s v="Boisjean"/>
        <s v="Boisleux-au-Mont"/>
        <s v="Boisleux-Saint-Marc"/>
        <s v="Bomy"/>
        <s v="Bonningues-lès-Ardres"/>
        <s v="Bonningues-lès-Calais"/>
        <s v="Boubers-lès-Hesmond"/>
        <s v="Boubers-sur-Canche"/>
        <s v="Boulogne-sur-Mer"/>
        <s v="Bouquehault"/>
        <s v="Bourecq"/>
        <s v="Bouret-sur-Canche"/>
        <s v="Bourlon"/>
        <s v="Bournonville"/>
        <s v="Bours"/>
        <s v="Boursin"/>
        <s v="Bourthes"/>
        <s v="Bouvelinghem"/>
        <s v="Bouvigny-Boyeffles"/>
        <s v="Boyaval"/>
        <s v="Boyelles"/>
        <s v="Brebières"/>
        <s v="Brêmes"/>
        <s v="Brévillers"/>
        <s v="Bréxent-Énocq"/>
        <s v="Brimeux"/>
        <s v="Bruay-la-Buissière"/>
        <s v="Brunembert"/>
        <s v="Brias"/>
        <s v="Bucquoy"/>
        <s v="Buire-au-Bois"/>
        <s v="Buire-le-Sec"/>
        <s v="Buissy"/>
        <s v="Bullecourt"/>
        <s v="Bully-les-Mines"/>
        <s v="Buneville"/>
        <s v="Burbure"/>
        <s v="Bus"/>
        <s v="Busnes"/>
        <s v="Caffiers"/>
        <s v="Cagnicourt"/>
        <s v="Calais"/>
        <s v="Calonne-Ricouart"/>
        <s v="Calonne-sur-la-Lys"/>
        <s v="La Calotterie"/>
        <s v="Camblain-Châtelain"/>
        <s v="Cambligneul"/>
        <s v="Camblain-l'Abbé"/>
        <s v="Cambrin"/>
        <s v="Camiers"/>
        <s v="Campagne-lès-Boulonnais"/>
        <s v="Campagne-lès-Guines"/>
        <s v="Campagne-lès-Hesdin"/>
        <s v="Campagne-lès-Wardrecques"/>
        <s v="Campigneulles-les-Grandes"/>
        <s v="Campigneulles-les-Petites"/>
        <s v="Canettemont"/>
        <s v="Canlers"/>
        <s v="Capelle-Fermont"/>
        <s v="Capelle-lès-Hesdin"/>
        <s v="Carency"/>
        <s v="Carly"/>
        <s v="Carvin"/>
        <s v="La Cauchie"/>
        <s v="Cauchy-à-la-Tour"/>
        <s v="Caucourt"/>
        <s v="Cavron-Saint-Martin"/>
        <s v="Chelers"/>
        <s v="Chériennes"/>
        <s v="Chérisy"/>
        <s v="Chocques"/>
        <s v="Clairmarais"/>
        <s v="Clenleu"/>
        <s v="Clerques"/>
        <s v="Cléty"/>
        <s v="Colembert"/>
        <s v="Colline-Beaumont"/>
        <s v="La Comté"/>
        <s v="Conchil-le-Temple"/>
        <s v="Conchy-sur-Canche"/>
        <s v="Condette"/>
        <s v="Contes"/>
        <s v="Conteville-lès-Boulogne"/>
        <s v="Conteville-en-Ternois"/>
        <s v="Coquelles"/>
        <s v="Corbehem"/>
        <s v="Cormont"/>
        <s v="Couin"/>
        <s v="Coullemont"/>
        <s v="Coulogne"/>
        <s v="Coulomby"/>
        <s v="Coupelle-Neuve"/>
        <s v="Coupelle-Vieille"/>
        <s v="Courcelles-le-Comte"/>
        <s v="Courcelles-lès-Lens"/>
        <s v="Courrières"/>
        <s v="Courset"/>
        <s v="La Couture"/>
        <s v="Couturelle"/>
        <s v="Coyecques"/>
        <s v="Crémarest"/>
        <s v="Créquy"/>
        <s v="Croisette"/>
        <s v="Croisilles"/>
        <s v="Croix-en-Ternois"/>
        <s v="Cucq"/>
        <s v="Cuinchy"/>
        <s v="Dainville"/>
        <s v="Dannes"/>
        <s v="Delettes"/>
        <s v="Denier"/>
        <s v="Dennebrœucq"/>
        <s v="Desvres"/>
        <s v="Diéval"/>
        <s v="Divion"/>
        <s v="Dohem"/>
        <s v="Douchy-lès-Ayette"/>
        <s v="Doudeauville"/>
        <s v="Dourges"/>
        <s v="Douriez"/>
        <s v="Douvrin"/>
        <s v="Drocourt"/>
        <s v="Drouvin-le-Marais"/>
        <s v="Duisans"/>
        <s v="Echinghen"/>
        <s v="Éclimeux"/>
        <s v="Écoivres"/>
        <s v="Écourt-Saint-Quentin"/>
        <s v="Écoust-Saint-Mein"/>
        <s v="Ecquedecques"/>
        <s v="Ecques"/>
        <s v="Écuires"/>
        <s v="Écurie"/>
        <s v="Éleu-dit-Leauwette"/>
        <s v="Elnes"/>
        <s v="Embry"/>
        <s v="Enquin-lez-Guinegatte"/>
        <s v="Enquin-sur-Baillons"/>
        <s v="Éperlecques"/>
        <s v="Épinoy"/>
        <s v="Eps"/>
        <s v="Équihen-Plage"/>
        <s v="Équirre"/>
        <s v="Ergny"/>
        <s v="Érin"/>
        <s v="Erny-Saint-Julien"/>
        <s v="Ervillers"/>
        <s v="Escalles"/>
        <s v="Escœuilles"/>
        <s v="Esquerdes"/>
        <s v="Essars"/>
        <s v="Estevelles"/>
        <s v="Estrée"/>
        <s v="Estrée-Blanche"/>
        <s v="Estrée-Cauchy"/>
        <s v="Estréelles"/>
        <s v="Estrée-Wamin"/>
        <s v="Étaing"/>
        <s v="Étaples"/>
        <s v="Éterpigny"/>
        <s v="Étrun"/>
        <s v="Évin-Malmaison"/>
        <s v="Famechon"/>
        <s v="Fampoux"/>
        <s v="Farbus"/>
        <s v="Fauquembergues"/>
        <s v="Favreuil"/>
        <s v="Febvin-Palfart"/>
        <s v="Ferfay"/>
        <s v="Ferques"/>
        <s v="Festubert"/>
        <s v="Feuchy"/>
        <s v="Ficheux"/>
        <s v="Fiefs"/>
        <s v="Fiennes"/>
        <s v="Fillièvres"/>
        <s v="Fléchin"/>
        <s v="Flers"/>
        <s v="Fleurbaix"/>
        <s v="Floringhem"/>
        <s v="Foncquevillers"/>
        <s v="Fontaine-lès-Boulans"/>
        <s v="Fontaine-lès-Croisilles"/>
        <s v="Fontaine-lès-Hermans"/>
        <s v="Fontaine-l'Étalon"/>
        <s v="Fortel-en-Artois"/>
        <s v="Fosseux"/>
        <s v="Foufflin-Ricametz"/>
        <s v="Fouquereuil"/>
        <s v="Fouquières-lès-Béthune"/>
        <s v="Fouquières-lès-Lens"/>
        <s v="Framecourt"/>
        <s v="Frémicourt"/>
        <s v="Frencq"/>
        <s v="Fresnes-lès-Montauban"/>
        <s v="Fresnicourt-le-Dolmen"/>
        <s v="Fresnoy"/>
        <s v="Fresnoy-en-Gohelle"/>
        <s v="Fressin"/>
        <s v="Fréthun"/>
        <s v="Frévent"/>
        <s v="Frévillers"/>
        <s v="Frévin-Capelle"/>
        <s v="Fruges"/>
        <s v="Galametz"/>
        <s v="Gauchin-Légal"/>
        <s v="Gauchin-Verloingt"/>
        <s v="Gaudiempré"/>
        <s v="Gavrelle"/>
        <s v="Gennes-Ivergny"/>
        <s v="Givenchy-en-Gohelle"/>
        <s v="Givenchy-le-Noble"/>
        <s v="Givenchy-lès-la-Bassée"/>
        <s v="Gomiécourt"/>
        <s v="Gommecourt"/>
        <s v="Gonnehem"/>
        <s v="Gosnay"/>
        <s v="Gouves"/>
        <s v="Gouy-en-Artois"/>
        <s v="Gouy-Servins"/>
        <s v="Gouy-en-Ternois"/>
        <s v="Gouy-Saint-André"/>
        <s v="Gouy-sous-Bellonne"/>
        <s v="Graincourt-lès-Havrincourt"/>
        <s v="Grand-Rullecourt"/>
        <s v="Grenay"/>
        <s v="Grévillers"/>
        <s v="Grigny"/>
        <s v="Grincourt-lès-Pas"/>
        <s v="Groffliers"/>
        <s v="Guarbecque"/>
        <s v="Guémappe"/>
        <s v="Guemps"/>
        <s v="Guigny"/>
        <s v="Guinecourt"/>
        <s v="Guînes"/>
        <s v="Guisy"/>
        <s v="Habarcq"/>
        <s v="Haillicourt"/>
        <s v="Haisnes"/>
        <s v="Halinghen"/>
        <s v="Hallines"/>
        <s v="Hamblain-les-Prés"/>
        <s v="Hamelincourt"/>
        <s v="Ham-en-Artois"/>
        <s v="Hames-Boucres"/>
        <s v="Hannescamps"/>
        <s v="Haplincourt"/>
        <s v="Haravesnes"/>
        <s v="Hardinghen"/>
        <s v="Harnes"/>
        <s v="Haute-Avesnes"/>
        <s v="Hautecloque"/>
        <s v="Haut-Loquin"/>
        <s v="Havrincourt"/>
        <s v="Hébuterne"/>
        <s v="Helfaut"/>
        <s v="Hendecourt-lès-Cagnicourt"/>
        <s v="Hendecourt-lès-Ransart"/>
        <s v="Héninel"/>
        <s v="Hénin-Beaumont"/>
        <s v="Hénin-sur-Cojeul"/>
        <s v="Henneveux"/>
        <s v="Hénu"/>
        <s v="Herbinghen"/>
        <s v="Héricourt"/>
        <s v="La Herlière"/>
        <s v="Herlincourt"/>
        <s v="Herlin-le-Sec"/>
        <s v="Herly"/>
        <s v="Hermaville"/>
        <s v="Hermelinghen"/>
        <s v="Hermies"/>
        <s v="Hermin"/>
        <s v="Hernicourt"/>
        <s v="Hersin-Coupigny"/>
        <s v="Hervelinghen"/>
        <s v="Hesdigneul-lès-Béthune"/>
        <s v="Hesdigneul-lès-Boulogne"/>
        <s v="Hesdin-la-Forêt"/>
        <s v="Hesdin-l'Abbé"/>
        <s v="Hesmond"/>
        <s v="Hestrus"/>
        <s v="Heuchin"/>
        <s v="Heuringhem"/>
        <s v="Hézecques"/>
        <s v="Hinges"/>
        <s v="Hocquinghen"/>
        <s v="Houchin"/>
        <s v="Houdain"/>
        <s v="Houlle"/>
        <s v="Houvin-Houvigneul"/>
        <s v="Hubersent"/>
        <s v="Huclier"/>
        <s v="Hucqueliers"/>
        <s v="Hulluch"/>
        <s v="Humbercamps"/>
        <s v="Humbert"/>
        <s v="Humerœuille"/>
        <s v="Humières"/>
        <s v="Inchy-en-Artois"/>
        <s v="Incourt"/>
        <s v="Bellinghem"/>
        <s v="Inxent"/>
        <s v="Isbergues"/>
        <s v="Isques"/>
        <s v="Ivergny"/>
        <s v="Izel-lès-Équerchin"/>
        <s v="Izel-lès-Hameau"/>
        <s v="Journy"/>
        <s v="Labeuvrière"/>
        <s v="Labourse"/>
        <s v="Labroye"/>
        <s v="Lacres"/>
        <s v="Lagnicourt-Marcel"/>
        <s v="Laires"/>
        <s v="Lambres-lez-Aire"/>
        <s v="Landrethun-le-Nord"/>
        <s v="Landrethun-lès-Ardres"/>
        <s v="Lapugnoy"/>
        <s v="Lattre-Saint-Quentin"/>
        <s v="Laventie"/>
        <s v="Lebiez"/>
        <s v="Lebucquière"/>
        <s v="Léchelle"/>
        <s v="Ledinghem"/>
        <s v="Lefaux"/>
        <s v="Leforest"/>
        <s v="Lens"/>
        <s v="Lépine"/>
        <s v="Lespesses"/>
        <s v="Lespinoy"/>
        <s v="Lestrem"/>
        <s v="Leubringhen"/>
        <s v="Leulinghem"/>
        <s v="Leulinghen-Bernes"/>
        <s v="Licques"/>
        <s v="Liencourt"/>
        <s v="Lières"/>
        <s v="Liettres"/>
        <s v="Liévin"/>
        <s v="Lignereuil"/>
        <s v="Ligny-lès-Aire"/>
        <s v="Ligny-sur-Canche"/>
        <s v="Ligny-Saint-Flochel"/>
        <s v="Ligny-Thilloy"/>
        <s v="Lillers"/>
        <s v="Linghem"/>
        <s v="Linzeux"/>
        <s v="Lisbourg"/>
        <s v="Locon"/>
        <s v="La Loge"/>
        <s v="Loison-sur-Créquoise"/>
        <s v="Loison-sous-Lens"/>
        <s v="Longfossé"/>
        <s v="Longuenesse"/>
        <s v="Longueville"/>
        <s v="Longvilliers"/>
        <s v="Loos-en-Gohelle"/>
        <s v="Lorgies"/>
        <s v="Lottinghen"/>
        <s v="Louches"/>
        <s v="Lozinghem"/>
        <s v="Lugy"/>
        <s v="Lumbres"/>
        <s v="La Madelaine-sous-Montreuil"/>
        <s v="Magnicourt-en-Comte"/>
        <s v="Magnicourt-sur-Canche"/>
        <s v="Maintenay"/>
        <s v="Maisnil"/>
        <s v="Maisnil-lès-Ruitz"/>
        <s v="Maisoncelle"/>
        <s v="Maizières"/>
        <s v="Mametz"/>
        <s v="Manin"/>
        <s v="Maninghem"/>
        <s v="Maninghen-Henne"/>
        <s v="Marant"/>
        <s v="Marck"/>
        <s v="Marconnelle"/>
        <s v="Marenla"/>
        <s v="Maresquel-Ecquemicourt"/>
        <s v="Marest"/>
        <s v="Maresville"/>
        <s v="Marles-les-Mines"/>
        <s v="Marles-sur-Canche"/>
        <s v="Marœuil"/>
        <s v="Marquay"/>
        <s v="Marquion"/>
        <s v="Marquise"/>
        <s v="Martinpuich"/>
        <s v="Matringhem"/>
        <s v="Mazingarbe"/>
        <s v="Mazinghem"/>
        <s v="Mencas"/>
        <s v="Menneville"/>
        <s v="Mentque-Nortbécourt"/>
        <s v="Mercatel"/>
        <s v="Merck-Saint-Liévin"/>
        <s v="Méricourt"/>
        <s v="Merlimont"/>
        <s v="Metz-en-Couture"/>
        <s v="Meurchin"/>
        <s v="Mingoval"/>
        <s v="Moncheaux-lès-Frévent"/>
        <s v="Monchel-sur-Canche"/>
        <s v="Monchiet"/>
        <s v="Monchy-au-Bois"/>
        <s v="Monchy-Breton"/>
        <s v="Monchy-Cayeux"/>
        <s v="Monchy-le-Preux"/>
        <s v="Mondicourt"/>
        <s v="Mont-Bernanchon"/>
        <s v="Montcavrel"/>
        <s v="Montenescourt"/>
        <s v="Montigny-en-Gohelle"/>
        <s v="Montreuil-sur-Mer"/>
        <s v="Mont-Saint-Éloi"/>
        <s v="Monts-en-Ternois"/>
        <s v="Morchies"/>
        <s v="Moringhem"/>
        <s v="Morval"/>
        <s v="Mory"/>
        <s v="Moulle"/>
        <s v="Mouriez"/>
        <s v="Muncq-Nieurlet"/>
        <s v="Nabringhen"/>
        <s v="Nédon"/>
        <s v="Nédonchel"/>
        <s v="Nempont-Saint-Firmin"/>
        <s v="Nesles"/>
        <s v="Neufchâtel-Hardelot"/>
        <s v="Neulette"/>
        <s v="Neuve-Chapelle"/>
        <s v="Neuville-au-Cornet"/>
        <s v="Neuville-Bourjonval"/>
        <s v="Neuville-Saint-Vaast"/>
        <s v="Neuville-sous-Montreuil"/>
        <s v="Neuville-Vitasse"/>
        <s v="Neuvireuil"/>
        <s v="Nielles-lès-Bléquin"/>
        <s v="Nielles-lès-Ardres"/>
        <s v="Nielles-lès-Calais"/>
        <s v="Nœux-lès-Auxi"/>
        <s v="Nœux-les-Mines"/>
        <s v="Nordausques"/>
        <s v="Noreuil"/>
        <s v="Norrent-Fontes"/>
        <s v="Nortkerque"/>
        <s v="Nort-Leulinghem"/>
        <s v="Nouvelle-Église"/>
        <s v="Noyelles-Godault"/>
        <s v="Noyelles-lès-Humières"/>
        <s v="Noyelles-lès-Vermelles"/>
        <s v="Noyelles-sous-Bellonne"/>
        <s v="Noyelles-sous-Lens"/>
        <s v="Noyellette"/>
        <s v="Noyelle-Vion"/>
        <s v="Nuncq-Hautecôte"/>
        <s v="Oblinghem"/>
        <s v="Œuf-en-Ternois"/>
        <s v="Offekerque"/>
        <s v="Offin"/>
        <s v="Offrethun"/>
        <s v="Oignies"/>
        <s v="Oisy-le-Verger"/>
        <s v="Oppy"/>
        <s v="Orville"/>
        <s v="Ostreville"/>
        <s v="Ourton"/>
        <s v="Outreau"/>
        <s v="Ouve-Wirquin"/>
        <s v="Oye-Plage"/>
        <s v="Palluel"/>
        <s v="Le Parcq"/>
        <s v="Parenty"/>
        <s v="Pas-en-Artois"/>
        <s v="Pelves"/>
        <s v="Penin"/>
        <s v="Pernes"/>
        <s v="Pernes-lès-Boulogne"/>
        <s v="Peuplingues"/>
        <s v="Pierremont"/>
        <s v="Pihem"/>
        <s v="Pihen-lès-Guînes"/>
        <s v="Pittefaux"/>
        <s v="Planques"/>
        <s v="Plouvain"/>
        <s v="Bouin-Plumoison"/>
        <s v="Polincove"/>
        <s v="Pommera"/>
        <s v="Pommier"/>
        <s v="Le Ponchel"/>
        <s v="Pont-à-Vendin"/>
        <s v="Le Portel"/>
        <s v="Prédefin"/>
        <s v="Pressy"/>
        <s v="Preures"/>
        <s v="Pronville-en-Artois"/>
        <s v="Puisieux"/>
        <s v="Quéant"/>
        <s v="Quelmes"/>
        <s v="Quercamps"/>
        <s v="Quernes"/>
        <s v="Le Quesnoy-en-Artois"/>
        <s v="Quesques"/>
        <s v="Questrecques"/>
        <s v="Quiéry-la-Motte"/>
        <s v="Quiestède"/>
        <s v="Quilen"/>
        <s v="Quœux-Haut-Maînil"/>
        <s v="Racquinghem"/>
        <s v="Radinghem"/>
        <s v="Ramecourt"/>
        <s v="Rang-du-Fliers"/>
        <s v="Ransart"/>
        <s v="Raye-sur-Authie"/>
        <s v="Saint-Augustin"/>
        <s v="Rebergues"/>
        <s v="Rebreuve-Ranchicourt"/>
        <s v="Rebreuve-sur-Canche"/>
        <s v="Rebreuviette"/>
        <s v="Reclinghem"/>
        <s v="Récourt"/>
        <s v="Recques-sur-Course"/>
        <s v="Recques-sur-Hem"/>
        <s v="Regnauville"/>
        <s v="Rely"/>
        <s v="Remilly-Wirquin"/>
        <s v="Rémy"/>
        <s v="Renty"/>
        <s v="Rety"/>
        <s v="Richebourg"/>
        <s v="Riencourt-lès-Bapaume"/>
        <s v="Riencourt-lès-Cagnicourt"/>
        <s v="Rimboval"/>
        <s v="Rinxent"/>
        <s v="Rivière"/>
        <s v="Robecq"/>
        <s v="Roclincourt"/>
        <s v="Rodelinghem"/>
        <s v="Roëllecourt"/>
        <s v="Rœux"/>
        <s v="Rollancourt"/>
        <s v="Rombly"/>
        <s v="Roquetoire"/>
        <s v="Rougefay"/>
        <s v="Roussent"/>
        <s v="Royon"/>
        <s v="Ruisseauville"/>
        <s v="Ruitz"/>
        <s v="Rumaucourt"/>
        <s v="Rumilly"/>
        <s v="Ruminghem"/>
        <s v="Ruyaulcourt"/>
        <s v="Sachin"/>
        <s v="Sailly-au-Bois"/>
        <s v="Sailly-en-Ostrevent"/>
        <s v="Sailly-Labourse"/>
        <s v="Sailly-sur-la-Lys"/>
        <s v="Sains-en-Gohelle"/>
        <s v="Sains-lès-Fressin"/>
        <s v="Sains-lès-Marquion"/>
        <s v="Sains-lès-Pernes"/>
        <s v="Saint-Amand"/>
        <s v="Sainte-Catherine"/>
        <s v="Saint-Denœux"/>
        <s v="Saint-Étienne-au-Mont"/>
        <s v="Saint-Floris"/>
        <s v="Saint-Folquin"/>
        <s v="Saint-Georges"/>
        <s v="Saint-Hilaire-Cottes"/>
        <s v="Saint-Inglevert"/>
        <s v="Saint-Josse"/>
        <s v="Saint-Laurent-Blangy"/>
        <s v="Saint-Léger"/>
        <s v="Saint-Léonard"/>
        <s v="Sainte-Marie-Kerque"/>
        <s v="Saint-Martin-lez-Tatinghem"/>
        <s v="Saint-Martin-Boulogne"/>
        <s v="Saint-Martin-Choquel"/>
        <s v="Saint-Martin-d'Hardinghem"/>
        <s v="Saint-Martin-sur-Cojeul"/>
        <s v="Saint-Michel-sous-Bois"/>
        <s v="Saint-Michel-sur-Ternoise"/>
        <s v="Saint-Nicolas"/>
        <s v="Saint-Omer"/>
        <s v="Saint-Omer-Capelle"/>
        <s v="Saint-Pol-sur-Ternoise"/>
        <s v="Saint-Rémy-au-Bois"/>
        <s v="Saint-Tricat"/>
        <s v="Saint-Venant"/>
        <s v="Sallaumines"/>
        <s v="Salperwick"/>
        <s v="Samer"/>
        <s v="Sangatte"/>
        <s v="Sanghen"/>
        <s v="Sapignies"/>
        <s v="Le Sars"/>
        <s v="Sars-le-Bois"/>
        <s v="Sarton"/>
        <s v="Sauchy-Cauchy"/>
        <s v="Sauchy-Lestrée"/>
        <s v="Saudemont"/>
        <s v="Saulchoy"/>
        <s v="Saulty"/>
        <s v="Savy-Berlette"/>
        <s v="Selles"/>
        <s v="Sempy"/>
        <s v="Seninghem"/>
        <s v="Senlecques"/>
        <s v="Séricourt"/>
        <s v="Serques"/>
        <s v="Servins"/>
        <s v="Setques"/>
        <s v="Sibiville"/>
        <s v="Simencourt"/>
        <s v="Siracourt"/>
        <s v="Sombrin"/>
        <s v="Sorrus"/>
        <s v="Souastre"/>
        <s v="Souchez"/>
        <s v="Le Souich"/>
        <s v="Surques"/>
        <s v="Sus-Saint-Léger"/>
        <s v="Tangry"/>
        <s v="Tardinghen"/>
        <s v="Teneur"/>
        <s v="Ternas"/>
        <s v="Thélus"/>
        <s v="Thérouanne"/>
        <s v="Thiembronne"/>
        <s v="La Thieuloye"/>
        <s v="Thièvres"/>
        <s v="Tigny-Noyelle"/>
        <s v="Tilloy-lès-Hermaville"/>
        <s v="Tilloy-lès-Mofflaines"/>
        <s v="Tilly-Capelle"/>
        <s v="Tilques"/>
        <s v="Tincques"/>
        <s v="Tingry"/>
        <s v="Tollent"/>
        <s v="Torcy"/>
        <s v="Tortefontaine"/>
        <s v="Tortequesne"/>
        <s v="Le Touquet-Paris-Plage"/>
        <s v="Tournehem-sur-la-Hem"/>
        <s v="Tramecourt"/>
        <s v="Le Transloy"/>
        <s v="Trescault"/>
        <s v="Troisvaux"/>
        <s v="Tubersent"/>
        <s v="Vacquerie-le-Boucq"/>
        <s v="Vacqueriette-Erquières"/>
        <s v="Valhuon"/>
        <s v="Vaudricourt"/>
        <s v="Vaudringhem"/>
        <s v="Vaulx"/>
        <s v="Vaulx-Vraucourt"/>
        <s v="Vélu"/>
        <s v="Vendin-lès-Béthune"/>
        <s v="Vendin-le-Vieil"/>
        <s v="Verchin"/>
        <s v="Verchocq"/>
        <s v="Verlincthun"/>
        <s v="Vermelles"/>
        <s v="Verquigneul"/>
        <s v="Verquin"/>
        <s v="Verton"/>
        <s v="Vieil-Hesdin"/>
        <s v="Vieille-Chapelle"/>
        <s v="Vieille-Église"/>
        <s v="Vieil-Moutier"/>
        <s v="Villers-au-Bois"/>
        <s v="Villers-au-Flos"/>
        <s v="Villers-Brûlin"/>
        <s v="Villers-Châtel"/>
        <s v="Villers-lès-Cagnicourt"/>
        <s v="Villers-l'Hôpital"/>
        <s v="Villers-Sir-Simon"/>
        <s v="Vimy"/>
        <s v="Vincly"/>
        <s v="Violaines"/>
        <s v="Vis-en-Artois"/>
        <s v="Vitry-en-Artois"/>
        <s v="Waben"/>
        <s v="Wacquinghen"/>
        <s v="Wail"/>
        <s v="Wailly"/>
        <s v="Wailly-Beaucamp"/>
        <s v="Wambercourt"/>
        <s v="Wamin"/>
        <s v="Wancourt"/>
        <s v="Wanquetin"/>
        <s v="Wardrecques"/>
        <s v="Warlencourt-Eaucourt"/>
        <s v="Warlincourt-lès-Pas"/>
        <s v="Warlus"/>
        <s v="Warluzel"/>
        <s v="Le Wast"/>
        <s v="Beauvoir-Wavans"/>
        <s v="Wavrans-sur-l'Aa"/>
        <s v="Wavrans-sur-Ternoise"/>
        <s v="Westrehem"/>
        <s v="Wicquinghem"/>
        <s v="Widehem"/>
        <s v="Wierre-au-Bois"/>
        <s v="Wierre-Effroy"/>
        <s v="Willeman"/>
        <s v="Willencourt"/>
        <s v="Willerval"/>
        <s v="Wimereux"/>
        <s v="Wimille"/>
        <s v="Wingles"/>
        <s v="Wirwignes"/>
        <s v="Wismes"/>
        <s v="Wisques"/>
        <s v="Wissant"/>
        <s v="Witternesse"/>
        <s v="Wittes"/>
        <s v="Wizernes"/>
        <s v="Zoteux"/>
        <s v="Zouafques"/>
        <s v="Zudausques"/>
        <s v="Zutkerque"/>
        <s v="Libercourt"/>
        <s v="La Capelle-lès-Boulogne"/>
        <s v="Ytres"/>
        <s v="Abbeville"/>
        <s v="Ablaincourt-Pressoir"/>
        <s v="Acheux-en-Amiénois"/>
        <s v="Acheux-en-Vimeu"/>
        <s v="Agenville"/>
        <s v="Agenvillers"/>
        <s v="Aigneville"/>
        <s v="Ailly-le-Haut-Clocher"/>
        <s v="Ailly-sur-Noye"/>
        <s v="Ailly-sur-Somme"/>
        <s v="Airaines"/>
        <s v="Aizecourt-le-Bas"/>
        <s v="Aizecourt-le-Haut"/>
        <s v="Albert"/>
        <s v="Allaines"/>
        <s v="Allenay"/>
        <s v="Allery"/>
        <s v="Allonville"/>
        <s v="Amiens"/>
        <s v="Andainville"/>
        <s v="Andechy"/>
        <s v="Argœuves"/>
        <s v="Argoules"/>
        <s v="Arguel"/>
        <s v="Arquèves"/>
        <s v="Arrest"/>
        <s v="Arry"/>
        <s v="Arvillers"/>
        <s v="Assainvillers"/>
        <s v="Assevillers"/>
        <s v="Aubercourt"/>
        <s v="Aubigny"/>
        <s v="Aubvillers"/>
        <s v="Auchonvillers"/>
        <s v="Ault"/>
        <s v="Aumâtre"/>
        <s v="Aumont"/>
        <s v="Autheux"/>
        <s v="Authie"/>
        <s v="Authieule"/>
        <s v="Authuille"/>
        <s v="Avelesges"/>
        <s v="Aveluy"/>
        <s v="Avesnes-Chaussoy"/>
        <s v="Ayencourt"/>
        <s v="Bacouel-sur-Selle"/>
        <s v="Baizieux"/>
        <s v="Balâtre"/>
        <s v="Barleux"/>
        <s v="Bavelincourt"/>
        <s v="Bayencourt"/>
        <s v="Bayonvillers"/>
        <s v="Bazentin"/>
        <s v="Béalcourt"/>
        <s v="Beaucamps-le-Jeune"/>
        <s v="Beaucamps-le-Vieux"/>
        <s v="Beauchamps"/>
        <s v="Beaucourt-en-Santerre"/>
        <s v="Beaucourt-sur-l'Ancre"/>
        <s v="Beaucourt-sur-l'Hallue"/>
        <s v="Beaufort-en-Santerre"/>
        <s v="Beaumetz"/>
        <s v="Beaumont-Hamel"/>
        <s v="Beauquesne"/>
        <s v="Beauval"/>
        <s v="Bécordel-Bécourt"/>
        <s v="Béhen"/>
        <s v="Béhencourt"/>
        <s v="Bellancourt"/>
        <s v="Belleuse"/>
        <s v="Belloy-en-Santerre"/>
        <s v="Belloy-Saint-Léonard"/>
        <s v="Belloy-sur-Somme"/>
        <s v="Bergicourt"/>
        <s v="Bermesnil"/>
        <s v="Bernâtre"/>
        <s v="Bernaville"/>
        <s v="Bernay-en-Ponthieu"/>
        <s v="Bernes"/>
        <s v="Berneuil"/>
        <s v="Berny-en-Santerre"/>
        <s v="Bertangles"/>
        <s v="Berteaucourt-les-Dames"/>
        <s v="Berteaucourt-lès-Thennes"/>
        <s v="Bertrancourt"/>
        <s v="Béthencourt-sur-Mer"/>
        <s v="Béthencourt-sur-Somme"/>
        <s v="Bettembos"/>
        <s v="Bettencourt-Rivière"/>
        <s v="Bettencourt-Saint-Ouen"/>
        <s v="Beuvraignes"/>
        <s v="Biaches"/>
        <s v="Biarre"/>
        <s v="Biencourt"/>
        <s v="Billancourt"/>
        <s v="Blangy-sous-Poix"/>
        <s v="Blangy-Tronville"/>
        <s v="Boisbergues"/>
        <s v="Le Boisle"/>
        <s v="Boismont"/>
        <s v="Bonnay"/>
        <s v="Bonneville"/>
        <s v="Bosquel"/>
        <s v="Bouchavesnes-Bergen"/>
        <s v="Bouchoir"/>
        <s v="Bouchon"/>
        <s v="Boufflers"/>
        <s v="Bougainville"/>
        <s v="Bouillancourt-en-Séry"/>
        <s v="Bouillancourt-la-Bataille"/>
        <s v="Bouquemaison"/>
        <s v="Bourdon"/>
        <s v="Bourseville"/>
        <s v="Boussicourt"/>
        <s v="Bouttencourt"/>
        <s v="Bouvaincourt-sur-Bresle"/>
        <s v="Bouvincourt-en-Vermandois"/>
        <s v="Bouzincourt"/>
        <s v="Bovelles"/>
        <s v="Boves"/>
        <s v="Braches"/>
        <s v="Brailly-Cornehotte"/>
        <s v="Brassy"/>
        <s v="Bray-lès-Mareuil"/>
        <s v="Bray-sur-Somme"/>
        <s v="Breilly"/>
        <s v="Bresle"/>
        <s v="Breuil"/>
        <s v="Briquemesnil-Floxicourt"/>
        <s v="Brocourt"/>
        <s v="Brouchy"/>
        <s v="Brucamps"/>
        <s v="Brutelles"/>
        <s v="Buigny-l'Abbé"/>
        <s v="Buigny-lès-Gamaches"/>
        <s v="Buigny-Saint-Maclou"/>
        <s v="Buire-Courcelles"/>
        <s v="Buire-sur-l'Ancre"/>
        <s v="Bus-la-Mésière"/>
        <s v="Bus-lès-Artois"/>
        <s v="Bussu"/>
        <s v="Bussus-lès-Yaucourt"/>
        <s v="Bussy-lès-Daours"/>
        <s v="Bussy-lès-Poix"/>
        <s v="Buverchy"/>
        <s v="Cachy"/>
        <s v="Cagny"/>
        <s v="Cahon"/>
        <s v="Caix"/>
        <s v="Cambron"/>
        <s v="Camon"/>
        <s v="Camps-en-Amiénois"/>
        <s v="Canaples"/>
        <s v="Canchy"/>
        <s v="Candas"/>
        <s v="Cannessières"/>
        <s v="Cantigny"/>
        <s v="Caours"/>
        <s v="Cappy"/>
        <s v="Cardonnette"/>
        <s v="Le Cardonnois"/>
        <s v="Carrépuis"/>
        <s v="Cartigny"/>
        <s v="Caulières"/>
        <s v="Cavillon"/>
        <s v="Cayeux-en-Santerre"/>
        <s v="Cayeux-sur-Mer"/>
        <s v="Cerisy-Buleux"/>
        <s v="Cerisy"/>
        <s v="Champien"/>
        <s v="Chaulnes"/>
        <s v="La Chaussée-Tirancourt"/>
        <s v="Chaussoy-Epagny"/>
        <s v="La Chavatte"/>
        <s v="Chépy"/>
        <s v="Chilly"/>
        <s v="Chipilly"/>
        <s v="Chirmont"/>
        <s v="Chuignes"/>
        <s v="Chuignolles"/>
        <s v="Citerne"/>
        <s v="Cizancourt"/>
        <s v="Clairy-Saulchoix"/>
        <s v="Cléry-sur-Somme"/>
        <s v="Cocquerel"/>
        <s v="Coigneux"/>
        <s v="Coisy"/>
        <s v="Colincamps"/>
        <s v="Combles"/>
        <s v="Condé-Folie"/>
        <s v="Contalmaison"/>
        <s v="Contay"/>
        <s v="Contre"/>
        <s v="Conty"/>
        <s v="Corbie"/>
        <s v="Cottenchy"/>
        <s v="Coullemelle"/>
        <s v="Coulonvillers"/>
        <s v="Courcelette"/>
        <s v="Courcelles-au-Bois"/>
        <s v="Courcelles-sous-Moyencourt"/>
        <s v="Courcelles-sous-Thoix"/>
        <s v="Courtemanche"/>
        <s v="Cramont"/>
        <s v="Crécy-en-Ponthieu"/>
        <s v="Crémery"/>
        <s v="Cressy-Omencourt"/>
        <s v="Creuse"/>
        <s v="Croix-Moligneaux"/>
        <s v="Croixrault"/>
        <s v="Le Crotoy"/>
        <s v="Crouy-Saint-Pierre"/>
        <s v="Curchy"/>
        <s v="Curlu"/>
        <s v="Damery"/>
        <s v="Dancourt-Popincourt"/>
        <s v="Daours"/>
        <s v="Dargnies"/>
        <s v="Davenescourt"/>
        <s v="Démuin"/>
        <s v="Dernancourt"/>
        <s v="Devise"/>
        <s v="Doingt"/>
        <s v="Domart-en-Ponthieu"/>
        <s v="Domart-sur-la-Luce"/>
        <s v="Domesmont"/>
        <s v="Dominois"/>
        <s v="Domléger-Longvillers"/>
        <s v="Dommartin"/>
        <s v="Dompierre-Becquincourt"/>
        <s v="Dompierre-sur-Authie"/>
        <s v="Domqueur"/>
        <s v="Domvast"/>
        <s v="Doudelainville"/>
        <s v="Douilly"/>
        <s v="Doullens"/>
        <s v="Dreuil-lès-Amiens"/>
        <s v="Driencourt"/>
        <s v="Dromesnil"/>
        <s v="Drucat"/>
        <s v="Eaucourt-sur-Somme"/>
        <s v="L'Échelle-Saint-Aurin"/>
        <s v="Éclusier-Vaux"/>
        <s v="Embreville"/>
        <s v="Englebelmer"/>
        <s v="Ennemain"/>
        <s v="Épagne-Épagnette"/>
        <s v="Épaumesnil"/>
        <s v="Épécamps"/>
        <s v="Épehy"/>
        <s v="Épénancourt"/>
        <s v="Éplessier"/>
        <s v="Eppeville"/>
        <s v="Équancourt"/>
        <s v="Équennes-Éramecourt"/>
        <s v="Erches"/>
        <s v="Ercheu"/>
        <s v="Ercourt"/>
        <s v="Ergnies"/>
        <s v="Érondelle"/>
        <s v="Esclainvillers"/>
        <s v="Esmery-Hallon"/>
        <s v="Essertaux"/>
        <s v="Estrébœuf"/>
        <s v="Estrées-Deniécourt"/>
        <s v="Estrées-lès-Crécy"/>
        <s v="Estrées-sur-Noye"/>
        <s v="Étalon"/>
        <s v="Ételfay"/>
        <s v="Étinehem-Méricourt"/>
        <s v="L'Étoile"/>
        <s v="Étréjust"/>
        <s v="Étricourt-Manancourt"/>
        <s v="La Faloise"/>
        <s v="Falvy"/>
        <s v="Favières"/>
        <s v="Fay"/>
        <s v="Fescamps"/>
        <s v="Feuillères"/>
        <s v="Feuquières-en-Vimeu"/>
        <s v="Fienvillers"/>
        <s v="Fignières"/>
        <s v="Fins"/>
        <s v="Flaucourt"/>
        <s v="Flers-sur-Noye"/>
        <s v="Flesselles"/>
        <s v="Flixecourt"/>
        <s v="Fluy"/>
        <s v="Folies"/>
        <s v="Folleville"/>
        <s v="Fonches-Fonchette"/>
        <s v="Fontaine-le-Sec"/>
        <s v="Fontaine-lès-Cappy"/>
        <s v="Fontaine-sous-Montdidier"/>
        <s v="Fontaine-sur-Maye"/>
        <s v="Fontaine-sur-Somme"/>
        <s v="Forceville"/>
        <s v="Forceville-en-Vimeu"/>
        <s v="Forest-l'Abbaye"/>
        <s v="Forest-Montiers"/>
        <s v="Fort-Mahon-Plage"/>
        <s v="Fossemanant"/>
        <s v="Foucaucourt-en-Santerre"/>
        <s v="Foucaucourt-Hors-Nesle"/>
        <s v="Fouencamps"/>
        <s v="Fouquescourt"/>
        <s v="Fourcigny"/>
        <s v="Fourdrinoy"/>
        <s v="Framerville-Rainecourt"/>
        <s v="Framicourt"/>
        <s v="Franleu"/>
        <s v="Fransart"/>
        <s v="Fransu"/>
        <s v="Fransures"/>
        <s v="Franvillers"/>
        <s v="Fréchencourt"/>
        <s v="Frémontiers"/>
        <s v="Fresnes-Mazancourt"/>
        <s v="Fresnes-Tilloloy"/>
        <s v="Fresneville"/>
        <s v="Fresnoy-Andainville"/>
        <s v="Fresnoy-au-Val"/>
        <s v="Fresnoy-en-Chaussée"/>
        <s v="Fresnoy-lès-Roye"/>
        <s v="Fressenneville"/>
        <s v="Frettecuisse"/>
        <s v="Frettemeule"/>
        <s v="Friaucourt"/>
        <s v="Fricamps"/>
        <s v="Fricourt"/>
        <s v="Frise"/>
        <s v="Friville-Escarbotin"/>
        <s v="Frohen-sur-Authie"/>
        <s v="Froyelles"/>
        <s v="Frucourt"/>
        <s v="Gamaches"/>
        <s v="Gapennes"/>
        <s v="Gauville"/>
        <s v="Gentelles"/>
        <s v="Gézaincourt"/>
        <s v="Ginchy"/>
        <s v="Glisy"/>
        <s v="Gorenflos"/>
        <s v="Gorges"/>
        <s v="Goyencourt"/>
        <s v="Grandcourt"/>
        <s v="Grand-Laviers"/>
        <s v="Gratibus"/>
        <s v="Grattepanche"/>
        <s v="Grébault-Mesnil"/>
        <s v="Grivesnes"/>
        <s v="Grivillers"/>
        <s v="Grouches-Luchuel"/>
        <s v="Gruny"/>
        <s v="Guerbigny"/>
        <s v="Gueschart"/>
        <s v="Gueudecourt"/>
        <s v="Guignemicourt"/>
        <s v="Guillaucourt"/>
        <s v="Guillemont"/>
        <s v="Guizancourt"/>
        <s v="Guyencourt-sur-Noye"/>
        <s v="Guyencourt-Saulcourt"/>
        <s v="Hailles"/>
        <s v="Hallencourt"/>
        <s v="Hallivillers"/>
        <s v="Halloy-lès-Pernois"/>
        <s v="Hallu"/>
        <s v="Ham"/>
        <s v="Hamelet"/>
        <s v="Hancourt"/>
        <s v="Hangard"/>
        <s v="Hangest-en-Santerre"/>
        <s v="Hangest-sur-Somme"/>
        <s v="Harbonnières"/>
        <s v="Hardecourt-aux-Bois"/>
        <s v="Harponville"/>
        <s v="Hattencourt"/>
        <s v="Hautvillers-Ouville"/>
        <s v="Havernas"/>
        <s v="Hébécourt"/>
        <s v="Hédauville"/>
        <s v="Heilly"/>
        <s v="Hem-Hardinval"/>
        <s v="Hem-Monacu"/>
        <s v="Hénencourt"/>
        <s v="Herbécourt"/>
        <s v="Hérissart"/>
        <s v="Herleville"/>
        <s v="Hervilly"/>
        <s v="Hesbécourt"/>
        <s v="Hescamps"/>
        <s v="Heucourt-Croquoison"/>
        <s v="Heudicourt"/>
        <s v="Heuzecourt"/>
        <s v="Hiermont"/>
        <s v="Hombleux"/>
        <s v="Hornoy-le-Bourg"/>
        <s v="Huchenneville"/>
        <s v="Humbercourt"/>
        <s v="Huppy"/>
        <s v="Ignaucourt"/>
        <s v="Inval-Boiron"/>
        <s v="Irles"/>
        <s v="Jumel"/>
        <s v="Laboissière-en-Santerre"/>
        <s v="Lachapelle"/>
        <s v="Lafresguimont-Saint-Martin"/>
        <s v="Lahoussoye"/>
        <s v="Laleu"/>
        <s v="Lamaronde"/>
        <s v="Lamotte-Brebière"/>
        <s v="Lamotte-Buleux"/>
        <s v="Lamotte-Warfusée"/>
        <s v="Lanchères"/>
        <s v="Languevoisin-Quiquery"/>
        <s v="Lanches-Saint-Hilaire"/>
        <s v="Laucourt"/>
        <s v="Laviéville"/>
        <s v="Lawarde-Mauger-l'Hortoy"/>
        <s v="Léalvillers"/>
        <s v="Lesbœufs"/>
        <s v="Liancourt-Fosse"/>
        <s v="Licourt"/>
        <s v="Liéramont"/>
        <s v="Liercourt"/>
        <s v="Ligescourt"/>
        <s v="Lignières"/>
        <s v="Lignières-Châtelain"/>
        <s v="Lignières-en-Vimeu"/>
        <s v="Lihons"/>
        <s v="Limeux"/>
        <s v="Liomer"/>
        <s v="Ô-de-Selle"/>
        <s v="Long"/>
        <s v="Longavesnes"/>
        <s v="Longpré-les-Corps-Saints"/>
        <s v="Longueau"/>
        <s v="Longueval"/>
        <s v="Longuevillette"/>
        <s v="Louvencourt"/>
        <s v="Louvrechy"/>
        <s v="Lucheux"/>
        <s v="Machiel"/>
        <s v="Machy"/>
        <s v="Mailly-Maillet"/>
        <s v="Mailly-Raineval"/>
        <s v="Maisnières"/>
        <s v="Maison-Ponthieu"/>
        <s v="Maison-Roland"/>
        <s v="Maizicourt"/>
        <s v="Malpart"/>
        <s v="Carnoy-Mametz"/>
        <s v="Marcelcave"/>
        <s v="Marché-Allouarde"/>
        <s v="Marchélepot-Misery"/>
        <s v="Marestmontiers"/>
        <s v="Mareuil-Caubert"/>
        <s v="Maricourt"/>
        <s v="Marieux"/>
        <s v="Marlers"/>
        <s v="Marquaix"/>
        <s v="Marquivillers"/>
        <s v="Martainneville"/>
        <s v="Matigny"/>
        <s v="Maurepas"/>
        <s v="Le Mazis"/>
        <s v="Méaulte"/>
        <s v="Méharicourt"/>
        <s v="Meigneux"/>
        <s v="Le Meillard"/>
        <s v="Méneslies"/>
        <s v="Méréaucourt"/>
        <s v="Mérélessart"/>
        <s v="Méricourt-l'Abbé"/>
        <s v="Méricourt-en-Vimeu"/>
        <s v="Mers-les-Bains"/>
        <s v="Le Mesge"/>
        <s v="Mesnil-Bruntel"/>
        <s v="Mesnil-Domqueur"/>
        <s v="Mesnil-en-Arrouaise"/>
        <s v="Mesnil-Martinsart"/>
        <s v="Mesnil-Saint-Georges"/>
        <s v="Mesnil-Saint-Nicaise"/>
        <s v="Métigny"/>
        <s v="Mézerolles"/>
        <s v="Mézières-en-Santerre"/>
        <s v="Miannay"/>
        <s v="Millencourt"/>
        <s v="Millencourt-en-Ponthieu"/>
        <s v="Miraumont"/>
        <s v="Mirvaux"/>
        <s v="Moislains"/>
        <s v="Molliens-au-Bois"/>
        <s v="Molliens-Dreuil"/>
        <s v="Monchy-Lagache"/>
        <s v="Mons-Boubert"/>
        <s v="Estrées-Mons"/>
        <s v="Monsures"/>
        <s v="Montagne-Fayel"/>
        <s v="Montauban-de-Picardie"/>
        <s v="Montdidier"/>
        <s v="Montigny-sur-l'Hallue"/>
        <s v="Montigny-les-Jongleurs"/>
        <s v="Montonvillers"/>
        <s v="Fieffes-Montrelet"/>
        <s v="Morchain"/>
        <s v="Moreuil"/>
        <s v="Morisel"/>
        <s v="Morlancourt"/>
        <s v="Morvillers-Saint-Saturnin"/>
        <s v="Mouflers"/>
        <s v="Mouflières"/>
        <s v="Moyencourt"/>
        <s v="Moyencourt-lès-Poix"/>
        <s v="Muille-Villette"/>
        <s v="Nampont"/>
        <s v="Namps-Maisnil"/>
        <s v="Nampty"/>
        <s v="Naours"/>
        <s v="Nesle"/>
        <s v="Nesle-l'Hôpital"/>
        <s v="Neslette"/>
        <s v="Neufmoulin"/>
        <s v="Neuilly-le-Dien"/>
        <s v="Neuilly-l'Hôpital"/>
        <s v="Neuville-au-Bois"/>
        <s v="Neuville-Coppegueule"/>
        <s v="La Neuville-lès-Bray"/>
        <s v="La Neuville-Sire-Bernard"/>
        <s v="Nibas"/>
        <s v="Nouvion"/>
        <s v="Noyelles-en-Chaussée"/>
        <s v="Noyelles-sur-Mer"/>
        <s v="Nurlu"/>
        <s v="Occoches"/>
        <s v="Ochancourt"/>
        <s v="Offignies"/>
        <s v="Oisemont"/>
        <s v="Oissy"/>
        <s v="Oneux"/>
        <s v="Oresmaux"/>
        <s v="Oust-Marest"/>
        <s v="Outrebois"/>
        <s v="Ovillers-la-Boisselle"/>
        <s v="Pargny"/>
        <s v="Parvillers-le-Quesnoy"/>
        <s v="Pendé"/>
        <s v="Pernois"/>
        <s v="Péronne"/>
        <s v="Hypercourt"/>
        <s v="Picquigny"/>
        <s v="Piennes-Onvillers"/>
        <s v="Pierregot"/>
        <s v="Trois-Rivières"/>
        <s v="Pissy"/>
        <s v="Plachy-Buyon"/>
        <s v="Le Plessier-Rozainvillers"/>
        <s v="Pœuilly"/>
        <s v="Poix-de-Picardie"/>
        <s v="Ponches-Estruval"/>
        <s v="Pont-de-Metz"/>
        <s v="Ponthoile"/>
        <s v="Pont-Noyelles"/>
        <s v="Pont-Remy"/>
        <s v="Port-le-Grand"/>
        <s v="Potte"/>
        <s v="Poulainville"/>
        <s v="Pozières"/>
        <s v="Prouville"/>
        <s v="Prouzel"/>
        <s v="Proyart"/>
        <s v="Puchevillers"/>
        <s v="Punchy"/>
        <s v="Puzeaux"/>
        <s v="Pys"/>
        <s v="Quend"/>
        <s v="Querrieu"/>
        <s v="Le Quesne"/>
        <s v="Le Quesnel"/>
        <s v="Quesnoy-le-Montant"/>
        <s v="Quesnoy-sur-Airaines"/>
        <s v="Quevauvillers"/>
        <s v="Quiry-le-Sec"/>
        <s v="Quivières"/>
        <s v="Raincheval"/>
        <s v="Rainneville"/>
        <s v="Ramburelles"/>
        <s v="Rambures"/>
        <s v="Rancourt"/>
        <s v="Regnière-Écluse"/>
        <s v="Remaisnil"/>
        <s v="Remaugies"/>
        <s v="Remiencourt"/>
        <s v="Rethonvillers"/>
        <s v="Revelles"/>
        <s v="Ribeaucourt"/>
        <s v="Ribemont-sur-Ancre"/>
        <s v="Riencourt"/>
        <s v="Rivery"/>
        <s v="Rogy"/>
        <s v="Roiglise"/>
        <s v="Roisel"/>
        <s v="Rollot"/>
        <s v="Ronssoy"/>
        <s v="Rosières-en-Santerre"/>
        <s v="Rouvrel"/>
        <s v="Rouvroy-en-Santerre"/>
        <s v="Rouy-le-Grand"/>
        <s v="Rouy-le-Petit"/>
        <s v="Roye"/>
        <s v="Rubempré"/>
        <s v="Rubescourt"/>
        <s v="Rue"/>
        <s v="Rumigny"/>
        <s v="Saigneville"/>
        <s v="Sailly-Flibeaucourt"/>
        <s v="Sailly-Laurette"/>
        <s v="Sailly-le-Sec"/>
        <s v="Sailly-Saillisel"/>
        <s v="Sains-en-Amiénois"/>
        <s v="Saint-Acheul"/>
        <s v="Saint-Aubin-Montenoy"/>
        <s v="Saint-Aubin-Rivière"/>
        <s v="Saint-Blimont"/>
        <s v="Saint-Christ-Briost"/>
        <s v="Saint-Fuscien"/>
        <s v="Saint-Germain-sur-Bresle"/>
        <s v="Saint-Gratien"/>
        <s v="Saint-Léger-lès-Authie"/>
        <s v="Saint-Léger-lès-Domart"/>
        <s v="Saint-Léger-sur-Bresle"/>
        <s v="Saint-Maulvis"/>
        <s v="Saint-Maxent"/>
        <s v="Saint-Ouen"/>
        <s v="Saint-Quentin-en-Tourmont"/>
        <s v="Saint-Quentin-la-Motte-Croix-au-Bailly"/>
        <s v="Saint-Riquier"/>
        <s v="Saint-Sauflieu"/>
        <s v="Sainte-Segrée"/>
        <s v="Saint-Valery-sur-Somme"/>
        <s v="Saint-Vaast-en-Chaussée"/>
        <s v="Saisseval"/>
        <s v="Saleux"/>
        <s v="Salouël"/>
        <s v="Saulchoy-sous-Poix"/>
        <s v="Sauvillers-Mongival"/>
        <s v="Saveuse"/>
        <s v="Senarpont"/>
        <s v="Senlis-le-Sec"/>
        <s v="Sentelie"/>
        <s v="Seux"/>
        <s v="Sorel-en-Vimeu"/>
        <s v="Sorel"/>
        <s v="Soues"/>
        <s v="Sourdon"/>
        <s v="Soyécourt"/>
        <s v="Surcamps"/>
        <s v="Suzanne"/>
        <s v="Tailly"/>
        <s v="Talmas"/>
        <s v="Templeux-la-Fosse"/>
        <s v="Templeux-le-Guérard"/>
        <s v="Terramesnil"/>
        <s v="Tertry"/>
        <s v="Thennes"/>
        <s v="Thézy-Glimont"/>
        <s v="Thiepval"/>
        <s v="Thieulloy-l'Abbaye"/>
        <s v="Thieulloy-la-Ville"/>
        <s v="Thoix"/>
        <s v="Thory"/>
        <s v="Tilloloy"/>
        <s v="Tilloy-Floriville"/>
        <s v="Tincourt-Boucly"/>
        <s v="Le Titre"/>
        <s v="Tœufles"/>
        <s v="Tours-en-Vimeu"/>
        <s v="Toutencourt"/>
        <s v="Le Translay"/>
        <s v="Treux"/>
        <s v="Tully"/>
        <s v="Ugny-l'Équipée"/>
        <s v="Vaire-sous-Corbie"/>
        <s v="Valines"/>
        <s v="Varennes"/>
        <s v="Vauchelles-lès-Authie"/>
        <s v="Vauchelles-lès-Domart"/>
        <s v="Vauchelles-les-Quesnoy"/>
        <s v="Vauvillers"/>
        <s v="Vaux-en-Amiénois"/>
        <s v="Vaux-Marquenneville"/>
        <s v="Vaux-sur-Somme"/>
        <s v="Vecquemont"/>
        <s v="Vercourt"/>
        <s v="Vergies"/>
        <s v="Vermandovillers"/>
        <s v="Verpillières"/>
        <s v="Vers-sur-Selle"/>
        <s v="La Vicogne"/>
        <s v="Vignacourt"/>
        <s v="Villecourt"/>
        <s v="Ville-le-Marclet"/>
        <s v="Villeroy"/>
        <s v="Villers-aux-Érables"/>
        <s v="Villers-Bocage"/>
        <s v="Villers-Bretonneux"/>
        <s v="Villers-Campsart"/>
        <s v="Villers-Carbonnel"/>
        <s v="Villers-Faucon"/>
        <s v="Villers-lès-Roye"/>
        <s v="Villers-sous-Ailly"/>
        <s v="Villers-Tournelle"/>
        <s v="Villers-sur-Authie"/>
        <s v="Ville-sur-Ancre"/>
        <s v="Vironchaux"/>
        <s v="Vismes"/>
        <s v="Vitz-sur-Authie"/>
        <s v="Voyennes"/>
        <s v="Vraignes-en-Vermandois"/>
        <s v="Vraignes-lès-Hornoy"/>
        <s v="Vrély"/>
        <s v="Vron"/>
        <s v="Wargnies"/>
        <s v="Warloy-Baillon"/>
        <s v="Warsy"/>
        <s v="Warvillers"/>
        <s v="Wiencourt-l'Équipée"/>
        <s v="Wiry-au-Mont"/>
        <s v="Woignarue"/>
        <s v="Woincourt"/>
        <s v="Woirel"/>
        <s v="Y"/>
        <s v="Yvrench"/>
        <s v="Yvrencheux"/>
        <s v="Yzengremer"/>
        <s v="Yzeux"/>
        <s v="Yonval"/>
      </sharedItems>
    </cacheField>
    <cacheField name="Departement" numFmtId="0">
      <sharedItems>
        <s v="Aisne"/>
        <s v="Nord"/>
        <s v="Oise"/>
        <s v="Pas-de-Calais"/>
        <s v="Somme"/>
      </sharedItems>
    </cacheField>
    <cacheField name="EPCI" numFmtId="0">
      <sharedItems>
        <s v="CA Chauny Tergnier La Fère"/>
        <s v="CA GrandSoissons Agglomération"/>
        <s v="CC du Pays de la Serre"/>
        <s v="CC de la Champagne Picarde"/>
        <s v="CC Thiérache Sambre et Oise"/>
        <s v="CC du Chemin des Dames"/>
        <s v="CC du Val de l'Aisne"/>
        <s v="CC du Val de l'Oise"/>
        <s v="CC Retz en Valois"/>
        <s v="CC du Canton d'Oulchy-le-Château"/>
        <s v="CC Picardie des Châteaux"/>
        <s v="CA du Saint-Quentinois"/>
        <s v="CC des Trois Rivières"/>
        <s v="CC des Portes de la Thiérache"/>
        <s v="CA de la Région de Château-Thierry"/>
        <s v="CA du Pays de Laon"/>
        <s v="CC du Pays du Vermandois"/>
        <s v="CC de la Thiérache du Centre"/>
        <s v="CC du Canton de Charly-sur-Marne"/>
        <s v="CC de l'Est de la Somme"/>
        <s v="CA de Cambrai"/>
        <s v="CA de la Porte du Hainaut"/>
        <s v="CA Maubeuge Val de Sambre"/>
        <s v="CC Pévèle-Carembault"/>
        <s v="Métropole Européenne de Lille"/>
        <s v="CC du Pays de Mormal"/>
        <s v="CA Douaisis Agglo"/>
        <s v="CA Coeur d'Ostrevent"/>
        <s v="CC du Sud Avesnois"/>
        <s v="CA Valenciennes Métropole"/>
        <s v="CU de Dunkerque"/>
        <s v="CA Coeur de Flandre"/>
        <s v="CC Coeur de l'Avesnois"/>
        <s v="CA du Caudrésis et du Catésis"/>
        <s v="CC des Hauts de Flandre"/>
        <s v="CC du Pays Solesmois"/>
        <s v="CC Flandre Lys"/>
        <s v="CC de la Picardie Verte"/>
        <s v="CC Thelloise"/>
        <s v="CC de l'Oise Picarde"/>
        <s v="CC du Pays de Valois"/>
        <s v="CC des Pays d'Oise et d'Halatte"/>
        <s v="CC du Clermontois"/>
        <s v="CC du Plateau Picard"/>
        <s v="CA du Beauvaisis"/>
        <s v="CC des Sablons"/>
        <s v="CC du Pays des Sources"/>
        <s v="CC du Pays Noyonnais"/>
        <s v="CC de l'Aire Cantilienne"/>
        <s v="CA de la Région de Compiègne et de la Basse Automne"/>
        <s v="CC de la Plaine d'Estrées"/>
        <s v="CC des Lisières de l'Oise"/>
        <s v="CC Senlis Sud Oise"/>
        <s v="CC du Liancourtois"/>
        <s v="CC des Deux Vallées"/>
        <s v="CC du Pays de Bray"/>
        <s v="CC du Vexin-Thelle"/>
        <s v="CA Creil Sud Oise"/>
        <s v="CA de Lens - Liévin"/>
        <s v="CC du Sud Artois"/>
        <s v="CU d'Arras"/>
        <s v="CC du Pays de Lumbres"/>
        <s v="CC des Campagnes de l'Artois"/>
        <s v="CA du Pays de Saint-Omer"/>
        <s v="CA des Deux Baies en Montreuillois"/>
        <s v="CC du Haut Pays du Montreuillois"/>
        <s v="CC des 7 Vallées"/>
        <s v="CC Pays d'Opale"/>
        <s v="CC de Desvres-Samer"/>
        <s v="CA de Béthune-Bruay, Artois-Lys Romane"/>
        <s v="CC de la Terre des Deux Caps"/>
        <s v="CC du Ternois"/>
        <s v="CC Osartis Marquion"/>
        <s v="CA Grand Calais Terres et Mers"/>
        <s v="CC de la Région d'Audruicq"/>
        <s v="CA du Boulonnais"/>
        <s v="CA d'Hénin-Carvin"/>
        <s v="CA de la Baie de Somme"/>
        <s v="CC Terre de Picardie"/>
        <s v="CC du Pays du Coquelicot"/>
        <s v="CC du Vimeu"/>
        <s v="CC du Territoire Nord Picardie"/>
        <s v="CC Ponthieu-Marquenterre"/>
        <s v="CC Avre Luce Noye"/>
        <s v="CC Nièvre et Somme"/>
        <s v="CC Somme Sud-Ouest"/>
        <s v="CC de la Haute Somme (Combles - Péronne - Roisel)"/>
        <s v="CC des Villes Soeurs"/>
        <s v="CA Amiens Métropole"/>
        <s v="CC du Grand Roye"/>
        <s v="CC du Val de Somme"/>
        <s v="CC Interrégionale Aumale - Blangy-sur-Bresle"/>
      </sharedItems>
    </cacheField>
    <cacheField name="Code_EPCI" numFmtId="0">
      <sharedItems>
        <s v="200071785"/>
        <s v="240200477"/>
        <s v="240200469"/>
        <s v="240200576"/>
        <s v="200071983"/>
        <s v="240200592"/>
        <s v="240200501"/>
        <s v="200040426"/>
        <s v="200071991"/>
        <s v="240200519"/>
        <s v="200071769"/>
        <s v="200071892"/>
        <s v="240200600"/>
        <s v="240200634"/>
        <s v="200072031"/>
        <s v="200043495"/>
        <s v="240200493"/>
        <s v="240200444"/>
        <s v="240200584"/>
        <s v="200070985"/>
        <s v="200068500"/>
        <s v="200042190"/>
        <s v="200043396"/>
        <s v="200041960"/>
        <s v="200093201"/>
        <s v="200043321"/>
        <s v="200044618"/>
        <s v="245901152"/>
        <s v="200043404"/>
        <s v="245901160"/>
        <s v="245900428"/>
        <s v="200040947"/>
        <s v="200043263"/>
        <s v="200030633"/>
        <s v="200040954"/>
        <s v="245901038"/>
        <s v="245900758"/>
        <s v="246000848"/>
        <s v="200067973"/>
        <s v="200068005"/>
        <s v="246000871"/>
        <s v="246000921"/>
        <s v="246000376"/>
        <s v="246000566"/>
        <s v="200067999"/>
        <s v="246000582"/>
        <s v="246000855"/>
        <s v="246000756"/>
        <s v="246000764"/>
        <s v="200067965"/>
        <s v="246000897"/>
        <s v="246000749"/>
        <s v="200066975"/>
        <s v="246000129"/>
        <s v="246000772"/>
        <s v="246000913"/>
        <s v="246000707"/>
        <s v="200068047"/>
        <s v="246200364"/>
        <s v="200035442"/>
        <s v="200033579"/>
        <s v="246201016"/>
        <s v="200069482"/>
        <s v="200069037"/>
        <s v="200069029"/>
        <s v="200069235"/>
        <s v="200044030"/>
        <s v="200072478"/>
        <s v="200018083"/>
        <s v="200072460"/>
        <s v="246200380"/>
        <s v="200069672"/>
        <s v="200044048"/>
        <s v="200090751"/>
        <s v="246200844"/>
        <s v="246200729"/>
        <s v="246200299"/>
        <s v="200070993"/>
        <s v="200070928"/>
        <s v="248000747"/>
        <s v="200070944"/>
        <s v="200070951"/>
        <s v="200070936"/>
        <s v="200070969"/>
        <s v="200071223"/>
        <s v="200071181"/>
        <s v="200037059"/>
        <s v="247600588"/>
        <s v="248000531"/>
        <s v="200070977"/>
        <s v="248000499"/>
        <s v="200069722"/>
      </sharedItems>
    </cacheField>
    <cacheField name="Population" numFmtId="0">
      <sharedItems containsSemiMixedTypes="0" containsString="0" containsNumber="1" containsInteger="1">
        <n v="518.0"/>
        <n v="584.0"/>
        <n v="1004.0"/>
        <n v="189.0"/>
        <n v="417.0"/>
        <n v="259.0"/>
        <n v="118.0"/>
        <n v="306.0"/>
        <n v="517.0"/>
        <n v="163.0"/>
        <n v="1205.0"/>
        <n v="79.0"/>
        <n v="391.0"/>
        <n v="707.0"/>
        <n v="78.0"/>
        <n v="212.0"/>
        <n v="274.0"/>
        <n v="2472.0"/>
        <n v="349.0"/>
        <n v="456.0"/>
        <n v="76.0"/>
        <n v="396.0"/>
        <n v="96.0"/>
        <n v="45.0"/>
        <n v="361.0"/>
        <n v="209.0"/>
        <n v="2578.0"/>
        <n v="337.0"/>
        <n v="238.0"/>
        <n v="658.0"/>
        <n v="231.0"/>
        <n v="102.0"/>
        <n v="104.0"/>
        <n v="273.0"/>
        <n v="72.0"/>
        <n v="1348.0"/>
        <n v="62.0"/>
        <n v="176.0"/>
        <n v="175.0"/>
        <n v="777.0"/>
        <n v="369.0"/>
        <n v="26.0"/>
        <n v="555.0"/>
        <n v="108.0"/>
        <n v="130.0"/>
        <n v="752.0"/>
        <n v="316.0"/>
        <n v="380.0"/>
        <n v="131.0"/>
        <n v="599.0"/>
        <n v="516.0"/>
        <n v="82.0"/>
        <n v="168.0"/>
        <n v="1281.0"/>
        <n v="794.0"/>
        <n v="2579.0"/>
        <n v="263.0"/>
        <n v="268.0"/>
        <n v="378.0"/>
        <n v="3659.0"/>
        <n v="560.0"/>
        <n v="191.0"/>
        <n v="205.0"/>
        <n v="85.0"/>
        <n v="431.0"/>
        <n v="631.0"/>
        <n v="178.0"/>
        <n v="722.0"/>
        <n v="601.0"/>
        <n v="203.0"/>
        <n v="159.0"/>
        <n v="166.0"/>
        <n v="132.0"/>
        <n v="309.0"/>
        <n v="421.0"/>
        <n v="120.0"/>
        <n v="736.0"/>
        <n v="248.0"/>
        <n v="991.0"/>
        <n v="979.0"/>
        <n v="31.0"/>
        <n v="80.0"/>
        <n v="1130.0"/>
        <n v="194.0"/>
        <n v="98.0"/>
        <n v="1162.0"/>
        <n v="474.0"/>
        <n v="5605.0"/>
        <n v="187.0"/>
        <n v="272.0"/>
        <n v="375.0"/>
        <n v="137.0"/>
        <n v="170.0"/>
        <n v="181.0"/>
        <n v="1315.0"/>
        <n v="183.0"/>
        <n v="809.0"/>
        <n v="140.0"/>
        <n v="464.0"/>
        <n v="2248.0"/>
        <n v="702.0"/>
        <n v="554.0"/>
        <n v="1788.0"/>
        <n v="195.0"/>
        <n v="64.0"/>
        <n v="129.0"/>
        <n v="317.0"/>
        <n v="193.0"/>
        <n v="210.0"/>
        <n v="55.0"/>
        <n v="296.0"/>
        <n v="653.0"/>
        <n v="463.0"/>
        <n v="199.0"/>
        <n v="1411.0"/>
        <n v="20.0"/>
        <n v="204.0"/>
        <n v="1947.0"/>
        <n v="188.0"/>
        <n v="410.0"/>
        <n v="795.0"/>
        <n v="1122.0"/>
        <n v="123.0"/>
        <n v="126.0"/>
        <n v="459.0"/>
        <n v="426.0"/>
        <n v="1745.0"/>
        <n v="246.0"/>
        <n v="186.0"/>
        <n v="143.0"/>
        <n v="547.0"/>
        <n v="88.0"/>
        <n v="58.0"/>
        <n v="63.0"/>
        <n v="111.0"/>
        <n v="87.0"/>
        <n v="801.0"/>
        <n v="201.0"/>
        <n v="234.0"/>
        <n v="827.0"/>
        <n v="313.0"/>
        <n v="495.0"/>
        <n v="301.0"/>
        <n v="2594.0"/>
        <n v="323.0"/>
        <n v="1568.0"/>
        <n v="895.0"/>
        <n v="15097.0"/>
        <n v="83.0"/>
        <n v="125.0"/>
        <n v="91.0"/>
        <n v="11596.0"/>
        <n v="859.0"/>
        <n v="153.0"/>
        <n v="214.0"/>
        <n v="147.0"/>
        <n v="127.0"/>
        <n v="742.0"/>
        <n v="136.0"/>
        <n v="197.0"/>
        <n v="329.0"/>
        <n v="389.0"/>
        <n v="1296.0"/>
        <n v="1195.0"/>
        <n v="359.0"/>
        <n v="526.0"/>
        <n v="484.0"/>
        <n v="364.0"/>
        <n v="173.0"/>
        <n v="882.0"/>
        <n v="289.0"/>
        <n v="509.0"/>
        <n v="243.0"/>
        <n v="589.0"/>
        <n v="97.0"/>
        <n v="467.0"/>
        <n v="1308.0"/>
        <n v="61.0"/>
        <n v="207.0"/>
        <n v="71.0"/>
        <n v="224.0"/>
        <n v="256.0"/>
        <n v="654.0"/>
        <n v="352.0"/>
        <n v="357.0"/>
        <n v="674.0"/>
        <n v="851.0"/>
        <n v="332.0"/>
        <n v="990.0"/>
        <n v="649.0"/>
        <n v="443.0"/>
        <n v="161.0"/>
        <n v="39.0"/>
        <n v="304.0"/>
        <n v="1808.0"/>
        <n v="174.0"/>
        <n v="926.0"/>
        <n v="366.0"/>
        <n v="84.0"/>
        <n v="119.0"/>
        <n v="335.0"/>
        <n v="1472.0"/>
        <n v="1812.0"/>
        <n v="1166.0"/>
        <n v="591.0"/>
        <n v="3049.0"/>
        <n v="1733.0"/>
        <n v="607.0"/>
        <n v="152.0"/>
        <n v="28.0"/>
        <n v="424.0"/>
        <n v="370.0"/>
        <n v="609.0"/>
        <n v="392.0"/>
        <n v="208.0"/>
        <n v="114.0"/>
        <n v="717.0"/>
        <n v="30.0"/>
        <n v="287.0"/>
        <n v="148.0"/>
        <n v="134.0"/>
        <n v="75.0"/>
        <n v="164.0"/>
        <n v="307.0"/>
        <n v="122.0"/>
        <n v="38.0"/>
        <n v="534.0"/>
        <n v="395.0"/>
        <n v="241.0"/>
        <n v="438.0"/>
        <n v="278.0"/>
        <n v="847.0"/>
        <n v="1072.0"/>
        <n v="345.0"/>
        <n v="399.0"/>
        <n v="2691.0"/>
        <n v="408.0"/>
        <n v="1329.0"/>
        <n v="543.0"/>
        <n v="839.0"/>
        <n v="1157.0"/>
        <n v="1436.0"/>
        <n v="522.0"/>
        <n v="363.0"/>
        <n v="724.0"/>
        <n v="2796.0"/>
        <n v="2836.0"/>
        <n v="2027.0"/>
        <n v="519.0"/>
        <n v="704.0"/>
        <n v="249.0"/>
        <n v="1103.0"/>
        <n v="420.0"/>
        <n v="1701.0"/>
        <n v="1355.0"/>
        <n v="232.0"/>
        <n v="862.0"/>
        <n v="280.0"/>
        <n v="483.0"/>
        <n v="535.0"/>
        <n v="404.0"/>
        <n v="106.0"/>
        <n v="160.0"/>
        <n v="2890.0"/>
        <n v="971.0"/>
        <n v="198.0"/>
        <n v="236.0"/>
        <n v="683.0"/>
        <n v="5183.0"/>
        <n v="258.0"/>
        <n v="37.0"/>
        <n v="630.0"/>
        <n v="425.0"/>
        <n v="65.0"/>
        <n v="572.0"/>
        <n v="275.0"/>
        <n v="1011.0"/>
        <n v="227.0"/>
        <n v="56.0"/>
        <n v="1280.0"/>
        <n v="2792.0"/>
        <n v="4490.0"/>
        <n v="244.0"/>
        <n v="320.0"/>
        <n v="179.0"/>
        <n v="556.0"/>
        <n v="545.0"/>
        <n v="1569.0"/>
        <n v="343.0"/>
        <n v="822.0"/>
        <n v="165.0"/>
        <n v="192.0"/>
        <n v="8469.0"/>
        <n v="1343.0"/>
        <n v="1412.0"/>
        <n v="57.0"/>
        <n v="999.0"/>
        <n v="218.0"/>
        <n v="672.0"/>
        <n v="251.0"/>
        <n v="229.0"/>
        <n v="328.0"/>
        <n v="141.0"/>
        <n v="60.0"/>
        <n v="1153.0"/>
        <n v="288.0"/>
        <n v="604.0"/>
        <n v="149.0"/>
        <n v="167.0"/>
        <n v="503.0"/>
        <n v="216.0"/>
        <n v="24220.0"/>
        <n v="283.0"/>
        <n v="239.0"/>
        <n v="155.0"/>
        <n v="409.0"/>
        <n v="223.0"/>
        <n v="269.0"/>
        <n v="790.0"/>
        <n v="754.0"/>
        <n v="455.0"/>
        <n v="101.0"/>
        <n v="190.0"/>
        <n v="117.0"/>
        <n v="1264.0"/>
        <n v="385.0"/>
        <n v="220.0"/>
        <n v="1232.0"/>
        <n v="202.0"/>
        <n v="110.0"/>
        <n v="266.0"/>
        <n v="403.0"/>
        <n v="311.0"/>
        <n v="821.0"/>
        <n v="151.0"/>
        <n v="341.0"/>
        <n v="221.0"/>
        <n v="377.0"/>
        <n v="530.0"/>
        <n v="47.0"/>
        <n v="2229.0"/>
        <n v="398.0"/>
        <n v="419.0"/>
        <n v="637.0"/>
        <n v="935.0"/>
        <n v="253.0"/>
        <n v="435.0"/>
        <n v="507.0"/>
        <n v="558.0"/>
        <n v="100.0"/>
        <n v="107.0"/>
        <n v="625.0"/>
        <n v="211.0"/>
        <n v="1028.0"/>
        <n v="90.0"/>
        <n v="1146.0"/>
        <n v="766.0"/>
        <n v="816.0"/>
        <n v="1207.0"/>
        <n v="1606.0"/>
        <n v="200.0"/>
        <n v="157.0"/>
        <n v="135.0"/>
        <n v="51.0"/>
        <n v="279.0"/>
        <n v="751.0"/>
        <n v="1305.0"/>
        <n v="70.0"/>
        <n v="684.0"/>
        <n v="544.0"/>
        <n v="469.0"/>
        <n v="185.0"/>
        <n v="74.0"/>
        <n v="994.0"/>
        <n v="44.0"/>
        <n v="115.0"/>
        <n v="86.0"/>
        <n v="659.0"/>
        <n v="1189.0"/>
        <n v="1943.0"/>
        <n v="602.0"/>
        <n v="394.0"/>
        <n v="848.0"/>
        <n v="121.0"/>
        <n v="116.0"/>
        <n v="225.0"/>
        <n v="1106.0"/>
        <n v="2134.0"/>
        <n v="68.0"/>
        <n v="124.0"/>
        <n v="2468.0"/>
        <n v="527.0"/>
        <n v="825.0"/>
        <n v="293.0"/>
        <n v="1109.0"/>
        <n v="169.0"/>
        <n v="660.0"/>
        <n v="490.0"/>
        <n v="53.0"/>
        <n v="1354.0"/>
        <n v="1587.0"/>
        <n v="325.0"/>
        <n v="92.0"/>
        <n v="785.0"/>
        <n v="245.0"/>
        <n v="353.0"/>
        <n v="66.0"/>
        <n v="367.0"/>
        <n v="142.0"/>
        <n v="1100.0"/>
        <n v="139.0"/>
        <n v="745.0"/>
        <n v="682.0"/>
        <n v="250.0"/>
        <n v="1637.0"/>
        <n v="93.0"/>
        <n v="432.0"/>
        <n v="24.0"/>
        <n v="726.0"/>
        <n v="605.0"/>
        <n v="290.0"/>
        <n v="594.0"/>
        <n v="401.0"/>
        <n v="94.0"/>
        <n v="276.0"/>
        <n v="146.0"/>
        <n v="346.0"/>
        <n v="219.0"/>
        <n v="331.0"/>
        <n v="428.0"/>
        <n v="89.0"/>
        <n v="265.0"/>
        <n v="339.0"/>
        <n v="144.0"/>
        <n v="360.0"/>
        <n v="1931.0"/>
        <n v="299.0"/>
        <n v="95.0"/>
        <n v="450.0"/>
        <n v="365.0"/>
        <n v="237.0"/>
        <n v="506.0"/>
        <n v="226.0"/>
        <n v="917.0"/>
        <n v="923.0"/>
        <n v="441.0"/>
        <n v="1697.0"/>
        <n v="73.0"/>
        <n v="2288.0"/>
        <n v="281.0"/>
        <n v="3199.0"/>
        <n v="41.0"/>
        <n v="67.0"/>
        <n v="52813.0"/>
        <n v="593.0"/>
        <n v="384.0"/>
        <n v="687.0"/>
        <n v="618.0"/>
        <n v="1087.0"/>
        <n v="576.0"/>
        <n v="706.0"/>
        <n v="340.0"/>
        <n v="42.0"/>
        <n v="112.0"/>
        <n v="2005.0"/>
        <n v="2065.0"/>
        <n v="505.0"/>
        <n v="28046.0"/>
        <n v="257.0"/>
        <n v="16.0"/>
        <n v="162.0"/>
        <n v="13045.0"/>
        <n v="541.0"/>
        <n v="158.0"/>
        <n v="81.0"/>
        <n v="685.0"/>
        <n v="952.0"/>
        <n v="282.0"/>
        <n v="2050.0"/>
        <n v="355.0"/>
        <n v="217.0"/>
        <n v="172.0"/>
        <n v="230.0"/>
        <n v="498.0"/>
        <n v="924.0"/>
        <n v="763.0"/>
        <n v="43.0"/>
        <n v="585.0"/>
        <n v="133.0"/>
        <n v="1324.0"/>
        <n v="1104.0"/>
        <n v="470.0"/>
        <n v="2549.0"/>
        <n v="235.0"/>
        <n v="270.0"/>
        <n v="113.0"/>
        <n v="1608.0"/>
        <n v="1192.0"/>
        <n v="310.0"/>
        <n v="262.0"/>
        <n v="150.0"/>
        <n v="2616.0"/>
        <n v="277.0"/>
        <n v="10489.0"/>
        <n v="418.0"/>
        <n v="508.0"/>
        <n v="997.0"/>
        <n v="1651.0"/>
        <n v="383.0"/>
        <n v="348.0"/>
        <n v="312.0"/>
        <n v="927.0"/>
        <n v="350.0"/>
        <n v="460.0"/>
        <n v="145.0"/>
        <n v="4108.0"/>
        <n v="1338.0"/>
        <n v="3545.0"/>
        <n v="619.0"/>
        <n v="888.0"/>
        <n v="9963.0"/>
        <n v="62868.0"/>
        <n v="10847.0"/>
        <n v="3099.0"/>
        <n v="1631.0"/>
        <n v="13183.0"/>
        <n v="3125.0"/>
        <n v="2077.0"/>
        <n v="26998.0"/>
        <n v="1594.0"/>
        <n v="1082.0"/>
        <n v="1769.0"/>
        <n v="2245.0"/>
        <n v="549.0"/>
        <n v="4626.0"/>
        <n v="1749.0"/>
        <n v="1143.0"/>
        <n v="1705.0"/>
        <n v="7083.0"/>
        <n v="1599.0"/>
        <n v="7080.0"/>
        <n v="8612.0"/>
        <n v="2561.0"/>
        <n v="2232.0"/>
        <n v="4012.0"/>
        <n v="3562.0"/>
        <n v="1458.0"/>
        <n v="757.0"/>
        <n v="2230.0"/>
        <n v="1898.0"/>
        <n v="14732.0"/>
        <n v="5545.0"/>
        <n v="845.0"/>
        <n v="494.0"/>
        <n v="6650.0"/>
        <n v="5249.0"/>
        <n v="3249.0"/>
        <n v="1045.0"/>
        <n v="551.0"/>
        <n v="574.0"/>
        <n v="995.0"/>
        <n v="458.0"/>
        <n v="1933.0"/>
        <n v="1301.0"/>
        <n v="810.0"/>
        <n v="3525.0"/>
        <n v="3159.0"/>
        <n v="778.0"/>
        <n v="2318.0"/>
        <n v="627.0"/>
        <n v="2140.0"/>
        <n v="689.0"/>
        <n v="6796.0"/>
        <n v="2861.0"/>
        <n v="529.0"/>
        <n v="1716.0"/>
        <n v="2008.0"/>
        <n v="2244.0"/>
        <n v="1775.0"/>
        <n v="1445.0"/>
        <n v="9747.0"/>
        <n v="553.0"/>
        <n v="4113.0"/>
        <n v="291.0"/>
        <n v="6931.0"/>
        <n v="1682.0"/>
        <n v="4978.0"/>
        <n v="436.0"/>
        <n v="3123.0"/>
        <n v="1580.0"/>
        <n v="4189.0"/>
        <n v="771.0"/>
        <n v="1452.0"/>
        <n v="11644.0"/>
        <n v="1340.0"/>
        <n v="1698.0"/>
        <n v="390.0"/>
        <n v="1095.0"/>
        <n v="2435.0"/>
        <n v="582.0"/>
        <n v="1951.0"/>
        <n v="663.0"/>
        <n v="31134.0"/>
        <n v="1737.0"/>
        <n v="2518.0"/>
        <n v="1741.0"/>
        <n v="2728.0"/>
        <n v="2257.0"/>
        <n v="1169.0"/>
        <n v="7839.0"/>
        <n v="983.0"/>
        <n v="1105.0"/>
        <n v="1209.0"/>
        <n v="2198.0"/>
        <n v="6764.0"/>
        <n v="781.0"/>
        <n v="13833.0"/>
        <n v="579.0"/>
        <n v="646.0"/>
        <n v="8754.0"/>
        <n v="3078.0"/>
        <n v="1088.0"/>
        <n v="563.0"/>
        <n v="1541.0"/>
        <n v="12731.0"/>
        <n v="9253.0"/>
        <n v="20787.0"/>
        <n v="2855.0"/>
        <n v="2153.0"/>
        <n v="3436.0"/>
        <n v="791.0"/>
        <n v="4532.0"/>
        <n v="716.0"/>
        <n v="20566.0"/>
        <n v="6467.0"/>
        <n v="1333.0"/>
        <n v="177.0"/>
        <n v="4839.0"/>
        <n v="5338.0"/>
        <n v="20665.0"/>
        <n v="1778.0"/>
        <n v="327.0"/>
        <n v="815.0"/>
        <n v="40250.0"/>
        <n v="10109.0"/>
        <n v="536.0"/>
        <n v="86263.0"/>
        <n v="1869.0"/>
        <n v="1213.0"/>
        <n v="1013.0"/>
        <n v="606.0"/>
        <n v="804.0"/>
        <n v="3026.0"/>
        <n v="1291.0"/>
        <n v="2416.0"/>
        <n v="670.0"/>
        <n v="462.0"/>
        <n v="620.0"/>
        <n v="5341.0"/>
        <n v="1586.0"/>
        <n v="479.0"/>
        <n v="9039.0"/>
        <n v="3171.0"/>
        <n v="4202.0"/>
        <n v="302.0"/>
        <n v="656.0"/>
        <n v="2137.0"/>
        <n v="893.0"/>
        <n v="6525.0"/>
        <n v="475.0"/>
        <n v="1134.0"/>
        <n v="937.0"/>
        <n v="1233.0"/>
        <n v="725.0"/>
        <n v="18619.0"/>
        <n v="2474.0"/>
        <n v="2278.0"/>
        <n v="1635.0"/>
        <n v="6703.0"/>
        <n v="1433.0"/>
        <n v="5441.0"/>
        <n v="1432.0"/>
        <n v="514.0"/>
        <n v="5131.0"/>
        <n v="1024.0"/>
        <n v="342.0"/>
        <n v="5424.0"/>
        <n v="1685.0"/>
        <n v="5745.0"/>
        <n v="1214.0"/>
        <n v="1754.0"/>
        <n v="1662.0"/>
        <n v="11449.0"/>
        <n v="2179.0"/>
        <n v="2609.0"/>
        <n v="7354.0"/>
        <n v="919.0"/>
        <n v="571.0"/>
        <n v="3214.0"/>
        <n v="1161.0"/>
        <n v="2803.0"/>
        <n v="4133.0"/>
        <n v="1699.0"/>
        <n v="2024.0"/>
        <n v="1070.0"/>
        <n v="723.0"/>
        <n v="2264.0"/>
        <n v="4148.0"/>
        <n v="5616.0"/>
        <n v="1413.0"/>
        <n v="473.0"/>
        <n v="20239.0"/>
        <n v="4887.0"/>
        <n v="11430.0"/>
        <n v="4635.0"/>
        <n v="4683.0"/>
        <n v="20715.0"/>
        <n v="797.0"/>
        <n v="1244.0"/>
        <n v="3849.0"/>
        <n v="2626.0"/>
        <n v="15074.0"/>
        <n v="2281.0"/>
        <n v="1451.0"/>
        <n v="14152.0"/>
        <n v="3222.0"/>
        <n v="1376.0"/>
        <n v="21912.0"/>
        <n v="1907.0"/>
        <n v="18582.0"/>
        <n v="565.0"/>
        <n v="4479.0"/>
        <n v="4169.0"/>
        <n v="2267.0"/>
        <n v="1638.0"/>
        <n v="837.0"/>
        <n v="916.0"/>
        <n v="3957.0"/>
        <n v="867.0"/>
        <n v="710.0"/>
        <n v="1446.0"/>
        <n v="3496.0"/>
        <n v="902.0"/>
        <n v="3326.0"/>
        <n v="7921.0"/>
        <n v="978.0"/>
        <n v="3259.0"/>
        <n v="1712.0"/>
        <n v="3403.0"/>
        <n v="1115.0"/>
        <n v="10160.0"/>
        <n v="856.0"/>
        <n v="1164.0"/>
        <n v="6287.0"/>
        <n v="27090.0"/>
        <n v="4883.0"/>
        <n v="3407.0"/>
        <n v="3046.0"/>
        <n v="1346.0"/>
        <n v="703.0"/>
        <n v="611.0"/>
        <n v="9521.0"/>
        <n v="4078.0"/>
        <n v="9600.0"/>
        <n v="2353.0"/>
        <n v="2978.0"/>
        <n v="1462.0"/>
        <n v="1847.0"/>
        <n v="238246.0"/>
        <n v="525.0"/>
        <n v="8161.0"/>
        <n v="712.0"/>
        <n v="2155.0"/>
        <n v="2057.0"/>
        <n v="1228.0"/>
        <n v="5952.0"/>
        <n v="22567.0"/>
        <n v="3734.0"/>
        <n v="899.0"/>
        <n v="922.0"/>
        <n v="6294.0"/>
        <n v="783.0"/>
        <n v="14050.0"/>
        <n v="21790.0"/>
        <n v="3954.0"/>
        <n v="699.0"/>
        <n v="628.0"/>
        <n v="461.0"/>
        <n v="4507.0"/>
        <n v="1841.0"/>
        <n v="40184.0"/>
        <n v="741.0"/>
        <n v="808.0"/>
        <n v="1402.0"/>
        <n v="11995.0"/>
        <n v="1454.0"/>
        <n v="2653.0"/>
        <n v="12622.0"/>
        <n v="1961.0"/>
        <n v="2689.0"/>
        <n v="3999.0"/>
        <n v="911.0"/>
        <n v="28767.0"/>
        <n v="949.0"/>
        <n v="405.0"/>
        <n v="695.0"/>
        <n v="615.0"/>
        <n v="3527.0"/>
        <n v="9808.0"/>
        <n v="2231.0"/>
        <n v="838.0"/>
        <n v="705.0"/>
        <n v="616.0"/>
        <n v="1663.0"/>
        <n v="2516.0"/>
        <n v="21105.0"/>
        <n v="2075.0"/>
        <n v="552.0"/>
        <n v="4495.0"/>
        <n v="228.0"/>
        <n v="2573.0"/>
        <n v="1491.0"/>
        <n v="13369.0"/>
        <n v="1417.0"/>
        <n v="1286.0"/>
        <n v="298.0"/>
        <n v="10002.0"/>
        <n v="2901.0"/>
        <n v="7764.0"/>
        <n v="908.0"/>
        <n v="1406.0"/>
        <n v="2651.0"/>
        <n v="657.0"/>
        <n v="351.0"/>
        <n v="945.0"/>
        <n v="1171.0"/>
        <n v="8479.0"/>
        <n v="8396.0"/>
        <n v="644.0"/>
        <n v="564.0"/>
        <n v="6097.0"/>
        <n v="690.0"/>
        <n v="540.0"/>
        <n v="1030.0"/>
        <n v="6092.0"/>
        <n v="8455.0"/>
        <n v="1025.0"/>
        <n v="5054.0"/>
        <n v="286.0"/>
        <n v="4847.0"/>
        <n v="1007.0"/>
        <n v="2126.0"/>
        <n v="765.0"/>
        <n v="3016.0"/>
        <n v="2371.0"/>
        <n v="439.0"/>
        <n v="2031.0"/>
        <n v="2100.0"/>
        <n v="832.0"/>
        <n v="300.0"/>
        <n v="1000.0"/>
        <n v="2178.0"/>
        <n v="3206.0"/>
        <n v="4428.0"/>
        <n v="1108.0"/>
        <n v="3145.0"/>
        <n v="865.0"/>
        <n v="4878.0"/>
        <n v="6805.0"/>
        <n v="5949.0"/>
        <n v="1803.0"/>
        <n v="2672.0"/>
        <n v="1410.0"/>
        <n v="2127.0"/>
        <n v="4000.0"/>
        <n v="12199.0"/>
        <n v="2338.0"/>
        <n v="2113.0"/>
        <n v="1976.0"/>
        <n v="1261.0"/>
        <n v="1425.0"/>
        <n v="3743.0"/>
        <n v="471.0"/>
        <n v="19787.0"/>
        <n v="14075.0"/>
        <n v="5956.0"/>
        <n v="2022.0"/>
        <n v="98286.0"/>
        <n v="3980.0"/>
        <n v="655.0"/>
        <n v="737.0"/>
        <n v="448.0"/>
        <n v="1722.0"/>
        <n v="1431.0"/>
        <n v="1923.0"/>
        <n v="2840.0"/>
        <n v="5638.0"/>
        <n v="2755.0"/>
        <n v="15974.0"/>
        <n v="13233.0"/>
        <n v="1570.0"/>
        <n v="1558.0"/>
        <n v="733.0"/>
        <n v="1598.0"/>
        <n v="989.0"/>
        <n v="1054.0"/>
        <n v="10947.0"/>
        <n v="1191.0"/>
        <n v="1144.0"/>
        <n v="871.0"/>
        <n v="686.0"/>
        <n v="3182.0"/>
        <n v="1704.0"/>
        <n v="5652.0"/>
        <n v="260.0"/>
        <n v="2499.0"/>
        <n v="1672.0"/>
        <n v="1967.0"/>
        <n v="13261.0"/>
        <n v="520.0"/>
        <n v="3103.0"/>
        <n v="640.0"/>
        <n v="4675.0"/>
        <n v="416.0"/>
        <n v="486.0"/>
        <n v="16076.0"/>
        <n v="869.0"/>
        <n v="4142.0"/>
        <n v="1796.0"/>
        <n v="11766.0"/>
        <n v="397.0"/>
        <n v="1718.0"/>
        <n v="756.0"/>
        <n v="1602.0"/>
        <n v="1405.0"/>
        <n v="4332.0"/>
        <n v="3450.0"/>
        <n v="942.0"/>
        <n v="963.0"/>
        <n v="3669.0"/>
        <n v="7202.0"/>
        <n v="8247.0"/>
        <n v="2914.0"/>
        <n v="920.0"/>
        <n v="817.0"/>
        <n v="4170.0"/>
        <n v="788.0"/>
        <n v="98772.0"/>
        <n v="936.0"/>
        <n v="2604.0"/>
        <n v="1386.0"/>
        <n v="6019.0"/>
        <n v="805.0"/>
        <n v="1518.0"/>
        <n v="43468.0"/>
        <n v="482.0"/>
        <n v="1123.0"/>
        <n v="1654.0"/>
        <n v="2682.0"/>
        <n v="1464.0"/>
        <n v="1364.0"/>
        <n v="2628.0"/>
        <n v="10617.0"/>
        <n v="641.0"/>
        <n v="938.0"/>
        <n v="1084.0"/>
        <n v="1151.0"/>
        <n v="2117.0"/>
        <n v="1197.0"/>
        <n v="1009.0"/>
        <n v="573.0"/>
        <n v="1302.0"/>
        <n v="2613.0"/>
        <n v="2081.0"/>
        <n v="5633.0"/>
        <n v="284.0"/>
        <n v="381.0"/>
        <n v="11012.0"/>
        <n v="1125.0"/>
        <n v="2020.0"/>
        <n v="603.0"/>
        <n v="20726.0"/>
        <n v="2564.0"/>
        <n v="15525.0"/>
        <n v="240.0"/>
        <n v="40847.0"/>
        <n v="440.0"/>
        <n v="7758.0"/>
        <n v="7266.0"/>
        <n v="5426.0"/>
        <n v="581.0"/>
        <n v="2804.0"/>
        <n v="2941.0"/>
        <n v="128.0"/>
        <n v="5584.0"/>
        <n v="334.0"/>
        <n v="1562.0"/>
        <n v="252.0"/>
        <n v="1630.0"/>
        <n v="557.0"/>
        <n v="1387.0"/>
        <n v="569.0"/>
        <n v="879.0"/>
        <n v="499.0"/>
        <n v="3058.0"/>
        <n v="1767.0"/>
        <n v="1805.0"/>
        <n v="3434.0"/>
        <n v="1345.0"/>
        <n v="1124.0"/>
        <n v="636.0"/>
        <n v="548.0"/>
        <n v="1857.0"/>
        <n v="562.0"/>
        <n v="515.0"/>
        <n v="567.0"/>
        <n v="2898.0"/>
        <n v="738.0"/>
        <n v="852.0"/>
        <n v="1147.0"/>
        <n v="477.0"/>
        <n v="645.0"/>
        <n v="2330.0"/>
        <n v="1483.0"/>
        <n v="1628.0"/>
        <n v="528.0"/>
        <n v="324.0"/>
        <n v="729.0"/>
        <n v="388.0"/>
        <n v="55550.0"/>
        <n v="730.0"/>
        <n v="813.0"/>
        <n v="912.0"/>
        <n v="1564.0"/>
        <n v="996.0"/>
        <n v="3111.0"/>
        <n v="308.0"/>
        <n v="592.0"/>
        <n v="356.0"/>
        <n v="787.0"/>
        <n v="986.0"/>
        <n v="2135.0"/>
        <n v="4832.0"/>
        <n v="382.0"/>
        <n v="423.0"/>
        <n v="429.0"/>
        <n v="472.0"/>
        <n v="303.0"/>
        <n v="213.0"/>
        <n v="2105.0"/>
        <n v="4029.0"/>
        <n v="4222.0"/>
        <n v="2467.0"/>
        <n v="3183.0"/>
        <n v="830.0"/>
        <n v="2838.0"/>
        <n v="305.0"/>
        <n v="1831.0"/>
        <n v="321.0"/>
        <n v="415.0"/>
        <n v="222.0"/>
        <n v="1393.0"/>
        <n v="542.0"/>
        <n v="2649.0"/>
        <n v="1669.0"/>
        <n v="1043.0"/>
        <n v="9959.0"/>
        <n v="10591.0"/>
        <n v="3084.0"/>
        <n v="3338.0"/>
        <n v="442.0"/>
        <n v="772.0"/>
        <n v="2036.0"/>
        <n v="1093.0"/>
        <n v="3449.0"/>
        <n v="3978.0"/>
        <n v="2208.0"/>
        <n v="10564.0"/>
        <n v="40761.0"/>
        <n v="734.0"/>
        <n v="870.0"/>
        <n v="1050.0"/>
        <n v="171.0"/>
        <n v="3915.0"/>
        <n v="803.0"/>
        <n v="36301.0"/>
        <n v="14351.0"/>
        <n v="3462.0"/>
        <n v="488.0"/>
        <n v="1092.0"/>
        <n v="987.0"/>
        <n v="2042.0"/>
        <n v="215.0"/>
        <n v="537.0"/>
        <n v="1080.0"/>
        <n v="376.0"/>
        <n v="412.0"/>
        <n v="297.0"/>
        <n v="48.0"/>
        <n v="598.0"/>
        <n v="1603.0"/>
        <n v="906.0"/>
        <n v="1623.0"/>
        <n v="732.0"/>
        <n v="3664.0"/>
        <n v="180.0"/>
        <n v="844.0"/>
        <n v="411.0"/>
        <n v="233.0"/>
        <n v="531.0"/>
        <n v="465.0"/>
        <n v="1437.0"/>
        <n v="2514.0"/>
        <n v="1910.0"/>
        <n v="318.0"/>
        <n v="502.0"/>
        <n v="2097.0"/>
        <n v="406.0"/>
        <n v="497.0"/>
        <n v="1326.0"/>
        <n v="154.0"/>
        <n v="264.0"/>
        <n v="962.0"/>
        <n v="347.0"/>
        <n v="626.0"/>
        <n v="196.0"/>
        <n v="1552.0"/>
        <n v="8867.0"/>
        <n v="15.0"/>
        <n v="1829.0"/>
        <n v="2786.0"/>
        <n v="371.0"/>
        <n v="478.0"/>
        <n v="773.0"/>
        <n v="925.0"/>
        <n v="2466.0"/>
        <n v="680.0"/>
        <n v="878.0"/>
        <n v="2243.0"/>
        <n v="588.0"/>
        <n v="1071.0"/>
        <n v="294.0"/>
        <n v="1512.0"/>
        <n v="182.0"/>
        <n v="5415.0"/>
        <n v="524.0"/>
        <n v="2043.0"/>
        <n v="4926.0"/>
        <n v="504.0"/>
        <n v="9082.0"/>
        <n v="1469.0"/>
        <n v="32.0"/>
        <n v="1116.0"/>
        <n v="1014.0"/>
        <n v="6785.0"/>
        <n v="718.0"/>
        <n v="2586.0"/>
        <n v="1895.0"/>
        <n v="1247.0"/>
        <n v="2473.0"/>
        <n v="285.0"/>
        <n v="1581.0"/>
        <n v="8677.0"/>
        <n v="1409.0"/>
        <n v="344.0"/>
        <n v="789.0"/>
        <n v="600.0"/>
        <n v="103.0"/>
        <n v="13897.0"/>
        <n v="2439.0"/>
        <n v="770.0"/>
        <n v="2327.0"/>
        <n v="1922.0"/>
        <n v="1487.0"/>
        <n v="1117.0"/>
        <n v="947.0"/>
        <n v="247.0"/>
        <n v="14257.0"/>
        <n v="1142.0"/>
        <n v="652.0"/>
        <n v="1035.0"/>
        <n v="500.0"/>
        <n v="834.0"/>
        <n v="958.0"/>
        <n v="5319.0"/>
        <n v="575.0"/>
        <n v="647.0"/>
        <n v="587.0"/>
        <n v="4258.0"/>
        <n v="386.0"/>
        <n v="4127.0"/>
        <n v="1571.0"/>
        <n v="961.0"/>
        <n v="897.0"/>
        <n v="2877.0"/>
        <n v="21907.0"/>
        <n v="1170.0"/>
        <n v="887.0"/>
        <n v="12971.0"/>
        <n v="109.0"/>
        <n v="1367.0"/>
        <n v="3583.0"/>
        <n v="513.0"/>
        <n v="271.0"/>
        <n v="1224.0"/>
        <n v="1877.0"/>
        <n v="1786.0"/>
        <n v="422.0"/>
        <n v="521.0"/>
        <n v="4009.0"/>
        <n v="1298.0"/>
        <n v="1163.0"/>
        <n v="905.0"/>
        <n v="648.0"/>
        <n v="427.0"/>
        <n v="3275.0"/>
        <n v="12361.0"/>
        <n v="677.0"/>
        <n v="3332.0"/>
        <n v="877.0"/>
        <n v="2524.0"/>
        <n v="1041.0"/>
        <n v="1928.0"/>
        <n v="1727.0"/>
        <n v="3871.0"/>
        <n v="1559.0"/>
        <n v="639.0"/>
        <n v="184.0"/>
        <n v="622.0"/>
        <n v="254.0"/>
        <n v="855.0"/>
        <n v="1573.0"/>
        <n v="638.0"/>
        <n v="1174.0"/>
        <n v="3505.0"/>
        <n v="1060.0"/>
        <n v="5810.0"/>
        <n v="735.0"/>
        <n v="4638.0"/>
        <n v="1449.0"/>
        <n v="3335.0"/>
        <n v="1172.0"/>
        <n v="1633.0"/>
        <n v="1751.0"/>
        <n v="1079.0"/>
        <n v="984.0"/>
        <n v="105.0"/>
        <n v="933.0"/>
        <n v="760.0"/>
        <n v="577.0"/>
        <n v="15157.0"/>
        <n v="2784.0"/>
        <n v="1217.0"/>
        <n v="481.0"/>
        <n v="643.0"/>
        <n v="1225.0"/>
        <n v="1090.0"/>
        <n v="750.0"/>
        <n v="379.0"/>
        <n v="4463.0"/>
        <n v="667.0"/>
        <n v="1258.0"/>
        <n v="1686.0"/>
        <n v="1037.0"/>
        <n v="1392.0"/>
        <n v="1875.0"/>
        <n v="1374.0"/>
        <n v="314.0"/>
        <n v="1941.0"/>
        <n v="941.0"/>
        <n v="295.0"/>
        <n v="701.0"/>
        <n v="998.0"/>
        <n v="447.0"/>
        <n v="2758.0"/>
        <n v="3898.0"/>
        <n v="721.0"/>
        <n v="4775.0"/>
        <n v="1196.0"/>
        <n v="6480.0"/>
        <n v="951.0"/>
        <n v="2284.0"/>
        <n v="1421.0"/>
        <n v="1380.0"/>
        <n v="33.0"/>
        <n v="1218.0"/>
        <n v="1341.0"/>
        <n v="921.0"/>
        <n v="1994.0"/>
        <n v="7873.0"/>
        <n v="974.0"/>
        <n v="802.0"/>
        <n v="621.0"/>
        <n v="255.0"/>
        <n v="1871.0"/>
        <n v="9598.0"/>
        <n v="261.0"/>
        <n v="3902.0"/>
        <n v="624.0"/>
        <n v="2823.0"/>
        <n v="973.0"/>
        <n v="2033.0"/>
        <n v="676.0"/>
        <n v="1523.0"/>
        <n v="4641.0"/>
        <n v="4571.0"/>
        <n v="2133.0"/>
        <n v="5825.0"/>
        <n v="700.0"/>
        <n v="2833.0"/>
        <n v="4389.0"/>
        <n v="960.0"/>
        <n v="9431.0"/>
        <n v="42875.0"/>
        <n v="1038.0"/>
        <n v="2064.0"/>
        <n v="885.0"/>
        <n v="1489.0"/>
        <n v="10051.0"/>
        <n v="1513.0"/>
        <n v="4625.0"/>
        <n v="617.0"/>
        <n v="608.0"/>
        <n v="5309.0"/>
        <n v="2547.0"/>
        <n v="46.0"/>
        <n v="1840.0"/>
        <n v="17435.0"/>
        <n v="330.0"/>
        <n v="1429.0"/>
        <n v="1220.0"/>
        <n v="3779.0"/>
        <n v="434.0"/>
        <n v="7331.0"/>
        <n v="1018.0"/>
        <n v="354.0"/>
        <n v="1003.0"/>
        <n v="5559.0"/>
        <n v="2014.0"/>
        <n v="12951.0"/>
        <n v="485.0"/>
        <n v="25224.0"/>
        <n v="546.0"/>
        <n v="9189.0"/>
        <n v="4568.0"/>
        <n v="671.0"/>
        <n v="5093.0"/>
        <n v="7937.0"/>
        <n v="715.0"/>
        <n v="4859.0"/>
        <n v="907.0"/>
        <n v="597.0"/>
        <n v="578.0"/>
        <n v="40539.0"/>
        <n v="568.0"/>
        <n v="1156.0"/>
        <n v="860.0"/>
        <n v="2398.0"/>
        <n v="5283.0"/>
        <n v="156.0"/>
        <n v="634.0"/>
        <n v="868.0"/>
        <n v="21424.0"/>
        <n v="387.0"/>
        <n v="1503.0"/>
        <n v="753.0"/>
        <n v="12146.0"/>
        <n v="2834.0"/>
        <n v="1243.0"/>
        <n v="67571.0"/>
        <n v="5369.0"/>
        <n v="1595.0"/>
        <n v="1762.0"/>
        <n v="1263.0"/>
        <n v="2582.0"/>
        <n v="669.0"/>
        <n v="407.0"/>
        <n v="819.0"/>
        <n v="17909.0"/>
        <n v="2593.0"/>
        <n v="2785.0"/>
        <n v="1073.0"/>
        <n v="2443.0"/>
        <n v="2638.0"/>
        <n v="2258.0"/>
        <n v="5438.0"/>
        <n v="550.0"/>
        <n v="7830.0"/>
        <n v="10176.0"/>
        <n v="2590.0"/>
        <n v="1939.0"/>
        <n v="333.0"/>
        <n v="5129.0"/>
        <n v="1784.0"/>
        <n v="5683.0"/>
        <n v="1311.0"/>
        <n v="4829.0"/>
        <n v="709.0"/>
        <n v="6766.0"/>
        <n v="826.0"/>
        <n v="6139.0"/>
        <n v="5867.0"/>
        <n v="2939.0"/>
        <n v="1399.0"/>
        <n v="1706.0"/>
        <n v="511.0"/>
        <n v="2181.0"/>
        <n v="2805.0"/>
        <n v="836.0"/>
        <n v="3737.0"/>
        <n v="491.0"/>
        <n v="2619.0"/>
        <n v="338.0"/>
        <n v="1753.0"/>
        <n v="1979.0"/>
        <n v="913.0"/>
        <n v="476.0"/>
        <n v="10710.0"/>
        <n v="4628.0"/>
        <n v="1267.0"/>
        <n v="629.0"/>
        <n v="932.0"/>
        <n v="861.0"/>
        <n v="1770.0"/>
        <n v="1242.0"/>
        <n v="496.0"/>
        <n v="850.0"/>
        <n v="510.0"/>
        <n v="2947.0"/>
        <n v="1632.0"/>
        <n v="6087.0"/>
        <n v="1403.0"/>
        <n v="400.0"/>
        <n v="2362.0"/>
        <n v="774.0"/>
        <n v="768.0"/>
        <n v="2072.0"/>
        <n v="982.0"/>
        <n v="2525.0"/>
        <n v="1391.0"/>
        <n v="632.0"/>
        <n v="6644.0"/>
        <n v="1470.0"/>
        <n v="1381.0"/>
        <n v="1067.0"/>
        <n v="13.0"/>
        <n v="5479.0"/>
        <n v="5064.0"/>
        <n v="4396.0"/>
        <n v="454.0"/>
        <n v="944.0"/>
        <n v="1439.0"/>
        <n v="1270.0"/>
        <n v="12247.0"/>
        <n v="206.0"/>
        <n v="1724.0"/>
        <n v="25688.0"/>
        <n v="77.0"/>
        <n v="1062.0"/>
        <n v="512.0"/>
        <n v="6082.0"/>
        <n v="828.0"/>
        <n v="853.0"/>
        <n v="4480.0"/>
        <n v="1891.0"/>
        <n v="1389.0"/>
        <n v="2485.0"/>
        <n v="6945.0"/>
        <n v="3371.0"/>
        <n v="8650.0"/>
        <n v="1040.0"/>
        <n v="1648.0"/>
        <n v="2858.0"/>
        <n v="3481.0"/>
        <n v="5044.0"/>
        <n v="7060.0"/>
        <n v="32920.0"/>
        <n v="402.0"/>
        <n v="5009.0"/>
        <n v="1679.0"/>
        <n v="30063.0"/>
        <n v="10193.0"/>
        <n v="2324.0"/>
        <n v="5169.0"/>
        <n v="1528.0"/>
        <n v="10548.0"/>
        <n v="6799.0"/>
        <n v="1256.0"/>
        <n v="3579.0"/>
        <n v="451.0"/>
        <n v="1678.0"/>
        <n v="1973.0"/>
        <n v="336.0"/>
        <n v="10467.0"/>
        <n v="5411.0"/>
        <n v="2422.0"/>
        <n v="1039.0"/>
        <n v="5217.0"/>
        <n v="8217.0"/>
        <n v="457.0"/>
        <n v="11619.0"/>
        <n v="3342.0"/>
        <n v="3691.0"/>
        <n v="679.0"/>
        <n v="1317.0"/>
        <n v="9743.0"/>
        <n v="1912.0"/>
        <n v="1022.0"/>
        <n v="673.0"/>
        <n v="4115.0"/>
        <n v="22.0"/>
        <n v="59.0"/>
        <n v="570.0"/>
        <n v="11590.0"/>
        <n v="1271.0"/>
        <n v="1756.0"/>
        <n v="5994.0"/>
        <n v="2273.0"/>
        <n v="6854.0"/>
        <n v="10323.0"/>
        <n v="719.0"/>
        <n v="13138.0"/>
        <n v="493.0"/>
        <n v="5780.0"/>
        <n v="566.0"/>
        <n v="740.0"/>
        <n v="559.0"/>
        <n v="1574.0"/>
        <n v="452.0"/>
        <n v="3062.0"/>
        <n v="8768.0"/>
        <n v="642.0"/>
        <n v="675.0"/>
        <n v="292.0"/>
        <n v="720.0"/>
        <n v="4297.0"/>
        <n v="880.0"/>
        <n v="596.0"/>
        <n v="2032.0"/>
        <n v="2687.0"/>
        <n v="2987.0"/>
        <n v="1328.0"/>
        <n v="1970.0"/>
        <n v="8552.0"/>
        <n v="1478.0"/>
        <n v="691.0"/>
        <n v="1614.0"/>
        <n v="665.0"/>
        <n v="2493.0"/>
        <n v="3981.0"/>
        <n v="5948.0"/>
        <n v="3471.0"/>
        <n v="5029.0"/>
        <n v="2349.0"/>
        <n v="6459.0"/>
        <n v="3353.0"/>
        <n v="1708.0"/>
        <n v="5843.0"/>
        <n v="10888.0"/>
        <n v="4494.0"/>
        <n v="14382.0"/>
        <n v="4677.0"/>
        <n v="2999.0"/>
        <n v="9414.0"/>
        <n v="4704.0"/>
        <n v="4668.0"/>
        <n v="315.0"/>
        <n v="929.0"/>
        <n v="49.0"/>
        <n v="1210.0"/>
        <n v="2663.0"/>
        <n v="1310.0"/>
        <n v="1616.0"/>
        <n v="818.0"/>
        <n v="4224.0"/>
        <n v="538.0"/>
        <n v="1138.0"/>
        <n v="1099.0"/>
        <n v="2374.0"/>
        <n v="8536.0"/>
        <n v="4729.0"/>
        <n v="1978.0"/>
        <n v="3445.0"/>
        <n v="2571.0"/>
        <n v="1511.0"/>
        <n v="368.0"/>
        <n v="4270.0"/>
        <n v="3839.0"/>
        <n v="4849.0"/>
        <n v="449.0"/>
        <n v="748.0"/>
        <n v="1203.0"/>
        <n v="267.0"/>
        <n v="138.0"/>
        <n v="6256.0"/>
        <n v="3866.0"/>
        <n v="8720.0"/>
        <n v="492.0"/>
        <n v="835.0"/>
        <n v="3321.0"/>
        <n v="1820.0"/>
        <n v="7973.0"/>
        <n v="1551.0"/>
        <n v="22395.0"/>
        <n v="590.0"/>
        <n v="501.0"/>
        <n v="904.0"/>
        <n v="2648.0"/>
        <n v="3003.0"/>
        <n v="2204.0"/>
        <n v="69.0"/>
        <n v="843.0"/>
        <n v="136449.0"/>
        <n v="322.0"/>
        <n v="820.0"/>
        <n v="759.0"/>
        <n v="614.0"/>
        <n v="393.0"/>
        <n v="1396.0"/>
        <n v="1352.0"/>
        <n v="1929.0"/>
        <n v="40.0"/>
        <n v="1042.0"/>
        <n v="900.0"/>
        <n v="613.0"/>
        <n v="3234.0"/>
        <n v="1184.0"/>
        <n v="4359.0"/>
        <n v="688.0"/>
        <n v="2316.0"/>
        <n v="1969.0"/>
        <n v="1190.0"/>
        <n v="1660.0"/>
        <n v="5982.0"/>
        <n v="99.0"/>
        <n v="1958.0"/>
        <n v="374.0"/>
        <n v="1081.0"/>
        <n v="5751.0"/>
        <n v="1576.0"/>
        <n v="1441.0"/>
        <n v="7.0"/>
        <n v="1128.0"/>
        <n v="453.0"/>
        <n v="2414.0"/>
        <n v="1937.0"/>
        <n v="3221.0"/>
        <n v="54.0"/>
        <n v="1363.0"/>
        <n v="1723.0"/>
        <n v="2045.0"/>
        <n v="4306.0"/>
        <n v="2397.0"/>
        <n v="1351.0"/>
        <n v="4378.0"/>
        <n v="1027.0"/>
        <n v="1640.0"/>
        <n v="764.0"/>
        <n v="1111.0"/>
        <n v="1622.0"/>
        <n v="749.0"/>
        <n v="532.0"/>
        <n v="1148.0"/>
        <n v="1500.0"/>
        <n v="5680.0"/>
        <n v="840.0"/>
        <n v="1285.0"/>
        <n v="9.0"/>
        <n v="2540.0"/>
        <n v="5935.0"/>
        <n v="362.0"/>
        <n v="3936.0"/>
        <n v="372.0"/>
        <n v="693.0"/>
        <n v="1047.0"/>
        <n v="242.0"/>
        <n v="373.0"/>
        <n v="1127.0"/>
        <n v="7090.0"/>
        <n v="1273.0"/>
        <n v="1482.0"/>
        <n v="2282.0"/>
        <n v="2425.0"/>
        <n v="1438.0"/>
        <n v="1335.0"/>
        <n v="761.0"/>
        <n v="1102.0"/>
        <n v="3636.0"/>
        <n v="1626.0"/>
        <n v="755.0"/>
        <n v="2894.0"/>
        <n v="5833.0"/>
        <n v="1187.0"/>
        <n v="36.0"/>
        <n v="883.0"/>
        <n v="1809.0"/>
        <n v="1772.0"/>
        <n v="1252.0"/>
        <n v="1279.0"/>
        <n v="976.0"/>
        <n v="1344.0"/>
        <n v="2306.0"/>
        <n v="2739.0"/>
        <n v="4179.0"/>
        <n v="1096.0"/>
        <n v="623.0"/>
        <n v="1085.0"/>
        <n v="661.0"/>
        <n v="29.0"/>
        <n v="414.0"/>
        <n v="444.0"/>
        <n v="2263.0"/>
        <n v="1545.0"/>
        <n v="4647.0"/>
        <n v="468.0"/>
        <n v="595.0"/>
        <n v="743.0"/>
      </sharedItems>
    </cacheField>
    <cacheField name="Superficie_km2" numFmtId="0">
      <sharedItems containsSemiMixedTypes="0" containsString="0" containsNumber="1">
        <n v="5.98"/>
        <n v="6.95"/>
        <n v="11.55"/>
        <n v="10.72"/>
        <n v="10.61"/>
        <n v="8.71"/>
        <n v="4.88"/>
        <n v="14.72"/>
        <n v="5.99"/>
        <n v="5.16"/>
        <n v="17.24"/>
        <n v="4.48"/>
        <n v="28.04"/>
        <n v="13.12"/>
        <n v="3.86"/>
        <n v="2.86"/>
        <n v="9.18"/>
        <n v="20.9"/>
        <n v="5.96"/>
        <n v="17.78"/>
        <n v="6.41"/>
        <n v="26.37"/>
        <n v="6.83"/>
        <n v="5.58"/>
        <n v="6.32"/>
        <n v="8.05"/>
        <n v="15.48"/>
        <n v="11.83"/>
        <n v="2.11"/>
        <n v="23.7"/>
        <n v="3.74"/>
        <n v="4.44"/>
        <n v="5.71"/>
        <n v="10.73"/>
        <n v="2.64"/>
        <n v="9.73"/>
        <n v="6.04"/>
        <n v="9.27"/>
        <n v="6.85"/>
        <n v="3.63"/>
        <n v="2.77"/>
        <n v="2.17"/>
        <n v="3.33"/>
        <n v="11.49"/>
        <n v="6.7"/>
        <n v="7.99"/>
        <n v="14.91"/>
        <n v="7.69"/>
        <n v="7.6"/>
        <n v="7.08"/>
        <n v="41.57"/>
        <n v="13.65"/>
        <n v="9.2"/>
        <n v="5.44"/>
        <n v="21.75"/>
        <n v="9.68"/>
        <n v="7.53"/>
        <n v="7.5"/>
        <n v="4.72"/>
        <n v="6.75"/>
        <n v="6.44"/>
        <n v="4.49"/>
        <n v="9.78"/>
        <n v="6.8"/>
        <n v="4.47"/>
        <n v="5.22"/>
        <n v="6.68"/>
        <n v="16.74"/>
        <n v="7.94"/>
        <n v="4.98"/>
        <n v="8.15"/>
        <n v="7.56"/>
        <n v="3.13"/>
        <n v="4.52"/>
        <n v="2.7"/>
        <n v="15.84"/>
        <n v="9.64"/>
        <n v="4.3"/>
        <n v="7.68"/>
        <n v="15.63"/>
        <n v="11.2"/>
        <n v="11.04"/>
        <n v="7.78"/>
        <n v="2.68"/>
        <n v="7.54"/>
        <n v="10.18"/>
        <n v="5.27"/>
        <n v="10.81"/>
        <n v="9.83"/>
        <n v="31.78"/>
        <n v="10.45"/>
        <n v="13.42"/>
        <n v="2.15"/>
        <n v="6.34"/>
        <n v="8.01"/>
        <n v="9.75"/>
        <n v="13.08"/>
        <n v="10.69"/>
        <n v="4.39"/>
        <n v="7.61"/>
        <n v="5.13"/>
        <n v="2.81"/>
        <n v="1.94"/>
        <n v="19.37"/>
        <n v="11.59"/>
        <n v="6.71"/>
        <n v="13.35"/>
        <n v="7.34"/>
        <n v="8.2"/>
        <n v="9.25"/>
        <n v="2.92"/>
        <n v="1.35"/>
        <n v="4.38"/>
        <n v="4.54"/>
        <n v="8.79"/>
        <n v="12.24"/>
        <n v="7.24"/>
        <n v="8.88"/>
        <n v="9.01"/>
        <n v="11.58"/>
        <n v="5.6"/>
        <n v="12.9"/>
        <n v="12.89"/>
        <n v="8.74"/>
        <n v="14.57"/>
        <n v="4.14"/>
        <n v="17.65"/>
        <n v="13.96"/>
        <n v="4.85"/>
        <n v="6.72"/>
        <n v="12.27"/>
        <n v="5.77"/>
        <n v="0.41"/>
        <n v="5.76"/>
        <n v="3.91"/>
        <n v="6.07"/>
        <n v="4.02"/>
        <n v="7.3"/>
        <n v="3.16"/>
        <n v="4.6"/>
        <n v="19.86"/>
        <n v="12.75"/>
        <n v="2.22"/>
        <n v="7.74"/>
        <n v="8.93"/>
        <n v="3.31"/>
        <n v="9.23"/>
        <n v="18.58"/>
        <n v="8.09"/>
        <n v="20.64"/>
        <n v="9.77"/>
        <n v="3.67"/>
        <n v="8.87"/>
        <n v="10.96"/>
        <n v="16.98"/>
        <n v="10.64"/>
        <n v="2.63"/>
        <n v="4.68"/>
        <n v="8.55"/>
        <n v="13.31"/>
        <n v="11.6"/>
        <n v="5.24"/>
        <n v="3.65"/>
        <n v="3.69"/>
        <n v="10.91"/>
        <n v="13.81"/>
        <n v="17.43"/>
        <n v="5.02"/>
        <n v="5.95"/>
        <n v="8.76"/>
        <n v="17.14"/>
        <n v="16.49"/>
        <n v="22.59"/>
        <n v="2.85"/>
        <n v="10.59"/>
        <n v="13.73"/>
        <n v="3.53"/>
        <n v="20.41"/>
        <n v="8.17"/>
        <n v="9.33"/>
        <n v="8.96"/>
        <n v="4.23"/>
        <n v="14.39"/>
        <n v="3.45"/>
        <n v="8.3"/>
        <n v="9.3"/>
        <n v="12.34"/>
        <n v="7.39"/>
        <n v="3.38"/>
        <n v="3.36"/>
        <n v="13.23"/>
        <n v="4.45"/>
        <n v="3.75"/>
        <n v="5.9"/>
        <n v="5.61"/>
        <n v="5.5"/>
        <n v="3.46"/>
        <n v="15.27"/>
        <n v="7.32"/>
        <n v="11.38"/>
        <n v="6.08"/>
        <n v="6.12"/>
        <n v="28.72"/>
        <n v="7.82"/>
        <n v="3.17"/>
        <n v="14.05"/>
        <n v="8.98"/>
        <n v="2.76"/>
        <n v="6.74"/>
        <n v="10.13"/>
        <n v="5.97"/>
        <n v="4.24"/>
        <n v="7.49"/>
        <n v="13.59"/>
        <n v="24.58"/>
        <n v="8.67"/>
        <n v="11.81"/>
        <n v="18.08"/>
        <n v="27.77"/>
        <n v="7.11"/>
        <n v="9.44"/>
        <n v="10.57"/>
        <n v="4.34"/>
        <n v="10.37"/>
        <n v="3.49"/>
        <n v="9.38"/>
        <n v="6.6"/>
        <n v="8.56"/>
        <n v="5.21"/>
        <n v="4.95"/>
        <n v="9.1"/>
        <n v="4.81"/>
        <n v="10.04"/>
        <n v="8.1"/>
        <n v="11.45"/>
        <n v="3.78"/>
        <n v="6.88"/>
        <n v="20.02"/>
        <n v="3.18"/>
        <n v="7.25"/>
        <n v="4.53"/>
        <n v="10.48"/>
        <n v="5.07"/>
        <n v="15.92"/>
        <n v="5.39"/>
        <n v="7.73"/>
        <n v="13.06"/>
        <n v="2.69"/>
        <n v="8.02"/>
        <n v="7.55"/>
        <n v="19.1"/>
        <n v="12.31"/>
        <n v="7.75"/>
        <n v="8.84"/>
        <n v="7.46"/>
        <n v="16.18"/>
        <n v="13.32"/>
        <n v="4.61"/>
        <n v="28.64"/>
        <n v="7.04"/>
        <n v="2.19"/>
        <n v="13.69"/>
        <n v="2.4"/>
        <n v="17.63"/>
        <n v="8.66"/>
        <n v="5.26"/>
        <n v="10.33"/>
        <n v="9.17"/>
        <n v="5.92"/>
        <n v="6.81"/>
        <n v="20.85"/>
        <n v="24.12"/>
        <n v="18.95"/>
        <n v="16.19"/>
        <n v="7.79"/>
        <n v="26.58"/>
        <n v="13.76"/>
        <n v="12.82"/>
        <n v="6.62"/>
        <n v="9.62"/>
        <n v="5.33"/>
        <n v="11.99"/>
        <n v="5.8"/>
        <n v="8.99"/>
        <n v="9.5"/>
        <n v="5.46"/>
        <n v="2.91"/>
        <n v="9.03"/>
        <n v="7.22"/>
        <n v="15.15"/>
        <n v="2.53"/>
        <n v="15.36"/>
        <n v="4.91"/>
        <n v="8.83"/>
        <n v="10.09"/>
        <n v="6.25"/>
        <n v="6.38"/>
        <n v="4.56"/>
        <n v="10.35"/>
        <n v="5.59"/>
        <n v="8.75"/>
        <n v="8.57"/>
        <n v="17.67"/>
        <n v="20.58"/>
        <n v="9.98"/>
        <n v="10.86"/>
        <n v="7.16"/>
        <n v="11.39"/>
        <n v="5.1"/>
        <n v="25.15"/>
        <n v="16.22"/>
        <n v="7.21"/>
        <n v="9.42"/>
        <n v="5.2"/>
        <n v="3.7"/>
        <n v="6.21"/>
        <n v="11.19"/>
        <n v="7.28"/>
        <n v="7.06"/>
        <n v="9.51"/>
        <n v="4.18"/>
        <n v="9.28"/>
        <n v="3.09"/>
        <n v="33.9"/>
        <n v="6.39"/>
        <n v="14.65"/>
        <n v="13.26"/>
        <n v="1.74"/>
        <n v="5.83"/>
        <n v="7.98"/>
        <n v="6.18"/>
        <n v="2.5"/>
        <n v="13.45"/>
        <n v="13.91"/>
        <n v="30.09"/>
        <n v="6.82"/>
        <n v="10.87"/>
        <n v="3.71"/>
        <n v="19.43"/>
        <n v="15.85"/>
        <n v="5.79"/>
        <n v="3.0"/>
        <n v="44.48"/>
        <n v="23.63"/>
        <n v="9.29"/>
        <n v="7.2"/>
        <n v="2.62"/>
        <n v="11.56"/>
        <n v="14.68"/>
        <n v="10.89"/>
        <n v="6.65"/>
        <n v="16.48"/>
        <n v="12.7"/>
        <n v="3.68"/>
        <n v="10.19"/>
        <n v="4.92"/>
        <n v="4.12"/>
        <n v="3.87"/>
        <n v="10.1"/>
        <n v="5.66"/>
        <n v="8.28"/>
        <n v="8.22"/>
        <n v="10.78"/>
        <n v="38.07"/>
        <n v="8.92"/>
        <n v="11.12"/>
        <n v="4.78"/>
        <n v="11.11"/>
        <n v="3.52"/>
        <n v="11.05"/>
        <n v="10.16"/>
        <n v="6.16"/>
        <n v="20.28"/>
        <n v="25.75"/>
        <n v="10.46"/>
        <n v="10.3"/>
        <n v="15.55"/>
        <n v="40.08"/>
        <n v="7.43"/>
        <n v="8.36"/>
        <n v="9.14"/>
        <n v="9.22"/>
        <n v="5.48"/>
        <n v="15.54"/>
        <n v="7.88"/>
        <n v="13.8"/>
        <n v="13.05"/>
        <n v="16.92"/>
        <n v="3.56"/>
        <n v="11.9"/>
        <n v="5.84"/>
        <n v="9.02"/>
        <n v="2.94"/>
        <n v="9.65"/>
        <n v="3.05"/>
        <n v="6.73"/>
        <n v="1.81"/>
        <n v="13.39"/>
        <n v="5.36"/>
        <n v="20.3"/>
        <n v="4.83"/>
        <n v="4.2"/>
        <n v="23.64"/>
        <n v="9.92"/>
        <n v="13.47"/>
        <n v="6.26"/>
        <n v="15.37"/>
        <n v="11.15"/>
        <n v="3.27"/>
        <n v="2.95"/>
        <n v="4.01"/>
        <n v="9.85"/>
        <n v="10.34"/>
        <n v="9.84"/>
        <n v="11.47"/>
        <n v="4.82"/>
        <n v="7.37"/>
        <n v="8.49"/>
        <n v="22.77"/>
        <n v="9.96"/>
        <n v="13.01"/>
        <n v="4.0"/>
        <n v="5.67"/>
        <n v="10.52"/>
        <n v="6.01"/>
        <n v="7.03"/>
        <n v="14.37"/>
        <n v="11.86"/>
        <n v="6.47"/>
        <n v="1.61"/>
        <n v="6.22"/>
        <n v="2.07"/>
        <n v="10.97"/>
        <n v="3.73"/>
        <n v="6.28"/>
        <n v="17.3"/>
        <n v="2.9"/>
        <n v="1.92"/>
        <n v="17.98"/>
        <n v="8.45"/>
        <n v="9.94"/>
        <n v="3.82"/>
        <n v="10.92"/>
        <n v="8.07"/>
        <n v="4.5"/>
        <n v="31.6"/>
        <n v="6.91"/>
        <n v="24.1"/>
        <n v="5.19"/>
        <n v="48.57"/>
        <n v="16.69"/>
        <n v="7.23"/>
        <n v="16.29"/>
        <n v="6.55"/>
        <n v="10.85"/>
        <n v="5.35"/>
        <n v="8.73"/>
        <n v="2.41"/>
        <n v="16.35"/>
        <n v="23.26"/>
        <n v="9.15"/>
        <n v="4.35"/>
        <n v="15.09"/>
        <n v="5.15"/>
        <n v="7.1"/>
        <n v="1.96"/>
        <n v="10.63"/>
        <n v="10.27"/>
        <n v="9.07"/>
        <n v="9.69"/>
        <n v="6.93"/>
        <n v="3.01"/>
        <n v="3.55"/>
        <n v="3.79"/>
        <n v="9.8"/>
        <n v="7.59"/>
        <n v="10.65"/>
        <n v="7.44"/>
        <n v="2.44"/>
        <n v="6.1"/>
        <n v="5.18"/>
        <n v="2.88"/>
        <n v="16.44"/>
        <n v="4.93"/>
        <n v="3.23"/>
        <n v="13.63"/>
        <n v="15.06"/>
        <n v="6.78"/>
        <n v="9.79"/>
        <n v="12.23"/>
        <n v="8.34"/>
        <n v="5.06"/>
        <n v="6.59"/>
        <n v="18.17"/>
        <n v="11.33"/>
        <n v="17.5"/>
        <n v="8.26"/>
        <n v="3.94"/>
        <n v="4.99"/>
        <n v="3.8"/>
        <n v="12.01"/>
        <n v="6.4"/>
        <n v="10.05"/>
        <n v="8.78"/>
        <n v="14.97"/>
        <n v="6.67"/>
        <n v="3.62"/>
        <n v="27.04"/>
        <n v="5.69"/>
        <n v="11.08"/>
        <n v="5.51"/>
        <n v="5.65"/>
        <n v="4.29"/>
        <n v="4.25"/>
        <n v="3.9"/>
        <n v="8.04"/>
        <n v="6.77"/>
        <n v="12.48"/>
        <n v="16.68"/>
        <n v="12.53"/>
        <n v="6.92"/>
        <n v="8.42"/>
        <n v="6.17"/>
        <n v="7.89"/>
        <n v="3.37"/>
        <n v="20.34"/>
        <n v="6.97"/>
        <n v="7.58"/>
        <n v="29.76"/>
        <n v="7.83"/>
        <n v="5.52"/>
        <n v="42.22"/>
        <n v="12.06"/>
        <n v="22.8"/>
        <n v="14.02"/>
        <n v="6.36"/>
        <n v="2.48"/>
        <n v="25.35"/>
        <n v="10.06"/>
        <n v="2.67"/>
        <n v="11.84"/>
        <n v="4.79"/>
        <n v="8.46"/>
        <n v="6.43"/>
        <n v="9.12"/>
        <n v="13.67"/>
        <n v="5.53"/>
        <n v="2.2"/>
        <n v="11.7"/>
        <n v="2.37"/>
        <n v="13.16"/>
        <n v="53.5"/>
        <n v="10.84"/>
        <n v="12.32"/>
        <n v="6.0"/>
        <n v="4.62"/>
        <n v="9.26"/>
        <n v="13.94"/>
        <n v="10.58"/>
        <n v="2.54"/>
        <n v="25.58"/>
        <n v="18.3"/>
        <n v="16.75"/>
        <n v="6.99"/>
        <n v="6.23"/>
        <n v="7.12"/>
        <n v="3.59"/>
        <n v="7.8"/>
        <n v="14.5"/>
        <n v="4.05"/>
        <n v="20.4"/>
        <n v="2.8"/>
        <n v="15.24"/>
        <n v="3.02"/>
        <n v="12.98"/>
        <n v="7.31"/>
        <n v="12.4"/>
        <n v="9.97"/>
        <n v="3.22"/>
        <n v="8.53"/>
        <n v="14.1"/>
        <n v="15.88"/>
        <n v="5.01"/>
        <n v="3.89"/>
        <n v="2.28"/>
        <n v="5.25"/>
        <n v="14.58"/>
        <n v="12.78"/>
        <n v="8.97"/>
        <n v="5.23"/>
        <n v="16.01"/>
        <n v="4.64"/>
        <n v="10.74"/>
        <n v="5.29"/>
        <n v="6.33"/>
        <n v="21.54"/>
        <n v="10.17"/>
        <n v="7.66"/>
        <n v="42.11"/>
        <n v="8.18"/>
        <n v="8.13"/>
        <n v="10.75"/>
        <n v="7.63"/>
        <n v="12.05"/>
        <n v="17.79"/>
        <n v="13.97"/>
        <n v="4.76"/>
        <n v="13.84"/>
        <n v="4.58"/>
        <n v="1.07"/>
        <n v="6.76"/>
        <n v="21.36"/>
        <n v="12.02"/>
        <n v="4.51"/>
        <n v="5.68"/>
        <n v="6.54"/>
        <n v="5.54"/>
        <n v="1.71"/>
        <n v="6.52"/>
        <n v="27.45"/>
        <n v="5.41"/>
        <n v="22.27"/>
        <n v="2.3"/>
        <n v="11.13"/>
        <n v="6.27"/>
        <n v="13.41"/>
        <n v="6.5"/>
        <n v="1.87"/>
        <n v="3.21"/>
        <n v="4.32"/>
        <n v="7.13"/>
        <n v="7.77"/>
        <n v="8.65"/>
        <n v="13.85"/>
        <n v="12.74"/>
        <n v="2.31"/>
        <n v="9.04"/>
        <n v="10.51"/>
        <n v="6.31"/>
        <n v="9.41"/>
        <n v="43.49"/>
        <n v="8.68"/>
        <n v="7.96"/>
        <n v="11.82"/>
        <n v="7.62"/>
        <n v="8.44"/>
        <n v="5.04"/>
        <n v="1.01"/>
        <n v="7.9"/>
        <n v="7.38"/>
        <n v="3.54"/>
        <n v="3.4"/>
        <n v="1.34"/>
        <n v="11.14"/>
        <n v="3.32"/>
        <n v="2.98"/>
        <n v="12.59"/>
        <n v="4.8"/>
        <n v="11.07"/>
        <n v="3.58"/>
        <n v="18.24"/>
        <n v="13.71"/>
        <n v="7.09"/>
        <n v="7.41"/>
        <n v="17.59"/>
        <n v="13.0"/>
        <n v="12.42"/>
        <n v="8.72"/>
        <n v="38.35"/>
        <n v="6.57"/>
        <n v="6.42"/>
        <n v="3.15"/>
        <n v="12.16"/>
        <n v="3.28"/>
        <n v="8.69"/>
        <n v="2.71"/>
        <n v="8.63"/>
        <n v="6.96"/>
        <n v="2.84"/>
        <n v="3.77"/>
        <n v="4.36"/>
        <n v="7.91"/>
        <n v="2.03"/>
        <n v="16.5"/>
        <n v="10.21"/>
        <n v="18.19"/>
        <n v="6.45"/>
        <n v="6.46"/>
        <n v="17.61"/>
        <n v="8.16"/>
        <n v="2.34"/>
        <n v="26.41"/>
        <n v="13.09"/>
        <n v="27.22"/>
        <n v="5.4"/>
        <n v="12.95"/>
        <n v="3.88"/>
        <n v="4.41"/>
        <n v="4.19"/>
        <n v="2.51"/>
        <n v="9.95"/>
        <n v="18.82"/>
        <n v="16.06"/>
        <n v="18.36"/>
        <n v="1.66"/>
        <n v="20.99"/>
        <n v="16.34"/>
        <n v="19.02"/>
        <n v="7.85"/>
        <n v="3.97"/>
        <n v="7.0"/>
        <n v="6.06"/>
        <n v="13.62"/>
        <n v="1.89"/>
        <n v="11.51"/>
        <n v="4.84"/>
        <n v="7.45"/>
        <n v="16.86"/>
        <n v="9.19"/>
        <n v="11.89"/>
        <n v="41.96"/>
        <n v="4.87"/>
        <n v="10.43"/>
        <n v="8.35"/>
        <n v="5.14"/>
        <n v="4.73"/>
        <n v="10.47"/>
        <n v="16.71"/>
        <n v="5.28"/>
        <n v="11.62"/>
        <n v="1.75"/>
        <n v="9.08"/>
        <n v="5.86"/>
        <n v="10.24"/>
        <n v="6.66"/>
        <n v="5.74"/>
        <n v="1.85"/>
        <n v="14.49"/>
        <n v="12.26"/>
        <n v="13.4"/>
        <n v="5.32"/>
        <n v="2.83"/>
        <n v="2.82"/>
        <n v="4.75"/>
        <n v="9.56"/>
        <n v="18.77"/>
        <n v="19.59"/>
        <n v="5.82"/>
        <n v="10.01"/>
        <n v="2.02"/>
        <n v="19.16"/>
        <n v="4.67"/>
        <n v="17.35"/>
        <n v="10.56"/>
        <n v="1.06"/>
        <n v="22.97"/>
        <n v="8.32"/>
        <n v="11.22"/>
        <n v="13.29"/>
        <n v="7.47"/>
        <n v="35.76"/>
        <n v="11.79"/>
        <n v="11.94"/>
        <n v="4.77"/>
        <n v="7.97"/>
        <n v="15.79"/>
        <n v="8.19"/>
        <n v="15.03"/>
        <n v="12.13"/>
        <n v="8.77"/>
        <n v="1.84"/>
        <n v="20.67"/>
        <n v="9.37"/>
        <n v="3.14"/>
        <n v="4.06"/>
        <n v="3.43"/>
        <n v="12.57"/>
        <n v="6.13"/>
        <n v="5.17"/>
        <n v="12.8"/>
        <n v="5.38"/>
        <n v="16.13"/>
        <n v="12.35"/>
        <n v="5.94"/>
        <n v="27.41"/>
        <n v="1.36"/>
        <n v="9.67"/>
        <n v="17.19"/>
        <n v="12.63"/>
        <n v="23.62"/>
        <n v="10.98"/>
        <n v="15.52"/>
        <n v="5.57"/>
        <n v="12.14"/>
        <n v="6.48"/>
        <n v="11.27"/>
        <n v="13.19"/>
        <n v="10.23"/>
        <n v="3.96"/>
        <n v="8.8"/>
        <n v="11.96"/>
        <n v="21.65"/>
        <n v="0.18"/>
        <n v="16.31"/>
        <n v="7.02"/>
        <n v="7.19"/>
        <n v="4.46"/>
        <n v="8.47"/>
        <n v="17.57"/>
        <n v="5.12"/>
        <n v="34.75"/>
        <n v="97.47"/>
        <n v="2.61"/>
        <n v="3.1"/>
        <n v="17.6"/>
        <n v="19.5"/>
        <n v="42.3"/>
        <n v="6.9"/>
        <n v="2.66"/>
        <n v="8.39"/>
        <n v="2.52"/>
        <n v="11.67"/>
        <n v="3.51"/>
        <n v="6.61"/>
        <n v="21.45"/>
        <n v="15.07"/>
        <n v="11.24"/>
        <n v="8.03"/>
        <n v="22.05"/>
        <n v="7.48"/>
        <n v="11.0"/>
        <n v="18.86"/>
        <n v="2.1"/>
        <n v="8.64"/>
        <n v="10.14"/>
        <n v="27.0"/>
        <n v="18.49"/>
        <n v="12.33"/>
        <n v="3.47"/>
        <n v="7.4"/>
        <n v="4.96"/>
        <n v="6.84"/>
        <n v="12.29"/>
        <n v="44.33"/>
        <n v="9.21"/>
        <n v="4.16"/>
        <n v="1.26"/>
        <n v="17.12"/>
        <n v="10.29"/>
        <n v="19.07"/>
        <n v="17.23"/>
        <n v="2.38"/>
        <n v="5.05"/>
        <n v="5.62"/>
        <n v="4.86"/>
        <n v="2.55"/>
        <n v="4.03"/>
        <n v="17.7"/>
        <n v="3.34"/>
        <n v="4.7"/>
        <n v="9.6"/>
        <n v="3.04"/>
        <n v="1.14"/>
        <n v="8.0"/>
        <n v="23.33"/>
        <n v="2.24"/>
        <n v="11.31"/>
        <n v="3.26"/>
        <n v="3.98"/>
        <n v="23.11"/>
        <n v="6.3"/>
        <n v="3.39"/>
        <n v="12.22"/>
        <n v="4.26"/>
        <n v="14.22"/>
        <n v="14.41"/>
        <n v="4.69"/>
        <n v="33.33"/>
        <n v="9.54"/>
        <n v="1.04"/>
        <n v="6.14"/>
        <n v="6.35"/>
        <n v="13.36"/>
        <n v="7.35"/>
        <n v="2.32"/>
        <n v="5.43"/>
        <n v="7.15"/>
        <n v="8.11"/>
        <n v="3.19"/>
        <n v="5.78"/>
        <n v="4.43"/>
        <n v="10.53"/>
        <n v="16.02"/>
        <n v="33.94"/>
        <n v="4.66"/>
        <n v="15.44"/>
        <n v="7.42"/>
        <n v="12.04"/>
        <n v="12.66"/>
        <n v="8.12"/>
        <n v="5.87"/>
        <n v="5.3"/>
        <n v="2.58"/>
        <n v="10.08"/>
        <n v="14.18"/>
        <n v="17.42"/>
        <n v="13.48"/>
        <n v="3.07"/>
        <n v="23.19"/>
        <n v="13.74"/>
        <n v="12.28"/>
        <n v="9.46"/>
        <n v="11.97"/>
        <n v="30.12"/>
        <n v="27.48"/>
        <n v="8.9"/>
        <n v="30.62"/>
        <n v="8.38"/>
        <n v="2.39"/>
        <n v="15.13"/>
        <n v="2.06"/>
        <n v="39.13"/>
        <n v="1.9"/>
        <n v="6.87"/>
        <n v="13.82"/>
        <n v="2.56"/>
        <n v="9.61"/>
        <n v="10.62"/>
        <n v="25.98"/>
        <n v="11.02"/>
        <n v="11.69"/>
        <n v="5.72"/>
        <n v="8.94"/>
        <n v="11.3"/>
        <n v="12.15"/>
        <n v="8.5"/>
        <n v="15.12"/>
        <n v="21.0"/>
        <n v="5.45"/>
        <n v="15.46"/>
        <n v="3.72"/>
        <n v="27.76"/>
        <n v="13.66"/>
        <n v="4.33"/>
        <n v="5.09"/>
        <n v="13.89"/>
        <n v="5.81"/>
        <n v="15.73"/>
        <n v="27.37"/>
        <n v="17.48"/>
        <n v="2.6"/>
        <n v="12.73"/>
        <n v="13.28"/>
        <n v="12.64"/>
        <n v="4.21"/>
        <n v="8.41"/>
        <n v="7.05"/>
        <n v="3.66"/>
        <n v="2.05"/>
        <n v="14.77"/>
        <n v="14.16"/>
        <n v="27.57"/>
        <n v="13.03"/>
        <n v="12.19"/>
        <n v="12.52"/>
        <n v="6.09"/>
        <n v="14.38"/>
        <n v="9.58"/>
        <n v="4.28"/>
        <n v="21.63"/>
        <n v="3.83"/>
        <n v="12.68"/>
        <n v="32.94"/>
        <n v="10.28"/>
        <n v="15.18"/>
        <n v="4.13"/>
        <n v="9.82"/>
        <n v="6.51"/>
        <n v="8.27"/>
        <n v="14.62"/>
        <n v="16.0"/>
        <n v="18.37"/>
        <n v="12.94"/>
        <n v="5.88"/>
        <n v="12.85"/>
        <n v="23.78"/>
        <n v="10.36"/>
        <n v="9.45"/>
        <n v="3.5"/>
        <n v="11.16"/>
        <n v="7.57"/>
        <n v="13.17"/>
        <n v="4.31"/>
        <n v="21.13"/>
        <n v="17.25"/>
        <n v="7.36"/>
        <n v="6.86"/>
        <n v="5.85"/>
        <n v="16.79"/>
        <n v="17.02"/>
        <n v="9.36"/>
        <n v="4.55"/>
        <n v="11.42"/>
        <n v="19.56"/>
        <n v="12.61"/>
        <n v="11.85"/>
        <n v="13.3"/>
        <n v="4.74"/>
        <n v="9.39"/>
        <n v="12.08"/>
        <n v="16.04"/>
        <n v="10.82"/>
        <n v="18.54"/>
        <n v="9.09"/>
        <n v="12.65"/>
        <n v="15.94"/>
        <n v="10.11"/>
        <n v="4.17"/>
        <n v="6.79"/>
        <n v="16.78"/>
        <n v="6.15"/>
        <n v="53.09"/>
        <n v="13.57"/>
        <n v="5.34"/>
        <n v="16.46"/>
        <n v="8.62"/>
        <n v="10.67"/>
        <n v="3.11"/>
        <n v="11.06"/>
        <n v="6.29"/>
        <n v="8.59"/>
        <n v="14.44"/>
        <n v="10.42"/>
        <n v="8.31"/>
        <n v="2.74"/>
        <n v="8.58"/>
        <n v="1.33"/>
        <n v="16.99"/>
        <n v="11.76"/>
        <n v="6.05"/>
        <n v="9.87"/>
        <n v="13.64"/>
        <n v="10.5"/>
        <n v="3.03"/>
        <n v="8.6"/>
        <n v="11.54"/>
        <n v="18.57"/>
        <n v="16.36"/>
        <n v="33.36"/>
        <n v="10.31"/>
        <n v="10.93"/>
        <n v="17.18"/>
        <n v="6.63"/>
        <n v="5.42"/>
        <n v="3.64"/>
        <n v="14.87"/>
        <n v="23.35"/>
        <n v="20.52"/>
        <n v="5.03"/>
        <n v="9.55"/>
        <n v="5.56"/>
        <n v="6.03"/>
        <n v="6.98"/>
        <n v="4.4"/>
        <n v="7.81"/>
        <n v="0.95"/>
        <n v="14.32"/>
        <n v="2.43"/>
        <n v="9.93"/>
        <n v="5.93"/>
        <n v="20.84"/>
        <n v="10.77"/>
        <n v="11.29"/>
        <n v="15.19"/>
        <n v="14.96"/>
        <n v="3.44"/>
        <n v="13.92"/>
        <n v="11.41"/>
        <n v="9.48"/>
        <n v="15.96"/>
        <n v="10.79"/>
        <n v="18.74"/>
        <n v="4.22"/>
        <n v="3.24"/>
        <n v="4.57"/>
        <n v="7.27"/>
        <n v="8.14"/>
        <n v="5.11"/>
        <n v="4.89"/>
        <n v="23.06"/>
        <n v="6.64"/>
        <n v="7.72"/>
        <n v="19.28"/>
        <n v="3.2"/>
        <n v="4.07"/>
        <n v="5.91"/>
        <n v="16.76"/>
        <n v="14.36"/>
        <n v="10.6"/>
        <n v="1.49"/>
        <n v="25.94"/>
        <n v="15.35"/>
        <n v="6.02"/>
        <n v="18.18"/>
        <n v="20.93"/>
        <n v="7.76"/>
        <n v="12.6"/>
        <n v="2.73"/>
        <n v="11.44"/>
        <n v="18.07"/>
        <n v="6.58"/>
        <n v="14.03"/>
        <n v="14.34"/>
        <n v="12.72"/>
        <n v="22.39"/>
        <n v="9.49"/>
        <n v="2.89"/>
        <n v="9.13"/>
        <n v="7.71"/>
        <n v="19.2"/>
        <n v="14.79"/>
        <n v="9.81"/>
        <n v="5.89"/>
        <n v="20.46"/>
        <n v="9.32"/>
        <n v="12.71"/>
        <n v="13.02"/>
        <n v="3.99"/>
        <n v="9.34"/>
        <n v="7.01"/>
        <n v="9.47"/>
        <n v="10.99"/>
        <n v="15.59"/>
        <n v="9.88"/>
        <n v="12.38"/>
        <n v="16.33"/>
        <n v="19.61"/>
        <n v="20.01"/>
        <n v="25.29"/>
        <n v="14.64"/>
        <n v="13.25"/>
        <n v="9.66"/>
        <n v="16.56"/>
        <n v="4.9"/>
        <n v="20.04"/>
        <n v="3.3"/>
        <n v="20.66"/>
        <n v="9.72"/>
        <n v="14.84"/>
        <n v="18.67"/>
        <n v="12.0"/>
        <n v="13.52"/>
        <n v="11.09"/>
        <n v="6.94"/>
        <n v="2.93"/>
        <n v="2.35"/>
        <n v="8.51"/>
        <n v="15.16"/>
        <n v="22.31"/>
        <n v="14.75"/>
        <n v="4.04"/>
        <n v="4.59"/>
        <n v="9.9"/>
        <n v="13.44"/>
        <n v="5.08"/>
        <n v="7.29"/>
        <n v="14.45"/>
        <n v="2.97"/>
        <n v="6.11"/>
        <n v="33.2"/>
        <n v="10.44"/>
        <n v="9.99"/>
        <n v="10.54"/>
        <n v="5.64"/>
        <n v="22.37"/>
        <n v="11.88"/>
        <n v="6.69"/>
        <n v="2.72"/>
        <n v="15.22"/>
        <n v="14.43"/>
        <n v="3.42"/>
        <n v="27.28"/>
        <n v="2.23"/>
        <n v="5.31"/>
        <n v="3.95"/>
        <n v="26.83"/>
        <n v="7.64"/>
        <n v="3.08"/>
        <n v="2.04"/>
        <n v="8.48"/>
        <n v="7.51"/>
        <n v="15.99"/>
        <n v="2.96"/>
        <n v="16.82"/>
        <n v="4.08"/>
        <n v="9.59"/>
        <n v="6.2"/>
        <n v="14.53"/>
        <n v="27.09"/>
        <n v="5.0"/>
        <n v="12.2"/>
        <n v="7.65"/>
        <n v="22.36"/>
        <n v="10.76"/>
        <n v="10.68"/>
        <n v="16.43"/>
        <n v="6.19"/>
        <n v="20.76"/>
        <n v="11.57"/>
        <n v="6.37"/>
        <n v="3.81"/>
        <n v="9.52"/>
        <n v="9.53"/>
        <n v="36.8"/>
        <n v="9.91"/>
        <n v="1.78"/>
        <n v="15.67"/>
        <n v="1.77"/>
        <n v="8.52"/>
        <n v="20.95"/>
        <n v="5.55"/>
        <n v="18.05"/>
        <n v="10.0"/>
        <n v="4.65"/>
        <n v="16.42"/>
        <n v="7.17"/>
        <n v="2.12"/>
        <n v="2.33"/>
        <n v="13.43"/>
        <n v="2.13"/>
        <n v="20.43"/>
        <n v="11.23"/>
        <n v="12.07"/>
        <n v="5.37"/>
        <n v="1.17"/>
        <n v="20.18"/>
        <n v="25.69"/>
        <n v="3.93"/>
        <n v="4.27"/>
        <n v="9.24"/>
        <n v="3.6"/>
        <n v="3.12"/>
        <n v="2.25"/>
        <n v="14.46"/>
        <n v="9.06"/>
        <n v="11.61"/>
        <n v="12.91"/>
        <n v="1.99"/>
        <n v="2.42"/>
        <n v="2.26"/>
        <n v="2.47"/>
        <n v="15.26"/>
        <n v="18.87"/>
        <n v="3.35"/>
        <n v="15.29"/>
        <n v="15.8"/>
        <n v="26.22"/>
        <n v="5.7"/>
        <n v="16.77"/>
        <n v="21.37"/>
        <n v="8.29"/>
        <n v="1.97"/>
        <n v="6.49"/>
        <n v="5.73"/>
        <n v="1.86"/>
        <n v="8.24"/>
        <n v="18.29"/>
        <n v="11.65"/>
        <n v="21.33"/>
        <n v="18.46"/>
        <n v="3.41"/>
        <n v="3.06"/>
        <n v="12.84"/>
        <n v="26.59"/>
        <n v="17.88"/>
        <n v="0.69"/>
        <n v="10.26"/>
        <n v="8.43"/>
        <n v="12.69"/>
        <n v="12.97"/>
        <n v="2.46"/>
        <n v="12.12"/>
        <n v="9.7"/>
        <n v="32.18"/>
        <n v="10.07"/>
        <n v="2.01"/>
        <n v="11.95"/>
        <n v="20.29"/>
        <n v="3.85"/>
        <n v="2.75"/>
        <n v="11.1"/>
        <n v="11.46"/>
        <n v="15.82"/>
        <n v="15.81"/>
        <n v="1.4"/>
        <n v="8.85"/>
        <n v="13.21"/>
        <n v="3.48"/>
        <n v="9.16"/>
        <n v="1.16"/>
        <n v="13.34"/>
        <n v="5.49"/>
        <n v="11.36"/>
        <n v="34.32"/>
        <n v="9.31"/>
        <n v="9.89"/>
        <n v="3.61"/>
        <n v="15.65"/>
        <n v="18.32"/>
        <n v="17.38"/>
        <n v="4.37"/>
        <n v="9.43"/>
        <n v="13.9"/>
        <n v="5.47"/>
        <n v="13.77"/>
        <n v="17.86"/>
        <n v="20.94"/>
        <n v="18.5"/>
        <n v="10.39"/>
        <n v="12.92"/>
        <n v="4.1"/>
        <n v="14.3"/>
        <n v="16.84"/>
        <n v="2.49"/>
        <n v="4.09"/>
        <n v="12.88"/>
        <n v="2.45"/>
        <n v="10.4"/>
        <n v="7.26"/>
        <n v="8.61"/>
        <n v="22.85"/>
        <n v="4.11"/>
        <n v="1.25"/>
        <n v="11.32"/>
        <n v="15.3"/>
        <n v="18.22"/>
        <n v="15.62"/>
        <n v="21.2"/>
        <n v="11.43"/>
        <n v="10.02"/>
        <n v="14.29"/>
        <n v="7.14"/>
        <n v="8.95"/>
        <n v="0.94"/>
        <n v="11.71"/>
        <n v="22.02"/>
        <n v="12.11"/>
        <n v="7.33"/>
        <n v="6.53"/>
        <n v="26.24"/>
        <n v="7.18"/>
        <n v="25.37"/>
        <n v="15.1"/>
        <n v="24.83"/>
        <n v="8.4"/>
        <n v="13.07"/>
        <n v="50.4"/>
        <n v="7.7"/>
        <n v="12.77"/>
        <n v="3.57"/>
        <n v="11.66"/>
        <n v="22.86"/>
        <n v="7.87"/>
        <n v="13.24"/>
        <n v="17.44"/>
        <n v="4.42"/>
        <n v="4.63"/>
        <n v="4.97"/>
        <n v="12.51"/>
        <n v="15.75"/>
        <n v="10.15"/>
        <n v="25.38"/>
        <n v="11.52"/>
        <n v="16.96"/>
        <n v="6.89"/>
        <n v="1.88"/>
        <n v="13.04"/>
        <n v="17.26"/>
        <n v="3.76"/>
        <n v="11.91"/>
        <n v="27.24"/>
        <n v="1.82"/>
        <n v="18.83"/>
        <n v="9.63"/>
        <n v="23.73"/>
        <n v="56.76"/>
        <n v="2.59"/>
        <n v="16.61"/>
        <n v="11.8"/>
        <n v="17.93"/>
        <n v="1.95"/>
        <n v="22.84"/>
        <n v="33.3"/>
        <n v="11.03"/>
        <n v="17.36"/>
        <n v="14.13"/>
        <n v="4.94"/>
        <n v="11.18"/>
        <n v="7.84"/>
        <n v="12.99"/>
        <n v="20.75"/>
        <n v="9.05"/>
        <n v="15.17"/>
        <n v="12.76"/>
        <n v="3.84"/>
        <n v="8.7"/>
        <n v="5.63"/>
        <n v="2.79"/>
        <n v="9.0"/>
        <n v="3.29"/>
        <n v="20.59"/>
        <n v="12.47"/>
        <n v="15.42"/>
        <n v="10.25"/>
        <n v="3.25"/>
        <n v="34.59"/>
        <n v="51.49"/>
        <n v="8.33"/>
        <n v="10.8"/>
        <n v="26.74"/>
        <n v="1.57"/>
        <n v="15.25"/>
        <n v="9.35"/>
        <n v="6.56"/>
        <n v="3.92"/>
        <n v="26.94"/>
        <n v="27.94"/>
        <n v="11.25"/>
        <n v="10.95"/>
        <n v="12.54"/>
        <n v="20.7"/>
        <n v="22.87"/>
        <n v="15.38"/>
        <n v="12.62"/>
        <n v="23.66"/>
        <n v="14.11"/>
        <n v="19.52"/>
        <n v="22.0"/>
        <n v="16.53"/>
        <n v="19.62"/>
        <n v="12.44"/>
        <n v="9.57"/>
        <n v="16.09"/>
        <n v="14.21"/>
        <n v="16.38"/>
        <n v="16.83"/>
        <n v="17.95"/>
        <n v="37.53"/>
        <n v="1.43"/>
        <n v="10.22"/>
        <n v="15.53"/>
        <n v="29.26"/>
        <n v="9.4"/>
        <n v="10.41"/>
        <n v="1.1"/>
        <n v="26.95"/>
        <n v="14.7"/>
        <n v="7.86"/>
        <n v="2.29"/>
        <n v="7.92"/>
        <n v="2.99"/>
        <n v="19.17"/>
        <n v="14.76"/>
        <n v="8.08"/>
        <n v="8.86"/>
        <n v="2.87"/>
        <n v="29.0"/>
        <n v="16.2"/>
        <n v="13.6"/>
        <n v="15.33"/>
        <n v="16.26"/>
      </sharedItems>
    </cacheField>
    <cacheField name="Densite_hab_km2" numFmtId="0">
      <sharedItems containsSemiMixedTypes="0" containsString="0" containsNumber="1">
        <n v="86.6"/>
        <n v="84.0"/>
        <n v="86.9"/>
        <n v="17.6"/>
        <n v="39.3"/>
        <n v="29.7"/>
        <n v="24.2"/>
        <n v="20.8"/>
        <n v="86.3"/>
        <n v="31.6"/>
        <n v="69.9"/>
        <n v="13.9"/>
        <n v="53.9"/>
        <n v="20.2"/>
        <n v="74.1"/>
        <n v="29.8"/>
        <n v="118.3"/>
        <n v="58.6"/>
        <n v="25.6"/>
        <n v="11.9"/>
        <n v="15.0"/>
        <n v="14.1"/>
        <n v="8.1"/>
        <n v="57.1"/>
        <n v="26.0"/>
        <n v="166.5"/>
        <n v="28.5"/>
        <n v="112.8"/>
        <n v="27.8"/>
        <n v="61.8"/>
        <n v="23.0"/>
        <n v="18.2"/>
        <n v="25.4"/>
        <n v="27.3"/>
        <n v="138.5"/>
        <n v="10.3"/>
        <n v="19.0"/>
        <n v="25.5"/>
        <n v="214.0"/>
        <n v="133.2"/>
        <n v="28.6"/>
        <n v="7.8"/>
        <n v="48.3"/>
        <n v="16.1"/>
        <n v="16.3"/>
        <n v="50.4"/>
        <n v="41.1"/>
        <n v="50.0"/>
        <n v="18.5"/>
        <n v="14.4"/>
        <n v="37.8"/>
        <n v="8.9"/>
        <n v="30.9"/>
        <n v="58.9"/>
        <n v="82.0"/>
        <n v="342.5"/>
        <n v="35.1"/>
        <n v="56.8"/>
        <n v="19.4"/>
        <n v="58.7"/>
        <n v="814.9"/>
        <n v="57.3"/>
        <n v="28.1"/>
        <n v="45.9"/>
        <n v="15.6"/>
        <n v="25.7"/>
        <n v="79.5"/>
        <n v="35.7"/>
        <n v="88.6"/>
        <n v="64.9"/>
        <n v="35.2"/>
        <n v="61.5"/>
        <n v="8.3"/>
        <n v="32.1"/>
        <n v="97.9"/>
        <n v="47.1"/>
        <n v="22.1"/>
        <n v="89.8"/>
        <n v="125.8"/>
        <n v="6.9"/>
        <n v="29.9"/>
        <n v="149.9"/>
        <n v="19.1"/>
        <n v="18.6"/>
        <n v="107.5"/>
        <n v="48.2"/>
        <n v="176.4"/>
        <n v="17.9"/>
        <n v="20.3"/>
        <n v="174.4"/>
        <n v="33.4"/>
        <n v="17.1"/>
        <n v="17.4"/>
        <n v="13.8"/>
        <n v="123.0"/>
        <n v="21.9"/>
        <n v="24.0"/>
        <n v="157.7"/>
        <n v="37.0"/>
        <n v="72.2"/>
        <n v="194.0"/>
        <n v="104.6"/>
        <n v="41.5"/>
        <n v="243.6"/>
        <n v="23.8"/>
        <n v="14.2"/>
        <n v="95.6"/>
        <n v="30.3"/>
        <n v="44.1"/>
        <n v="46.3"/>
        <n v="19.2"/>
        <n v="33.7"/>
        <n v="53.3"/>
        <n v="52.1"/>
        <n v="121.8"/>
        <n v="3.6"/>
        <n v="15.8"/>
        <n v="151.0"/>
        <n v="21.5"/>
        <n v="192.0"/>
        <n v="63.6"/>
        <n v="8.8"/>
        <n v="16.4"/>
        <n v="36.1"/>
        <n v="68.3"/>
        <n v="46.4"/>
        <n v="142.2"/>
        <n v="42.6"/>
        <n v="453.7"/>
        <n v="23.9"/>
        <n v="95.0"/>
        <n v="22.5"/>
        <n v="40.9"/>
        <n v="8.6"/>
        <n v="18.9"/>
        <n v="40.3"/>
        <n v="29.4"/>
        <n v="90.5"/>
        <n v="30.2"/>
        <n v="92.6"/>
        <n v="82.2"/>
        <n v="33.9"/>
        <n v="26.6"/>
        <n v="37.2"/>
        <n v="125.7"/>
        <n v="33.1"/>
        <n v="427.2"/>
        <n v="40.7"/>
        <n v="81.7"/>
        <n v="889.1"/>
        <n v="47.5"/>
        <n v="871.2"/>
        <n v="29.2"/>
        <n v="39.8"/>
        <n v="11.6"/>
        <n v="27.4"/>
        <n v="19.5"/>
        <n v="22.9"/>
        <n v="23.6"/>
        <n v="57.4"/>
        <n v="419.3"/>
        <n v="13.2"/>
        <n v="26.1"/>
        <n v="94.3"/>
        <n v="137.1"/>
        <n v="17.8"/>
        <n v="7.6"/>
        <n v="98.4"/>
        <n v="35.4"/>
        <n v="70.4"/>
        <n v="71.0"/>
        <n v="10.4"/>
        <n v="75.9"/>
        <n v="30.7"/>
        <n v="21.0"/>
        <n v="66.7"/>
        <n v="19.3"/>
        <n v="147.0"/>
        <n v="93.9"/>
        <n v="60.5"/>
        <n v="120.1"/>
        <n v="55.6"/>
        <n v="55.7"/>
        <n v="45.4"/>
        <n v="87.0"/>
        <n v="106.7"/>
        <n v="31.7"/>
        <n v="15.4"/>
        <n v="20.6"/>
        <n v="12.3"/>
        <n v="21.6"/>
        <n v="39.2"/>
        <n v="268.2"/>
        <n v="12.4"/>
        <n v="18.4"/>
        <n v="23.2"/>
        <n v="68.1"/>
        <n v="14.9"/>
        <n v="15.5"/>
        <n v="9.7"/>
        <n v="20.0"/>
        <n v="28.4"/>
        <n v="81.4"/>
        <n v="65.3"/>
        <n v="164.0"/>
        <n v="8.2"/>
        <n v="136.2"/>
        <n v="294.0"/>
        <n v="18.3"/>
        <n v="345.2"/>
        <n v="64.7"/>
        <n v="5.8"/>
        <n v="14.5"/>
        <n v="39.7"/>
        <n v="26.2"/>
        <n v="36.7"/>
        <n v="73.6"/>
        <n v="46.7"/>
        <n v="134.1"/>
        <n v="34.2"/>
        <n v="55.0"/>
        <n v="16.6"/>
        <n v="35.8"/>
        <n v="10.2"/>
        <n v="9.4"/>
        <n v="39.6"/>
        <n v="144.4"/>
        <n v="8.4"/>
        <n v="24.7"/>
        <n v="12.6"/>
        <n v="114.1"/>
        <n v="15.2"/>
        <n v="5.0"/>
        <n v="26.9"/>
        <n v="20.7"/>
        <n v="19.6"/>
        <n v="56.5"/>
        <n v="31.4"/>
        <n v="13.1"/>
        <n v="52.3"/>
        <n v="80.5"/>
        <n v="74.8"/>
        <n v="52.9"/>
        <n v="94.0"/>
        <n v="58.0"/>
        <n v="606.8"/>
        <n v="86.7"/>
        <n v="47.6"/>
        <n v="133.6"/>
        <n v="139.0"/>
        <n v="56.9"/>
        <n v="26.5"/>
        <n v="122.3"/>
        <n v="410.6"/>
        <n v="136.0"/>
        <n v="21.8"/>
        <n v="107.0"/>
        <n v="105.4"/>
        <n v="32.0"/>
        <n v="30.5"/>
        <n v="132.7"/>
        <n v="36.9"/>
        <n v="151.7"/>
        <n v="53.8"/>
        <n v="43.5"/>
        <n v="43.4"/>
        <n v="31.5"/>
        <n v="24.1"/>
        <n v="27.0"/>
        <n v="53.7"/>
        <n v="33.5"/>
        <n v="71.3"/>
        <n v="42.5"/>
        <n v="84.8"/>
        <n v="36.4"/>
        <n v="30.1"/>
        <n v="22.2"/>
        <n v="190.8"/>
        <n v="65.6"/>
        <n v="63.2"/>
        <n v="26.7"/>
        <n v="67.7"/>
        <n v="829.3"/>
        <n v="40.4"/>
        <n v="21.2"/>
        <n v="60.9"/>
        <n v="76.0"/>
        <n v="11.8"/>
        <n v="16.0"/>
        <n v="14.0"/>
        <n v="32.4"/>
        <n v="13.4"/>
        <n v="101.3"/>
        <n v="20.9"/>
        <n v="251.0"/>
        <n v="111.0"/>
        <n v="276.8"/>
        <n v="33.0"/>
        <n v="37.9"/>
        <n v="57.7"/>
        <n v="34.5"/>
        <n v="34.4"/>
        <n v="32.3"/>
        <n v="66.9"/>
        <n v="424.1"/>
        <n v="55.2"/>
        <n v="18.1"/>
        <n v="87.6"/>
        <n v="22.7"/>
        <n v="26.8"/>
        <n v="9.1"/>
        <n v="249.8"/>
        <n v="210.2"/>
        <n v="96.4"/>
        <n v="12.8"/>
        <n v="140.5"/>
        <n v="29.0"/>
        <n v="386.2"/>
        <n v="43.1"/>
        <n v="14.7"/>
        <n v="44.7"/>
        <n v="17.7"/>
        <n v="85.7"/>
        <n v="20.1"/>
        <n v="16.5"/>
        <n v="72.0"/>
        <n v="544.5"/>
        <n v="12.0"/>
        <n v="24.8"/>
        <n v="21.3"/>
        <n v="10.5"/>
        <n v="35.3"/>
        <n v="47.7"/>
        <n v="72.5"/>
        <n v="12.5"/>
        <n v="45.8"/>
        <n v="69.8"/>
        <n v="125.1"/>
        <n v="70.0"/>
        <n v="23.1"/>
        <n v="26.3"/>
        <n v="11.4"/>
        <n v="10.6"/>
        <n v="33.2"/>
        <n v="54.1"/>
        <n v="15.7"/>
        <n v="17.0"/>
        <n v="25.0"/>
        <n v="20.5"/>
        <n v="40.8"/>
        <n v="9.0"/>
        <n v="68.8"/>
        <n v="34.1"/>
        <n v="15.9"/>
        <n v="161.5"/>
        <n v="37.7"/>
        <n v="58.1"/>
        <n v="80.3"/>
        <n v="53.5"/>
        <n v="119.6"/>
        <n v="43.3"/>
        <n v="35.5"/>
        <n v="79.1"/>
        <n v="52.5"/>
        <n v="123.2"/>
        <n v="32.8"/>
        <n v="188.8"/>
        <n v="89.0"/>
        <n v="80.7"/>
        <n v="31.8"/>
        <n v="39.4"/>
        <n v="22.3"/>
        <n v="50.6"/>
        <n v="272.9"/>
        <n v="7.1"/>
        <n v="82.3"/>
        <n v="9.3"/>
        <n v="208.1"/>
        <n v="62.3"/>
        <n v="256.5"/>
        <n v="13.6"/>
        <n v="9.2"/>
        <n v="32.2"/>
        <n v="26.4"/>
        <n v="14.3"/>
        <n v="58.8"/>
        <n v="9.6"/>
        <n v="36.0"/>
        <n v="75.4"/>
        <n v="100.3"/>
        <n v="19.8"/>
        <n v="65.0"/>
        <n v="32.6"/>
        <n v="17.5"/>
        <n v="46.0"/>
        <n v="159.8"/>
        <n v="104.9"/>
        <n v="68.7"/>
        <n v="146.2"/>
        <n v="41.7"/>
        <n v="108.1"/>
        <n v="71.2"/>
        <n v="18.8"/>
        <n v="51.6"/>
        <n v="105.1"/>
        <n v="160.1"/>
        <n v="88.5"/>
        <n v="50.8"/>
        <n v="41.0"/>
        <n v="102.4"/>
        <n v="179.4"/>
        <n v="91.3"/>
        <n v="56.1"/>
        <n v="22.0"/>
        <n v="82.8"/>
        <n v="68.2"/>
        <n v="62.0"/>
        <n v="10.1"/>
        <n v="52.0"/>
        <n v="60.0"/>
        <n v="11.3"/>
        <n v="58.2"/>
        <n v="38.9"/>
        <n v="27.5"/>
        <n v="13.3"/>
        <n v="12.1"/>
        <n v="365.4"/>
        <n v="138.2"/>
        <n v="69.6"/>
        <n v="32.9"/>
        <n v="23.3"/>
        <n v="168.9"/>
        <n v="18.0"/>
        <n v="34.7"/>
        <n v="4.9"/>
        <n v="108.0"/>
        <n v="35.6"/>
        <n v="44.4"/>
        <n v="25.8"/>
        <n v="50.1"/>
        <n v="55.8"/>
        <n v="71.6"/>
        <n v="33.3"/>
        <n v="48.1"/>
        <n v="11.1"/>
        <n v="51.8"/>
        <n v="41.8"/>
        <n v="13.5"/>
        <n v="38.4"/>
        <n v="41.4"/>
        <n v="74.2"/>
        <n v="71.4"/>
        <n v="16.8"/>
        <n v="51.7"/>
        <n v="40.2"/>
        <n v="98.3"/>
        <n v="11.5"/>
        <n v="75.1"/>
        <n v="32.7"/>
        <n v="73.7"/>
        <n v="21.4"/>
        <n v="55.9"/>
        <n v="8.7"/>
        <n v="83.4"/>
        <n v="76.9"/>
        <n v="35.9"/>
        <n v="75.8"/>
        <n v="16.7"/>
        <n v="27.2"/>
        <n v="5.4"/>
        <n v="7.0"/>
        <n v="2316.4"/>
        <n v="93.2"/>
        <n v="15.1"/>
        <n v="257.3"/>
        <n v="82.4"/>
        <n v="91.8"/>
        <n v="42.0"/>
        <n v="119.8"/>
        <n v="56.6"/>
        <n v="67.6"/>
        <n v="51.2"/>
        <n v="51.4"/>
        <n v="47.3"/>
        <n v="152.4"/>
        <n v="38.6"/>
        <n v="46.6"/>
        <n v="2276.5"/>
        <n v="28.3"/>
        <n v="24.3"/>
        <n v="6.3"/>
        <n v="712.8"/>
        <n v="44.9"/>
        <n v="77.4"/>
        <n v="22.6"/>
        <n v="47.2"/>
        <n v="73.9"/>
        <n v="31.2"/>
        <n v="73.1"/>
        <n v="49.8"/>
        <n v="205.6"/>
        <n v="68.0"/>
        <n v="61.2"/>
        <n v="31.3"/>
        <n v="57.2"/>
        <n v="49.3"/>
        <n v="152.3"/>
        <n v="36.5"/>
        <n v="23.4"/>
        <n v="63.3"/>
        <n v="53.4"/>
        <n v="355.0"/>
        <n v="84.7"/>
        <n v="49.4"/>
        <n v="69.0"/>
        <n v="30.0"/>
        <n v="243.2"/>
        <n v="22.8"/>
        <n v="65.5"/>
        <n v="35.0"/>
        <n v="16.9"/>
        <n v="304.0"/>
        <n v="25.1"/>
        <n v="55.3"/>
        <n v="30.8"/>
        <n v="577.5"/>
        <n v="25.9"/>
        <n v="55.4"/>
        <n v="65.8"/>
        <n v="5.7"/>
        <n v="249.1"/>
        <n v="20.4"/>
        <n v="46.8"/>
        <n v="130.7"/>
        <n v="92.8"/>
        <n v="72.6"/>
        <n v="28.8"/>
        <n v="23.5"/>
        <n v="38.3"/>
        <n v="77.6"/>
        <n v="567.4"/>
        <n v="38.0"/>
        <n v="204.6"/>
        <n v="639.9"/>
        <n v="90.8"/>
        <n v="519.3"/>
        <n v="1528.1"/>
        <n v="2290.3"/>
        <n v="1209.3"/>
        <n v="139.2"/>
        <n v="709.1"/>
        <n v="3611.8"/>
        <n v="280.8"/>
        <n v="204.2"/>
        <n v="4305.9"/>
        <n v="118.9"/>
        <n v="946.0"/>
        <n v="333.1"/>
        <n v="171.0"/>
        <n v="653.4"/>
        <n v="173.2"/>
        <n v="221.5"/>
        <n v="394.7"/>
        <n v="993.4"/>
        <n v="205.8"/>
        <n v="100.8"/>
        <n v="1164.5"/>
        <n v="995.6"/>
        <n v="184.9"/>
        <n v="175.2"/>
        <n v="1736.8"/>
        <n v="394.0"/>
        <n v="138.7"/>
        <n v="120.0"/>
        <n v="237.0"/>
        <n v="295.2"/>
        <n v="338.7"/>
        <n v="638.8"/>
        <n v="71.5"/>
        <n v="155.3"/>
        <n v="45.7"/>
        <n v="1883.9"/>
        <n v="1356.3"/>
        <n v="314.5"/>
        <n v="123.8"/>
        <n v="167.7"/>
        <n v="72.8"/>
        <n v="138.4"/>
        <n v="231.7"/>
        <n v="546.0"/>
        <n v="382.6"/>
        <n v="155.5"/>
        <n v="2630.6"/>
        <n v="240.0"/>
        <n v="117.5"/>
        <n v="83.2"/>
        <n v="122.2"/>
        <n v="250.3"/>
        <n v="133.8"/>
        <n v="76.2"/>
        <n v="67.2"/>
        <n v="2280.5"/>
        <n v="227.2"/>
        <n v="110.2"/>
        <n v="155.0"/>
        <n v="66.8"/>
        <n v="110.1"/>
        <n v="87.2"/>
        <n v="163.7"/>
        <n v="239.5"/>
        <n v="82.1"/>
        <n v="749.8"/>
        <n v="331.2"/>
        <n v="180.7"/>
        <n v="256.0"/>
        <n v="775.4"/>
        <n v="179.6"/>
        <n v="107.6"/>
        <n v="90.6"/>
        <n v="159.1"/>
        <n v="497.3"/>
        <n v="181.8"/>
        <n v="282.7"/>
        <n v="485.4"/>
        <n v="99.0"/>
        <n v="271.5"/>
        <n v="122.0"/>
        <n v="112.7"/>
        <n v="1745.7"/>
        <n v="307.3"/>
        <n v="214.7"/>
        <n v="346.8"/>
        <n v="135.4"/>
        <n v="173.5"/>
        <n v="147.6"/>
        <n v="94.2"/>
        <n v="191.1"/>
        <n v="107.3"/>
        <n v="1711.6"/>
        <n v="233.5"/>
        <n v="390.4"/>
        <n v="63.5"/>
        <n v="187.6"/>
        <n v="1458.8"/>
        <n v="277.6"/>
        <n v="66.4"/>
        <n v="1430.5"/>
        <n v="120.5"/>
        <n v="472.2"/>
        <n v="167.9"/>
        <n v="248.5"/>
        <n v="127.6"/>
        <n v="1068.2"/>
        <n v="186.8"/>
        <n v="103.2"/>
        <n v="818.9"/>
        <n v="207.9"/>
        <n v="221.4"/>
        <n v="734.6"/>
        <n v="109.3"/>
        <n v="198.2"/>
        <n v="81.9"/>
        <n v="792.7"/>
        <n v="504.0"/>
        <n v="2279.3"/>
        <n v="1719.9"/>
        <n v="102.6"/>
        <n v="210.3"/>
        <n v="102.1"/>
        <n v="455.9"/>
        <n v="37.6"/>
        <n v="83.9"/>
        <n v="4632.0"/>
        <n v="59.9"/>
        <n v="923.9"/>
        <n v="220.0"/>
        <n v="61.0"/>
        <n v="355.3"/>
        <n v="574.6"/>
        <n v="1795.4"/>
        <n v="178.3"/>
        <n v="38.8"/>
        <n v="44.3"/>
        <n v="2387.3"/>
        <n v="1100.0"/>
        <n v="120.8"/>
        <n v="61.3"/>
        <n v="2055.8"/>
        <n v="71.7"/>
        <n v="466.1"/>
        <n v="42.9"/>
        <n v="116.3"/>
        <n v="161.8"/>
        <n v="156.4"/>
        <n v="611.3"/>
        <n v="461.2"/>
        <n v="242.3"/>
        <n v="126.9"/>
        <n v="354.3"/>
        <n v="588.2"/>
        <n v="270.6"/>
        <n v="882.7"/>
        <n v="476.1"/>
        <n v="732.1"/>
        <n v="163.2"/>
        <n v="45.3"/>
        <n v="174.3"/>
        <n v="165.7"/>
        <n v="486.9"/>
        <n v="195.5"/>
        <n v="176.1"/>
        <n v="131.0"/>
        <n v="115.9"/>
        <n v="49.0"/>
        <n v="257.1"/>
        <n v="4038.8"/>
        <n v="520.8"/>
        <n v="238.3"/>
        <n v="317.5"/>
        <n v="357.1"/>
        <n v="934.9"/>
        <n v="259.4"/>
        <n v="512.6"/>
        <n v="190.0"/>
        <n v="213.4"/>
        <n v="60.4"/>
        <n v="760.7"/>
        <n v="43.7"/>
        <n v="299.8"/>
        <n v="29.1"/>
        <n v="89.5"/>
        <n v="159.5"/>
        <n v="166.1"/>
        <n v="62.1"/>
        <n v="1567.9"/>
        <n v="498.4"/>
        <n v="261.9"/>
        <n v="232.5"/>
        <n v="628.5"/>
        <n v="143.4"/>
        <n v="120.7"/>
        <n v="241.8"/>
        <n v="134.2"/>
        <n v="375.2"/>
        <n v="112.2"/>
        <n v="115.6"/>
        <n v="144.1"/>
        <n v="169.5"/>
        <n v="224.3"/>
        <n v="90.7"/>
        <n v="506.5"/>
        <n v="56.4"/>
        <n v="373.7"/>
        <n v="116.5"/>
        <n v="964.2"/>
        <n v="2656.0"/>
        <n v="553.0"/>
        <n v="49.5"/>
        <n v="384.4"/>
        <n v="1141.6"/>
        <n v="102.9"/>
        <n v="1079.0"/>
        <n v="1648.0"/>
        <n v="222.6"/>
        <n v="589.6"/>
        <n v="62.8"/>
        <n v="300.7"/>
        <n v="2801.9"/>
        <n v="54.2"/>
        <n v="442.9"/>
        <n v="90.0"/>
        <n v="1145.9"/>
        <n v="682.6"/>
        <n v="148.4"/>
        <n v="799.4"/>
        <n v="259.6"/>
        <n v="260.5"/>
        <n v="1921.6"/>
        <n v="115.1"/>
        <n v="417.0"/>
        <n v="932.7"/>
        <n v="318.4"/>
        <n v="197.7"/>
        <n v="95.3"/>
        <n v="47.4"/>
        <n v="220.3"/>
        <n v="167.5"/>
        <n v="79.0"/>
        <n v="82.7"/>
        <n v="391.5"/>
        <n v="74.3"/>
        <n v="513.3"/>
        <n v="702.8"/>
        <n v="588.3"/>
        <n v="214.8"/>
        <n v="160.4"/>
        <n v="266.9"/>
        <n v="189.0"/>
        <n v="993.2"/>
        <n v="216.2"/>
        <n v="97.1"/>
        <n v="1049.6"/>
        <n v="4462.9"/>
        <n v="554.9"/>
        <n v="210.5"/>
        <n v="157.4"/>
        <n v="10066.7"/>
        <n v="443.0"/>
        <n v="273.6"/>
        <n v="81.1"/>
        <n v="1759.9"/>
        <n v="567.2"/>
        <n v="1133.4"/>
        <n v="603.3"/>
        <n v="1385.1"/>
        <n v="285.5"/>
        <n v="208.0"/>
        <n v="6856.0"/>
        <n v="77.2"/>
        <n v="697.5"/>
        <n v="3.1"/>
        <n v="272.8"/>
        <n v="695.2"/>
        <n v="116.9"/>
        <n v="63.0"/>
        <n v="140.7"/>
        <n v="3270.6"/>
        <n v="1403.8"/>
        <n v="107.2"/>
        <n v="365.9"/>
        <n v="1056.0"/>
        <n v="86.2"/>
        <n v="4296.6"/>
        <n v="8100.4"/>
        <n v="338.8"/>
        <n v="106.4"/>
        <n v="178.9"/>
        <n v="48.5"/>
        <n v="69.7"/>
        <n v="210.1"/>
        <n v="2876.4"/>
        <n v="119.3"/>
        <n v="168.7"/>
        <n v="124.7"/>
        <n v="1493.8"/>
        <n v="65.9"/>
        <n v="550.4"/>
        <n v="2602.5"/>
        <n v="259.8"/>
        <n v="288.0"/>
        <n v="244.5"/>
        <n v="562.4"/>
        <n v="1525.3"/>
        <n v="184.3"/>
        <n v="192.9"/>
        <n v="31.0"/>
        <n v="146.3"/>
        <n v="408.2"/>
        <n v="109.1"/>
        <n v="363.3"/>
        <n v="203.2"/>
        <n v="66.2"/>
        <n v="70.3"/>
        <n v="136.9"/>
        <n v="335.3"/>
        <n v="367.8"/>
        <n v="7328.1"/>
        <n v="168.8"/>
        <n v="49.9"/>
        <n v="94.5"/>
        <n v="826.3"/>
        <n v="64.6"/>
        <n v="736.9"/>
        <n v="161.9"/>
        <n v="8.5"/>
        <n v="3213.7"/>
        <n v="119.0"/>
        <n v="220.7"/>
        <n v="1020.6"/>
        <n v="1618.4"/>
        <n v="149.7"/>
        <n v="1692.8"/>
        <n v="609.5"/>
        <n v="88.0"/>
        <n v="453.5"/>
        <n v="117.0"/>
        <n v="88.2"/>
        <n v="47.9"/>
        <n v="352.1"/>
        <n v="163.9"/>
        <n v="130.1"/>
        <n v="62.5"/>
        <n v="194.4"/>
        <n v="98.9"/>
        <n v="274.1"/>
        <n v="654.7"/>
        <n v="114.9"/>
        <n v="768.9"/>
        <n v="804.4"/>
        <n v="73.2"/>
        <n v="135.7"/>
        <n v="634.6"/>
        <n v="2781.2"/>
        <n v="899.1"/>
        <n v="1118.1"/>
        <n v="605.9"/>
        <n v="43.2"/>
        <n v="246.1"/>
        <n v="118.4"/>
        <n v="1346.4"/>
        <n v="209.6"/>
        <n v="109.2"/>
        <n v="122.4"/>
        <n v="402.2"/>
        <n v="330.2"/>
        <n v="209.0"/>
        <n v="508.9"/>
        <n v="1306.2"/>
        <n v="59.0"/>
        <n v="257.4"/>
        <n v="203.1"/>
        <n v="343.0"/>
        <n v="1268.4"/>
        <n v="264.4"/>
        <n v="550.9"/>
        <n v="206.4"/>
        <n v="299.2"/>
        <n v="361.3"/>
        <n v="31.9"/>
        <n v="366.0"/>
        <n v="113.5"/>
        <n v="144.2"/>
        <n v="380.8"/>
        <n v="111.5"/>
        <n v="121.7"/>
        <n v="147.9"/>
        <n v="171.6"/>
        <n v="924.2"/>
        <n v="154.7"/>
        <n v="78.6"/>
        <n v="3644.0"/>
        <n v="1332.9"/>
        <n v="833.0"/>
        <n v="249.3"/>
        <n v="7491.3"/>
        <n v="142.9"/>
        <n v="688.6"/>
        <n v="200.9"/>
        <n v="60.1"/>
        <n v="41.6"/>
        <n v="66.3"/>
        <n v="224.8"/>
        <n v="214.2"/>
        <n v="434.1"/>
        <n v="269.7"/>
        <n v="722.8"/>
        <n v="172.0"/>
        <n v="470.7"/>
        <n v="4187.7"/>
        <n v="193.8"/>
        <n v="78.5"/>
        <n v="239.0"/>
        <n v="200.8"/>
        <n v="91.5"/>
        <n v="111.9"/>
        <n v="131.8"/>
        <n v="177.1"/>
        <n v="909.2"/>
        <n v="94.1"/>
        <n v="140.9"/>
        <n v="198.9"/>
        <n v="600.4"/>
        <n v="193.0"/>
        <n v="749.6"/>
        <n v="240.3"/>
        <n v="179.1"/>
        <n v="388.0"/>
        <n v="165.9"/>
        <n v="761.3"/>
        <n v="801.8"/>
        <n v="1177.6"/>
        <n v="98.0"/>
        <n v="1396.7"/>
        <n v="108.4"/>
        <n v="178.6"/>
        <n v="958.1"/>
        <n v="110.6"/>
        <n v="181.6"/>
        <n v="136.4"/>
        <n v="143.8"/>
        <n v="125.5"/>
        <n v="200.4"/>
        <n v="59.5"/>
        <n v="797.6"/>
        <n v="454.4"/>
        <n v="58.3"/>
        <n v="269.3"/>
        <n v="347.7"/>
        <n v="121.9"/>
        <n v="590.7"/>
        <n v="299.7"/>
        <n v="97.5"/>
        <n v="211.9"/>
        <n v="1655.6"/>
        <n v="6528.2"/>
        <n v="66.5"/>
        <n v="729.5"/>
        <n v="876.1"/>
        <n v="95.2"/>
        <n v="3145.3"/>
        <n v="171.5"/>
        <n v="646.1"/>
        <n v="114.8"/>
        <n v="266.1"/>
        <n v="92.4"/>
        <n v="128.4"/>
        <n v="101.2"/>
        <n v="963.4"/>
        <n v="107.9"/>
        <n v="80.2"/>
        <n v="189.5"/>
        <n v="146.9"/>
        <n v="128.7"/>
        <n v="298.6"/>
        <n v="98.5"/>
        <n v="118.7"/>
        <n v="57.8"/>
        <n v="379.6"/>
        <n v="459.2"/>
        <n v="137.6"/>
        <n v="148.3"/>
        <n v="712.3"/>
        <n v="207.5"/>
        <n v="359.7"/>
        <n v="198.1"/>
        <n v="148.0"/>
        <n v="153.0"/>
        <n v="115.7"/>
        <n v="3016.9"/>
        <n v="330.0"/>
        <n v="2464.3"/>
        <n v="2990.3"/>
        <n v="674.7"/>
        <n v="115.2"/>
        <n v="570.9"/>
        <n v="1678.1"/>
        <n v="1066.0"/>
        <n v="84.4"/>
        <n v="206.8"/>
        <n v="201.9"/>
        <n v="506.2"/>
        <n v="31.1"/>
        <n v="204.0"/>
        <n v="114.4"/>
        <n v="116.4"/>
        <n v="89.4"/>
        <n v="51.1"/>
        <n v="626.9"/>
        <n v="47.0"/>
        <n v="117.8"/>
        <n v="94.9"/>
        <n v="226.1"/>
        <n v="230.3"/>
        <n v="115.0"/>
        <n v="86.0"/>
        <n v="815.7"/>
        <n v="271.2"/>
        <n v="314.0"/>
        <n v="32.5"/>
        <n v="160.9"/>
        <n v="74.6"/>
        <n v="111.4"/>
        <n v="46.5"/>
        <n v="267.3"/>
        <n v="113.2"/>
        <n v="83.0"/>
        <n v="91.6"/>
        <n v="85.0"/>
        <n v="140.0"/>
        <n v="239.1"/>
        <n v="69.2"/>
        <n v="89.3"/>
        <n v="12.2"/>
        <n v="1686.4"/>
        <n v="36.3"/>
        <n v="93.4"/>
        <n v="53.6"/>
        <n v="222.2"/>
        <n v="101.4"/>
        <n v="477.9"/>
        <n v="70.8"/>
        <n v="139.8"/>
        <n v="27.7"/>
        <n v="49.6"/>
        <n v="24.4"/>
        <n v="44.2"/>
        <n v="104.2"/>
        <n v="42.8"/>
        <n v="23.7"/>
        <n v="184.7"/>
        <n v="88.1"/>
        <n v="488.4"/>
        <n v="190.7"/>
        <n v="244.8"/>
        <n v="275.0"/>
        <n v="432.5"/>
        <n v="51.5"/>
        <n v="166.7"/>
        <n v="83.3"/>
        <n v="263.5"/>
        <n v="42.3"/>
        <n v="91.4"/>
        <n v="67.9"/>
        <n v="89.2"/>
        <n v="558.9"/>
        <n v="95.4"/>
        <n v="49.7"/>
        <n v="772.6"/>
        <n v="44.8"/>
        <n v="660.3"/>
        <n v="285.0"/>
        <n v="180.0"/>
        <n v="95.1"/>
        <n v="38.1"/>
        <n v="81.8"/>
        <n v="216.4"/>
        <n v="24.9"/>
        <n v="240.1"/>
        <n v="237.1"/>
        <n v="465.8"/>
        <n v="1818.2"/>
        <n v="40.5"/>
        <n v="767.8"/>
        <n v="54.4"/>
        <n v="64.1"/>
        <n v="146.6"/>
        <n v="99.8"/>
        <n v="157.0"/>
        <n v="108.8"/>
        <n v="556.1"/>
        <n v="126.5"/>
        <n v="3279.2"/>
        <n v="871.9"/>
        <n v="85.9"/>
        <n v="61.9"/>
        <n v="185.7"/>
        <n v="43.6"/>
        <n v="100.4"/>
        <n v="202.6"/>
        <n v="87.5"/>
        <n v="44.0"/>
        <n v="67.0"/>
        <n v="77.3"/>
        <n v="94.7"/>
        <n v="45.2"/>
        <n v="113.1"/>
        <n v="89.9"/>
        <n v="48.0"/>
        <n v="69.4"/>
        <n v="54.3"/>
        <n v="99.5"/>
        <n v="48.8"/>
        <n v="210.0"/>
        <n v="52.4"/>
        <n v="83.8"/>
        <n v="451.8"/>
        <n v="39.1"/>
        <n v="89.6"/>
        <n v="73.3"/>
        <n v="90.1"/>
        <n v="255.5"/>
        <n v="36.8"/>
        <n v="158.9"/>
        <n v="93.8"/>
        <n v="9.5"/>
        <n v="74.5"/>
        <n v="164.7"/>
        <n v="37.3"/>
        <n v="63.8"/>
        <n v="29.6"/>
        <n v="39.5"/>
        <n v="64.2"/>
        <n v="54.0"/>
        <n v="59.6"/>
        <n v="51.3"/>
        <n v="138.3"/>
        <n v="98.2"/>
        <n v="145.1"/>
        <n v="42.7"/>
        <n v="61.4"/>
        <n v="144.7"/>
        <n v="65.7"/>
        <n v="59.3"/>
        <n v="236.9"/>
        <n v="34.6"/>
        <n v="379.7"/>
        <n v="170.5"/>
        <n v="420.2"/>
        <n v="50.2"/>
        <n v="83.7"/>
        <n v="85.2"/>
        <n v="46.1"/>
        <n v="34.0"/>
        <n v="19.9"/>
        <n v="106.8"/>
        <n v="132.3"/>
        <n v="208.3"/>
        <n v="68.6"/>
        <n v="114.7"/>
        <n v="99.9"/>
        <n v="70.1"/>
        <n v="70.6"/>
        <n v="673.7"/>
        <n v="112.1"/>
        <n v="258.7"/>
        <n v="79.9"/>
        <n v="36.2"/>
        <n v="56.0"/>
        <n v="137.0"/>
        <n v="195.0"/>
        <n v="48.7"/>
        <n v="180.8"/>
        <n v="576.1"/>
        <n v="44.6"/>
        <n v="597.9"/>
        <n v="230.6"/>
        <n v="87.7"/>
        <n v="80.1"/>
        <n v="1434.5"/>
        <n v="75.7"/>
        <n v="59.4"/>
        <n v="433.9"/>
        <n v="109.9"/>
        <n v="247.4"/>
        <n v="131.7"/>
        <n v="132.0"/>
        <n v="42.2"/>
        <n v="67.3"/>
        <n v="153.5"/>
        <n v="1299.0"/>
        <n v="73.0"/>
        <n v="70.7"/>
        <n v="173.1"/>
        <n v="70.2"/>
        <n v="45.1"/>
        <n v="21.1"/>
        <n v="602.6"/>
        <n v="403.1"/>
        <n v="60.2"/>
        <n v="42.1"/>
        <n v="116.0"/>
        <n v="301.4"/>
        <n v="99.7"/>
        <n v="377.4"/>
        <n v="143.3"/>
        <n v="96.6"/>
        <n v="547.0"/>
        <n v="83.1"/>
        <n v="165.1"/>
        <n v="1341.2"/>
        <n v="39.9"/>
        <n v="156.9"/>
        <n v="46.9"/>
        <n v="51.0"/>
        <n v="84.3"/>
        <n v="151.1"/>
        <n v="98.1"/>
        <n v="521.0"/>
        <n v="79.6"/>
        <n v="103.5"/>
        <n v="203.4"/>
        <n v="59.8"/>
        <n v="37.4"/>
        <n v="261.4"/>
        <n v="202.4"/>
        <n v="52.8"/>
        <n v="33.6"/>
        <n v="285.1"/>
        <n v="2960.4"/>
        <n v="124.9"/>
        <n v="717.8"/>
        <n v="50.7"/>
        <n v="97.4"/>
        <n v="77.0"/>
        <n v="298.8"/>
        <n v="24.6"/>
        <n v="73.8"/>
        <n v="109.4"/>
        <n v="64.4"/>
        <n v="46.2"/>
        <n v="579.3"/>
        <n v="568.4"/>
        <n v="170.6"/>
        <n v="835.8"/>
        <n v="110.3"/>
        <n v="339.7"/>
        <n v="162.4"/>
        <n v="135.6"/>
        <n v="601.0"/>
        <n v="27.9"/>
        <n v="185.3"/>
        <n v="297.3"/>
        <n v="666.2"/>
        <n v="160.2"/>
        <n v="155.2"/>
        <n v="18.7"/>
        <n v="53.2"/>
        <n v="57.9"/>
        <n v="41.3"/>
        <n v="105.2"/>
        <n v="48.6"/>
        <n v="85.5"/>
        <n v="185.8"/>
        <n v="54.9"/>
        <n v="83.5"/>
        <n v="121.4"/>
        <n v="438.7"/>
        <n v="72.9"/>
        <n v="366.8"/>
        <n v="396.9"/>
        <n v="85.3"/>
        <n v="350.0"/>
        <n v="28.0"/>
        <n v="201.5"/>
        <n v="397.0"/>
        <n v="270.9"/>
        <n v="113.0"/>
        <n v="169.0"/>
        <n v="61.7"/>
        <n v="42.4"/>
        <n v="105.7"/>
        <n v="121.2"/>
        <n v="133.5"/>
        <n v="123.9"/>
        <n v="115.4"/>
        <n v="94.8"/>
        <n v="170.8"/>
        <n v="628.9"/>
        <n v="52.2"/>
        <n v="40.0"/>
        <n v="134.8"/>
        <n v="40.1"/>
        <n v="37.1"/>
        <n v="67.5"/>
        <n v="100.0"/>
        <n v="33.8"/>
        <n v="57.5"/>
        <n v="151.6"/>
        <n v="502.9"/>
        <n v="1018.9"/>
        <n v="90.3"/>
        <n v="221.1"/>
        <n v="187.3"/>
        <n v="103.4"/>
        <n v="107.4"/>
        <n v="90.4"/>
        <n v="104.7"/>
        <n v="110.7"/>
        <n v="314.8"/>
        <n v="50.3"/>
        <n v="324.1"/>
        <n v="145.0"/>
        <n v="96.8"/>
        <n v="122.9"/>
        <n v="267.0"/>
        <n v="1306.5"/>
        <n v="129.6"/>
        <n v="496.5"/>
        <n v="54.5"/>
        <n v="175.1"/>
        <n v="7.5"/>
        <n v="106.0"/>
        <n v="135.5"/>
        <n v="17.3"/>
        <n v="1352.7"/>
        <n v="191.7"/>
        <n v="43.9"/>
        <n v="160.8"/>
        <n v="55.5"/>
        <n v="78.0"/>
        <n v="306.2"/>
        <n v="289.1"/>
        <n v="373.8"/>
        <n v="361.0"/>
        <n v="92.3"/>
        <n v="360.5"/>
        <n v="185.2"/>
        <n v="34.3"/>
        <n v="960.9"/>
        <n v="1058.1"/>
        <n v="537.3"/>
        <n v="964.4"/>
        <n v="88.7"/>
        <n v="553.3"/>
        <n v="322.0"/>
        <n v="152.6"/>
        <n v="421.6"/>
        <n v="3609.0"/>
        <n v="239.7"/>
        <n v="134.3"/>
        <n v="237.9"/>
        <n v="109.6"/>
        <n v="1683.6"/>
        <n v="127.7"/>
        <n v="908.6"/>
        <n v="56.2"/>
        <n v="105.6"/>
        <n v="367.9"/>
        <n v="197.8"/>
        <n v="1340.1"/>
        <n v="14.8"/>
        <n v="112.4"/>
        <n v="64.0"/>
        <n v="115.3"/>
        <n v="153.3"/>
        <n v="119.1"/>
        <n v="210.7"/>
        <n v="653.8"/>
        <n v="1165.5"/>
        <n v="54.6"/>
        <n v="224.2"/>
        <n v="108.3"/>
        <n v="49.1"/>
        <n v="52.7"/>
        <n v="53.1"/>
        <n v="199.0"/>
        <n v="935.9"/>
        <n v="78.3"/>
        <n v="103.9"/>
        <n v="79.3"/>
        <n v="893.8"/>
        <n v="76.1"/>
        <n v="85.4"/>
        <n v="122.5"/>
        <n v="36.6"/>
        <n v="2666.4"/>
        <n v="147.3"/>
        <n v="546.3"/>
        <n v="491.7"/>
        <n v="90.9"/>
        <n v="692.9"/>
        <n v="2918.0"/>
        <n v="66.1"/>
        <n v="61.6"/>
        <n v="506.7"/>
        <n v="169.2"/>
        <n v="108.9"/>
        <n v="74.7"/>
        <n v="59.7"/>
        <n v="62.7"/>
        <n v="5204.0"/>
        <n v="97.3"/>
        <n v="47.8"/>
        <n v="48.4"/>
        <n v="38.5"/>
        <n v="262.9"/>
        <n v="88.8"/>
        <n v="491.0"/>
        <n v="181.4"/>
        <n v="81.3"/>
        <n v="1304.0"/>
        <n v="72.4"/>
        <n v="1555.2"/>
        <n v="513.4"/>
        <n v="130.6"/>
        <n v="152.9"/>
        <n v="1836.2"/>
        <n v="1164.6"/>
        <n v="177.8"/>
        <n v="74.4"/>
        <n v="121.5"/>
        <n v="709.6"/>
        <n v="124.0"/>
        <n v="279.2"/>
        <n v="84.5"/>
        <n v="96.1"/>
        <n v="100.9"/>
        <n v="854.8"/>
        <n v="825.8"/>
        <n v="350.8"/>
        <n v="130.3"/>
        <n v="130.4"/>
        <n v="148.6"/>
        <n v="269.8"/>
        <n v="300.8"/>
        <n v="868.5"/>
        <n v="592.4"/>
        <n v="75.3"/>
        <n v="60.3"/>
        <n v="1398.2"/>
        <n v="1167.0"/>
        <n v="169.8"/>
        <n v="507.8"/>
        <n v="427.8"/>
        <n v="506.1"/>
        <n v="124.6"/>
        <n v="76.4"/>
        <n v="513.2"/>
        <n v="612.9"/>
        <n v="587.5"/>
        <n v="611.1"/>
        <n v="856.9"/>
        <n v="294.8"/>
        <n v="64.3"/>
        <n v="180.5"/>
        <n v="195.8"/>
        <n v="170.4"/>
        <n v="123.3"/>
        <n v="2397.4"/>
        <n v="130.8"/>
        <n v="145.5"/>
        <n v="666.4"/>
        <n v="62.6"/>
        <n v="169.9"/>
        <n v="788.4"/>
        <n v="68.9"/>
        <n v="854.7"/>
        <n v="145.3"/>
        <n v="1014.9"/>
        <n v="147.7"/>
        <n v="178.7"/>
        <n v="132.8"/>
        <n v="218.0"/>
        <n v="195.4"/>
        <n v="161.1"/>
        <n v="179.9"/>
        <n v="84.6"/>
        <n v="228.3"/>
        <n v="189.8"/>
        <n v="49.2"/>
        <n v="820.1"/>
        <n v="457.9"/>
        <n v="1470.3"/>
        <n v="123.5"/>
        <n v="176.0"/>
        <n v="213.6"/>
        <n v="110.5"/>
        <n v="125.2"/>
        <n v="11.2"/>
        <n v="349.4"/>
        <n v="253.7"/>
        <n v="422.0"/>
        <n v="22.4"/>
        <n v="253.8"/>
        <n v="2082.8"/>
        <n v="188.7"/>
        <n v="253.4"/>
        <n v="235.0"/>
        <n v="95.5"/>
        <n v="1135.4"/>
        <n v="782.2"/>
        <n v="209.8"/>
        <n v="285.2"/>
        <n v="108.6"/>
        <n v="64.5"/>
        <n v="150.3"/>
        <n v="1132.9"/>
        <n v="193.3"/>
        <n v="34.8"/>
        <n v="1242.8"/>
        <n v="78.1"/>
        <n v="63.1"/>
        <n v="81.5"/>
        <n v="481.2"/>
        <n v="318.5"/>
        <n v="255.4"/>
        <n v="236.2"/>
        <n v="297.6"/>
        <n v="164.4"/>
        <n v="1102.4"/>
        <n v="48.9"/>
        <n v="136.5"/>
        <n v="601.1"/>
        <n v="160.5"/>
        <n v="86.1"/>
        <n v="92.0"/>
        <n v="277.4"/>
        <n v="614.6"/>
        <n v="244.3"/>
        <n v="160.7"/>
        <n v="405.2"/>
        <n v="275.8"/>
        <n v="1140.5"/>
        <n v="2825.8"/>
        <n v="128.8"/>
        <n v="234.8"/>
        <n v="79.2"/>
        <n v="91.0"/>
        <n v="88.9"/>
        <n v="2341.4"/>
        <n v="383.3"/>
        <n v="245.9"/>
        <n v="324.6"/>
        <n v="27.6"/>
        <n v="1476.9"/>
        <n v="148.9"/>
        <n v="1251.2"/>
        <n v="535.8"/>
        <n v="609.7"/>
        <n v="356.5"/>
        <n v="60.6"/>
        <n v="65.2"/>
        <n v="302.3"/>
        <n v="84.2"/>
        <n v="325.3"/>
        <n v="195.7"/>
        <n v="1210.5"/>
        <n v="61.1"/>
        <n v="204.9"/>
        <n v="125.6"/>
        <n v="388.2"/>
        <n v="798.5"/>
        <n v="87.9"/>
        <n v="126.2"/>
        <n v="126.1"/>
        <n v="54.8"/>
        <n v="1516.8"/>
        <n v="795.5"/>
        <n v="59.2"/>
        <n v="75.0"/>
        <n v="2791.7"/>
        <n v="682.9"/>
        <n v="93.7"/>
        <n v="215.6"/>
        <n v="196.4"/>
        <n v="745.5"/>
        <n v="25.3"/>
        <n v="129.1"/>
        <n v="70.9"/>
        <n v="127.9"/>
        <n v="111.1"/>
        <n v="1309.6"/>
        <n v="244.0"/>
        <n v="132.9"/>
        <n v="1099.8"/>
        <n v="894.9"/>
        <n v="199.1"/>
        <n v="1847.4"/>
        <n v="304.8"/>
        <n v="105.3"/>
        <n v="1880.3"/>
        <n v="30.6"/>
        <n v="135.2"/>
        <n v="1866.2"/>
        <n v="168.4"/>
        <n v="79.7"/>
        <n v="43.0"/>
        <n v="346.7"/>
        <n v="58.5"/>
        <n v="188.3"/>
        <n v="180.6"/>
        <n v="69.1"/>
        <n v="1523.4"/>
        <n v="2259.8"/>
        <n v="146.7"/>
        <n v="152.2"/>
        <n v="421.1"/>
        <n v="400.8"/>
        <n v="99.4"/>
        <n v="94.6"/>
        <n v="110.9"/>
        <n v="154.6"/>
        <n v="53.0"/>
        <n v="356.0"/>
        <n v="93.5"/>
        <n v="127.0"/>
        <n v="133.7"/>
        <n v="54.7"/>
        <n v="281.3"/>
        <n v="181.2"/>
        <n v="1315.7"/>
        <n v="16.2"/>
        <n v="302.9"/>
        <n v="125.4"/>
        <n v="116.1"/>
        <n v="88.3"/>
        <n v="409.4"/>
        <n v="405.8"/>
        <n v="1039.9"/>
        <n v="65.1"/>
        <n v="790.7"/>
        <n v="365.2"/>
        <n v="131.5"/>
        <n v="113.4"/>
        <n v="656.4"/>
        <n v="949.9"/>
        <n v="842.7"/>
        <n v="70.5"/>
        <n v="138.6"/>
        <n v="1408.8"/>
        <n v="872.2"/>
        <n v="100.1"/>
        <n v="569.0"/>
        <n v="104.5"/>
        <n v="209.7"/>
        <n v="2458.0"/>
        <n v="132.6"/>
        <n v="279.3"/>
        <n v="323.0"/>
        <n v="122.7"/>
        <n v="182.1"/>
        <n v="152.7"/>
        <n v="91.1"/>
        <n v="399.8"/>
        <n v="38.7"/>
        <n v="145.7"/>
        <n v="132.5"/>
        <n v="115.8"/>
        <n v="76.8"/>
        <n v="210.4"/>
        <n v="266.0"/>
        <n v="276.1"/>
        <n v="75.5"/>
        <n v="58.4"/>
        <n v="381.9"/>
        <n v="78.4"/>
        <n v="650.4"/>
        <n v="802.3"/>
        <n v="453.8"/>
        <n v="551.0"/>
        <n v="938.7"/>
        <n v="233.3"/>
        <n v="254.9"/>
        <n v="67.1"/>
        <n v="373.6"/>
        <n v="383.1"/>
        <n v="98.6"/>
        <n v="258.3"/>
        <n v="72.3"/>
        <n v="352.3"/>
        <n v="69.3"/>
        <n v="216.0"/>
        <n v="102.7"/>
        <n v="161.4"/>
        <n v="772.3"/>
        <n v="175.6"/>
        <n v="1446.1"/>
        <n v="40.6"/>
        <n v="233.9"/>
        <n v="531.4"/>
        <n v="151.4"/>
        <n v="1221.0"/>
        <n v="99.3"/>
        <n v="853.5"/>
        <n v="25.2"/>
        <n v="104.4"/>
        <n v="687.4"/>
        <n v="2707.3"/>
        <n v="19.7"/>
        <n v="56.3"/>
        <n v="225.5"/>
        <n v="85.6"/>
        <n v="9.8"/>
        <n v="80.4"/>
        <n v="15.3"/>
        <n v="277.0"/>
        <n v="128.5"/>
        <n v="50.9"/>
        <n v="81.0"/>
        <n v="27.1"/>
        <n v="50.5"/>
        <n v="94.4"/>
        <n v="235.9"/>
        <n v="193.6"/>
        <n v="296.0"/>
        <n v="127.4"/>
        <n v="123.4"/>
        <n v="60.8"/>
        <n v="82.5"/>
        <n v="45.6"/>
        <n v="223.0"/>
        <n v="334.3"/>
        <n v="45.0"/>
        <n v="231.1"/>
        <n v="162.6"/>
        <n v="63.4"/>
        <n v="76.7"/>
        <n v="366.3"/>
        <n v="117.9"/>
        <n v="84.1"/>
        <n v="315.6"/>
        <n v="79.8"/>
        <n v="63.7"/>
        <n v="172.7"/>
        <n v="492.5"/>
        <n v="80.0"/>
        <n v="80.6"/>
        <n v="4.3"/>
        <n v="344.9"/>
        <n v="30.4"/>
        <n v="126.3"/>
        <n v="143.9"/>
        <n v="34.9"/>
        <n v="141.7"/>
        <n v="302.1"/>
        <n v="56.7"/>
        <n v="113.7"/>
        <n v="93.3"/>
        <n v="271.8"/>
        <n v="10.7"/>
        <n v="44.5"/>
        <n v="13.0"/>
        <n v="235.1"/>
        <n v="166.3"/>
        <n v="487.7"/>
        <n v="242.6"/>
        <n v="112.6"/>
        <n v="21.7"/>
        <n v="454.6"/>
        <n v="87.1"/>
        <n v="37.5"/>
        <n v="103.0"/>
        <n v="107.8"/>
        <n v="62.4"/>
        <n v="186.6"/>
        <n v="1651.2"/>
        <n v="103.8"/>
        <n v="91.9"/>
        <n v="3.0"/>
        <n v="467.8"/>
        <n v="39.0"/>
        <n v="28.2"/>
        <n v="470.3"/>
        <n v="166.4"/>
        <n v="119.7"/>
        <n v="52.6"/>
        <n v="292.8"/>
        <n v="139.3"/>
        <n v="77.5"/>
        <n v="498.9"/>
        <n v="123.7"/>
        <n v="112.0"/>
        <n v="73.5"/>
        <n v="17.2"/>
        <n v="311.7"/>
        <n v="95.8"/>
        <n v="106.5"/>
        <n v="80.9"/>
        <n v="77.1"/>
        <n v="162.9"/>
        <n v="66.0"/>
        <n v="124.5"/>
        <n v="45.5"/>
        <n v="157.1"/>
        <n v="38.2"/>
        <n v="562.8"/>
        <n v="215.3"/>
        <n v="375.6"/>
        <n v="119.4"/>
        <n v="132.4"/>
        <n v="140.8"/>
        <n v="256.6"/>
        <n v="72.7"/>
        <n v="408.3"/>
        <n v="190.9"/>
        <n v="124.2"/>
        <n v="343.7"/>
        <n v="965.1"/>
        <n v="271.3"/>
        <n v="121.0"/>
        <n v="97.8"/>
        <n v="292.0"/>
        <n v="137.5"/>
        <n v="287.0"/>
        <n v="29.3"/>
        <n v="321.6"/>
        <n v="80.8"/>
        <n v="28.7"/>
        <n v="308.5"/>
        <n v="142.4"/>
      </sharedItems>
    </cacheField>
    <cacheField name="Taille_commune" numFmtId="0">
      <sharedItems>
        <s v="500 a 2 000"/>
        <s v="&lt; 500 hab."/>
        <s v="2 000 a 10 000"/>
        <s v="10 000 a 50 000"/>
        <s v="50 000 hab. et +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Manquants" cacheId="0" dataCaption="" compact="0" compactData="0">
  <location ref="A9:B102" firstHeaderRow="0" firstDataRow="1" firstDataCol="0"/>
  <pivotFields>
    <pivotField name="Code_EPCI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Nom_EPCI" axis="axisRow" compact="0" outline="0" multipleItemSelectionAllowed="1" showAll="0" sortType="ascending">
      <items>
        <item x="0"/>
        <item x="1"/>
        <item x="2"/>
        <item x="3"/>
        <item x="4"/>
        <item x="10"/>
        <item x="11"/>
        <item x="12"/>
        <item x="14"/>
        <item x="15"/>
        <item x="16"/>
        <item x="17"/>
        <item x="13"/>
        <item x="18"/>
        <item x="5"/>
        <item x="19"/>
        <item x="20"/>
        <item x="21"/>
        <item x="22"/>
        <item x="23"/>
        <item x="24"/>
        <item x="6"/>
        <item x="7"/>
        <item x="8"/>
        <item x="9"/>
        <item x="25"/>
        <item x="26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1"/>
        <item x="75"/>
        <item x="72"/>
        <item x="73"/>
        <item x="74"/>
        <item x="76"/>
        <item x="77"/>
        <item x="78"/>
        <item x="69"/>
        <item x="70"/>
        <item x="79"/>
        <item x="80"/>
        <item x="81"/>
        <item x="82"/>
        <item x="83"/>
        <item x="85"/>
        <item x="86"/>
        <item x="84"/>
        <item x="87"/>
        <item x="88"/>
        <item x="27"/>
        <item x="28"/>
        <item x="29"/>
        <item x="30"/>
        <item x="31"/>
        <item x="34"/>
        <item x="32"/>
        <item x="33"/>
        <item x="35"/>
        <item x="36"/>
        <item x="37"/>
        <item x="38"/>
        <item x="39"/>
        <item x="40"/>
        <item x="89"/>
        <item x="90"/>
        <item x="91"/>
        <item t="default"/>
      </items>
    </pivotField>
    <pivotField name="Population_201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Population_202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Niveau_vie_median_20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Taux_pauvrete_20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</pivotFields>
  <rowFields>
    <field x="1"/>
  </rowFields>
  <dataFields>
    <dataField name="SUM of Population_2023" fld="3" baseField="0"/>
  </dataFields>
</pivotTableDefinition>
</file>

<file path=xl/pivotTables/pivotTable2.xml><?xml version="1.0" encoding="utf-8"?>
<pivotTableDefinition xmlns="http://schemas.openxmlformats.org/spreadsheetml/2006/main" name="Manquants 2" cacheId="1" dataCaption="" compact="0" compactData="0">
  <location ref="D9:E102" firstHeaderRow="0" firstDataRow="1" firstDataCol="0"/>
  <pivotFields>
    <pivotField name="Code_INS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t="default"/>
      </items>
    </pivotField>
    <pivotField name="Commu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t="default"/>
      </items>
    </pivotField>
    <pivotField name="Departe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PCI" axis="axisRow" compact="0" outline="0" multipleItemSelectionAllowed="1" showAll="0" sortType="ascending">
      <items>
        <item x="88"/>
        <item x="0"/>
        <item x="27"/>
        <item x="31"/>
        <item x="57"/>
        <item x="76"/>
        <item x="69"/>
        <item x="20"/>
        <item x="77"/>
        <item x="21"/>
        <item x="14"/>
        <item x="49"/>
        <item x="58"/>
        <item x="64"/>
        <item x="26"/>
        <item x="44"/>
        <item x="75"/>
        <item x="33"/>
        <item x="15"/>
        <item x="63"/>
        <item x="11"/>
        <item x="73"/>
        <item x="1"/>
        <item x="22"/>
        <item x="29"/>
        <item x="83"/>
        <item x="32"/>
        <item x="68"/>
        <item x="48"/>
        <item x="19"/>
        <item x="39"/>
        <item x="3"/>
        <item x="86"/>
        <item x="37"/>
        <item x="50"/>
        <item x="74"/>
        <item x="70"/>
        <item x="17"/>
        <item x="66"/>
        <item x="62"/>
        <item x="54"/>
        <item x="34"/>
        <item x="51"/>
        <item x="41"/>
        <item x="13"/>
        <item x="45"/>
        <item x="12"/>
        <item x="87"/>
        <item x="9"/>
        <item x="18"/>
        <item x="5"/>
        <item x="42"/>
        <item x="89"/>
        <item x="65"/>
        <item x="53"/>
        <item x="55"/>
        <item x="2"/>
        <item x="61"/>
        <item x="25"/>
        <item x="40"/>
        <item x="46"/>
        <item x="79"/>
        <item x="16"/>
        <item x="47"/>
        <item x="35"/>
        <item x="43"/>
        <item x="59"/>
        <item x="28"/>
        <item x="71"/>
        <item x="81"/>
        <item x="6"/>
        <item x="7"/>
        <item x="90"/>
        <item x="56"/>
        <item x="80"/>
        <item x="36"/>
        <item x="91"/>
        <item x="84"/>
        <item x="72"/>
        <item x="67"/>
        <item x="23"/>
        <item x="10"/>
        <item x="82"/>
        <item x="8"/>
        <item x="52"/>
        <item x="85"/>
        <item x="78"/>
        <item x="38"/>
        <item x="4"/>
        <item x="60"/>
        <item x="30"/>
        <item x="24"/>
        <item t="default"/>
      </items>
    </pivotField>
    <pivotField name="Code_EPC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Popul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t="default"/>
      </items>
    </pivotField>
    <pivotField name="Superficie_km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t="default"/>
      </items>
    </pivotField>
    <pivotField name="Densite_hab_km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t="default"/>
      </items>
    </pivotField>
    <pivotField name="Taille_commune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3"/>
  </rowFields>
  <dataFields>
    <dataField name="SUM of Population" fld="5" baseField="0"/>
  </dataFields>
</pivotTableDefinition>
</file>

<file path=xl/tables/table1.xml><?xml version="1.0" encoding="utf-8"?>
<table xmlns="http://schemas.openxmlformats.org/spreadsheetml/2006/main" ref="A2:M94" displayName="T_Analyse" name="T_Analyse" id="1">
  <tableColumns count="13">
    <tableColumn name="Code_EPCI" id="1"/>
    <tableColumn name="Nom_EPCI" id="2"/>
    <tableColumn name="Nombre de communes" id="3"/>
    <tableColumn name="Superficie (km²)" id="4"/>
    <tableColumn name="Population 2017 " id="5"/>
    <tableColumn name="Population 2023" id="6"/>
    <tableColumn name="Niveau de vie médian 2023" id="7"/>
    <tableColumn name="Taux de pauvreté 2023" id="8"/>
    <tableColumn name="Évolution de la population (%)" id="9"/>
    <tableColumn name="Nombre de personnes pauvres" id="10"/>
    <tableColumn name="Densité (hab/km²)" id="11"/>
    <tableColumn name="Résultat by Xavier" id="12"/>
    <tableColumn name="Formule by Xavier" id="13"/>
  </tableColumns>
  <tableStyleInfo name="Analyse-style" showColumnStripes="0" showFirstColumn="1" showLastColumn="1" showRowStripes="1"/>
</table>
</file>

<file path=xl/tables/table2.xml><?xml version="1.0" encoding="utf-8"?>
<table xmlns="http://schemas.openxmlformats.org/spreadsheetml/2006/main" ref="A1:I3783" displayName="T_HDF" name="T_HDF" id="2">
  <tableColumns count="9">
    <tableColumn name="Code_INSEE" id="1"/>
    <tableColumn name="Commune" id="2"/>
    <tableColumn name="Departement" id="3"/>
    <tableColumn name="EPCI" id="4"/>
    <tableColumn name="Code_EPCI" id="5"/>
    <tableColumn name="Population" id="6"/>
    <tableColumn name="Superficie_km2" id="7"/>
    <tableColumn name="Densite_hab_km2" id="8"/>
    <tableColumn name="Taille_commune" id="9"/>
  </tableColumns>
  <tableStyleInfo name="Copie de Communes_HDF-style" showColumnStripes="0" showFirstColumn="1" showLastColumn="1" showRowStripes="1"/>
</table>
</file>

<file path=xl/tables/table3.xml><?xml version="1.0" encoding="utf-8"?>
<table xmlns="http://schemas.openxmlformats.org/spreadsheetml/2006/main" ref="A1:F3783" displayName="T_INSEE" name="T_INSEE" id="3">
  <tableColumns count="6">
    <tableColumn name="Code_INSEE" id="1"/>
    <tableColumn name="Commune" id="2"/>
    <tableColumn name="Population_2017" id="3"/>
    <tableColumn name="Population_2023" id="4"/>
    <tableColumn name="Niveau_vie_median_2023" id="5"/>
    <tableColumn name="Taux_pauvrete_2023" id="6"/>
  </tableColumns>
  <tableStyleInfo name="Copie de INSEE_Communes-style" showColumnStripes="0" showFirstColumn="1" showLastColumn="1" showRowStripes="1"/>
</table>
</file>

<file path=xl/tables/table4.xml><?xml version="1.0" encoding="utf-8"?>
<table xmlns="http://schemas.openxmlformats.org/spreadsheetml/2006/main" ref="A1:F93" displayName="T_EPCI" name="T_EPCI" id="4">
  <tableColumns count="6">
    <tableColumn name="Code_EPCI" id="1"/>
    <tableColumn name="Nom_EPCI" id="2"/>
    <tableColumn name="Population_2017" id="3"/>
    <tableColumn name="Population_2023" id="4"/>
    <tableColumn name="Niveau_vie_median_2023" id="5"/>
    <tableColumn name="Taux_pauvrete_2023" id="6"/>
  </tableColumns>
  <tableStyleInfo name="Copie de INSEE_EPC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77.25"/>
  </cols>
  <sheetData>
    <row r="1">
      <c r="A1" s="1" t="s">
        <v>0</v>
      </c>
      <c r="B1" s="2" t="s">
        <v>1</v>
      </c>
    </row>
    <row r="2">
      <c r="A2" s="4" t="s">
        <v>2</v>
      </c>
      <c r="B2" s="6" t="s">
        <v>4</v>
      </c>
    </row>
    <row r="3">
      <c r="A3" s="4" t="s">
        <v>6</v>
      </c>
      <c r="B3" s="6" t="s">
        <v>7</v>
      </c>
    </row>
    <row r="4">
      <c r="A4" s="4" t="s">
        <v>8</v>
      </c>
      <c r="B4" s="4" t="s">
        <v>9</v>
      </c>
    </row>
    <row r="5">
      <c r="A5" s="4" t="s">
        <v>12</v>
      </c>
      <c r="B5" s="4" t="s">
        <v>13</v>
      </c>
    </row>
    <row r="6">
      <c r="A6" s="4" t="s">
        <v>14</v>
      </c>
      <c r="B6" s="4" t="s">
        <v>15</v>
      </c>
    </row>
    <row r="7">
      <c r="A7" s="4" t="s">
        <v>16</v>
      </c>
    </row>
    <row r="8">
      <c r="A8" s="4" t="s">
        <v>17</v>
      </c>
    </row>
    <row r="9">
      <c r="A9" s="4" t="s">
        <v>18</v>
      </c>
    </row>
    <row r="10">
      <c r="A10" s="4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42.88"/>
    <col customWidth="1" min="3" max="3" width="22.75"/>
    <col customWidth="1" min="4" max="4" width="17.63"/>
    <col customWidth="1" min="5" max="5" width="18.38"/>
    <col customWidth="1" min="6" max="6" width="17.88"/>
    <col customWidth="1" min="7" max="7" width="26.13"/>
    <col customWidth="1" min="8" max="8" width="22.63"/>
    <col customWidth="1" min="9" max="9" width="31.63"/>
    <col customWidth="1" min="10" max="10" width="28.75"/>
    <col customWidth="1" min="11" max="12" width="19.5"/>
    <col customWidth="1" min="13" max="13" width="16.88"/>
  </cols>
  <sheetData>
    <row r="1" ht="15.75" customHeight="1">
      <c r="A1" s="10"/>
      <c r="B1" s="11"/>
      <c r="C1" s="10"/>
      <c r="D1" s="10"/>
      <c r="E1" s="2"/>
      <c r="F1" s="10"/>
      <c r="G1" s="10"/>
      <c r="H1" s="10"/>
      <c r="I1" s="10"/>
      <c r="J1" s="10"/>
      <c r="K1" s="10"/>
      <c r="L1" s="10"/>
    </row>
    <row r="2" ht="15.75" customHeight="1">
      <c r="A2" s="13" t="s">
        <v>22</v>
      </c>
      <c r="B2" s="14" t="s">
        <v>25</v>
      </c>
      <c r="C2" s="13" t="s">
        <v>2</v>
      </c>
      <c r="D2" s="13" t="s">
        <v>6</v>
      </c>
      <c r="E2" s="15" t="s">
        <v>26</v>
      </c>
      <c r="F2" s="13" t="s">
        <v>12</v>
      </c>
      <c r="G2" s="13" t="s">
        <v>14</v>
      </c>
      <c r="H2" s="13" t="s">
        <v>16</v>
      </c>
      <c r="I2" s="13" t="s">
        <v>17</v>
      </c>
      <c r="J2" s="13" t="s">
        <v>18</v>
      </c>
      <c r="K2" s="13" t="s">
        <v>19</v>
      </c>
      <c r="L2" s="20" t="s">
        <v>33</v>
      </c>
      <c r="M2" s="13" t="s">
        <v>34</v>
      </c>
    </row>
    <row r="3" ht="15.75" customHeight="1">
      <c r="A3" s="22" t="s">
        <v>35</v>
      </c>
      <c r="B3" s="24" t="s">
        <v>41</v>
      </c>
      <c r="C3" s="26">
        <f>COUNTIFS(T_HDF[Code_EPCI],A3)</f>
        <v>39</v>
      </c>
      <c r="D3" s="28">
        <f>SUMIFS(T_HDF[Superficie_km2],T_HDF[Code_EPCI],A3)</f>
        <v>351.47</v>
      </c>
      <c r="E3" s="26">
        <f t="array" ref="E3">_xlfn.XLOOKUP(T_Analyse[Code_EPCI],INSEE_EPCI!$A$2:$A$93,INSEE_EPCI!$C$2:$C$93)</f>
        <v>180816</v>
      </c>
      <c r="F3" s="26">
        <f t="array" ref="F3">_xlfn.XLOOKUP(T_Analyse[Code_EPCI],INSEE_EPCI!$A$2:$A$93,INSEE_EPCI!$D$2:$D$93)</f>
        <v>184392</v>
      </c>
      <c r="G3" s="26">
        <f t="array" ref="G3">_xlfn.XLOOKUP(T_Analyse[Code_EPCI],INSEE_EPCI!$A$2:$A$93,INSEE_EPCI!$E$2:$E$93)</f>
        <v>23640</v>
      </c>
      <c r="H3" s="26">
        <f t="array" ref="H3">_xlfn.XLOOKUP(T_Analyse[Code_EPCI],INSEE_EPCI!$A$2:$A$93,INSEE_EPCI!$F$2:$F$93)</f>
        <v>23.5</v>
      </c>
      <c r="I3" s="32">
        <f t="shared" ref="I3:I94" si="1">(F3-E3)/E3</f>
        <v>0.01977701088</v>
      </c>
      <c r="J3" s="33">
        <f t="shared" ref="J3:J94" si="2">H3*F3/100</f>
        <v>43332.12</v>
      </c>
      <c r="K3" s="33">
        <f t="shared" ref="K3:K94" si="3">F3/D3</f>
        <v>524.6308362</v>
      </c>
      <c r="L3" s="33">
        <f>sum(T_Analyse[Population 2023]-T_Analyse[Formule by Xavier])</f>
        <v>0</v>
      </c>
      <c r="M3" s="33">
        <f>SUMIFS(T_HDF[Population],T_HDF[Code_EPCI],T_Analyse[Code_EPCI])</f>
        <v>184392</v>
      </c>
    </row>
    <row r="4" ht="15.75" customHeight="1">
      <c r="A4" s="22" t="s">
        <v>49</v>
      </c>
      <c r="B4" s="24" t="s">
        <v>50</v>
      </c>
      <c r="C4" s="26">
        <f>COUNTIFS(T_HDF[Code_EPCI],A4)</f>
        <v>48</v>
      </c>
      <c r="D4" s="28">
        <f>SUMIFS(T_HDF[Superficie_km2],T_HDF[Code_EPCI],A4)</f>
        <v>385.08</v>
      </c>
      <c r="E4" s="26">
        <f t="array" ref="E4">_xlfn.XLOOKUP(T_Analyse[Code_EPCI],INSEE_EPCI!$A$2:$A$93,INSEE_EPCI!$C$2:$C$93)</f>
        <v>55470</v>
      </c>
      <c r="F4" s="26">
        <f t="array" ref="F4">_xlfn.XLOOKUP(T_Analyse[Code_EPCI],INSEE_EPCI!$A$2:$A$93,INSEE_EPCI!$D$2:$D$93)</f>
        <v>54027</v>
      </c>
      <c r="G4" s="26">
        <f t="array" ref="G4">_xlfn.XLOOKUP(T_Analyse[Code_EPCI],INSEE_EPCI!$A$2:$A$93,INSEE_EPCI!$E$2:$E$93)</f>
        <v>22590</v>
      </c>
      <c r="H4" s="26">
        <f t="array" ref="H4">_xlfn.XLOOKUP(T_Analyse[Code_EPCI],INSEE_EPCI!$A$2:$A$93,INSEE_EPCI!$F$2:$F$93)</f>
        <v>21.6</v>
      </c>
      <c r="I4" s="32">
        <f t="shared" si="1"/>
        <v>-0.02601406165</v>
      </c>
      <c r="J4" s="33">
        <f t="shared" si="2"/>
        <v>11669.832</v>
      </c>
      <c r="K4" s="33">
        <f t="shared" si="3"/>
        <v>140.3007167</v>
      </c>
      <c r="L4" s="33">
        <f>sum(T_Analyse[Population 2023]-T_Analyse[Formule by Xavier])</f>
        <v>0</v>
      </c>
      <c r="M4" s="33">
        <f>SUMIFS(T_HDF[Population],T_HDF[Code_EPCI],T_Analyse[Code_EPCI])</f>
        <v>54027</v>
      </c>
    </row>
    <row r="5" ht="15.75" customHeight="1">
      <c r="A5" s="22" t="s">
        <v>71</v>
      </c>
      <c r="B5" s="24" t="s">
        <v>72</v>
      </c>
      <c r="C5" s="26">
        <f>COUNTIFS(T_HDF[Code_EPCI],A5)</f>
        <v>20</v>
      </c>
      <c r="D5" s="28">
        <f>SUMIFS(T_HDF[Superficie_km2],T_HDF[Code_EPCI],A5)</f>
        <v>138.3</v>
      </c>
      <c r="E5" s="26">
        <f t="array" ref="E5">_xlfn.XLOOKUP(T_Analyse[Code_EPCI],INSEE_EPCI!$A$2:$A$93,INSEE_EPCI!$C$2:$C$93)</f>
        <v>70957</v>
      </c>
      <c r="F5" s="26">
        <f t="array" ref="F5">_xlfn.XLOOKUP(T_Analyse[Code_EPCI],INSEE_EPCI!$A$2:$A$93,INSEE_EPCI!$D$2:$D$93)</f>
        <v>69764</v>
      </c>
      <c r="G5" s="26">
        <f t="array" ref="G5">_xlfn.XLOOKUP(T_Analyse[Code_EPCI],INSEE_EPCI!$A$2:$A$93,INSEE_EPCI!$E$2:$E$93)</f>
        <v>22340</v>
      </c>
      <c r="H5" s="26">
        <f t="array" ref="H5">_xlfn.XLOOKUP(T_Analyse[Code_EPCI],INSEE_EPCI!$A$2:$A$93,INSEE_EPCI!$F$2:$F$93)</f>
        <v>21.1</v>
      </c>
      <c r="I5" s="32">
        <f t="shared" si="1"/>
        <v>-0.01681299942</v>
      </c>
      <c r="J5" s="33">
        <f t="shared" si="2"/>
        <v>14720.204</v>
      </c>
      <c r="K5" s="33">
        <f t="shared" si="3"/>
        <v>504.439624</v>
      </c>
      <c r="L5" s="33">
        <f>sum(T_Analyse[Population 2023]-T_Analyse[Formule by Xavier])</f>
        <v>0</v>
      </c>
      <c r="M5" s="33">
        <f>SUMIFS(T_HDF[Population],T_HDF[Code_EPCI],T_Analyse[Code_EPCI])</f>
        <v>69764</v>
      </c>
    </row>
    <row r="6" ht="15.75" customHeight="1">
      <c r="A6" s="22" t="s">
        <v>98</v>
      </c>
      <c r="B6" s="24" t="s">
        <v>99</v>
      </c>
      <c r="C6" s="26">
        <f>COUNTIFS(T_HDF[Code_EPCI],A6)</f>
        <v>50</v>
      </c>
      <c r="D6" s="28">
        <f>SUMIFS(T_HDF[Superficie_km2],T_HDF[Code_EPCI],A6)</f>
        <v>633.92</v>
      </c>
      <c r="E6" s="26">
        <f t="array" ref="E6">_xlfn.XLOOKUP(T_Analyse[Code_EPCI],INSEE_EPCI!$A$2:$A$93,INSEE_EPCI!$C$2:$C$93)</f>
        <v>102272</v>
      </c>
      <c r="F6" s="26">
        <f t="array" ref="F6">_xlfn.XLOOKUP(T_Analyse[Code_EPCI],INSEE_EPCI!$A$2:$A$93,INSEE_EPCI!$D$2:$D$93)</f>
        <v>102743</v>
      </c>
      <c r="G6" s="26">
        <f t="array" ref="G6">_xlfn.XLOOKUP(T_Analyse[Code_EPCI],INSEE_EPCI!$A$2:$A$93,INSEE_EPCI!$E$2:$E$93)</f>
        <v>25990</v>
      </c>
      <c r="H6" s="26">
        <f t="array" ref="H6">_xlfn.XLOOKUP(T_Analyse[Code_EPCI],INSEE_EPCI!$A$2:$A$93,INSEE_EPCI!$F$2:$F$93)</f>
        <v>11.1</v>
      </c>
      <c r="I6" s="32">
        <f t="shared" si="1"/>
        <v>0.004605366083</v>
      </c>
      <c r="J6" s="33">
        <f t="shared" si="2"/>
        <v>11404.473</v>
      </c>
      <c r="K6" s="33">
        <f t="shared" si="3"/>
        <v>162.0756562</v>
      </c>
      <c r="L6" s="33">
        <f>sum(T_Analyse[Population 2023]-T_Analyse[Formule by Xavier])</f>
        <v>0</v>
      </c>
      <c r="M6" s="33">
        <f>SUMIFS(T_HDF[Population],T_HDF[Code_EPCI],T_Analyse[Code_EPCI])</f>
        <v>102743</v>
      </c>
    </row>
    <row r="7" ht="15.75" customHeight="1">
      <c r="A7" s="22" t="s">
        <v>129</v>
      </c>
      <c r="B7" s="24" t="s">
        <v>115</v>
      </c>
      <c r="C7" s="26">
        <f>COUNTIFS(T_HDF[Code_EPCI],A7)</f>
        <v>11</v>
      </c>
      <c r="D7" s="28">
        <f>SUMIFS(T_HDF[Superficie_km2],T_HDF[Code_EPCI],A7)</f>
        <v>83.61</v>
      </c>
      <c r="E7" s="26">
        <f t="array" ref="E7">_xlfn.XLOOKUP(T_Analyse[Code_EPCI],INSEE_EPCI!$A$2:$A$93,INSEE_EPCI!$C$2:$C$93)</f>
        <v>86512</v>
      </c>
      <c r="F7" s="26">
        <f t="array" ref="F7">_xlfn.XLOOKUP(T_Analyse[Code_EPCI],INSEE_EPCI!$A$2:$A$93,INSEE_EPCI!$D$2:$D$93)</f>
        <v>90234</v>
      </c>
      <c r="G7" s="26">
        <f t="array" ref="G7">_xlfn.XLOOKUP(T_Analyse[Code_EPCI],INSEE_EPCI!$A$2:$A$93,INSEE_EPCI!$E$2:$E$93)</f>
        <v>19250</v>
      </c>
      <c r="H7" s="26">
        <f t="array" ref="H7">_xlfn.XLOOKUP(T_Analyse[Code_EPCI],INSEE_EPCI!$A$2:$A$93,INSEE_EPCI!$F$2:$F$93)</f>
        <v>33.5</v>
      </c>
      <c r="I7" s="32">
        <f t="shared" si="1"/>
        <v>0.04302293323</v>
      </c>
      <c r="J7" s="33">
        <f t="shared" si="2"/>
        <v>30228.39</v>
      </c>
      <c r="K7" s="33">
        <f t="shared" si="3"/>
        <v>1079.224973</v>
      </c>
      <c r="L7" s="33">
        <f>sum(T_Analyse[Population 2023]-T_Analyse[Formule by Xavier])</f>
        <v>0</v>
      </c>
      <c r="M7" s="33">
        <f>SUMIFS(T_HDF[Population],T_HDF[Code_EPCI],T_Analyse[Code_EPCI])</f>
        <v>90234</v>
      </c>
    </row>
    <row r="8" ht="15.75" customHeight="1">
      <c r="A8" s="22" t="s">
        <v>180</v>
      </c>
      <c r="B8" s="24" t="s">
        <v>130</v>
      </c>
      <c r="C8" s="26">
        <f>COUNTIFS(T_HDF[Code_EPCI],A8)</f>
        <v>35</v>
      </c>
      <c r="D8" s="28">
        <f>SUMIFS(T_HDF[Superficie_km2],T_HDF[Code_EPCI],A8)</f>
        <v>235.58</v>
      </c>
      <c r="E8" s="26">
        <f t="array" ref="E8">_xlfn.XLOOKUP(T_Analyse[Code_EPCI],INSEE_EPCI!$A$2:$A$93,INSEE_EPCI!$C$2:$C$93)</f>
        <v>149258</v>
      </c>
      <c r="F8" s="26">
        <f t="array" ref="F8">_xlfn.XLOOKUP(T_Analyse[Code_EPCI],INSEE_EPCI!$A$2:$A$93,INSEE_EPCI!$D$2:$D$93)</f>
        <v>149282</v>
      </c>
      <c r="G8" s="26">
        <f t="array" ref="G8">_xlfn.XLOOKUP(T_Analyse[Code_EPCI],INSEE_EPCI!$A$2:$A$93,INSEE_EPCI!$E$2:$E$93)</f>
        <v>22540</v>
      </c>
      <c r="H8" s="26">
        <f t="array" ref="H8">_xlfn.XLOOKUP(T_Analyse[Code_EPCI],INSEE_EPCI!$A$2:$A$93,INSEE_EPCI!$F$2:$F$93)</f>
        <v>22.4</v>
      </c>
      <c r="I8" s="32">
        <f t="shared" si="1"/>
        <v>0.0001607954013</v>
      </c>
      <c r="J8" s="33">
        <f t="shared" si="2"/>
        <v>33439.168</v>
      </c>
      <c r="K8" s="33">
        <f t="shared" si="3"/>
        <v>633.6785805</v>
      </c>
      <c r="L8" s="33">
        <f>sum(T_Analyse[Population 2023]-T_Analyse[Formule by Xavier])</f>
        <v>0</v>
      </c>
      <c r="M8" s="33">
        <f>SUMIFS(T_HDF[Population],T_HDF[Code_EPCI],T_Analyse[Code_EPCI])</f>
        <v>149282</v>
      </c>
    </row>
    <row r="9" ht="15.75" customHeight="1">
      <c r="A9" s="22" t="s">
        <v>220</v>
      </c>
      <c r="B9" s="24" t="s">
        <v>141</v>
      </c>
      <c r="C9" s="26">
        <f>COUNTIFS(T_HDF[Code_EPCI],A9)</f>
        <v>14</v>
      </c>
      <c r="D9" s="28">
        <f>SUMIFS(T_HDF[Superficie_km2],T_HDF[Code_EPCI],A9)</f>
        <v>188.92</v>
      </c>
      <c r="E9" s="26">
        <f t="array" ref="E9">_xlfn.XLOOKUP(T_Analyse[Code_EPCI],INSEE_EPCI!$A$2:$A$93,INSEE_EPCI!$C$2:$C$93)</f>
        <v>105269</v>
      </c>
      <c r="F9" s="26">
        <f t="array" ref="F9">_xlfn.XLOOKUP(T_Analyse[Code_EPCI],INSEE_EPCI!$A$2:$A$93,INSEE_EPCI!$D$2:$D$93)</f>
        <v>98895</v>
      </c>
      <c r="G9" s="26">
        <f t="array" ref="G9">_xlfn.XLOOKUP(T_Analyse[Code_EPCI],INSEE_EPCI!$A$2:$A$93,INSEE_EPCI!$E$2:$E$93)</f>
        <v>22150</v>
      </c>
      <c r="H9" s="26">
        <f t="array" ref="H9">_xlfn.XLOOKUP(T_Analyse[Code_EPCI],INSEE_EPCI!$A$2:$A$93,INSEE_EPCI!$F$2:$F$93)</f>
        <v>23</v>
      </c>
      <c r="I9" s="32">
        <f t="shared" si="1"/>
        <v>-0.0605496395</v>
      </c>
      <c r="J9" s="33">
        <f t="shared" si="2"/>
        <v>22745.85</v>
      </c>
      <c r="K9" s="33">
        <f t="shared" si="3"/>
        <v>523.4755452</v>
      </c>
      <c r="L9" s="33">
        <f>sum(T_Analyse[Population 2023]-T_Analyse[Formule by Xavier])</f>
        <v>0</v>
      </c>
      <c r="M9" s="33">
        <f>SUMIFS(T_HDF[Population],T_HDF[Code_EPCI],T_Analyse[Code_EPCI])</f>
        <v>98895</v>
      </c>
    </row>
    <row r="10" ht="15.75" customHeight="1">
      <c r="A10" s="22" t="s">
        <v>68</v>
      </c>
      <c r="B10" s="24" t="s">
        <v>67</v>
      </c>
      <c r="C10" s="26">
        <f>COUNTIFS(T_HDF[Code_EPCI],A10)</f>
        <v>27</v>
      </c>
      <c r="D10" s="28">
        <f>SUMIFS(T_HDF[Superficie_km2],T_HDF[Code_EPCI],A10)</f>
        <v>181</v>
      </c>
      <c r="E10" s="26">
        <f t="array" ref="E10">_xlfn.XLOOKUP(T_Analyse[Code_EPCI],INSEE_EPCI!$A$2:$A$93,INSEE_EPCI!$C$2:$C$93)</f>
        <v>52328</v>
      </c>
      <c r="F10" s="26">
        <f t="array" ref="F10">_xlfn.XLOOKUP(T_Analyse[Code_EPCI],INSEE_EPCI!$A$2:$A$93,INSEE_EPCI!$D$2:$D$93)</f>
        <v>51809</v>
      </c>
      <c r="G10" s="26">
        <f t="array" ref="G10">_xlfn.XLOOKUP(T_Analyse[Code_EPCI],INSEE_EPCI!$A$2:$A$93,INSEE_EPCI!$E$2:$E$93)</f>
        <v>22560</v>
      </c>
      <c r="H10" s="26">
        <f t="array" ref="H10">_xlfn.XLOOKUP(T_Analyse[Code_EPCI],INSEE_EPCI!$A$2:$A$93,INSEE_EPCI!$F$2:$F$93)</f>
        <v>23.9</v>
      </c>
      <c r="I10" s="32">
        <f t="shared" si="1"/>
        <v>-0.009918208225</v>
      </c>
      <c r="J10" s="33">
        <f t="shared" si="2"/>
        <v>12382.351</v>
      </c>
      <c r="K10" s="33">
        <f t="shared" si="3"/>
        <v>286.2375691</v>
      </c>
      <c r="L10" s="33">
        <f>sum(T_Analyse[Population 2023]-T_Analyse[Formule by Xavier])</f>
        <v>0</v>
      </c>
      <c r="M10" s="33">
        <f>SUMIFS(T_HDF[Population],T_HDF[Code_EPCI],T_Analyse[Code_EPCI])</f>
        <v>51809</v>
      </c>
    </row>
    <row r="11" ht="15.75" customHeight="1">
      <c r="A11" s="22" t="s">
        <v>255</v>
      </c>
      <c r="B11" s="24" t="s">
        <v>145</v>
      </c>
      <c r="C11" s="26">
        <f>COUNTIFS(T_HDF[Code_EPCI],A11)</f>
        <v>43</v>
      </c>
      <c r="D11" s="28">
        <f>SUMIFS(T_HDF[Superficie_km2],T_HDF[Code_EPCI],A11)</f>
        <v>344.38</v>
      </c>
      <c r="E11" s="26">
        <f t="array" ref="E11">_xlfn.XLOOKUP(T_Analyse[Code_EPCI],INSEE_EPCI!$A$2:$A$93,INSEE_EPCI!$C$2:$C$93)</f>
        <v>125651</v>
      </c>
      <c r="F11" s="26">
        <f t="array" ref="F11">_xlfn.XLOOKUP(T_Analyse[Code_EPCI],INSEE_EPCI!$A$2:$A$93,INSEE_EPCI!$D$2:$D$93)</f>
        <v>122247</v>
      </c>
      <c r="G11" s="26">
        <f t="array" ref="G11">_xlfn.XLOOKUP(T_Analyse[Code_EPCI],INSEE_EPCI!$A$2:$A$93,INSEE_EPCI!$E$2:$E$93)</f>
        <v>20580</v>
      </c>
      <c r="H11" s="26">
        <f t="array" ref="H11">_xlfn.XLOOKUP(T_Analyse[Code_EPCI],INSEE_EPCI!$A$2:$A$93,INSEE_EPCI!$F$2:$F$93)</f>
        <v>28.6</v>
      </c>
      <c r="I11" s="32">
        <f t="shared" si="1"/>
        <v>-0.02709091054</v>
      </c>
      <c r="J11" s="33">
        <f t="shared" si="2"/>
        <v>34962.642</v>
      </c>
      <c r="K11" s="33">
        <f t="shared" si="3"/>
        <v>354.9770602</v>
      </c>
      <c r="L11" s="33">
        <f>sum(T_Analyse[Population 2023]-T_Analyse[Formule by Xavier])</f>
        <v>0</v>
      </c>
      <c r="M11" s="33">
        <f>SUMIFS(T_HDF[Population],T_HDF[Code_EPCI],T_Analyse[Code_EPCI])</f>
        <v>122247</v>
      </c>
    </row>
    <row r="12" ht="15.75" customHeight="1">
      <c r="A12" s="22" t="s">
        <v>268</v>
      </c>
      <c r="B12" s="24" t="s">
        <v>146</v>
      </c>
      <c r="C12" s="26">
        <f>COUNTIFS(T_HDF[Code_EPCI],A12)</f>
        <v>35</v>
      </c>
      <c r="D12" s="28">
        <f>SUMIFS(T_HDF[Superficie_km2],T_HDF[Code_EPCI],A12)</f>
        <v>262.85</v>
      </c>
      <c r="E12" s="26">
        <f t="array" ref="E12">_xlfn.XLOOKUP(T_Analyse[Code_EPCI],INSEE_EPCI!$A$2:$A$93,INSEE_EPCI!$C$2:$C$93)</f>
        <v>192594</v>
      </c>
      <c r="F12" s="26">
        <f t="array" ref="F12">_xlfn.XLOOKUP(T_Analyse[Code_EPCI],INSEE_EPCI!$A$2:$A$93,INSEE_EPCI!$D$2:$D$93)</f>
        <v>191738</v>
      </c>
      <c r="G12" s="26">
        <f t="array" ref="G12">_xlfn.XLOOKUP(T_Analyse[Code_EPCI],INSEE_EPCI!$A$2:$A$93,INSEE_EPCI!$E$2:$E$93)</f>
        <v>22000</v>
      </c>
      <c r="H12" s="26">
        <f t="array" ref="H12">_xlfn.XLOOKUP(T_Analyse[Code_EPCI],INSEE_EPCI!$A$2:$A$93,INSEE_EPCI!$F$2:$F$93)</f>
        <v>25</v>
      </c>
      <c r="I12" s="32">
        <f t="shared" si="1"/>
        <v>-0.004444582905</v>
      </c>
      <c r="J12" s="33">
        <f t="shared" si="2"/>
        <v>47934.5</v>
      </c>
      <c r="K12" s="33">
        <f t="shared" si="3"/>
        <v>729.4578657</v>
      </c>
      <c r="L12" s="33">
        <f>sum(T_Analyse[Population 2023]-T_Analyse[Formule by Xavier])</f>
        <v>0</v>
      </c>
      <c r="M12" s="33">
        <f>SUMIFS(T_HDF[Population],T_HDF[Code_EPCI],T_Analyse[Code_EPCI])</f>
        <v>191738</v>
      </c>
    </row>
    <row r="13" ht="15.75" customHeight="1">
      <c r="A13" s="22" t="s">
        <v>285</v>
      </c>
      <c r="B13" s="24" t="s">
        <v>116</v>
      </c>
      <c r="C13" s="26">
        <f>COUNTIFS(T_HDF[Code_EPCI],A13)</f>
        <v>14</v>
      </c>
      <c r="D13" s="28">
        <f>SUMIFS(T_HDF[Superficie_km2],T_HDF[Code_EPCI],A13)</f>
        <v>111.99</v>
      </c>
      <c r="E13" s="26">
        <f t="array" ref="E13">_xlfn.XLOOKUP(T_Analyse[Code_EPCI],INSEE_EPCI!$A$2:$A$93,INSEE_EPCI!$C$2:$C$93)</f>
        <v>125835</v>
      </c>
      <c r="F13" s="26">
        <f t="array" ref="F13">_xlfn.XLOOKUP(T_Analyse[Code_EPCI],INSEE_EPCI!$A$2:$A$93,INSEE_EPCI!$D$2:$D$93)</f>
        <v>125793</v>
      </c>
      <c r="G13" s="26">
        <f t="array" ref="G13">_xlfn.XLOOKUP(T_Analyse[Code_EPCI],INSEE_EPCI!$A$2:$A$93,INSEE_EPCI!$E$2:$E$93)</f>
        <v>21790</v>
      </c>
      <c r="H13" s="26">
        <f t="array" ref="H13">_xlfn.XLOOKUP(T_Analyse[Code_EPCI],INSEE_EPCI!$A$2:$A$93,INSEE_EPCI!$F$2:$F$93)</f>
        <v>23.3</v>
      </c>
      <c r="I13" s="32">
        <f t="shared" si="1"/>
        <v>-0.0003337704136</v>
      </c>
      <c r="J13" s="33">
        <f t="shared" si="2"/>
        <v>29309.769</v>
      </c>
      <c r="K13" s="33">
        <f t="shared" si="3"/>
        <v>1123.252076</v>
      </c>
      <c r="L13" s="33">
        <f>sum(T_Analyse[Population 2023]-T_Analyse[Formule by Xavier])</f>
        <v>0</v>
      </c>
      <c r="M13" s="33">
        <f>SUMIFS(T_HDF[Population],T_HDF[Code_EPCI],T_Analyse[Code_EPCI])</f>
        <v>125793</v>
      </c>
    </row>
    <row r="14" ht="15.75" customHeight="1">
      <c r="A14" s="22" t="s">
        <v>300</v>
      </c>
      <c r="B14" s="24" t="s">
        <v>118</v>
      </c>
      <c r="C14" s="26">
        <f>COUNTIFS(T_HDF[Code_EPCI],A14)</f>
        <v>100</v>
      </c>
      <c r="D14" s="28">
        <f>SUMIFS(T_HDF[Superficie_km2],T_HDF[Code_EPCI],A14)</f>
        <v>646.3</v>
      </c>
      <c r="E14" s="26">
        <f t="array" ref="E14">_xlfn.XLOOKUP(T_Analyse[Code_EPCI],INSEE_EPCI!$A$2:$A$93,INSEE_EPCI!$C$2:$C$93)</f>
        <v>276895</v>
      </c>
      <c r="F14" s="26">
        <f t="array" ref="F14">_xlfn.XLOOKUP(T_Analyse[Code_EPCI],INSEE_EPCI!$A$2:$A$93,INSEE_EPCI!$D$2:$D$93)</f>
        <v>275028</v>
      </c>
      <c r="G14" s="26">
        <f t="array" ref="G14">_xlfn.XLOOKUP(T_Analyse[Code_EPCI],INSEE_EPCI!$A$2:$A$93,INSEE_EPCI!$E$2:$E$93)</f>
        <v>22990</v>
      </c>
      <c r="H14" s="26">
        <f t="array" ref="H14">_xlfn.XLOOKUP(T_Analyse[Code_EPCI],INSEE_EPCI!$A$2:$A$93,INSEE_EPCI!$F$2:$F$93)</f>
        <v>19.4</v>
      </c>
      <c r="I14" s="32">
        <f t="shared" si="1"/>
        <v>-0.006742628072</v>
      </c>
      <c r="J14" s="33">
        <f t="shared" si="2"/>
        <v>53355.432</v>
      </c>
      <c r="K14" s="33">
        <f t="shared" si="3"/>
        <v>425.5423178</v>
      </c>
      <c r="L14" s="33">
        <f>sum(T_Analyse[Population 2023]-T_Analyse[Formule by Xavier])</f>
        <v>0</v>
      </c>
      <c r="M14" s="33">
        <f>SUMIFS(T_HDF[Population],T_HDF[Code_EPCI],T_Analyse[Code_EPCI])</f>
        <v>275028</v>
      </c>
    </row>
    <row r="15" ht="15.75" customHeight="1">
      <c r="A15" s="22" t="s">
        <v>312</v>
      </c>
      <c r="B15" s="24" t="s">
        <v>120</v>
      </c>
      <c r="C15" s="26">
        <f>COUNTIFS(T_HDF[Code_EPCI],A15)</f>
        <v>55</v>
      </c>
      <c r="D15" s="28">
        <f>SUMIFS(T_HDF[Superficie_km2],T_HDF[Code_EPCI],A15)</f>
        <v>411.74</v>
      </c>
      <c r="E15" s="26">
        <f t="array" ref="E15">_xlfn.XLOOKUP(T_Analyse[Code_EPCI],INSEE_EPCI!$A$2:$A$93,INSEE_EPCI!$C$2:$C$93)</f>
        <v>81906</v>
      </c>
      <c r="F15" s="26">
        <f t="array" ref="F15">_xlfn.XLOOKUP(T_Analyse[Code_EPCI],INSEE_EPCI!$A$2:$A$93,INSEE_EPCI!$D$2:$D$93)</f>
        <v>80120</v>
      </c>
      <c r="G15" s="26">
        <f t="array" ref="G15">_xlfn.XLOOKUP(T_Analyse[Code_EPCI],INSEE_EPCI!$A$2:$A$93,INSEE_EPCI!$E$2:$E$93)</f>
        <v>23780</v>
      </c>
      <c r="H15" s="26">
        <f t="array" ref="H15">_xlfn.XLOOKUP(T_Analyse[Code_EPCI],INSEE_EPCI!$A$2:$A$93,INSEE_EPCI!$F$2:$F$93)</f>
        <v>17.6</v>
      </c>
      <c r="I15" s="32">
        <f t="shared" si="1"/>
        <v>-0.02180548434</v>
      </c>
      <c r="J15" s="33">
        <f t="shared" si="2"/>
        <v>14101.12</v>
      </c>
      <c r="K15" s="33">
        <f t="shared" si="3"/>
        <v>194.5888182</v>
      </c>
      <c r="L15" s="33">
        <f>sum(T_Analyse[Population 2023]-T_Analyse[Formule by Xavier])</f>
        <v>0</v>
      </c>
      <c r="M15" s="33">
        <f>SUMIFS(T_HDF[Population],T_HDF[Code_EPCI],T_Analyse[Code_EPCI])</f>
        <v>80120</v>
      </c>
    </row>
    <row r="16" ht="15.75" customHeight="1">
      <c r="A16" s="22" t="s">
        <v>323</v>
      </c>
      <c r="B16" s="24" t="s">
        <v>127</v>
      </c>
      <c r="C16" s="26">
        <f>COUNTIFS(T_HDF[Code_EPCI],A16)</f>
        <v>36</v>
      </c>
      <c r="D16" s="28">
        <f>SUMIFS(T_HDF[Superficie_km2],T_HDF[Code_EPCI],A16)</f>
        <v>239.58</v>
      </c>
      <c r="E16" s="26">
        <f t="array" ref="E16">_xlfn.XLOOKUP(T_Analyse[Code_EPCI],INSEE_EPCI!$A$2:$A$93,INSEE_EPCI!$C$2:$C$93)</f>
        <v>241934</v>
      </c>
      <c r="F16" s="26">
        <f t="array" ref="F16">_xlfn.XLOOKUP(T_Analyse[Code_EPCI],INSEE_EPCI!$A$2:$A$93,INSEE_EPCI!$D$2:$D$93)</f>
        <v>242013</v>
      </c>
      <c r="G16" s="26">
        <f t="array" ref="G16">_xlfn.XLOOKUP(T_Analyse[Code_EPCI],INSEE_EPCI!$A$2:$A$93,INSEE_EPCI!$E$2:$E$93)</f>
        <v>21190</v>
      </c>
      <c r="H16" s="26">
        <f t="array" ref="H16">_xlfn.XLOOKUP(T_Analyse[Code_EPCI],INSEE_EPCI!$A$2:$A$93,INSEE_EPCI!$F$2:$F$93)</f>
        <v>25.3</v>
      </c>
      <c r="I16" s="32">
        <f t="shared" si="1"/>
        <v>0.0003265353361</v>
      </c>
      <c r="J16" s="33">
        <f t="shared" si="2"/>
        <v>61229.289</v>
      </c>
      <c r="K16" s="33">
        <f t="shared" si="3"/>
        <v>1010.155272</v>
      </c>
      <c r="L16" s="33">
        <f>sum(T_Analyse[Population 2023]-T_Analyse[Formule by Xavier])</f>
        <v>0</v>
      </c>
      <c r="M16" s="33">
        <f>SUMIFS(T_HDF[Population],T_HDF[Code_EPCI],T_Analyse[Code_EPCI])</f>
        <v>242013</v>
      </c>
    </row>
    <row r="17" ht="15.75" customHeight="1">
      <c r="A17" s="22" t="s">
        <v>325</v>
      </c>
      <c r="B17" s="24" t="s">
        <v>121</v>
      </c>
      <c r="C17" s="26">
        <f>COUNTIFS(T_HDF[Code_EPCI],A17)</f>
        <v>43</v>
      </c>
      <c r="D17" s="28">
        <f>SUMIFS(T_HDF[Superficie_km2],T_HDF[Code_EPCI],A17)</f>
        <v>398.5</v>
      </c>
      <c r="E17" s="26">
        <f t="array" ref="E17">_xlfn.XLOOKUP(T_Analyse[Code_EPCI],INSEE_EPCI!$A$2:$A$93,INSEE_EPCI!$C$2:$C$93)</f>
        <v>49191</v>
      </c>
      <c r="F17" s="26">
        <f t="array" ref="F17">_xlfn.XLOOKUP(T_Analyse[Code_EPCI],INSEE_EPCI!$A$2:$A$93,INSEE_EPCI!$D$2:$D$93)</f>
        <v>47572</v>
      </c>
      <c r="G17" s="26">
        <f t="array" ref="G17">_xlfn.XLOOKUP(T_Analyse[Code_EPCI],INSEE_EPCI!$A$2:$A$93,INSEE_EPCI!$E$2:$E$93)</f>
        <v>23410</v>
      </c>
      <c r="H17" s="26">
        <f t="array" ref="H17">_xlfn.XLOOKUP(T_Analyse[Code_EPCI],INSEE_EPCI!$A$2:$A$93,INSEE_EPCI!$F$2:$F$93)</f>
        <v>18.5</v>
      </c>
      <c r="I17" s="32">
        <f t="shared" si="1"/>
        <v>-0.03291252465</v>
      </c>
      <c r="J17" s="33">
        <f t="shared" si="2"/>
        <v>8800.82</v>
      </c>
      <c r="K17" s="33">
        <f t="shared" si="3"/>
        <v>119.3776662</v>
      </c>
      <c r="L17" s="33">
        <f>sum(T_Analyse[Population 2023]-T_Analyse[Formule by Xavier])</f>
        <v>0</v>
      </c>
      <c r="M17" s="33">
        <f>SUMIFS(T_HDF[Population],T_HDF[Code_EPCI],T_Analyse[Code_EPCI])</f>
        <v>47572</v>
      </c>
    </row>
    <row r="18" ht="15.75" customHeight="1">
      <c r="A18" s="22" t="s">
        <v>328</v>
      </c>
      <c r="B18" s="24" t="s">
        <v>122</v>
      </c>
      <c r="C18" s="26">
        <f>COUNTIFS(T_HDF[Code_EPCI],A18)</f>
        <v>47</v>
      </c>
      <c r="D18" s="28">
        <f>SUMIFS(T_HDF[Superficie_km2],T_HDF[Code_EPCI],A18)</f>
        <v>372.19</v>
      </c>
      <c r="E18" s="26">
        <f t="array" ref="E18">_xlfn.XLOOKUP(T_Analyse[Code_EPCI],INSEE_EPCI!$A$2:$A$93,INSEE_EPCI!$C$2:$C$93)</f>
        <v>158754</v>
      </c>
      <c r="F18" s="26">
        <f t="array" ref="F18">_xlfn.XLOOKUP(T_Analyse[Code_EPCI],INSEE_EPCI!$A$2:$A$93,INSEE_EPCI!$D$2:$D$93)</f>
        <v>158419</v>
      </c>
      <c r="G18" s="26">
        <f t="array" ref="G18">_xlfn.XLOOKUP(T_Analyse[Code_EPCI],INSEE_EPCI!$A$2:$A$93,INSEE_EPCI!$E$2:$E$93)</f>
        <v>21900</v>
      </c>
      <c r="H18" s="26">
        <f t="array" ref="H18">_xlfn.XLOOKUP(T_Analyse[Code_EPCI],INSEE_EPCI!$A$2:$A$93,INSEE_EPCI!$F$2:$F$93)</f>
        <v>23.6</v>
      </c>
      <c r="I18" s="32">
        <f t="shared" si="1"/>
        <v>-0.002110183051</v>
      </c>
      <c r="J18" s="33">
        <f t="shared" si="2"/>
        <v>37386.884</v>
      </c>
      <c r="K18" s="33">
        <f t="shared" si="3"/>
        <v>425.64013</v>
      </c>
      <c r="L18" s="33">
        <f>sum(T_Analyse[Population 2023]-T_Analyse[Formule by Xavier])</f>
        <v>0</v>
      </c>
      <c r="M18" s="33">
        <f>SUMIFS(T_HDF[Population],T_HDF[Code_EPCI],T_Analyse[Code_EPCI])</f>
        <v>158419</v>
      </c>
    </row>
    <row r="19" ht="15.75" customHeight="1">
      <c r="A19" s="22" t="s">
        <v>181</v>
      </c>
      <c r="B19" s="24" t="s">
        <v>123</v>
      </c>
      <c r="C19" s="26">
        <f>COUNTIFS(T_HDF[Code_EPCI],A19)</f>
        <v>87</v>
      </c>
      <c r="D19" s="28">
        <f>SUMIFS(T_HDF[Superficie_km2],T_HDF[Code_EPCI],A19)</f>
        <v>888.39</v>
      </c>
      <c r="E19" s="26">
        <f t="array" ref="E19">_xlfn.XLOOKUP(T_Analyse[Code_EPCI],INSEE_EPCI!$A$2:$A$93,INSEE_EPCI!$C$2:$C$93)</f>
        <v>54319</v>
      </c>
      <c r="F19" s="26">
        <f t="array" ref="F19">_xlfn.XLOOKUP(T_Analyse[Code_EPCI],INSEE_EPCI!$A$2:$A$93,INSEE_EPCI!$D$2:$D$93)</f>
        <v>54040</v>
      </c>
      <c r="G19" s="26">
        <f t="array" ref="G19">_xlfn.XLOOKUP(T_Analyse[Code_EPCI],INSEE_EPCI!$A$2:$A$93,INSEE_EPCI!$E$2:$E$93)</f>
        <v>24320</v>
      </c>
      <c r="H19" s="26">
        <f t="array" ref="H19">_xlfn.XLOOKUP(T_Analyse[Code_EPCI],INSEE_EPCI!$A$2:$A$93,INSEE_EPCI!$F$2:$F$93)</f>
        <v>17</v>
      </c>
      <c r="I19" s="32">
        <f t="shared" si="1"/>
        <v>-0.005136324306</v>
      </c>
      <c r="J19" s="33">
        <f t="shared" si="2"/>
        <v>9186.8</v>
      </c>
      <c r="K19" s="33">
        <f t="shared" si="3"/>
        <v>60.82914036</v>
      </c>
      <c r="L19" s="33">
        <f>sum(T_Analyse[Population 2023]-T_Analyse[Formule by Xavier])</f>
        <v>0</v>
      </c>
      <c r="M19" s="33">
        <f>SUMIFS(T_HDF[Population],T_HDF[Code_EPCI],T_Analyse[Code_EPCI])</f>
        <v>54040</v>
      </c>
    </row>
    <row r="20" ht="15.75" customHeight="1">
      <c r="A20" s="22" t="s">
        <v>333</v>
      </c>
      <c r="B20" s="24" t="s">
        <v>124</v>
      </c>
      <c r="C20" s="26">
        <f>COUNTIFS(T_HDF[Code_EPCI],A20)</f>
        <v>22</v>
      </c>
      <c r="D20" s="28">
        <f>SUMIFS(T_HDF[Superficie_km2],T_HDF[Code_EPCI],A20)</f>
        <v>264.64</v>
      </c>
      <c r="E20" s="26">
        <f t="array" ref="E20">_xlfn.XLOOKUP(T_Analyse[Code_EPCI],INSEE_EPCI!$A$2:$A$93,INSEE_EPCI!$C$2:$C$93)</f>
        <v>82281</v>
      </c>
      <c r="F20" s="26">
        <f t="array" ref="F20">_xlfn.XLOOKUP(T_Analyse[Code_EPCI],INSEE_EPCI!$A$2:$A$93,INSEE_EPCI!$D$2:$D$93)</f>
        <v>83992</v>
      </c>
      <c r="G20" s="26">
        <f t="array" ref="G20">_xlfn.XLOOKUP(T_Analyse[Code_EPCI],INSEE_EPCI!$A$2:$A$93,INSEE_EPCI!$E$2:$E$93)</f>
        <v>25950</v>
      </c>
      <c r="H20" s="26">
        <f t="array" ref="H20">_xlfn.XLOOKUP(T_Analyse[Code_EPCI],INSEE_EPCI!$A$2:$A$93,INSEE_EPCI!$F$2:$F$93)</f>
        <v>16.3</v>
      </c>
      <c r="I20" s="32">
        <f t="shared" si="1"/>
        <v>0.02079459413</v>
      </c>
      <c r="J20" s="33">
        <f t="shared" si="2"/>
        <v>13690.696</v>
      </c>
      <c r="K20" s="33">
        <f t="shared" si="3"/>
        <v>317.382104</v>
      </c>
      <c r="L20" s="33">
        <f>sum(T_Analyse[Population 2023]-T_Analyse[Formule by Xavier])</f>
        <v>0</v>
      </c>
      <c r="M20" s="33">
        <f>SUMIFS(T_HDF[Population],T_HDF[Code_EPCI],T_Analyse[Code_EPCI])</f>
        <v>83992</v>
      </c>
    </row>
    <row r="21" ht="15.75" customHeight="1">
      <c r="A21" s="22" t="s">
        <v>338</v>
      </c>
      <c r="B21" s="24" t="s">
        <v>128</v>
      </c>
      <c r="C21" s="26">
        <f>COUNTIFS(T_HDF[Code_EPCI],A21)</f>
        <v>46</v>
      </c>
      <c r="D21" s="28">
        <f>SUMIFS(T_HDF[Superficie_km2],T_HDF[Code_EPCI],A21)</f>
        <v>403.22</v>
      </c>
      <c r="E21" s="26">
        <f t="array" ref="E21">_xlfn.XLOOKUP(T_Analyse[Code_EPCI],INSEE_EPCI!$A$2:$A$93,INSEE_EPCI!$C$2:$C$93)</f>
        <v>66334</v>
      </c>
      <c r="F21" s="26">
        <f t="array" ref="F21">_xlfn.XLOOKUP(T_Analyse[Code_EPCI],INSEE_EPCI!$A$2:$A$93,INSEE_EPCI!$D$2:$D$93)</f>
        <v>64943</v>
      </c>
      <c r="G21" s="26">
        <f t="array" ref="G21">_xlfn.XLOOKUP(T_Analyse[Code_EPCI],INSEE_EPCI!$A$2:$A$93,INSEE_EPCI!$E$2:$E$93)</f>
        <v>25280</v>
      </c>
      <c r="H21" s="26">
        <f t="array" ref="H21">_xlfn.XLOOKUP(T_Analyse[Code_EPCI],INSEE_EPCI!$A$2:$A$93,INSEE_EPCI!$F$2:$F$93)</f>
        <v>13.7</v>
      </c>
      <c r="I21" s="32">
        <f t="shared" si="1"/>
        <v>-0.0209696385</v>
      </c>
      <c r="J21" s="33">
        <f t="shared" si="2"/>
        <v>8897.191</v>
      </c>
      <c r="K21" s="33">
        <f t="shared" si="3"/>
        <v>161.0609593</v>
      </c>
      <c r="L21" s="33">
        <f>sum(T_Analyse[Population 2023]-T_Analyse[Formule by Xavier])</f>
        <v>0</v>
      </c>
      <c r="M21" s="33">
        <f>SUMIFS(T_HDF[Population],T_HDF[Code_EPCI],T_Analyse[Code_EPCI])</f>
        <v>64943</v>
      </c>
    </row>
    <row r="22" ht="15.75" customHeight="1">
      <c r="A22" s="22" t="s">
        <v>341</v>
      </c>
      <c r="B22" s="24" t="s">
        <v>131</v>
      </c>
      <c r="C22" s="26">
        <f>COUNTIFS(T_HDF[Code_EPCI],A22)</f>
        <v>53</v>
      </c>
      <c r="D22" s="28">
        <f>SUMIFS(T_HDF[Superficie_km2],T_HDF[Code_EPCI],A22)</f>
        <v>540.86</v>
      </c>
      <c r="E22" s="26">
        <f t="array" ref="E22">_xlfn.XLOOKUP(T_Analyse[Code_EPCI],INSEE_EPCI!$A$2:$A$93,INSEE_EPCI!$C$2:$C$93)</f>
        <v>102607</v>
      </c>
      <c r="F22" s="26">
        <f t="array" ref="F22">_xlfn.XLOOKUP(T_Analyse[Code_EPCI],INSEE_EPCI!$A$2:$A$93,INSEE_EPCI!$D$2:$D$93)</f>
        <v>103106</v>
      </c>
      <c r="G22" s="26">
        <f t="array" ref="G22">_xlfn.XLOOKUP(T_Analyse[Code_EPCI],INSEE_EPCI!$A$2:$A$93,INSEE_EPCI!$E$2:$E$93)</f>
        <v>24370</v>
      </c>
      <c r="H22" s="26">
        <f t="array" ref="H22">_xlfn.XLOOKUP(T_Analyse[Code_EPCI],INSEE_EPCI!$A$2:$A$93,INSEE_EPCI!$F$2:$F$93)</f>
        <v>19.2</v>
      </c>
      <c r="I22" s="32">
        <f t="shared" si="1"/>
        <v>0.00486321596</v>
      </c>
      <c r="J22" s="33">
        <f t="shared" si="2"/>
        <v>19796.352</v>
      </c>
      <c r="K22" s="33">
        <f t="shared" si="3"/>
        <v>190.6334356</v>
      </c>
      <c r="L22" s="33">
        <f>sum(T_Analyse[Population 2023]-T_Analyse[Formule by Xavier])</f>
        <v>0</v>
      </c>
      <c r="M22" s="33">
        <f>SUMIFS(T_HDF[Population],T_HDF[Code_EPCI],T_Analyse[Code_EPCI])</f>
        <v>103106</v>
      </c>
    </row>
    <row r="23" ht="15.75" customHeight="1">
      <c r="A23" s="22" t="s">
        <v>346</v>
      </c>
      <c r="B23" s="24" t="s">
        <v>132</v>
      </c>
      <c r="C23" s="26">
        <f>COUNTIFS(T_HDF[Code_EPCI],A23)</f>
        <v>22</v>
      </c>
      <c r="D23" s="28">
        <f>SUMIFS(T_HDF[Superficie_km2],T_HDF[Code_EPCI],A23)</f>
        <v>205.28</v>
      </c>
      <c r="E23" s="26">
        <f t="array" ref="E23">_xlfn.XLOOKUP(T_Analyse[Code_EPCI],INSEE_EPCI!$A$2:$A$93,INSEE_EPCI!$C$2:$C$93)</f>
        <v>113211</v>
      </c>
      <c r="F23" s="26">
        <f t="array" ref="F23">_xlfn.XLOOKUP(T_Analyse[Code_EPCI],INSEE_EPCI!$A$2:$A$93,INSEE_EPCI!$D$2:$D$93)</f>
        <v>111647</v>
      </c>
      <c r="G23" s="26">
        <f t="array" ref="G23">_xlfn.XLOOKUP(T_Analyse[Code_EPCI],INSEE_EPCI!$A$2:$A$93,INSEE_EPCI!$E$2:$E$93)</f>
        <v>22740</v>
      </c>
      <c r="H23" s="26">
        <f t="array" ref="H23">_xlfn.XLOOKUP(T_Analyse[Code_EPCI],INSEE_EPCI!$A$2:$A$93,INSEE_EPCI!$F$2:$F$93)</f>
        <v>20.6</v>
      </c>
      <c r="I23" s="32">
        <f t="shared" si="1"/>
        <v>-0.01381491198</v>
      </c>
      <c r="J23" s="33">
        <f t="shared" si="2"/>
        <v>22999.282</v>
      </c>
      <c r="K23" s="33">
        <f t="shared" si="3"/>
        <v>543.8766563</v>
      </c>
      <c r="L23" s="33">
        <f>sum(T_Analyse[Population 2023]-T_Analyse[Formule by Xavier])</f>
        <v>0</v>
      </c>
      <c r="M23" s="33">
        <f>SUMIFS(T_HDF[Population],T_HDF[Code_EPCI],T_Analyse[Code_EPCI])</f>
        <v>111647</v>
      </c>
    </row>
    <row r="24" ht="15.75" customHeight="1">
      <c r="A24" s="22" t="s">
        <v>349</v>
      </c>
      <c r="B24" s="24" t="s">
        <v>135</v>
      </c>
      <c r="C24" s="26">
        <f>COUNTIFS(T_HDF[Code_EPCI],A24)</f>
        <v>46</v>
      </c>
      <c r="D24" s="28">
        <f>SUMIFS(T_HDF[Superficie_km2],T_HDF[Code_EPCI],A24)</f>
        <v>373.19</v>
      </c>
      <c r="E24" s="26">
        <f t="array" ref="E24">_xlfn.XLOOKUP(T_Analyse[Code_EPCI],INSEE_EPCI!$A$2:$A$93,INSEE_EPCI!$C$2:$C$93)</f>
        <v>64841</v>
      </c>
      <c r="F24" s="26">
        <f t="array" ref="F24">_xlfn.XLOOKUP(T_Analyse[Code_EPCI],INSEE_EPCI!$A$2:$A$93,INSEE_EPCI!$D$2:$D$93)</f>
        <v>62870</v>
      </c>
      <c r="G24" s="26">
        <f t="array" ref="G24">_xlfn.XLOOKUP(T_Analyse[Code_EPCI],INSEE_EPCI!$A$2:$A$93,INSEE_EPCI!$E$2:$E$93)</f>
        <v>21850</v>
      </c>
      <c r="H24" s="26">
        <f t="array" ref="H24">_xlfn.XLOOKUP(T_Analyse[Code_EPCI],INSEE_EPCI!$A$2:$A$93,INSEE_EPCI!$F$2:$F$93)</f>
        <v>22.3</v>
      </c>
      <c r="I24" s="32">
        <f t="shared" si="1"/>
        <v>-0.03039743372</v>
      </c>
      <c r="J24" s="33">
        <f t="shared" si="2"/>
        <v>14020.01</v>
      </c>
      <c r="K24" s="33">
        <f t="shared" si="3"/>
        <v>168.4664648</v>
      </c>
      <c r="L24" s="33">
        <f>sum(T_Analyse[Population 2023]-T_Analyse[Formule by Xavier])</f>
        <v>0</v>
      </c>
      <c r="M24" s="33">
        <f>SUMIFS(T_HDF[Population],T_HDF[Code_EPCI],T_Analyse[Code_EPCI])</f>
        <v>62870</v>
      </c>
    </row>
    <row r="25" ht="15.75" customHeight="1">
      <c r="A25" s="22" t="s">
        <v>189</v>
      </c>
      <c r="B25" s="24" t="s">
        <v>136</v>
      </c>
      <c r="C25" s="26">
        <f>COUNTIFS(T_HDF[Code_EPCI],A25)</f>
        <v>38</v>
      </c>
      <c r="D25" s="28">
        <f>SUMIFS(T_HDF[Superficie_km2],T_HDF[Code_EPCI],A25)</f>
        <v>318.06</v>
      </c>
      <c r="E25" s="26">
        <f t="array" ref="E25">_xlfn.XLOOKUP(T_Analyse[Code_EPCI],INSEE_EPCI!$A$2:$A$93,INSEE_EPCI!$C$2:$C$93)</f>
        <v>42884</v>
      </c>
      <c r="F25" s="26">
        <f t="array" ref="F25">_xlfn.XLOOKUP(T_Analyse[Code_EPCI],INSEE_EPCI!$A$2:$A$93,INSEE_EPCI!$D$2:$D$93)</f>
        <v>41835</v>
      </c>
      <c r="G25" s="26">
        <f t="array" ref="G25">_xlfn.XLOOKUP(T_Analyse[Code_EPCI],INSEE_EPCI!$A$2:$A$93,INSEE_EPCI!$E$2:$E$93)</f>
        <v>23010</v>
      </c>
      <c r="H25" s="26">
        <f t="array" ref="H25">_xlfn.XLOOKUP(T_Analyse[Code_EPCI],INSEE_EPCI!$A$2:$A$93,INSEE_EPCI!$F$2:$F$93)</f>
        <v>22.4</v>
      </c>
      <c r="I25" s="32">
        <f t="shared" si="1"/>
        <v>-0.02446133756</v>
      </c>
      <c r="J25" s="33">
        <f t="shared" si="2"/>
        <v>9371.04</v>
      </c>
      <c r="K25" s="33">
        <f t="shared" si="3"/>
        <v>131.5317865</v>
      </c>
      <c r="L25" s="33">
        <f>sum(T_Analyse[Population 2023]-T_Analyse[Formule by Xavier])</f>
        <v>0</v>
      </c>
      <c r="M25" s="33">
        <f>SUMIFS(T_HDF[Population],T_HDF[Code_EPCI],T_Analyse[Code_EPCI])</f>
        <v>41835</v>
      </c>
    </row>
    <row r="26" ht="15.75" customHeight="1">
      <c r="A26" s="22" t="s">
        <v>354</v>
      </c>
      <c r="B26" s="24" t="s">
        <v>139</v>
      </c>
      <c r="C26" s="26">
        <f>COUNTIFS(T_HDF[Code_EPCI],A26)</f>
        <v>53</v>
      </c>
      <c r="D26" s="28">
        <f>SUMIFS(T_HDF[Superficie_km2],T_HDF[Code_EPCI],A26)</f>
        <v>544.86</v>
      </c>
      <c r="E26" s="26">
        <f t="array" ref="E26">_xlfn.XLOOKUP(T_Analyse[Code_EPCI],INSEE_EPCI!$A$2:$A$93,INSEE_EPCI!$C$2:$C$93)</f>
        <v>105743</v>
      </c>
      <c r="F26" s="26">
        <f t="array" ref="F26">_xlfn.XLOOKUP(T_Analyse[Code_EPCI],INSEE_EPCI!$A$2:$A$93,INSEE_EPCI!$D$2:$D$93)</f>
        <v>104207</v>
      </c>
      <c r="G26" s="26">
        <f t="array" ref="G26">_xlfn.XLOOKUP(T_Analyse[Code_EPCI],INSEE_EPCI!$A$2:$A$93,INSEE_EPCI!$E$2:$E$93)</f>
        <v>23440</v>
      </c>
      <c r="H26" s="26">
        <f t="array" ref="H26">_xlfn.XLOOKUP(T_Analyse[Code_EPCI],INSEE_EPCI!$A$2:$A$93,INSEE_EPCI!$F$2:$F$93)</f>
        <v>17.6</v>
      </c>
      <c r="I26" s="32">
        <f t="shared" si="1"/>
        <v>-0.01452578421</v>
      </c>
      <c r="J26" s="33">
        <f t="shared" si="2"/>
        <v>18340.432</v>
      </c>
      <c r="K26" s="33">
        <f t="shared" si="3"/>
        <v>191.2546342</v>
      </c>
      <c r="L26" s="33">
        <f>sum(T_Analyse[Population 2023]-T_Analyse[Formule by Xavier])</f>
        <v>0</v>
      </c>
      <c r="M26" s="33">
        <f>SUMIFS(T_HDF[Population],T_HDF[Code_EPCI],T_Analyse[Code_EPCI])</f>
        <v>104207</v>
      </c>
    </row>
    <row r="27" ht="15.75" customHeight="1">
      <c r="A27" s="22" t="s">
        <v>147</v>
      </c>
      <c r="B27" s="24" t="s">
        <v>140</v>
      </c>
      <c r="C27" s="26">
        <f>COUNTIFS(T_HDF[Code_EPCI],A27)</f>
        <v>39</v>
      </c>
      <c r="D27" s="28">
        <f>SUMIFS(T_HDF[Superficie_km2],T_HDF[Code_EPCI],A27)</f>
        <v>294.8</v>
      </c>
      <c r="E27" s="26">
        <f t="array" ref="E27">_xlfn.XLOOKUP(T_Analyse[Code_EPCI],INSEE_EPCI!$A$2:$A$93,INSEE_EPCI!$C$2:$C$93)</f>
        <v>80781</v>
      </c>
      <c r="F27" s="26">
        <f t="array" ref="F27">_xlfn.XLOOKUP(T_Analyse[Code_EPCI],INSEE_EPCI!$A$2:$A$93,INSEE_EPCI!$D$2:$D$93)</f>
        <v>79010</v>
      </c>
      <c r="G27" s="26">
        <f t="array" ref="G27">_xlfn.XLOOKUP(T_Analyse[Code_EPCI],INSEE_EPCI!$A$2:$A$93,INSEE_EPCI!$E$2:$E$93)</f>
        <v>22260</v>
      </c>
      <c r="H27" s="26">
        <f t="array" ref="H27">_xlfn.XLOOKUP(T_Analyse[Code_EPCI],INSEE_EPCI!$A$2:$A$93,INSEE_EPCI!$F$2:$F$93)</f>
        <v>24</v>
      </c>
      <c r="I27" s="32">
        <f t="shared" si="1"/>
        <v>-0.0219234721</v>
      </c>
      <c r="J27" s="33">
        <f t="shared" si="2"/>
        <v>18962.4</v>
      </c>
      <c r="K27" s="33">
        <f t="shared" si="3"/>
        <v>268.0122117</v>
      </c>
      <c r="L27" s="33">
        <f>sum(T_Analyse[Population 2023]-T_Analyse[Formule by Xavier])</f>
        <v>0</v>
      </c>
      <c r="M27" s="33">
        <f>SUMIFS(T_HDF[Population],T_HDF[Code_EPCI],T_Analyse[Code_EPCI])</f>
        <v>79010</v>
      </c>
    </row>
    <row r="28" ht="15.75" customHeight="1">
      <c r="A28" s="22" t="s">
        <v>360</v>
      </c>
      <c r="B28" s="24" t="s">
        <v>148</v>
      </c>
      <c r="C28" s="26">
        <f>COUNTIFS(T_HDF[Code_EPCI],A28)</f>
        <v>47</v>
      </c>
      <c r="D28" s="28">
        <f>SUMIFS(T_HDF[Superficie_km2],T_HDF[Code_EPCI],A28)</f>
        <v>386.91</v>
      </c>
      <c r="E28" s="26">
        <f t="array" ref="E28">_xlfn.XLOOKUP(T_Analyse[Code_EPCI],INSEE_EPCI!$A$2:$A$93,INSEE_EPCI!$C$2:$C$93)</f>
        <v>21867</v>
      </c>
      <c r="F28" s="26">
        <f t="array" ref="F28">_xlfn.XLOOKUP(T_Analyse[Code_EPCI],INSEE_EPCI!$A$2:$A$93,INSEE_EPCI!$D$2:$D$93)</f>
        <v>21385</v>
      </c>
      <c r="G28" s="26">
        <f t="array" ref="G28">_xlfn.XLOOKUP(T_Analyse[Code_EPCI],INSEE_EPCI!$A$2:$A$93,INSEE_EPCI!$E$2:$E$93)</f>
        <v>26230</v>
      </c>
      <c r="H28" s="26">
        <f t="array" ref="H28">_xlfn.XLOOKUP(T_Analyse[Code_EPCI],INSEE_EPCI!$A$2:$A$93,INSEE_EPCI!$F$2:$F$93)</f>
        <v>10.3</v>
      </c>
      <c r="I28" s="32">
        <f t="shared" si="1"/>
        <v>-0.02204234692</v>
      </c>
      <c r="J28" s="33">
        <f t="shared" si="2"/>
        <v>2202.655</v>
      </c>
      <c r="K28" s="33">
        <f t="shared" si="3"/>
        <v>55.27125171</v>
      </c>
      <c r="L28" s="33">
        <f>sum(T_Analyse[Population 2023]-T_Analyse[Formule by Xavier])</f>
        <v>0</v>
      </c>
      <c r="M28" s="33">
        <f>SUMIFS(T_HDF[Population],T_HDF[Code_EPCI],T_Analyse[Code_EPCI])</f>
        <v>21385</v>
      </c>
    </row>
    <row r="29" ht="15.75" customHeight="1">
      <c r="A29" s="22" t="s">
        <v>363</v>
      </c>
      <c r="B29" s="24" t="s">
        <v>149</v>
      </c>
      <c r="C29" s="26">
        <f>COUNTIFS(T_HDF[Code_EPCI],A29)</f>
        <v>43</v>
      </c>
      <c r="D29" s="28">
        <f>SUMIFS(T_HDF[Superficie_km2],T_HDF[Code_EPCI],A29)</f>
        <v>417.83</v>
      </c>
      <c r="E29" s="26">
        <f t="array" ref="E29">_xlfn.XLOOKUP(T_Analyse[Code_EPCI],INSEE_EPCI!$A$2:$A$93,INSEE_EPCI!$C$2:$C$93)</f>
        <v>30153</v>
      </c>
      <c r="F29" s="26">
        <f t="array" ref="F29">_xlfn.XLOOKUP(T_Analyse[Code_EPCI],INSEE_EPCI!$A$2:$A$93,INSEE_EPCI!$D$2:$D$93)</f>
        <v>28503</v>
      </c>
      <c r="G29" s="26">
        <f t="array" ref="G29">_xlfn.XLOOKUP(T_Analyse[Code_EPCI],INSEE_EPCI!$A$2:$A$93,INSEE_EPCI!$E$2:$E$93)</f>
        <v>22920</v>
      </c>
      <c r="H29" s="26">
        <f t="array" ref="H29">_xlfn.XLOOKUP(T_Analyse[Code_EPCI],INSEE_EPCI!$A$2:$A$93,INSEE_EPCI!$F$2:$F$93)</f>
        <v>20.9</v>
      </c>
      <c r="I29" s="32">
        <f t="shared" si="1"/>
        <v>-0.05472092329</v>
      </c>
      <c r="J29" s="33">
        <f t="shared" si="2"/>
        <v>5957.127</v>
      </c>
      <c r="K29" s="33">
        <f t="shared" si="3"/>
        <v>68.21673887</v>
      </c>
      <c r="L29" s="33">
        <f>sum(T_Analyse[Population 2023]-T_Analyse[Formule by Xavier])</f>
        <v>0</v>
      </c>
      <c r="M29" s="33">
        <f>SUMIFS(T_HDF[Population],T_HDF[Code_EPCI],T_Analyse[Code_EPCI])</f>
        <v>28503</v>
      </c>
    </row>
    <row r="30" ht="15.75" customHeight="1">
      <c r="A30" s="22" t="s">
        <v>366</v>
      </c>
      <c r="B30" s="24" t="s">
        <v>214</v>
      </c>
      <c r="C30" s="26">
        <f>COUNTIFS(T_HDF[Code_EPCI],A30)</f>
        <v>8</v>
      </c>
      <c r="D30" s="28">
        <f>SUMIFS(T_HDF[Superficie_km2],T_HDF[Code_EPCI],A30)</f>
        <v>127.04</v>
      </c>
      <c r="E30" s="26">
        <f t="array" ref="E30">_xlfn.XLOOKUP(T_Analyse[Code_EPCI],INSEE_EPCI!$A$2:$A$93,INSEE_EPCI!$C$2:$C$93)</f>
        <v>39399</v>
      </c>
      <c r="F30" s="26">
        <f t="array" ref="F30">_xlfn.XLOOKUP(T_Analyse[Code_EPCI],INSEE_EPCI!$A$2:$A$93,INSEE_EPCI!$D$2:$D$93)</f>
        <v>40306</v>
      </c>
      <c r="G30" s="26">
        <f t="array" ref="G30">_xlfn.XLOOKUP(T_Analyse[Code_EPCI],INSEE_EPCI!$A$2:$A$93,INSEE_EPCI!$E$2:$E$93)</f>
        <v>25980</v>
      </c>
      <c r="H30" s="26">
        <f t="array" ref="H30">_xlfn.XLOOKUP(T_Analyse[Code_EPCI],INSEE_EPCI!$A$2:$A$93,INSEE_EPCI!$F$2:$F$93)</f>
        <v>11.6</v>
      </c>
      <c r="I30" s="32">
        <f t="shared" si="1"/>
        <v>0.02302088886</v>
      </c>
      <c r="J30" s="33">
        <f t="shared" si="2"/>
        <v>4675.496</v>
      </c>
      <c r="K30" s="33">
        <f t="shared" si="3"/>
        <v>317.2701511</v>
      </c>
      <c r="L30" s="33">
        <f>sum(T_Analyse[Population 2023]-T_Analyse[Formule by Xavier])</f>
        <v>0</v>
      </c>
      <c r="M30" s="33">
        <f>SUMIFS(T_HDF[Population],T_HDF[Code_EPCI],T_Analyse[Code_EPCI])</f>
        <v>40306</v>
      </c>
    </row>
    <row r="31" ht="15.75" customHeight="1">
      <c r="A31" s="22" t="s">
        <v>371</v>
      </c>
      <c r="B31" s="24" t="s">
        <v>216</v>
      </c>
      <c r="C31" s="26">
        <f>COUNTIFS(T_HDF[Code_EPCI],A31)</f>
        <v>10</v>
      </c>
      <c r="D31" s="28">
        <f>SUMIFS(T_HDF[Superficie_km2],T_HDF[Code_EPCI],A31)</f>
        <v>86.45</v>
      </c>
      <c r="E31" s="26">
        <f t="array" ref="E31">_xlfn.XLOOKUP(T_Analyse[Code_EPCI],INSEE_EPCI!$A$2:$A$93,INSEE_EPCI!$C$2:$C$93)</f>
        <v>21686</v>
      </c>
      <c r="F31" s="26">
        <f t="array" ref="F31">_xlfn.XLOOKUP(T_Analyse[Code_EPCI],INSEE_EPCI!$A$2:$A$93,INSEE_EPCI!$D$2:$D$93)</f>
        <v>21154</v>
      </c>
      <c r="G31" s="26">
        <f t="array" ref="G31">_xlfn.XLOOKUP(T_Analyse[Code_EPCI],INSEE_EPCI!$A$2:$A$93,INSEE_EPCI!$E$2:$E$93)</f>
        <v>23850</v>
      </c>
      <c r="H31" s="26">
        <f t="array" ref="H31">_xlfn.XLOOKUP(T_Analyse[Code_EPCI],INSEE_EPCI!$A$2:$A$93,INSEE_EPCI!$F$2:$F$93)</f>
        <v>14</v>
      </c>
      <c r="I31" s="32">
        <f t="shared" si="1"/>
        <v>-0.0245319561</v>
      </c>
      <c r="J31" s="33">
        <f t="shared" si="2"/>
        <v>2961.56</v>
      </c>
      <c r="K31" s="33">
        <f t="shared" si="3"/>
        <v>244.6963563</v>
      </c>
      <c r="L31" s="33">
        <f>sum(T_Analyse[Population 2023]-T_Analyse[Formule by Xavier])</f>
        <v>16893</v>
      </c>
      <c r="M31" s="33">
        <f>SUMIFS(T_HDF[Population],T_HDF[Code_EPCI],T_Analyse[Code_EPCI])</f>
        <v>4261</v>
      </c>
    </row>
    <row r="32" ht="15.75" customHeight="1">
      <c r="A32" s="22" t="s">
        <v>374</v>
      </c>
      <c r="B32" s="24" t="s">
        <v>218</v>
      </c>
      <c r="C32" s="26">
        <f>COUNTIFS(T_HDF[Code_EPCI],A32)</f>
        <v>36</v>
      </c>
      <c r="D32" s="28">
        <f>SUMIFS(T_HDF[Superficie_km2],T_HDF[Code_EPCI],A32)</f>
        <v>314.11</v>
      </c>
      <c r="E32" s="26">
        <f t="array" ref="E32">_xlfn.XLOOKUP(T_Analyse[Code_EPCI],INSEE_EPCI!$A$2:$A$93,INSEE_EPCI!$C$2:$C$93)</f>
        <v>28252</v>
      </c>
      <c r="F32" s="26">
        <f t="array" ref="F32">_xlfn.XLOOKUP(T_Analyse[Code_EPCI],INSEE_EPCI!$A$2:$A$93,INSEE_EPCI!$D$2:$D$93)</f>
        <v>27658</v>
      </c>
      <c r="G32" s="26">
        <f t="array" ref="G32">_xlfn.XLOOKUP(T_Analyse[Code_EPCI],INSEE_EPCI!$A$2:$A$93,INSEE_EPCI!$E$2:$E$93)</f>
        <v>24700</v>
      </c>
      <c r="H32" s="26">
        <f t="array" ref="H32">_xlfn.XLOOKUP(T_Analyse[Code_EPCI],INSEE_EPCI!$A$2:$A$93,INSEE_EPCI!$F$2:$F$93)</f>
        <v>13</v>
      </c>
      <c r="I32" s="32">
        <f t="shared" si="1"/>
        <v>-0.02102506017</v>
      </c>
      <c r="J32" s="33">
        <f t="shared" si="2"/>
        <v>3595.54</v>
      </c>
      <c r="K32" s="33">
        <f t="shared" si="3"/>
        <v>88.05195632</v>
      </c>
      <c r="L32" s="33">
        <f>sum(T_Analyse[Population 2023]-T_Analyse[Formule by Xavier])</f>
        <v>0</v>
      </c>
      <c r="M32" s="33">
        <f>SUMIFS(T_HDF[Population],T_HDF[Code_EPCI],T_Analyse[Code_EPCI])</f>
        <v>27658</v>
      </c>
    </row>
    <row r="33" ht="15.75" customHeight="1">
      <c r="A33" s="22" t="s">
        <v>377</v>
      </c>
      <c r="B33" s="24" t="s">
        <v>219</v>
      </c>
      <c r="C33" s="26">
        <f>COUNTIFS(T_HDF[Code_EPCI],A33)</f>
        <v>49</v>
      </c>
      <c r="D33" s="28">
        <f>SUMIFS(T_HDF[Superficie_km2],T_HDF[Code_EPCI],A33)</f>
        <v>331.61</v>
      </c>
      <c r="E33" s="26">
        <f t="array" ref="E33">_xlfn.XLOOKUP(T_Analyse[Code_EPCI],INSEE_EPCI!$A$2:$A$93,INSEE_EPCI!$C$2:$C$93)</f>
        <v>42151</v>
      </c>
      <c r="F33" s="26">
        <f t="array" ref="F33">_xlfn.XLOOKUP(T_Analyse[Code_EPCI],INSEE_EPCI!$A$2:$A$93,INSEE_EPCI!$D$2:$D$93)</f>
        <v>42999</v>
      </c>
      <c r="G33" s="26">
        <f t="array" ref="G33">_xlfn.XLOOKUP(T_Analyse[Code_EPCI],INSEE_EPCI!$A$2:$A$93,INSEE_EPCI!$E$2:$E$93)</f>
        <v>25860</v>
      </c>
      <c r="H33" s="26">
        <f t="array" ref="H33">_xlfn.XLOOKUP(T_Analyse[Code_EPCI],INSEE_EPCI!$A$2:$A$93,INSEE_EPCI!$F$2:$F$93)</f>
        <v>10.6</v>
      </c>
      <c r="I33" s="32">
        <f t="shared" si="1"/>
        <v>0.02011814666</v>
      </c>
      <c r="J33" s="33">
        <f t="shared" si="2"/>
        <v>4557.894</v>
      </c>
      <c r="K33" s="33">
        <f t="shared" si="3"/>
        <v>129.6673804</v>
      </c>
      <c r="L33" s="33">
        <f>sum(T_Analyse[Population 2023]-T_Analyse[Formule by Xavier])</f>
        <v>0</v>
      </c>
      <c r="M33" s="33">
        <f>SUMIFS(T_HDF[Population],T_HDF[Code_EPCI],T_Analyse[Code_EPCI])</f>
        <v>42999</v>
      </c>
    </row>
    <row r="34" ht="15.75" customHeight="1">
      <c r="A34" s="22" t="s">
        <v>380</v>
      </c>
      <c r="B34" s="24" t="s">
        <v>223</v>
      </c>
      <c r="C34" s="26">
        <f>COUNTIFS(T_HDF[Code_EPCI],A34)</f>
        <v>23</v>
      </c>
      <c r="D34" s="28">
        <f>SUMIFS(T_HDF[Superficie_km2],T_HDF[Code_EPCI],A34)</f>
        <v>190.63</v>
      </c>
      <c r="E34" s="26">
        <f t="array" ref="E34">_xlfn.XLOOKUP(T_Analyse[Code_EPCI],INSEE_EPCI!$A$2:$A$93,INSEE_EPCI!$C$2:$C$93)</f>
        <v>25187</v>
      </c>
      <c r="F34" s="26">
        <f t="array" ref="F34">_xlfn.XLOOKUP(T_Analyse[Code_EPCI],INSEE_EPCI!$A$2:$A$93,INSEE_EPCI!$D$2:$D$93)</f>
        <v>25148</v>
      </c>
      <c r="G34" s="26">
        <f t="array" ref="G34">_xlfn.XLOOKUP(T_Analyse[Code_EPCI],INSEE_EPCI!$A$2:$A$93,INSEE_EPCI!$E$2:$E$93)</f>
        <v>24080</v>
      </c>
      <c r="H34" s="26">
        <f t="array" ref="H34">_xlfn.XLOOKUP(T_Analyse[Code_EPCI],INSEE_EPCI!$A$2:$A$93,INSEE_EPCI!$F$2:$F$93)</f>
        <v>14.7</v>
      </c>
      <c r="I34" s="32">
        <f t="shared" si="1"/>
        <v>-0.001548417835</v>
      </c>
      <c r="J34" s="33">
        <f t="shared" si="2"/>
        <v>3696.756</v>
      </c>
      <c r="K34" s="33">
        <f t="shared" si="3"/>
        <v>131.9204742</v>
      </c>
      <c r="L34" s="33">
        <f>sum(T_Analyse[Population 2023]-T_Analyse[Formule by Xavier])</f>
        <v>0</v>
      </c>
      <c r="M34" s="33">
        <f>SUMIFS(T_HDF[Population],T_HDF[Code_EPCI],T_Analyse[Code_EPCI])</f>
        <v>25148</v>
      </c>
    </row>
    <row r="35" ht="15.75" customHeight="1">
      <c r="A35" s="22" t="s">
        <v>138</v>
      </c>
      <c r="B35" s="24" t="s">
        <v>137</v>
      </c>
      <c r="C35" s="26">
        <f>COUNTIFS(T_HDF[Code_EPCI],A35)</f>
        <v>36</v>
      </c>
      <c r="D35" s="28">
        <f>SUMIFS(T_HDF[Superficie_km2],T_HDF[Code_EPCI],A35)</f>
        <v>292.57</v>
      </c>
      <c r="E35" s="26">
        <f t="array" ref="E35">_xlfn.XLOOKUP(T_Analyse[Code_EPCI],INSEE_EPCI!$A$2:$A$93,INSEE_EPCI!$C$2:$C$93)</f>
        <v>17380</v>
      </c>
      <c r="F35" s="26">
        <f t="array" ref="F35">_xlfn.XLOOKUP(T_Analyse[Code_EPCI],INSEE_EPCI!$A$2:$A$93,INSEE_EPCI!$D$2:$D$93)</f>
        <v>16523</v>
      </c>
      <c r="G35" s="26">
        <f t="array" ref="G35">_xlfn.XLOOKUP(T_Analyse[Code_EPCI],INSEE_EPCI!$A$2:$A$93,INSEE_EPCI!$E$2:$E$93)</f>
        <v>24100</v>
      </c>
      <c r="H35" s="26">
        <f t="array" ref="H35">_xlfn.XLOOKUP(T_Analyse[Code_EPCI],INSEE_EPCI!$A$2:$A$93,INSEE_EPCI!$F$2:$F$93)</f>
        <v>16</v>
      </c>
      <c r="I35" s="32">
        <f t="shared" si="1"/>
        <v>-0.04930955121</v>
      </c>
      <c r="J35" s="33">
        <f t="shared" si="2"/>
        <v>2643.68</v>
      </c>
      <c r="K35" s="33">
        <f t="shared" si="3"/>
        <v>56.47537341</v>
      </c>
      <c r="L35" s="33">
        <f>sum(T_Analyse[Population 2023]-T_Analyse[Formule by Xavier])</f>
        <v>0</v>
      </c>
      <c r="M35" s="33">
        <f>SUMIFS(T_HDF[Population],T_HDF[Code_EPCI],T_Analyse[Code_EPCI])</f>
        <v>16523</v>
      </c>
    </row>
    <row r="36" ht="15.75" customHeight="1">
      <c r="A36" s="22" t="s">
        <v>387</v>
      </c>
      <c r="B36" s="24" t="s">
        <v>225</v>
      </c>
      <c r="C36" s="26">
        <f>COUNTIFS(T_HDF[Code_EPCI],A36)</f>
        <v>70</v>
      </c>
      <c r="D36" s="28">
        <f>SUMIFS(T_HDF[Superficie_km2],T_HDF[Code_EPCI],A36)</f>
        <v>780</v>
      </c>
      <c r="E36" s="26">
        <f t="array" ref="E36">_xlfn.XLOOKUP(T_Analyse[Code_EPCI],INSEE_EPCI!$A$2:$A$93,INSEE_EPCI!$C$2:$C$93)</f>
        <v>33144</v>
      </c>
      <c r="F36" s="26">
        <f t="array" ref="F36">_xlfn.XLOOKUP(T_Analyse[Code_EPCI],INSEE_EPCI!$A$2:$A$93,INSEE_EPCI!$D$2:$D$93)</f>
        <v>32495</v>
      </c>
      <c r="G36" s="26">
        <f t="array" ref="G36">_xlfn.XLOOKUP(T_Analyse[Code_EPCI],INSEE_EPCI!$A$2:$A$93,INSEE_EPCI!$E$2:$E$93)</f>
        <v>24290</v>
      </c>
      <c r="H36" s="26">
        <f t="array" ref="H36">_xlfn.XLOOKUP(T_Analyse[Code_EPCI],INSEE_EPCI!$A$2:$A$93,INSEE_EPCI!$F$2:$F$93)</f>
        <v>14.2</v>
      </c>
      <c r="I36" s="32">
        <f t="shared" si="1"/>
        <v>-0.01958122134</v>
      </c>
      <c r="J36" s="33">
        <f t="shared" si="2"/>
        <v>4614.29</v>
      </c>
      <c r="K36" s="33">
        <f t="shared" si="3"/>
        <v>41.66025641</v>
      </c>
      <c r="L36" s="33">
        <f>sum(T_Analyse[Population 2023]-T_Analyse[Formule by Xavier])</f>
        <v>0</v>
      </c>
      <c r="M36" s="33">
        <f>SUMIFS(T_HDF[Population],T_HDF[Code_EPCI],T_Analyse[Code_EPCI])</f>
        <v>32495</v>
      </c>
    </row>
    <row r="37" ht="15.75" customHeight="1">
      <c r="A37" s="22" t="s">
        <v>390</v>
      </c>
      <c r="B37" s="24" t="s">
        <v>224</v>
      </c>
      <c r="C37" s="26">
        <f>COUNTIFS(T_HDF[Code_EPCI],A37)</f>
        <v>38</v>
      </c>
      <c r="D37" s="28">
        <f>SUMIFS(T_HDF[Superficie_km2],T_HDF[Code_EPCI],A37)</f>
        <v>310.94</v>
      </c>
      <c r="E37" s="26">
        <f t="array" ref="E37">_xlfn.XLOOKUP(T_Analyse[Code_EPCI],INSEE_EPCI!$A$2:$A$93,INSEE_EPCI!$C$2:$C$93)</f>
        <v>95294</v>
      </c>
      <c r="F37" s="26">
        <f t="array" ref="F37">_xlfn.XLOOKUP(T_Analyse[Code_EPCI],INSEE_EPCI!$A$2:$A$93,INSEE_EPCI!$D$2:$D$93)</f>
        <v>99749</v>
      </c>
      <c r="G37" s="26">
        <f t="array" ref="G37">_xlfn.XLOOKUP(T_Analyse[Code_EPCI],INSEE_EPCI!$A$2:$A$93,INSEE_EPCI!$E$2:$E$93)</f>
        <v>29620</v>
      </c>
      <c r="H37" s="26">
        <f t="array" ref="H37">_xlfn.XLOOKUP(T_Analyse[Code_EPCI],INSEE_EPCI!$A$2:$A$93,INSEE_EPCI!$F$2:$F$93)</f>
        <v>8</v>
      </c>
      <c r="I37" s="32">
        <f t="shared" si="1"/>
        <v>0.04675005772</v>
      </c>
      <c r="J37" s="33">
        <f t="shared" si="2"/>
        <v>7979.92</v>
      </c>
      <c r="K37" s="33">
        <f t="shared" si="3"/>
        <v>320.7982247</v>
      </c>
      <c r="L37" s="33">
        <f>sum(T_Analyse[Population 2023]-T_Analyse[Formule by Xavier])</f>
        <v>0</v>
      </c>
      <c r="M37" s="33">
        <f>SUMIFS(T_HDF[Population],T_HDF[Code_EPCI],T_Analyse[Code_EPCI])</f>
        <v>99749</v>
      </c>
    </row>
    <row r="38" ht="15.75" customHeight="1">
      <c r="A38" s="22" t="s">
        <v>103</v>
      </c>
      <c r="B38" s="24" t="s">
        <v>102</v>
      </c>
      <c r="C38" s="26">
        <f>COUNTIFS(T_HDF[Code_EPCI],A38)</f>
        <v>54</v>
      </c>
      <c r="D38" s="28">
        <f>SUMIFS(T_HDF[Superficie_km2],T_HDF[Code_EPCI],A38)</f>
        <v>537.2</v>
      </c>
      <c r="E38" s="26">
        <f t="array" ref="E38">_xlfn.XLOOKUP(T_Analyse[Code_EPCI],INSEE_EPCI!$A$2:$A$93,INSEE_EPCI!$C$2:$C$93)</f>
        <v>29643</v>
      </c>
      <c r="F38" s="26">
        <f t="array" ref="F38">_xlfn.XLOOKUP(T_Analyse[Code_EPCI],INSEE_EPCI!$A$2:$A$93,INSEE_EPCI!$D$2:$D$93)</f>
        <v>29037</v>
      </c>
      <c r="G38" s="26">
        <f t="array" ref="G38">_xlfn.XLOOKUP(T_Analyse[Code_EPCI],INSEE_EPCI!$A$2:$A$93,INSEE_EPCI!$E$2:$E$93)</f>
        <v>25030</v>
      </c>
      <c r="H38" s="26">
        <f t="array" ref="H38">_xlfn.XLOOKUP(T_Analyse[Code_EPCI],INSEE_EPCI!$A$2:$A$93,INSEE_EPCI!$F$2:$F$93)</f>
        <v>13</v>
      </c>
      <c r="I38" s="32">
        <f t="shared" si="1"/>
        <v>-0.02044327497</v>
      </c>
      <c r="J38" s="33">
        <f t="shared" si="2"/>
        <v>3774.81</v>
      </c>
      <c r="K38" s="33">
        <f t="shared" si="3"/>
        <v>54.05249442</v>
      </c>
      <c r="L38" s="33">
        <f>sum(T_Analyse[Population 2023]-T_Analyse[Formule by Xavier])</f>
        <v>0</v>
      </c>
      <c r="M38" s="33">
        <f>SUMIFS(T_HDF[Population],T_HDF[Code_EPCI],T_Analyse[Code_EPCI])</f>
        <v>29037</v>
      </c>
    </row>
    <row r="39" ht="15.75" customHeight="1">
      <c r="A39" s="22" t="s">
        <v>396</v>
      </c>
      <c r="B39" s="24" t="s">
        <v>228</v>
      </c>
      <c r="C39" s="26">
        <f>COUNTIFS(T_HDF[Code_EPCI],A39)</f>
        <v>17</v>
      </c>
      <c r="D39" s="28">
        <f>SUMIFS(T_HDF[Superficie_km2],T_HDF[Code_EPCI],A39)</f>
        <v>204.38</v>
      </c>
      <c r="E39" s="26">
        <f t="array" ref="E39">_xlfn.XLOOKUP(T_Analyse[Code_EPCI],INSEE_EPCI!$A$2:$A$93,INSEE_EPCI!$C$2:$C$93)</f>
        <v>23717</v>
      </c>
      <c r="F39" s="26">
        <f t="array" ref="F39">_xlfn.XLOOKUP(T_Analyse[Code_EPCI],INSEE_EPCI!$A$2:$A$93,INSEE_EPCI!$D$2:$D$93)</f>
        <v>24968</v>
      </c>
      <c r="G39" s="26">
        <f t="array" ref="G39">_xlfn.XLOOKUP(T_Analyse[Code_EPCI],INSEE_EPCI!$A$2:$A$93,INSEE_EPCI!$E$2:$E$93)</f>
        <v>31670</v>
      </c>
      <c r="H39" s="26">
        <f t="array" ref="H39">_xlfn.XLOOKUP(T_Analyse[Code_EPCI],INSEE_EPCI!$A$2:$A$93,INSEE_EPCI!$F$2:$F$93)</f>
        <v>8.8</v>
      </c>
      <c r="I39" s="32">
        <f t="shared" si="1"/>
        <v>0.05274697474</v>
      </c>
      <c r="J39" s="33">
        <f t="shared" si="2"/>
        <v>2197.184</v>
      </c>
      <c r="K39" s="33">
        <f t="shared" si="3"/>
        <v>122.1645954</v>
      </c>
      <c r="L39" s="33">
        <f>sum(T_Analyse[Population 2023]-T_Analyse[Formule by Xavier])</f>
        <v>0</v>
      </c>
      <c r="M39" s="33">
        <f>SUMIFS(T_HDF[Population],T_HDF[Code_EPCI],T_Analyse[Code_EPCI])</f>
        <v>24968</v>
      </c>
    </row>
    <row r="40" ht="15.75" customHeight="1">
      <c r="A40" s="22" t="s">
        <v>400</v>
      </c>
      <c r="B40" s="24" t="s">
        <v>229</v>
      </c>
      <c r="C40" s="26">
        <f>COUNTIFS(T_HDF[Code_EPCI],A40)</f>
        <v>119</v>
      </c>
      <c r="D40" s="28">
        <f>SUMIFS(T_HDF[Superficie_km2],T_HDF[Code_EPCI],A40)</f>
        <v>912.51</v>
      </c>
      <c r="E40" s="26">
        <f t="array" ref="E40">_xlfn.XLOOKUP(T_Analyse[Code_EPCI],INSEE_EPCI!$A$2:$A$93,INSEE_EPCI!$C$2:$C$93)</f>
        <v>38782</v>
      </c>
      <c r="F40" s="26">
        <f t="array" ref="F40">_xlfn.XLOOKUP(T_Analyse[Code_EPCI],INSEE_EPCI!$A$2:$A$93,INSEE_EPCI!$D$2:$D$93)</f>
        <v>37863</v>
      </c>
      <c r="G40" s="26">
        <f t="array" ref="G40">_xlfn.XLOOKUP(T_Analyse[Code_EPCI],INSEE_EPCI!$A$2:$A$93,INSEE_EPCI!$E$2:$E$93)</f>
        <v>25250</v>
      </c>
      <c r="H40" s="26">
        <f t="array" ref="H40">_xlfn.XLOOKUP(T_Analyse[Code_EPCI],INSEE_EPCI!$A$2:$A$93,INSEE_EPCI!$F$2:$F$93)</f>
        <v>12.5</v>
      </c>
      <c r="I40" s="32">
        <f t="shared" si="1"/>
        <v>-0.02369656026</v>
      </c>
      <c r="J40" s="33">
        <f t="shared" si="2"/>
        <v>4732.875</v>
      </c>
      <c r="K40" s="33">
        <f t="shared" si="3"/>
        <v>41.49324391</v>
      </c>
      <c r="L40" s="33">
        <f>sum(T_Analyse[Population 2023]-T_Analyse[Formule by Xavier])</f>
        <v>0</v>
      </c>
      <c r="M40" s="33">
        <f>SUMIFS(T_HDF[Population],T_HDF[Code_EPCI],T_Analyse[Code_EPCI])</f>
        <v>37863</v>
      </c>
    </row>
    <row r="41" ht="15.75" customHeight="1">
      <c r="A41" s="22" t="s">
        <v>402</v>
      </c>
      <c r="B41" s="24" t="s">
        <v>230</v>
      </c>
      <c r="C41" s="26">
        <f>COUNTIFS(T_HDF[Code_EPCI],A41)</f>
        <v>43</v>
      </c>
      <c r="D41" s="28">
        <f>SUMIFS(T_HDF[Superficie_km2],T_HDF[Code_EPCI],A41)</f>
        <v>297.82</v>
      </c>
      <c r="E41" s="26">
        <f t="array" ref="E41">_xlfn.XLOOKUP(T_Analyse[Code_EPCI],INSEE_EPCI!$A$2:$A$93,INSEE_EPCI!$C$2:$C$93)</f>
        <v>18371</v>
      </c>
      <c r="F41" s="26">
        <f t="array" ref="F41">_xlfn.XLOOKUP(T_Analyse[Code_EPCI],INSEE_EPCI!$A$2:$A$93,INSEE_EPCI!$D$2:$D$93)</f>
        <v>17968</v>
      </c>
      <c r="G41" s="26">
        <f t="array" ref="G41">_xlfn.XLOOKUP(T_Analyse[Code_EPCI],INSEE_EPCI!$A$2:$A$93,INSEE_EPCI!$E$2:$E$93)</f>
        <v>23790</v>
      </c>
      <c r="H41" s="26">
        <f t="array" ref="H41">_xlfn.XLOOKUP(T_Analyse[Code_EPCI],INSEE_EPCI!$A$2:$A$93,INSEE_EPCI!$F$2:$F$93)</f>
        <v>16</v>
      </c>
      <c r="I41" s="32">
        <f t="shared" si="1"/>
        <v>-0.02193674814</v>
      </c>
      <c r="J41" s="33">
        <f t="shared" si="2"/>
        <v>2874.88</v>
      </c>
      <c r="K41" s="33">
        <f t="shared" si="3"/>
        <v>60.33174401</v>
      </c>
      <c r="L41" s="33">
        <f>sum(T_Analyse[Population 2023]-T_Analyse[Formule by Xavier])</f>
        <v>0</v>
      </c>
      <c r="M41" s="33">
        <f>SUMIFS(T_HDF[Population],T_HDF[Code_EPCI],T_Analyse[Code_EPCI])</f>
        <v>17968</v>
      </c>
    </row>
    <row r="42" ht="15.75" customHeight="1">
      <c r="A42" s="22" t="s">
        <v>406</v>
      </c>
      <c r="B42" s="24" t="s">
        <v>231</v>
      </c>
      <c r="C42" s="26">
        <f>COUNTIFS(T_HDF[Code_EPCI],A42)</f>
        <v>41</v>
      </c>
      <c r="D42" s="28">
        <f>SUMIFS(T_HDF[Superficie_km2],T_HDF[Code_EPCI],A42)</f>
        <v>315.14</v>
      </c>
      <c r="E42" s="26">
        <f t="array" ref="E42">_xlfn.XLOOKUP(T_Analyse[Code_EPCI],INSEE_EPCI!$A$2:$A$93,INSEE_EPCI!$C$2:$C$93)</f>
        <v>60767</v>
      </c>
      <c r="F42" s="26">
        <f t="array" ref="F42">_xlfn.XLOOKUP(T_Analyse[Code_EPCI],INSEE_EPCI!$A$2:$A$93,INSEE_EPCI!$D$2:$D$93)</f>
        <v>61824</v>
      </c>
      <c r="G42" s="26">
        <f t="array" ref="G42">_xlfn.XLOOKUP(T_Analyse[Code_EPCI],INSEE_EPCI!$A$2:$A$93,INSEE_EPCI!$E$2:$E$93)</f>
        <v>27960</v>
      </c>
      <c r="H42" s="26">
        <f t="array" ref="H42">_xlfn.XLOOKUP(T_Analyse[Code_EPCI],INSEE_EPCI!$A$2:$A$93,INSEE_EPCI!$F$2:$F$93)</f>
        <v>8.1</v>
      </c>
      <c r="I42" s="32">
        <f t="shared" si="1"/>
        <v>0.01739430941</v>
      </c>
      <c r="J42" s="33">
        <f t="shared" si="2"/>
        <v>5007.744</v>
      </c>
      <c r="K42" s="33">
        <f t="shared" si="3"/>
        <v>196.1794758</v>
      </c>
      <c r="L42" s="33">
        <f>sum(T_Analyse[Population 2023]-T_Analyse[Formule by Xavier])</f>
        <v>0</v>
      </c>
      <c r="M42" s="33">
        <f>SUMIFS(T_HDF[Population],T_HDF[Code_EPCI],T_Analyse[Code_EPCI])</f>
        <v>61824</v>
      </c>
    </row>
    <row r="43" ht="15.75" customHeight="1">
      <c r="A43" s="22" t="s">
        <v>83</v>
      </c>
      <c r="B43" s="24" t="s">
        <v>82</v>
      </c>
      <c r="C43" s="26">
        <f>COUNTIFS(T_HDF[Code_EPCI],A43)</f>
        <v>36</v>
      </c>
      <c r="D43" s="28">
        <f>SUMIFS(T_HDF[Superficie_km2],T_HDF[Code_EPCI],A43)</f>
        <v>331.98</v>
      </c>
      <c r="E43" s="26">
        <f t="array" ref="E43">_xlfn.XLOOKUP(T_Analyse[Code_EPCI],INSEE_EPCI!$A$2:$A$93,INSEE_EPCI!$C$2:$C$93)</f>
        <v>16923</v>
      </c>
      <c r="F43" s="26">
        <f t="array" ref="F43">_xlfn.XLOOKUP(T_Analyse[Code_EPCI],INSEE_EPCI!$A$2:$A$93,INSEE_EPCI!$D$2:$D$93)</f>
        <v>16257</v>
      </c>
      <c r="G43" s="26">
        <f t="array" ref="G43">_xlfn.XLOOKUP(T_Analyse[Code_EPCI],INSEE_EPCI!$A$2:$A$93,INSEE_EPCI!$E$2:$E$93)</f>
        <v>21700</v>
      </c>
      <c r="H43" s="26">
        <f t="array" ref="H43">_xlfn.XLOOKUP(T_Analyse[Code_EPCI],INSEE_EPCI!$A$2:$A$93,INSEE_EPCI!$F$2:$F$93)</f>
        <v>24</v>
      </c>
      <c r="I43" s="32">
        <f t="shared" si="1"/>
        <v>-0.03935472434</v>
      </c>
      <c r="J43" s="33">
        <f t="shared" si="2"/>
        <v>3901.68</v>
      </c>
      <c r="K43" s="33">
        <f t="shared" si="3"/>
        <v>48.96981746</v>
      </c>
      <c r="L43" s="33">
        <f>sum(T_Analyse[Population 2023]-T_Analyse[Formule by Xavier])</f>
        <v>0</v>
      </c>
      <c r="M43" s="33">
        <f>SUMIFS(T_HDF[Population],T_HDF[Code_EPCI],T_Analyse[Code_EPCI])</f>
        <v>16257</v>
      </c>
    </row>
    <row r="44" ht="15.75" customHeight="1">
      <c r="A44" s="22" t="s">
        <v>411</v>
      </c>
      <c r="B44" s="24" t="s">
        <v>150</v>
      </c>
      <c r="C44" s="26">
        <f>COUNTIFS(T_HDF[Code_EPCI],A44)</f>
        <v>31</v>
      </c>
      <c r="D44" s="28">
        <f>SUMIFS(T_HDF[Superficie_km2],T_HDF[Code_EPCI],A44)</f>
        <v>247.38</v>
      </c>
      <c r="E44" s="26">
        <f t="array" ref="E44">_xlfn.XLOOKUP(T_Analyse[Code_EPCI],INSEE_EPCI!$A$2:$A$93,INSEE_EPCI!$C$2:$C$93)</f>
        <v>23107</v>
      </c>
      <c r="F44" s="26">
        <f t="array" ref="F44">_xlfn.XLOOKUP(T_Analyse[Code_EPCI],INSEE_EPCI!$A$2:$A$93,INSEE_EPCI!$D$2:$D$93)</f>
        <v>23211</v>
      </c>
      <c r="G44" s="26">
        <f t="array" ref="G44">_xlfn.XLOOKUP(T_Analyse[Code_EPCI],INSEE_EPCI!$A$2:$A$93,INSEE_EPCI!$E$2:$E$93)</f>
        <v>24030</v>
      </c>
      <c r="H44" s="26">
        <f t="array" ref="H44">_xlfn.XLOOKUP(T_Analyse[Code_EPCI],INSEE_EPCI!$A$2:$A$93,INSEE_EPCI!$F$2:$F$93)</f>
        <v>14.1</v>
      </c>
      <c r="I44" s="32">
        <f t="shared" si="1"/>
        <v>0.004500800623</v>
      </c>
      <c r="J44" s="33">
        <f t="shared" si="2"/>
        <v>3272.751</v>
      </c>
      <c r="K44" s="33">
        <f t="shared" si="3"/>
        <v>93.82731021</v>
      </c>
      <c r="L44" s="33">
        <f>sum(T_Analyse[Population 2023]-T_Analyse[Formule by Xavier])</f>
        <v>0</v>
      </c>
      <c r="M44" s="33">
        <f>SUMIFS(T_HDF[Population],T_HDF[Code_EPCI],T_Analyse[Code_EPCI])</f>
        <v>23211</v>
      </c>
    </row>
    <row r="45" ht="15.75" customHeight="1">
      <c r="A45" s="22" t="s">
        <v>414</v>
      </c>
      <c r="B45" s="24" t="s">
        <v>151</v>
      </c>
      <c r="C45" s="26">
        <f>COUNTIFS(T_HDF[Code_EPCI],A45)</f>
        <v>11</v>
      </c>
      <c r="D45" s="28">
        <f>SUMIFS(T_HDF[Superficie_km2],T_HDF[Code_EPCI],A45)</f>
        <v>149.9</v>
      </c>
      <c r="E45" s="26">
        <f t="array" ref="E45">_xlfn.XLOOKUP(T_Analyse[Code_EPCI],INSEE_EPCI!$A$2:$A$93,INSEE_EPCI!$C$2:$C$93)</f>
        <v>44831</v>
      </c>
      <c r="F45" s="26">
        <f t="array" ref="F45">_xlfn.XLOOKUP(T_Analyse[Code_EPCI],INSEE_EPCI!$A$2:$A$93,INSEE_EPCI!$D$2:$D$93)</f>
        <v>44610</v>
      </c>
      <c r="G45" s="26">
        <f t="array" ref="G45">_xlfn.XLOOKUP(T_Analyse[Code_EPCI],INSEE_EPCI!$A$2:$A$93,INSEE_EPCI!$E$2:$E$93)</f>
        <v>34810</v>
      </c>
      <c r="H45" s="26">
        <f t="array" ref="H45">_xlfn.XLOOKUP(T_Analyse[Code_EPCI],INSEE_EPCI!$A$2:$A$93,INSEE_EPCI!$F$2:$F$93)</f>
        <v>7.1</v>
      </c>
      <c r="I45" s="32">
        <f t="shared" si="1"/>
        <v>-0.00492962459</v>
      </c>
      <c r="J45" s="33">
        <f t="shared" si="2"/>
        <v>3167.31</v>
      </c>
      <c r="K45" s="33">
        <f t="shared" si="3"/>
        <v>297.5983989</v>
      </c>
      <c r="L45" s="33">
        <f>sum(T_Analyse[Population 2023]-T_Analyse[Formule by Xavier])</f>
        <v>0</v>
      </c>
      <c r="M45" s="33">
        <f>SUMIFS(T_HDF[Population],T_HDF[Code_EPCI],T_Analyse[Code_EPCI])</f>
        <v>44610</v>
      </c>
    </row>
    <row r="46" ht="15.75" customHeight="1">
      <c r="A46" s="22" t="s">
        <v>417</v>
      </c>
      <c r="B46" s="24" t="s">
        <v>152</v>
      </c>
      <c r="C46" s="26">
        <f>COUNTIFS(T_HDF[Code_EPCI],A46)</f>
        <v>41</v>
      </c>
      <c r="D46" s="28">
        <f>SUMIFS(T_HDF[Superficie_km2],T_HDF[Code_EPCI],A46)</f>
        <v>266.22</v>
      </c>
      <c r="E46" s="26">
        <f t="array" ref="E46">_xlfn.XLOOKUP(T_Analyse[Code_EPCI],INSEE_EPCI!$A$2:$A$93,INSEE_EPCI!$C$2:$C$93)</f>
        <v>20391</v>
      </c>
      <c r="F46" s="26">
        <f t="array" ref="F46">_xlfn.XLOOKUP(T_Analyse[Code_EPCI],INSEE_EPCI!$A$2:$A$93,INSEE_EPCI!$D$2:$D$93)</f>
        <v>19637</v>
      </c>
      <c r="G46" s="26">
        <f t="array" ref="G46">_xlfn.XLOOKUP(T_Analyse[Code_EPCI],INSEE_EPCI!$A$2:$A$93,INSEE_EPCI!$E$2:$E$93)</f>
        <v>23140</v>
      </c>
      <c r="H46" s="26">
        <f t="array" ref="H46">_xlfn.XLOOKUP(T_Analyse[Code_EPCI],INSEE_EPCI!$A$2:$A$93,INSEE_EPCI!$F$2:$F$93)</f>
        <v>17</v>
      </c>
      <c r="I46" s="32">
        <f t="shared" si="1"/>
        <v>-0.03697709774</v>
      </c>
      <c r="J46" s="33">
        <f t="shared" si="2"/>
        <v>3338.29</v>
      </c>
      <c r="K46" s="33">
        <f t="shared" si="3"/>
        <v>73.76230186</v>
      </c>
      <c r="L46" s="33">
        <f>sum(T_Analyse[Population 2023]-T_Analyse[Formule by Xavier])</f>
        <v>0</v>
      </c>
      <c r="M46" s="33">
        <f>SUMIFS(T_HDF[Population],T_HDF[Code_EPCI],T_Analyse[Code_EPCI])</f>
        <v>19637</v>
      </c>
    </row>
    <row r="47" ht="15.75" customHeight="1">
      <c r="A47" s="22" t="s">
        <v>420</v>
      </c>
      <c r="B47" s="24" t="s">
        <v>155</v>
      </c>
      <c r="C47" s="26">
        <f>COUNTIFS(T_HDF[Code_EPCI],A47)</f>
        <v>52</v>
      </c>
      <c r="D47" s="28">
        <f>SUMIFS(T_HDF[Superficie_km2],T_HDF[Code_EPCI],A47)</f>
        <v>397.27</v>
      </c>
      <c r="E47" s="26">
        <f t="array" ref="E47">_xlfn.XLOOKUP(T_Analyse[Code_EPCI],INSEE_EPCI!$A$2:$A$93,INSEE_EPCI!$C$2:$C$93)</f>
        <v>21163</v>
      </c>
      <c r="F47" s="26">
        <f t="array" ref="F47">_xlfn.XLOOKUP(T_Analyse[Code_EPCI],INSEE_EPCI!$A$2:$A$93,INSEE_EPCI!$D$2:$D$93)</f>
        <v>20928</v>
      </c>
      <c r="G47" s="26">
        <f t="array" ref="G47">_xlfn.XLOOKUP(T_Analyse[Code_EPCI],INSEE_EPCI!$A$2:$A$93,INSEE_EPCI!$E$2:$E$93)</f>
        <v>24840</v>
      </c>
      <c r="H47" s="26">
        <f t="array" ref="H47">_xlfn.XLOOKUP(T_Analyse[Code_EPCI],INSEE_EPCI!$A$2:$A$93,INSEE_EPCI!$F$2:$F$93)</f>
        <v>13.4</v>
      </c>
      <c r="I47" s="32">
        <f t="shared" si="1"/>
        <v>-0.01110428578</v>
      </c>
      <c r="J47" s="33">
        <f t="shared" si="2"/>
        <v>2804.352</v>
      </c>
      <c r="K47" s="33">
        <f t="shared" si="3"/>
        <v>52.67953785</v>
      </c>
      <c r="L47" s="33">
        <f>sum(T_Analyse[Population 2023]-T_Analyse[Formule by Xavier])</f>
        <v>0</v>
      </c>
      <c r="M47" s="33">
        <f>SUMIFS(T_HDF[Population],T_HDF[Code_EPCI],T_Analyse[Code_EPCI])</f>
        <v>20928</v>
      </c>
    </row>
    <row r="48" ht="15.75" customHeight="1">
      <c r="A48" s="22" t="s">
        <v>79</v>
      </c>
      <c r="B48" s="24" t="s">
        <v>78</v>
      </c>
      <c r="C48" s="26">
        <f>COUNTIFS(T_HDF[Code_EPCI],A48)</f>
        <v>46</v>
      </c>
      <c r="D48" s="28">
        <f>SUMIFS(T_HDF[Superficie_km2],T_HDF[Code_EPCI],A48)</f>
        <v>582.76</v>
      </c>
      <c r="E48" s="26">
        <f t="array" ref="E48">_xlfn.XLOOKUP(T_Analyse[Code_EPCI],INSEE_EPCI!$A$2:$A$93,INSEE_EPCI!$C$2:$C$93)</f>
        <v>20923</v>
      </c>
      <c r="F48" s="26">
        <f t="array" ref="F48">_xlfn.XLOOKUP(T_Analyse[Code_EPCI],INSEE_EPCI!$A$2:$A$93,INSEE_EPCI!$D$2:$D$93)</f>
        <v>20865</v>
      </c>
      <c r="G48" s="26">
        <f t="array" ref="G48">_xlfn.XLOOKUP(T_Analyse[Code_EPCI],INSEE_EPCI!$A$2:$A$93,INSEE_EPCI!$E$2:$E$93)</f>
        <v>24780</v>
      </c>
      <c r="H48" s="26">
        <f t="array" ref="H48">_xlfn.XLOOKUP(T_Analyse[Code_EPCI],INSEE_EPCI!$A$2:$A$93,INSEE_EPCI!$F$2:$F$93)</f>
        <v>12.7</v>
      </c>
      <c r="I48" s="32">
        <f t="shared" si="1"/>
        <v>-0.002772069015</v>
      </c>
      <c r="J48" s="33">
        <f t="shared" si="2"/>
        <v>2649.855</v>
      </c>
      <c r="K48" s="33">
        <f t="shared" si="3"/>
        <v>35.80376141</v>
      </c>
      <c r="L48" s="33">
        <f>sum(T_Analyse[Population 2023]-T_Analyse[Formule by Xavier])</f>
        <v>0</v>
      </c>
      <c r="M48" s="33">
        <f>SUMIFS(T_HDF[Population],T_HDF[Code_EPCI],T_Analyse[Code_EPCI])</f>
        <v>20865</v>
      </c>
    </row>
    <row r="49" ht="15.75" customHeight="1">
      <c r="A49" s="22" t="s">
        <v>427</v>
      </c>
      <c r="B49" s="24" t="s">
        <v>158</v>
      </c>
      <c r="C49" s="26">
        <f>COUNTIFS(T_HDF[Code_EPCI],A49)</f>
        <v>60</v>
      </c>
      <c r="D49" s="28">
        <f>SUMIFS(T_HDF[Superficie_km2],T_HDF[Code_EPCI],A49)</f>
        <v>464.56</v>
      </c>
      <c r="E49" s="26">
        <f t="array" ref="E49">_xlfn.XLOOKUP(T_Analyse[Code_EPCI],INSEE_EPCI!$A$2:$A$93,INSEE_EPCI!$C$2:$C$93)</f>
        <v>27435</v>
      </c>
      <c r="F49" s="26">
        <f t="array" ref="F49">_xlfn.XLOOKUP(T_Analyse[Code_EPCI],INSEE_EPCI!$A$2:$A$93,INSEE_EPCI!$D$2:$D$93)</f>
        <v>26393</v>
      </c>
      <c r="G49" s="26">
        <f t="array" ref="G49">_xlfn.XLOOKUP(T_Analyse[Code_EPCI],INSEE_EPCI!$A$2:$A$93,INSEE_EPCI!$E$2:$E$93)</f>
        <v>23420</v>
      </c>
      <c r="H49" s="26">
        <f t="array" ref="H49">_xlfn.XLOOKUP(T_Analyse[Code_EPCI],INSEE_EPCI!$A$2:$A$93,INSEE_EPCI!$F$2:$F$93)</f>
        <v>17.2</v>
      </c>
      <c r="I49" s="32">
        <f t="shared" si="1"/>
        <v>-0.03798068161</v>
      </c>
      <c r="J49" s="33">
        <f t="shared" si="2"/>
        <v>4539.596</v>
      </c>
      <c r="K49" s="33">
        <f t="shared" si="3"/>
        <v>56.81289823</v>
      </c>
      <c r="L49" s="33">
        <f>sum(T_Analyse[Population 2023]-T_Analyse[Formule by Xavier])</f>
        <v>0</v>
      </c>
      <c r="M49" s="33">
        <f>SUMIFS(T_HDF[Population],T_HDF[Code_EPCI],T_Analyse[Code_EPCI])</f>
        <v>26393</v>
      </c>
    </row>
    <row r="50" ht="15.75" customHeight="1">
      <c r="A50" s="22" t="s">
        <v>430</v>
      </c>
      <c r="B50" s="24" t="s">
        <v>159</v>
      </c>
      <c r="C50" s="26">
        <f>COUNTIFS(T_HDF[Code_EPCI],A50)</f>
        <v>88</v>
      </c>
      <c r="D50" s="28">
        <f>SUMIFS(T_HDF[Superficie_km2],T_HDF[Code_EPCI],A50)</f>
        <v>632.98</v>
      </c>
      <c r="E50" s="26">
        <f t="array" ref="E50">_xlfn.XLOOKUP(T_Analyse[Code_EPCI],INSEE_EPCI!$A$2:$A$93,INSEE_EPCI!$C$2:$C$93)</f>
        <v>32930</v>
      </c>
      <c r="F50" s="26">
        <f t="array" ref="F50">_xlfn.XLOOKUP(T_Analyse[Code_EPCI],INSEE_EPCI!$A$2:$A$93,INSEE_EPCI!$D$2:$D$93)</f>
        <v>32039</v>
      </c>
      <c r="G50" s="26">
        <f t="array" ref="G50">_xlfn.XLOOKUP(T_Analyse[Code_EPCI],INSEE_EPCI!$A$2:$A$93,INSEE_EPCI!$E$2:$E$93)</f>
        <v>24540</v>
      </c>
      <c r="H50" s="26">
        <f t="array" ref="H50">_xlfn.XLOOKUP(T_Analyse[Code_EPCI],INSEE_EPCI!$A$2:$A$93,INSEE_EPCI!$F$2:$F$93)</f>
        <v>13.6</v>
      </c>
      <c r="I50" s="32">
        <f t="shared" si="1"/>
        <v>-0.02705739447</v>
      </c>
      <c r="J50" s="33">
        <f t="shared" si="2"/>
        <v>4357.304</v>
      </c>
      <c r="K50" s="33">
        <f t="shared" si="3"/>
        <v>50.61613321</v>
      </c>
      <c r="L50" s="33">
        <f>sum(T_Analyse[Population 2023]-T_Analyse[Formule by Xavier])</f>
        <v>0</v>
      </c>
      <c r="M50" s="33">
        <f>SUMIFS(T_HDF[Population],T_HDF[Code_EPCI],T_Analyse[Code_EPCI])</f>
        <v>32039</v>
      </c>
    </row>
    <row r="51" ht="15.75" customHeight="1">
      <c r="A51" s="22" t="s">
        <v>435</v>
      </c>
      <c r="B51" s="24" t="s">
        <v>160</v>
      </c>
      <c r="C51" s="26">
        <f>COUNTIFS(T_HDF[Code_EPCI],A51)</f>
        <v>19</v>
      </c>
      <c r="D51" s="28">
        <f>SUMIFS(T_HDF[Superficie_km2],T_HDF[Code_EPCI],A51)</f>
        <v>166.72</v>
      </c>
      <c r="E51" s="26">
        <f t="array" ref="E51">_xlfn.XLOOKUP(T_Analyse[Code_EPCI],INSEE_EPCI!$A$2:$A$93,INSEE_EPCI!$C$2:$C$93)</f>
        <v>17849</v>
      </c>
      <c r="F51" s="26">
        <f t="array" ref="F51">_xlfn.XLOOKUP(T_Analyse[Code_EPCI],INSEE_EPCI!$A$2:$A$93,INSEE_EPCI!$D$2:$D$93)</f>
        <v>18131</v>
      </c>
      <c r="G51" s="26">
        <f t="array" ref="G51">_xlfn.XLOOKUP(T_Analyse[Code_EPCI],INSEE_EPCI!$A$2:$A$93,INSEE_EPCI!$E$2:$E$93)</f>
        <v>28230</v>
      </c>
      <c r="H51" s="26">
        <f t="array" ref="H51">_xlfn.XLOOKUP(T_Analyse[Code_EPCI],INSEE_EPCI!$A$2:$A$93,INSEE_EPCI!$F$2:$F$93)</f>
        <v>7</v>
      </c>
      <c r="I51" s="32">
        <f t="shared" si="1"/>
        <v>0.01579920444</v>
      </c>
      <c r="J51" s="33">
        <f t="shared" si="2"/>
        <v>1269.17</v>
      </c>
      <c r="K51" s="33">
        <f t="shared" si="3"/>
        <v>108.7511996</v>
      </c>
      <c r="L51" s="33">
        <f>sum(T_Analyse[Population 2023]-T_Analyse[Formule by Xavier])</f>
        <v>0</v>
      </c>
      <c r="M51" s="33">
        <f>SUMIFS(T_HDF[Population],T_HDF[Code_EPCI],T_Analyse[Code_EPCI])</f>
        <v>18131</v>
      </c>
    </row>
    <row r="52" ht="15.75" customHeight="1">
      <c r="A52" s="22" t="s">
        <v>438</v>
      </c>
      <c r="B52" s="24" t="s">
        <v>161</v>
      </c>
      <c r="C52" s="26">
        <f>COUNTIFS(T_HDF[Code_EPCI],A52)</f>
        <v>15</v>
      </c>
      <c r="D52" s="28">
        <f>SUMIFS(T_HDF[Superficie_km2],T_HDF[Code_EPCI],A52)</f>
        <v>220.61</v>
      </c>
      <c r="E52" s="26">
        <f t="array" ref="E52">_xlfn.XLOOKUP(T_Analyse[Code_EPCI],INSEE_EPCI!$A$2:$A$93,INSEE_EPCI!$C$2:$C$93)</f>
        <v>27330</v>
      </c>
      <c r="F52" s="26">
        <f t="array" ref="F52">_xlfn.XLOOKUP(T_Analyse[Code_EPCI],INSEE_EPCI!$A$2:$A$93,INSEE_EPCI!$D$2:$D$93)</f>
        <v>28202</v>
      </c>
      <c r="G52" s="26">
        <f t="array" ref="G52">_xlfn.XLOOKUP(T_Analyse[Code_EPCI],INSEE_EPCI!$A$2:$A$93,INSEE_EPCI!$E$2:$E$93)</f>
        <v>25520</v>
      </c>
      <c r="H52" s="26">
        <f t="array" ref="H52">_xlfn.XLOOKUP(T_Analyse[Code_EPCI],INSEE_EPCI!$A$2:$A$93,INSEE_EPCI!$F$2:$F$93)</f>
        <v>12</v>
      </c>
      <c r="I52" s="32">
        <f t="shared" si="1"/>
        <v>0.03190633004</v>
      </c>
      <c r="J52" s="33">
        <f t="shared" si="2"/>
        <v>3384.24</v>
      </c>
      <c r="K52" s="33">
        <f t="shared" si="3"/>
        <v>127.8364535</v>
      </c>
      <c r="L52" s="33">
        <f>sum(T_Analyse[Population 2023]-T_Analyse[Formule by Xavier])</f>
        <v>0</v>
      </c>
      <c r="M52" s="33">
        <f>SUMIFS(T_HDF[Population],T_HDF[Code_EPCI],T_Analyse[Code_EPCI])</f>
        <v>28202</v>
      </c>
    </row>
    <row r="53" ht="15.75" customHeight="1">
      <c r="A53" s="22" t="s">
        <v>441</v>
      </c>
      <c r="B53" s="24" t="s">
        <v>163</v>
      </c>
      <c r="C53" s="26">
        <f>COUNTIFS(T_HDF[Code_EPCI],A53)</f>
        <v>21</v>
      </c>
      <c r="D53" s="28">
        <f>SUMIFS(T_HDF[Superficie_km2],T_HDF[Code_EPCI],A53)</f>
        <v>183.85</v>
      </c>
      <c r="E53" s="26">
        <f t="array" ref="E53">_xlfn.XLOOKUP(T_Analyse[Code_EPCI],INSEE_EPCI!$A$2:$A$93,INSEE_EPCI!$C$2:$C$93)</f>
        <v>22209</v>
      </c>
      <c r="F53" s="26">
        <f t="array" ref="F53">_xlfn.XLOOKUP(T_Analyse[Code_EPCI],INSEE_EPCI!$A$2:$A$93,INSEE_EPCI!$D$2:$D$93)</f>
        <v>22357</v>
      </c>
      <c r="G53" s="26">
        <f t="array" ref="G53">_xlfn.XLOOKUP(T_Analyse[Code_EPCI],INSEE_EPCI!$A$2:$A$93,INSEE_EPCI!$E$2:$E$93)</f>
        <v>24540</v>
      </c>
      <c r="H53" s="26">
        <f t="array" ref="H53">_xlfn.XLOOKUP(T_Analyse[Code_EPCI],INSEE_EPCI!$A$2:$A$93,INSEE_EPCI!$F$2:$F$93)</f>
        <v>13.8</v>
      </c>
      <c r="I53" s="32">
        <f t="shared" si="1"/>
        <v>0.006663965059</v>
      </c>
      <c r="J53" s="33">
        <f t="shared" si="2"/>
        <v>3085.266</v>
      </c>
      <c r="K53" s="33">
        <f t="shared" si="3"/>
        <v>121.6045689</v>
      </c>
      <c r="L53" s="33">
        <f>sum(T_Analyse[Population 2023]-T_Analyse[Formule by Xavier])</f>
        <v>0</v>
      </c>
      <c r="M53" s="33">
        <f>SUMIFS(T_HDF[Population],T_HDF[Code_EPCI],T_Analyse[Code_EPCI])</f>
        <v>22357</v>
      </c>
    </row>
    <row r="54" ht="15.75" customHeight="1">
      <c r="A54" s="22" t="s">
        <v>254</v>
      </c>
      <c r="B54" s="24" t="s">
        <v>165</v>
      </c>
      <c r="C54" s="26">
        <f>COUNTIFS(T_HDF[Code_EPCI],A54)</f>
        <v>68</v>
      </c>
      <c r="D54" s="28">
        <f>SUMIFS(T_HDF[Superficie_km2],T_HDF[Code_EPCI],A54)</f>
        <v>726.66</v>
      </c>
      <c r="E54" s="26">
        <f t="array" ref="E54">_xlfn.XLOOKUP(T_Analyse[Code_EPCI],INSEE_EPCI!$A$2:$A$93,INSEE_EPCI!$C$2:$C$93)</f>
        <v>26448</v>
      </c>
      <c r="F54" s="26">
        <f t="array" ref="F54">_xlfn.XLOOKUP(T_Analyse[Code_EPCI],INSEE_EPCI!$A$2:$A$93,INSEE_EPCI!$D$2:$D$93)</f>
        <v>25590</v>
      </c>
      <c r="G54" s="26">
        <f t="array" ref="G54">_xlfn.XLOOKUP(T_Analyse[Code_EPCI],INSEE_EPCI!$A$2:$A$93,INSEE_EPCI!$E$2:$E$93)</f>
        <v>22900</v>
      </c>
      <c r="H54" s="26">
        <f t="array" ref="H54">_xlfn.XLOOKUP(T_Analyse[Code_EPCI],INSEE_EPCI!$A$2:$A$93,INSEE_EPCI!$F$2:$F$93)</f>
        <v>19.3</v>
      </c>
      <c r="I54" s="32">
        <f t="shared" si="1"/>
        <v>-0.03244101633</v>
      </c>
      <c r="J54" s="33">
        <f t="shared" si="2"/>
        <v>4938.87</v>
      </c>
      <c r="K54" s="33">
        <f t="shared" si="3"/>
        <v>35.21591941</v>
      </c>
      <c r="L54" s="33">
        <f>sum(T_Analyse[Population 2023]-T_Analyse[Formule by Xavier])</f>
        <v>0</v>
      </c>
      <c r="M54" s="33">
        <f>SUMIFS(T_HDF[Population],T_HDF[Code_EPCI],T_Analyse[Code_EPCI])</f>
        <v>25590</v>
      </c>
    </row>
    <row r="55" ht="15.75" customHeight="1">
      <c r="A55" s="22" t="s">
        <v>447</v>
      </c>
      <c r="B55" s="24" t="s">
        <v>167</v>
      </c>
      <c r="C55" s="26">
        <f>COUNTIFS(T_HDF[Code_EPCI],A55)</f>
        <v>66</v>
      </c>
      <c r="D55" s="28">
        <f>SUMIFS(T_HDF[Superficie_km2],T_HDF[Code_EPCI],A55)</f>
        <v>499.58</v>
      </c>
      <c r="E55" s="26">
        <f t="array" ref="E55">_xlfn.XLOOKUP(T_Analyse[Code_EPCI],INSEE_EPCI!$A$2:$A$93,INSEE_EPCI!$C$2:$C$93)</f>
        <v>29729</v>
      </c>
      <c r="F55" s="26">
        <f t="array" ref="F55">_xlfn.XLOOKUP(T_Analyse[Code_EPCI],INSEE_EPCI!$A$2:$A$93,INSEE_EPCI!$D$2:$D$93)</f>
        <v>29526</v>
      </c>
      <c r="G55" s="26">
        <f t="array" ref="G55">_xlfn.XLOOKUP(T_Analyse[Code_EPCI],INSEE_EPCI!$A$2:$A$93,INSEE_EPCI!$E$2:$E$93)</f>
        <v>23150</v>
      </c>
      <c r="H55" s="26">
        <f t="array" ref="H55">_xlfn.XLOOKUP(T_Analyse[Code_EPCI],INSEE_EPCI!$A$2:$A$93,INSEE_EPCI!$F$2:$F$93)</f>
        <v>17.9</v>
      </c>
      <c r="I55" s="32">
        <f t="shared" si="1"/>
        <v>-0.006828349423</v>
      </c>
      <c r="J55" s="33">
        <f t="shared" si="2"/>
        <v>5285.154</v>
      </c>
      <c r="K55" s="33">
        <f t="shared" si="3"/>
        <v>59.10164538</v>
      </c>
      <c r="L55" s="33">
        <f>sum(T_Analyse[Population 2023]-T_Analyse[Formule by Xavier])</f>
        <v>0</v>
      </c>
      <c r="M55" s="33">
        <f>SUMIFS(T_HDF[Population],T_HDF[Code_EPCI],T_Analyse[Code_EPCI])</f>
        <v>29526</v>
      </c>
    </row>
    <row r="56" ht="15.75" customHeight="1">
      <c r="A56" s="22" t="s">
        <v>449</v>
      </c>
      <c r="B56" s="24" t="s">
        <v>169</v>
      </c>
      <c r="C56" s="26">
        <f>COUNTIFS(T_HDF[Code_EPCI],A56)</f>
        <v>96</v>
      </c>
      <c r="D56" s="28">
        <f>SUMIFS(T_HDF[Superficie_km2],T_HDF[Code_EPCI],A56)</f>
        <v>555.92</v>
      </c>
      <c r="E56" s="26">
        <f t="array" ref="E56">_xlfn.XLOOKUP(T_Analyse[Code_EPCI],INSEE_EPCI!$A$2:$A$93,INSEE_EPCI!$C$2:$C$93)</f>
        <v>33399</v>
      </c>
      <c r="F56" s="26">
        <f t="array" ref="F56">_xlfn.XLOOKUP(T_Analyse[Code_EPCI],INSEE_EPCI!$A$2:$A$93,INSEE_EPCI!$D$2:$D$93)</f>
        <v>33442</v>
      </c>
      <c r="G56" s="26">
        <f t="array" ref="G56">_xlfn.XLOOKUP(T_Analyse[Code_EPCI],INSEE_EPCI!$A$2:$A$93,INSEE_EPCI!$E$2:$E$93)</f>
        <v>26140</v>
      </c>
      <c r="H56" s="26">
        <f t="array" ref="H56">_xlfn.XLOOKUP(T_Analyse[Code_EPCI],INSEE_EPCI!$A$2:$A$93,INSEE_EPCI!$F$2:$F$93)</f>
        <v>10.1</v>
      </c>
      <c r="I56" s="32">
        <f t="shared" si="1"/>
        <v>0.001287463697</v>
      </c>
      <c r="J56" s="33">
        <f t="shared" si="2"/>
        <v>3377.642</v>
      </c>
      <c r="K56" s="33">
        <f t="shared" si="3"/>
        <v>60.15613757</v>
      </c>
      <c r="L56" s="33">
        <f>sum(T_Analyse[Population 2023]-T_Analyse[Formule by Xavier])</f>
        <v>0</v>
      </c>
      <c r="M56" s="33">
        <f>SUMIFS(T_HDF[Population],T_HDF[Code_EPCI],T_Analyse[Code_EPCI])</f>
        <v>33442</v>
      </c>
    </row>
    <row r="57" ht="15.75" customHeight="1">
      <c r="A57" s="22" t="s">
        <v>452</v>
      </c>
      <c r="B57" s="24" t="s">
        <v>170</v>
      </c>
      <c r="C57" s="26">
        <f>COUNTIFS(T_HDF[Code_EPCI],A57)</f>
        <v>16</v>
      </c>
      <c r="D57" s="28">
        <f>SUMIFS(T_HDF[Superficie_km2],T_HDF[Code_EPCI],A57)</f>
        <v>114.14</v>
      </c>
      <c r="E57" s="26">
        <f t="array" ref="E57">_xlfn.XLOOKUP(T_Analyse[Code_EPCI],INSEE_EPCI!$A$2:$A$93,INSEE_EPCI!$C$2:$C$93)</f>
        <v>22926</v>
      </c>
      <c r="F57" s="26">
        <f t="array" ref="F57">_xlfn.XLOOKUP(T_Analyse[Code_EPCI],INSEE_EPCI!$A$2:$A$93,INSEE_EPCI!$D$2:$D$93)</f>
        <v>22523</v>
      </c>
      <c r="G57" s="26">
        <f t="array" ref="G57">_xlfn.XLOOKUP(T_Analyse[Code_EPCI],INSEE_EPCI!$A$2:$A$93,INSEE_EPCI!$E$2:$E$93)</f>
        <v>25850</v>
      </c>
      <c r="H57" s="26">
        <f t="array" ref="H57">_xlfn.XLOOKUP(T_Analyse[Code_EPCI],INSEE_EPCI!$A$2:$A$93,INSEE_EPCI!$F$2:$F$93)</f>
        <v>11.8</v>
      </c>
      <c r="I57" s="32">
        <f t="shared" si="1"/>
        <v>-0.01757829539</v>
      </c>
      <c r="J57" s="33">
        <f t="shared" si="2"/>
        <v>2657.714</v>
      </c>
      <c r="K57" s="33">
        <f t="shared" si="3"/>
        <v>197.327843</v>
      </c>
      <c r="L57" s="33">
        <f>sum(T_Analyse[Population 2023]-T_Analyse[Formule by Xavier])</f>
        <v>0</v>
      </c>
      <c r="M57" s="33">
        <f>SUMIFS(T_HDF[Population],T_HDF[Code_EPCI],T_Analyse[Code_EPCI])</f>
        <v>22523</v>
      </c>
    </row>
    <row r="58" ht="15.75" customHeight="1">
      <c r="A58" s="22" t="s">
        <v>457</v>
      </c>
      <c r="B58" s="24" t="s">
        <v>171</v>
      </c>
      <c r="C58" s="26">
        <f>COUNTIFS(T_HDF[Code_EPCI],A58)</f>
        <v>40</v>
      </c>
      <c r="D58" s="28">
        <f>SUMIFS(T_HDF[Superficie_km2],T_HDF[Code_EPCI],A58)</f>
        <v>448.54</v>
      </c>
      <c r="E58" s="26">
        <f t="array" ref="E58">_xlfn.XLOOKUP(T_Analyse[Code_EPCI],INSEE_EPCI!$A$2:$A$93,INSEE_EPCI!$C$2:$C$93)</f>
        <v>53436</v>
      </c>
      <c r="F58" s="26">
        <f t="array" ref="F58">_xlfn.XLOOKUP(T_Analyse[Code_EPCI],INSEE_EPCI!$A$2:$A$93,INSEE_EPCI!$D$2:$D$93)</f>
        <v>53437</v>
      </c>
      <c r="G58" s="26">
        <f t="array" ref="G58">_xlfn.XLOOKUP(T_Analyse[Code_EPCI],INSEE_EPCI!$A$2:$A$93,INSEE_EPCI!$E$2:$E$93)</f>
        <v>26130</v>
      </c>
      <c r="H58" s="26">
        <f t="array" ref="H58">_xlfn.XLOOKUP(T_Analyse[Code_EPCI],INSEE_EPCI!$A$2:$A$93,INSEE_EPCI!$F$2:$F$93)</f>
        <v>10.3</v>
      </c>
      <c r="I58" s="32">
        <f t="shared" si="1"/>
        <v>0.0000187139756</v>
      </c>
      <c r="J58" s="33">
        <f t="shared" si="2"/>
        <v>5504.011</v>
      </c>
      <c r="K58" s="33">
        <f t="shared" si="3"/>
        <v>119.1354171</v>
      </c>
      <c r="L58" s="33">
        <f>sum(T_Analyse[Population 2023]-T_Analyse[Formule by Xavier])</f>
        <v>0</v>
      </c>
      <c r="M58" s="33">
        <f>SUMIFS(T_HDF[Population],T_HDF[Code_EPCI],T_Analyse[Code_EPCI])</f>
        <v>53437</v>
      </c>
    </row>
    <row r="59" ht="15.75" customHeight="1">
      <c r="A59" s="22" t="s">
        <v>460</v>
      </c>
      <c r="B59" s="24" t="s">
        <v>173</v>
      </c>
      <c r="C59" s="26">
        <f>COUNTIFS(T_HDF[Code_EPCI],A59)</f>
        <v>20</v>
      </c>
      <c r="D59" s="28">
        <f>SUMIFS(T_HDF[Superficie_km2],T_HDF[Code_EPCI],A59)</f>
        <v>211.15</v>
      </c>
      <c r="E59" s="26">
        <f t="array" ref="E59">_xlfn.XLOOKUP(T_Analyse[Code_EPCI],INSEE_EPCI!$A$2:$A$93,INSEE_EPCI!$C$2:$C$93)</f>
        <v>16282</v>
      </c>
      <c r="F59" s="26">
        <f t="array" ref="F59">_xlfn.XLOOKUP(T_Analyse[Code_EPCI],INSEE_EPCI!$A$2:$A$93,INSEE_EPCI!$D$2:$D$93)</f>
        <v>15898</v>
      </c>
      <c r="G59" s="26">
        <f t="array" ref="G59">_xlfn.XLOOKUP(T_Analyse[Code_EPCI],INSEE_EPCI!$A$2:$A$93,INSEE_EPCI!$E$2:$E$93)</f>
        <v>26930</v>
      </c>
      <c r="H59" s="26">
        <f t="array" ref="H59">_xlfn.XLOOKUP(T_Analyse[Code_EPCI],INSEE_EPCI!$A$2:$A$93,INSEE_EPCI!$F$2:$F$93)</f>
        <v>10</v>
      </c>
      <c r="I59" s="32">
        <f t="shared" si="1"/>
        <v>-0.02358432625</v>
      </c>
      <c r="J59" s="33">
        <f t="shared" si="2"/>
        <v>1589.8</v>
      </c>
      <c r="K59" s="33">
        <f t="shared" si="3"/>
        <v>75.29244613</v>
      </c>
      <c r="L59" s="33">
        <f>sum(T_Analyse[Population 2023]-T_Analyse[Formule by Xavier])</f>
        <v>0</v>
      </c>
      <c r="M59" s="33">
        <f>SUMIFS(T_HDF[Population],T_HDF[Code_EPCI],T_Analyse[Code_EPCI])</f>
        <v>15898</v>
      </c>
    </row>
    <row r="60" ht="15.75" customHeight="1">
      <c r="A60" s="22" t="s">
        <v>463</v>
      </c>
      <c r="B60" s="24" t="s">
        <v>175</v>
      </c>
      <c r="C60" s="26">
        <f>COUNTIFS(T_HDF[Code_EPCI],A60)</f>
        <v>17</v>
      </c>
      <c r="D60" s="28">
        <f>SUMIFS(T_HDF[Superficie_km2],T_HDF[Code_EPCI],A60)</f>
        <v>139.95</v>
      </c>
      <c r="E60" s="26">
        <f t="array" ref="E60">_xlfn.XLOOKUP(T_Analyse[Code_EPCI],INSEE_EPCI!$A$2:$A$93,INSEE_EPCI!$C$2:$C$93)</f>
        <v>33799</v>
      </c>
      <c r="F60" s="26">
        <f t="array" ref="F60">_xlfn.XLOOKUP(T_Analyse[Code_EPCI],INSEE_EPCI!$A$2:$A$93,INSEE_EPCI!$D$2:$D$93)</f>
        <v>34469</v>
      </c>
      <c r="G60" s="26">
        <f t="array" ref="G60">_xlfn.XLOOKUP(T_Analyse[Code_EPCI],INSEE_EPCI!$A$2:$A$93,INSEE_EPCI!$E$2:$E$93)</f>
        <v>27230</v>
      </c>
      <c r="H60" s="26">
        <f t="array" ref="H60">_xlfn.XLOOKUP(T_Analyse[Code_EPCI],INSEE_EPCI!$A$2:$A$93,INSEE_EPCI!$F$2:$F$93)</f>
        <v>11.1</v>
      </c>
      <c r="I60" s="32">
        <f t="shared" si="1"/>
        <v>0.01982307169</v>
      </c>
      <c r="J60" s="33">
        <f t="shared" si="2"/>
        <v>3826.059</v>
      </c>
      <c r="K60" s="33">
        <f t="shared" si="3"/>
        <v>246.2951054</v>
      </c>
      <c r="L60" s="33">
        <f>sum(T_Analyse[Population 2023]-T_Analyse[Formule by Xavier])</f>
        <v>0</v>
      </c>
      <c r="M60" s="33">
        <f>SUMIFS(T_HDF[Population],T_HDF[Code_EPCI],T_Analyse[Code_EPCI])</f>
        <v>34469</v>
      </c>
    </row>
    <row r="61" ht="15.75" customHeight="1">
      <c r="A61" s="22" t="s">
        <v>168</v>
      </c>
      <c r="B61" s="24" t="s">
        <v>166</v>
      </c>
      <c r="C61" s="26">
        <f>COUNTIFS(T_HDF[Code_EPCI],A61)</f>
        <v>30</v>
      </c>
      <c r="D61" s="28">
        <f>SUMIFS(T_HDF[Superficie_km2],T_HDF[Code_EPCI],A61)</f>
        <v>258.11</v>
      </c>
      <c r="E61" s="26">
        <f t="array" ref="E61">_xlfn.XLOOKUP(T_Analyse[Code_EPCI],INSEE_EPCI!$A$2:$A$93,INSEE_EPCI!$C$2:$C$93)</f>
        <v>6999</v>
      </c>
      <c r="F61" s="26">
        <f t="array" ref="F61">_xlfn.XLOOKUP(T_Analyse[Code_EPCI],INSEE_EPCI!$A$2:$A$93,INSEE_EPCI!$D$2:$D$93)</f>
        <v>6622</v>
      </c>
      <c r="G61" s="26">
        <f t="array" ref="G61">_xlfn.XLOOKUP(T_Analyse[Code_EPCI],INSEE_EPCI!$A$2:$A$93,INSEE_EPCI!$E$2:$E$93)</f>
        <v>21250</v>
      </c>
      <c r="H61" s="26">
        <f t="array" ref="H61">_xlfn.XLOOKUP(T_Analyse[Code_EPCI],INSEE_EPCI!$A$2:$A$93,INSEE_EPCI!$F$2:$F$93)</f>
        <v>24</v>
      </c>
      <c r="I61" s="32">
        <f t="shared" si="1"/>
        <v>-0.05386483783</v>
      </c>
      <c r="J61" s="33">
        <f t="shared" si="2"/>
        <v>1589.28</v>
      </c>
      <c r="K61" s="33">
        <f t="shared" si="3"/>
        <v>25.65572818</v>
      </c>
      <c r="L61" s="33">
        <f>sum(T_Analyse[Population 2023]-T_Analyse[Formule by Xavier])</f>
        <v>0</v>
      </c>
      <c r="M61" s="33">
        <f>SUMIFS(T_HDF[Population],T_HDF[Code_EPCI],T_Analyse[Code_EPCI])</f>
        <v>6622</v>
      </c>
    </row>
    <row r="62" ht="15.75" customHeight="1">
      <c r="A62" s="22" t="s">
        <v>470</v>
      </c>
      <c r="B62" s="24" t="s">
        <v>176</v>
      </c>
      <c r="C62" s="26">
        <f>COUNTIFS(T_HDF[Code_EPCI],A62)</f>
        <v>21</v>
      </c>
      <c r="D62" s="28">
        <f>SUMIFS(T_HDF[Superficie_km2],T_HDF[Code_EPCI],A62)</f>
        <v>226.92</v>
      </c>
      <c r="E62" s="26">
        <f t="array" ref="E62">_xlfn.XLOOKUP(T_Analyse[Code_EPCI],INSEE_EPCI!$A$2:$A$93,INSEE_EPCI!$C$2:$C$93)</f>
        <v>38379</v>
      </c>
      <c r="F62" s="26">
        <f t="array" ref="F62">_xlfn.XLOOKUP(T_Analyse[Code_EPCI],INSEE_EPCI!$A$2:$A$93,INSEE_EPCI!$D$2:$D$93)</f>
        <v>38351</v>
      </c>
      <c r="G62" s="26">
        <f t="array" ref="G62">_xlfn.XLOOKUP(T_Analyse[Code_EPCI],INSEE_EPCI!$A$2:$A$93,INSEE_EPCI!$E$2:$E$93)</f>
        <v>26310</v>
      </c>
      <c r="H62" s="26">
        <f t="array" ref="H62">_xlfn.XLOOKUP(T_Analyse[Code_EPCI],INSEE_EPCI!$A$2:$A$93,INSEE_EPCI!$F$2:$F$93)</f>
        <v>12.7</v>
      </c>
      <c r="I62" s="32">
        <f t="shared" si="1"/>
        <v>-0.0007295656479</v>
      </c>
      <c r="J62" s="33">
        <f t="shared" si="2"/>
        <v>4870.577</v>
      </c>
      <c r="K62" s="33">
        <f t="shared" si="3"/>
        <v>169.0066984</v>
      </c>
      <c r="L62" s="33">
        <f>sum(T_Analyse[Population 2023]-T_Analyse[Formule by Xavier])</f>
        <v>0</v>
      </c>
      <c r="M62" s="33">
        <f>SUMIFS(T_HDF[Population],T_HDF[Code_EPCI],T_Analyse[Code_EPCI])</f>
        <v>38351</v>
      </c>
    </row>
    <row r="63" ht="15.75" customHeight="1">
      <c r="A63" s="22" t="s">
        <v>157</v>
      </c>
      <c r="B63" s="24" t="s">
        <v>156</v>
      </c>
      <c r="C63" s="26">
        <f>COUNTIFS(T_HDF[Code_EPCI],A63)</f>
        <v>26</v>
      </c>
      <c r="D63" s="28">
        <f>SUMIFS(T_HDF[Superficie_km2],T_HDF[Code_EPCI],A63)</f>
        <v>349.93</v>
      </c>
      <c r="E63" s="26">
        <f t="array" ref="E63">_xlfn.XLOOKUP(T_Analyse[Code_EPCI],INSEE_EPCI!$A$2:$A$93,INSEE_EPCI!$C$2:$C$93)</f>
        <v>21271</v>
      </c>
      <c r="F63" s="26">
        <f t="array" ref="F63">_xlfn.XLOOKUP(T_Analyse[Code_EPCI],INSEE_EPCI!$A$2:$A$93,INSEE_EPCI!$D$2:$D$93)</f>
        <v>20346</v>
      </c>
      <c r="G63" s="26">
        <f t="array" ref="G63">_xlfn.XLOOKUP(T_Analyse[Code_EPCI],INSEE_EPCI!$A$2:$A$93,INSEE_EPCI!$E$2:$E$93)</f>
        <v>20630</v>
      </c>
      <c r="H63" s="26">
        <f t="array" ref="H63">_xlfn.XLOOKUP(T_Analyse[Code_EPCI],INSEE_EPCI!$A$2:$A$93,INSEE_EPCI!$F$2:$F$93)</f>
        <v>26</v>
      </c>
      <c r="I63" s="32">
        <f t="shared" si="1"/>
        <v>-0.04348643693</v>
      </c>
      <c r="J63" s="33">
        <f t="shared" si="2"/>
        <v>5289.96</v>
      </c>
      <c r="K63" s="33">
        <f t="shared" si="3"/>
        <v>58.14305718</v>
      </c>
      <c r="L63" s="33">
        <f>sum(T_Analyse[Population 2023]-T_Analyse[Formule by Xavier])</f>
        <v>0</v>
      </c>
      <c r="M63" s="33">
        <f>SUMIFS(T_HDF[Population],T_HDF[Code_EPCI],T_Analyse[Code_EPCI])</f>
        <v>20346</v>
      </c>
    </row>
    <row r="64" ht="15.75" customHeight="1">
      <c r="A64" s="22" t="s">
        <v>475</v>
      </c>
      <c r="B64" s="24" t="s">
        <v>178</v>
      </c>
      <c r="C64" s="26">
        <f>COUNTIFS(T_HDF[Code_EPCI],A64)</f>
        <v>13</v>
      </c>
      <c r="D64" s="28">
        <f>SUMIFS(T_HDF[Superficie_km2],T_HDF[Code_EPCI],A64)</f>
        <v>84.31</v>
      </c>
      <c r="E64" s="26">
        <f t="array" ref="E64">_xlfn.XLOOKUP(T_Analyse[Code_EPCI],INSEE_EPCI!$A$2:$A$93,INSEE_EPCI!$C$2:$C$93)</f>
        <v>37550</v>
      </c>
      <c r="F64" s="26">
        <f t="array" ref="F64">_xlfn.XLOOKUP(T_Analyse[Code_EPCI],INSEE_EPCI!$A$2:$A$93,INSEE_EPCI!$D$2:$D$93)</f>
        <v>35390</v>
      </c>
      <c r="G64" s="26">
        <f t="array" ref="G64">_xlfn.XLOOKUP(T_Analyse[Code_EPCI],INSEE_EPCI!$A$2:$A$93,INSEE_EPCI!$E$2:$E$93)</f>
        <v>24010</v>
      </c>
      <c r="H64" s="26">
        <f t="array" ref="H64">_xlfn.XLOOKUP(T_Analyse[Code_EPCI],INSEE_EPCI!$A$2:$A$93,INSEE_EPCI!$F$2:$F$93)</f>
        <v>14.9</v>
      </c>
      <c r="I64" s="32">
        <f t="shared" si="1"/>
        <v>-0.05752330226</v>
      </c>
      <c r="J64" s="33">
        <f t="shared" si="2"/>
        <v>5273.11</v>
      </c>
      <c r="K64" s="33">
        <f t="shared" si="3"/>
        <v>419.760408</v>
      </c>
      <c r="L64" s="33">
        <f>sum(T_Analyse[Population 2023]-T_Analyse[Formule by Xavier])</f>
        <v>21716</v>
      </c>
      <c r="M64" s="33">
        <f>SUMIFS(T_HDF[Population],T_HDF[Code_EPCI],T_Analyse[Code_EPCI])</f>
        <v>13674</v>
      </c>
    </row>
    <row r="65" ht="15.75" customHeight="1">
      <c r="A65" s="22" t="s">
        <v>107</v>
      </c>
      <c r="B65" s="24" t="s">
        <v>106</v>
      </c>
      <c r="C65" s="26">
        <f>COUNTIFS(T_HDF[Code_EPCI],A65)</f>
        <v>26</v>
      </c>
      <c r="D65" s="28">
        <f>SUMIFS(T_HDF[Superficie_km2],T_HDF[Code_EPCI],A65)</f>
        <v>232.1</v>
      </c>
      <c r="E65" s="26">
        <f t="array" ref="E65">_xlfn.XLOOKUP(T_Analyse[Code_EPCI],INSEE_EPCI!$A$2:$A$93,INSEE_EPCI!$C$2:$C$93)</f>
        <v>5675</v>
      </c>
      <c r="F65" s="26">
        <f t="array" ref="F65">_xlfn.XLOOKUP(T_Analyse[Code_EPCI],INSEE_EPCI!$A$2:$A$93,INSEE_EPCI!$D$2:$D$93)</f>
        <v>5512</v>
      </c>
      <c r="G65" s="26">
        <f t="array" ref="G65">_xlfn.XLOOKUP(T_Analyse[Code_EPCI],INSEE_EPCI!$A$2:$A$93,INSEE_EPCI!$E$2:$E$93)</f>
        <v>25290</v>
      </c>
      <c r="H65" s="26">
        <f t="array" ref="H65">_xlfn.XLOOKUP(T_Analyse[Code_EPCI],INSEE_EPCI!$A$2:$A$93,INSEE_EPCI!$F$2:$F$93)</f>
        <v>10</v>
      </c>
      <c r="I65" s="32">
        <f t="shared" si="1"/>
        <v>-0.02872246696</v>
      </c>
      <c r="J65" s="33">
        <f t="shared" si="2"/>
        <v>551.2</v>
      </c>
      <c r="K65" s="33">
        <f t="shared" si="3"/>
        <v>23.74838432</v>
      </c>
      <c r="L65" s="33">
        <f>sum(T_Analyse[Population 2023]-T_Analyse[Formule by Xavier])</f>
        <v>0</v>
      </c>
      <c r="M65" s="33">
        <f>SUMIFS(T_HDF[Population],T_HDF[Code_EPCI],T_Analyse[Code_EPCI])</f>
        <v>5512</v>
      </c>
    </row>
    <row r="66" ht="15.75" customHeight="1">
      <c r="A66" s="22" t="s">
        <v>357</v>
      </c>
      <c r="B66" s="24" t="s">
        <v>182</v>
      </c>
      <c r="C66" s="26">
        <f>COUNTIFS(T_HDF[Code_EPCI],A66)</f>
        <v>21</v>
      </c>
      <c r="D66" s="28">
        <f>SUMIFS(T_HDF[Superficie_km2],T_HDF[Code_EPCI],A66)</f>
        <v>236.52</v>
      </c>
      <c r="E66" s="26">
        <f t="array" ref="E66">_xlfn.XLOOKUP(T_Analyse[Code_EPCI],INSEE_EPCI!$A$2:$A$93,INSEE_EPCI!$C$2:$C$93)</f>
        <v>15740</v>
      </c>
      <c r="F66" s="26">
        <f t="array" ref="F66">_xlfn.XLOOKUP(T_Analyse[Code_EPCI],INSEE_EPCI!$A$2:$A$93,INSEE_EPCI!$D$2:$D$93)</f>
        <v>15224</v>
      </c>
      <c r="G66" s="26">
        <f t="array" ref="G66">_xlfn.XLOOKUP(T_Analyse[Code_EPCI],INSEE_EPCI!$A$2:$A$93,INSEE_EPCI!$E$2:$E$93)</f>
        <v>25680</v>
      </c>
      <c r="H66" s="26">
        <f t="array" ref="H66">_xlfn.XLOOKUP(T_Analyse[Code_EPCI],INSEE_EPCI!$A$2:$A$93,INSEE_EPCI!$F$2:$F$93)</f>
        <v>12</v>
      </c>
      <c r="I66" s="32">
        <f t="shared" si="1"/>
        <v>-0.03278271919</v>
      </c>
      <c r="J66" s="33">
        <f t="shared" si="2"/>
        <v>1826.88</v>
      </c>
      <c r="K66" s="33">
        <f t="shared" si="3"/>
        <v>64.36664975</v>
      </c>
      <c r="L66" s="33">
        <f>sum(T_Analyse[Population 2023]-T_Analyse[Formule by Xavier])</f>
        <v>0</v>
      </c>
      <c r="M66" s="33">
        <f>SUMIFS(T_HDF[Population],T_HDF[Code_EPCI],T_Analyse[Code_EPCI])</f>
        <v>15224</v>
      </c>
    </row>
    <row r="67" ht="15.75" customHeight="1">
      <c r="A67" s="22" t="s">
        <v>87</v>
      </c>
      <c r="B67" s="24" t="s">
        <v>86</v>
      </c>
      <c r="C67" s="26">
        <f>COUNTIFS(T_HDF[Code_EPCI],A67)</f>
        <v>30</v>
      </c>
      <c r="D67" s="28">
        <f>SUMIFS(T_HDF[Superficie_km2],T_HDF[Code_EPCI],A67)</f>
        <v>179.31</v>
      </c>
      <c r="E67" s="26">
        <f t="array" ref="E67">_xlfn.XLOOKUP(T_Analyse[Code_EPCI],INSEE_EPCI!$A$2:$A$93,INSEE_EPCI!$C$2:$C$93)</f>
        <v>5484</v>
      </c>
      <c r="F67" s="26">
        <f t="array" ref="F67">_xlfn.XLOOKUP(T_Analyse[Code_EPCI],INSEE_EPCI!$A$2:$A$93,INSEE_EPCI!$D$2:$D$93)</f>
        <v>5505</v>
      </c>
      <c r="G67" s="26">
        <f t="array" ref="G67">_xlfn.XLOOKUP(T_Analyse[Code_EPCI],INSEE_EPCI!$A$2:$A$93,INSEE_EPCI!$E$2:$E$93)</f>
        <v>25190</v>
      </c>
      <c r="H67" s="26">
        <f t="array" ref="H67">_xlfn.XLOOKUP(T_Analyse[Code_EPCI],INSEE_EPCI!$A$2:$A$93,INSEE_EPCI!$F$2:$F$93)</f>
        <v>13</v>
      </c>
      <c r="I67" s="32">
        <f t="shared" si="1"/>
        <v>0.003829321663</v>
      </c>
      <c r="J67" s="33">
        <f t="shared" si="2"/>
        <v>715.65</v>
      </c>
      <c r="K67" s="33">
        <f t="shared" si="3"/>
        <v>30.70102058</v>
      </c>
      <c r="L67" s="33">
        <f>sum(T_Analyse[Population 2023]-T_Analyse[Formule by Xavier])</f>
        <v>0</v>
      </c>
      <c r="M67" s="33">
        <f>SUMIFS(T_HDF[Population],T_HDF[Code_EPCI],T_Analyse[Code_EPCI])</f>
        <v>5505</v>
      </c>
    </row>
    <row r="68" ht="15.75" customHeight="1">
      <c r="A68" s="22" t="s">
        <v>482</v>
      </c>
      <c r="B68" s="24" t="s">
        <v>183</v>
      </c>
      <c r="C68" s="26">
        <f>COUNTIFS(T_HDF[Code_EPCI],A68)</f>
        <v>18</v>
      </c>
      <c r="D68" s="28">
        <f>SUMIFS(T_HDF[Superficie_km2],T_HDF[Code_EPCI],A68)</f>
        <v>148.48</v>
      </c>
      <c r="E68" s="26">
        <f t="array" ref="E68">_xlfn.XLOOKUP(T_Analyse[Code_EPCI],INSEE_EPCI!$A$2:$A$93,INSEE_EPCI!$C$2:$C$93)</f>
        <v>37135</v>
      </c>
      <c r="F68" s="26">
        <f t="array" ref="F68">_xlfn.XLOOKUP(T_Analyse[Code_EPCI],INSEE_EPCI!$A$2:$A$93,INSEE_EPCI!$D$2:$D$93)</f>
        <v>37535</v>
      </c>
      <c r="G68" s="26">
        <f t="array" ref="G68">_xlfn.XLOOKUP(T_Analyse[Code_EPCI],INSEE_EPCI!$A$2:$A$93,INSEE_EPCI!$E$2:$E$93)</f>
        <v>26840</v>
      </c>
      <c r="H68" s="26">
        <f t="array" ref="H68">_xlfn.XLOOKUP(T_Analyse[Code_EPCI],INSEE_EPCI!$A$2:$A$93,INSEE_EPCI!$F$2:$F$93)</f>
        <v>11</v>
      </c>
      <c r="I68" s="32">
        <f t="shared" si="1"/>
        <v>0.01077150936</v>
      </c>
      <c r="J68" s="33">
        <f t="shared" si="2"/>
        <v>4128.85</v>
      </c>
      <c r="K68" s="33">
        <f t="shared" si="3"/>
        <v>252.7949892</v>
      </c>
      <c r="L68" s="33">
        <f>sum(T_Analyse[Population 2023]-T_Analyse[Formule by Xavier])</f>
        <v>0</v>
      </c>
      <c r="M68" s="33">
        <f>SUMIFS(T_HDF[Population],T_HDF[Code_EPCI],T_Analyse[Code_EPCI])</f>
        <v>37535</v>
      </c>
    </row>
    <row r="69" ht="15.75" customHeight="1">
      <c r="A69" s="22" t="s">
        <v>485</v>
      </c>
      <c r="B69" s="24" t="s">
        <v>185</v>
      </c>
      <c r="C69" s="26">
        <f>COUNTIFS(T_HDF[Code_EPCI],A69)</f>
        <v>62</v>
      </c>
      <c r="D69" s="28">
        <f>SUMIFS(T_HDF[Superficie_km2],T_HDF[Code_EPCI],A69)</f>
        <v>398.8</v>
      </c>
      <c r="E69" s="26">
        <f t="array" ref="E69">_xlfn.XLOOKUP(T_Analyse[Code_EPCI],INSEE_EPCI!$A$2:$A$93,INSEE_EPCI!$C$2:$C$93)</f>
        <v>25803</v>
      </c>
      <c r="F69" s="26">
        <f t="array" ref="F69">_xlfn.XLOOKUP(T_Analyse[Code_EPCI],INSEE_EPCI!$A$2:$A$93,INSEE_EPCI!$D$2:$D$93)</f>
        <v>25273</v>
      </c>
      <c r="G69" s="26">
        <f t="array" ref="G69">_xlfn.XLOOKUP(T_Analyse[Code_EPCI],INSEE_EPCI!$A$2:$A$93,INSEE_EPCI!$E$2:$E$93)</f>
        <v>23630</v>
      </c>
      <c r="H69" s="26">
        <f t="array" ref="H69">_xlfn.XLOOKUP(T_Analyse[Code_EPCI],INSEE_EPCI!$A$2:$A$93,INSEE_EPCI!$F$2:$F$93)</f>
        <v>16.9</v>
      </c>
      <c r="I69" s="32">
        <f t="shared" si="1"/>
        <v>-0.02054024726</v>
      </c>
      <c r="J69" s="33">
        <f t="shared" si="2"/>
        <v>4271.137</v>
      </c>
      <c r="K69" s="33">
        <f t="shared" si="3"/>
        <v>63.37261785</v>
      </c>
      <c r="L69" s="33">
        <f>sum(T_Analyse[Population 2023]-T_Analyse[Formule by Xavier])</f>
        <v>0</v>
      </c>
      <c r="M69" s="33">
        <f>SUMIFS(T_HDF[Population],T_HDF[Code_EPCI],T_Analyse[Code_EPCI])</f>
        <v>25273</v>
      </c>
    </row>
    <row r="70" ht="15.75" customHeight="1">
      <c r="A70" s="22" t="s">
        <v>488</v>
      </c>
      <c r="B70" s="24" t="s">
        <v>187</v>
      </c>
      <c r="C70" s="26">
        <f>COUNTIFS(T_HDF[Code_EPCI],A70)</f>
        <v>49</v>
      </c>
      <c r="D70" s="28">
        <f>SUMIFS(T_HDF[Superficie_km2],T_HDF[Code_EPCI],A70)</f>
        <v>422.09</v>
      </c>
      <c r="E70" s="26">
        <f t="array" ref="E70">_xlfn.XLOOKUP(T_Analyse[Code_EPCI],INSEE_EPCI!$A$2:$A$93,INSEE_EPCI!$C$2:$C$93)</f>
        <v>15741</v>
      </c>
      <c r="F70" s="26">
        <f t="array" ref="F70">_xlfn.XLOOKUP(T_Analyse[Code_EPCI],INSEE_EPCI!$A$2:$A$93,INSEE_EPCI!$D$2:$D$93)</f>
        <v>15781</v>
      </c>
      <c r="G70" s="26">
        <f t="array" ref="G70">_xlfn.XLOOKUP(T_Analyse[Code_EPCI],INSEE_EPCI!$A$2:$A$93,INSEE_EPCI!$E$2:$E$93)</f>
        <v>23240</v>
      </c>
      <c r="H70" s="26">
        <f t="array" ref="H70">_xlfn.XLOOKUP(T_Analyse[Code_EPCI],INSEE_EPCI!$A$2:$A$93,INSEE_EPCI!$F$2:$F$93)</f>
        <v>17</v>
      </c>
      <c r="I70" s="32">
        <f t="shared" si="1"/>
        <v>0.002541134617</v>
      </c>
      <c r="J70" s="33">
        <f t="shared" si="2"/>
        <v>2682.77</v>
      </c>
      <c r="K70" s="33">
        <f t="shared" si="3"/>
        <v>37.3877609</v>
      </c>
      <c r="L70" s="33">
        <f>sum(T_Analyse[Population 2023]-T_Analyse[Formule by Xavier])</f>
        <v>0</v>
      </c>
      <c r="M70" s="33">
        <f>SUMIFS(T_HDF[Population],T_HDF[Code_EPCI],T_Analyse[Code_EPCI])</f>
        <v>15781</v>
      </c>
    </row>
    <row r="71" ht="15.75" customHeight="1">
      <c r="A71" s="22" t="s">
        <v>491</v>
      </c>
      <c r="B71" s="24" t="s">
        <v>188</v>
      </c>
      <c r="C71" s="26">
        <f>COUNTIFS(T_HDF[Code_EPCI],A71)</f>
        <v>10</v>
      </c>
      <c r="D71" s="28">
        <f>SUMIFS(T_HDF[Superficie_km2],T_HDF[Code_EPCI],A71)</f>
        <v>48.83</v>
      </c>
      <c r="E71" s="26">
        <f t="array" ref="E71">_xlfn.XLOOKUP(T_Analyse[Code_EPCI],INSEE_EPCI!$A$2:$A$93,INSEE_EPCI!$C$2:$C$93)</f>
        <v>23660</v>
      </c>
      <c r="F71" s="26">
        <f t="array" ref="F71">_xlfn.XLOOKUP(T_Analyse[Code_EPCI],INSEE_EPCI!$A$2:$A$93,INSEE_EPCI!$D$2:$D$93)</f>
        <v>23801</v>
      </c>
      <c r="G71" s="26">
        <f t="array" ref="G71">_xlfn.XLOOKUP(T_Analyse[Code_EPCI],INSEE_EPCI!$A$2:$A$93,INSEE_EPCI!$E$2:$E$93)</f>
        <v>25840</v>
      </c>
      <c r="H71" s="26">
        <f t="array" ref="H71">_xlfn.XLOOKUP(T_Analyse[Code_EPCI],INSEE_EPCI!$A$2:$A$93,INSEE_EPCI!$F$2:$F$93)</f>
        <v>13</v>
      </c>
      <c r="I71" s="32">
        <f t="shared" si="1"/>
        <v>0.00595942519</v>
      </c>
      <c r="J71" s="33">
        <f t="shared" si="2"/>
        <v>3094.13</v>
      </c>
      <c r="K71" s="33">
        <f t="shared" si="3"/>
        <v>487.4257629</v>
      </c>
      <c r="L71" s="33">
        <f>sum(T_Analyse[Population 2023]-T_Analyse[Formule by Xavier])</f>
        <v>0</v>
      </c>
      <c r="M71" s="33">
        <f>SUMIFS(T_HDF[Population],T_HDF[Code_EPCI],T_Analyse[Code_EPCI])</f>
        <v>23801</v>
      </c>
    </row>
    <row r="72" ht="15.75" customHeight="1">
      <c r="A72" s="22" t="s">
        <v>494</v>
      </c>
      <c r="B72" s="24" t="s">
        <v>200</v>
      </c>
      <c r="C72" s="26">
        <f>COUNTIFS(T_HDF[Code_EPCI],A72)</f>
        <v>42</v>
      </c>
      <c r="D72" s="28">
        <f>SUMIFS(T_HDF[Superficie_km2],T_HDF[Code_EPCI],A72)</f>
        <v>267.53</v>
      </c>
      <c r="E72" s="26">
        <f t="array" ref="E72">_xlfn.XLOOKUP(T_Analyse[Code_EPCI],INSEE_EPCI!$A$2:$A$93,INSEE_EPCI!$C$2:$C$93)</f>
        <v>32964</v>
      </c>
      <c r="F72" s="26">
        <f t="array" ref="F72">_xlfn.XLOOKUP(T_Analyse[Code_EPCI],INSEE_EPCI!$A$2:$A$93,INSEE_EPCI!$D$2:$D$93)</f>
        <v>31901</v>
      </c>
      <c r="G72" s="26">
        <f t="array" ref="G72">_xlfn.XLOOKUP(T_Analyse[Code_EPCI],INSEE_EPCI!$A$2:$A$93,INSEE_EPCI!$E$2:$E$93)</f>
        <v>23240</v>
      </c>
      <c r="H72" s="26">
        <f t="array" ref="H72">_xlfn.XLOOKUP(T_Analyse[Code_EPCI],INSEE_EPCI!$A$2:$A$93,INSEE_EPCI!$F$2:$F$93)</f>
        <v>20.1</v>
      </c>
      <c r="I72" s="32">
        <f t="shared" si="1"/>
        <v>-0.03224730008</v>
      </c>
      <c r="J72" s="33">
        <f t="shared" si="2"/>
        <v>6412.101</v>
      </c>
      <c r="K72" s="33">
        <f t="shared" si="3"/>
        <v>119.2427018</v>
      </c>
      <c r="L72" s="33">
        <f>sum(T_Analyse[Population 2023]-T_Analyse[Formule by Xavier])</f>
        <v>0</v>
      </c>
      <c r="M72" s="33">
        <f>SUMIFS(T_HDF[Population],T_HDF[Code_EPCI],T_Analyse[Code_EPCI])</f>
        <v>31901</v>
      </c>
    </row>
    <row r="73" ht="15.75" customHeight="1">
      <c r="A73" s="22" t="s">
        <v>499</v>
      </c>
      <c r="B73" s="24" t="s">
        <v>202</v>
      </c>
      <c r="C73" s="26">
        <f>COUNTIFS(T_HDF[Code_EPCI],A73)</f>
        <v>15</v>
      </c>
      <c r="D73" s="28">
        <f>SUMIFS(T_HDF[Superficie_km2],T_HDF[Code_EPCI],A73)</f>
        <v>117.19</v>
      </c>
      <c r="E73" s="26">
        <f t="array" ref="E73">_xlfn.XLOOKUP(T_Analyse[Code_EPCI],INSEE_EPCI!$A$2:$A$93,INSEE_EPCI!$C$2:$C$93)</f>
        <v>14908</v>
      </c>
      <c r="F73" s="26">
        <f t="array" ref="F73">_xlfn.XLOOKUP(T_Analyse[Code_EPCI],INSEE_EPCI!$A$2:$A$93,INSEE_EPCI!$D$2:$D$93)</f>
        <v>14470</v>
      </c>
      <c r="G73" s="26">
        <f t="array" ref="G73">_xlfn.XLOOKUP(T_Analyse[Code_EPCI],INSEE_EPCI!$A$2:$A$93,INSEE_EPCI!$E$2:$E$93)</f>
        <v>24330</v>
      </c>
      <c r="H73" s="26">
        <f t="array" ref="H73">_xlfn.XLOOKUP(T_Analyse[Code_EPCI],INSEE_EPCI!$A$2:$A$93,INSEE_EPCI!$F$2:$F$93)</f>
        <v>15</v>
      </c>
      <c r="I73" s="32">
        <f t="shared" si="1"/>
        <v>-0.02938019855</v>
      </c>
      <c r="J73" s="33">
        <f t="shared" si="2"/>
        <v>2170.5</v>
      </c>
      <c r="K73" s="33">
        <f t="shared" si="3"/>
        <v>123.4746992</v>
      </c>
      <c r="L73" s="33">
        <f>sum(T_Analyse[Population 2023]-T_Analyse[Formule by Xavier])</f>
        <v>0</v>
      </c>
      <c r="M73" s="33">
        <f>SUMIFS(T_HDF[Population],T_HDF[Code_EPCI],T_Analyse[Code_EPCI])</f>
        <v>14470</v>
      </c>
    </row>
    <row r="74" ht="15.75" customHeight="1">
      <c r="A74" s="22" t="s">
        <v>501</v>
      </c>
      <c r="B74" s="24" t="s">
        <v>190</v>
      </c>
      <c r="C74" s="26">
        <f>COUNTIFS(T_HDF[Code_EPCI],A74)</f>
        <v>23</v>
      </c>
      <c r="D74" s="28">
        <f>SUMIFS(T_HDF[Superficie_km2],T_HDF[Code_EPCI],A74)</f>
        <v>246.41</v>
      </c>
      <c r="E74" s="26">
        <f t="array" ref="E74">_xlfn.XLOOKUP(T_Analyse[Code_EPCI],INSEE_EPCI!$A$2:$A$93,INSEE_EPCI!$C$2:$C$93)</f>
        <v>18297</v>
      </c>
      <c r="F74" s="26">
        <f t="array" ref="F74">_xlfn.XLOOKUP(T_Analyse[Code_EPCI],INSEE_EPCI!$A$2:$A$93,INSEE_EPCI!$D$2:$D$93)</f>
        <v>18086</v>
      </c>
      <c r="G74" s="26">
        <f t="array" ref="G74">_xlfn.XLOOKUP(T_Analyse[Code_EPCI],INSEE_EPCI!$A$2:$A$93,INSEE_EPCI!$E$2:$E$93)</f>
        <v>25560</v>
      </c>
      <c r="H74" s="26">
        <f t="array" ref="H74">_xlfn.XLOOKUP(T_Analyse[Code_EPCI],INSEE_EPCI!$A$2:$A$93,INSEE_EPCI!$F$2:$F$93)</f>
        <v>12</v>
      </c>
      <c r="I74" s="32">
        <f t="shared" si="1"/>
        <v>-0.01153194513</v>
      </c>
      <c r="J74" s="33">
        <f t="shared" si="2"/>
        <v>2170.32</v>
      </c>
      <c r="K74" s="33">
        <f t="shared" si="3"/>
        <v>73.39799521</v>
      </c>
      <c r="L74" s="33">
        <f>sum(T_Analyse[Population 2023]-T_Analyse[Formule by Xavier])</f>
        <v>0</v>
      </c>
      <c r="M74" s="33">
        <f>SUMIFS(T_HDF[Population],T_HDF[Code_EPCI],T_Analyse[Code_EPCI])</f>
        <v>18086</v>
      </c>
    </row>
    <row r="75" ht="15.75" customHeight="1">
      <c r="A75" s="22" t="s">
        <v>504</v>
      </c>
      <c r="B75" s="24" t="s">
        <v>191</v>
      </c>
      <c r="C75" s="26">
        <f>COUNTIFS(T_HDF[Code_EPCI],A75)</f>
        <v>36</v>
      </c>
      <c r="D75" s="28">
        <f>SUMIFS(T_HDF[Superficie_km2],T_HDF[Code_EPCI],A75)</f>
        <v>271.1</v>
      </c>
      <c r="E75" s="26">
        <f t="array" ref="E75">_xlfn.XLOOKUP(T_Analyse[Code_EPCI],INSEE_EPCI!$A$2:$A$93,INSEE_EPCI!$C$2:$C$93)</f>
        <v>24248</v>
      </c>
      <c r="F75" s="26">
        <f t="array" ref="F75">_xlfn.XLOOKUP(T_Analyse[Code_EPCI],INSEE_EPCI!$A$2:$A$93,INSEE_EPCI!$D$2:$D$93)</f>
        <v>24109</v>
      </c>
      <c r="G75" s="26">
        <f t="array" ref="G75">_xlfn.XLOOKUP(T_Analyse[Code_EPCI],INSEE_EPCI!$A$2:$A$93,INSEE_EPCI!$E$2:$E$93)</f>
        <v>24370</v>
      </c>
      <c r="H75" s="26">
        <f t="array" ref="H75">_xlfn.XLOOKUP(T_Analyse[Code_EPCI],INSEE_EPCI!$A$2:$A$93,INSEE_EPCI!$F$2:$F$93)</f>
        <v>12.8</v>
      </c>
      <c r="I75" s="32">
        <f t="shared" si="1"/>
        <v>-0.005732431541</v>
      </c>
      <c r="J75" s="33">
        <f t="shared" si="2"/>
        <v>3085.952</v>
      </c>
      <c r="K75" s="33">
        <f t="shared" si="3"/>
        <v>88.93028403</v>
      </c>
      <c r="L75" s="33">
        <f>sum(T_Analyse[Population 2023]-T_Analyse[Formule by Xavier])</f>
        <v>0</v>
      </c>
      <c r="M75" s="33">
        <f>SUMIFS(T_HDF[Population],T_HDF[Code_EPCI],T_Analyse[Code_EPCI])</f>
        <v>24109</v>
      </c>
    </row>
    <row r="76" ht="15.75" customHeight="1">
      <c r="A76" s="22" t="s">
        <v>508</v>
      </c>
      <c r="B76" s="24" t="s">
        <v>192</v>
      </c>
      <c r="C76" s="26">
        <f>COUNTIFS(T_HDF[Code_EPCI],A76)</f>
        <v>52</v>
      </c>
      <c r="D76" s="28">
        <f>SUMIFS(T_HDF[Superficie_km2],T_HDF[Code_EPCI],A76)</f>
        <v>466.44</v>
      </c>
      <c r="E76" s="26">
        <f t="array" ref="E76">_xlfn.XLOOKUP(T_Analyse[Code_EPCI],INSEE_EPCI!$A$2:$A$93,INSEE_EPCI!$C$2:$C$93)</f>
        <v>48441</v>
      </c>
      <c r="F76" s="26">
        <f t="array" ref="F76">_xlfn.XLOOKUP(T_Analyse[Code_EPCI],INSEE_EPCI!$A$2:$A$93,INSEE_EPCI!$D$2:$D$93)</f>
        <v>48048</v>
      </c>
      <c r="G76" s="26">
        <f t="array" ref="G76">_xlfn.XLOOKUP(T_Analyse[Code_EPCI],INSEE_EPCI!$A$2:$A$93,INSEE_EPCI!$E$2:$E$93)</f>
        <v>25710</v>
      </c>
      <c r="H76" s="26">
        <f t="array" ref="H76">_xlfn.XLOOKUP(T_Analyse[Code_EPCI],INSEE_EPCI!$A$2:$A$93,INSEE_EPCI!$F$2:$F$93)</f>
        <v>14.3</v>
      </c>
      <c r="I76" s="32">
        <f t="shared" si="1"/>
        <v>-0.00811296216</v>
      </c>
      <c r="J76" s="33">
        <f t="shared" si="2"/>
        <v>6870.864</v>
      </c>
      <c r="K76" s="33">
        <f t="shared" si="3"/>
        <v>103.0100334</v>
      </c>
      <c r="L76" s="33">
        <f>sum(T_Analyse[Population 2023]-T_Analyse[Formule by Xavier])</f>
        <v>0</v>
      </c>
      <c r="M76" s="33">
        <f>SUMIFS(T_HDF[Population],T_HDF[Code_EPCI],T_Analyse[Code_EPCI])</f>
        <v>48048</v>
      </c>
    </row>
    <row r="77" ht="15.75" customHeight="1">
      <c r="A77" s="22" t="s">
        <v>509</v>
      </c>
      <c r="B77" s="24" t="s">
        <v>195</v>
      </c>
      <c r="C77" s="26">
        <f>COUNTIFS(T_HDF[Code_EPCI],A77)</f>
        <v>62</v>
      </c>
      <c r="D77" s="28">
        <f>SUMIFS(T_HDF[Superficie_km2],T_HDF[Code_EPCI],A77)</f>
        <v>617.96</v>
      </c>
      <c r="E77" s="26">
        <f t="array" ref="E77">_xlfn.XLOOKUP(T_Analyse[Code_EPCI],INSEE_EPCI!$A$2:$A$93,INSEE_EPCI!$C$2:$C$93)</f>
        <v>55733</v>
      </c>
      <c r="F77" s="26">
        <f t="array" ref="F77">_xlfn.XLOOKUP(T_Analyse[Code_EPCI],INSEE_EPCI!$A$2:$A$93,INSEE_EPCI!$D$2:$D$93)</f>
        <v>55548</v>
      </c>
      <c r="G77" s="26">
        <f t="array" ref="G77">_xlfn.XLOOKUP(T_Analyse[Code_EPCI],INSEE_EPCI!$A$2:$A$93,INSEE_EPCI!$E$2:$E$93)</f>
        <v>28270</v>
      </c>
      <c r="H77" s="26">
        <f t="array" ref="H77">_xlfn.XLOOKUP(T_Analyse[Code_EPCI],INSEE_EPCI!$A$2:$A$93,INSEE_EPCI!$F$2:$F$93)</f>
        <v>8</v>
      </c>
      <c r="I77" s="32">
        <f t="shared" si="1"/>
        <v>-0.003319397843</v>
      </c>
      <c r="J77" s="33">
        <f t="shared" si="2"/>
        <v>4443.84</v>
      </c>
      <c r="K77" s="33">
        <f t="shared" si="3"/>
        <v>89.88931322</v>
      </c>
      <c r="L77" s="33">
        <f>sum(T_Analyse[Population 2023]-T_Analyse[Formule by Xavier])</f>
        <v>0</v>
      </c>
      <c r="M77" s="33">
        <f>SUMIFS(T_HDF[Population],T_HDF[Code_EPCI],T_Analyse[Code_EPCI])</f>
        <v>55548</v>
      </c>
    </row>
    <row r="78" ht="15.75" customHeight="1">
      <c r="A78" s="22" t="s">
        <v>74</v>
      </c>
      <c r="B78" s="24" t="s">
        <v>73</v>
      </c>
      <c r="C78" s="26">
        <f>COUNTIFS(T_HDF[Code_EPCI],A78)</f>
        <v>42</v>
      </c>
      <c r="D78" s="28">
        <f>SUMIFS(T_HDF[Superficie_km2],T_HDF[Code_EPCI],A78)</f>
        <v>431.47</v>
      </c>
      <c r="E78" s="26">
        <f t="array" ref="E78">_xlfn.XLOOKUP(T_Analyse[Code_EPCI],INSEE_EPCI!$A$2:$A$93,INSEE_EPCI!$C$2:$C$93)</f>
        <v>14565</v>
      </c>
      <c r="F78" s="26">
        <f t="array" ref="F78">_xlfn.XLOOKUP(T_Analyse[Code_EPCI],INSEE_EPCI!$A$2:$A$93,INSEE_EPCI!$D$2:$D$93)</f>
        <v>14337</v>
      </c>
      <c r="G78" s="26">
        <f t="array" ref="G78">_xlfn.XLOOKUP(T_Analyse[Code_EPCI],INSEE_EPCI!$A$2:$A$93,INSEE_EPCI!$E$2:$E$93)</f>
        <v>23550</v>
      </c>
      <c r="H78" s="26">
        <f t="array" ref="H78">_xlfn.XLOOKUP(T_Analyse[Code_EPCI],INSEE_EPCI!$A$2:$A$93,INSEE_EPCI!$F$2:$F$93)</f>
        <v>15</v>
      </c>
      <c r="I78" s="32">
        <f t="shared" si="1"/>
        <v>-0.01565396498</v>
      </c>
      <c r="J78" s="33">
        <f t="shared" si="2"/>
        <v>2150.55</v>
      </c>
      <c r="K78" s="33">
        <f t="shared" si="3"/>
        <v>33.22826616</v>
      </c>
      <c r="L78" s="33">
        <f>sum(T_Analyse[Population 2023]-T_Analyse[Formule by Xavier])</f>
        <v>0</v>
      </c>
      <c r="M78" s="33">
        <f>SUMIFS(T_HDF[Population],T_HDF[Code_EPCI],T_Analyse[Code_EPCI])</f>
        <v>14337</v>
      </c>
    </row>
    <row r="79" ht="15.75" customHeight="1">
      <c r="A79" s="22" t="s">
        <v>514</v>
      </c>
      <c r="B79" s="24" t="s">
        <v>196</v>
      </c>
      <c r="C79" s="26">
        <f>COUNTIFS(T_HDF[Code_EPCI],A79)</f>
        <v>48</v>
      </c>
      <c r="D79" s="28">
        <f>SUMIFS(T_HDF[Superficie_km2],T_HDF[Code_EPCI],A79)</f>
        <v>353.18</v>
      </c>
      <c r="E79" s="26">
        <f t="array" ref="E79">_xlfn.XLOOKUP(T_Analyse[Code_EPCI],INSEE_EPCI!$A$2:$A$93,INSEE_EPCI!$C$2:$C$93)</f>
        <v>22104</v>
      </c>
      <c r="F79" s="26">
        <f t="array" ref="F79">_xlfn.XLOOKUP(T_Analyse[Code_EPCI],INSEE_EPCI!$A$2:$A$93,INSEE_EPCI!$D$2:$D$93)</f>
        <v>22081</v>
      </c>
      <c r="G79" s="26">
        <f t="array" ref="G79">_xlfn.XLOOKUP(T_Analyse[Code_EPCI],INSEE_EPCI!$A$2:$A$93,INSEE_EPCI!$E$2:$E$93)</f>
        <v>27170</v>
      </c>
      <c r="H79" s="26">
        <f t="array" ref="H79">_xlfn.XLOOKUP(T_Analyse[Code_EPCI],INSEE_EPCI!$A$2:$A$93,INSEE_EPCI!$F$2:$F$93)</f>
        <v>9</v>
      </c>
      <c r="I79" s="32">
        <f t="shared" si="1"/>
        <v>-0.00104053565</v>
      </c>
      <c r="J79" s="33">
        <f t="shared" si="2"/>
        <v>1987.29</v>
      </c>
      <c r="K79" s="33">
        <f t="shared" si="3"/>
        <v>62.52052778</v>
      </c>
      <c r="L79" s="33">
        <f>sum(T_Analyse[Population 2023]-T_Analyse[Formule by Xavier])</f>
        <v>0</v>
      </c>
      <c r="M79" s="33">
        <f>SUMIFS(T_HDF[Population],T_HDF[Code_EPCI],T_Analyse[Code_EPCI])</f>
        <v>22081</v>
      </c>
    </row>
    <row r="80" ht="15.75" customHeight="1">
      <c r="A80" s="22" t="s">
        <v>517</v>
      </c>
      <c r="B80" s="24" t="s">
        <v>197</v>
      </c>
      <c r="C80" s="26">
        <f>COUNTIFS(T_HDF[Code_EPCI],A80)</f>
        <v>65</v>
      </c>
      <c r="D80" s="28">
        <f>SUMIFS(T_HDF[Superficie_km2],T_HDF[Code_EPCI],A80)</f>
        <v>466.13</v>
      </c>
      <c r="E80" s="26">
        <f t="array" ref="E80">_xlfn.XLOOKUP(T_Analyse[Code_EPCI],INSEE_EPCI!$A$2:$A$93,INSEE_EPCI!$C$2:$C$93)</f>
        <v>28416</v>
      </c>
      <c r="F80" s="26">
        <f t="array" ref="F80">_xlfn.XLOOKUP(T_Analyse[Code_EPCI],INSEE_EPCI!$A$2:$A$93,INSEE_EPCI!$D$2:$D$93)</f>
        <v>27713</v>
      </c>
      <c r="G80" s="26">
        <f t="array" ref="G80">_xlfn.XLOOKUP(T_Analyse[Code_EPCI],INSEE_EPCI!$A$2:$A$93,INSEE_EPCI!$E$2:$E$93)</f>
        <v>24530</v>
      </c>
      <c r="H80" s="26">
        <f t="array" ref="H80">_xlfn.XLOOKUP(T_Analyse[Code_EPCI],INSEE_EPCI!$A$2:$A$93,INSEE_EPCI!$F$2:$F$93)</f>
        <v>14.1</v>
      </c>
      <c r="I80" s="32">
        <f t="shared" si="1"/>
        <v>-0.02473958333</v>
      </c>
      <c r="J80" s="33">
        <f t="shared" si="2"/>
        <v>3907.533</v>
      </c>
      <c r="K80" s="33">
        <f t="shared" si="3"/>
        <v>59.45337138</v>
      </c>
      <c r="L80" s="33">
        <f>sum(T_Analyse[Population 2023]-T_Analyse[Formule by Xavier])</f>
        <v>0</v>
      </c>
      <c r="M80" s="33">
        <f>SUMIFS(T_HDF[Population],T_HDF[Code_EPCI],T_Analyse[Code_EPCI])</f>
        <v>27713</v>
      </c>
    </row>
    <row r="81" ht="15.75" customHeight="1">
      <c r="A81" s="22" t="s">
        <v>217</v>
      </c>
      <c r="B81" s="24" t="s">
        <v>198</v>
      </c>
      <c r="C81" s="26">
        <f>COUNTIFS(T_HDF[Code_EPCI],A81)</f>
        <v>54</v>
      </c>
      <c r="D81" s="28">
        <f>SUMIFS(T_HDF[Superficie_km2],T_HDF[Code_EPCI],A81)</f>
        <v>450.17</v>
      </c>
      <c r="E81" s="26">
        <f t="array" ref="E81">_xlfn.XLOOKUP(T_Analyse[Code_EPCI],INSEE_EPCI!$A$2:$A$93,INSEE_EPCI!$C$2:$C$93)</f>
        <v>31207</v>
      </c>
      <c r="F81" s="26">
        <f t="array" ref="F81">_xlfn.XLOOKUP(T_Analyse[Code_EPCI],INSEE_EPCI!$A$2:$A$93,INSEE_EPCI!$D$2:$D$93)</f>
        <v>30577</v>
      </c>
      <c r="G81" s="26">
        <f t="array" ref="G81">_xlfn.XLOOKUP(T_Analyse[Code_EPCI],INSEE_EPCI!$A$2:$A$93,INSEE_EPCI!$E$2:$E$93)</f>
        <v>23320</v>
      </c>
      <c r="H81" s="26">
        <f t="array" ref="H81">_xlfn.XLOOKUP(T_Analyse[Code_EPCI],INSEE_EPCI!$A$2:$A$93,INSEE_EPCI!$F$2:$F$93)</f>
        <v>18.2</v>
      </c>
      <c r="I81" s="32">
        <f t="shared" si="1"/>
        <v>-0.02018777838</v>
      </c>
      <c r="J81" s="33">
        <f t="shared" si="2"/>
        <v>5565.014</v>
      </c>
      <c r="K81" s="33">
        <f t="shared" si="3"/>
        <v>67.923229</v>
      </c>
      <c r="L81" s="33">
        <f>sum(T_Analyse[Population 2023]-T_Analyse[Formule by Xavier])</f>
        <v>0</v>
      </c>
      <c r="M81" s="33">
        <f>SUMIFS(T_HDF[Population],T_HDF[Code_EPCI],T_Analyse[Code_EPCI])</f>
        <v>30577</v>
      </c>
    </row>
    <row r="82" ht="15.75" customHeight="1">
      <c r="A82" s="22" t="s">
        <v>524</v>
      </c>
      <c r="B82" s="24" t="s">
        <v>203</v>
      </c>
      <c r="C82" s="26">
        <f>COUNTIFS(T_HDF[Code_EPCI],A82)</f>
        <v>52</v>
      </c>
      <c r="D82" s="28">
        <f>SUMIFS(T_HDF[Superficie_km2],T_HDF[Code_EPCI],A82)</f>
        <v>440.41</v>
      </c>
      <c r="E82" s="26">
        <f t="array" ref="E82">_xlfn.XLOOKUP(T_Analyse[Code_EPCI],INSEE_EPCI!$A$2:$A$93,INSEE_EPCI!$C$2:$C$93)</f>
        <v>30249</v>
      </c>
      <c r="F82" s="26">
        <f t="array" ref="F82">_xlfn.XLOOKUP(T_Analyse[Code_EPCI],INSEE_EPCI!$A$2:$A$93,INSEE_EPCI!$D$2:$D$93)</f>
        <v>29412</v>
      </c>
      <c r="G82" s="26">
        <f t="array" ref="G82">_xlfn.XLOOKUP(T_Analyse[Code_EPCI],INSEE_EPCI!$A$2:$A$93,INSEE_EPCI!$E$2:$E$93)</f>
        <v>25350</v>
      </c>
      <c r="H82" s="26">
        <f t="array" ref="H82">_xlfn.XLOOKUP(T_Analyse[Code_EPCI],INSEE_EPCI!$A$2:$A$93,INSEE_EPCI!$F$2:$F$93)</f>
        <v>11.5</v>
      </c>
      <c r="I82" s="32">
        <f t="shared" si="1"/>
        <v>-0.02767033621</v>
      </c>
      <c r="J82" s="33">
        <f t="shared" si="2"/>
        <v>3382.38</v>
      </c>
      <c r="K82" s="33">
        <f t="shared" si="3"/>
        <v>66.78322472</v>
      </c>
      <c r="L82" s="33">
        <f>sum(T_Analyse[Population 2023]-T_Analyse[Formule by Xavier])</f>
        <v>0</v>
      </c>
      <c r="M82" s="33">
        <f>SUMIFS(T_HDF[Population],T_HDF[Code_EPCI],T_Analyse[Code_EPCI])</f>
        <v>29412</v>
      </c>
    </row>
    <row r="83" ht="15.75" customHeight="1">
      <c r="A83" s="22" t="s">
        <v>527</v>
      </c>
      <c r="B83" s="24" t="s">
        <v>204</v>
      </c>
      <c r="C83" s="26">
        <f>COUNTIFS(T_HDF[Code_EPCI],A83)</f>
        <v>64</v>
      </c>
      <c r="D83" s="28">
        <f>SUMIFS(T_HDF[Superficie_km2],T_HDF[Code_EPCI],A83)</f>
        <v>426.2</v>
      </c>
      <c r="E83" s="26">
        <f t="array" ref="E83">_xlfn.XLOOKUP(T_Analyse[Code_EPCI],INSEE_EPCI!$A$2:$A$93,INSEE_EPCI!$C$2:$C$93)</f>
        <v>27456</v>
      </c>
      <c r="F83" s="26">
        <f t="array" ref="F83">_xlfn.XLOOKUP(T_Analyse[Code_EPCI],INSEE_EPCI!$A$2:$A$93,INSEE_EPCI!$D$2:$D$93)</f>
        <v>26962</v>
      </c>
      <c r="G83" s="26">
        <f t="array" ref="G83">_xlfn.XLOOKUP(T_Analyse[Code_EPCI],INSEE_EPCI!$A$2:$A$93,INSEE_EPCI!$E$2:$E$93)</f>
        <v>24390</v>
      </c>
      <c r="H83" s="26">
        <f t="array" ref="H83">_xlfn.XLOOKUP(T_Analyse[Code_EPCI],INSEE_EPCI!$A$2:$A$93,INSEE_EPCI!$F$2:$F$93)</f>
        <v>13.5</v>
      </c>
      <c r="I83" s="32">
        <f t="shared" si="1"/>
        <v>-0.01799242424</v>
      </c>
      <c r="J83" s="33">
        <f t="shared" si="2"/>
        <v>3639.87</v>
      </c>
      <c r="K83" s="33">
        <f t="shared" si="3"/>
        <v>63.26137963</v>
      </c>
      <c r="L83" s="33">
        <f>sum(T_Analyse[Population 2023]-T_Analyse[Formule by Xavier])</f>
        <v>0</v>
      </c>
      <c r="M83" s="33">
        <f>SUMIFS(T_HDF[Population],T_HDF[Code_EPCI],T_Analyse[Code_EPCI])</f>
        <v>26962</v>
      </c>
    </row>
    <row r="84" ht="15.75" customHeight="1">
      <c r="A84" s="22" t="s">
        <v>530</v>
      </c>
      <c r="B84" s="24" t="s">
        <v>205</v>
      </c>
      <c r="C84" s="26">
        <f>COUNTIFS(T_HDF[Code_EPCI],A84)</f>
        <v>12</v>
      </c>
      <c r="D84" s="28">
        <f>SUMIFS(T_HDF[Superficie_km2],T_HDF[Code_EPCI],A84)</f>
        <v>179.04</v>
      </c>
      <c r="E84" s="26">
        <f t="array" ref="E84">_xlfn.XLOOKUP(T_Analyse[Code_EPCI],INSEE_EPCI!$A$2:$A$93,INSEE_EPCI!$C$2:$C$93)</f>
        <v>25206</v>
      </c>
      <c r="F84" s="26">
        <f t="array" ref="F84">_xlfn.XLOOKUP(T_Analyse[Code_EPCI],INSEE_EPCI!$A$2:$A$93,INSEE_EPCI!$D$2:$D$93)</f>
        <v>24208</v>
      </c>
      <c r="G84" s="26">
        <f t="array" ref="G84">_xlfn.XLOOKUP(T_Analyse[Code_EPCI],INSEE_EPCI!$A$2:$A$93,INSEE_EPCI!$E$2:$E$93)</f>
        <v>20100</v>
      </c>
      <c r="H84" s="26">
        <f t="array" ref="H84">_xlfn.XLOOKUP(T_Analyse[Code_EPCI],INSEE_EPCI!$A$2:$A$93,INSEE_EPCI!$F$2:$F$93)</f>
        <v>29.7</v>
      </c>
      <c r="I84" s="32">
        <f t="shared" si="1"/>
        <v>-0.03959374752</v>
      </c>
      <c r="J84" s="33">
        <f t="shared" si="2"/>
        <v>7189.776</v>
      </c>
      <c r="K84" s="33">
        <f t="shared" si="3"/>
        <v>135.2100089</v>
      </c>
      <c r="L84" s="33">
        <f>sum(T_Analyse[Population 2023]-T_Analyse[Formule by Xavier])</f>
        <v>0</v>
      </c>
      <c r="M84" s="33">
        <f>SUMIFS(T_HDF[Population],T_HDF[Code_EPCI],T_Analyse[Code_EPCI])</f>
        <v>24208</v>
      </c>
    </row>
    <row r="85" ht="15.75" customHeight="1">
      <c r="A85" s="22" t="s">
        <v>533</v>
      </c>
      <c r="B85" s="24" t="s">
        <v>206</v>
      </c>
      <c r="C85" s="26">
        <f>COUNTIFS(T_HDF[Code_EPCI],A85)</f>
        <v>103</v>
      </c>
      <c r="D85" s="28">
        <f>SUMIFS(T_HDF[Superficie_km2],T_HDF[Code_EPCI],A85)</f>
        <v>635.48</v>
      </c>
      <c r="E85" s="26">
        <f t="array" ref="E85">_xlfn.XLOOKUP(T_Analyse[Code_EPCI],INSEE_EPCI!$A$2:$A$93,INSEE_EPCI!$C$2:$C$93)</f>
        <v>38364</v>
      </c>
      <c r="F85" s="26">
        <f t="array" ref="F85">_xlfn.XLOOKUP(T_Analyse[Code_EPCI],INSEE_EPCI!$A$2:$A$93,INSEE_EPCI!$D$2:$D$93)</f>
        <v>36913</v>
      </c>
      <c r="G85" s="26">
        <f t="array" ref="G85">_xlfn.XLOOKUP(T_Analyse[Code_EPCI],INSEE_EPCI!$A$2:$A$93,INSEE_EPCI!$E$2:$E$93)</f>
        <v>23180</v>
      </c>
      <c r="H85" s="26">
        <f t="array" ref="H85">_xlfn.XLOOKUP(T_Analyse[Code_EPCI],INSEE_EPCI!$A$2:$A$93,INSEE_EPCI!$F$2:$F$93)</f>
        <v>18.9</v>
      </c>
      <c r="I85" s="32">
        <f t="shared" si="1"/>
        <v>-0.03782191638</v>
      </c>
      <c r="J85" s="33">
        <f t="shared" si="2"/>
        <v>6976.557</v>
      </c>
      <c r="K85" s="33">
        <f t="shared" si="3"/>
        <v>58.08680053</v>
      </c>
      <c r="L85" s="33">
        <f>sum(T_Analyse[Population 2023]-T_Analyse[Formule by Xavier])</f>
        <v>0</v>
      </c>
      <c r="M85" s="33">
        <f>SUMIFS(T_HDF[Population],T_HDF[Code_EPCI],T_Analyse[Code_EPCI])</f>
        <v>36913</v>
      </c>
    </row>
    <row r="86" ht="15.75" customHeight="1">
      <c r="A86" s="22" t="s">
        <v>534</v>
      </c>
      <c r="B86" s="24" t="s">
        <v>207</v>
      </c>
      <c r="C86" s="26">
        <f>COUNTIFS(T_HDF[Code_EPCI],A86)</f>
        <v>65</v>
      </c>
      <c r="D86" s="28">
        <f>SUMIFS(T_HDF[Superficie_km2],T_HDF[Code_EPCI],A86)</f>
        <v>539.74</v>
      </c>
      <c r="E86" s="26">
        <f t="array" ref="E86">_xlfn.XLOOKUP(T_Analyse[Code_EPCI],INSEE_EPCI!$A$2:$A$93,INSEE_EPCI!$C$2:$C$93)</f>
        <v>31450</v>
      </c>
      <c r="F86" s="26">
        <f t="array" ref="F86">_xlfn.XLOOKUP(T_Analyse[Code_EPCI],INSEE_EPCI!$A$2:$A$93,INSEE_EPCI!$D$2:$D$93)</f>
        <v>30685</v>
      </c>
      <c r="G86" s="26">
        <f t="array" ref="G86">_xlfn.XLOOKUP(T_Analyse[Code_EPCI],INSEE_EPCI!$A$2:$A$93,INSEE_EPCI!$E$2:$E$93)</f>
        <v>24940</v>
      </c>
      <c r="H86" s="26">
        <f t="array" ref="H86">_xlfn.XLOOKUP(T_Analyse[Code_EPCI],INSEE_EPCI!$A$2:$A$93,INSEE_EPCI!$F$2:$F$93)</f>
        <v>13.9</v>
      </c>
      <c r="I86" s="32">
        <f t="shared" si="1"/>
        <v>-0.02432432432</v>
      </c>
      <c r="J86" s="33">
        <f t="shared" si="2"/>
        <v>4265.215</v>
      </c>
      <c r="K86" s="33">
        <f t="shared" si="3"/>
        <v>56.85144699</v>
      </c>
      <c r="L86" s="33">
        <f>sum(T_Analyse[Population 2023]-T_Analyse[Formule by Xavier])</f>
        <v>0</v>
      </c>
      <c r="M86" s="33">
        <f>SUMIFS(T_HDF[Population],T_HDF[Code_EPCI],T_Analyse[Code_EPCI])</f>
        <v>30685</v>
      </c>
    </row>
    <row r="87" ht="15.75" customHeight="1">
      <c r="A87" s="22" t="s">
        <v>537</v>
      </c>
      <c r="B87" s="24" t="s">
        <v>210</v>
      </c>
      <c r="C87" s="26">
        <f>COUNTIFS(T_HDF[Code_EPCI],A87)</f>
        <v>33</v>
      </c>
      <c r="D87" s="28">
        <f>SUMIFS(T_HDF[Superficie_km2],T_HDF[Code_EPCI],A87)</f>
        <v>247.08</v>
      </c>
      <c r="E87" s="26">
        <f t="array" ref="E87">_xlfn.XLOOKUP(T_Analyse[Code_EPCI],INSEE_EPCI!$A$2:$A$93,INSEE_EPCI!$C$2:$C$93)</f>
        <v>26605</v>
      </c>
      <c r="F87" s="26">
        <f t="array" ref="F87">_xlfn.XLOOKUP(T_Analyse[Code_EPCI],INSEE_EPCI!$A$2:$A$93,INSEE_EPCI!$D$2:$D$93)</f>
        <v>26314</v>
      </c>
      <c r="G87" s="26">
        <f t="array" ref="G87">_xlfn.XLOOKUP(T_Analyse[Code_EPCI],INSEE_EPCI!$A$2:$A$93,INSEE_EPCI!$E$2:$E$93)</f>
        <v>26250</v>
      </c>
      <c r="H87" s="26">
        <f t="array" ref="H87">_xlfn.XLOOKUP(T_Analyse[Code_EPCI],INSEE_EPCI!$A$2:$A$93,INSEE_EPCI!$F$2:$F$93)</f>
        <v>9.6</v>
      </c>
      <c r="I87" s="32">
        <f t="shared" si="1"/>
        <v>-0.01093779365</v>
      </c>
      <c r="J87" s="33">
        <f t="shared" si="2"/>
        <v>2526.144</v>
      </c>
      <c r="K87" s="33">
        <f t="shared" si="3"/>
        <v>106.4999191</v>
      </c>
      <c r="L87" s="33">
        <f>sum(T_Analyse[Population 2023]-T_Analyse[Formule by Xavier])</f>
        <v>0</v>
      </c>
      <c r="M87" s="33">
        <f>SUMIFS(T_HDF[Population],T_HDF[Code_EPCI],T_Analyse[Code_EPCI])</f>
        <v>26314</v>
      </c>
    </row>
    <row r="88" ht="15.75" customHeight="1">
      <c r="A88" s="22" t="s">
        <v>91</v>
      </c>
      <c r="B88" s="24" t="s">
        <v>90</v>
      </c>
      <c r="C88" s="26">
        <f>COUNTIFS(T_HDF[Code_EPCI],A88)</f>
        <v>56</v>
      </c>
      <c r="D88" s="28">
        <f>SUMIFS(T_HDF[Superficie_km2],T_HDF[Code_EPCI],A88)</f>
        <v>396.56</v>
      </c>
      <c r="E88" s="26">
        <f t="array" ref="E88">_xlfn.XLOOKUP(T_Analyse[Code_EPCI],INSEE_EPCI!$A$2:$A$93,INSEE_EPCI!$C$2:$C$93)</f>
        <v>20284</v>
      </c>
      <c r="F88" s="26">
        <f t="array" ref="F88">_xlfn.XLOOKUP(T_Analyse[Code_EPCI],INSEE_EPCI!$A$2:$A$93,INSEE_EPCI!$D$2:$D$93)</f>
        <v>20310</v>
      </c>
      <c r="G88" s="26">
        <f t="array" ref="G88">_xlfn.XLOOKUP(T_Analyse[Code_EPCI],INSEE_EPCI!$A$2:$A$93,INSEE_EPCI!$E$2:$E$93)</f>
        <v>25120</v>
      </c>
      <c r="H88" s="26">
        <f t="array" ref="H88">_xlfn.XLOOKUP(T_Analyse[Code_EPCI],INSEE_EPCI!$A$2:$A$93,INSEE_EPCI!$F$2:$F$93)</f>
        <v>12</v>
      </c>
      <c r="I88" s="32">
        <f t="shared" si="1"/>
        <v>0.001281798462</v>
      </c>
      <c r="J88" s="33">
        <f t="shared" si="2"/>
        <v>2437.2</v>
      </c>
      <c r="K88" s="33">
        <f t="shared" si="3"/>
        <v>51.21545289</v>
      </c>
      <c r="L88" s="33">
        <f>sum(T_Analyse[Population 2023]-T_Analyse[Formule by Xavier])</f>
        <v>0</v>
      </c>
      <c r="M88" s="33">
        <f>SUMIFS(T_HDF[Population],T_HDF[Code_EPCI],T_Analyse[Code_EPCI])</f>
        <v>20310</v>
      </c>
    </row>
    <row r="89" ht="15.75" customHeight="1">
      <c r="A89" s="22" t="s">
        <v>95</v>
      </c>
      <c r="B89" s="24" t="s">
        <v>94</v>
      </c>
      <c r="C89" s="26">
        <f>COUNTIFS(T_HDF[Code_EPCI],A89)</f>
        <v>32</v>
      </c>
      <c r="D89" s="28">
        <f>SUMIFS(T_HDF[Superficie_km2],T_HDF[Code_EPCI],A89)</f>
        <v>328.37</v>
      </c>
      <c r="E89" s="26">
        <f t="array" ref="E89">_xlfn.XLOOKUP(T_Analyse[Code_EPCI],INSEE_EPCI!$A$2:$A$93,INSEE_EPCI!$C$2:$C$93)</f>
        <v>16083</v>
      </c>
      <c r="F89" s="26">
        <f t="array" ref="F89">_xlfn.XLOOKUP(T_Analyse[Code_EPCI],INSEE_EPCI!$A$2:$A$93,INSEE_EPCI!$D$2:$D$93)</f>
        <v>15838</v>
      </c>
      <c r="G89" s="26">
        <f t="array" ref="G89">_xlfn.XLOOKUP(T_Analyse[Code_EPCI],INSEE_EPCI!$A$2:$A$93,INSEE_EPCI!$E$2:$E$93)</f>
        <v>24580</v>
      </c>
      <c r="H89" s="26">
        <f t="array" ref="H89">_xlfn.XLOOKUP(T_Analyse[Code_EPCI],INSEE_EPCI!$A$2:$A$93,INSEE_EPCI!$F$2:$F$93)</f>
        <v>14</v>
      </c>
      <c r="I89" s="32">
        <f t="shared" si="1"/>
        <v>-0.01523347634</v>
      </c>
      <c r="J89" s="33">
        <f t="shared" si="2"/>
        <v>2217.32</v>
      </c>
      <c r="K89" s="33">
        <f t="shared" si="3"/>
        <v>48.23217712</v>
      </c>
      <c r="L89" s="33">
        <f>sum(T_Analyse[Population 2023]-T_Analyse[Formule by Xavier])</f>
        <v>0</v>
      </c>
      <c r="M89" s="33">
        <f>SUMIFS(T_HDF[Population],T_HDF[Code_EPCI],T_Analyse[Code_EPCI])</f>
        <v>15838</v>
      </c>
    </row>
    <row r="90" ht="15.75" customHeight="1">
      <c r="A90" s="22" t="s">
        <v>544</v>
      </c>
      <c r="B90" s="24" t="s">
        <v>211</v>
      </c>
      <c r="C90" s="26">
        <f>COUNTIFS(T_HDF[Code_EPCI],A90)</f>
        <v>37</v>
      </c>
      <c r="D90" s="28">
        <f>SUMIFS(T_HDF[Superficie_km2],T_HDF[Code_EPCI],A90)</f>
        <v>314.69</v>
      </c>
      <c r="E90" s="26">
        <f t="array" ref="E90">_xlfn.XLOOKUP(T_Analyse[Code_EPCI],INSEE_EPCI!$A$2:$A$93,INSEE_EPCI!$C$2:$C$93)</f>
        <v>20318</v>
      </c>
      <c r="F90" s="26">
        <f t="array" ref="F90">_xlfn.XLOOKUP(T_Analyse[Code_EPCI],INSEE_EPCI!$A$2:$A$93,INSEE_EPCI!$D$2:$D$93)</f>
        <v>20462</v>
      </c>
      <c r="G90" s="26">
        <f t="array" ref="G90">_xlfn.XLOOKUP(T_Analyse[Code_EPCI],INSEE_EPCI!$A$2:$A$93,INSEE_EPCI!$E$2:$E$93)</f>
        <v>28390</v>
      </c>
      <c r="H90" s="26">
        <f t="array" ref="H90">_xlfn.XLOOKUP(T_Analyse[Code_EPCI],INSEE_EPCI!$A$2:$A$93,INSEE_EPCI!$F$2:$F$93)</f>
        <v>7</v>
      </c>
      <c r="I90" s="32">
        <f t="shared" si="1"/>
        <v>0.007087311743</v>
      </c>
      <c r="J90" s="33">
        <f t="shared" si="2"/>
        <v>1432.34</v>
      </c>
      <c r="K90" s="33">
        <f t="shared" si="3"/>
        <v>65.02272077</v>
      </c>
      <c r="L90" s="33">
        <f>sum(T_Analyse[Population 2023]-T_Analyse[Formule by Xavier])</f>
        <v>0</v>
      </c>
      <c r="M90" s="33">
        <f>SUMIFS(T_HDF[Population],T_HDF[Code_EPCI],T_Analyse[Code_EPCI])</f>
        <v>20462</v>
      </c>
    </row>
    <row r="91" ht="15.75" customHeight="1">
      <c r="A91" s="22" t="s">
        <v>549</v>
      </c>
      <c r="B91" s="24" t="s">
        <v>212</v>
      </c>
      <c r="C91" s="26">
        <f>COUNTIFS(T_HDF[Code_EPCI],A91)</f>
        <v>25</v>
      </c>
      <c r="D91" s="28">
        <f>SUMIFS(T_HDF[Superficie_km2],T_HDF[Code_EPCI],A91)</f>
        <v>189.66</v>
      </c>
      <c r="E91" s="26">
        <f t="array" ref="E91">_xlfn.XLOOKUP(T_Analyse[Code_EPCI],INSEE_EPCI!$A$2:$A$93,INSEE_EPCI!$C$2:$C$93)</f>
        <v>22805</v>
      </c>
      <c r="F91" s="26">
        <f t="array" ref="F91">_xlfn.XLOOKUP(T_Analyse[Code_EPCI],INSEE_EPCI!$A$2:$A$93,INSEE_EPCI!$D$2:$D$93)</f>
        <v>22072</v>
      </c>
      <c r="G91" s="26">
        <f t="array" ref="G91">_xlfn.XLOOKUP(T_Analyse[Code_EPCI],INSEE_EPCI!$A$2:$A$93,INSEE_EPCI!$E$2:$E$93)</f>
        <v>23690</v>
      </c>
      <c r="H91" s="26">
        <f t="array" ref="H91">_xlfn.XLOOKUP(T_Analyse[Code_EPCI],INSEE_EPCI!$A$2:$A$93,INSEE_EPCI!$F$2:$F$93)</f>
        <v>14.1</v>
      </c>
      <c r="I91" s="32">
        <f t="shared" si="1"/>
        <v>-0.03214207411</v>
      </c>
      <c r="J91" s="33">
        <f t="shared" si="2"/>
        <v>3112.152</v>
      </c>
      <c r="K91" s="33">
        <f t="shared" si="3"/>
        <v>116.376674</v>
      </c>
      <c r="L91" s="33">
        <f>sum(T_Analyse[Population 2023]-T_Analyse[Formule by Xavier])</f>
        <v>0</v>
      </c>
      <c r="M91" s="33">
        <f>SUMIFS(T_HDF[Population],T_HDF[Code_EPCI],T_Analyse[Code_EPCI])</f>
        <v>22072</v>
      </c>
    </row>
    <row r="92" ht="15.75" customHeight="1">
      <c r="A92" s="22" t="s">
        <v>552</v>
      </c>
      <c r="B92" s="24" t="s">
        <v>234</v>
      </c>
      <c r="C92" s="26">
        <f>COUNTIFS(T_HDF[Code_EPCI],A92)</f>
        <v>46</v>
      </c>
      <c r="D92" s="28">
        <f>SUMIFS(T_HDF[Superficie_km2],T_HDF[Code_EPCI],A92)</f>
        <v>306.66</v>
      </c>
      <c r="E92" s="26">
        <f t="array" ref="E92">_xlfn.XLOOKUP(T_Analyse[Code_EPCI],INSEE_EPCI!$A$2:$A$93,INSEE_EPCI!$C$2:$C$93)</f>
        <v>107763</v>
      </c>
      <c r="F92" s="26">
        <f t="array" ref="F92">_xlfn.XLOOKUP(T_Analyse[Code_EPCI],INSEE_EPCI!$A$2:$A$93,INSEE_EPCI!$D$2:$D$93)</f>
        <v>109884</v>
      </c>
      <c r="G92" s="26">
        <f t="array" ref="G92">_xlfn.XLOOKUP(T_Analyse[Code_EPCI],INSEE_EPCI!$A$2:$A$93,INSEE_EPCI!$E$2:$E$93)</f>
        <v>25670</v>
      </c>
      <c r="H92" s="26">
        <f t="array" ref="H92">_xlfn.XLOOKUP(T_Analyse[Code_EPCI],INSEE_EPCI!$A$2:$A$93,INSEE_EPCI!$F$2:$F$93)</f>
        <v>16.5</v>
      </c>
      <c r="I92" s="32">
        <f t="shared" si="1"/>
        <v>0.01968208012</v>
      </c>
      <c r="J92" s="33">
        <f t="shared" si="2"/>
        <v>18130.86</v>
      </c>
      <c r="K92" s="33">
        <f t="shared" si="3"/>
        <v>358.325181</v>
      </c>
      <c r="L92" s="33">
        <f>sum(T_Analyse[Population 2023]-T_Analyse[Formule by Xavier])</f>
        <v>0</v>
      </c>
      <c r="M92" s="33">
        <f>SUMIFS(T_HDF[Population],T_HDF[Code_EPCI],T_Analyse[Code_EPCI])</f>
        <v>109884</v>
      </c>
    </row>
    <row r="93" ht="15.75" customHeight="1">
      <c r="A93" s="22" t="s">
        <v>555</v>
      </c>
      <c r="B93" s="24" t="s">
        <v>235</v>
      </c>
      <c r="C93" s="26">
        <f>COUNTIFS(T_HDF[Code_EPCI],A93)</f>
        <v>17</v>
      </c>
      <c r="D93" s="28">
        <f>SUMIFS(T_HDF[Superficie_km2],T_HDF[Code_EPCI],A93)</f>
        <v>300.98</v>
      </c>
      <c r="E93" s="26">
        <f t="array" ref="E93">_xlfn.XLOOKUP(T_Analyse[Code_EPCI],INSEE_EPCI!$A$2:$A$93,INSEE_EPCI!$C$2:$C$93)</f>
        <v>196901</v>
      </c>
      <c r="F93" s="26">
        <f t="array" ref="F93">_xlfn.XLOOKUP(T_Analyse[Code_EPCI],INSEE_EPCI!$A$2:$A$93,INSEE_EPCI!$D$2:$D$93)</f>
        <v>191478</v>
      </c>
      <c r="G93" s="26">
        <f t="array" ref="G93">_xlfn.XLOOKUP(T_Analyse[Code_EPCI],INSEE_EPCI!$A$2:$A$93,INSEE_EPCI!$E$2:$E$93)</f>
        <v>23270</v>
      </c>
      <c r="H93" s="26">
        <f t="array" ref="H93">_xlfn.XLOOKUP(T_Analyse[Code_EPCI],INSEE_EPCI!$A$2:$A$93,INSEE_EPCI!$F$2:$F$93)</f>
        <v>20.3</v>
      </c>
      <c r="I93" s="32">
        <f t="shared" si="1"/>
        <v>-0.02754175956</v>
      </c>
      <c r="J93" s="33">
        <f t="shared" si="2"/>
        <v>38870.034</v>
      </c>
      <c r="K93" s="33">
        <f t="shared" si="3"/>
        <v>636.1818061</v>
      </c>
      <c r="L93" s="33">
        <f>sum(T_Analyse[Population 2023]-T_Analyse[Formule by Xavier])</f>
        <v>0</v>
      </c>
      <c r="M93" s="33">
        <f>SUMIFS(T_HDF[Population],T_HDF[Code_EPCI],T_Analyse[Code_EPCI])</f>
        <v>191478</v>
      </c>
    </row>
    <row r="94" ht="15.75" customHeight="1">
      <c r="A94" s="22" t="s">
        <v>558</v>
      </c>
      <c r="B94" s="24" t="s">
        <v>236</v>
      </c>
      <c r="C94" s="26">
        <f>COUNTIFS(T_HDF[Code_EPCI],A94)</f>
        <v>95</v>
      </c>
      <c r="D94" s="28">
        <f>SUMIFS(T_HDF[Superficie_km2],T_HDF[Code_EPCI],A94)</f>
        <v>672.78</v>
      </c>
      <c r="E94" s="26">
        <f t="array" ref="E94">_xlfn.XLOOKUP(T_Analyse[Code_EPCI],INSEE_EPCI!$A$2:$A$93,INSEE_EPCI!$C$2:$C$93)</f>
        <v>1170630</v>
      </c>
      <c r="F94" s="26">
        <f t="array" ref="F94">_xlfn.XLOOKUP(T_Analyse[Code_EPCI],INSEE_EPCI!$A$2:$A$93,INSEE_EPCI!$D$2:$D$93)</f>
        <v>1195234</v>
      </c>
      <c r="G94" s="26">
        <f t="array" ref="G94">_xlfn.XLOOKUP(T_Analyse[Code_EPCI],INSEE_EPCI!$A$2:$A$93,INSEE_EPCI!$E$2:$E$93)</f>
        <v>24430</v>
      </c>
      <c r="H94" s="26">
        <f t="array" ref="H94">_xlfn.XLOOKUP(T_Analyse[Code_EPCI],INSEE_EPCI!$A$2:$A$93,INSEE_EPCI!$F$2:$F$93)</f>
        <v>21.4</v>
      </c>
      <c r="I94" s="32">
        <f t="shared" si="1"/>
        <v>0.02101774258</v>
      </c>
      <c r="J94" s="33">
        <f t="shared" si="2"/>
        <v>255780.076</v>
      </c>
      <c r="K94" s="33">
        <f t="shared" si="3"/>
        <v>1776.559945</v>
      </c>
      <c r="L94" s="33">
        <f>sum(T_Analyse[Population 2023]-T_Analyse[Formule by Xavier])</f>
        <v>0</v>
      </c>
      <c r="M94" s="33">
        <f>SUMIFS(T_HDF[Population],T_HDF[Code_EPCI],T_Analyse[Code_EPCI])</f>
        <v>1195234</v>
      </c>
    </row>
    <row r="95" ht="15.75" customHeight="1">
      <c r="B95" s="48"/>
    </row>
    <row r="96" ht="15.75" customHeight="1">
      <c r="B96" s="48"/>
    </row>
    <row r="97" ht="15.75" customHeight="1">
      <c r="B97" s="48"/>
    </row>
    <row r="98" ht="15.75" customHeight="1">
      <c r="B98" s="48"/>
    </row>
    <row r="99" ht="15.75" customHeight="1">
      <c r="B99" s="48"/>
    </row>
    <row r="100" ht="15.75" customHeight="1">
      <c r="B100" s="48"/>
    </row>
    <row r="101" ht="15.75" customHeight="1">
      <c r="B101" s="48"/>
    </row>
    <row r="102" ht="15.75" customHeight="1">
      <c r="B102" s="48"/>
    </row>
    <row r="103" ht="15.75" customHeight="1">
      <c r="B103" s="48"/>
    </row>
    <row r="104" ht="15.75" customHeight="1">
      <c r="B104" s="48"/>
    </row>
    <row r="105" ht="15.75" customHeight="1">
      <c r="B105" s="48"/>
    </row>
    <row r="106" ht="15.75" customHeight="1">
      <c r="B106" s="48"/>
    </row>
    <row r="107" ht="15.75" customHeight="1">
      <c r="B107" s="48"/>
    </row>
    <row r="108" ht="15.75" customHeight="1">
      <c r="B108" s="48"/>
    </row>
    <row r="109" ht="15.75" customHeight="1">
      <c r="B109" s="48"/>
    </row>
    <row r="110" ht="15.75" customHeight="1">
      <c r="B110" s="48"/>
    </row>
    <row r="111" ht="15.75" customHeight="1">
      <c r="B111" s="48"/>
    </row>
    <row r="112" ht="15.75" customHeight="1">
      <c r="B112" s="48"/>
    </row>
    <row r="113" ht="15.75" customHeight="1">
      <c r="B113" s="48"/>
    </row>
    <row r="114" ht="15.75" customHeight="1">
      <c r="B114" s="48"/>
    </row>
    <row r="115" ht="15.75" customHeight="1">
      <c r="B115" s="48"/>
    </row>
    <row r="116" ht="15.75" customHeight="1">
      <c r="B116" s="48"/>
    </row>
    <row r="117" ht="15.75" customHeight="1">
      <c r="B117" s="48"/>
    </row>
    <row r="118" ht="15.75" customHeight="1">
      <c r="B118" s="48"/>
    </row>
    <row r="119" ht="15.75" customHeight="1">
      <c r="B119" s="48"/>
    </row>
    <row r="120" ht="15.75" customHeight="1">
      <c r="B120" s="48"/>
    </row>
    <row r="121" ht="15.75" customHeight="1">
      <c r="B121" s="48"/>
    </row>
    <row r="122" ht="15.75" customHeight="1">
      <c r="B122" s="48"/>
    </row>
    <row r="123" ht="15.75" customHeight="1">
      <c r="B123" s="48"/>
    </row>
    <row r="124" ht="15.75" customHeight="1">
      <c r="B124" s="48"/>
    </row>
    <row r="125" ht="15.75" customHeight="1">
      <c r="B125" s="48"/>
    </row>
    <row r="126" ht="15.75" customHeight="1">
      <c r="B126" s="48"/>
    </row>
    <row r="127" ht="15.75" customHeight="1">
      <c r="B127" s="48"/>
    </row>
    <row r="128" ht="15.75" customHeight="1">
      <c r="B128" s="48"/>
    </row>
    <row r="129" ht="15.75" customHeight="1">
      <c r="B129" s="48"/>
    </row>
    <row r="130" ht="15.75" customHeight="1">
      <c r="B130" s="48"/>
    </row>
    <row r="131" ht="15.75" customHeight="1">
      <c r="B131" s="48"/>
    </row>
    <row r="132" ht="15.75" customHeight="1">
      <c r="B132" s="48"/>
    </row>
    <row r="133" ht="15.75" customHeight="1">
      <c r="B133" s="48"/>
    </row>
    <row r="134" ht="15.75" customHeight="1">
      <c r="B134" s="48"/>
    </row>
    <row r="135" ht="15.75" customHeight="1">
      <c r="B135" s="48"/>
    </row>
    <row r="136" ht="15.75" customHeight="1">
      <c r="B136" s="48"/>
    </row>
    <row r="137" ht="15.75" customHeight="1">
      <c r="B137" s="48"/>
    </row>
    <row r="138" ht="15.75" customHeight="1">
      <c r="B138" s="48"/>
    </row>
    <row r="139" ht="15.75" customHeight="1">
      <c r="B139" s="48"/>
    </row>
    <row r="140" ht="15.75" customHeight="1">
      <c r="B140" s="48"/>
    </row>
    <row r="141" ht="15.75" customHeight="1">
      <c r="B141" s="48"/>
    </row>
    <row r="142" ht="15.75" customHeight="1">
      <c r="B142" s="48"/>
    </row>
    <row r="143" ht="15.75" customHeight="1">
      <c r="B143" s="48"/>
    </row>
    <row r="144" ht="15.75" customHeight="1">
      <c r="B144" s="48"/>
    </row>
    <row r="145" ht="15.75" customHeight="1">
      <c r="B145" s="48"/>
    </row>
    <row r="146" ht="15.75" customHeight="1">
      <c r="B146" s="48"/>
    </row>
    <row r="147" ht="15.75" customHeight="1">
      <c r="B147" s="48"/>
    </row>
    <row r="148" ht="15.75" customHeight="1">
      <c r="B148" s="48"/>
    </row>
    <row r="149" ht="15.75" customHeight="1">
      <c r="B149" s="48"/>
    </row>
    <row r="150" ht="15.75" customHeight="1">
      <c r="B150" s="48"/>
    </row>
    <row r="151" ht="15.75" customHeight="1">
      <c r="B151" s="48"/>
    </row>
    <row r="152" ht="15.75" customHeight="1">
      <c r="B152" s="48"/>
    </row>
    <row r="153" ht="15.75" customHeight="1">
      <c r="B153" s="48"/>
    </row>
    <row r="154" ht="15.75" customHeight="1">
      <c r="B154" s="48"/>
    </row>
    <row r="155" ht="15.75" customHeight="1">
      <c r="B155" s="48"/>
    </row>
    <row r="156" ht="15.75" customHeight="1">
      <c r="B156" s="48"/>
    </row>
    <row r="157" ht="15.75" customHeight="1">
      <c r="B157" s="48"/>
    </row>
    <row r="158" ht="15.75" customHeight="1">
      <c r="B158" s="48"/>
    </row>
    <row r="159" ht="15.75" customHeight="1">
      <c r="B159" s="48"/>
    </row>
    <row r="160" ht="15.75" customHeight="1">
      <c r="B160" s="48"/>
    </row>
    <row r="161" ht="15.75" customHeight="1">
      <c r="B161" s="48"/>
    </row>
    <row r="162" ht="15.75" customHeight="1">
      <c r="B162" s="48"/>
    </row>
    <row r="163" ht="15.75" customHeight="1">
      <c r="B163" s="48"/>
    </row>
    <row r="164" ht="15.75" customHeight="1">
      <c r="B164" s="48"/>
    </row>
    <row r="165" ht="15.75" customHeight="1">
      <c r="B165" s="48"/>
    </row>
    <row r="166" ht="15.75" customHeight="1">
      <c r="B166" s="48"/>
    </row>
    <row r="167" ht="15.75" customHeight="1">
      <c r="B167" s="48"/>
    </row>
    <row r="168" ht="15.75" customHeight="1">
      <c r="B168" s="48"/>
    </row>
    <row r="169" ht="15.75" customHeight="1">
      <c r="B169" s="48"/>
    </row>
    <row r="170" ht="15.75" customHeight="1">
      <c r="B170" s="48"/>
    </row>
    <row r="171" ht="15.75" customHeight="1">
      <c r="B171" s="48"/>
    </row>
    <row r="172" ht="15.75" customHeight="1">
      <c r="B172" s="48"/>
    </row>
    <row r="173" ht="15.75" customHeight="1">
      <c r="B173" s="48"/>
    </row>
    <row r="174" ht="15.75" customHeight="1">
      <c r="B174" s="48"/>
    </row>
    <row r="175" ht="15.75" customHeight="1">
      <c r="B175" s="48"/>
    </row>
    <row r="176" ht="15.75" customHeight="1">
      <c r="B176" s="48"/>
    </row>
    <row r="177" ht="15.75" customHeight="1">
      <c r="B177" s="48"/>
    </row>
    <row r="178" ht="15.75" customHeight="1">
      <c r="B178" s="48"/>
    </row>
    <row r="179" ht="15.75" customHeight="1">
      <c r="B179" s="48"/>
    </row>
    <row r="180" ht="15.75" customHeight="1">
      <c r="B180" s="48"/>
    </row>
    <row r="181" ht="15.75" customHeight="1">
      <c r="B181" s="48"/>
    </row>
    <row r="182" ht="15.75" customHeight="1">
      <c r="B182" s="48"/>
    </row>
    <row r="183" ht="15.75" customHeight="1">
      <c r="B183" s="48"/>
    </row>
    <row r="184" ht="15.75" customHeight="1">
      <c r="B184" s="48"/>
    </row>
    <row r="185" ht="15.75" customHeight="1">
      <c r="B185" s="48"/>
    </row>
    <row r="186" ht="15.75" customHeight="1">
      <c r="B186" s="48"/>
    </row>
    <row r="187" ht="15.75" customHeight="1">
      <c r="B187" s="48"/>
    </row>
    <row r="188" ht="15.75" customHeight="1">
      <c r="B188" s="48"/>
    </row>
    <row r="189" ht="15.75" customHeight="1">
      <c r="B189" s="48"/>
    </row>
    <row r="190" ht="15.75" customHeight="1">
      <c r="B190" s="48"/>
    </row>
    <row r="191" ht="15.75" customHeight="1">
      <c r="B191" s="48"/>
    </row>
    <row r="192" ht="15.75" customHeight="1">
      <c r="B192" s="48"/>
    </row>
    <row r="193" ht="15.75" customHeight="1">
      <c r="B193" s="48"/>
    </row>
    <row r="194" ht="15.75" customHeight="1">
      <c r="B194" s="48"/>
    </row>
    <row r="195" ht="15.75" customHeight="1">
      <c r="B195" s="48"/>
    </row>
    <row r="196" ht="15.75" customHeight="1">
      <c r="B196" s="48"/>
    </row>
    <row r="197" ht="15.75" customHeight="1">
      <c r="B197" s="48"/>
    </row>
    <row r="198" ht="15.75" customHeight="1">
      <c r="B198" s="48"/>
    </row>
    <row r="199" ht="15.75" customHeight="1">
      <c r="B199" s="48"/>
    </row>
    <row r="200" ht="15.75" customHeight="1">
      <c r="B200" s="48"/>
    </row>
    <row r="201" ht="15.75" customHeight="1">
      <c r="B201" s="48"/>
    </row>
    <row r="202" ht="15.75" customHeight="1">
      <c r="B202" s="48"/>
    </row>
    <row r="203" ht="15.75" customHeight="1">
      <c r="B203" s="48"/>
    </row>
    <row r="204" ht="15.75" customHeight="1">
      <c r="B204" s="48"/>
    </row>
    <row r="205" ht="15.75" customHeight="1">
      <c r="B205" s="48"/>
    </row>
    <row r="206" ht="15.75" customHeight="1">
      <c r="B206" s="48"/>
    </row>
    <row r="207" ht="15.75" customHeight="1">
      <c r="B207" s="48"/>
    </row>
    <row r="208" ht="15.75" customHeight="1">
      <c r="B208" s="48"/>
    </row>
    <row r="209" ht="15.75" customHeight="1">
      <c r="B209" s="48"/>
    </row>
    <row r="210" ht="15.75" customHeight="1">
      <c r="B210" s="48"/>
    </row>
    <row r="211" ht="15.75" customHeight="1">
      <c r="B211" s="48"/>
    </row>
    <row r="212" ht="15.75" customHeight="1">
      <c r="B212" s="48"/>
    </row>
    <row r="213" ht="15.75" customHeight="1">
      <c r="B213" s="48"/>
    </row>
    <row r="214" ht="15.75" customHeight="1">
      <c r="B214" s="48"/>
    </row>
    <row r="215" ht="15.75" customHeight="1">
      <c r="B215" s="48"/>
    </row>
    <row r="216" ht="15.75" customHeight="1">
      <c r="B216" s="48"/>
    </row>
    <row r="217" ht="15.75" customHeight="1">
      <c r="B217" s="48"/>
    </row>
    <row r="218" ht="15.75" customHeight="1">
      <c r="B218" s="48"/>
    </row>
    <row r="219" ht="15.75" customHeight="1">
      <c r="B219" s="48"/>
    </row>
    <row r="220" ht="15.75" customHeight="1">
      <c r="B220" s="48"/>
    </row>
    <row r="221" ht="15.75" customHeight="1">
      <c r="B221" s="48"/>
    </row>
    <row r="222" ht="15.75" customHeight="1">
      <c r="B222" s="48"/>
    </row>
    <row r="223" ht="15.75" customHeight="1">
      <c r="B223" s="48"/>
    </row>
    <row r="224" ht="15.75" customHeight="1">
      <c r="B224" s="48"/>
    </row>
    <row r="225" ht="15.75" customHeight="1">
      <c r="B225" s="48"/>
    </row>
    <row r="226" ht="15.75" customHeight="1">
      <c r="B226" s="48"/>
    </row>
    <row r="227" ht="15.75" customHeight="1">
      <c r="B227" s="48"/>
    </row>
    <row r="228" ht="15.75" customHeight="1">
      <c r="B228" s="48"/>
    </row>
    <row r="229" ht="15.75" customHeight="1">
      <c r="B229" s="48"/>
    </row>
    <row r="230" ht="15.75" customHeight="1">
      <c r="B230" s="48"/>
    </row>
    <row r="231" ht="15.75" customHeight="1">
      <c r="B231" s="48"/>
    </row>
    <row r="232" ht="15.75" customHeight="1">
      <c r="B232" s="48"/>
    </row>
    <row r="233" ht="15.75" customHeight="1">
      <c r="B233" s="48"/>
    </row>
    <row r="234" ht="15.75" customHeight="1">
      <c r="B234" s="48"/>
    </row>
    <row r="235" ht="15.75" customHeight="1">
      <c r="B235" s="48"/>
    </row>
    <row r="236" ht="15.75" customHeight="1">
      <c r="B236" s="48"/>
    </row>
    <row r="237" ht="15.75" customHeight="1">
      <c r="B237" s="48"/>
    </row>
    <row r="238" ht="15.75" customHeight="1">
      <c r="B238" s="48"/>
    </row>
    <row r="239" ht="15.75" customHeight="1">
      <c r="B239" s="48"/>
    </row>
    <row r="240" ht="15.75" customHeight="1">
      <c r="B240" s="48"/>
    </row>
    <row r="241" ht="15.75" customHeight="1">
      <c r="B241" s="48"/>
    </row>
    <row r="242" ht="15.75" customHeight="1">
      <c r="B242" s="48"/>
    </row>
    <row r="243" ht="15.75" customHeight="1">
      <c r="B243" s="48"/>
    </row>
    <row r="244" ht="15.75" customHeight="1">
      <c r="B244" s="48"/>
    </row>
    <row r="245" ht="15.75" customHeight="1">
      <c r="B245" s="48"/>
    </row>
    <row r="246" ht="15.75" customHeight="1">
      <c r="B246" s="48"/>
    </row>
    <row r="247" ht="15.75" customHeight="1">
      <c r="B247" s="48"/>
    </row>
    <row r="248" ht="15.75" customHeight="1">
      <c r="B248" s="48"/>
    </row>
    <row r="249" ht="15.75" customHeight="1">
      <c r="B249" s="48"/>
    </row>
    <row r="250" ht="15.75" customHeight="1">
      <c r="B250" s="48"/>
    </row>
    <row r="251" ht="15.75" customHeight="1">
      <c r="B251" s="48"/>
    </row>
    <row r="252" ht="15.75" customHeight="1">
      <c r="B252" s="48"/>
    </row>
    <row r="253" ht="15.75" customHeight="1">
      <c r="B253" s="48"/>
    </row>
    <row r="254" ht="15.75" customHeight="1">
      <c r="B254" s="48"/>
    </row>
    <row r="255" ht="15.75" customHeight="1">
      <c r="B255" s="48"/>
    </row>
    <row r="256" ht="15.75" customHeight="1">
      <c r="B256" s="48"/>
    </row>
    <row r="257" ht="15.75" customHeight="1">
      <c r="B257" s="48"/>
    </row>
    <row r="258" ht="15.75" customHeight="1">
      <c r="B258" s="48"/>
    </row>
    <row r="259" ht="15.75" customHeight="1">
      <c r="B259" s="48"/>
    </row>
    <row r="260" ht="15.75" customHeight="1">
      <c r="B260" s="48"/>
    </row>
    <row r="261" ht="15.75" customHeight="1">
      <c r="B261" s="48"/>
    </row>
    <row r="262" ht="15.75" customHeight="1">
      <c r="B262" s="48"/>
    </row>
    <row r="263" ht="15.75" customHeight="1">
      <c r="B263" s="48"/>
    </row>
    <row r="264" ht="15.75" customHeight="1">
      <c r="B264" s="48"/>
    </row>
    <row r="265" ht="15.75" customHeight="1">
      <c r="B265" s="48"/>
    </row>
    <row r="266" ht="15.75" customHeight="1">
      <c r="B266" s="48"/>
    </row>
    <row r="267" ht="15.75" customHeight="1">
      <c r="B267" s="48"/>
    </row>
    <row r="268" ht="15.75" customHeight="1">
      <c r="B268" s="48"/>
    </row>
    <row r="269" ht="15.75" customHeight="1">
      <c r="B269" s="48"/>
    </row>
    <row r="270" ht="15.75" customHeight="1">
      <c r="B270" s="48"/>
    </row>
    <row r="271" ht="15.75" customHeight="1">
      <c r="B271" s="48"/>
    </row>
    <row r="272" ht="15.75" customHeight="1">
      <c r="B272" s="48"/>
    </row>
    <row r="273" ht="15.75" customHeight="1">
      <c r="B273" s="48"/>
    </row>
    <row r="274" ht="15.75" customHeight="1">
      <c r="B274" s="48"/>
    </row>
    <row r="275" ht="15.75" customHeight="1">
      <c r="B275" s="48"/>
    </row>
    <row r="276" ht="15.75" customHeight="1">
      <c r="B276" s="48"/>
    </row>
    <row r="277" ht="15.75" customHeight="1">
      <c r="B277" s="48"/>
    </row>
    <row r="278" ht="15.75" customHeight="1">
      <c r="B278" s="48"/>
    </row>
    <row r="279" ht="15.75" customHeight="1">
      <c r="B279" s="48"/>
    </row>
    <row r="280" ht="15.75" customHeight="1">
      <c r="B280" s="48"/>
    </row>
    <row r="281" ht="15.75" customHeight="1">
      <c r="B281" s="48"/>
    </row>
    <row r="282" ht="15.75" customHeight="1">
      <c r="B282" s="48"/>
    </row>
    <row r="283" ht="15.75" customHeight="1">
      <c r="B283" s="48"/>
    </row>
    <row r="284" ht="15.75" customHeight="1">
      <c r="B284" s="48"/>
    </row>
    <row r="285" ht="15.75" customHeight="1">
      <c r="B285" s="48"/>
    </row>
    <row r="286" ht="15.75" customHeight="1">
      <c r="B286" s="48"/>
    </row>
    <row r="287" ht="15.75" customHeight="1">
      <c r="B287" s="48"/>
    </row>
    <row r="288" ht="15.75" customHeight="1">
      <c r="B288" s="48"/>
    </row>
    <row r="289" ht="15.75" customHeight="1">
      <c r="B289" s="48"/>
    </row>
    <row r="290" ht="15.75" customHeight="1">
      <c r="B290" s="48"/>
    </row>
    <row r="291" ht="15.75" customHeight="1">
      <c r="B291" s="48"/>
    </row>
    <row r="292" ht="15.75" customHeight="1">
      <c r="B292" s="48"/>
    </row>
    <row r="293" ht="15.75" customHeight="1">
      <c r="B293" s="48"/>
    </row>
    <row r="294" ht="15.75" customHeight="1">
      <c r="B294" s="48"/>
    </row>
    <row r="295" ht="15.75" customHeight="1">
      <c r="B295" s="48"/>
    </row>
    <row r="296" ht="15.75" customHeight="1">
      <c r="B296" s="48"/>
    </row>
    <row r="297" ht="15.75" customHeight="1">
      <c r="B297" s="48"/>
    </row>
    <row r="298" ht="15.75" customHeight="1">
      <c r="B298" s="48"/>
    </row>
    <row r="299" ht="15.75" customHeight="1">
      <c r="B299" s="48"/>
    </row>
    <row r="300" ht="15.75" customHeight="1">
      <c r="B300" s="48"/>
    </row>
    <row r="301" ht="15.75" customHeight="1">
      <c r="B301" s="48"/>
    </row>
    <row r="302" ht="15.75" customHeight="1">
      <c r="B302" s="48"/>
    </row>
    <row r="303" ht="15.75" customHeight="1">
      <c r="B303" s="48"/>
    </row>
    <row r="304" ht="15.75" customHeight="1">
      <c r="B304" s="48"/>
    </row>
    <row r="305" ht="15.75" customHeight="1">
      <c r="B305" s="48"/>
    </row>
    <row r="306" ht="15.75" customHeight="1">
      <c r="B306" s="48"/>
    </row>
    <row r="307" ht="15.75" customHeight="1">
      <c r="B307" s="48"/>
    </row>
    <row r="308" ht="15.75" customHeight="1">
      <c r="B308" s="48"/>
    </row>
    <row r="309" ht="15.75" customHeight="1">
      <c r="B309" s="48"/>
    </row>
    <row r="310" ht="15.75" customHeight="1">
      <c r="B310" s="48"/>
    </row>
    <row r="311" ht="15.75" customHeight="1">
      <c r="B311" s="48"/>
    </row>
    <row r="312" ht="15.75" customHeight="1">
      <c r="B312" s="48"/>
    </row>
    <row r="313" ht="15.75" customHeight="1">
      <c r="B313" s="48"/>
    </row>
    <row r="314" ht="15.75" customHeight="1">
      <c r="B314" s="48"/>
    </row>
    <row r="315" ht="15.75" customHeight="1">
      <c r="B315" s="48"/>
    </row>
    <row r="316" ht="15.75" customHeight="1">
      <c r="B316" s="48"/>
    </row>
    <row r="317" ht="15.75" customHeight="1">
      <c r="B317" s="48"/>
    </row>
    <row r="318" ht="15.75" customHeight="1">
      <c r="B318" s="48"/>
    </row>
    <row r="319" ht="15.75" customHeight="1">
      <c r="B319" s="48"/>
    </row>
    <row r="320" ht="15.75" customHeight="1">
      <c r="B320" s="48"/>
    </row>
    <row r="321" ht="15.75" customHeight="1">
      <c r="B321" s="48"/>
    </row>
    <row r="322" ht="15.75" customHeight="1">
      <c r="B322" s="48"/>
    </row>
    <row r="323" ht="15.75" customHeight="1">
      <c r="B323" s="48"/>
    </row>
    <row r="324" ht="15.75" customHeight="1">
      <c r="B324" s="48"/>
    </row>
    <row r="325" ht="15.75" customHeight="1">
      <c r="B325" s="48"/>
    </row>
    <row r="326" ht="15.75" customHeight="1">
      <c r="B326" s="48"/>
    </row>
    <row r="327" ht="15.75" customHeight="1">
      <c r="B327" s="48"/>
    </row>
    <row r="328" ht="15.75" customHeight="1">
      <c r="B328" s="48"/>
    </row>
    <row r="329" ht="15.75" customHeight="1">
      <c r="B329" s="48"/>
    </row>
    <row r="330" ht="15.75" customHeight="1">
      <c r="B330" s="48"/>
    </row>
    <row r="331" ht="15.75" customHeight="1">
      <c r="B331" s="48"/>
    </row>
    <row r="332" ht="15.75" customHeight="1">
      <c r="B332" s="48"/>
    </row>
    <row r="333" ht="15.75" customHeight="1">
      <c r="B333" s="48"/>
    </row>
    <row r="334" ht="15.75" customHeight="1">
      <c r="B334" s="48"/>
    </row>
    <row r="335" ht="15.75" customHeight="1">
      <c r="B335" s="48"/>
    </row>
    <row r="336" ht="15.75" customHeight="1">
      <c r="B336" s="48"/>
    </row>
    <row r="337" ht="15.75" customHeight="1">
      <c r="B337" s="48"/>
    </row>
    <row r="338" ht="15.75" customHeight="1">
      <c r="B338" s="48"/>
    </row>
    <row r="339" ht="15.75" customHeight="1">
      <c r="B339" s="48"/>
    </row>
    <row r="340" ht="15.75" customHeight="1">
      <c r="B340" s="48"/>
    </row>
    <row r="341" ht="15.75" customHeight="1">
      <c r="B341" s="48"/>
    </row>
    <row r="342" ht="15.75" customHeight="1">
      <c r="B342" s="48"/>
    </row>
    <row r="343" ht="15.75" customHeight="1">
      <c r="B343" s="48"/>
    </row>
    <row r="344" ht="15.75" customHeight="1">
      <c r="B344" s="48"/>
    </row>
    <row r="345" ht="15.75" customHeight="1">
      <c r="B345" s="48"/>
    </row>
    <row r="346" ht="15.75" customHeight="1">
      <c r="B346" s="48"/>
    </row>
    <row r="347" ht="15.75" customHeight="1">
      <c r="B347" s="48"/>
    </row>
    <row r="348" ht="15.75" customHeight="1">
      <c r="B348" s="48"/>
    </row>
    <row r="349" ht="15.75" customHeight="1">
      <c r="B349" s="48"/>
    </row>
    <row r="350" ht="15.75" customHeight="1">
      <c r="B350" s="48"/>
    </row>
    <row r="351" ht="15.75" customHeight="1">
      <c r="B351" s="48"/>
    </row>
    <row r="352" ht="15.75" customHeight="1">
      <c r="B352" s="48"/>
    </row>
    <row r="353" ht="15.75" customHeight="1">
      <c r="B353" s="48"/>
    </row>
    <row r="354" ht="15.75" customHeight="1">
      <c r="B354" s="48"/>
    </row>
    <row r="355" ht="15.75" customHeight="1">
      <c r="B355" s="48"/>
    </row>
    <row r="356" ht="15.75" customHeight="1">
      <c r="B356" s="48"/>
    </row>
    <row r="357" ht="15.75" customHeight="1">
      <c r="B357" s="48"/>
    </row>
    <row r="358" ht="15.75" customHeight="1">
      <c r="B358" s="48"/>
    </row>
    <row r="359" ht="15.75" customHeight="1">
      <c r="B359" s="48"/>
    </row>
    <row r="360" ht="15.75" customHeight="1">
      <c r="B360" s="48"/>
    </row>
    <row r="361" ht="15.75" customHeight="1">
      <c r="B361" s="48"/>
    </row>
    <row r="362" ht="15.75" customHeight="1">
      <c r="B362" s="48"/>
    </row>
    <row r="363" ht="15.75" customHeight="1">
      <c r="B363" s="48"/>
    </row>
    <row r="364" ht="15.75" customHeight="1">
      <c r="B364" s="48"/>
    </row>
    <row r="365" ht="15.75" customHeight="1">
      <c r="B365" s="48"/>
    </row>
    <row r="366" ht="15.75" customHeight="1">
      <c r="B366" s="48"/>
    </row>
    <row r="367" ht="15.75" customHeight="1">
      <c r="B367" s="48"/>
    </row>
    <row r="368" ht="15.75" customHeight="1">
      <c r="B368" s="48"/>
    </row>
    <row r="369" ht="15.75" customHeight="1">
      <c r="B369" s="48"/>
    </row>
    <row r="370" ht="15.75" customHeight="1">
      <c r="B370" s="48"/>
    </row>
    <row r="371" ht="15.75" customHeight="1">
      <c r="B371" s="48"/>
    </row>
    <row r="372" ht="15.75" customHeight="1">
      <c r="B372" s="48"/>
    </row>
    <row r="373" ht="15.75" customHeight="1">
      <c r="B373" s="48"/>
    </row>
    <row r="374" ht="15.75" customHeight="1">
      <c r="B374" s="48"/>
    </row>
    <row r="375" ht="15.75" customHeight="1">
      <c r="B375" s="48"/>
    </row>
    <row r="376" ht="15.75" customHeight="1">
      <c r="B376" s="48"/>
    </row>
    <row r="377" ht="15.75" customHeight="1">
      <c r="B377" s="48"/>
    </row>
    <row r="378" ht="15.75" customHeight="1">
      <c r="B378" s="48"/>
    </row>
    <row r="379" ht="15.75" customHeight="1">
      <c r="B379" s="48"/>
    </row>
    <row r="380" ht="15.75" customHeight="1">
      <c r="B380" s="48"/>
    </row>
    <row r="381" ht="15.75" customHeight="1">
      <c r="B381" s="48"/>
    </row>
    <row r="382" ht="15.75" customHeight="1">
      <c r="B382" s="48"/>
    </row>
    <row r="383" ht="15.75" customHeight="1">
      <c r="B383" s="48"/>
    </row>
    <row r="384" ht="15.75" customHeight="1">
      <c r="B384" s="48"/>
    </row>
    <row r="385" ht="15.75" customHeight="1">
      <c r="B385" s="48"/>
    </row>
    <row r="386" ht="15.75" customHeight="1">
      <c r="B386" s="48"/>
    </row>
    <row r="387" ht="15.75" customHeight="1">
      <c r="B387" s="48"/>
    </row>
    <row r="388" ht="15.75" customHeight="1">
      <c r="B388" s="48"/>
    </row>
    <row r="389" ht="15.75" customHeight="1">
      <c r="B389" s="48"/>
    </row>
    <row r="390" ht="15.75" customHeight="1">
      <c r="B390" s="48"/>
    </row>
    <row r="391" ht="15.75" customHeight="1">
      <c r="B391" s="48"/>
    </row>
    <row r="392" ht="15.75" customHeight="1">
      <c r="B392" s="48"/>
    </row>
    <row r="393" ht="15.75" customHeight="1">
      <c r="B393" s="48"/>
    </row>
    <row r="394" ht="15.75" customHeight="1">
      <c r="B394" s="48"/>
    </row>
    <row r="395" ht="15.75" customHeight="1">
      <c r="B395" s="48"/>
    </row>
    <row r="396" ht="15.75" customHeight="1">
      <c r="B396" s="48"/>
    </row>
    <row r="397" ht="15.75" customHeight="1">
      <c r="B397" s="48"/>
    </row>
    <row r="398" ht="15.75" customHeight="1">
      <c r="B398" s="48"/>
    </row>
    <row r="399" ht="15.75" customHeight="1">
      <c r="B399" s="48"/>
    </row>
    <row r="400" ht="15.75" customHeight="1">
      <c r="B400" s="48"/>
    </row>
    <row r="401" ht="15.75" customHeight="1">
      <c r="B401" s="48"/>
    </row>
    <row r="402" ht="15.75" customHeight="1">
      <c r="B402" s="48"/>
    </row>
    <row r="403" ht="15.75" customHeight="1">
      <c r="B403" s="48"/>
    </row>
    <row r="404" ht="15.75" customHeight="1">
      <c r="B404" s="48"/>
    </row>
    <row r="405" ht="15.75" customHeight="1">
      <c r="B405" s="48"/>
    </row>
    <row r="406" ht="15.75" customHeight="1">
      <c r="B406" s="48"/>
    </row>
    <row r="407" ht="15.75" customHeight="1">
      <c r="B407" s="48"/>
    </row>
    <row r="408" ht="15.75" customHeight="1">
      <c r="B408" s="48"/>
    </row>
    <row r="409" ht="15.75" customHeight="1">
      <c r="B409" s="48"/>
    </row>
    <row r="410" ht="15.75" customHeight="1">
      <c r="B410" s="48"/>
    </row>
    <row r="411" ht="15.75" customHeight="1">
      <c r="B411" s="48"/>
    </row>
    <row r="412" ht="15.75" customHeight="1">
      <c r="B412" s="48"/>
    </row>
    <row r="413" ht="15.75" customHeight="1">
      <c r="B413" s="48"/>
    </row>
    <row r="414" ht="15.75" customHeight="1">
      <c r="B414" s="48"/>
    </row>
    <row r="415" ht="15.75" customHeight="1">
      <c r="B415" s="48"/>
    </row>
    <row r="416" ht="15.75" customHeight="1">
      <c r="B416" s="48"/>
    </row>
    <row r="417" ht="15.75" customHeight="1">
      <c r="B417" s="48"/>
    </row>
    <row r="418" ht="15.75" customHeight="1">
      <c r="B418" s="48"/>
    </row>
    <row r="419" ht="15.75" customHeight="1">
      <c r="B419" s="48"/>
    </row>
    <row r="420" ht="15.75" customHeight="1">
      <c r="B420" s="48"/>
    </row>
    <row r="421" ht="15.75" customHeight="1">
      <c r="B421" s="48"/>
    </row>
    <row r="422" ht="15.75" customHeight="1">
      <c r="B422" s="48"/>
    </row>
    <row r="423" ht="15.75" customHeight="1">
      <c r="B423" s="48"/>
    </row>
    <row r="424" ht="15.75" customHeight="1">
      <c r="B424" s="48"/>
    </row>
    <row r="425" ht="15.75" customHeight="1">
      <c r="B425" s="48"/>
    </row>
    <row r="426" ht="15.75" customHeight="1">
      <c r="B426" s="48"/>
    </row>
    <row r="427" ht="15.75" customHeight="1">
      <c r="B427" s="48"/>
    </row>
    <row r="428" ht="15.75" customHeight="1">
      <c r="B428" s="48"/>
    </row>
    <row r="429" ht="15.75" customHeight="1">
      <c r="B429" s="48"/>
    </row>
    <row r="430" ht="15.75" customHeight="1">
      <c r="B430" s="48"/>
    </row>
    <row r="431" ht="15.75" customHeight="1">
      <c r="B431" s="48"/>
    </row>
    <row r="432" ht="15.75" customHeight="1">
      <c r="B432" s="48"/>
    </row>
    <row r="433" ht="15.75" customHeight="1">
      <c r="B433" s="48"/>
    </row>
    <row r="434" ht="15.75" customHeight="1">
      <c r="B434" s="48"/>
    </row>
    <row r="435" ht="15.75" customHeight="1">
      <c r="B435" s="48"/>
    </row>
    <row r="436" ht="15.75" customHeight="1">
      <c r="B436" s="48"/>
    </row>
    <row r="437" ht="15.75" customHeight="1">
      <c r="B437" s="48"/>
    </row>
    <row r="438" ht="15.75" customHeight="1">
      <c r="B438" s="48"/>
    </row>
    <row r="439" ht="15.75" customHeight="1">
      <c r="B439" s="48"/>
    </row>
    <row r="440" ht="15.75" customHeight="1">
      <c r="B440" s="48"/>
    </row>
    <row r="441" ht="15.75" customHeight="1">
      <c r="B441" s="48"/>
    </row>
    <row r="442" ht="15.75" customHeight="1">
      <c r="B442" s="48"/>
    </row>
    <row r="443" ht="15.75" customHeight="1">
      <c r="B443" s="48"/>
    </row>
    <row r="444" ht="15.75" customHeight="1">
      <c r="B444" s="48"/>
    </row>
    <row r="445" ht="15.75" customHeight="1">
      <c r="B445" s="48"/>
    </row>
    <row r="446" ht="15.75" customHeight="1">
      <c r="B446" s="48"/>
    </row>
    <row r="447" ht="15.75" customHeight="1">
      <c r="B447" s="48"/>
    </row>
    <row r="448" ht="15.75" customHeight="1">
      <c r="B448" s="48"/>
    </row>
    <row r="449" ht="15.75" customHeight="1">
      <c r="B449" s="48"/>
    </row>
    <row r="450" ht="15.75" customHeight="1">
      <c r="B450" s="48"/>
    </row>
    <row r="451" ht="15.75" customHeight="1">
      <c r="B451" s="48"/>
    </row>
    <row r="452" ht="15.75" customHeight="1">
      <c r="B452" s="48"/>
    </row>
    <row r="453" ht="15.75" customHeight="1">
      <c r="B453" s="48"/>
    </row>
    <row r="454" ht="15.75" customHeight="1">
      <c r="B454" s="48"/>
    </row>
    <row r="455" ht="15.75" customHeight="1">
      <c r="B455" s="48"/>
    </row>
    <row r="456" ht="15.75" customHeight="1">
      <c r="B456" s="48"/>
    </row>
    <row r="457" ht="15.75" customHeight="1">
      <c r="B457" s="48"/>
    </row>
    <row r="458" ht="15.75" customHeight="1">
      <c r="B458" s="48"/>
    </row>
    <row r="459" ht="15.75" customHeight="1">
      <c r="B459" s="48"/>
    </row>
    <row r="460" ht="15.75" customHeight="1">
      <c r="B460" s="48"/>
    </row>
    <row r="461" ht="15.75" customHeight="1">
      <c r="B461" s="48"/>
    </row>
    <row r="462" ht="15.75" customHeight="1">
      <c r="B462" s="48"/>
    </row>
    <row r="463" ht="15.75" customHeight="1">
      <c r="B463" s="48"/>
    </row>
    <row r="464" ht="15.75" customHeight="1">
      <c r="B464" s="48"/>
    </row>
    <row r="465" ht="15.75" customHeight="1">
      <c r="B465" s="48"/>
    </row>
    <row r="466" ht="15.75" customHeight="1">
      <c r="B466" s="48"/>
    </row>
    <row r="467" ht="15.75" customHeight="1">
      <c r="B467" s="48"/>
    </row>
    <row r="468" ht="15.75" customHeight="1">
      <c r="B468" s="48"/>
    </row>
    <row r="469" ht="15.75" customHeight="1">
      <c r="B469" s="48"/>
    </row>
    <row r="470" ht="15.75" customHeight="1">
      <c r="B470" s="48"/>
    </row>
    <row r="471" ht="15.75" customHeight="1">
      <c r="B471" s="48"/>
    </row>
    <row r="472" ht="15.75" customHeight="1">
      <c r="B472" s="48"/>
    </row>
    <row r="473" ht="15.75" customHeight="1">
      <c r="B473" s="48"/>
    </row>
    <row r="474" ht="15.75" customHeight="1">
      <c r="B474" s="48"/>
    </row>
    <row r="475" ht="15.75" customHeight="1">
      <c r="B475" s="48"/>
    </row>
    <row r="476" ht="15.75" customHeight="1">
      <c r="B476" s="48"/>
    </row>
    <row r="477" ht="15.75" customHeight="1">
      <c r="B477" s="48"/>
    </row>
    <row r="478" ht="15.75" customHeight="1">
      <c r="B478" s="48"/>
    </row>
    <row r="479" ht="15.75" customHeight="1">
      <c r="B479" s="48"/>
    </row>
    <row r="480" ht="15.75" customHeight="1">
      <c r="B480" s="48"/>
    </row>
    <row r="481" ht="15.75" customHeight="1">
      <c r="B481" s="48"/>
    </row>
    <row r="482" ht="15.75" customHeight="1">
      <c r="B482" s="48"/>
    </row>
    <row r="483" ht="15.75" customHeight="1">
      <c r="B483" s="48"/>
    </row>
    <row r="484" ht="15.75" customHeight="1">
      <c r="B484" s="48"/>
    </row>
    <row r="485" ht="15.75" customHeight="1">
      <c r="B485" s="48"/>
    </row>
    <row r="486" ht="15.75" customHeight="1">
      <c r="B486" s="48"/>
    </row>
    <row r="487" ht="15.75" customHeight="1">
      <c r="B487" s="48"/>
    </row>
    <row r="488" ht="15.75" customHeight="1">
      <c r="B488" s="48"/>
    </row>
    <row r="489" ht="15.75" customHeight="1">
      <c r="B489" s="48"/>
    </row>
    <row r="490" ht="15.75" customHeight="1">
      <c r="B490" s="48"/>
    </row>
    <row r="491" ht="15.75" customHeight="1">
      <c r="B491" s="48"/>
    </row>
    <row r="492" ht="15.75" customHeight="1">
      <c r="B492" s="48"/>
    </row>
    <row r="493" ht="15.75" customHeight="1">
      <c r="B493" s="48"/>
    </row>
    <row r="494" ht="15.75" customHeight="1">
      <c r="B494" s="48"/>
    </row>
    <row r="495" ht="15.75" customHeight="1">
      <c r="B495" s="48"/>
    </row>
    <row r="496" ht="15.75" customHeight="1">
      <c r="B496" s="48"/>
    </row>
    <row r="497" ht="15.75" customHeight="1">
      <c r="B497" s="48"/>
    </row>
    <row r="498" ht="15.75" customHeight="1">
      <c r="B498" s="48"/>
    </row>
    <row r="499" ht="15.75" customHeight="1">
      <c r="B499" s="48"/>
    </row>
    <row r="500" ht="15.75" customHeight="1">
      <c r="B500" s="48"/>
    </row>
    <row r="501" ht="15.75" customHeight="1">
      <c r="B501" s="48"/>
    </row>
    <row r="502" ht="15.75" customHeight="1">
      <c r="B502" s="48"/>
    </row>
    <row r="503" ht="15.75" customHeight="1">
      <c r="B503" s="48"/>
    </row>
    <row r="504" ht="15.75" customHeight="1">
      <c r="B504" s="48"/>
    </row>
    <row r="505" ht="15.75" customHeight="1">
      <c r="B505" s="48"/>
    </row>
    <row r="506" ht="15.75" customHeight="1">
      <c r="B506" s="48"/>
    </row>
    <row r="507" ht="15.75" customHeight="1">
      <c r="B507" s="48"/>
    </row>
    <row r="508" ht="15.75" customHeight="1">
      <c r="B508" s="48"/>
    </row>
    <row r="509" ht="15.75" customHeight="1">
      <c r="B509" s="48"/>
    </row>
    <row r="510" ht="15.75" customHeight="1">
      <c r="B510" s="48"/>
    </row>
    <row r="511" ht="15.75" customHeight="1">
      <c r="B511" s="48"/>
    </row>
    <row r="512" ht="15.75" customHeight="1">
      <c r="B512" s="48"/>
    </row>
    <row r="513" ht="15.75" customHeight="1">
      <c r="B513" s="48"/>
    </row>
    <row r="514" ht="15.75" customHeight="1">
      <c r="B514" s="48"/>
    </row>
    <row r="515" ht="15.75" customHeight="1">
      <c r="B515" s="48"/>
    </row>
    <row r="516" ht="15.75" customHeight="1">
      <c r="B516" s="48"/>
    </row>
    <row r="517" ht="15.75" customHeight="1">
      <c r="B517" s="48"/>
    </row>
    <row r="518" ht="15.75" customHeight="1">
      <c r="B518" s="48"/>
    </row>
    <row r="519" ht="15.75" customHeight="1">
      <c r="B519" s="48"/>
    </row>
    <row r="520" ht="15.75" customHeight="1">
      <c r="B520" s="48"/>
    </row>
    <row r="521" ht="15.75" customHeight="1">
      <c r="B521" s="48"/>
    </row>
    <row r="522" ht="15.75" customHeight="1">
      <c r="B522" s="48"/>
    </row>
    <row r="523" ht="15.75" customHeight="1">
      <c r="B523" s="48"/>
    </row>
    <row r="524" ht="15.75" customHeight="1">
      <c r="B524" s="48"/>
    </row>
    <row r="525" ht="15.75" customHeight="1">
      <c r="B525" s="48"/>
    </row>
    <row r="526" ht="15.75" customHeight="1">
      <c r="B526" s="48"/>
    </row>
    <row r="527" ht="15.75" customHeight="1">
      <c r="B527" s="48"/>
    </row>
    <row r="528" ht="15.75" customHeight="1">
      <c r="B528" s="48"/>
    </row>
    <row r="529" ht="15.75" customHeight="1">
      <c r="B529" s="48"/>
    </row>
    <row r="530" ht="15.75" customHeight="1">
      <c r="B530" s="48"/>
    </row>
    <row r="531" ht="15.75" customHeight="1">
      <c r="B531" s="48"/>
    </row>
    <row r="532" ht="15.75" customHeight="1">
      <c r="B532" s="48"/>
    </row>
    <row r="533" ht="15.75" customHeight="1">
      <c r="B533" s="48"/>
    </row>
    <row r="534" ht="15.75" customHeight="1">
      <c r="B534" s="48"/>
    </row>
    <row r="535" ht="15.75" customHeight="1">
      <c r="B535" s="48"/>
    </row>
    <row r="536" ht="15.75" customHeight="1">
      <c r="B536" s="48"/>
    </row>
    <row r="537" ht="15.75" customHeight="1">
      <c r="B537" s="48"/>
    </row>
    <row r="538" ht="15.75" customHeight="1">
      <c r="B538" s="48"/>
    </row>
    <row r="539" ht="15.75" customHeight="1">
      <c r="B539" s="48"/>
    </row>
    <row r="540" ht="15.75" customHeight="1">
      <c r="B540" s="48"/>
    </row>
    <row r="541" ht="15.75" customHeight="1">
      <c r="B541" s="48"/>
    </row>
    <row r="542" ht="15.75" customHeight="1">
      <c r="B542" s="48"/>
    </row>
    <row r="543" ht="15.75" customHeight="1">
      <c r="B543" s="48"/>
    </row>
    <row r="544" ht="15.75" customHeight="1">
      <c r="B544" s="48"/>
    </row>
    <row r="545" ht="15.75" customHeight="1">
      <c r="B545" s="48"/>
    </row>
    <row r="546" ht="15.75" customHeight="1">
      <c r="B546" s="48"/>
    </row>
    <row r="547" ht="15.75" customHeight="1">
      <c r="B547" s="48"/>
    </row>
    <row r="548" ht="15.75" customHeight="1">
      <c r="B548" s="48"/>
    </row>
    <row r="549" ht="15.75" customHeight="1">
      <c r="B549" s="48"/>
    </row>
    <row r="550" ht="15.75" customHeight="1">
      <c r="B550" s="48"/>
    </row>
    <row r="551" ht="15.75" customHeight="1">
      <c r="B551" s="48"/>
    </row>
    <row r="552" ht="15.75" customHeight="1">
      <c r="B552" s="48"/>
    </row>
    <row r="553" ht="15.75" customHeight="1">
      <c r="B553" s="48"/>
    </row>
    <row r="554" ht="15.75" customHeight="1">
      <c r="B554" s="48"/>
    </row>
    <row r="555" ht="15.75" customHeight="1">
      <c r="B555" s="48"/>
    </row>
    <row r="556" ht="15.75" customHeight="1">
      <c r="B556" s="48"/>
    </row>
    <row r="557" ht="15.75" customHeight="1">
      <c r="B557" s="48"/>
    </row>
    <row r="558" ht="15.75" customHeight="1">
      <c r="B558" s="48"/>
    </row>
    <row r="559" ht="15.75" customHeight="1">
      <c r="B559" s="48"/>
    </row>
    <row r="560" ht="15.75" customHeight="1">
      <c r="B560" s="48"/>
    </row>
    <row r="561" ht="15.75" customHeight="1">
      <c r="B561" s="48"/>
    </row>
    <row r="562" ht="15.75" customHeight="1">
      <c r="B562" s="48"/>
    </row>
    <row r="563" ht="15.75" customHeight="1">
      <c r="B563" s="48"/>
    </row>
    <row r="564" ht="15.75" customHeight="1">
      <c r="B564" s="48"/>
    </row>
    <row r="565" ht="15.75" customHeight="1">
      <c r="B565" s="48"/>
    </row>
    <row r="566" ht="15.75" customHeight="1">
      <c r="B566" s="48"/>
    </row>
    <row r="567" ht="15.75" customHeight="1">
      <c r="B567" s="48"/>
    </row>
    <row r="568" ht="15.75" customHeight="1">
      <c r="B568" s="48"/>
    </row>
    <row r="569" ht="15.75" customHeight="1">
      <c r="B569" s="48"/>
    </row>
    <row r="570" ht="15.75" customHeight="1">
      <c r="B570" s="48"/>
    </row>
    <row r="571" ht="15.75" customHeight="1">
      <c r="B571" s="48"/>
    </row>
    <row r="572" ht="15.75" customHeight="1">
      <c r="B572" s="48"/>
    </row>
    <row r="573" ht="15.75" customHeight="1">
      <c r="B573" s="48"/>
    </row>
    <row r="574" ht="15.75" customHeight="1">
      <c r="B574" s="48"/>
    </row>
    <row r="575" ht="15.75" customHeight="1">
      <c r="B575" s="48"/>
    </row>
    <row r="576" ht="15.75" customHeight="1">
      <c r="B576" s="48"/>
    </row>
    <row r="577" ht="15.75" customHeight="1">
      <c r="B577" s="48"/>
    </row>
    <row r="578" ht="15.75" customHeight="1">
      <c r="B578" s="48"/>
    </row>
    <row r="579" ht="15.75" customHeight="1">
      <c r="B579" s="48"/>
    </row>
    <row r="580" ht="15.75" customHeight="1">
      <c r="B580" s="48"/>
    </row>
    <row r="581" ht="15.75" customHeight="1">
      <c r="B581" s="48"/>
    </row>
    <row r="582" ht="15.75" customHeight="1">
      <c r="B582" s="48"/>
    </row>
    <row r="583" ht="15.75" customHeight="1">
      <c r="B583" s="48"/>
    </row>
    <row r="584" ht="15.75" customHeight="1">
      <c r="B584" s="48"/>
    </row>
    <row r="585" ht="15.75" customHeight="1">
      <c r="B585" s="48"/>
    </row>
    <row r="586" ht="15.75" customHeight="1">
      <c r="B586" s="48"/>
    </row>
    <row r="587" ht="15.75" customHeight="1">
      <c r="B587" s="48"/>
    </row>
    <row r="588" ht="15.75" customHeight="1">
      <c r="B588" s="48"/>
    </row>
    <row r="589" ht="15.75" customHeight="1">
      <c r="B589" s="48"/>
    </row>
    <row r="590" ht="15.75" customHeight="1">
      <c r="B590" s="48"/>
    </row>
    <row r="591" ht="15.75" customHeight="1">
      <c r="B591" s="48"/>
    </row>
    <row r="592" ht="15.75" customHeight="1">
      <c r="B592" s="48"/>
    </row>
    <row r="593" ht="15.75" customHeight="1">
      <c r="B593" s="48"/>
    </row>
    <row r="594" ht="15.75" customHeight="1">
      <c r="B594" s="48"/>
    </row>
    <row r="595" ht="15.75" customHeight="1">
      <c r="B595" s="48"/>
    </row>
    <row r="596" ht="15.75" customHeight="1">
      <c r="B596" s="48"/>
    </row>
    <row r="597" ht="15.75" customHeight="1">
      <c r="B597" s="48"/>
    </row>
    <row r="598" ht="15.75" customHeight="1">
      <c r="B598" s="48"/>
    </row>
    <row r="599" ht="15.75" customHeight="1">
      <c r="B599" s="48"/>
    </row>
    <row r="600" ht="15.75" customHeight="1">
      <c r="B600" s="48"/>
    </row>
    <row r="601" ht="15.75" customHeight="1">
      <c r="B601" s="48"/>
    </row>
    <row r="602" ht="15.75" customHeight="1">
      <c r="B602" s="48"/>
    </row>
    <row r="603" ht="15.75" customHeight="1">
      <c r="B603" s="48"/>
    </row>
    <row r="604" ht="15.75" customHeight="1">
      <c r="B604" s="48"/>
    </row>
    <row r="605" ht="15.75" customHeight="1">
      <c r="B605" s="48"/>
    </row>
    <row r="606" ht="15.75" customHeight="1">
      <c r="B606" s="48"/>
    </row>
    <row r="607" ht="15.75" customHeight="1">
      <c r="B607" s="48"/>
    </row>
    <row r="608" ht="15.75" customHeight="1">
      <c r="B608" s="48"/>
    </row>
    <row r="609" ht="15.75" customHeight="1">
      <c r="B609" s="48"/>
    </row>
    <row r="610" ht="15.75" customHeight="1">
      <c r="B610" s="48"/>
    </row>
    <row r="611" ht="15.75" customHeight="1">
      <c r="B611" s="48"/>
    </row>
    <row r="612" ht="15.75" customHeight="1">
      <c r="B612" s="48"/>
    </row>
    <row r="613" ht="15.75" customHeight="1">
      <c r="B613" s="48"/>
    </row>
    <row r="614" ht="15.75" customHeight="1">
      <c r="B614" s="48"/>
    </row>
    <row r="615" ht="15.75" customHeight="1">
      <c r="B615" s="48"/>
    </row>
    <row r="616" ht="15.75" customHeight="1">
      <c r="B616" s="48"/>
    </row>
    <row r="617" ht="15.75" customHeight="1">
      <c r="B617" s="48"/>
    </row>
    <row r="618" ht="15.75" customHeight="1">
      <c r="B618" s="48"/>
    </row>
    <row r="619" ht="15.75" customHeight="1">
      <c r="B619" s="48"/>
    </row>
    <row r="620" ht="15.75" customHeight="1">
      <c r="B620" s="48"/>
    </row>
    <row r="621" ht="15.75" customHeight="1">
      <c r="B621" s="48"/>
    </row>
    <row r="622" ht="15.75" customHeight="1">
      <c r="B622" s="48"/>
    </row>
    <row r="623" ht="15.75" customHeight="1">
      <c r="B623" s="48"/>
    </row>
    <row r="624" ht="15.75" customHeight="1">
      <c r="B624" s="48"/>
    </row>
    <row r="625" ht="15.75" customHeight="1">
      <c r="B625" s="48"/>
    </row>
    <row r="626" ht="15.75" customHeight="1">
      <c r="B626" s="48"/>
    </row>
    <row r="627" ht="15.75" customHeight="1">
      <c r="B627" s="48"/>
    </row>
    <row r="628" ht="15.75" customHeight="1">
      <c r="B628" s="48"/>
    </row>
    <row r="629" ht="15.75" customHeight="1">
      <c r="B629" s="48"/>
    </row>
    <row r="630" ht="15.75" customHeight="1">
      <c r="B630" s="48"/>
    </row>
    <row r="631" ht="15.75" customHeight="1">
      <c r="B631" s="48"/>
    </row>
    <row r="632" ht="15.75" customHeight="1">
      <c r="B632" s="48"/>
    </row>
    <row r="633" ht="15.75" customHeight="1">
      <c r="B633" s="48"/>
    </row>
    <row r="634" ht="15.75" customHeight="1">
      <c r="B634" s="48"/>
    </row>
    <row r="635" ht="15.75" customHeight="1">
      <c r="B635" s="48"/>
    </row>
    <row r="636" ht="15.75" customHeight="1">
      <c r="B636" s="48"/>
    </row>
    <row r="637" ht="15.75" customHeight="1">
      <c r="B637" s="48"/>
    </row>
    <row r="638" ht="15.75" customHeight="1">
      <c r="B638" s="48"/>
    </row>
    <row r="639" ht="15.75" customHeight="1">
      <c r="B639" s="48"/>
    </row>
    <row r="640" ht="15.75" customHeight="1">
      <c r="B640" s="48"/>
    </row>
    <row r="641" ht="15.75" customHeight="1">
      <c r="B641" s="48"/>
    </row>
    <row r="642" ht="15.75" customHeight="1">
      <c r="B642" s="48"/>
    </row>
    <row r="643" ht="15.75" customHeight="1">
      <c r="B643" s="48"/>
    </row>
    <row r="644" ht="15.75" customHeight="1">
      <c r="B644" s="48"/>
    </row>
    <row r="645" ht="15.75" customHeight="1">
      <c r="B645" s="48"/>
    </row>
    <row r="646" ht="15.75" customHeight="1">
      <c r="B646" s="48"/>
    </row>
    <row r="647" ht="15.75" customHeight="1">
      <c r="B647" s="48"/>
    </row>
    <row r="648" ht="15.75" customHeight="1">
      <c r="B648" s="48"/>
    </row>
    <row r="649" ht="15.75" customHeight="1">
      <c r="B649" s="48"/>
    </row>
    <row r="650" ht="15.75" customHeight="1">
      <c r="B650" s="48"/>
    </row>
    <row r="651" ht="15.75" customHeight="1">
      <c r="B651" s="48"/>
    </row>
    <row r="652" ht="15.75" customHeight="1">
      <c r="B652" s="48"/>
    </row>
    <row r="653" ht="15.75" customHeight="1">
      <c r="B653" s="48"/>
    </row>
    <row r="654" ht="15.75" customHeight="1">
      <c r="B654" s="48"/>
    </row>
    <row r="655" ht="15.75" customHeight="1">
      <c r="B655" s="48"/>
    </row>
    <row r="656" ht="15.75" customHeight="1">
      <c r="B656" s="48"/>
    </row>
    <row r="657" ht="15.75" customHeight="1">
      <c r="B657" s="48"/>
    </row>
    <row r="658" ht="15.75" customHeight="1">
      <c r="B658" s="48"/>
    </row>
    <row r="659" ht="15.75" customHeight="1">
      <c r="B659" s="48"/>
    </row>
    <row r="660" ht="15.75" customHeight="1">
      <c r="B660" s="48"/>
    </row>
    <row r="661" ht="15.75" customHeight="1">
      <c r="B661" s="48"/>
    </row>
    <row r="662" ht="15.75" customHeight="1">
      <c r="B662" s="48"/>
    </row>
    <row r="663" ht="15.75" customHeight="1">
      <c r="B663" s="48"/>
    </row>
    <row r="664" ht="15.75" customHeight="1">
      <c r="B664" s="48"/>
    </row>
    <row r="665" ht="15.75" customHeight="1">
      <c r="B665" s="48"/>
    </row>
    <row r="666" ht="15.75" customHeight="1">
      <c r="B666" s="48"/>
    </row>
    <row r="667" ht="15.75" customHeight="1">
      <c r="B667" s="48"/>
    </row>
    <row r="668" ht="15.75" customHeight="1">
      <c r="B668" s="48"/>
    </row>
    <row r="669" ht="15.75" customHeight="1">
      <c r="B669" s="48"/>
    </row>
    <row r="670" ht="15.75" customHeight="1">
      <c r="B670" s="48"/>
    </row>
    <row r="671" ht="15.75" customHeight="1">
      <c r="B671" s="48"/>
    </row>
    <row r="672" ht="15.75" customHeight="1">
      <c r="B672" s="48"/>
    </row>
    <row r="673" ht="15.75" customHeight="1">
      <c r="B673" s="48"/>
    </row>
    <row r="674" ht="15.75" customHeight="1">
      <c r="B674" s="48"/>
    </row>
    <row r="675" ht="15.75" customHeight="1">
      <c r="B675" s="48"/>
    </row>
    <row r="676" ht="15.75" customHeight="1">
      <c r="B676" s="48"/>
    </row>
    <row r="677" ht="15.75" customHeight="1">
      <c r="B677" s="48"/>
    </row>
    <row r="678" ht="15.75" customHeight="1">
      <c r="B678" s="48"/>
    </row>
    <row r="679" ht="15.75" customHeight="1">
      <c r="B679" s="48"/>
    </row>
    <row r="680" ht="15.75" customHeight="1">
      <c r="B680" s="48"/>
    </row>
    <row r="681" ht="15.75" customHeight="1">
      <c r="B681" s="48"/>
    </row>
    <row r="682" ht="15.75" customHeight="1">
      <c r="B682" s="48"/>
    </row>
    <row r="683" ht="15.75" customHeight="1">
      <c r="B683" s="48"/>
    </row>
    <row r="684" ht="15.75" customHeight="1">
      <c r="B684" s="48"/>
    </row>
    <row r="685" ht="15.75" customHeight="1">
      <c r="B685" s="48"/>
    </row>
    <row r="686" ht="15.75" customHeight="1">
      <c r="B686" s="48"/>
    </row>
    <row r="687" ht="15.75" customHeight="1">
      <c r="B687" s="48"/>
    </row>
    <row r="688" ht="15.75" customHeight="1">
      <c r="B688" s="48"/>
    </row>
    <row r="689" ht="15.75" customHeight="1">
      <c r="B689" s="48"/>
    </row>
    <row r="690" ht="15.75" customHeight="1">
      <c r="B690" s="48"/>
    </row>
    <row r="691" ht="15.75" customHeight="1">
      <c r="B691" s="48"/>
    </row>
    <row r="692" ht="15.75" customHeight="1">
      <c r="B692" s="48"/>
    </row>
    <row r="693" ht="15.75" customHeight="1">
      <c r="B693" s="48"/>
    </row>
    <row r="694" ht="15.75" customHeight="1">
      <c r="B694" s="48"/>
    </row>
    <row r="695" ht="15.75" customHeight="1">
      <c r="B695" s="48"/>
    </row>
    <row r="696" ht="15.75" customHeight="1">
      <c r="B696" s="48"/>
    </row>
    <row r="697" ht="15.75" customHeight="1">
      <c r="B697" s="48"/>
    </row>
    <row r="698" ht="15.75" customHeight="1">
      <c r="B698" s="48"/>
    </row>
    <row r="699" ht="15.75" customHeight="1">
      <c r="B699" s="48"/>
    </row>
    <row r="700" ht="15.75" customHeight="1">
      <c r="B700" s="48"/>
    </row>
    <row r="701" ht="15.75" customHeight="1">
      <c r="B701" s="48"/>
    </row>
    <row r="702" ht="15.75" customHeight="1">
      <c r="B702" s="48"/>
    </row>
    <row r="703" ht="15.75" customHeight="1">
      <c r="B703" s="48"/>
    </row>
    <row r="704" ht="15.75" customHeight="1">
      <c r="B704" s="48"/>
    </row>
    <row r="705" ht="15.75" customHeight="1">
      <c r="B705" s="48"/>
    </row>
    <row r="706" ht="15.75" customHeight="1">
      <c r="B706" s="48"/>
    </row>
    <row r="707" ht="15.75" customHeight="1">
      <c r="B707" s="48"/>
    </row>
    <row r="708" ht="15.75" customHeight="1">
      <c r="B708" s="48"/>
    </row>
    <row r="709" ht="15.75" customHeight="1">
      <c r="B709" s="48"/>
    </row>
    <row r="710" ht="15.75" customHeight="1">
      <c r="B710" s="48"/>
    </row>
    <row r="711" ht="15.75" customHeight="1">
      <c r="B711" s="48"/>
    </row>
    <row r="712" ht="15.75" customHeight="1">
      <c r="B712" s="48"/>
    </row>
    <row r="713" ht="15.75" customHeight="1">
      <c r="B713" s="48"/>
    </row>
    <row r="714" ht="15.75" customHeight="1">
      <c r="B714" s="48"/>
    </row>
    <row r="715" ht="15.75" customHeight="1">
      <c r="B715" s="48"/>
    </row>
    <row r="716" ht="15.75" customHeight="1">
      <c r="B716" s="48"/>
    </row>
    <row r="717" ht="15.75" customHeight="1">
      <c r="B717" s="48"/>
    </row>
    <row r="718" ht="15.75" customHeight="1">
      <c r="B718" s="48"/>
    </row>
    <row r="719" ht="15.75" customHeight="1">
      <c r="B719" s="48"/>
    </row>
    <row r="720" ht="15.75" customHeight="1">
      <c r="B720" s="48"/>
    </row>
    <row r="721" ht="15.75" customHeight="1">
      <c r="B721" s="48"/>
    </row>
    <row r="722" ht="15.75" customHeight="1">
      <c r="B722" s="48"/>
    </row>
    <row r="723" ht="15.75" customHeight="1">
      <c r="B723" s="48"/>
    </row>
    <row r="724" ht="15.75" customHeight="1">
      <c r="B724" s="48"/>
    </row>
    <row r="725" ht="15.75" customHeight="1">
      <c r="B725" s="48"/>
    </row>
    <row r="726" ht="15.75" customHeight="1">
      <c r="B726" s="48"/>
    </row>
    <row r="727" ht="15.75" customHeight="1">
      <c r="B727" s="48"/>
    </row>
    <row r="728" ht="15.75" customHeight="1">
      <c r="B728" s="48"/>
    </row>
    <row r="729" ht="15.75" customHeight="1">
      <c r="B729" s="48"/>
    </row>
    <row r="730" ht="15.75" customHeight="1">
      <c r="B730" s="48"/>
    </row>
    <row r="731" ht="15.75" customHeight="1">
      <c r="B731" s="48"/>
    </row>
    <row r="732" ht="15.75" customHeight="1">
      <c r="B732" s="48"/>
    </row>
    <row r="733" ht="15.75" customHeight="1">
      <c r="B733" s="48"/>
    </row>
    <row r="734" ht="15.75" customHeight="1">
      <c r="B734" s="48"/>
    </row>
    <row r="735" ht="15.75" customHeight="1">
      <c r="B735" s="48"/>
    </row>
    <row r="736" ht="15.75" customHeight="1">
      <c r="B736" s="48"/>
    </row>
    <row r="737" ht="15.75" customHeight="1">
      <c r="B737" s="48"/>
    </row>
    <row r="738" ht="15.75" customHeight="1">
      <c r="B738" s="48"/>
    </row>
    <row r="739" ht="15.75" customHeight="1">
      <c r="B739" s="48"/>
    </row>
    <row r="740" ht="15.75" customHeight="1">
      <c r="B740" s="48"/>
    </row>
    <row r="741" ht="15.75" customHeight="1">
      <c r="B741" s="48"/>
    </row>
    <row r="742" ht="15.75" customHeight="1">
      <c r="B742" s="48"/>
    </row>
    <row r="743" ht="15.75" customHeight="1">
      <c r="B743" s="48"/>
    </row>
    <row r="744" ht="15.75" customHeight="1">
      <c r="B744" s="48"/>
    </row>
    <row r="745" ht="15.75" customHeight="1">
      <c r="B745" s="48"/>
    </row>
    <row r="746" ht="15.75" customHeight="1">
      <c r="B746" s="48"/>
    </row>
    <row r="747" ht="15.75" customHeight="1">
      <c r="B747" s="48"/>
    </row>
    <row r="748" ht="15.75" customHeight="1">
      <c r="B748" s="48"/>
    </row>
    <row r="749" ht="15.75" customHeight="1">
      <c r="B749" s="48"/>
    </row>
    <row r="750" ht="15.75" customHeight="1">
      <c r="B750" s="48"/>
    </row>
    <row r="751" ht="15.75" customHeight="1">
      <c r="B751" s="48"/>
    </row>
    <row r="752" ht="15.75" customHeight="1">
      <c r="B752" s="48"/>
    </row>
    <row r="753" ht="15.75" customHeight="1">
      <c r="B753" s="48"/>
    </row>
    <row r="754" ht="15.75" customHeight="1">
      <c r="B754" s="48"/>
    </row>
    <row r="755" ht="15.75" customHeight="1">
      <c r="B755" s="48"/>
    </row>
    <row r="756" ht="15.75" customHeight="1">
      <c r="B756" s="48"/>
    </row>
    <row r="757" ht="15.75" customHeight="1">
      <c r="B757" s="48"/>
    </row>
    <row r="758" ht="15.75" customHeight="1">
      <c r="B758" s="48"/>
    </row>
    <row r="759" ht="15.75" customHeight="1">
      <c r="B759" s="48"/>
    </row>
    <row r="760" ht="15.75" customHeight="1">
      <c r="B760" s="48"/>
    </row>
    <row r="761" ht="15.75" customHeight="1">
      <c r="B761" s="48"/>
    </row>
    <row r="762" ht="15.75" customHeight="1">
      <c r="B762" s="48"/>
    </row>
    <row r="763" ht="15.75" customHeight="1">
      <c r="B763" s="48"/>
    </row>
    <row r="764" ht="15.75" customHeight="1">
      <c r="B764" s="48"/>
    </row>
    <row r="765" ht="15.75" customHeight="1">
      <c r="B765" s="48"/>
    </row>
    <row r="766" ht="15.75" customHeight="1">
      <c r="B766" s="48"/>
    </row>
    <row r="767" ht="15.75" customHeight="1">
      <c r="B767" s="48"/>
    </row>
    <row r="768" ht="15.75" customHeight="1">
      <c r="B768" s="48"/>
    </row>
    <row r="769" ht="15.75" customHeight="1">
      <c r="B769" s="48"/>
    </row>
    <row r="770" ht="15.75" customHeight="1">
      <c r="B770" s="48"/>
    </row>
    <row r="771" ht="15.75" customHeight="1">
      <c r="B771" s="48"/>
    </row>
    <row r="772" ht="15.75" customHeight="1">
      <c r="B772" s="48"/>
    </row>
    <row r="773" ht="15.75" customHeight="1">
      <c r="B773" s="48"/>
    </row>
    <row r="774" ht="15.75" customHeight="1">
      <c r="B774" s="48"/>
    </row>
    <row r="775" ht="15.75" customHeight="1">
      <c r="B775" s="48"/>
    </row>
    <row r="776" ht="15.75" customHeight="1">
      <c r="B776" s="48"/>
    </row>
    <row r="777" ht="15.75" customHeight="1">
      <c r="B777" s="48"/>
    </row>
    <row r="778" ht="15.75" customHeight="1">
      <c r="B778" s="48"/>
    </row>
    <row r="779" ht="15.75" customHeight="1">
      <c r="B779" s="48"/>
    </row>
    <row r="780" ht="15.75" customHeight="1">
      <c r="B780" s="48"/>
    </row>
    <row r="781" ht="15.75" customHeight="1">
      <c r="B781" s="48"/>
    </row>
    <row r="782" ht="15.75" customHeight="1">
      <c r="B782" s="48"/>
    </row>
    <row r="783" ht="15.75" customHeight="1">
      <c r="B783" s="48"/>
    </row>
    <row r="784" ht="15.75" customHeight="1">
      <c r="B784" s="48"/>
    </row>
    <row r="785" ht="15.75" customHeight="1">
      <c r="B785" s="48"/>
    </row>
    <row r="786" ht="15.75" customHeight="1">
      <c r="B786" s="48"/>
    </row>
    <row r="787" ht="15.75" customHeight="1">
      <c r="B787" s="48"/>
    </row>
    <row r="788" ht="15.75" customHeight="1">
      <c r="B788" s="48"/>
    </row>
    <row r="789" ht="15.75" customHeight="1">
      <c r="B789" s="48"/>
    </row>
    <row r="790" ht="15.75" customHeight="1">
      <c r="B790" s="48"/>
    </row>
    <row r="791" ht="15.75" customHeight="1">
      <c r="B791" s="48"/>
    </row>
    <row r="792" ht="15.75" customHeight="1">
      <c r="B792" s="48"/>
    </row>
    <row r="793" ht="15.75" customHeight="1">
      <c r="B793" s="48"/>
    </row>
    <row r="794" ht="15.75" customHeight="1">
      <c r="B794" s="48"/>
    </row>
    <row r="795" ht="15.75" customHeight="1">
      <c r="B795" s="48"/>
    </row>
    <row r="796" ht="15.75" customHeight="1">
      <c r="B796" s="48"/>
    </row>
    <row r="797" ht="15.75" customHeight="1">
      <c r="B797" s="48"/>
    </row>
    <row r="798" ht="15.75" customHeight="1">
      <c r="B798" s="48"/>
    </row>
    <row r="799" ht="15.75" customHeight="1">
      <c r="B799" s="48"/>
    </row>
    <row r="800" ht="15.75" customHeight="1">
      <c r="B800" s="48"/>
    </row>
    <row r="801" ht="15.75" customHeight="1">
      <c r="B801" s="48"/>
    </row>
    <row r="802" ht="15.75" customHeight="1">
      <c r="B802" s="48"/>
    </row>
    <row r="803" ht="15.75" customHeight="1">
      <c r="B803" s="48"/>
    </row>
    <row r="804" ht="15.75" customHeight="1">
      <c r="B804" s="48"/>
    </row>
    <row r="805" ht="15.75" customHeight="1">
      <c r="B805" s="48"/>
    </row>
    <row r="806" ht="15.75" customHeight="1">
      <c r="B806" s="48"/>
    </row>
    <row r="807" ht="15.75" customHeight="1">
      <c r="B807" s="48"/>
    </row>
    <row r="808" ht="15.75" customHeight="1">
      <c r="B808" s="48"/>
    </row>
    <row r="809" ht="15.75" customHeight="1">
      <c r="B809" s="48"/>
    </row>
    <row r="810" ht="15.75" customHeight="1">
      <c r="B810" s="48"/>
    </row>
    <row r="811" ht="15.75" customHeight="1">
      <c r="B811" s="48"/>
    </row>
    <row r="812" ht="15.75" customHeight="1">
      <c r="B812" s="48"/>
    </row>
    <row r="813" ht="15.75" customHeight="1">
      <c r="B813" s="48"/>
    </row>
    <row r="814" ht="15.75" customHeight="1">
      <c r="B814" s="48"/>
    </row>
    <row r="815" ht="15.75" customHeight="1">
      <c r="B815" s="48"/>
    </row>
    <row r="816" ht="15.75" customHeight="1">
      <c r="B816" s="48"/>
    </row>
    <row r="817" ht="15.75" customHeight="1">
      <c r="B817" s="48"/>
    </row>
    <row r="818" ht="15.75" customHeight="1">
      <c r="B818" s="48"/>
    </row>
    <row r="819" ht="15.75" customHeight="1">
      <c r="B819" s="48"/>
    </row>
    <row r="820" ht="15.75" customHeight="1">
      <c r="B820" s="48"/>
    </row>
    <row r="821" ht="15.75" customHeight="1">
      <c r="B821" s="48"/>
    </row>
    <row r="822" ht="15.75" customHeight="1">
      <c r="B822" s="48"/>
    </row>
    <row r="823" ht="15.75" customHeight="1">
      <c r="B823" s="48"/>
    </row>
    <row r="824" ht="15.75" customHeight="1">
      <c r="B824" s="48"/>
    </row>
    <row r="825" ht="15.75" customHeight="1">
      <c r="B825" s="48"/>
    </row>
    <row r="826" ht="15.75" customHeight="1">
      <c r="B826" s="48"/>
    </row>
    <row r="827" ht="15.75" customHeight="1">
      <c r="B827" s="48"/>
    </row>
    <row r="828" ht="15.75" customHeight="1">
      <c r="B828" s="48"/>
    </row>
    <row r="829" ht="15.75" customHeight="1">
      <c r="B829" s="48"/>
    </row>
    <row r="830" ht="15.75" customHeight="1">
      <c r="B830" s="48"/>
    </row>
    <row r="831" ht="15.75" customHeight="1">
      <c r="B831" s="48"/>
    </row>
    <row r="832" ht="15.75" customHeight="1">
      <c r="B832" s="48"/>
    </row>
    <row r="833" ht="15.75" customHeight="1">
      <c r="B833" s="48"/>
    </row>
    <row r="834" ht="15.75" customHeight="1">
      <c r="B834" s="48"/>
    </row>
    <row r="835" ht="15.75" customHeight="1">
      <c r="B835" s="48"/>
    </row>
    <row r="836" ht="15.75" customHeight="1">
      <c r="B836" s="48"/>
    </row>
    <row r="837" ht="15.75" customHeight="1">
      <c r="B837" s="48"/>
    </row>
    <row r="838" ht="15.75" customHeight="1">
      <c r="B838" s="48"/>
    </row>
    <row r="839" ht="15.75" customHeight="1">
      <c r="B839" s="48"/>
    </row>
    <row r="840" ht="15.75" customHeight="1">
      <c r="B840" s="48"/>
    </row>
    <row r="841" ht="15.75" customHeight="1">
      <c r="B841" s="48"/>
    </row>
    <row r="842" ht="15.75" customHeight="1">
      <c r="B842" s="48"/>
    </row>
    <row r="843" ht="15.75" customHeight="1">
      <c r="B843" s="48"/>
    </row>
    <row r="844" ht="15.75" customHeight="1">
      <c r="B844" s="48"/>
    </row>
    <row r="845" ht="15.75" customHeight="1">
      <c r="B845" s="48"/>
    </row>
    <row r="846" ht="15.75" customHeight="1">
      <c r="B846" s="48"/>
    </row>
    <row r="847" ht="15.75" customHeight="1">
      <c r="B847" s="48"/>
    </row>
    <row r="848" ht="15.75" customHeight="1">
      <c r="B848" s="48"/>
    </row>
    <row r="849" ht="15.75" customHeight="1">
      <c r="B849" s="48"/>
    </row>
    <row r="850" ht="15.75" customHeight="1">
      <c r="B850" s="48"/>
    </row>
    <row r="851" ht="15.75" customHeight="1">
      <c r="B851" s="48"/>
    </row>
    <row r="852" ht="15.75" customHeight="1">
      <c r="B852" s="48"/>
    </row>
    <row r="853" ht="15.75" customHeight="1">
      <c r="B853" s="48"/>
    </row>
    <row r="854" ht="15.75" customHeight="1">
      <c r="B854" s="48"/>
    </row>
    <row r="855" ht="15.75" customHeight="1">
      <c r="B855" s="48"/>
    </row>
    <row r="856" ht="15.75" customHeight="1">
      <c r="B856" s="48"/>
    </row>
    <row r="857" ht="15.75" customHeight="1">
      <c r="B857" s="48"/>
    </row>
    <row r="858" ht="15.75" customHeight="1">
      <c r="B858" s="48"/>
    </row>
    <row r="859" ht="15.75" customHeight="1">
      <c r="B859" s="48"/>
    </row>
    <row r="860" ht="15.75" customHeight="1">
      <c r="B860" s="48"/>
    </row>
    <row r="861" ht="15.75" customHeight="1">
      <c r="B861" s="48"/>
    </row>
    <row r="862" ht="15.75" customHeight="1">
      <c r="B862" s="48"/>
    </row>
    <row r="863" ht="15.75" customHeight="1">
      <c r="B863" s="48"/>
    </row>
    <row r="864" ht="15.75" customHeight="1">
      <c r="B864" s="48"/>
    </row>
    <row r="865" ht="15.75" customHeight="1">
      <c r="B865" s="48"/>
    </row>
    <row r="866" ht="15.75" customHeight="1">
      <c r="B866" s="48"/>
    </row>
    <row r="867" ht="15.75" customHeight="1">
      <c r="B867" s="48"/>
    </row>
    <row r="868" ht="15.75" customHeight="1">
      <c r="B868" s="48"/>
    </row>
    <row r="869" ht="15.75" customHeight="1">
      <c r="B869" s="48"/>
    </row>
    <row r="870" ht="15.75" customHeight="1">
      <c r="B870" s="48"/>
    </row>
    <row r="871" ht="15.75" customHeight="1">
      <c r="B871" s="48"/>
    </row>
    <row r="872" ht="15.75" customHeight="1">
      <c r="B872" s="48"/>
    </row>
    <row r="873" ht="15.75" customHeight="1">
      <c r="B873" s="48"/>
    </row>
    <row r="874" ht="15.75" customHeight="1">
      <c r="B874" s="48"/>
    </row>
    <row r="875" ht="15.75" customHeight="1">
      <c r="B875" s="48"/>
    </row>
    <row r="876" ht="15.75" customHeight="1">
      <c r="B876" s="48"/>
    </row>
    <row r="877" ht="15.75" customHeight="1">
      <c r="B877" s="48"/>
    </row>
    <row r="878" ht="15.75" customHeight="1">
      <c r="B878" s="48"/>
    </row>
    <row r="879" ht="15.75" customHeight="1">
      <c r="B879" s="48"/>
    </row>
    <row r="880" ht="15.75" customHeight="1">
      <c r="B880" s="48"/>
    </row>
    <row r="881" ht="15.75" customHeight="1">
      <c r="B881" s="48"/>
    </row>
    <row r="882" ht="15.75" customHeight="1">
      <c r="B882" s="48"/>
    </row>
    <row r="883" ht="15.75" customHeight="1">
      <c r="B883" s="48"/>
    </row>
    <row r="884" ht="15.75" customHeight="1">
      <c r="B884" s="48"/>
    </row>
    <row r="885" ht="15.75" customHeight="1">
      <c r="B885" s="48"/>
    </row>
    <row r="886" ht="15.75" customHeight="1">
      <c r="B886" s="48"/>
    </row>
    <row r="887" ht="15.75" customHeight="1">
      <c r="B887" s="48"/>
    </row>
    <row r="888" ht="15.75" customHeight="1">
      <c r="B888" s="48"/>
    </row>
    <row r="889" ht="15.75" customHeight="1">
      <c r="B889" s="48"/>
    </row>
    <row r="890" ht="15.75" customHeight="1">
      <c r="B890" s="48"/>
    </row>
    <row r="891" ht="15.75" customHeight="1">
      <c r="B891" s="48"/>
    </row>
    <row r="892" ht="15.75" customHeight="1">
      <c r="B892" s="48"/>
    </row>
    <row r="893" ht="15.75" customHeight="1">
      <c r="B893" s="48"/>
    </row>
    <row r="894" ht="15.75" customHeight="1">
      <c r="B894" s="48"/>
    </row>
    <row r="895" ht="15.75" customHeight="1">
      <c r="B895" s="48"/>
    </row>
    <row r="896" ht="15.75" customHeight="1">
      <c r="B896" s="48"/>
    </row>
    <row r="897" ht="15.75" customHeight="1">
      <c r="B897" s="48"/>
    </row>
    <row r="898" ht="15.75" customHeight="1">
      <c r="B898" s="48"/>
    </row>
    <row r="899" ht="15.75" customHeight="1">
      <c r="B899" s="48"/>
    </row>
    <row r="900" ht="15.75" customHeight="1">
      <c r="B900" s="48"/>
    </row>
    <row r="901" ht="15.75" customHeight="1">
      <c r="B901" s="48"/>
    </row>
    <row r="902" ht="15.75" customHeight="1">
      <c r="B902" s="48"/>
    </row>
    <row r="903" ht="15.75" customHeight="1">
      <c r="B903" s="48"/>
    </row>
    <row r="904" ht="15.75" customHeight="1">
      <c r="B904" s="48"/>
    </row>
    <row r="905" ht="15.75" customHeight="1">
      <c r="B905" s="48"/>
    </row>
    <row r="906" ht="15.75" customHeight="1">
      <c r="B906" s="48"/>
    </row>
    <row r="907" ht="15.75" customHeight="1">
      <c r="B907" s="48"/>
    </row>
    <row r="908" ht="15.75" customHeight="1">
      <c r="B908" s="48"/>
    </row>
    <row r="909" ht="15.75" customHeight="1">
      <c r="B909" s="48"/>
    </row>
    <row r="910" ht="15.75" customHeight="1">
      <c r="B910" s="48"/>
    </row>
    <row r="911" ht="15.75" customHeight="1">
      <c r="B911" s="48"/>
    </row>
    <row r="912" ht="15.75" customHeight="1">
      <c r="B912" s="48"/>
    </row>
    <row r="913" ht="15.75" customHeight="1">
      <c r="B913" s="48"/>
    </row>
    <row r="914" ht="15.75" customHeight="1">
      <c r="B914" s="48"/>
    </row>
    <row r="915" ht="15.75" customHeight="1">
      <c r="B915" s="48"/>
    </row>
    <row r="916" ht="15.75" customHeight="1">
      <c r="B916" s="48"/>
    </row>
    <row r="917" ht="15.75" customHeight="1">
      <c r="B917" s="48"/>
    </row>
    <row r="918" ht="15.75" customHeight="1">
      <c r="B918" s="48"/>
    </row>
    <row r="919" ht="15.75" customHeight="1">
      <c r="B919" s="48"/>
    </row>
    <row r="920" ht="15.75" customHeight="1">
      <c r="B920" s="48"/>
    </row>
    <row r="921" ht="15.75" customHeight="1">
      <c r="B921" s="48"/>
    </row>
    <row r="922" ht="15.75" customHeight="1">
      <c r="B922" s="48"/>
    </row>
    <row r="923" ht="15.75" customHeight="1">
      <c r="B923" s="48"/>
    </row>
    <row r="924" ht="15.75" customHeight="1">
      <c r="B924" s="48"/>
    </row>
    <row r="925" ht="15.75" customHeight="1">
      <c r="B925" s="48"/>
    </row>
    <row r="926" ht="15.75" customHeight="1">
      <c r="B926" s="48"/>
    </row>
    <row r="927" ht="15.75" customHeight="1">
      <c r="B927" s="48"/>
    </row>
    <row r="928" ht="15.75" customHeight="1">
      <c r="B928" s="48"/>
    </row>
    <row r="929" ht="15.75" customHeight="1">
      <c r="B929" s="48"/>
    </row>
    <row r="930" ht="15.75" customHeight="1">
      <c r="B930" s="48"/>
    </row>
    <row r="931" ht="15.75" customHeight="1">
      <c r="B931" s="48"/>
    </row>
    <row r="932" ht="15.75" customHeight="1">
      <c r="B932" s="48"/>
    </row>
    <row r="933" ht="15.75" customHeight="1">
      <c r="B933" s="48"/>
    </row>
    <row r="934" ht="15.75" customHeight="1">
      <c r="B934" s="48"/>
    </row>
    <row r="935" ht="15.75" customHeight="1">
      <c r="B935" s="48"/>
    </row>
    <row r="936" ht="15.75" customHeight="1">
      <c r="B936" s="48"/>
    </row>
    <row r="937" ht="15.75" customHeight="1">
      <c r="B937" s="48"/>
    </row>
    <row r="938" ht="15.75" customHeight="1">
      <c r="B938" s="48"/>
    </row>
    <row r="939" ht="15.75" customHeight="1">
      <c r="B939" s="48"/>
    </row>
    <row r="940" ht="15.75" customHeight="1">
      <c r="B940" s="48"/>
    </row>
    <row r="941" ht="15.75" customHeight="1">
      <c r="B941" s="48"/>
    </row>
    <row r="942" ht="15.75" customHeight="1">
      <c r="B942" s="48"/>
    </row>
    <row r="943" ht="15.75" customHeight="1">
      <c r="B943" s="48"/>
    </row>
    <row r="944" ht="15.75" customHeight="1">
      <c r="B944" s="48"/>
    </row>
    <row r="945" ht="15.75" customHeight="1">
      <c r="B945" s="48"/>
    </row>
    <row r="946" ht="15.75" customHeight="1">
      <c r="B946" s="48"/>
    </row>
    <row r="947" ht="15.75" customHeight="1">
      <c r="B947" s="48"/>
    </row>
    <row r="948" ht="15.75" customHeight="1">
      <c r="B948" s="48"/>
    </row>
    <row r="949" ht="15.75" customHeight="1">
      <c r="B949" s="48"/>
    </row>
    <row r="950" ht="15.75" customHeight="1">
      <c r="B950" s="48"/>
    </row>
    <row r="951" ht="15.75" customHeight="1">
      <c r="B951" s="48"/>
    </row>
    <row r="952" ht="15.75" customHeight="1">
      <c r="B952" s="48"/>
    </row>
    <row r="953" ht="15.75" customHeight="1">
      <c r="B953" s="48"/>
    </row>
    <row r="954" ht="15.75" customHeight="1">
      <c r="B954" s="48"/>
    </row>
    <row r="955" ht="15.75" customHeight="1">
      <c r="B955" s="48"/>
    </row>
    <row r="956" ht="15.75" customHeight="1">
      <c r="B956" s="48"/>
    </row>
    <row r="957" ht="15.75" customHeight="1">
      <c r="B957" s="48"/>
    </row>
    <row r="958" ht="15.75" customHeight="1">
      <c r="B958" s="48"/>
    </row>
    <row r="959" ht="15.75" customHeight="1">
      <c r="B959" s="48"/>
    </row>
    <row r="960" ht="15.75" customHeight="1">
      <c r="B960" s="48"/>
    </row>
    <row r="961" ht="15.75" customHeight="1">
      <c r="B961" s="48"/>
    </row>
    <row r="962" ht="15.75" customHeight="1">
      <c r="B962" s="48"/>
    </row>
    <row r="963" ht="15.75" customHeight="1">
      <c r="B963" s="48"/>
    </row>
    <row r="964" ht="15.75" customHeight="1">
      <c r="B964" s="48"/>
    </row>
    <row r="965" ht="15.75" customHeight="1">
      <c r="B965" s="48"/>
    </row>
    <row r="966" ht="15.75" customHeight="1">
      <c r="B966" s="48"/>
    </row>
    <row r="967" ht="15.75" customHeight="1">
      <c r="B967" s="48"/>
    </row>
    <row r="968" ht="15.75" customHeight="1">
      <c r="B968" s="48"/>
    </row>
    <row r="969" ht="15.75" customHeight="1">
      <c r="B969" s="48"/>
    </row>
    <row r="970" ht="15.75" customHeight="1">
      <c r="B970" s="48"/>
    </row>
    <row r="971" ht="15.75" customHeight="1">
      <c r="B971" s="48"/>
    </row>
    <row r="972" ht="15.75" customHeight="1">
      <c r="B972" s="48"/>
    </row>
    <row r="973" ht="15.75" customHeight="1">
      <c r="B973" s="48"/>
    </row>
    <row r="974" ht="15.75" customHeight="1">
      <c r="B974" s="48"/>
    </row>
    <row r="975" ht="15.75" customHeight="1">
      <c r="B975" s="48"/>
    </row>
    <row r="976" ht="15.75" customHeight="1">
      <c r="B976" s="48"/>
    </row>
    <row r="977" ht="15.75" customHeight="1">
      <c r="B977" s="48"/>
    </row>
    <row r="978" ht="15.75" customHeight="1">
      <c r="B978" s="48"/>
    </row>
    <row r="979" ht="15.75" customHeight="1">
      <c r="B979" s="48"/>
    </row>
    <row r="980" ht="15.75" customHeight="1">
      <c r="B980" s="48"/>
    </row>
    <row r="981" ht="15.75" customHeight="1">
      <c r="B981" s="48"/>
    </row>
    <row r="982" ht="15.75" customHeight="1">
      <c r="B982" s="48"/>
    </row>
    <row r="983" ht="15.75" customHeight="1">
      <c r="B983" s="48"/>
    </row>
    <row r="984" ht="15.75" customHeight="1">
      <c r="B984" s="48"/>
    </row>
    <row r="985" ht="15.75" customHeight="1">
      <c r="B985" s="48"/>
    </row>
    <row r="986" ht="15.75" customHeight="1">
      <c r="B986" s="48"/>
    </row>
    <row r="987" ht="15.75" customHeight="1">
      <c r="B987" s="48"/>
    </row>
    <row r="988" ht="15.75" customHeight="1">
      <c r="B988" s="48"/>
    </row>
    <row r="989" ht="15.75" customHeight="1">
      <c r="B989" s="48"/>
    </row>
    <row r="990" ht="15.75" customHeight="1">
      <c r="B990" s="48"/>
    </row>
    <row r="991" ht="15.75" customHeight="1">
      <c r="B991" s="48"/>
    </row>
    <row r="992" ht="15.75" customHeight="1">
      <c r="B992" s="48"/>
    </row>
    <row r="993" ht="15.75" customHeight="1">
      <c r="B993" s="48"/>
    </row>
    <row r="994" ht="15.75" customHeight="1">
      <c r="B994" s="48"/>
    </row>
    <row r="995" ht="15.75" customHeight="1">
      <c r="B995" s="48"/>
    </row>
    <row r="996" ht="15.75" customHeight="1">
      <c r="B996" s="48"/>
    </row>
    <row r="997" ht="15.75" customHeight="1">
      <c r="B997" s="48"/>
    </row>
    <row r="998" ht="15.75" customHeight="1">
      <c r="B998" s="48"/>
    </row>
    <row r="999" ht="15.75" customHeight="1">
      <c r="B999" s="48"/>
    </row>
    <row r="1000" ht="15.75" customHeight="1">
      <c r="B1000" s="48"/>
    </row>
    <row r="1001" ht="15.75" customHeight="1">
      <c r="B1001" s="48"/>
    </row>
  </sheetData>
  <dataValidations>
    <dataValidation type="custom" allowBlank="1" showDropDown="1" sqref="I3:K94">
      <formula1>AND(ISNUMBER(I3),(NOT(OR(NOT(ISERROR(DATEVALUE(I3))), AND(ISNUMBER(I3), LEFT(CELL("format", I3))="D")))))</formula1>
    </dataValidation>
    <dataValidation allowBlank="1" showDropDown="1" sqref="A3:A94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44.13"/>
    <col customWidth="1" min="3" max="3" width="47.88"/>
  </cols>
  <sheetData>
    <row r="1">
      <c r="A1" s="3"/>
      <c r="B1" s="5" t="s">
        <v>3</v>
      </c>
      <c r="C1" s="7" t="s">
        <v>5</v>
      </c>
    </row>
    <row r="2">
      <c r="A2" s="8" t="s">
        <v>10</v>
      </c>
      <c r="B2" s="9">
        <f>MIN(T_Analyse[Taux de pauvreté 2023])</f>
        <v>7</v>
      </c>
      <c r="C2" s="9">
        <f>MIN(T_Analyse[Niveau de vie médian 2023])</f>
        <v>19250</v>
      </c>
    </row>
    <row r="3">
      <c r="A3" s="8" t="s">
        <v>21</v>
      </c>
      <c r="B3" s="9">
        <f>QUARTILE(T_Analyse[Taux de pauvreté 2023],1)</f>
        <v>12</v>
      </c>
      <c r="C3" s="12">
        <f>QUARTILE(T_Analyse[Niveau de vie médian 2023], 1)</f>
        <v>23147.5</v>
      </c>
    </row>
    <row r="4">
      <c r="A4" s="8" t="s">
        <v>23</v>
      </c>
      <c r="B4" s="9">
        <f>MEDIAN(T_Analyse[Taux de pauvreté 2023])</f>
        <v>14.5</v>
      </c>
      <c r="C4" s="9">
        <f>MEDIAN(T_Analyse[Niveau de vie médian 2023])</f>
        <v>24350</v>
      </c>
    </row>
    <row r="5">
      <c r="A5" s="8" t="s">
        <v>28</v>
      </c>
      <c r="B5" s="9">
        <f>QUARTILE(T_Analyse[Taux de pauvreté 2023],3)</f>
        <v>20.15</v>
      </c>
      <c r="C5" s="12">
        <f>QUARTILE(T_Analyse[Niveau de vie médian 2023],  3)</f>
        <v>25687.5</v>
      </c>
    </row>
    <row r="6">
      <c r="A6" s="8" t="s">
        <v>39</v>
      </c>
      <c r="B6" s="9">
        <f>MAX(T_Analyse[Taux de pauvreté 2023])</f>
        <v>33.5</v>
      </c>
      <c r="C6" s="9">
        <f>MAX(T_Analyse[Niveau de vie médian 2023])</f>
        <v>34810</v>
      </c>
    </row>
    <row r="7">
      <c r="A7" s="8" t="s">
        <v>43</v>
      </c>
      <c r="B7" s="27">
        <f>AVERAGE(T_Analyse[Taux de pauvreté 2023])</f>
        <v>16.08695652</v>
      </c>
      <c r="C7" s="12">
        <f>AVERAGE(T_Analyse[Niveau de vie médian 2023])</f>
        <v>24483.15217</v>
      </c>
    </row>
    <row r="8">
      <c r="A8" s="8" t="s">
        <v>44</v>
      </c>
      <c r="B8" s="27">
        <f>IFERROR(__xludf.DUMMYFUNCTION("AVERAGE.WEIGHTED(T_Analyse[Taux de pauvreté 2023],T_Analyse[Population 2023])"),19.063895040179556)</f>
        <v>19.06389504</v>
      </c>
      <c r="C8" s="12">
        <f>SUMPRODUCT(T_Analyse[Niveau de vie médian 2023],T_Analyse[Population 2023])/SUM(T_Analyse[Population 2023])</f>
        <v>23978.5694</v>
      </c>
      <c r="D8" s="12"/>
    </row>
    <row r="9">
      <c r="A9" s="29" t="s">
        <v>46</v>
      </c>
      <c r="B9" s="30" t="s">
        <v>47</v>
      </c>
      <c r="C9" s="30" t="s">
        <v>48</v>
      </c>
    </row>
    <row r="10">
      <c r="A10" s="31"/>
    </row>
    <row r="11">
      <c r="A11" s="31"/>
    </row>
    <row r="12">
      <c r="A12" s="31"/>
    </row>
    <row r="13">
      <c r="A13" s="31"/>
    </row>
    <row r="14">
      <c r="A14" s="31"/>
    </row>
    <row r="15">
      <c r="A15" s="31"/>
    </row>
    <row r="16">
      <c r="A16" s="31"/>
    </row>
    <row r="17">
      <c r="A17" s="31"/>
    </row>
    <row r="18">
      <c r="A18" s="31"/>
    </row>
    <row r="19">
      <c r="A19" s="31"/>
    </row>
    <row r="20">
      <c r="A20" s="31"/>
    </row>
    <row r="21">
      <c r="A21" s="31"/>
    </row>
    <row r="22">
      <c r="A22" s="31"/>
    </row>
    <row r="23">
      <c r="A23" s="31"/>
    </row>
    <row r="24">
      <c r="A24" s="31"/>
    </row>
    <row r="25">
      <c r="A25" s="31"/>
    </row>
    <row r="26">
      <c r="A26" s="31"/>
    </row>
    <row r="27">
      <c r="A27" s="31"/>
    </row>
    <row r="28">
      <c r="A28" s="31"/>
    </row>
    <row r="29">
      <c r="A29" s="31"/>
    </row>
    <row r="30">
      <c r="A30" s="31"/>
    </row>
    <row r="31">
      <c r="A31" s="31"/>
    </row>
    <row r="32">
      <c r="A32" s="31"/>
    </row>
    <row r="33">
      <c r="A33" s="31"/>
    </row>
    <row r="34">
      <c r="A34" s="31"/>
    </row>
    <row r="35">
      <c r="A35" s="31"/>
    </row>
    <row r="36">
      <c r="A36" s="31"/>
    </row>
    <row r="37">
      <c r="A37" s="31"/>
    </row>
    <row r="38">
      <c r="A38" s="31"/>
    </row>
    <row r="39">
      <c r="A39" s="31"/>
    </row>
    <row r="40">
      <c r="A40" s="31"/>
    </row>
    <row r="41">
      <c r="A41" s="31"/>
    </row>
    <row r="42">
      <c r="A42" s="31"/>
    </row>
    <row r="43">
      <c r="A43" s="31"/>
    </row>
    <row r="44">
      <c r="A44" s="31"/>
    </row>
    <row r="45">
      <c r="A45" s="31"/>
    </row>
    <row r="46">
      <c r="A46" s="31"/>
    </row>
    <row r="47">
      <c r="A47" s="31"/>
    </row>
    <row r="48">
      <c r="A48" s="31"/>
    </row>
    <row r="49">
      <c r="A49" s="31"/>
    </row>
    <row r="50">
      <c r="A50" s="31"/>
    </row>
    <row r="51">
      <c r="A51" s="31"/>
    </row>
    <row r="52">
      <c r="A52" s="31"/>
    </row>
    <row r="53">
      <c r="A53" s="31"/>
    </row>
    <row r="54">
      <c r="A54" s="31"/>
    </row>
    <row r="55">
      <c r="A55" s="31"/>
    </row>
    <row r="56">
      <c r="A56" s="31"/>
    </row>
    <row r="57">
      <c r="A57" s="31"/>
    </row>
    <row r="58">
      <c r="A58" s="31"/>
    </row>
    <row r="59">
      <c r="A59" s="31"/>
    </row>
    <row r="60">
      <c r="A60" s="31"/>
    </row>
    <row r="61">
      <c r="A61" s="31"/>
    </row>
    <row r="62">
      <c r="A62" s="31"/>
    </row>
    <row r="63">
      <c r="A63" s="31"/>
    </row>
    <row r="64">
      <c r="A64" s="31"/>
    </row>
    <row r="65">
      <c r="A65" s="31"/>
    </row>
    <row r="66">
      <c r="A66" s="31"/>
    </row>
    <row r="67">
      <c r="A67" s="31"/>
    </row>
    <row r="68">
      <c r="A68" s="31"/>
    </row>
    <row r="69">
      <c r="A69" s="31"/>
    </row>
    <row r="70">
      <c r="A70" s="31"/>
    </row>
    <row r="71">
      <c r="A71" s="31"/>
    </row>
    <row r="72">
      <c r="A72" s="31"/>
    </row>
    <row r="73">
      <c r="A73" s="31"/>
    </row>
    <row r="74">
      <c r="A74" s="31"/>
    </row>
    <row r="75">
      <c r="A75" s="31"/>
    </row>
    <row r="76">
      <c r="A76" s="31"/>
    </row>
    <row r="77">
      <c r="A77" s="31"/>
    </row>
    <row r="78">
      <c r="A78" s="31"/>
    </row>
    <row r="79">
      <c r="A79" s="31"/>
    </row>
    <row r="80">
      <c r="A80" s="31"/>
    </row>
    <row r="81">
      <c r="A81" s="31"/>
    </row>
    <row r="82">
      <c r="A82" s="31"/>
    </row>
    <row r="83">
      <c r="A83" s="31"/>
    </row>
    <row r="84">
      <c r="A84" s="31"/>
    </row>
    <row r="85">
      <c r="A85" s="31"/>
    </row>
    <row r="86">
      <c r="A86" s="31"/>
    </row>
    <row r="87">
      <c r="A87" s="31"/>
    </row>
    <row r="88">
      <c r="A88" s="31"/>
    </row>
    <row r="89">
      <c r="A89" s="31"/>
    </row>
    <row r="90">
      <c r="A90" s="31"/>
    </row>
    <row r="91">
      <c r="A91" s="31"/>
    </row>
    <row r="92">
      <c r="A92" s="31"/>
    </row>
    <row r="93">
      <c r="A93" s="31"/>
    </row>
    <row r="94">
      <c r="A94" s="31"/>
    </row>
    <row r="95">
      <c r="A95" s="31"/>
    </row>
    <row r="96">
      <c r="A96" s="31"/>
    </row>
    <row r="97">
      <c r="A97" s="31"/>
    </row>
    <row r="98">
      <c r="A98" s="31"/>
    </row>
    <row r="99">
      <c r="A99" s="31"/>
    </row>
    <row r="100">
      <c r="A100" s="31"/>
    </row>
    <row r="101">
      <c r="A101" s="31"/>
    </row>
    <row r="102">
      <c r="A102" s="31"/>
    </row>
    <row r="103">
      <c r="A103" s="31"/>
    </row>
    <row r="104">
      <c r="A104" s="31"/>
    </row>
    <row r="105">
      <c r="A105" s="31"/>
    </row>
    <row r="106">
      <c r="A106" s="31"/>
    </row>
    <row r="107">
      <c r="A107" s="31"/>
    </row>
    <row r="108">
      <c r="A108" s="31"/>
    </row>
    <row r="109">
      <c r="A109" s="31"/>
    </row>
    <row r="110">
      <c r="A110" s="31"/>
    </row>
    <row r="111">
      <c r="A111" s="31"/>
    </row>
    <row r="112">
      <c r="A112" s="31"/>
    </row>
    <row r="113">
      <c r="A113" s="31"/>
    </row>
    <row r="114">
      <c r="A114" s="31"/>
    </row>
    <row r="115">
      <c r="A115" s="31"/>
    </row>
    <row r="116">
      <c r="A116" s="31"/>
    </row>
    <row r="117">
      <c r="A117" s="31"/>
    </row>
    <row r="118">
      <c r="A118" s="31"/>
    </row>
    <row r="119">
      <c r="A119" s="31"/>
    </row>
    <row r="120">
      <c r="A120" s="31"/>
    </row>
    <row r="121">
      <c r="A121" s="31"/>
    </row>
    <row r="122">
      <c r="A122" s="31"/>
    </row>
    <row r="123">
      <c r="A123" s="31"/>
    </row>
    <row r="124">
      <c r="A124" s="31"/>
    </row>
    <row r="125">
      <c r="A125" s="31"/>
    </row>
    <row r="126">
      <c r="A126" s="31"/>
    </row>
    <row r="127">
      <c r="A127" s="31"/>
    </row>
    <row r="128">
      <c r="A128" s="31"/>
    </row>
    <row r="129">
      <c r="A129" s="31"/>
    </row>
    <row r="130">
      <c r="A130" s="31"/>
    </row>
    <row r="131">
      <c r="A131" s="31"/>
    </row>
    <row r="132">
      <c r="A132" s="31"/>
    </row>
    <row r="133">
      <c r="A133" s="31"/>
    </row>
    <row r="134">
      <c r="A134" s="31"/>
    </row>
    <row r="135">
      <c r="A135" s="31"/>
    </row>
    <row r="136">
      <c r="A136" s="31"/>
    </row>
    <row r="137">
      <c r="A137" s="31"/>
    </row>
    <row r="138">
      <c r="A138" s="31"/>
    </row>
    <row r="139">
      <c r="A139" s="31"/>
    </row>
    <row r="140">
      <c r="A140" s="31"/>
    </row>
    <row r="141">
      <c r="A141" s="31"/>
    </row>
    <row r="142">
      <c r="A142" s="31"/>
    </row>
    <row r="143">
      <c r="A143" s="31"/>
    </row>
    <row r="144">
      <c r="A144" s="31"/>
    </row>
    <row r="145">
      <c r="A145" s="31"/>
    </row>
    <row r="146">
      <c r="A146" s="31"/>
    </row>
    <row r="147">
      <c r="A147" s="31"/>
    </row>
    <row r="148">
      <c r="A148" s="31"/>
    </row>
    <row r="149">
      <c r="A149" s="31"/>
    </row>
    <row r="150">
      <c r="A150" s="31"/>
    </row>
    <row r="151">
      <c r="A151" s="31"/>
    </row>
    <row r="152">
      <c r="A152" s="31"/>
    </row>
    <row r="153">
      <c r="A153" s="31"/>
    </row>
    <row r="154">
      <c r="A154" s="31"/>
    </row>
    <row r="155">
      <c r="A155" s="31"/>
    </row>
    <row r="156">
      <c r="A156" s="31"/>
    </row>
    <row r="157">
      <c r="A157" s="31"/>
    </row>
    <row r="158">
      <c r="A158" s="31"/>
    </row>
    <row r="159">
      <c r="A159" s="31"/>
    </row>
    <row r="160">
      <c r="A160" s="31"/>
    </row>
    <row r="161">
      <c r="A161" s="31"/>
    </row>
    <row r="162">
      <c r="A162" s="31"/>
    </row>
    <row r="163">
      <c r="A163" s="31"/>
    </row>
    <row r="164">
      <c r="A164" s="31"/>
    </row>
    <row r="165">
      <c r="A165" s="31"/>
    </row>
    <row r="166">
      <c r="A166" s="31"/>
    </row>
    <row r="167">
      <c r="A167" s="31"/>
    </row>
    <row r="168">
      <c r="A168" s="31"/>
    </row>
    <row r="169">
      <c r="A169" s="31"/>
    </row>
    <row r="170">
      <c r="A170" s="31"/>
    </row>
    <row r="171">
      <c r="A171" s="31"/>
    </row>
    <row r="172">
      <c r="A172" s="31"/>
    </row>
    <row r="173">
      <c r="A173" s="31"/>
    </row>
    <row r="174">
      <c r="A174" s="31"/>
    </row>
    <row r="175">
      <c r="A175" s="31"/>
    </row>
    <row r="176">
      <c r="A176" s="31"/>
    </row>
    <row r="177">
      <c r="A177" s="31"/>
    </row>
    <row r="178">
      <c r="A178" s="31"/>
    </row>
    <row r="179">
      <c r="A179" s="31"/>
    </row>
    <row r="180">
      <c r="A180" s="31"/>
    </row>
    <row r="181">
      <c r="A181" s="31"/>
    </row>
    <row r="182">
      <c r="A182" s="31"/>
    </row>
    <row r="183">
      <c r="A183" s="31"/>
    </row>
    <row r="184">
      <c r="A184" s="31"/>
    </row>
    <row r="185">
      <c r="A185" s="31"/>
    </row>
    <row r="186">
      <c r="A186" s="31"/>
    </row>
    <row r="187">
      <c r="A187" s="31"/>
    </row>
    <row r="188">
      <c r="A188" s="31"/>
    </row>
    <row r="189">
      <c r="A189" s="31"/>
    </row>
    <row r="190">
      <c r="A190" s="31"/>
    </row>
    <row r="191">
      <c r="A191" s="31"/>
    </row>
    <row r="192">
      <c r="A192" s="31"/>
    </row>
    <row r="193">
      <c r="A193" s="31"/>
    </row>
    <row r="194">
      <c r="A194" s="31"/>
    </row>
    <row r="195">
      <c r="A195" s="31"/>
    </row>
    <row r="196">
      <c r="A196" s="31"/>
    </row>
    <row r="197">
      <c r="A197" s="31"/>
    </row>
    <row r="198">
      <c r="A198" s="31"/>
    </row>
    <row r="199">
      <c r="A199" s="31"/>
    </row>
    <row r="200">
      <c r="A200" s="31"/>
    </row>
    <row r="201">
      <c r="A201" s="31"/>
    </row>
    <row r="202">
      <c r="A202" s="31"/>
    </row>
    <row r="203">
      <c r="A203" s="31"/>
    </row>
    <row r="204">
      <c r="A204" s="31"/>
    </row>
    <row r="205">
      <c r="A205" s="31"/>
    </row>
    <row r="206">
      <c r="A206" s="31"/>
    </row>
    <row r="207">
      <c r="A207" s="31"/>
    </row>
    <row r="208">
      <c r="A208" s="31"/>
    </row>
    <row r="209">
      <c r="A209" s="31"/>
    </row>
    <row r="210">
      <c r="A210" s="31"/>
    </row>
    <row r="211">
      <c r="A211" s="31"/>
    </row>
    <row r="212">
      <c r="A212" s="31"/>
    </row>
    <row r="213">
      <c r="A213" s="31"/>
    </row>
    <row r="214">
      <c r="A214" s="31"/>
    </row>
    <row r="215">
      <c r="A215" s="31"/>
    </row>
    <row r="216">
      <c r="A216" s="31"/>
    </row>
    <row r="217">
      <c r="A217" s="31"/>
    </row>
    <row r="218">
      <c r="A218" s="31"/>
    </row>
    <row r="219">
      <c r="A219" s="31"/>
    </row>
    <row r="220">
      <c r="A220" s="31"/>
    </row>
    <row r="221">
      <c r="A221" s="31"/>
    </row>
    <row r="222">
      <c r="A222" s="31"/>
    </row>
    <row r="223">
      <c r="A223" s="31"/>
    </row>
    <row r="224">
      <c r="A224" s="31"/>
    </row>
    <row r="225">
      <c r="A225" s="31"/>
    </row>
    <row r="226">
      <c r="A226" s="31"/>
    </row>
    <row r="227">
      <c r="A227" s="31"/>
    </row>
    <row r="228">
      <c r="A228" s="31"/>
    </row>
    <row r="229">
      <c r="A229" s="31"/>
    </row>
    <row r="230">
      <c r="A230" s="31"/>
    </row>
    <row r="231">
      <c r="A231" s="31"/>
    </row>
    <row r="232">
      <c r="A232" s="31"/>
    </row>
    <row r="233">
      <c r="A233" s="31"/>
    </row>
    <row r="234">
      <c r="A234" s="31"/>
    </row>
    <row r="235">
      <c r="A235" s="31"/>
    </row>
    <row r="236">
      <c r="A236" s="31"/>
    </row>
    <row r="237">
      <c r="A237" s="31"/>
    </row>
    <row r="238">
      <c r="A238" s="31"/>
    </row>
    <row r="239">
      <c r="A239" s="31"/>
    </row>
    <row r="240">
      <c r="A240" s="31"/>
    </row>
    <row r="241">
      <c r="A241" s="31"/>
    </row>
    <row r="242">
      <c r="A242" s="31"/>
    </row>
    <row r="243">
      <c r="A243" s="31"/>
    </row>
    <row r="244">
      <c r="A244" s="31"/>
    </row>
    <row r="245">
      <c r="A245" s="31"/>
    </row>
    <row r="246">
      <c r="A246" s="31"/>
    </row>
    <row r="247">
      <c r="A247" s="31"/>
    </row>
    <row r="248">
      <c r="A248" s="31"/>
    </row>
    <row r="249">
      <c r="A249" s="31"/>
    </row>
    <row r="250">
      <c r="A250" s="31"/>
    </row>
    <row r="251">
      <c r="A251" s="31"/>
    </row>
    <row r="252">
      <c r="A252" s="31"/>
    </row>
    <row r="253">
      <c r="A253" s="31"/>
    </row>
    <row r="254">
      <c r="A254" s="31"/>
    </row>
    <row r="255">
      <c r="A255" s="31"/>
    </row>
    <row r="256">
      <c r="A256" s="31"/>
    </row>
    <row r="257">
      <c r="A257" s="31"/>
    </row>
    <row r="258">
      <c r="A258" s="31"/>
    </row>
    <row r="259">
      <c r="A259" s="31"/>
    </row>
    <row r="260">
      <c r="A260" s="31"/>
    </row>
    <row r="261">
      <c r="A261" s="31"/>
    </row>
    <row r="262">
      <c r="A262" s="31"/>
    </row>
    <row r="263">
      <c r="A263" s="31"/>
    </row>
    <row r="264">
      <c r="A264" s="31"/>
    </row>
    <row r="265">
      <c r="A265" s="31"/>
    </row>
    <row r="266">
      <c r="A266" s="31"/>
    </row>
    <row r="267">
      <c r="A267" s="31"/>
    </row>
    <row r="268">
      <c r="A268" s="31"/>
    </row>
    <row r="269">
      <c r="A269" s="31"/>
    </row>
    <row r="270">
      <c r="A270" s="31"/>
    </row>
    <row r="271">
      <c r="A271" s="31"/>
    </row>
    <row r="272">
      <c r="A272" s="31"/>
    </row>
    <row r="273">
      <c r="A273" s="31"/>
    </row>
    <row r="274">
      <c r="A274" s="31"/>
    </row>
    <row r="275">
      <c r="A275" s="31"/>
    </row>
    <row r="276">
      <c r="A276" s="31"/>
    </row>
    <row r="277">
      <c r="A277" s="31"/>
    </row>
    <row r="278">
      <c r="A278" s="31"/>
    </row>
    <row r="279">
      <c r="A279" s="31"/>
    </row>
    <row r="280">
      <c r="A280" s="31"/>
    </row>
    <row r="281">
      <c r="A281" s="31"/>
    </row>
    <row r="282">
      <c r="A282" s="31"/>
    </row>
    <row r="283">
      <c r="A283" s="31"/>
    </row>
    <row r="284">
      <c r="A284" s="31"/>
    </row>
    <row r="285">
      <c r="A285" s="31"/>
    </row>
    <row r="286">
      <c r="A286" s="31"/>
    </row>
    <row r="287">
      <c r="A287" s="31"/>
    </row>
    <row r="288">
      <c r="A288" s="31"/>
    </row>
    <row r="289">
      <c r="A289" s="31"/>
    </row>
    <row r="290">
      <c r="A290" s="31"/>
    </row>
    <row r="291">
      <c r="A291" s="31"/>
    </row>
    <row r="292">
      <c r="A292" s="31"/>
    </row>
    <row r="293">
      <c r="A293" s="31"/>
    </row>
    <row r="294">
      <c r="A294" s="31"/>
    </row>
    <row r="295">
      <c r="A295" s="31"/>
    </row>
    <row r="296">
      <c r="A296" s="31"/>
    </row>
    <row r="297">
      <c r="A297" s="31"/>
    </row>
    <row r="298">
      <c r="A298" s="31"/>
    </row>
    <row r="299">
      <c r="A299" s="31"/>
    </row>
    <row r="300">
      <c r="A300" s="31"/>
    </row>
    <row r="301">
      <c r="A301" s="31"/>
    </row>
    <row r="302">
      <c r="A302" s="31"/>
    </row>
    <row r="303">
      <c r="A303" s="31"/>
    </row>
    <row r="304">
      <c r="A304" s="31"/>
    </row>
    <row r="305">
      <c r="A305" s="31"/>
    </row>
    <row r="306">
      <c r="A306" s="31"/>
    </row>
    <row r="307">
      <c r="A307" s="31"/>
    </row>
    <row r="308">
      <c r="A308" s="31"/>
    </row>
    <row r="309">
      <c r="A309" s="31"/>
    </row>
    <row r="310">
      <c r="A310" s="31"/>
    </row>
    <row r="311">
      <c r="A311" s="31"/>
    </row>
    <row r="312">
      <c r="A312" s="31"/>
    </row>
    <row r="313">
      <c r="A313" s="31"/>
    </row>
    <row r="314">
      <c r="A314" s="31"/>
    </row>
    <row r="315">
      <c r="A315" s="31"/>
    </row>
    <row r="316">
      <c r="A316" s="31"/>
    </row>
    <row r="317">
      <c r="A317" s="31"/>
    </row>
    <row r="318">
      <c r="A318" s="31"/>
    </row>
    <row r="319">
      <c r="A319" s="31"/>
    </row>
    <row r="320">
      <c r="A320" s="31"/>
    </row>
    <row r="321">
      <c r="A321" s="31"/>
    </row>
    <row r="322">
      <c r="A322" s="31"/>
    </row>
    <row r="323">
      <c r="A323" s="31"/>
    </row>
    <row r="324">
      <c r="A324" s="31"/>
    </row>
    <row r="325">
      <c r="A325" s="31"/>
    </row>
    <row r="326">
      <c r="A326" s="31"/>
    </row>
    <row r="327">
      <c r="A327" s="31"/>
    </row>
    <row r="328">
      <c r="A328" s="31"/>
    </row>
    <row r="329">
      <c r="A329" s="31"/>
    </row>
    <row r="330">
      <c r="A330" s="31"/>
    </row>
    <row r="331">
      <c r="A331" s="31"/>
    </row>
    <row r="332">
      <c r="A332" s="31"/>
    </row>
    <row r="333">
      <c r="A333" s="31"/>
    </row>
    <row r="334">
      <c r="A334" s="31"/>
    </row>
    <row r="335">
      <c r="A335" s="31"/>
    </row>
    <row r="336">
      <c r="A336" s="31"/>
    </row>
    <row r="337">
      <c r="A337" s="31"/>
    </row>
    <row r="338">
      <c r="A338" s="31"/>
    </row>
    <row r="339">
      <c r="A339" s="31"/>
    </row>
    <row r="340">
      <c r="A340" s="31"/>
    </row>
    <row r="341">
      <c r="A341" s="31"/>
    </row>
    <row r="342">
      <c r="A342" s="31"/>
    </row>
    <row r="343">
      <c r="A343" s="31"/>
    </row>
    <row r="344">
      <c r="A344" s="31"/>
    </row>
    <row r="345">
      <c r="A345" s="31"/>
    </row>
    <row r="346">
      <c r="A346" s="31"/>
    </row>
    <row r="347">
      <c r="A347" s="31"/>
    </row>
    <row r="348">
      <c r="A348" s="31"/>
    </row>
    <row r="349">
      <c r="A349" s="31"/>
    </row>
    <row r="350">
      <c r="A350" s="31"/>
    </row>
    <row r="351">
      <c r="A351" s="31"/>
    </row>
    <row r="352">
      <c r="A352" s="31"/>
    </row>
    <row r="353">
      <c r="A353" s="31"/>
    </row>
    <row r="354">
      <c r="A354" s="31"/>
    </row>
    <row r="355">
      <c r="A355" s="31"/>
    </row>
    <row r="356">
      <c r="A356" s="31"/>
    </row>
    <row r="357">
      <c r="A357" s="31"/>
    </row>
    <row r="358">
      <c r="A358" s="31"/>
    </row>
    <row r="359">
      <c r="A359" s="31"/>
    </row>
    <row r="360">
      <c r="A360" s="31"/>
    </row>
    <row r="361">
      <c r="A361" s="31"/>
    </row>
    <row r="362">
      <c r="A362" s="31"/>
    </row>
    <row r="363">
      <c r="A363" s="31"/>
    </row>
    <row r="364">
      <c r="A364" s="31"/>
    </row>
    <row r="365">
      <c r="A365" s="31"/>
    </row>
    <row r="366">
      <c r="A366" s="31"/>
    </row>
    <row r="367">
      <c r="A367" s="31"/>
    </row>
    <row r="368">
      <c r="A368" s="31"/>
    </row>
    <row r="369">
      <c r="A369" s="31"/>
    </row>
    <row r="370">
      <c r="A370" s="31"/>
    </row>
    <row r="371">
      <c r="A371" s="31"/>
    </row>
    <row r="372">
      <c r="A372" s="31"/>
    </row>
    <row r="373">
      <c r="A373" s="31"/>
    </row>
    <row r="374">
      <c r="A374" s="31"/>
    </row>
    <row r="375">
      <c r="A375" s="31"/>
    </row>
    <row r="376">
      <c r="A376" s="31"/>
    </row>
    <row r="377">
      <c r="A377" s="31"/>
    </row>
    <row r="378">
      <c r="A378" s="31"/>
    </row>
    <row r="379">
      <c r="A379" s="31"/>
    </row>
    <row r="380">
      <c r="A380" s="31"/>
    </row>
    <row r="381">
      <c r="A381" s="31"/>
    </row>
    <row r="382">
      <c r="A382" s="31"/>
    </row>
    <row r="383">
      <c r="A383" s="31"/>
    </row>
    <row r="384">
      <c r="A384" s="31"/>
    </row>
    <row r="385">
      <c r="A385" s="31"/>
    </row>
    <row r="386">
      <c r="A386" s="31"/>
    </row>
    <row r="387">
      <c r="A387" s="31"/>
    </row>
    <row r="388">
      <c r="A388" s="31"/>
    </row>
    <row r="389">
      <c r="A389" s="31"/>
    </row>
    <row r="390">
      <c r="A390" s="31"/>
    </row>
    <row r="391">
      <c r="A391" s="31"/>
    </row>
    <row r="392">
      <c r="A392" s="31"/>
    </row>
    <row r="393">
      <c r="A393" s="31"/>
    </row>
    <row r="394">
      <c r="A394" s="31"/>
    </row>
    <row r="395">
      <c r="A395" s="31"/>
    </row>
    <row r="396">
      <c r="A396" s="31"/>
    </row>
    <row r="397">
      <c r="A397" s="31"/>
    </row>
    <row r="398">
      <c r="A398" s="31"/>
    </row>
    <row r="399">
      <c r="A399" s="31"/>
    </row>
    <row r="400">
      <c r="A400" s="31"/>
    </row>
    <row r="401">
      <c r="A401" s="31"/>
    </row>
    <row r="402">
      <c r="A402" s="31"/>
    </row>
    <row r="403">
      <c r="A403" s="31"/>
    </row>
    <row r="404">
      <c r="A404" s="31"/>
    </row>
    <row r="405">
      <c r="A405" s="31"/>
    </row>
    <row r="406">
      <c r="A406" s="31"/>
    </row>
    <row r="407">
      <c r="A407" s="31"/>
    </row>
    <row r="408">
      <c r="A408" s="31"/>
    </row>
    <row r="409">
      <c r="A409" s="31"/>
    </row>
    <row r="410">
      <c r="A410" s="31"/>
    </row>
    <row r="411">
      <c r="A411" s="31"/>
    </row>
    <row r="412">
      <c r="A412" s="31"/>
    </row>
    <row r="413">
      <c r="A413" s="31"/>
    </row>
    <row r="414">
      <c r="A414" s="31"/>
    </row>
    <row r="415">
      <c r="A415" s="31"/>
    </row>
    <row r="416">
      <c r="A416" s="31"/>
    </row>
    <row r="417">
      <c r="A417" s="31"/>
    </row>
    <row r="418">
      <c r="A418" s="31"/>
    </row>
    <row r="419">
      <c r="A419" s="31"/>
    </row>
    <row r="420">
      <c r="A420" s="31"/>
    </row>
    <row r="421">
      <c r="A421" s="31"/>
    </row>
    <row r="422">
      <c r="A422" s="31"/>
    </row>
    <row r="423">
      <c r="A423" s="31"/>
    </row>
    <row r="424">
      <c r="A424" s="31"/>
    </row>
    <row r="425">
      <c r="A425" s="31"/>
    </row>
    <row r="426">
      <c r="A426" s="31"/>
    </row>
    <row r="427">
      <c r="A427" s="31"/>
    </row>
    <row r="428">
      <c r="A428" s="31"/>
    </row>
    <row r="429">
      <c r="A429" s="31"/>
    </row>
    <row r="430">
      <c r="A430" s="31"/>
    </row>
    <row r="431">
      <c r="A431" s="31"/>
    </row>
    <row r="432">
      <c r="A432" s="31"/>
    </row>
    <row r="433">
      <c r="A433" s="31"/>
    </row>
    <row r="434">
      <c r="A434" s="31"/>
    </row>
    <row r="435">
      <c r="A435" s="31"/>
    </row>
    <row r="436">
      <c r="A436" s="31"/>
    </row>
    <row r="437">
      <c r="A437" s="31"/>
    </row>
    <row r="438">
      <c r="A438" s="31"/>
    </row>
    <row r="439">
      <c r="A439" s="31"/>
    </row>
    <row r="440">
      <c r="A440" s="31"/>
    </row>
    <row r="441">
      <c r="A441" s="31"/>
    </row>
    <row r="442">
      <c r="A442" s="31"/>
    </row>
    <row r="443">
      <c r="A443" s="31"/>
    </row>
    <row r="444">
      <c r="A444" s="31"/>
    </row>
    <row r="445">
      <c r="A445" s="31"/>
    </row>
    <row r="446">
      <c r="A446" s="31"/>
    </row>
    <row r="447">
      <c r="A447" s="31"/>
    </row>
    <row r="448">
      <c r="A448" s="31"/>
    </row>
    <row r="449">
      <c r="A449" s="31"/>
    </row>
    <row r="450">
      <c r="A450" s="31"/>
    </row>
    <row r="451">
      <c r="A451" s="31"/>
    </row>
    <row r="452">
      <c r="A452" s="31"/>
    </row>
    <row r="453">
      <c r="A453" s="31"/>
    </row>
    <row r="454">
      <c r="A454" s="31"/>
    </row>
    <row r="455">
      <c r="A455" s="31"/>
    </row>
    <row r="456">
      <c r="A456" s="31"/>
    </row>
    <row r="457">
      <c r="A457" s="31"/>
    </row>
    <row r="458">
      <c r="A458" s="31"/>
    </row>
    <row r="459">
      <c r="A459" s="31"/>
    </row>
    <row r="460">
      <c r="A460" s="31"/>
    </row>
    <row r="461">
      <c r="A461" s="31"/>
    </row>
    <row r="462">
      <c r="A462" s="31"/>
    </row>
    <row r="463">
      <c r="A463" s="31"/>
    </row>
    <row r="464">
      <c r="A464" s="31"/>
    </row>
    <row r="465">
      <c r="A465" s="31"/>
    </row>
    <row r="466">
      <c r="A466" s="31"/>
    </row>
    <row r="467">
      <c r="A467" s="31"/>
    </row>
    <row r="468">
      <c r="A468" s="31"/>
    </row>
    <row r="469">
      <c r="A469" s="31"/>
    </row>
    <row r="470">
      <c r="A470" s="31"/>
    </row>
    <row r="471">
      <c r="A471" s="31"/>
    </row>
    <row r="472">
      <c r="A472" s="31"/>
    </row>
    <row r="473">
      <c r="A473" s="31"/>
    </row>
    <row r="474">
      <c r="A474" s="31"/>
    </row>
    <row r="475">
      <c r="A475" s="31"/>
    </row>
    <row r="476">
      <c r="A476" s="31"/>
    </row>
    <row r="477">
      <c r="A477" s="31"/>
    </row>
    <row r="478">
      <c r="A478" s="31"/>
    </row>
    <row r="479">
      <c r="A479" s="31"/>
    </row>
    <row r="480">
      <c r="A480" s="31"/>
    </row>
    <row r="481">
      <c r="A481" s="31"/>
    </row>
    <row r="482">
      <c r="A482" s="31"/>
    </row>
    <row r="483">
      <c r="A483" s="31"/>
    </row>
    <row r="484">
      <c r="A484" s="31"/>
    </row>
    <row r="485">
      <c r="A485" s="31"/>
    </row>
    <row r="486">
      <c r="A486" s="31"/>
    </row>
    <row r="487">
      <c r="A487" s="31"/>
    </row>
    <row r="488">
      <c r="A488" s="31"/>
    </row>
    <row r="489">
      <c r="A489" s="31"/>
    </row>
    <row r="490">
      <c r="A490" s="31"/>
    </row>
    <row r="491">
      <c r="A491" s="31"/>
    </row>
    <row r="492">
      <c r="A492" s="31"/>
    </row>
    <row r="493">
      <c r="A493" s="31"/>
    </row>
    <row r="494">
      <c r="A494" s="31"/>
    </row>
    <row r="495">
      <c r="A495" s="31"/>
    </row>
    <row r="496">
      <c r="A496" s="31"/>
    </row>
    <row r="497">
      <c r="A497" s="31"/>
    </row>
    <row r="498">
      <c r="A498" s="31"/>
    </row>
    <row r="499">
      <c r="A499" s="31"/>
    </row>
    <row r="500">
      <c r="A500" s="31"/>
    </row>
    <row r="501">
      <c r="A501" s="31"/>
    </row>
    <row r="502">
      <c r="A502" s="31"/>
    </row>
    <row r="503">
      <c r="A503" s="31"/>
    </row>
    <row r="504">
      <c r="A504" s="31"/>
    </row>
    <row r="505">
      <c r="A505" s="31"/>
    </row>
    <row r="506">
      <c r="A506" s="31"/>
    </row>
    <row r="507">
      <c r="A507" s="31"/>
    </row>
    <row r="508">
      <c r="A508" s="31"/>
    </row>
    <row r="509">
      <c r="A509" s="31"/>
    </row>
    <row r="510">
      <c r="A510" s="31"/>
    </row>
    <row r="511">
      <c r="A511" s="31"/>
    </row>
    <row r="512">
      <c r="A512" s="31"/>
    </row>
    <row r="513">
      <c r="A513" s="31"/>
    </row>
    <row r="514">
      <c r="A514" s="31"/>
    </row>
    <row r="515">
      <c r="A515" s="31"/>
    </row>
    <row r="516">
      <c r="A516" s="31"/>
    </row>
    <row r="517">
      <c r="A517" s="31"/>
    </row>
    <row r="518">
      <c r="A518" s="31"/>
    </row>
    <row r="519">
      <c r="A519" s="31"/>
    </row>
    <row r="520">
      <c r="A520" s="31"/>
    </row>
    <row r="521">
      <c r="A521" s="31"/>
    </row>
    <row r="522">
      <c r="A522" s="31"/>
    </row>
    <row r="523">
      <c r="A523" s="31"/>
    </row>
    <row r="524">
      <c r="A524" s="31"/>
    </row>
    <row r="525">
      <c r="A525" s="31"/>
    </row>
    <row r="526">
      <c r="A526" s="31"/>
    </row>
    <row r="527">
      <c r="A527" s="31"/>
    </row>
    <row r="528">
      <c r="A528" s="31"/>
    </row>
    <row r="529">
      <c r="A529" s="31"/>
    </row>
    <row r="530">
      <c r="A530" s="31"/>
    </row>
    <row r="531">
      <c r="A531" s="31"/>
    </row>
    <row r="532">
      <c r="A532" s="31"/>
    </row>
    <row r="533">
      <c r="A533" s="31"/>
    </row>
    <row r="534">
      <c r="A534" s="31"/>
    </row>
    <row r="535">
      <c r="A535" s="31"/>
    </row>
    <row r="536">
      <c r="A536" s="31"/>
    </row>
    <row r="537">
      <c r="A537" s="31"/>
    </row>
    <row r="538">
      <c r="A538" s="31"/>
    </row>
    <row r="539">
      <c r="A539" s="31"/>
    </row>
    <row r="540">
      <c r="A540" s="31"/>
    </row>
    <row r="541">
      <c r="A541" s="31"/>
    </row>
    <row r="542">
      <c r="A542" s="31"/>
    </row>
    <row r="543">
      <c r="A543" s="31"/>
    </row>
    <row r="544">
      <c r="A544" s="31"/>
    </row>
    <row r="545">
      <c r="A545" s="31"/>
    </row>
    <row r="546">
      <c r="A546" s="31"/>
    </row>
    <row r="547">
      <c r="A547" s="31"/>
    </row>
    <row r="548">
      <c r="A548" s="31"/>
    </row>
    <row r="549">
      <c r="A549" s="31"/>
    </row>
    <row r="550">
      <c r="A550" s="31"/>
    </row>
    <row r="551">
      <c r="A551" s="31"/>
    </row>
    <row r="552">
      <c r="A552" s="31"/>
    </row>
    <row r="553">
      <c r="A553" s="31"/>
    </row>
    <row r="554">
      <c r="A554" s="31"/>
    </row>
    <row r="555">
      <c r="A555" s="31"/>
    </row>
    <row r="556">
      <c r="A556" s="31"/>
    </row>
    <row r="557">
      <c r="A557" s="31"/>
    </row>
    <row r="558">
      <c r="A558" s="31"/>
    </row>
    <row r="559">
      <c r="A559" s="31"/>
    </row>
    <row r="560">
      <c r="A560" s="31"/>
    </row>
    <row r="561">
      <c r="A561" s="31"/>
    </row>
    <row r="562">
      <c r="A562" s="31"/>
    </row>
    <row r="563">
      <c r="A563" s="31"/>
    </row>
    <row r="564">
      <c r="A564" s="31"/>
    </row>
    <row r="565">
      <c r="A565" s="31"/>
    </row>
    <row r="566">
      <c r="A566" s="31"/>
    </row>
    <row r="567">
      <c r="A567" s="31"/>
    </row>
    <row r="568">
      <c r="A568" s="31"/>
    </row>
    <row r="569">
      <c r="A569" s="31"/>
    </row>
    <row r="570">
      <c r="A570" s="31"/>
    </row>
    <row r="571">
      <c r="A571" s="31"/>
    </row>
    <row r="572">
      <c r="A572" s="31"/>
    </row>
    <row r="573">
      <c r="A573" s="31"/>
    </row>
    <row r="574">
      <c r="A574" s="31"/>
    </row>
    <row r="575">
      <c r="A575" s="31"/>
    </row>
    <row r="576">
      <c r="A576" s="31"/>
    </row>
    <row r="577">
      <c r="A577" s="31"/>
    </row>
    <row r="578">
      <c r="A578" s="31"/>
    </row>
    <row r="579">
      <c r="A579" s="31"/>
    </row>
    <row r="580">
      <c r="A580" s="31"/>
    </row>
    <row r="581">
      <c r="A581" s="31"/>
    </row>
    <row r="582">
      <c r="A582" s="31"/>
    </row>
    <row r="583">
      <c r="A583" s="31"/>
    </row>
    <row r="584">
      <c r="A584" s="31"/>
    </row>
    <row r="585">
      <c r="A585" s="31"/>
    </row>
    <row r="586">
      <c r="A586" s="31"/>
    </row>
    <row r="587">
      <c r="A587" s="31"/>
    </row>
    <row r="588">
      <c r="A588" s="31"/>
    </row>
    <row r="589">
      <c r="A589" s="31"/>
    </row>
    <row r="590">
      <c r="A590" s="31"/>
    </row>
    <row r="591">
      <c r="A591" s="31"/>
    </row>
    <row r="592">
      <c r="A592" s="31"/>
    </row>
    <row r="593">
      <c r="A593" s="31"/>
    </row>
    <row r="594">
      <c r="A594" s="31"/>
    </row>
    <row r="595">
      <c r="A595" s="31"/>
    </row>
    <row r="596">
      <c r="A596" s="31"/>
    </row>
    <row r="597">
      <c r="A597" s="31"/>
    </row>
    <row r="598">
      <c r="A598" s="31"/>
    </row>
    <row r="599">
      <c r="A599" s="31"/>
    </row>
    <row r="600">
      <c r="A600" s="31"/>
    </row>
    <row r="601">
      <c r="A601" s="31"/>
    </row>
    <row r="602">
      <c r="A602" s="31"/>
    </row>
    <row r="603">
      <c r="A603" s="31"/>
    </row>
    <row r="604">
      <c r="A604" s="31"/>
    </row>
    <row r="605">
      <c r="A605" s="31"/>
    </row>
    <row r="606">
      <c r="A606" s="31"/>
    </row>
    <row r="607">
      <c r="A607" s="31"/>
    </row>
    <row r="608">
      <c r="A608" s="31"/>
    </row>
    <row r="609">
      <c r="A609" s="31"/>
    </row>
    <row r="610">
      <c r="A610" s="31"/>
    </row>
    <row r="611">
      <c r="A611" s="31"/>
    </row>
    <row r="612">
      <c r="A612" s="31"/>
    </row>
    <row r="613">
      <c r="A613" s="31"/>
    </row>
    <row r="614">
      <c r="A614" s="31"/>
    </row>
    <row r="615">
      <c r="A615" s="31"/>
    </row>
    <row r="616">
      <c r="A616" s="31"/>
    </row>
    <row r="617">
      <c r="A617" s="31"/>
    </row>
    <row r="618">
      <c r="A618" s="31"/>
    </row>
    <row r="619">
      <c r="A619" s="31"/>
    </row>
    <row r="620">
      <c r="A620" s="31"/>
    </row>
    <row r="621">
      <c r="A621" s="31"/>
    </row>
    <row r="622">
      <c r="A622" s="31"/>
    </row>
    <row r="623">
      <c r="A623" s="31"/>
    </row>
    <row r="624">
      <c r="A624" s="31"/>
    </row>
    <row r="625">
      <c r="A625" s="31"/>
    </row>
    <row r="626">
      <c r="A626" s="31"/>
    </row>
    <row r="627">
      <c r="A627" s="31"/>
    </row>
    <row r="628">
      <c r="A628" s="31"/>
    </row>
    <row r="629">
      <c r="A629" s="31"/>
    </row>
    <row r="630">
      <c r="A630" s="31"/>
    </row>
    <row r="631">
      <c r="A631" s="31"/>
    </row>
    <row r="632">
      <c r="A632" s="31"/>
    </row>
    <row r="633">
      <c r="A633" s="31"/>
    </row>
    <row r="634">
      <c r="A634" s="31"/>
    </row>
    <row r="635">
      <c r="A635" s="31"/>
    </row>
    <row r="636">
      <c r="A636" s="31"/>
    </row>
    <row r="637">
      <c r="A637" s="31"/>
    </row>
    <row r="638">
      <c r="A638" s="31"/>
    </row>
    <row r="639">
      <c r="A639" s="31"/>
    </row>
    <row r="640">
      <c r="A640" s="31"/>
    </row>
    <row r="641">
      <c r="A641" s="31"/>
    </row>
    <row r="642">
      <c r="A642" s="31"/>
    </row>
    <row r="643">
      <c r="A643" s="31"/>
    </row>
    <row r="644">
      <c r="A644" s="31"/>
    </row>
    <row r="645">
      <c r="A645" s="31"/>
    </row>
    <row r="646">
      <c r="A646" s="31"/>
    </row>
    <row r="647">
      <c r="A647" s="31"/>
    </row>
    <row r="648">
      <c r="A648" s="31"/>
    </row>
    <row r="649">
      <c r="A649" s="31"/>
    </row>
    <row r="650">
      <c r="A650" s="31"/>
    </row>
    <row r="651">
      <c r="A651" s="31"/>
    </row>
    <row r="652">
      <c r="A652" s="31"/>
    </row>
    <row r="653">
      <c r="A653" s="31"/>
    </row>
    <row r="654">
      <c r="A654" s="31"/>
    </row>
    <row r="655">
      <c r="A655" s="31"/>
    </row>
    <row r="656">
      <c r="A656" s="31"/>
    </row>
    <row r="657">
      <c r="A657" s="31"/>
    </row>
    <row r="658">
      <c r="A658" s="31"/>
    </row>
    <row r="659">
      <c r="A659" s="31"/>
    </row>
    <row r="660">
      <c r="A660" s="31"/>
    </row>
    <row r="661">
      <c r="A661" s="31"/>
    </row>
    <row r="662">
      <c r="A662" s="31"/>
    </row>
    <row r="663">
      <c r="A663" s="31"/>
    </row>
    <row r="664">
      <c r="A664" s="31"/>
    </row>
    <row r="665">
      <c r="A665" s="31"/>
    </row>
    <row r="666">
      <c r="A666" s="31"/>
    </row>
    <row r="667">
      <c r="A667" s="31"/>
    </row>
    <row r="668">
      <c r="A668" s="31"/>
    </row>
    <row r="669">
      <c r="A669" s="31"/>
    </row>
    <row r="670">
      <c r="A670" s="31"/>
    </row>
    <row r="671">
      <c r="A671" s="31"/>
    </row>
    <row r="672">
      <c r="A672" s="31"/>
    </row>
    <row r="673">
      <c r="A673" s="31"/>
    </row>
    <row r="674">
      <c r="A674" s="31"/>
    </row>
    <row r="675">
      <c r="A675" s="31"/>
    </row>
    <row r="676">
      <c r="A676" s="31"/>
    </row>
    <row r="677">
      <c r="A677" s="31"/>
    </row>
    <row r="678">
      <c r="A678" s="31"/>
    </row>
    <row r="679">
      <c r="A679" s="31"/>
    </row>
    <row r="680">
      <c r="A680" s="31"/>
    </row>
    <row r="681">
      <c r="A681" s="31"/>
    </row>
    <row r="682">
      <c r="A682" s="31"/>
    </row>
    <row r="683">
      <c r="A683" s="31"/>
    </row>
    <row r="684">
      <c r="A684" s="31"/>
    </row>
    <row r="685">
      <c r="A685" s="31"/>
    </row>
    <row r="686">
      <c r="A686" s="31"/>
    </row>
    <row r="687">
      <c r="A687" s="31"/>
    </row>
    <row r="688">
      <c r="A688" s="31"/>
    </row>
    <row r="689">
      <c r="A689" s="31"/>
    </row>
    <row r="690">
      <c r="A690" s="31"/>
    </row>
    <row r="691">
      <c r="A691" s="31"/>
    </row>
    <row r="692">
      <c r="A692" s="31"/>
    </row>
    <row r="693">
      <c r="A693" s="31"/>
    </row>
    <row r="694">
      <c r="A694" s="31"/>
    </row>
    <row r="695">
      <c r="A695" s="31"/>
    </row>
    <row r="696">
      <c r="A696" s="31"/>
    </row>
    <row r="697">
      <c r="A697" s="31"/>
    </row>
    <row r="698">
      <c r="A698" s="31"/>
    </row>
    <row r="699">
      <c r="A699" s="31"/>
    </row>
    <row r="700">
      <c r="A700" s="31"/>
    </row>
    <row r="701">
      <c r="A701" s="31"/>
    </row>
    <row r="702">
      <c r="A702" s="31"/>
    </row>
    <row r="703">
      <c r="A703" s="31"/>
    </row>
    <row r="704">
      <c r="A704" s="31"/>
    </row>
    <row r="705">
      <c r="A705" s="31"/>
    </row>
    <row r="706">
      <c r="A706" s="31"/>
    </row>
    <row r="707">
      <c r="A707" s="31"/>
    </row>
    <row r="708">
      <c r="A708" s="31"/>
    </row>
    <row r="709">
      <c r="A709" s="31"/>
    </row>
    <row r="710">
      <c r="A710" s="31"/>
    </row>
    <row r="711">
      <c r="A711" s="31"/>
    </row>
    <row r="712">
      <c r="A712" s="31"/>
    </row>
    <row r="713">
      <c r="A713" s="31"/>
    </row>
    <row r="714">
      <c r="A714" s="31"/>
    </row>
    <row r="715">
      <c r="A715" s="31"/>
    </row>
    <row r="716">
      <c r="A716" s="31"/>
    </row>
    <row r="717">
      <c r="A717" s="31"/>
    </row>
    <row r="718">
      <c r="A718" s="31"/>
    </row>
    <row r="719">
      <c r="A719" s="31"/>
    </row>
    <row r="720">
      <c r="A720" s="31"/>
    </row>
    <row r="721">
      <c r="A721" s="31"/>
    </row>
    <row r="722">
      <c r="A722" s="31"/>
    </row>
    <row r="723">
      <c r="A723" s="31"/>
    </row>
    <row r="724">
      <c r="A724" s="31"/>
    </row>
    <row r="725">
      <c r="A725" s="31"/>
    </row>
    <row r="726">
      <c r="A726" s="31"/>
    </row>
    <row r="727">
      <c r="A727" s="31"/>
    </row>
    <row r="728">
      <c r="A728" s="31"/>
    </row>
    <row r="729">
      <c r="A729" s="31"/>
    </row>
    <row r="730">
      <c r="A730" s="31"/>
    </row>
    <row r="731">
      <c r="A731" s="31"/>
    </row>
    <row r="732">
      <c r="A732" s="31"/>
    </row>
    <row r="733">
      <c r="A733" s="31"/>
    </row>
    <row r="734">
      <c r="A734" s="31"/>
    </row>
    <row r="735">
      <c r="A735" s="31"/>
    </row>
    <row r="736">
      <c r="A736" s="31"/>
    </row>
    <row r="737">
      <c r="A737" s="31"/>
    </row>
    <row r="738">
      <c r="A738" s="31"/>
    </row>
    <row r="739">
      <c r="A739" s="31"/>
    </row>
    <row r="740">
      <c r="A740" s="31"/>
    </row>
    <row r="741">
      <c r="A741" s="31"/>
    </row>
    <row r="742">
      <c r="A742" s="31"/>
    </row>
    <row r="743">
      <c r="A743" s="31"/>
    </row>
    <row r="744">
      <c r="A744" s="31"/>
    </row>
    <row r="745">
      <c r="A745" s="31"/>
    </row>
    <row r="746">
      <c r="A746" s="31"/>
    </row>
    <row r="747">
      <c r="A747" s="31"/>
    </row>
    <row r="748">
      <c r="A748" s="31"/>
    </row>
    <row r="749">
      <c r="A749" s="31"/>
    </row>
    <row r="750">
      <c r="A750" s="31"/>
    </row>
    <row r="751">
      <c r="A751" s="31"/>
    </row>
    <row r="752">
      <c r="A752" s="31"/>
    </row>
    <row r="753">
      <c r="A753" s="31"/>
    </row>
    <row r="754">
      <c r="A754" s="31"/>
    </row>
    <row r="755">
      <c r="A755" s="31"/>
    </row>
    <row r="756">
      <c r="A756" s="31"/>
    </row>
    <row r="757">
      <c r="A757" s="31"/>
    </row>
    <row r="758">
      <c r="A758" s="31"/>
    </row>
    <row r="759">
      <c r="A759" s="31"/>
    </row>
    <row r="760">
      <c r="A760" s="31"/>
    </row>
    <row r="761">
      <c r="A761" s="31"/>
    </row>
    <row r="762">
      <c r="A762" s="31"/>
    </row>
    <row r="763">
      <c r="A763" s="31"/>
    </row>
    <row r="764">
      <c r="A764" s="31"/>
    </row>
    <row r="765">
      <c r="A765" s="31"/>
    </row>
    <row r="766">
      <c r="A766" s="31"/>
    </row>
    <row r="767">
      <c r="A767" s="31"/>
    </row>
    <row r="768">
      <c r="A768" s="31"/>
    </row>
    <row r="769">
      <c r="A769" s="31"/>
    </row>
    <row r="770">
      <c r="A770" s="31"/>
    </row>
    <row r="771">
      <c r="A771" s="31"/>
    </row>
    <row r="772">
      <c r="A772" s="31"/>
    </row>
    <row r="773">
      <c r="A773" s="31"/>
    </row>
    <row r="774">
      <c r="A774" s="31"/>
    </row>
    <row r="775">
      <c r="A775" s="31"/>
    </row>
    <row r="776">
      <c r="A776" s="31"/>
    </row>
    <row r="777">
      <c r="A777" s="31"/>
    </row>
    <row r="778">
      <c r="A778" s="31"/>
    </row>
    <row r="779">
      <c r="A779" s="31"/>
    </row>
    <row r="780">
      <c r="A780" s="31"/>
    </row>
    <row r="781">
      <c r="A781" s="31"/>
    </row>
    <row r="782">
      <c r="A782" s="31"/>
    </row>
    <row r="783">
      <c r="A783" s="31"/>
    </row>
    <row r="784">
      <c r="A784" s="31"/>
    </row>
    <row r="785">
      <c r="A785" s="31"/>
    </row>
    <row r="786">
      <c r="A786" s="31"/>
    </row>
    <row r="787">
      <c r="A787" s="31"/>
    </row>
    <row r="788">
      <c r="A788" s="31"/>
    </row>
    <row r="789">
      <c r="A789" s="31"/>
    </row>
    <row r="790">
      <c r="A790" s="31"/>
    </row>
    <row r="791">
      <c r="A791" s="31"/>
    </row>
    <row r="792">
      <c r="A792" s="31"/>
    </row>
    <row r="793">
      <c r="A793" s="31"/>
    </row>
    <row r="794">
      <c r="A794" s="31"/>
    </row>
    <row r="795">
      <c r="A795" s="31"/>
    </row>
    <row r="796">
      <c r="A796" s="31"/>
    </row>
    <row r="797">
      <c r="A797" s="31"/>
    </row>
    <row r="798">
      <c r="A798" s="31"/>
    </row>
    <row r="799">
      <c r="A799" s="31"/>
    </row>
    <row r="800">
      <c r="A800" s="31"/>
    </row>
    <row r="801">
      <c r="A801" s="31"/>
    </row>
    <row r="802">
      <c r="A802" s="31"/>
    </row>
    <row r="803">
      <c r="A803" s="31"/>
    </row>
    <row r="804">
      <c r="A804" s="31"/>
    </row>
    <row r="805">
      <c r="A805" s="31"/>
    </row>
    <row r="806">
      <c r="A806" s="31"/>
    </row>
    <row r="807">
      <c r="A807" s="31"/>
    </row>
    <row r="808">
      <c r="A808" s="31"/>
    </row>
    <row r="809">
      <c r="A809" s="31"/>
    </row>
    <row r="810">
      <c r="A810" s="31"/>
    </row>
    <row r="811">
      <c r="A811" s="31"/>
    </row>
    <row r="812">
      <c r="A812" s="31"/>
    </row>
    <row r="813">
      <c r="A813" s="31"/>
    </row>
    <row r="814">
      <c r="A814" s="31"/>
    </row>
    <row r="815">
      <c r="A815" s="31"/>
    </row>
    <row r="816">
      <c r="A816" s="31"/>
    </row>
    <row r="817">
      <c r="A817" s="31"/>
    </row>
    <row r="818">
      <c r="A818" s="31"/>
    </row>
    <row r="819">
      <c r="A819" s="31"/>
    </row>
    <row r="820">
      <c r="A820" s="31"/>
    </row>
    <row r="821">
      <c r="A821" s="31"/>
    </row>
    <row r="822">
      <c r="A822" s="31"/>
    </row>
    <row r="823">
      <c r="A823" s="31"/>
    </row>
    <row r="824">
      <c r="A824" s="31"/>
    </row>
    <row r="825">
      <c r="A825" s="31"/>
    </row>
    <row r="826">
      <c r="A826" s="31"/>
    </row>
    <row r="827">
      <c r="A827" s="31"/>
    </row>
    <row r="828">
      <c r="A828" s="31"/>
    </row>
    <row r="829">
      <c r="A829" s="31"/>
    </row>
    <row r="830">
      <c r="A830" s="31"/>
    </row>
    <row r="831">
      <c r="A831" s="31"/>
    </row>
    <row r="832">
      <c r="A832" s="31"/>
    </row>
    <row r="833">
      <c r="A833" s="31"/>
    </row>
    <row r="834">
      <c r="A834" s="31"/>
    </row>
    <row r="835">
      <c r="A835" s="31"/>
    </row>
    <row r="836">
      <c r="A836" s="31"/>
    </row>
    <row r="837">
      <c r="A837" s="31"/>
    </row>
    <row r="838">
      <c r="A838" s="31"/>
    </row>
    <row r="839">
      <c r="A839" s="31"/>
    </row>
    <row r="840">
      <c r="A840" s="31"/>
    </row>
    <row r="841">
      <c r="A841" s="31"/>
    </row>
    <row r="842">
      <c r="A842" s="31"/>
    </row>
    <row r="843">
      <c r="A843" s="31"/>
    </row>
    <row r="844">
      <c r="A844" s="31"/>
    </row>
    <row r="845">
      <c r="A845" s="31"/>
    </row>
    <row r="846">
      <c r="A846" s="31"/>
    </row>
    <row r="847">
      <c r="A847" s="31"/>
    </row>
    <row r="848">
      <c r="A848" s="31"/>
    </row>
    <row r="849">
      <c r="A849" s="31"/>
    </row>
    <row r="850">
      <c r="A850" s="31"/>
    </row>
    <row r="851">
      <c r="A851" s="31"/>
    </row>
    <row r="852">
      <c r="A852" s="31"/>
    </row>
    <row r="853">
      <c r="A853" s="31"/>
    </row>
    <row r="854">
      <c r="A854" s="31"/>
    </row>
    <row r="855">
      <c r="A855" s="31"/>
    </row>
    <row r="856">
      <c r="A856" s="31"/>
    </row>
    <row r="857">
      <c r="A857" s="31"/>
    </row>
    <row r="858">
      <c r="A858" s="31"/>
    </row>
    <row r="859">
      <c r="A859" s="31"/>
    </row>
    <row r="860">
      <c r="A860" s="31"/>
    </row>
    <row r="861">
      <c r="A861" s="31"/>
    </row>
    <row r="862">
      <c r="A862" s="31"/>
    </row>
    <row r="863">
      <c r="A863" s="31"/>
    </row>
    <row r="864">
      <c r="A864" s="31"/>
    </row>
    <row r="865">
      <c r="A865" s="31"/>
    </row>
    <row r="866">
      <c r="A866" s="31"/>
    </row>
    <row r="867">
      <c r="A867" s="31"/>
    </row>
    <row r="868">
      <c r="A868" s="31"/>
    </row>
    <row r="869">
      <c r="A869" s="31"/>
    </row>
    <row r="870">
      <c r="A870" s="31"/>
    </row>
    <row r="871">
      <c r="A871" s="31"/>
    </row>
    <row r="872">
      <c r="A872" s="31"/>
    </row>
    <row r="873">
      <c r="A873" s="31"/>
    </row>
    <row r="874">
      <c r="A874" s="31"/>
    </row>
    <row r="875">
      <c r="A875" s="31"/>
    </row>
    <row r="876">
      <c r="A876" s="31"/>
    </row>
    <row r="877">
      <c r="A877" s="31"/>
    </row>
    <row r="878">
      <c r="A878" s="31"/>
    </row>
    <row r="879">
      <c r="A879" s="31"/>
    </row>
    <row r="880">
      <c r="A880" s="31"/>
    </row>
    <row r="881">
      <c r="A881" s="31"/>
    </row>
    <row r="882">
      <c r="A882" s="31"/>
    </row>
    <row r="883">
      <c r="A883" s="31"/>
    </row>
    <row r="884">
      <c r="A884" s="31"/>
    </row>
    <row r="885">
      <c r="A885" s="31"/>
    </row>
    <row r="886">
      <c r="A886" s="31"/>
    </row>
    <row r="887">
      <c r="A887" s="31"/>
    </row>
    <row r="888">
      <c r="A888" s="31"/>
    </row>
    <row r="889">
      <c r="A889" s="31"/>
    </row>
    <row r="890">
      <c r="A890" s="31"/>
    </row>
    <row r="891">
      <c r="A891" s="31"/>
    </row>
    <row r="892">
      <c r="A892" s="31"/>
    </row>
    <row r="893">
      <c r="A893" s="31"/>
    </row>
    <row r="894">
      <c r="A894" s="31"/>
    </row>
    <row r="895">
      <c r="A895" s="31"/>
    </row>
    <row r="896">
      <c r="A896" s="31"/>
    </row>
    <row r="897">
      <c r="A897" s="31"/>
    </row>
    <row r="898">
      <c r="A898" s="31"/>
    </row>
    <row r="899">
      <c r="A899" s="31"/>
    </row>
    <row r="900">
      <c r="A900" s="31"/>
    </row>
    <row r="901">
      <c r="A901" s="31"/>
    </row>
    <row r="902">
      <c r="A902" s="31"/>
    </row>
    <row r="903">
      <c r="A903" s="31"/>
    </row>
    <row r="904">
      <c r="A904" s="31"/>
    </row>
    <row r="905">
      <c r="A905" s="31"/>
    </row>
    <row r="906">
      <c r="A906" s="31"/>
    </row>
    <row r="907">
      <c r="A907" s="31"/>
    </row>
    <row r="908">
      <c r="A908" s="31"/>
    </row>
    <row r="909">
      <c r="A909" s="31"/>
    </row>
    <row r="910">
      <c r="A910" s="31"/>
    </row>
    <row r="911">
      <c r="A911" s="31"/>
    </row>
    <row r="912">
      <c r="A912" s="31"/>
    </row>
    <row r="913">
      <c r="A913" s="31"/>
    </row>
    <row r="914">
      <c r="A914" s="31"/>
    </row>
    <row r="915">
      <c r="A915" s="31"/>
    </row>
    <row r="916">
      <c r="A916" s="31"/>
    </row>
    <row r="917">
      <c r="A917" s="31"/>
    </row>
    <row r="918">
      <c r="A918" s="31"/>
    </row>
    <row r="919">
      <c r="A919" s="31"/>
    </row>
    <row r="920">
      <c r="A920" s="31"/>
    </row>
    <row r="921">
      <c r="A921" s="31"/>
    </row>
    <row r="922">
      <c r="A922" s="31"/>
    </row>
    <row r="923">
      <c r="A923" s="31"/>
    </row>
    <row r="924">
      <c r="A924" s="31"/>
    </row>
    <row r="925">
      <c r="A925" s="31"/>
    </row>
    <row r="926">
      <c r="A926" s="31"/>
    </row>
    <row r="927">
      <c r="A927" s="31"/>
    </row>
    <row r="928">
      <c r="A928" s="31"/>
    </row>
    <row r="929">
      <c r="A929" s="31"/>
    </row>
    <row r="930">
      <c r="A930" s="31"/>
    </row>
    <row r="931">
      <c r="A931" s="31"/>
    </row>
    <row r="932">
      <c r="A932" s="31"/>
    </row>
    <row r="933">
      <c r="A933" s="31"/>
    </row>
    <row r="934">
      <c r="A934" s="31"/>
    </row>
    <row r="935">
      <c r="A935" s="31"/>
    </row>
    <row r="936">
      <c r="A936" s="31"/>
    </row>
    <row r="937">
      <c r="A937" s="31"/>
    </row>
    <row r="938">
      <c r="A938" s="31"/>
    </row>
    <row r="939">
      <c r="A939" s="31"/>
    </row>
    <row r="940">
      <c r="A940" s="31"/>
    </row>
    <row r="941">
      <c r="A941" s="31"/>
    </row>
    <row r="942">
      <c r="A942" s="31"/>
    </row>
    <row r="943">
      <c r="A943" s="31"/>
    </row>
    <row r="944">
      <c r="A944" s="31"/>
    </row>
    <row r="945">
      <c r="A945" s="31"/>
    </row>
    <row r="946">
      <c r="A946" s="31"/>
    </row>
    <row r="947">
      <c r="A947" s="31"/>
    </row>
    <row r="948">
      <c r="A948" s="31"/>
    </row>
    <row r="949">
      <c r="A949" s="31"/>
    </row>
    <row r="950">
      <c r="A950" s="31"/>
    </row>
    <row r="951">
      <c r="A951" s="31"/>
    </row>
    <row r="952">
      <c r="A952" s="31"/>
    </row>
    <row r="953">
      <c r="A953" s="31"/>
    </row>
    <row r="954">
      <c r="A954" s="31"/>
    </row>
    <row r="955">
      <c r="A955" s="31"/>
    </row>
    <row r="956">
      <c r="A956" s="31"/>
    </row>
    <row r="957">
      <c r="A957" s="31"/>
    </row>
    <row r="958">
      <c r="A958" s="31"/>
    </row>
    <row r="959">
      <c r="A959" s="31"/>
    </row>
    <row r="960">
      <c r="A960" s="31"/>
    </row>
    <row r="961">
      <c r="A961" s="31"/>
    </row>
    <row r="962">
      <c r="A962" s="31"/>
    </row>
    <row r="963">
      <c r="A963" s="31"/>
    </row>
    <row r="964">
      <c r="A964" s="31"/>
    </row>
    <row r="965">
      <c r="A965" s="31"/>
    </row>
    <row r="966">
      <c r="A966" s="31"/>
    </row>
    <row r="967">
      <c r="A967" s="31"/>
    </row>
    <row r="968">
      <c r="A968" s="31"/>
    </row>
    <row r="969">
      <c r="A969" s="31"/>
    </row>
    <row r="970">
      <c r="A970" s="31"/>
    </row>
    <row r="971">
      <c r="A971" s="31"/>
    </row>
    <row r="972">
      <c r="A972" s="31"/>
    </row>
    <row r="973">
      <c r="A973" s="31"/>
    </row>
    <row r="974">
      <c r="A974" s="31"/>
    </row>
    <row r="975">
      <c r="A975" s="31"/>
    </row>
    <row r="976">
      <c r="A976" s="31"/>
    </row>
    <row r="977">
      <c r="A977" s="31"/>
    </row>
    <row r="978">
      <c r="A978" s="31"/>
    </row>
    <row r="979">
      <c r="A979" s="31"/>
    </row>
    <row r="980">
      <c r="A980" s="31"/>
    </row>
    <row r="981">
      <c r="A981" s="31"/>
    </row>
    <row r="982">
      <c r="A982" s="31"/>
    </row>
    <row r="983">
      <c r="A983" s="31"/>
    </row>
    <row r="984">
      <c r="A984" s="31"/>
    </row>
    <row r="985">
      <c r="A985" s="31"/>
    </row>
    <row r="986">
      <c r="A986" s="31"/>
    </row>
    <row r="987">
      <c r="A987" s="31"/>
    </row>
    <row r="988">
      <c r="A988" s="31"/>
    </row>
    <row r="989">
      <c r="A989" s="31"/>
    </row>
    <row r="990">
      <c r="A990" s="31"/>
    </row>
    <row r="991">
      <c r="A991" s="31"/>
    </row>
    <row r="992">
      <c r="A992" s="31"/>
    </row>
    <row r="993">
      <c r="A993" s="31"/>
    </row>
    <row r="994">
      <c r="A994" s="31"/>
    </row>
    <row r="995">
      <c r="A995" s="31"/>
    </row>
    <row r="996">
      <c r="A996" s="31"/>
    </row>
    <row r="997">
      <c r="A997" s="31"/>
    </row>
    <row r="998">
      <c r="A998" s="31"/>
    </row>
    <row r="999">
      <c r="A999" s="31"/>
    </row>
    <row r="1000">
      <c r="A1000" s="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20.0"/>
    <col customWidth="1" min="3" max="3" width="50.75"/>
    <col customWidth="1" min="4" max="4" width="42.63"/>
  </cols>
  <sheetData>
    <row r="1">
      <c r="A1" s="3"/>
      <c r="B1" s="5" t="s">
        <v>3</v>
      </c>
      <c r="C1" s="7" t="s">
        <v>5</v>
      </c>
    </row>
    <row r="2">
      <c r="A2" s="8" t="s">
        <v>11</v>
      </c>
      <c r="B2" s="9">
        <f>COUNTIF(T_INSEE[Taux_pauvrete_2023], "non publié")</f>
        <v>3262</v>
      </c>
      <c r="C2" s="9">
        <f>COUNTIF(T_INSEE[Niveau_vie_median_2023], "non publié")</f>
        <v>288</v>
      </c>
    </row>
    <row r="3">
      <c r="A3" s="8" t="s">
        <v>20</v>
      </c>
      <c r="B3" s="9">
        <f>SUMIFS(T_INSEE[Population_2023],T_INSEE[Taux_pauvrete_2023],"non publié")</f>
        <v>1657654</v>
      </c>
      <c r="C3" s="12">
        <f>SUMIFS(T_INSEE[Population_2023], T_INSEE[Niveau_vie_median_2023], "non publié")</f>
        <v>20290</v>
      </c>
    </row>
    <row r="4">
      <c r="A4" s="8" t="s">
        <v>24</v>
      </c>
      <c r="B4" s="9">
        <f>SUM(T_HDF[Population])</f>
        <v>5992194</v>
      </c>
    </row>
    <row r="5">
      <c r="A5" s="8" t="s">
        <v>27</v>
      </c>
      <c r="B5" s="9">
        <f>SUM(T_EPCI[Population_2023])</f>
        <v>6030803</v>
      </c>
      <c r="C5" s="16" t="s">
        <v>29</v>
      </c>
    </row>
    <row r="9"/>
    <row r="10">
      <c r="C10" s="9">
        <f t="shared" ref="C10:C102" si="1">SUM(B10-E10)</f>
        <v>0</v>
      </c>
    </row>
    <row r="11">
      <c r="C11" s="9">
        <f t="shared" si="1"/>
        <v>0</v>
      </c>
    </row>
    <row r="12">
      <c r="C12" s="9">
        <f t="shared" si="1"/>
        <v>0</v>
      </c>
    </row>
    <row r="13">
      <c r="C13" s="9">
        <f t="shared" si="1"/>
        <v>0</v>
      </c>
    </row>
    <row r="14">
      <c r="C14" s="9">
        <f t="shared" si="1"/>
        <v>0</v>
      </c>
    </row>
    <row r="15">
      <c r="C15" s="9">
        <f t="shared" si="1"/>
        <v>0</v>
      </c>
    </row>
    <row r="16">
      <c r="C16" s="9">
        <f t="shared" si="1"/>
        <v>0</v>
      </c>
    </row>
    <row r="17">
      <c r="C17" s="9">
        <f t="shared" si="1"/>
        <v>0</v>
      </c>
    </row>
    <row r="18">
      <c r="C18" s="9">
        <f t="shared" si="1"/>
        <v>0</v>
      </c>
    </row>
    <row r="19">
      <c r="C19" s="9">
        <f t="shared" si="1"/>
        <v>0</v>
      </c>
    </row>
    <row r="20">
      <c r="C20" s="9">
        <f t="shared" si="1"/>
        <v>0</v>
      </c>
    </row>
    <row r="21">
      <c r="C21" s="9">
        <f t="shared" si="1"/>
        <v>0</v>
      </c>
    </row>
    <row r="22">
      <c r="C22" s="9">
        <f t="shared" si="1"/>
        <v>0</v>
      </c>
    </row>
    <row r="23">
      <c r="C23" s="9">
        <f t="shared" si="1"/>
        <v>0</v>
      </c>
    </row>
    <row r="24">
      <c r="C24" s="9">
        <f t="shared" si="1"/>
        <v>0</v>
      </c>
    </row>
    <row r="25">
      <c r="C25" s="9">
        <f t="shared" si="1"/>
        <v>0</v>
      </c>
    </row>
    <row r="26">
      <c r="C26" s="9">
        <f t="shared" si="1"/>
        <v>0</v>
      </c>
    </row>
    <row r="27">
      <c r="C27" s="9">
        <f t="shared" si="1"/>
        <v>0</v>
      </c>
    </row>
    <row r="28">
      <c r="C28" s="9">
        <f t="shared" si="1"/>
        <v>0</v>
      </c>
    </row>
    <row r="29">
      <c r="C29" s="9">
        <f t="shared" si="1"/>
        <v>0</v>
      </c>
    </row>
    <row r="30">
      <c r="C30" s="9">
        <f t="shared" si="1"/>
        <v>0</v>
      </c>
    </row>
    <row r="31">
      <c r="C31" s="9">
        <f t="shared" si="1"/>
        <v>0</v>
      </c>
    </row>
    <row r="32">
      <c r="C32" s="9">
        <f t="shared" si="1"/>
        <v>0</v>
      </c>
    </row>
    <row r="33">
      <c r="C33" s="9">
        <f t="shared" si="1"/>
        <v>0</v>
      </c>
    </row>
    <row r="34">
      <c r="C34" s="9">
        <f t="shared" si="1"/>
        <v>0</v>
      </c>
    </row>
    <row r="35">
      <c r="C35" s="9">
        <f t="shared" si="1"/>
        <v>0</v>
      </c>
    </row>
    <row r="36">
      <c r="C36" s="9">
        <f t="shared" si="1"/>
        <v>0</v>
      </c>
    </row>
    <row r="37">
      <c r="C37" s="9">
        <f t="shared" si="1"/>
        <v>0</v>
      </c>
    </row>
    <row r="38">
      <c r="C38" s="9">
        <f t="shared" si="1"/>
        <v>0</v>
      </c>
    </row>
    <row r="39">
      <c r="C39" s="9">
        <f t="shared" si="1"/>
        <v>0</v>
      </c>
    </row>
    <row r="40">
      <c r="C40" s="9">
        <f t="shared" si="1"/>
        <v>0</v>
      </c>
    </row>
    <row r="41">
      <c r="C41" s="9">
        <f t="shared" si="1"/>
        <v>0</v>
      </c>
    </row>
    <row r="42">
      <c r="C42" s="9">
        <f t="shared" si="1"/>
        <v>0</v>
      </c>
    </row>
    <row r="43">
      <c r="C43" s="9">
        <f t="shared" si="1"/>
        <v>0</v>
      </c>
    </row>
    <row r="44">
      <c r="C44" s="9">
        <f t="shared" si="1"/>
        <v>0</v>
      </c>
    </row>
    <row r="45">
      <c r="C45" s="9">
        <f t="shared" si="1"/>
        <v>0</v>
      </c>
    </row>
    <row r="46">
      <c r="C46" s="9">
        <f t="shared" si="1"/>
        <v>0</v>
      </c>
    </row>
    <row r="47">
      <c r="C47" s="9">
        <f t="shared" si="1"/>
        <v>0</v>
      </c>
    </row>
    <row r="48">
      <c r="C48" s="9">
        <f t="shared" si="1"/>
        <v>0</v>
      </c>
    </row>
    <row r="49">
      <c r="C49" s="9">
        <f t="shared" si="1"/>
        <v>0</v>
      </c>
    </row>
    <row r="50">
      <c r="C50" s="9">
        <f t="shared" si="1"/>
        <v>0</v>
      </c>
    </row>
    <row r="51">
      <c r="C51" s="9">
        <f t="shared" si="1"/>
        <v>0</v>
      </c>
    </row>
    <row r="52">
      <c r="C52" s="9">
        <f t="shared" si="1"/>
        <v>0</v>
      </c>
    </row>
    <row r="53">
      <c r="C53" s="9">
        <f t="shared" si="1"/>
        <v>0</v>
      </c>
    </row>
    <row r="54">
      <c r="C54" s="9">
        <f t="shared" si="1"/>
        <v>0</v>
      </c>
    </row>
    <row r="55">
      <c r="C55" s="9">
        <f t="shared" si="1"/>
        <v>0</v>
      </c>
    </row>
    <row r="56">
      <c r="C56" s="9">
        <f t="shared" si="1"/>
        <v>0</v>
      </c>
    </row>
    <row r="57">
      <c r="C57" s="25">
        <f t="shared" si="1"/>
        <v>21716</v>
      </c>
    </row>
    <row r="58">
      <c r="C58" s="9">
        <f t="shared" si="1"/>
        <v>0</v>
      </c>
    </row>
    <row r="59">
      <c r="C59" s="9">
        <f t="shared" si="1"/>
        <v>0</v>
      </c>
    </row>
    <row r="60">
      <c r="C60" s="9">
        <f t="shared" si="1"/>
        <v>0</v>
      </c>
    </row>
    <row r="61">
      <c r="C61" s="9">
        <f t="shared" si="1"/>
        <v>0</v>
      </c>
    </row>
    <row r="62">
      <c r="C62" s="9">
        <f t="shared" si="1"/>
        <v>0</v>
      </c>
    </row>
    <row r="63">
      <c r="C63" s="9">
        <f t="shared" si="1"/>
        <v>0</v>
      </c>
    </row>
    <row r="64">
      <c r="C64" s="9">
        <f t="shared" si="1"/>
        <v>0</v>
      </c>
    </row>
    <row r="65">
      <c r="C65" s="9">
        <f t="shared" si="1"/>
        <v>0</v>
      </c>
    </row>
    <row r="66">
      <c r="C66" s="9">
        <f t="shared" si="1"/>
        <v>0</v>
      </c>
    </row>
    <row r="67">
      <c r="C67" s="9">
        <f t="shared" si="1"/>
        <v>0</v>
      </c>
    </row>
    <row r="68">
      <c r="C68" s="9">
        <f t="shared" si="1"/>
        <v>0</v>
      </c>
    </row>
    <row r="69">
      <c r="C69" s="9">
        <f t="shared" si="1"/>
        <v>0</v>
      </c>
    </row>
    <row r="70">
      <c r="C70" s="9">
        <f t="shared" si="1"/>
        <v>0</v>
      </c>
    </row>
    <row r="71">
      <c r="C71" s="9">
        <f t="shared" si="1"/>
        <v>0</v>
      </c>
    </row>
    <row r="72">
      <c r="C72" s="9">
        <f t="shared" si="1"/>
        <v>0</v>
      </c>
    </row>
    <row r="73">
      <c r="C73" s="9">
        <f t="shared" si="1"/>
        <v>0</v>
      </c>
    </row>
    <row r="74">
      <c r="C74" s="9">
        <f t="shared" si="1"/>
        <v>0</v>
      </c>
    </row>
    <row r="75">
      <c r="C75" s="9">
        <f t="shared" si="1"/>
        <v>0</v>
      </c>
    </row>
    <row r="76">
      <c r="C76" s="9">
        <f t="shared" si="1"/>
        <v>0</v>
      </c>
    </row>
    <row r="77">
      <c r="C77" s="9">
        <f t="shared" si="1"/>
        <v>0</v>
      </c>
    </row>
    <row r="78">
      <c r="C78" s="9">
        <f t="shared" si="1"/>
        <v>0</v>
      </c>
    </row>
    <row r="79">
      <c r="C79" s="9">
        <f t="shared" si="1"/>
        <v>0</v>
      </c>
    </row>
    <row r="80">
      <c r="C80" s="9">
        <f t="shared" si="1"/>
        <v>0</v>
      </c>
    </row>
    <row r="81">
      <c r="C81" s="9">
        <f t="shared" si="1"/>
        <v>0</v>
      </c>
    </row>
    <row r="82">
      <c r="C82" s="9">
        <f t="shared" si="1"/>
        <v>0</v>
      </c>
    </row>
    <row r="83">
      <c r="C83" s="9">
        <f t="shared" si="1"/>
        <v>0</v>
      </c>
    </row>
    <row r="84">
      <c r="C84" s="9">
        <f t="shared" si="1"/>
        <v>0</v>
      </c>
    </row>
    <row r="85">
      <c r="C85" s="9">
        <f t="shared" si="1"/>
        <v>0</v>
      </c>
    </row>
    <row r="86">
      <c r="C86" s="25">
        <f t="shared" si="1"/>
        <v>16893</v>
      </c>
    </row>
    <row r="87">
      <c r="C87" s="9">
        <f t="shared" si="1"/>
        <v>0</v>
      </c>
    </row>
    <row r="88">
      <c r="C88" s="9">
        <f t="shared" si="1"/>
        <v>0</v>
      </c>
    </row>
    <row r="89">
      <c r="C89" s="9">
        <f t="shared" si="1"/>
        <v>0</v>
      </c>
    </row>
    <row r="90">
      <c r="C90" s="9">
        <f t="shared" si="1"/>
        <v>0</v>
      </c>
    </row>
    <row r="91">
      <c r="C91" s="9">
        <f t="shared" si="1"/>
        <v>0</v>
      </c>
    </row>
    <row r="92">
      <c r="C92" s="9">
        <f t="shared" si="1"/>
        <v>0</v>
      </c>
    </row>
    <row r="93">
      <c r="C93" s="9">
        <f t="shared" si="1"/>
        <v>0</v>
      </c>
    </row>
    <row r="94">
      <c r="C94" s="9">
        <f t="shared" si="1"/>
        <v>0</v>
      </c>
    </row>
    <row r="95">
      <c r="C95" s="9">
        <f t="shared" si="1"/>
        <v>0</v>
      </c>
    </row>
    <row r="96">
      <c r="C96" s="9">
        <f t="shared" si="1"/>
        <v>0</v>
      </c>
    </row>
    <row r="97">
      <c r="C97" s="9">
        <f t="shared" si="1"/>
        <v>0</v>
      </c>
    </row>
    <row r="98">
      <c r="C98" s="9">
        <f t="shared" si="1"/>
        <v>0</v>
      </c>
    </row>
    <row r="99">
      <c r="C99" s="9">
        <f t="shared" si="1"/>
        <v>0</v>
      </c>
    </row>
    <row r="100">
      <c r="C100" s="9">
        <f t="shared" si="1"/>
        <v>0</v>
      </c>
    </row>
    <row r="101">
      <c r="C101" s="9">
        <f t="shared" si="1"/>
        <v>0</v>
      </c>
    </row>
    <row r="102">
      <c r="C102" s="9">
        <f t="shared" si="1"/>
        <v>38609</v>
      </c>
    </row>
  </sheetData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75"/>
    <col customWidth="1" min="2" max="2" width="29.88"/>
  </cols>
  <sheetData>
    <row r="1">
      <c r="A1" s="17" t="s">
        <v>30</v>
      </c>
    </row>
    <row r="2">
      <c r="A2" s="18" t="s">
        <v>31</v>
      </c>
      <c r="B2" s="19" t="s">
        <v>32</v>
      </c>
    </row>
    <row r="3">
      <c r="A3" s="21" t="s">
        <v>3</v>
      </c>
      <c r="B3" s="4" t="s">
        <v>36</v>
      </c>
    </row>
    <row r="4">
      <c r="A4" s="21" t="s">
        <v>37</v>
      </c>
      <c r="B4" s="4" t="s">
        <v>36</v>
      </c>
    </row>
    <row r="5">
      <c r="A5" s="21" t="s">
        <v>38</v>
      </c>
      <c r="B5" s="4" t="s">
        <v>40</v>
      </c>
    </row>
    <row r="6">
      <c r="A6" s="21" t="s">
        <v>5</v>
      </c>
      <c r="B6" s="4" t="s">
        <v>40</v>
      </c>
    </row>
    <row r="7">
      <c r="A7" s="23" t="s">
        <v>42</v>
      </c>
      <c r="B7" s="25"/>
    </row>
  </sheetData>
  <mergeCells count="1">
    <mergeCell ref="A1:B1"/>
  </mergeCells>
  <dataValidations>
    <dataValidation type="list" allowBlank="1" showErrorMessage="1" sqref="B3:B6">
      <formula1>"oui,non"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24.5"/>
    <col customWidth="1" min="3" max="3" width="14.38"/>
    <col customWidth="1" min="4" max="4" width="32.38"/>
    <col customWidth="1" min="5" max="5" width="13.25"/>
    <col customWidth="1" min="6" max="6" width="12.88"/>
    <col customWidth="1" min="7" max="7" width="16.63"/>
    <col customWidth="1" min="8" max="8" width="18.38"/>
    <col customWidth="1" min="9" max="9" width="17.13"/>
  </cols>
  <sheetData>
    <row r="1" ht="22.5" customHeight="1">
      <c r="A1" s="34" t="s">
        <v>51</v>
      </c>
      <c r="B1" s="34" t="s">
        <v>52</v>
      </c>
      <c r="C1" s="34" t="s">
        <v>53</v>
      </c>
      <c r="D1" s="34" t="s">
        <v>54</v>
      </c>
      <c r="E1" s="34" t="s">
        <v>22</v>
      </c>
      <c r="F1" s="34" t="s">
        <v>55</v>
      </c>
      <c r="G1" s="34" t="s">
        <v>56</v>
      </c>
      <c r="H1" s="34" t="s">
        <v>57</v>
      </c>
      <c r="I1" s="34" t="s">
        <v>58</v>
      </c>
    </row>
    <row r="2" ht="22.5" customHeight="1">
      <c r="A2" s="35" t="s">
        <v>59</v>
      </c>
      <c r="B2" s="35" t="s">
        <v>60</v>
      </c>
      <c r="C2" s="35" t="s">
        <v>61</v>
      </c>
      <c r="D2" s="35" t="s">
        <v>50</v>
      </c>
      <c r="E2" s="35" t="s">
        <v>49</v>
      </c>
      <c r="F2" s="35">
        <v>518.0</v>
      </c>
      <c r="G2" s="35">
        <v>5.98</v>
      </c>
      <c r="H2" s="35">
        <v>86.6</v>
      </c>
      <c r="I2" s="35" t="s">
        <v>62</v>
      </c>
    </row>
    <row r="3" ht="22.5" customHeight="1">
      <c r="A3" s="35" t="s">
        <v>63</v>
      </c>
      <c r="B3" s="35" t="s">
        <v>64</v>
      </c>
      <c r="C3" s="35" t="s">
        <v>61</v>
      </c>
      <c r="D3" s="35" t="s">
        <v>50</v>
      </c>
      <c r="E3" s="35" t="s">
        <v>49</v>
      </c>
      <c r="F3" s="35">
        <v>584.0</v>
      </c>
      <c r="G3" s="35">
        <v>6.95</v>
      </c>
      <c r="H3" s="35">
        <v>84.0</v>
      </c>
      <c r="I3" s="35" t="s">
        <v>62</v>
      </c>
    </row>
    <row r="4" ht="22.5" customHeight="1">
      <c r="A4" s="35" t="s">
        <v>65</v>
      </c>
      <c r="B4" s="35" t="s">
        <v>66</v>
      </c>
      <c r="C4" s="35" t="s">
        <v>61</v>
      </c>
      <c r="D4" s="35" t="s">
        <v>67</v>
      </c>
      <c r="E4" s="35" t="s">
        <v>68</v>
      </c>
      <c r="F4" s="35">
        <v>1004.0</v>
      </c>
      <c r="G4" s="35">
        <v>11.55</v>
      </c>
      <c r="H4" s="35">
        <v>86.9</v>
      </c>
      <c r="I4" s="35" t="s">
        <v>62</v>
      </c>
    </row>
    <row r="5" ht="22.5" customHeight="1">
      <c r="A5" s="35" t="s">
        <v>69</v>
      </c>
      <c r="B5" s="35" t="s">
        <v>70</v>
      </c>
      <c r="C5" s="35" t="s">
        <v>61</v>
      </c>
      <c r="D5" s="35" t="s">
        <v>73</v>
      </c>
      <c r="E5" s="35" t="s">
        <v>74</v>
      </c>
      <c r="F5" s="35">
        <v>189.0</v>
      </c>
      <c r="G5" s="35">
        <v>10.72</v>
      </c>
      <c r="H5" s="35">
        <v>17.6</v>
      </c>
      <c r="I5" s="35" t="s">
        <v>75</v>
      </c>
    </row>
    <row r="6" ht="22.5" customHeight="1">
      <c r="A6" s="35" t="s">
        <v>76</v>
      </c>
      <c r="B6" s="35" t="s">
        <v>77</v>
      </c>
      <c r="C6" s="35" t="s">
        <v>61</v>
      </c>
      <c r="D6" s="35" t="s">
        <v>78</v>
      </c>
      <c r="E6" s="35" t="s">
        <v>79</v>
      </c>
      <c r="F6" s="35">
        <v>417.0</v>
      </c>
      <c r="G6" s="35">
        <v>10.61</v>
      </c>
      <c r="H6" s="35">
        <v>39.3</v>
      </c>
      <c r="I6" s="35" t="s">
        <v>75</v>
      </c>
    </row>
    <row r="7" ht="22.5" customHeight="1">
      <c r="A7" s="35" t="s">
        <v>80</v>
      </c>
      <c r="B7" s="35" t="s">
        <v>81</v>
      </c>
      <c r="C7" s="35" t="s">
        <v>61</v>
      </c>
      <c r="D7" s="35" t="s">
        <v>82</v>
      </c>
      <c r="E7" s="35" t="s">
        <v>83</v>
      </c>
      <c r="F7" s="35">
        <v>259.0</v>
      </c>
      <c r="G7" s="35">
        <v>8.71</v>
      </c>
      <c r="H7" s="35">
        <v>29.7</v>
      </c>
      <c r="I7" s="35" t="s">
        <v>75</v>
      </c>
    </row>
    <row r="8" ht="22.5" customHeight="1">
      <c r="A8" s="35" t="s">
        <v>84</v>
      </c>
      <c r="B8" s="35" t="s">
        <v>85</v>
      </c>
      <c r="C8" s="35" t="s">
        <v>61</v>
      </c>
      <c r="D8" s="35" t="s">
        <v>86</v>
      </c>
      <c r="E8" s="35" t="s">
        <v>87</v>
      </c>
      <c r="F8" s="35">
        <v>118.0</v>
      </c>
      <c r="G8" s="35">
        <v>4.88</v>
      </c>
      <c r="H8" s="35">
        <v>24.2</v>
      </c>
      <c r="I8" s="35" t="s">
        <v>75</v>
      </c>
    </row>
    <row r="9" ht="22.5" customHeight="1">
      <c r="A9" s="35" t="s">
        <v>88</v>
      </c>
      <c r="B9" s="35" t="s">
        <v>89</v>
      </c>
      <c r="C9" s="35" t="s">
        <v>61</v>
      </c>
      <c r="D9" s="35" t="s">
        <v>90</v>
      </c>
      <c r="E9" s="35" t="s">
        <v>91</v>
      </c>
      <c r="F9" s="35">
        <v>306.0</v>
      </c>
      <c r="G9" s="35">
        <v>14.72</v>
      </c>
      <c r="H9" s="35">
        <v>20.8</v>
      </c>
      <c r="I9" s="35" t="s">
        <v>75</v>
      </c>
    </row>
    <row r="10" ht="22.5" customHeight="1">
      <c r="A10" s="35" t="s">
        <v>92</v>
      </c>
      <c r="B10" s="35" t="s">
        <v>93</v>
      </c>
      <c r="C10" s="35" t="s">
        <v>61</v>
      </c>
      <c r="D10" s="35" t="s">
        <v>94</v>
      </c>
      <c r="E10" s="35" t="s">
        <v>95</v>
      </c>
      <c r="F10" s="35">
        <v>517.0</v>
      </c>
      <c r="G10" s="35">
        <v>5.99</v>
      </c>
      <c r="H10" s="35">
        <v>86.3</v>
      </c>
      <c r="I10" s="35" t="s">
        <v>62</v>
      </c>
    </row>
    <row r="11" ht="22.5" customHeight="1">
      <c r="A11" s="35" t="s">
        <v>96</v>
      </c>
      <c r="B11" s="35" t="s">
        <v>97</v>
      </c>
      <c r="C11" s="35" t="s">
        <v>61</v>
      </c>
      <c r="D11" s="35" t="s">
        <v>90</v>
      </c>
      <c r="E11" s="35" t="s">
        <v>91</v>
      </c>
      <c r="F11" s="35">
        <v>163.0</v>
      </c>
      <c r="G11" s="35">
        <v>5.16</v>
      </c>
      <c r="H11" s="35">
        <v>31.6</v>
      </c>
      <c r="I11" s="35" t="s">
        <v>75</v>
      </c>
    </row>
    <row r="12" ht="22.5" customHeight="1">
      <c r="A12" s="35" t="s">
        <v>100</v>
      </c>
      <c r="B12" s="35" t="s">
        <v>101</v>
      </c>
      <c r="C12" s="35" t="s">
        <v>61</v>
      </c>
      <c r="D12" s="35" t="s">
        <v>102</v>
      </c>
      <c r="E12" s="35" t="s">
        <v>103</v>
      </c>
      <c r="F12" s="35">
        <v>1205.0</v>
      </c>
      <c r="G12" s="35">
        <v>17.24</v>
      </c>
      <c r="H12" s="35">
        <v>69.9</v>
      </c>
      <c r="I12" s="35" t="s">
        <v>62</v>
      </c>
    </row>
    <row r="13" ht="22.5" customHeight="1">
      <c r="A13" s="35" t="s">
        <v>104</v>
      </c>
      <c r="B13" s="35" t="s">
        <v>105</v>
      </c>
      <c r="C13" s="35" t="s">
        <v>61</v>
      </c>
      <c r="D13" s="35" t="s">
        <v>106</v>
      </c>
      <c r="E13" s="35" t="s">
        <v>107</v>
      </c>
      <c r="F13" s="35">
        <v>79.0</v>
      </c>
      <c r="G13" s="35">
        <v>4.48</v>
      </c>
      <c r="H13" s="35">
        <v>17.6</v>
      </c>
      <c r="I13" s="35" t="s">
        <v>75</v>
      </c>
    </row>
    <row r="14" ht="22.5" customHeight="1">
      <c r="A14" s="35" t="s">
        <v>108</v>
      </c>
      <c r="B14" s="35" t="s">
        <v>109</v>
      </c>
      <c r="C14" s="35" t="s">
        <v>61</v>
      </c>
      <c r="D14" s="35" t="s">
        <v>78</v>
      </c>
      <c r="E14" s="35" t="s">
        <v>79</v>
      </c>
      <c r="F14" s="35">
        <v>391.0</v>
      </c>
      <c r="G14" s="35">
        <v>28.04</v>
      </c>
      <c r="H14" s="35">
        <v>13.9</v>
      </c>
      <c r="I14" s="35" t="s">
        <v>75</v>
      </c>
    </row>
    <row r="15" ht="22.5" customHeight="1">
      <c r="A15" s="35" t="s">
        <v>111</v>
      </c>
      <c r="B15" s="35" t="s">
        <v>112</v>
      </c>
      <c r="C15" s="35" t="s">
        <v>61</v>
      </c>
      <c r="D15" s="35" t="s">
        <v>50</v>
      </c>
      <c r="E15" s="35" t="s">
        <v>49</v>
      </c>
      <c r="F15" s="35">
        <v>707.0</v>
      </c>
      <c r="G15" s="35">
        <v>13.12</v>
      </c>
      <c r="H15" s="35">
        <v>53.9</v>
      </c>
      <c r="I15" s="35" t="s">
        <v>62</v>
      </c>
    </row>
    <row r="16" ht="22.5" customHeight="1">
      <c r="A16" s="35" t="s">
        <v>113</v>
      </c>
      <c r="B16" s="35" t="s">
        <v>114</v>
      </c>
      <c r="C16" s="35" t="s">
        <v>61</v>
      </c>
      <c r="D16" s="35" t="s">
        <v>102</v>
      </c>
      <c r="E16" s="35" t="s">
        <v>103</v>
      </c>
      <c r="F16" s="35">
        <v>78.0</v>
      </c>
      <c r="G16" s="35">
        <v>3.86</v>
      </c>
      <c r="H16" s="35">
        <v>20.2</v>
      </c>
      <c r="I16" s="35" t="s">
        <v>75</v>
      </c>
    </row>
    <row r="17" ht="22.5" customHeight="1">
      <c r="A17" s="35" t="s">
        <v>117</v>
      </c>
      <c r="B17" s="35" t="s">
        <v>119</v>
      </c>
      <c r="C17" s="35" t="s">
        <v>61</v>
      </c>
      <c r="D17" s="35" t="s">
        <v>50</v>
      </c>
      <c r="E17" s="35" t="s">
        <v>49</v>
      </c>
      <c r="F17" s="35">
        <v>212.0</v>
      </c>
      <c r="G17" s="35">
        <v>2.86</v>
      </c>
      <c r="H17" s="35">
        <v>74.1</v>
      </c>
      <c r="I17" s="35" t="s">
        <v>75</v>
      </c>
    </row>
    <row r="18" ht="22.5" customHeight="1">
      <c r="A18" s="35" t="s">
        <v>125</v>
      </c>
      <c r="B18" s="35" t="s">
        <v>126</v>
      </c>
      <c r="C18" s="35" t="s">
        <v>61</v>
      </c>
      <c r="D18" s="35" t="s">
        <v>50</v>
      </c>
      <c r="E18" s="35" t="s">
        <v>49</v>
      </c>
      <c r="F18" s="35">
        <v>274.0</v>
      </c>
      <c r="G18" s="35">
        <v>9.18</v>
      </c>
      <c r="H18" s="35">
        <v>29.8</v>
      </c>
      <c r="I18" s="35" t="s">
        <v>75</v>
      </c>
    </row>
    <row r="19" ht="22.5" customHeight="1">
      <c r="A19" s="35" t="s">
        <v>133</v>
      </c>
      <c r="B19" s="35" t="s">
        <v>134</v>
      </c>
      <c r="C19" s="35" t="s">
        <v>61</v>
      </c>
      <c r="D19" s="35" t="s">
        <v>137</v>
      </c>
      <c r="E19" s="35" t="s">
        <v>138</v>
      </c>
      <c r="F19" s="35">
        <v>2472.0</v>
      </c>
      <c r="G19" s="35">
        <v>20.9</v>
      </c>
      <c r="H19" s="35">
        <v>118.3</v>
      </c>
      <c r="I19" s="35" t="s">
        <v>142</v>
      </c>
    </row>
    <row r="20" ht="22.5" customHeight="1">
      <c r="A20" s="35" t="s">
        <v>143</v>
      </c>
      <c r="B20" s="35" t="s">
        <v>144</v>
      </c>
      <c r="C20" s="35" t="s">
        <v>61</v>
      </c>
      <c r="D20" s="35" t="s">
        <v>140</v>
      </c>
      <c r="E20" s="35" t="s">
        <v>147</v>
      </c>
      <c r="F20" s="35">
        <v>349.0</v>
      </c>
      <c r="G20" s="35">
        <v>5.96</v>
      </c>
      <c r="H20" s="35">
        <v>58.6</v>
      </c>
      <c r="I20" s="35" t="s">
        <v>75</v>
      </c>
    </row>
    <row r="21" ht="22.5" customHeight="1">
      <c r="A21" s="35" t="s">
        <v>153</v>
      </c>
      <c r="B21" s="35" t="s">
        <v>154</v>
      </c>
      <c r="C21" s="35" t="s">
        <v>61</v>
      </c>
      <c r="D21" s="35" t="s">
        <v>156</v>
      </c>
      <c r="E21" s="35" t="s">
        <v>157</v>
      </c>
      <c r="F21" s="35">
        <v>456.0</v>
      </c>
      <c r="G21" s="35">
        <v>17.78</v>
      </c>
      <c r="H21" s="35">
        <v>25.6</v>
      </c>
      <c r="I21" s="35" t="s">
        <v>75</v>
      </c>
    </row>
    <row r="22" ht="22.5" customHeight="1">
      <c r="A22" s="35" t="s">
        <v>162</v>
      </c>
      <c r="B22" s="35" t="s">
        <v>164</v>
      </c>
      <c r="C22" s="35" t="s">
        <v>61</v>
      </c>
      <c r="D22" s="35" t="s">
        <v>166</v>
      </c>
      <c r="E22" s="35" t="s">
        <v>168</v>
      </c>
      <c r="F22" s="35">
        <v>76.0</v>
      </c>
      <c r="G22" s="35">
        <v>6.41</v>
      </c>
      <c r="H22" s="35">
        <v>11.9</v>
      </c>
      <c r="I22" s="35" t="s">
        <v>75</v>
      </c>
    </row>
    <row r="23" ht="22.5" customHeight="1">
      <c r="A23" s="35" t="s">
        <v>172</v>
      </c>
      <c r="B23" s="35" t="s">
        <v>174</v>
      </c>
      <c r="C23" s="35" t="s">
        <v>61</v>
      </c>
      <c r="D23" s="35" t="s">
        <v>106</v>
      </c>
      <c r="E23" s="35" t="s">
        <v>107</v>
      </c>
      <c r="F23" s="35">
        <v>396.0</v>
      </c>
      <c r="G23" s="35">
        <v>26.37</v>
      </c>
      <c r="H23" s="35">
        <v>15.0</v>
      </c>
      <c r="I23" s="35" t="s">
        <v>75</v>
      </c>
    </row>
    <row r="24" ht="22.5" customHeight="1">
      <c r="A24" s="35" t="s">
        <v>177</v>
      </c>
      <c r="B24" s="35" t="s">
        <v>179</v>
      </c>
      <c r="C24" s="35" t="s">
        <v>61</v>
      </c>
      <c r="D24" s="35" t="s">
        <v>123</v>
      </c>
      <c r="E24" s="35" t="s">
        <v>181</v>
      </c>
      <c r="F24" s="35">
        <v>96.0</v>
      </c>
      <c r="G24" s="35">
        <v>6.83</v>
      </c>
      <c r="H24" s="35">
        <v>14.1</v>
      </c>
      <c r="I24" s="35" t="s">
        <v>75</v>
      </c>
    </row>
    <row r="25" ht="22.5" customHeight="1">
      <c r="A25" s="35" t="s">
        <v>184</v>
      </c>
      <c r="B25" s="35" t="s">
        <v>186</v>
      </c>
      <c r="C25" s="35" t="s">
        <v>61</v>
      </c>
      <c r="D25" s="35" t="s">
        <v>136</v>
      </c>
      <c r="E25" s="35" t="s">
        <v>189</v>
      </c>
      <c r="F25" s="35">
        <v>45.0</v>
      </c>
      <c r="G25" s="35">
        <v>5.58</v>
      </c>
      <c r="H25" s="35">
        <v>8.1</v>
      </c>
      <c r="I25" s="35" t="s">
        <v>75</v>
      </c>
    </row>
    <row r="26" ht="22.5" customHeight="1">
      <c r="A26" s="35" t="s">
        <v>193</v>
      </c>
      <c r="B26" s="35" t="s">
        <v>194</v>
      </c>
      <c r="C26" s="35" t="s">
        <v>61</v>
      </c>
      <c r="D26" s="35" t="s">
        <v>140</v>
      </c>
      <c r="E26" s="35" t="s">
        <v>147</v>
      </c>
      <c r="F26" s="35">
        <v>361.0</v>
      </c>
      <c r="G26" s="35">
        <v>6.32</v>
      </c>
      <c r="H26" s="35">
        <v>57.1</v>
      </c>
      <c r="I26" s="35" t="s">
        <v>75</v>
      </c>
    </row>
    <row r="27" ht="22.5" customHeight="1">
      <c r="A27" s="35" t="s">
        <v>199</v>
      </c>
      <c r="B27" s="35" t="s">
        <v>201</v>
      </c>
      <c r="C27" s="35" t="s">
        <v>61</v>
      </c>
      <c r="D27" s="35" t="s">
        <v>73</v>
      </c>
      <c r="E27" s="35" t="s">
        <v>74</v>
      </c>
      <c r="F27" s="35">
        <v>209.0</v>
      </c>
      <c r="G27" s="35">
        <v>8.05</v>
      </c>
      <c r="H27" s="35">
        <v>26.0</v>
      </c>
      <c r="I27" s="35" t="s">
        <v>75</v>
      </c>
    </row>
    <row r="28" ht="22.5" customHeight="1">
      <c r="A28" s="35" t="s">
        <v>208</v>
      </c>
      <c r="B28" s="35" t="s">
        <v>209</v>
      </c>
      <c r="C28" s="35" t="s">
        <v>61</v>
      </c>
      <c r="D28" s="35" t="s">
        <v>136</v>
      </c>
      <c r="E28" s="35" t="s">
        <v>189</v>
      </c>
      <c r="F28" s="35">
        <v>2578.0</v>
      </c>
      <c r="G28" s="35">
        <v>15.48</v>
      </c>
      <c r="H28" s="35">
        <v>166.5</v>
      </c>
      <c r="I28" s="35" t="s">
        <v>142</v>
      </c>
    </row>
    <row r="29" ht="22.5" customHeight="1">
      <c r="A29" s="35" t="s">
        <v>213</v>
      </c>
      <c r="B29" s="35" t="s">
        <v>215</v>
      </c>
      <c r="C29" s="35" t="s">
        <v>61</v>
      </c>
      <c r="D29" s="35" t="s">
        <v>198</v>
      </c>
      <c r="E29" s="35" t="s">
        <v>217</v>
      </c>
      <c r="F29" s="35">
        <v>337.0</v>
      </c>
      <c r="G29" s="35">
        <v>11.83</v>
      </c>
      <c r="H29" s="35">
        <v>28.5</v>
      </c>
      <c r="I29" s="35" t="s">
        <v>75</v>
      </c>
    </row>
    <row r="30" ht="22.5" customHeight="1">
      <c r="A30" s="35" t="s">
        <v>221</v>
      </c>
      <c r="B30" s="35" t="s">
        <v>222</v>
      </c>
      <c r="C30" s="35" t="s">
        <v>61</v>
      </c>
      <c r="D30" s="35" t="s">
        <v>198</v>
      </c>
      <c r="E30" s="35" t="s">
        <v>217</v>
      </c>
      <c r="F30" s="35">
        <v>238.0</v>
      </c>
      <c r="G30" s="35">
        <v>2.11</v>
      </c>
      <c r="H30" s="35">
        <v>112.8</v>
      </c>
      <c r="I30" s="35" t="s">
        <v>75</v>
      </c>
    </row>
    <row r="31" ht="22.5" customHeight="1">
      <c r="A31" s="35" t="s">
        <v>226</v>
      </c>
      <c r="B31" s="35" t="s">
        <v>227</v>
      </c>
      <c r="C31" s="35" t="s">
        <v>61</v>
      </c>
      <c r="D31" s="35" t="s">
        <v>156</v>
      </c>
      <c r="E31" s="35" t="s">
        <v>157</v>
      </c>
      <c r="F31" s="35">
        <v>658.0</v>
      </c>
      <c r="G31" s="35">
        <v>23.7</v>
      </c>
      <c r="H31" s="35">
        <v>27.8</v>
      </c>
      <c r="I31" s="35" t="s">
        <v>62</v>
      </c>
    </row>
    <row r="32" ht="22.5" customHeight="1">
      <c r="A32" s="35" t="s">
        <v>232</v>
      </c>
      <c r="B32" s="35" t="s">
        <v>233</v>
      </c>
      <c r="C32" s="35" t="s">
        <v>61</v>
      </c>
      <c r="D32" s="35" t="s">
        <v>140</v>
      </c>
      <c r="E32" s="35" t="s">
        <v>147</v>
      </c>
      <c r="F32" s="35">
        <v>231.0</v>
      </c>
      <c r="G32" s="35">
        <v>3.74</v>
      </c>
      <c r="H32" s="35">
        <v>61.8</v>
      </c>
      <c r="I32" s="35" t="s">
        <v>75</v>
      </c>
    </row>
    <row r="33" ht="22.5" customHeight="1">
      <c r="A33" s="35" t="s">
        <v>238</v>
      </c>
      <c r="B33" s="35" t="s">
        <v>239</v>
      </c>
      <c r="C33" s="35" t="s">
        <v>61</v>
      </c>
      <c r="D33" s="35" t="s">
        <v>86</v>
      </c>
      <c r="E33" s="35" t="s">
        <v>87</v>
      </c>
      <c r="F33" s="35">
        <v>102.0</v>
      </c>
      <c r="G33" s="35">
        <v>4.44</v>
      </c>
      <c r="H33" s="35">
        <v>23.0</v>
      </c>
      <c r="I33" s="35" t="s">
        <v>75</v>
      </c>
    </row>
    <row r="34" ht="22.5" customHeight="1">
      <c r="A34" s="35" t="s">
        <v>240</v>
      </c>
      <c r="B34" s="35" t="s">
        <v>241</v>
      </c>
      <c r="C34" s="35" t="s">
        <v>61</v>
      </c>
      <c r="D34" s="35" t="s">
        <v>102</v>
      </c>
      <c r="E34" s="35" t="s">
        <v>103</v>
      </c>
      <c r="F34" s="35">
        <v>104.0</v>
      </c>
      <c r="G34" s="35">
        <v>5.71</v>
      </c>
      <c r="H34" s="35">
        <v>18.2</v>
      </c>
      <c r="I34" s="35" t="s">
        <v>75</v>
      </c>
    </row>
    <row r="35" ht="22.5" customHeight="1">
      <c r="A35" s="35" t="s">
        <v>242</v>
      </c>
      <c r="B35" s="35" t="s">
        <v>243</v>
      </c>
      <c r="C35" s="35" t="s">
        <v>61</v>
      </c>
      <c r="D35" s="35" t="s">
        <v>82</v>
      </c>
      <c r="E35" s="35" t="s">
        <v>83</v>
      </c>
      <c r="F35" s="35">
        <v>273.0</v>
      </c>
      <c r="G35" s="35">
        <v>10.73</v>
      </c>
      <c r="H35" s="35">
        <v>25.4</v>
      </c>
      <c r="I35" s="35" t="s">
        <v>75</v>
      </c>
    </row>
    <row r="36" ht="22.5" customHeight="1">
      <c r="A36" s="35" t="s">
        <v>244</v>
      </c>
      <c r="B36" s="35" t="s">
        <v>245</v>
      </c>
      <c r="C36" s="35" t="s">
        <v>61</v>
      </c>
      <c r="D36" s="35" t="s">
        <v>90</v>
      </c>
      <c r="E36" s="35" t="s">
        <v>91</v>
      </c>
      <c r="F36" s="35">
        <v>72.0</v>
      </c>
      <c r="G36" s="35">
        <v>2.64</v>
      </c>
      <c r="H36" s="35">
        <v>27.3</v>
      </c>
      <c r="I36" s="35" t="s">
        <v>75</v>
      </c>
    </row>
    <row r="37" ht="22.5" customHeight="1">
      <c r="A37" s="35" t="s">
        <v>246</v>
      </c>
      <c r="B37" s="35" t="s">
        <v>247</v>
      </c>
      <c r="C37" s="35" t="s">
        <v>61</v>
      </c>
      <c r="D37" s="35" t="s">
        <v>136</v>
      </c>
      <c r="E37" s="35" t="s">
        <v>189</v>
      </c>
      <c r="F37" s="35">
        <v>1348.0</v>
      </c>
      <c r="G37" s="35">
        <v>9.73</v>
      </c>
      <c r="H37" s="35">
        <v>138.5</v>
      </c>
      <c r="I37" s="35" t="s">
        <v>62</v>
      </c>
    </row>
    <row r="38" ht="22.5" customHeight="1">
      <c r="A38" s="35" t="s">
        <v>248</v>
      </c>
      <c r="B38" s="35" t="s">
        <v>249</v>
      </c>
      <c r="C38" s="35" t="s">
        <v>61</v>
      </c>
      <c r="D38" s="35" t="s">
        <v>166</v>
      </c>
      <c r="E38" s="35" t="s">
        <v>168</v>
      </c>
      <c r="F38" s="35">
        <v>62.0</v>
      </c>
      <c r="G38" s="35">
        <v>6.04</v>
      </c>
      <c r="H38" s="35">
        <v>10.3</v>
      </c>
      <c r="I38" s="35" t="s">
        <v>75</v>
      </c>
    </row>
    <row r="39" ht="22.5" customHeight="1">
      <c r="A39" s="35" t="s">
        <v>250</v>
      </c>
      <c r="B39" s="35" t="s">
        <v>251</v>
      </c>
      <c r="C39" s="35" t="s">
        <v>61</v>
      </c>
      <c r="D39" s="35" t="s">
        <v>73</v>
      </c>
      <c r="E39" s="35" t="s">
        <v>74</v>
      </c>
      <c r="F39" s="35">
        <v>176.0</v>
      </c>
      <c r="G39" s="35">
        <v>9.27</v>
      </c>
      <c r="H39" s="35">
        <v>19.0</v>
      </c>
      <c r="I39" s="35" t="s">
        <v>75</v>
      </c>
    </row>
    <row r="40" ht="22.5" customHeight="1">
      <c r="A40" s="35" t="s">
        <v>252</v>
      </c>
      <c r="B40" s="35" t="s">
        <v>253</v>
      </c>
      <c r="C40" s="35" t="s">
        <v>61</v>
      </c>
      <c r="D40" s="35" t="s">
        <v>165</v>
      </c>
      <c r="E40" s="35" t="s">
        <v>254</v>
      </c>
      <c r="F40" s="35">
        <v>175.0</v>
      </c>
      <c r="G40" s="35">
        <v>6.85</v>
      </c>
      <c r="H40" s="35">
        <v>25.5</v>
      </c>
      <c r="I40" s="35" t="s">
        <v>75</v>
      </c>
    </row>
    <row r="41" ht="22.5" customHeight="1">
      <c r="A41" s="35" t="s">
        <v>256</v>
      </c>
      <c r="B41" s="35" t="s">
        <v>257</v>
      </c>
      <c r="C41" s="35" t="s">
        <v>61</v>
      </c>
      <c r="D41" s="35" t="s">
        <v>50</v>
      </c>
      <c r="E41" s="35" t="s">
        <v>49</v>
      </c>
      <c r="F41" s="35">
        <v>777.0</v>
      </c>
      <c r="G41" s="35">
        <v>3.63</v>
      </c>
      <c r="H41" s="35">
        <v>214.0</v>
      </c>
      <c r="I41" s="35" t="s">
        <v>62</v>
      </c>
    </row>
    <row r="42" ht="22.5" customHeight="1">
      <c r="A42" s="35" t="s">
        <v>258</v>
      </c>
      <c r="B42" s="35" t="s">
        <v>259</v>
      </c>
      <c r="C42" s="35" t="s">
        <v>61</v>
      </c>
      <c r="D42" s="35" t="s">
        <v>123</v>
      </c>
      <c r="E42" s="35" t="s">
        <v>181</v>
      </c>
      <c r="F42" s="35">
        <v>369.0</v>
      </c>
      <c r="G42" s="35">
        <v>2.77</v>
      </c>
      <c r="H42" s="35">
        <v>133.2</v>
      </c>
      <c r="I42" s="35" t="s">
        <v>75</v>
      </c>
    </row>
    <row r="43" ht="22.5" customHeight="1">
      <c r="A43" s="35" t="s">
        <v>260</v>
      </c>
      <c r="B43" s="35" t="s">
        <v>261</v>
      </c>
      <c r="C43" s="35" t="s">
        <v>61</v>
      </c>
      <c r="D43" s="35" t="s">
        <v>67</v>
      </c>
      <c r="E43" s="35" t="s">
        <v>68</v>
      </c>
      <c r="F43" s="35">
        <v>62.0</v>
      </c>
      <c r="G43" s="35">
        <v>2.17</v>
      </c>
      <c r="H43" s="35">
        <v>28.6</v>
      </c>
      <c r="I43" s="35" t="s">
        <v>75</v>
      </c>
    </row>
    <row r="44" ht="22.5" customHeight="1">
      <c r="A44" s="35" t="s">
        <v>262</v>
      </c>
      <c r="B44" s="35" t="s">
        <v>263</v>
      </c>
      <c r="C44" s="35" t="s">
        <v>61</v>
      </c>
      <c r="D44" s="35" t="s">
        <v>165</v>
      </c>
      <c r="E44" s="35" t="s">
        <v>254</v>
      </c>
      <c r="F44" s="35">
        <v>26.0</v>
      </c>
      <c r="G44" s="35">
        <v>3.33</v>
      </c>
      <c r="H44" s="35">
        <v>7.8</v>
      </c>
      <c r="I44" s="35" t="s">
        <v>75</v>
      </c>
    </row>
    <row r="45" ht="22.5" customHeight="1">
      <c r="A45" s="35" t="s">
        <v>264</v>
      </c>
      <c r="B45" s="35" t="s">
        <v>265</v>
      </c>
      <c r="C45" s="35" t="s">
        <v>61</v>
      </c>
      <c r="D45" s="35" t="s">
        <v>73</v>
      </c>
      <c r="E45" s="35" t="s">
        <v>74</v>
      </c>
      <c r="F45" s="35">
        <v>555.0</v>
      </c>
      <c r="G45" s="35">
        <v>11.49</v>
      </c>
      <c r="H45" s="35">
        <v>48.3</v>
      </c>
      <c r="I45" s="35" t="s">
        <v>62</v>
      </c>
    </row>
    <row r="46" ht="22.5" customHeight="1">
      <c r="A46" s="35" t="s">
        <v>266</v>
      </c>
      <c r="B46" s="35" t="s">
        <v>267</v>
      </c>
      <c r="C46" s="35" t="s">
        <v>61</v>
      </c>
      <c r="D46" s="35" t="s">
        <v>73</v>
      </c>
      <c r="E46" s="35" t="s">
        <v>74</v>
      </c>
      <c r="F46" s="35">
        <v>108.0</v>
      </c>
      <c r="G46" s="35">
        <v>6.7</v>
      </c>
      <c r="H46" s="35">
        <v>16.1</v>
      </c>
      <c r="I46" s="35" t="s">
        <v>75</v>
      </c>
    </row>
    <row r="47" ht="22.5" customHeight="1">
      <c r="A47" s="35" t="s">
        <v>269</v>
      </c>
      <c r="B47" s="35" t="s">
        <v>270</v>
      </c>
      <c r="C47" s="35" t="s">
        <v>61</v>
      </c>
      <c r="D47" s="35" t="s">
        <v>73</v>
      </c>
      <c r="E47" s="35" t="s">
        <v>74</v>
      </c>
      <c r="F47" s="35">
        <v>130.0</v>
      </c>
      <c r="G47" s="35">
        <v>7.99</v>
      </c>
      <c r="H47" s="35">
        <v>16.3</v>
      </c>
      <c r="I47" s="35" t="s">
        <v>75</v>
      </c>
    </row>
    <row r="48" ht="22.5" customHeight="1">
      <c r="A48" s="35" t="s">
        <v>271</v>
      </c>
      <c r="B48" s="35" t="s">
        <v>272</v>
      </c>
      <c r="C48" s="35" t="s">
        <v>61</v>
      </c>
      <c r="D48" s="35" t="s">
        <v>137</v>
      </c>
      <c r="E48" s="35" t="s">
        <v>138</v>
      </c>
      <c r="F48" s="35">
        <v>752.0</v>
      </c>
      <c r="G48" s="35">
        <v>14.91</v>
      </c>
      <c r="H48" s="35">
        <v>50.4</v>
      </c>
      <c r="I48" s="35" t="s">
        <v>62</v>
      </c>
    </row>
    <row r="49" ht="22.5" customHeight="1">
      <c r="A49" s="35" t="s">
        <v>274</v>
      </c>
      <c r="B49" s="35" t="s">
        <v>275</v>
      </c>
      <c r="C49" s="35" t="s">
        <v>61</v>
      </c>
      <c r="D49" s="35" t="s">
        <v>165</v>
      </c>
      <c r="E49" s="35" t="s">
        <v>254</v>
      </c>
      <c r="F49" s="35">
        <v>316.0</v>
      </c>
      <c r="G49" s="35">
        <v>7.69</v>
      </c>
      <c r="H49" s="35">
        <v>41.1</v>
      </c>
      <c r="I49" s="35" t="s">
        <v>75</v>
      </c>
    </row>
    <row r="50" ht="22.5" customHeight="1">
      <c r="A50" s="35" t="s">
        <v>279</v>
      </c>
      <c r="B50" s="35" t="s">
        <v>280</v>
      </c>
      <c r="C50" s="35" t="s">
        <v>61</v>
      </c>
      <c r="D50" s="35" t="s">
        <v>123</v>
      </c>
      <c r="E50" s="35" t="s">
        <v>181</v>
      </c>
      <c r="F50" s="35">
        <v>380.0</v>
      </c>
      <c r="G50" s="35">
        <v>7.6</v>
      </c>
      <c r="H50" s="35">
        <v>50.0</v>
      </c>
      <c r="I50" s="35" t="s">
        <v>75</v>
      </c>
    </row>
    <row r="51" ht="22.5" customHeight="1">
      <c r="A51" s="35" t="s">
        <v>281</v>
      </c>
      <c r="B51" s="35" t="s">
        <v>282</v>
      </c>
      <c r="C51" s="35" t="s">
        <v>61</v>
      </c>
      <c r="D51" s="35" t="s">
        <v>137</v>
      </c>
      <c r="E51" s="35" t="s">
        <v>138</v>
      </c>
      <c r="F51" s="35">
        <v>131.0</v>
      </c>
      <c r="G51" s="35">
        <v>7.08</v>
      </c>
      <c r="H51" s="35">
        <v>18.5</v>
      </c>
      <c r="I51" s="35" t="s">
        <v>75</v>
      </c>
    </row>
    <row r="52" ht="22.5" customHeight="1">
      <c r="A52" s="35" t="s">
        <v>283</v>
      </c>
      <c r="B52" s="35" t="s">
        <v>284</v>
      </c>
      <c r="C52" s="35" t="s">
        <v>61</v>
      </c>
      <c r="D52" s="35" t="s">
        <v>123</v>
      </c>
      <c r="E52" s="35" t="s">
        <v>181</v>
      </c>
      <c r="F52" s="35">
        <v>599.0</v>
      </c>
      <c r="G52" s="35">
        <v>41.57</v>
      </c>
      <c r="H52" s="35">
        <v>14.4</v>
      </c>
      <c r="I52" s="35" t="s">
        <v>62</v>
      </c>
    </row>
    <row r="53" ht="22.5" customHeight="1">
      <c r="A53" s="35" t="s">
        <v>286</v>
      </c>
      <c r="B53" s="35" t="s">
        <v>287</v>
      </c>
      <c r="C53" s="35" t="s">
        <v>61</v>
      </c>
      <c r="D53" s="35" t="s">
        <v>90</v>
      </c>
      <c r="E53" s="35" t="s">
        <v>91</v>
      </c>
      <c r="F53" s="35">
        <v>516.0</v>
      </c>
      <c r="G53" s="35">
        <v>13.65</v>
      </c>
      <c r="H53" s="35">
        <v>37.8</v>
      </c>
      <c r="I53" s="35" t="s">
        <v>62</v>
      </c>
    </row>
    <row r="54" ht="22.5" customHeight="1">
      <c r="A54" s="35" t="s">
        <v>288</v>
      </c>
      <c r="B54" s="35" t="s">
        <v>289</v>
      </c>
      <c r="C54" s="35" t="s">
        <v>61</v>
      </c>
      <c r="D54" s="35" t="s">
        <v>156</v>
      </c>
      <c r="E54" s="35" t="s">
        <v>157</v>
      </c>
      <c r="F54" s="35">
        <v>82.0</v>
      </c>
      <c r="G54" s="35">
        <v>9.2</v>
      </c>
      <c r="H54" s="35">
        <v>8.9</v>
      </c>
      <c r="I54" s="35" t="s">
        <v>75</v>
      </c>
    </row>
    <row r="55" ht="22.5" customHeight="1">
      <c r="A55" s="35" t="s">
        <v>290</v>
      </c>
      <c r="B55" s="35" t="s">
        <v>291</v>
      </c>
      <c r="C55" s="35" t="s">
        <v>61</v>
      </c>
      <c r="D55" s="35" t="s">
        <v>50</v>
      </c>
      <c r="E55" s="35" t="s">
        <v>49</v>
      </c>
      <c r="F55" s="35">
        <v>168.0</v>
      </c>
      <c r="G55" s="35">
        <v>5.44</v>
      </c>
      <c r="H55" s="35">
        <v>30.9</v>
      </c>
      <c r="I55" s="35" t="s">
        <v>75</v>
      </c>
    </row>
    <row r="56" ht="22.5" customHeight="1">
      <c r="A56" s="35" t="s">
        <v>292</v>
      </c>
      <c r="B56" s="35" t="s">
        <v>293</v>
      </c>
      <c r="C56" s="35" t="s">
        <v>61</v>
      </c>
      <c r="D56" s="35" t="s">
        <v>198</v>
      </c>
      <c r="E56" s="35" t="s">
        <v>217</v>
      </c>
      <c r="F56" s="35">
        <v>1281.0</v>
      </c>
      <c r="G56" s="35">
        <v>21.75</v>
      </c>
      <c r="H56" s="35">
        <v>58.9</v>
      </c>
      <c r="I56" s="35" t="s">
        <v>62</v>
      </c>
    </row>
    <row r="57" ht="22.5" customHeight="1">
      <c r="A57" s="35" t="s">
        <v>294</v>
      </c>
      <c r="B57" s="35" t="s">
        <v>295</v>
      </c>
      <c r="C57" s="35" t="s">
        <v>61</v>
      </c>
      <c r="D57" s="35" t="s">
        <v>86</v>
      </c>
      <c r="E57" s="35" t="s">
        <v>87</v>
      </c>
      <c r="F57" s="35">
        <v>794.0</v>
      </c>
      <c r="G57" s="35">
        <v>9.68</v>
      </c>
      <c r="H57" s="35">
        <v>82.0</v>
      </c>
      <c r="I57" s="35" t="s">
        <v>62</v>
      </c>
    </row>
    <row r="58" ht="22.5" customHeight="1">
      <c r="A58" s="35" t="s">
        <v>296</v>
      </c>
      <c r="B58" s="35" t="s">
        <v>297</v>
      </c>
      <c r="C58" s="35" t="s">
        <v>61</v>
      </c>
      <c r="D58" s="35" t="s">
        <v>50</v>
      </c>
      <c r="E58" s="35" t="s">
        <v>49</v>
      </c>
      <c r="F58" s="35">
        <v>2579.0</v>
      </c>
      <c r="G58" s="35">
        <v>7.53</v>
      </c>
      <c r="H58" s="35">
        <v>342.5</v>
      </c>
      <c r="I58" s="35" t="s">
        <v>142</v>
      </c>
    </row>
    <row r="59" ht="22.5" customHeight="1">
      <c r="A59" s="35" t="s">
        <v>298</v>
      </c>
      <c r="B59" s="35" t="s">
        <v>299</v>
      </c>
      <c r="C59" s="35" t="s">
        <v>61</v>
      </c>
      <c r="D59" s="35" t="s">
        <v>198</v>
      </c>
      <c r="E59" s="35" t="s">
        <v>217</v>
      </c>
      <c r="F59" s="35">
        <v>263.0</v>
      </c>
      <c r="G59" s="35">
        <v>7.5</v>
      </c>
      <c r="H59" s="35">
        <v>35.1</v>
      </c>
      <c r="I59" s="35" t="s">
        <v>75</v>
      </c>
    </row>
    <row r="60" ht="22.5" customHeight="1">
      <c r="A60" s="35" t="s">
        <v>301</v>
      </c>
      <c r="B60" s="35" t="s">
        <v>302</v>
      </c>
      <c r="C60" s="35" t="s">
        <v>61</v>
      </c>
      <c r="D60" s="35" t="s">
        <v>198</v>
      </c>
      <c r="E60" s="35" t="s">
        <v>217</v>
      </c>
      <c r="F60" s="35">
        <v>268.0</v>
      </c>
      <c r="G60" s="35">
        <v>4.72</v>
      </c>
      <c r="H60" s="35">
        <v>56.8</v>
      </c>
      <c r="I60" s="35" t="s">
        <v>75</v>
      </c>
    </row>
    <row r="61" ht="22.5" customHeight="1">
      <c r="A61" s="35" t="s">
        <v>303</v>
      </c>
      <c r="B61" s="35" t="s">
        <v>304</v>
      </c>
      <c r="C61" s="35" t="s">
        <v>61</v>
      </c>
      <c r="D61" s="35" t="s">
        <v>123</v>
      </c>
      <c r="E61" s="35" t="s">
        <v>181</v>
      </c>
      <c r="F61" s="35">
        <v>131.0</v>
      </c>
      <c r="G61" s="35">
        <v>6.75</v>
      </c>
      <c r="H61" s="35">
        <v>19.4</v>
      </c>
      <c r="I61" s="35" t="s">
        <v>75</v>
      </c>
    </row>
    <row r="62" ht="22.5" customHeight="1">
      <c r="A62" s="35" t="s">
        <v>305</v>
      </c>
      <c r="B62" s="35" t="s">
        <v>306</v>
      </c>
      <c r="C62" s="35" t="s">
        <v>61</v>
      </c>
      <c r="D62" s="35" t="s">
        <v>198</v>
      </c>
      <c r="E62" s="35" t="s">
        <v>217</v>
      </c>
      <c r="F62" s="35">
        <v>378.0</v>
      </c>
      <c r="G62" s="35">
        <v>6.44</v>
      </c>
      <c r="H62" s="35">
        <v>58.7</v>
      </c>
      <c r="I62" s="35" t="s">
        <v>75</v>
      </c>
    </row>
    <row r="63" ht="22.5" customHeight="1">
      <c r="A63" s="35" t="s">
        <v>307</v>
      </c>
      <c r="B63" s="35" t="s">
        <v>308</v>
      </c>
      <c r="C63" s="35" t="s">
        <v>61</v>
      </c>
      <c r="D63" s="35" t="s">
        <v>67</v>
      </c>
      <c r="E63" s="35" t="s">
        <v>68</v>
      </c>
      <c r="F63" s="35">
        <v>3659.0</v>
      </c>
      <c r="G63" s="35">
        <v>4.49</v>
      </c>
      <c r="H63" s="35">
        <v>814.9</v>
      </c>
      <c r="I63" s="35" t="s">
        <v>142</v>
      </c>
    </row>
    <row r="64" ht="22.5" customHeight="1">
      <c r="A64" s="35" t="s">
        <v>309</v>
      </c>
      <c r="B64" s="35" t="s">
        <v>310</v>
      </c>
      <c r="C64" s="35" t="s">
        <v>61</v>
      </c>
      <c r="D64" s="35" t="s">
        <v>198</v>
      </c>
      <c r="E64" s="35" t="s">
        <v>217</v>
      </c>
      <c r="F64" s="35">
        <v>560.0</v>
      </c>
      <c r="G64" s="35">
        <v>9.78</v>
      </c>
      <c r="H64" s="35">
        <v>57.3</v>
      </c>
      <c r="I64" s="35" t="s">
        <v>62</v>
      </c>
    </row>
    <row r="65" ht="22.5" customHeight="1">
      <c r="A65" s="35" t="s">
        <v>311</v>
      </c>
      <c r="B65" s="35" t="s">
        <v>313</v>
      </c>
      <c r="C65" s="35" t="s">
        <v>61</v>
      </c>
      <c r="D65" s="35" t="s">
        <v>94</v>
      </c>
      <c r="E65" s="35" t="s">
        <v>95</v>
      </c>
      <c r="F65" s="35">
        <v>191.0</v>
      </c>
      <c r="G65" s="35">
        <v>6.8</v>
      </c>
      <c r="H65" s="35">
        <v>28.1</v>
      </c>
      <c r="I65" s="35" t="s">
        <v>75</v>
      </c>
    </row>
    <row r="66" ht="22.5" customHeight="1">
      <c r="A66" s="35" t="s">
        <v>314</v>
      </c>
      <c r="B66" s="35" t="s">
        <v>315</v>
      </c>
      <c r="C66" s="35" t="s">
        <v>61</v>
      </c>
      <c r="D66" s="35" t="s">
        <v>165</v>
      </c>
      <c r="E66" s="35" t="s">
        <v>254</v>
      </c>
      <c r="F66" s="35">
        <v>205.0</v>
      </c>
      <c r="G66" s="35">
        <v>4.47</v>
      </c>
      <c r="H66" s="35">
        <v>45.9</v>
      </c>
      <c r="I66" s="35" t="s">
        <v>75</v>
      </c>
    </row>
    <row r="67" ht="22.5" customHeight="1">
      <c r="A67" s="35" t="s">
        <v>316</v>
      </c>
      <c r="B67" s="35" t="s">
        <v>317</v>
      </c>
      <c r="C67" s="35" t="s">
        <v>61</v>
      </c>
      <c r="D67" s="35" t="s">
        <v>165</v>
      </c>
      <c r="E67" s="35" t="s">
        <v>254</v>
      </c>
      <c r="F67" s="35">
        <v>85.0</v>
      </c>
      <c r="G67" s="35">
        <v>5.22</v>
      </c>
      <c r="H67" s="35">
        <v>16.3</v>
      </c>
      <c r="I67" s="35" t="s">
        <v>75</v>
      </c>
    </row>
    <row r="68" ht="22.5" customHeight="1">
      <c r="A68" s="35" t="s">
        <v>318</v>
      </c>
      <c r="B68" s="35" t="s">
        <v>319</v>
      </c>
      <c r="C68" s="35" t="s">
        <v>61</v>
      </c>
      <c r="D68" s="35" t="s">
        <v>166</v>
      </c>
      <c r="E68" s="35" t="s">
        <v>168</v>
      </c>
      <c r="F68" s="35">
        <v>104.0</v>
      </c>
      <c r="G68" s="35">
        <v>6.68</v>
      </c>
      <c r="H68" s="35">
        <v>15.6</v>
      </c>
      <c r="I68" s="35" t="s">
        <v>75</v>
      </c>
    </row>
    <row r="69" ht="22.5" customHeight="1">
      <c r="A69" s="35" t="s">
        <v>320</v>
      </c>
      <c r="B69" s="35" t="s">
        <v>321</v>
      </c>
      <c r="C69" s="35" t="s">
        <v>61</v>
      </c>
      <c r="D69" s="35" t="s">
        <v>82</v>
      </c>
      <c r="E69" s="35" t="s">
        <v>83</v>
      </c>
      <c r="F69" s="35">
        <v>431.0</v>
      </c>
      <c r="G69" s="35">
        <v>16.74</v>
      </c>
      <c r="H69" s="35">
        <v>25.7</v>
      </c>
      <c r="I69" s="35" t="s">
        <v>75</v>
      </c>
    </row>
    <row r="70" ht="22.5" customHeight="1">
      <c r="A70" s="35" t="s">
        <v>322</v>
      </c>
      <c r="B70" s="35" t="s">
        <v>324</v>
      </c>
      <c r="C70" s="35" t="s">
        <v>61</v>
      </c>
      <c r="D70" s="35" t="s">
        <v>102</v>
      </c>
      <c r="E70" s="35" t="s">
        <v>103</v>
      </c>
      <c r="F70" s="35">
        <v>631.0</v>
      </c>
      <c r="G70" s="35">
        <v>7.94</v>
      </c>
      <c r="H70" s="35">
        <v>79.5</v>
      </c>
      <c r="I70" s="35" t="s">
        <v>62</v>
      </c>
    </row>
    <row r="71" ht="22.5" customHeight="1">
      <c r="A71" s="35" t="s">
        <v>326</v>
      </c>
      <c r="B71" s="35" t="s">
        <v>327</v>
      </c>
      <c r="C71" s="35" t="s">
        <v>61</v>
      </c>
      <c r="D71" s="35" t="s">
        <v>86</v>
      </c>
      <c r="E71" s="35" t="s">
        <v>87</v>
      </c>
      <c r="F71" s="35">
        <v>178.0</v>
      </c>
      <c r="G71" s="35">
        <v>4.98</v>
      </c>
      <c r="H71" s="35">
        <v>35.7</v>
      </c>
      <c r="I71" s="35" t="s">
        <v>75</v>
      </c>
    </row>
    <row r="72" ht="22.5" customHeight="1">
      <c r="A72" s="35" t="s">
        <v>329</v>
      </c>
      <c r="B72" s="35" t="s">
        <v>330</v>
      </c>
      <c r="C72" s="35" t="s">
        <v>61</v>
      </c>
      <c r="D72" s="35" t="s">
        <v>78</v>
      </c>
      <c r="E72" s="35" t="s">
        <v>79</v>
      </c>
      <c r="F72" s="35">
        <v>722.0</v>
      </c>
      <c r="G72" s="35">
        <v>8.15</v>
      </c>
      <c r="H72" s="35">
        <v>88.6</v>
      </c>
      <c r="I72" s="35" t="s">
        <v>62</v>
      </c>
    </row>
    <row r="73" ht="22.5" customHeight="1">
      <c r="A73" s="35" t="s">
        <v>331</v>
      </c>
      <c r="B73" s="35" t="s">
        <v>332</v>
      </c>
      <c r="C73" s="35" t="s">
        <v>61</v>
      </c>
      <c r="D73" s="35" t="s">
        <v>50</v>
      </c>
      <c r="E73" s="35" t="s">
        <v>49</v>
      </c>
      <c r="F73" s="35">
        <v>601.0</v>
      </c>
      <c r="G73" s="35">
        <v>7.56</v>
      </c>
      <c r="H73" s="35">
        <v>79.5</v>
      </c>
      <c r="I73" s="35" t="s">
        <v>62</v>
      </c>
    </row>
    <row r="74" ht="22.5" customHeight="1">
      <c r="A74" s="35" t="s">
        <v>334</v>
      </c>
      <c r="B74" s="35" t="s">
        <v>335</v>
      </c>
      <c r="C74" s="35" t="s">
        <v>61</v>
      </c>
      <c r="D74" s="35" t="s">
        <v>94</v>
      </c>
      <c r="E74" s="35" t="s">
        <v>95</v>
      </c>
      <c r="F74" s="35">
        <v>203.0</v>
      </c>
      <c r="G74" s="35">
        <v>3.13</v>
      </c>
      <c r="H74" s="35">
        <v>64.9</v>
      </c>
      <c r="I74" s="35" t="s">
        <v>75</v>
      </c>
    </row>
    <row r="75" ht="22.5" customHeight="1">
      <c r="A75" s="35" t="s">
        <v>336</v>
      </c>
      <c r="B75" s="35" t="s">
        <v>337</v>
      </c>
      <c r="C75" s="35" t="s">
        <v>61</v>
      </c>
      <c r="D75" s="35" t="s">
        <v>78</v>
      </c>
      <c r="E75" s="35" t="s">
        <v>79</v>
      </c>
      <c r="F75" s="35">
        <v>159.0</v>
      </c>
      <c r="G75" s="35">
        <v>4.52</v>
      </c>
      <c r="H75" s="35">
        <v>35.2</v>
      </c>
      <c r="I75" s="35" t="s">
        <v>75</v>
      </c>
    </row>
    <row r="76" ht="22.5" customHeight="1">
      <c r="A76" s="35" t="s">
        <v>339</v>
      </c>
      <c r="B76" s="35" t="s">
        <v>340</v>
      </c>
      <c r="C76" s="35" t="s">
        <v>61</v>
      </c>
      <c r="D76" s="35" t="s">
        <v>137</v>
      </c>
      <c r="E76" s="35" t="s">
        <v>138</v>
      </c>
      <c r="F76" s="35">
        <v>166.0</v>
      </c>
      <c r="G76" s="35">
        <v>2.7</v>
      </c>
      <c r="H76" s="35">
        <v>61.5</v>
      </c>
      <c r="I76" s="35" t="s">
        <v>75</v>
      </c>
    </row>
    <row r="77" ht="22.5" customHeight="1">
      <c r="A77" s="35" t="s">
        <v>342</v>
      </c>
      <c r="B77" s="35" t="s">
        <v>343</v>
      </c>
      <c r="C77" s="35" t="s">
        <v>61</v>
      </c>
      <c r="D77" s="35" t="s">
        <v>156</v>
      </c>
      <c r="E77" s="35" t="s">
        <v>157</v>
      </c>
      <c r="F77" s="35">
        <v>132.0</v>
      </c>
      <c r="G77" s="35">
        <v>15.84</v>
      </c>
      <c r="H77" s="35">
        <v>8.3</v>
      </c>
      <c r="I77" s="35" t="s">
        <v>75</v>
      </c>
    </row>
    <row r="78" ht="22.5" customHeight="1">
      <c r="A78" s="35" t="s">
        <v>344</v>
      </c>
      <c r="B78" s="35" t="s">
        <v>345</v>
      </c>
      <c r="C78" s="35" t="s">
        <v>61</v>
      </c>
      <c r="D78" s="35" t="s">
        <v>136</v>
      </c>
      <c r="E78" s="35" t="s">
        <v>189</v>
      </c>
      <c r="F78" s="35">
        <v>309.0</v>
      </c>
      <c r="G78" s="35">
        <v>9.64</v>
      </c>
      <c r="H78" s="35">
        <v>32.1</v>
      </c>
      <c r="I78" s="35" t="s">
        <v>75</v>
      </c>
    </row>
    <row r="79" ht="22.5" customHeight="1">
      <c r="A79" s="35" t="s">
        <v>347</v>
      </c>
      <c r="B79" s="35" t="s">
        <v>348</v>
      </c>
      <c r="C79" s="35" t="s">
        <v>61</v>
      </c>
      <c r="D79" s="35" t="s">
        <v>50</v>
      </c>
      <c r="E79" s="35" t="s">
        <v>49</v>
      </c>
      <c r="F79" s="35">
        <v>421.0</v>
      </c>
      <c r="G79" s="35">
        <v>4.3</v>
      </c>
      <c r="H79" s="35">
        <v>97.9</v>
      </c>
      <c r="I79" s="35" t="s">
        <v>75</v>
      </c>
    </row>
    <row r="80" ht="22.5" customHeight="1">
      <c r="A80" s="35" t="s">
        <v>350</v>
      </c>
      <c r="B80" s="35" t="s">
        <v>351</v>
      </c>
      <c r="C80" s="35" t="s">
        <v>61</v>
      </c>
      <c r="D80" s="35" t="s">
        <v>106</v>
      </c>
      <c r="E80" s="35" t="s">
        <v>107</v>
      </c>
      <c r="F80" s="35">
        <v>120.0</v>
      </c>
      <c r="G80" s="35">
        <v>7.68</v>
      </c>
      <c r="H80" s="35">
        <v>15.6</v>
      </c>
      <c r="I80" s="35" t="s">
        <v>75</v>
      </c>
    </row>
    <row r="81" ht="22.5" customHeight="1">
      <c r="A81" s="35" t="s">
        <v>352</v>
      </c>
      <c r="B81" s="35" t="s">
        <v>353</v>
      </c>
      <c r="C81" s="35" t="s">
        <v>61</v>
      </c>
      <c r="D81" s="35" t="s">
        <v>123</v>
      </c>
      <c r="E81" s="35" t="s">
        <v>181</v>
      </c>
      <c r="F81" s="35">
        <v>736.0</v>
      </c>
      <c r="G81" s="35">
        <v>15.63</v>
      </c>
      <c r="H81" s="35">
        <v>47.1</v>
      </c>
      <c r="I81" s="35" t="s">
        <v>62</v>
      </c>
    </row>
    <row r="82" ht="22.5" customHeight="1">
      <c r="A82" s="35" t="s">
        <v>355</v>
      </c>
      <c r="B82" s="35" t="s">
        <v>356</v>
      </c>
      <c r="C82" s="35" t="s">
        <v>61</v>
      </c>
      <c r="D82" s="35" t="s">
        <v>182</v>
      </c>
      <c r="E82" s="35" t="s">
        <v>357</v>
      </c>
      <c r="F82" s="35">
        <v>248.0</v>
      </c>
      <c r="G82" s="35">
        <v>11.2</v>
      </c>
      <c r="H82" s="35">
        <v>22.1</v>
      </c>
      <c r="I82" s="35" t="s">
        <v>75</v>
      </c>
    </row>
    <row r="83" ht="22.5" customHeight="1">
      <c r="A83" s="35" t="s">
        <v>358</v>
      </c>
      <c r="B83" s="35" t="s">
        <v>359</v>
      </c>
      <c r="C83" s="35" t="s">
        <v>61</v>
      </c>
      <c r="D83" s="35" t="s">
        <v>123</v>
      </c>
      <c r="E83" s="35" t="s">
        <v>181</v>
      </c>
      <c r="F83" s="35">
        <v>991.0</v>
      </c>
      <c r="G83" s="35">
        <v>11.04</v>
      </c>
      <c r="H83" s="35">
        <v>89.8</v>
      </c>
      <c r="I83" s="35" t="s">
        <v>62</v>
      </c>
    </row>
    <row r="84" ht="22.5" customHeight="1">
      <c r="A84" s="35" t="s">
        <v>361</v>
      </c>
      <c r="B84" s="35" t="s">
        <v>362</v>
      </c>
      <c r="C84" s="35" t="s">
        <v>61</v>
      </c>
      <c r="D84" s="35" t="s">
        <v>50</v>
      </c>
      <c r="E84" s="35" t="s">
        <v>49</v>
      </c>
      <c r="F84" s="35">
        <v>979.0</v>
      </c>
      <c r="G84" s="35">
        <v>7.78</v>
      </c>
      <c r="H84" s="35">
        <v>125.8</v>
      </c>
      <c r="I84" s="35" t="s">
        <v>62</v>
      </c>
    </row>
    <row r="85" ht="22.5" customHeight="1">
      <c r="A85" s="35" t="s">
        <v>364</v>
      </c>
      <c r="B85" s="35" t="s">
        <v>365</v>
      </c>
      <c r="C85" s="35" t="s">
        <v>61</v>
      </c>
      <c r="D85" s="35" t="s">
        <v>102</v>
      </c>
      <c r="E85" s="35" t="s">
        <v>103</v>
      </c>
      <c r="F85" s="35">
        <v>31.0</v>
      </c>
      <c r="G85" s="35">
        <v>4.52</v>
      </c>
      <c r="H85" s="35">
        <v>6.9</v>
      </c>
      <c r="I85" s="35" t="s">
        <v>75</v>
      </c>
    </row>
    <row r="86" ht="22.5" customHeight="1">
      <c r="A86" s="35" t="s">
        <v>367</v>
      </c>
      <c r="B86" s="35" t="s">
        <v>368</v>
      </c>
      <c r="C86" s="35" t="s">
        <v>61</v>
      </c>
      <c r="D86" s="35" t="s">
        <v>136</v>
      </c>
      <c r="E86" s="35" t="s">
        <v>189</v>
      </c>
      <c r="F86" s="35">
        <v>80.0</v>
      </c>
      <c r="G86" s="35">
        <v>2.68</v>
      </c>
      <c r="H86" s="35">
        <v>29.9</v>
      </c>
      <c r="I86" s="35" t="s">
        <v>75</v>
      </c>
    </row>
    <row r="87" ht="22.5" customHeight="1">
      <c r="A87" s="35" t="s">
        <v>369</v>
      </c>
      <c r="B87" s="35" t="s">
        <v>370</v>
      </c>
      <c r="C87" s="35" t="s">
        <v>61</v>
      </c>
      <c r="D87" s="35" t="s">
        <v>67</v>
      </c>
      <c r="E87" s="35" t="s">
        <v>68</v>
      </c>
      <c r="F87" s="35">
        <v>1130.0</v>
      </c>
      <c r="G87" s="35">
        <v>7.54</v>
      </c>
      <c r="H87" s="35">
        <v>149.9</v>
      </c>
      <c r="I87" s="35" t="s">
        <v>62</v>
      </c>
    </row>
    <row r="88" ht="22.5" customHeight="1">
      <c r="A88" s="35" t="s">
        <v>372</v>
      </c>
      <c r="B88" s="35" t="s">
        <v>373</v>
      </c>
      <c r="C88" s="35" t="s">
        <v>61</v>
      </c>
      <c r="D88" s="35" t="s">
        <v>106</v>
      </c>
      <c r="E88" s="35" t="s">
        <v>107</v>
      </c>
      <c r="F88" s="35">
        <v>194.0</v>
      </c>
      <c r="G88" s="35">
        <v>10.18</v>
      </c>
      <c r="H88" s="35">
        <v>19.1</v>
      </c>
      <c r="I88" s="35" t="s">
        <v>75</v>
      </c>
    </row>
    <row r="89" ht="22.5" customHeight="1">
      <c r="A89" s="35" t="s">
        <v>375</v>
      </c>
      <c r="B89" s="35" t="s">
        <v>376</v>
      </c>
      <c r="C89" s="35" t="s">
        <v>61</v>
      </c>
      <c r="D89" s="35" t="s">
        <v>90</v>
      </c>
      <c r="E89" s="35" t="s">
        <v>91</v>
      </c>
      <c r="F89" s="35">
        <v>98.0</v>
      </c>
      <c r="G89" s="35">
        <v>5.27</v>
      </c>
      <c r="H89" s="35">
        <v>18.6</v>
      </c>
      <c r="I89" s="35" t="s">
        <v>75</v>
      </c>
    </row>
    <row r="90" ht="22.5" customHeight="1">
      <c r="A90" s="35" t="s">
        <v>378</v>
      </c>
      <c r="B90" s="35" t="s">
        <v>379</v>
      </c>
      <c r="C90" s="35" t="s">
        <v>61</v>
      </c>
      <c r="D90" s="35" t="s">
        <v>137</v>
      </c>
      <c r="E90" s="35" t="s">
        <v>138</v>
      </c>
      <c r="F90" s="35">
        <v>1162.0</v>
      </c>
      <c r="G90" s="35">
        <v>10.81</v>
      </c>
      <c r="H90" s="35">
        <v>107.5</v>
      </c>
      <c r="I90" s="35" t="s">
        <v>62</v>
      </c>
    </row>
    <row r="91" ht="22.5" customHeight="1">
      <c r="A91" s="35" t="s">
        <v>381</v>
      </c>
      <c r="B91" s="35" t="s">
        <v>382</v>
      </c>
      <c r="C91" s="35" t="s">
        <v>61</v>
      </c>
      <c r="D91" s="35" t="s">
        <v>123</v>
      </c>
      <c r="E91" s="35" t="s">
        <v>181</v>
      </c>
      <c r="F91" s="35">
        <v>474.0</v>
      </c>
      <c r="G91" s="35">
        <v>9.83</v>
      </c>
      <c r="H91" s="35">
        <v>48.2</v>
      </c>
      <c r="I91" s="35" t="s">
        <v>75</v>
      </c>
    </row>
    <row r="92" ht="22.5" customHeight="1">
      <c r="A92" s="35" t="s">
        <v>383</v>
      </c>
      <c r="B92" s="35" t="s">
        <v>384</v>
      </c>
      <c r="C92" s="35" t="s">
        <v>61</v>
      </c>
      <c r="D92" s="35" t="s">
        <v>198</v>
      </c>
      <c r="E92" s="35" t="s">
        <v>217</v>
      </c>
      <c r="F92" s="35">
        <v>5605.0</v>
      </c>
      <c r="G92" s="35">
        <v>31.78</v>
      </c>
      <c r="H92" s="35">
        <v>176.4</v>
      </c>
      <c r="I92" s="35" t="s">
        <v>142</v>
      </c>
    </row>
    <row r="93" ht="22.5" customHeight="1">
      <c r="A93" s="35" t="s">
        <v>385</v>
      </c>
      <c r="B93" s="35" t="s">
        <v>386</v>
      </c>
      <c r="C93" s="35" t="s">
        <v>61</v>
      </c>
      <c r="D93" s="35" t="s">
        <v>73</v>
      </c>
      <c r="E93" s="35" t="s">
        <v>74</v>
      </c>
      <c r="F93" s="35">
        <v>187.0</v>
      </c>
      <c r="G93" s="35">
        <v>10.45</v>
      </c>
      <c r="H93" s="35">
        <v>17.9</v>
      </c>
      <c r="I93" s="35" t="s">
        <v>75</v>
      </c>
    </row>
    <row r="94" ht="22.5" customHeight="1">
      <c r="A94" s="35" t="s">
        <v>388</v>
      </c>
      <c r="B94" s="35" t="s">
        <v>389</v>
      </c>
      <c r="C94" s="35" t="s">
        <v>61</v>
      </c>
      <c r="D94" s="35" t="s">
        <v>78</v>
      </c>
      <c r="E94" s="35" t="s">
        <v>79</v>
      </c>
      <c r="F94" s="35">
        <v>272.0</v>
      </c>
      <c r="G94" s="35">
        <v>13.42</v>
      </c>
      <c r="H94" s="35">
        <v>20.3</v>
      </c>
      <c r="I94" s="35" t="s">
        <v>75</v>
      </c>
    </row>
    <row r="95" ht="22.5" customHeight="1">
      <c r="A95" s="35" t="s">
        <v>391</v>
      </c>
      <c r="B95" s="35" t="s">
        <v>392</v>
      </c>
      <c r="C95" s="35" t="s">
        <v>61</v>
      </c>
      <c r="D95" s="35" t="s">
        <v>123</v>
      </c>
      <c r="E95" s="35" t="s">
        <v>181</v>
      </c>
      <c r="F95" s="35">
        <v>375.0</v>
      </c>
      <c r="G95" s="35">
        <v>2.15</v>
      </c>
      <c r="H95" s="35">
        <v>174.4</v>
      </c>
      <c r="I95" s="35" t="s">
        <v>75</v>
      </c>
    </row>
    <row r="96" ht="22.5" customHeight="1">
      <c r="A96" s="35" t="s">
        <v>393</v>
      </c>
      <c r="B96" s="35" t="s">
        <v>394</v>
      </c>
      <c r="C96" s="35" t="s">
        <v>61</v>
      </c>
      <c r="D96" s="35" t="s">
        <v>123</v>
      </c>
      <c r="E96" s="35" t="s">
        <v>181</v>
      </c>
      <c r="F96" s="35">
        <v>212.0</v>
      </c>
      <c r="G96" s="35">
        <v>6.34</v>
      </c>
      <c r="H96" s="35">
        <v>33.4</v>
      </c>
      <c r="I96" s="35" t="s">
        <v>75</v>
      </c>
    </row>
    <row r="97" ht="22.5" customHeight="1">
      <c r="A97" s="35" t="s">
        <v>395</v>
      </c>
      <c r="B97" s="35" t="s">
        <v>397</v>
      </c>
      <c r="C97" s="35" t="s">
        <v>61</v>
      </c>
      <c r="D97" s="35" t="s">
        <v>198</v>
      </c>
      <c r="E97" s="35" t="s">
        <v>217</v>
      </c>
      <c r="F97" s="35">
        <v>137.0</v>
      </c>
      <c r="G97" s="35">
        <v>8.01</v>
      </c>
      <c r="H97" s="35">
        <v>17.1</v>
      </c>
      <c r="I97" s="35" t="s">
        <v>75</v>
      </c>
    </row>
    <row r="98" ht="22.5" customHeight="1">
      <c r="A98" s="35" t="s">
        <v>398</v>
      </c>
      <c r="B98" s="35" t="s">
        <v>399</v>
      </c>
      <c r="C98" s="35" t="s">
        <v>61</v>
      </c>
      <c r="D98" s="35" t="s">
        <v>73</v>
      </c>
      <c r="E98" s="35" t="s">
        <v>74</v>
      </c>
      <c r="F98" s="35">
        <v>170.0</v>
      </c>
      <c r="G98" s="35">
        <v>9.75</v>
      </c>
      <c r="H98" s="35">
        <v>17.4</v>
      </c>
      <c r="I98" s="35" t="s">
        <v>75</v>
      </c>
    </row>
    <row r="99" ht="22.5" customHeight="1">
      <c r="A99" s="35" t="s">
        <v>401</v>
      </c>
      <c r="B99" s="35" t="s">
        <v>403</v>
      </c>
      <c r="C99" s="35" t="s">
        <v>61</v>
      </c>
      <c r="D99" s="35" t="s">
        <v>86</v>
      </c>
      <c r="E99" s="35" t="s">
        <v>87</v>
      </c>
      <c r="F99" s="35">
        <v>181.0</v>
      </c>
      <c r="G99" s="35">
        <v>13.08</v>
      </c>
      <c r="H99" s="35">
        <v>13.8</v>
      </c>
      <c r="I99" s="35" t="s">
        <v>75</v>
      </c>
    </row>
    <row r="100" ht="22.5" customHeight="1">
      <c r="A100" s="35" t="s">
        <v>404</v>
      </c>
      <c r="B100" s="35" t="s">
        <v>405</v>
      </c>
      <c r="C100" s="35" t="s">
        <v>61</v>
      </c>
      <c r="D100" s="35" t="s">
        <v>165</v>
      </c>
      <c r="E100" s="35" t="s">
        <v>254</v>
      </c>
      <c r="F100" s="35">
        <v>1315.0</v>
      </c>
      <c r="G100" s="35">
        <v>10.69</v>
      </c>
      <c r="H100" s="35">
        <v>123.0</v>
      </c>
      <c r="I100" s="35" t="s">
        <v>62</v>
      </c>
    </row>
    <row r="101" ht="22.5" customHeight="1">
      <c r="A101" s="35" t="s">
        <v>407</v>
      </c>
      <c r="B101" s="35" t="s">
        <v>408</v>
      </c>
      <c r="C101" s="35" t="s">
        <v>61</v>
      </c>
      <c r="D101" s="35" t="s">
        <v>78</v>
      </c>
      <c r="E101" s="35" t="s">
        <v>79</v>
      </c>
      <c r="F101" s="35">
        <v>96.0</v>
      </c>
      <c r="G101" s="35">
        <v>4.39</v>
      </c>
      <c r="H101" s="35">
        <v>21.9</v>
      </c>
      <c r="I101" s="35" t="s">
        <v>75</v>
      </c>
    </row>
    <row r="102" ht="22.5" customHeight="1">
      <c r="A102" s="35" t="s">
        <v>409</v>
      </c>
      <c r="B102" s="35" t="s">
        <v>410</v>
      </c>
      <c r="C102" s="35" t="s">
        <v>61</v>
      </c>
      <c r="D102" s="35" t="s">
        <v>123</v>
      </c>
      <c r="E102" s="35" t="s">
        <v>181</v>
      </c>
      <c r="F102" s="35">
        <v>183.0</v>
      </c>
      <c r="G102" s="35">
        <v>7.61</v>
      </c>
      <c r="H102" s="35">
        <v>24.0</v>
      </c>
      <c r="I102" s="35" t="s">
        <v>75</v>
      </c>
    </row>
    <row r="103" ht="22.5" customHeight="1">
      <c r="A103" s="35" t="s">
        <v>412</v>
      </c>
      <c r="B103" s="35" t="s">
        <v>413</v>
      </c>
      <c r="C103" s="35" t="s">
        <v>61</v>
      </c>
      <c r="D103" s="35" t="s">
        <v>86</v>
      </c>
      <c r="E103" s="35" t="s">
        <v>87</v>
      </c>
      <c r="F103" s="35">
        <v>809.0</v>
      </c>
      <c r="G103" s="35">
        <v>5.13</v>
      </c>
      <c r="H103" s="35">
        <v>157.7</v>
      </c>
      <c r="I103" s="35" t="s">
        <v>62</v>
      </c>
    </row>
    <row r="104" ht="22.5" customHeight="1">
      <c r="A104" s="35" t="s">
        <v>415</v>
      </c>
      <c r="B104" s="35" t="s">
        <v>416</v>
      </c>
      <c r="C104" s="35" t="s">
        <v>61</v>
      </c>
      <c r="D104" s="35" t="s">
        <v>137</v>
      </c>
      <c r="E104" s="35" t="s">
        <v>138</v>
      </c>
      <c r="F104" s="35">
        <v>104.0</v>
      </c>
      <c r="G104" s="35">
        <v>2.81</v>
      </c>
      <c r="H104" s="35">
        <v>37.0</v>
      </c>
      <c r="I104" s="35" t="s">
        <v>75</v>
      </c>
    </row>
    <row r="105" ht="22.5" customHeight="1">
      <c r="A105" s="35" t="s">
        <v>418</v>
      </c>
      <c r="B105" s="35" t="s">
        <v>419</v>
      </c>
      <c r="C105" s="35" t="s">
        <v>61</v>
      </c>
      <c r="D105" s="35" t="s">
        <v>137</v>
      </c>
      <c r="E105" s="35" t="s">
        <v>138</v>
      </c>
      <c r="F105" s="35">
        <v>140.0</v>
      </c>
      <c r="G105" s="35">
        <v>1.94</v>
      </c>
      <c r="H105" s="35">
        <v>72.2</v>
      </c>
      <c r="I105" s="35" t="s">
        <v>75</v>
      </c>
    </row>
    <row r="106" ht="22.5" customHeight="1">
      <c r="A106" s="35" t="s">
        <v>421</v>
      </c>
      <c r="B106" s="35" t="s">
        <v>422</v>
      </c>
      <c r="C106" s="35" t="s">
        <v>61</v>
      </c>
      <c r="D106" s="35" t="s">
        <v>165</v>
      </c>
      <c r="E106" s="35" t="s">
        <v>254</v>
      </c>
      <c r="F106" s="35">
        <v>464.0</v>
      </c>
      <c r="G106" s="35">
        <v>19.37</v>
      </c>
      <c r="H106" s="35">
        <v>24.0</v>
      </c>
      <c r="I106" s="35" t="s">
        <v>75</v>
      </c>
    </row>
    <row r="107" ht="22.5" customHeight="1">
      <c r="A107" s="35" t="s">
        <v>423</v>
      </c>
      <c r="B107" s="35" t="s">
        <v>424</v>
      </c>
      <c r="C107" s="35" t="s">
        <v>61</v>
      </c>
      <c r="D107" s="35" t="s">
        <v>90</v>
      </c>
      <c r="E107" s="35" t="s">
        <v>91</v>
      </c>
      <c r="F107" s="35">
        <v>2248.0</v>
      </c>
      <c r="G107" s="35">
        <v>11.59</v>
      </c>
      <c r="H107" s="35">
        <v>194.0</v>
      </c>
      <c r="I107" s="35" t="s">
        <v>142</v>
      </c>
    </row>
    <row r="108" ht="22.5" customHeight="1">
      <c r="A108" s="35" t="s">
        <v>425</v>
      </c>
      <c r="B108" s="35" t="s">
        <v>426</v>
      </c>
      <c r="C108" s="35" t="s">
        <v>61</v>
      </c>
      <c r="D108" s="35" t="s">
        <v>137</v>
      </c>
      <c r="E108" s="35" t="s">
        <v>138</v>
      </c>
      <c r="F108" s="35">
        <v>702.0</v>
      </c>
      <c r="G108" s="35">
        <v>6.71</v>
      </c>
      <c r="H108" s="35">
        <v>104.6</v>
      </c>
      <c r="I108" s="35" t="s">
        <v>62</v>
      </c>
    </row>
    <row r="109" ht="22.5" customHeight="1">
      <c r="A109" s="35" t="s">
        <v>428</v>
      </c>
      <c r="B109" s="35" t="s">
        <v>429</v>
      </c>
      <c r="C109" s="35" t="s">
        <v>61</v>
      </c>
      <c r="D109" s="35" t="s">
        <v>198</v>
      </c>
      <c r="E109" s="35" t="s">
        <v>217</v>
      </c>
      <c r="F109" s="35">
        <v>554.0</v>
      </c>
      <c r="G109" s="35">
        <v>13.35</v>
      </c>
      <c r="H109" s="35">
        <v>41.5</v>
      </c>
      <c r="I109" s="35" t="s">
        <v>62</v>
      </c>
    </row>
    <row r="110" ht="22.5" customHeight="1">
      <c r="A110" s="35" t="s">
        <v>431</v>
      </c>
      <c r="B110" s="35" t="s">
        <v>432</v>
      </c>
      <c r="C110" s="35" t="s">
        <v>61</v>
      </c>
      <c r="D110" s="35" t="s">
        <v>123</v>
      </c>
      <c r="E110" s="35" t="s">
        <v>181</v>
      </c>
      <c r="F110" s="35">
        <v>1788.0</v>
      </c>
      <c r="G110" s="35">
        <v>7.34</v>
      </c>
      <c r="H110" s="35">
        <v>243.6</v>
      </c>
      <c r="I110" s="35" t="s">
        <v>62</v>
      </c>
    </row>
    <row r="111" ht="22.5" customHeight="1">
      <c r="A111" s="35" t="s">
        <v>433</v>
      </c>
      <c r="B111" s="35" t="s">
        <v>434</v>
      </c>
      <c r="C111" s="35" t="s">
        <v>61</v>
      </c>
      <c r="D111" s="35" t="s">
        <v>86</v>
      </c>
      <c r="E111" s="35" t="s">
        <v>87</v>
      </c>
      <c r="F111" s="35">
        <v>195.0</v>
      </c>
      <c r="G111" s="35">
        <v>8.2</v>
      </c>
      <c r="H111" s="35">
        <v>23.8</v>
      </c>
      <c r="I111" s="35" t="s">
        <v>75</v>
      </c>
    </row>
    <row r="112" ht="22.5" customHeight="1">
      <c r="A112" s="35" t="s">
        <v>436</v>
      </c>
      <c r="B112" s="35" t="s">
        <v>437</v>
      </c>
      <c r="C112" s="35" t="s">
        <v>61</v>
      </c>
      <c r="D112" s="35" t="s">
        <v>165</v>
      </c>
      <c r="E112" s="35" t="s">
        <v>254</v>
      </c>
      <c r="F112" s="35">
        <v>131.0</v>
      </c>
      <c r="G112" s="35">
        <v>9.25</v>
      </c>
      <c r="H112" s="35">
        <v>14.2</v>
      </c>
      <c r="I112" s="35" t="s">
        <v>75</v>
      </c>
    </row>
    <row r="113" ht="22.5" customHeight="1">
      <c r="A113" s="35" t="s">
        <v>439</v>
      </c>
      <c r="B113" s="35" t="s">
        <v>440</v>
      </c>
      <c r="C113" s="35" t="s">
        <v>61</v>
      </c>
      <c r="D113" s="35" t="s">
        <v>140</v>
      </c>
      <c r="E113" s="35" t="s">
        <v>147</v>
      </c>
      <c r="F113" s="35">
        <v>64.0</v>
      </c>
      <c r="G113" s="35">
        <v>2.92</v>
      </c>
      <c r="H113" s="35">
        <v>21.9</v>
      </c>
      <c r="I113" s="35" t="s">
        <v>75</v>
      </c>
    </row>
    <row r="114" ht="22.5" customHeight="1">
      <c r="A114" s="35" t="s">
        <v>442</v>
      </c>
      <c r="B114" s="35" t="s">
        <v>443</v>
      </c>
      <c r="C114" s="35" t="s">
        <v>61</v>
      </c>
      <c r="D114" s="35" t="s">
        <v>90</v>
      </c>
      <c r="E114" s="35" t="s">
        <v>91</v>
      </c>
      <c r="F114" s="35">
        <v>129.0</v>
      </c>
      <c r="G114" s="35">
        <v>1.35</v>
      </c>
      <c r="H114" s="35">
        <v>95.6</v>
      </c>
      <c r="I114" s="35" t="s">
        <v>75</v>
      </c>
    </row>
    <row r="115" ht="22.5" customHeight="1">
      <c r="A115" s="35" t="s">
        <v>444</v>
      </c>
      <c r="B115" s="35" t="s">
        <v>445</v>
      </c>
      <c r="C115" s="35" t="s">
        <v>61</v>
      </c>
      <c r="D115" s="35" t="s">
        <v>123</v>
      </c>
      <c r="E115" s="35" t="s">
        <v>181</v>
      </c>
      <c r="F115" s="35">
        <v>317.0</v>
      </c>
      <c r="G115" s="35">
        <v>10.45</v>
      </c>
      <c r="H115" s="35">
        <v>30.3</v>
      </c>
      <c r="I115" s="35" t="s">
        <v>75</v>
      </c>
    </row>
    <row r="116" ht="22.5" customHeight="1">
      <c r="A116" s="35" t="s">
        <v>446</v>
      </c>
      <c r="B116" s="35" t="s">
        <v>448</v>
      </c>
      <c r="C116" s="35" t="s">
        <v>61</v>
      </c>
      <c r="D116" s="35" t="s">
        <v>90</v>
      </c>
      <c r="E116" s="35" t="s">
        <v>91</v>
      </c>
      <c r="F116" s="35">
        <v>193.0</v>
      </c>
      <c r="G116" s="35">
        <v>4.38</v>
      </c>
      <c r="H116" s="35">
        <v>44.1</v>
      </c>
      <c r="I116" s="35" t="s">
        <v>75</v>
      </c>
    </row>
    <row r="117" ht="22.5" customHeight="1">
      <c r="A117" s="35" t="s">
        <v>450</v>
      </c>
      <c r="B117" s="35" t="s">
        <v>451</v>
      </c>
      <c r="C117" s="35" t="s">
        <v>61</v>
      </c>
      <c r="D117" s="35" t="s">
        <v>106</v>
      </c>
      <c r="E117" s="35" t="s">
        <v>107</v>
      </c>
      <c r="F117" s="35">
        <v>210.0</v>
      </c>
      <c r="G117" s="35">
        <v>4.54</v>
      </c>
      <c r="H117" s="35">
        <v>46.3</v>
      </c>
      <c r="I117" s="35" t="s">
        <v>75</v>
      </c>
    </row>
    <row r="118" ht="22.5" customHeight="1">
      <c r="A118" s="35" t="s">
        <v>453</v>
      </c>
      <c r="B118" s="35" t="s">
        <v>454</v>
      </c>
      <c r="C118" s="35" t="s">
        <v>61</v>
      </c>
      <c r="D118" s="35" t="s">
        <v>50</v>
      </c>
      <c r="E118" s="35" t="s">
        <v>49</v>
      </c>
      <c r="F118" s="35">
        <v>55.0</v>
      </c>
      <c r="G118" s="35">
        <v>2.86</v>
      </c>
      <c r="H118" s="35">
        <v>19.2</v>
      </c>
      <c r="I118" s="35" t="s">
        <v>75</v>
      </c>
    </row>
    <row r="119" ht="22.5" customHeight="1">
      <c r="A119" s="35" t="s">
        <v>455</v>
      </c>
      <c r="B119" s="35" t="s">
        <v>456</v>
      </c>
      <c r="C119" s="35" t="s">
        <v>61</v>
      </c>
      <c r="D119" s="35" t="s">
        <v>94</v>
      </c>
      <c r="E119" s="35" t="s">
        <v>95</v>
      </c>
      <c r="F119" s="35">
        <v>296.0</v>
      </c>
      <c r="G119" s="35">
        <v>8.79</v>
      </c>
      <c r="H119" s="35">
        <v>33.7</v>
      </c>
      <c r="I119" s="35" t="s">
        <v>75</v>
      </c>
    </row>
    <row r="120" ht="22.5" customHeight="1">
      <c r="A120" s="35" t="s">
        <v>458</v>
      </c>
      <c r="B120" s="35" t="s">
        <v>459</v>
      </c>
      <c r="C120" s="35" t="s">
        <v>61</v>
      </c>
      <c r="D120" s="35" t="s">
        <v>94</v>
      </c>
      <c r="E120" s="35" t="s">
        <v>95</v>
      </c>
      <c r="F120" s="35">
        <v>653.0</v>
      </c>
      <c r="G120" s="35">
        <v>12.24</v>
      </c>
      <c r="H120" s="35">
        <v>53.3</v>
      </c>
      <c r="I120" s="35" t="s">
        <v>62</v>
      </c>
    </row>
    <row r="121" ht="22.5" customHeight="1">
      <c r="A121" s="35" t="s">
        <v>461</v>
      </c>
      <c r="B121" s="35" t="s">
        <v>462</v>
      </c>
      <c r="C121" s="35" t="s">
        <v>61</v>
      </c>
      <c r="D121" s="35" t="s">
        <v>123</v>
      </c>
      <c r="E121" s="35" t="s">
        <v>181</v>
      </c>
      <c r="F121" s="35">
        <v>175.0</v>
      </c>
      <c r="G121" s="35">
        <v>7.24</v>
      </c>
      <c r="H121" s="35">
        <v>24.2</v>
      </c>
      <c r="I121" s="35" t="s">
        <v>75</v>
      </c>
    </row>
    <row r="122" ht="22.5" customHeight="1">
      <c r="A122" s="35" t="s">
        <v>464</v>
      </c>
      <c r="B122" s="35" t="s">
        <v>465</v>
      </c>
      <c r="C122" s="35" t="s">
        <v>61</v>
      </c>
      <c r="D122" s="35" t="s">
        <v>166</v>
      </c>
      <c r="E122" s="35" t="s">
        <v>168</v>
      </c>
      <c r="F122" s="35">
        <v>463.0</v>
      </c>
      <c r="G122" s="35">
        <v>8.88</v>
      </c>
      <c r="H122" s="35">
        <v>52.1</v>
      </c>
      <c r="I122" s="35" t="s">
        <v>75</v>
      </c>
    </row>
    <row r="123" ht="22.5" customHeight="1">
      <c r="A123" s="35" t="s">
        <v>466</v>
      </c>
      <c r="B123" s="35" t="s">
        <v>467</v>
      </c>
      <c r="C123" s="35" t="s">
        <v>61</v>
      </c>
      <c r="D123" s="35" t="s">
        <v>123</v>
      </c>
      <c r="E123" s="35" t="s">
        <v>181</v>
      </c>
      <c r="F123" s="35">
        <v>199.0</v>
      </c>
      <c r="G123" s="35">
        <v>9.01</v>
      </c>
      <c r="H123" s="35">
        <v>22.1</v>
      </c>
      <c r="I123" s="35" t="s">
        <v>75</v>
      </c>
    </row>
    <row r="124" ht="22.5" customHeight="1">
      <c r="A124" s="35" t="s">
        <v>468</v>
      </c>
      <c r="B124" s="35" t="s">
        <v>469</v>
      </c>
      <c r="C124" s="35" t="s">
        <v>61</v>
      </c>
      <c r="D124" s="35" t="s">
        <v>136</v>
      </c>
      <c r="E124" s="35" t="s">
        <v>189</v>
      </c>
      <c r="F124" s="35">
        <v>1411.0</v>
      </c>
      <c r="G124" s="35">
        <v>11.58</v>
      </c>
      <c r="H124" s="35">
        <v>121.8</v>
      </c>
      <c r="I124" s="35" t="s">
        <v>62</v>
      </c>
    </row>
    <row r="125" ht="22.5" customHeight="1">
      <c r="A125" s="35" t="s">
        <v>471</v>
      </c>
      <c r="B125" s="35" t="s">
        <v>472</v>
      </c>
      <c r="C125" s="35" t="s">
        <v>61</v>
      </c>
      <c r="D125" s="35" t="s">
        <v>90</v>
      </c>
      <c r="E125" s="35" t="s">
        <v>91</v>
      </c>
      <c r="F125" s="35">
        <v>20.0</v>
      </c>
      <c r="G125" s="35">
        <v>5.6</v>
      </c>
      <c r="H125" s="35">
        <v>3.6</v>
      </c>
      <c r="I125" s="35" t="s">
        <v>75</v>
      </c>
    </row>
    <row r="126" ht="22.5" customHeight="1">
      <c r="A126" s="35" t="s">
        <v>473</v>
      </c>
      <c r="B126" s="35" t="s">
        <v>474</v>
      </c>
      <c r="C126" s="35" t="s">
        <v>61</v>
      </c>
      <c r="D126" s="35" t="s">
        <v>156</v>
      </c>
      <c r="E126" s="35" t="s">
        <v>157</v>
      </c>
      <c r="F126" s="35">
        <v>204.0</v>
      </c>
      <c r="G126" s="35">
        <v>12.9</v>
      </c>
      <c r="H126" s="35">
        <v>15.8</v>
      </c>
      <c r="I126" s="35" t="s">
        <v>75</v>
      </c>
    </row>
    <row r="127" ht="22.5" customHeight="1">
      <c r="A127" s="35" t="s">
        <v>476</v>
      </c>
      <c r="B127" s="35" t="s">
        <v>477</v>
      </c>
      <c r="C127" s="35" t="s">
        <v>61</v>
      </c>
      <c r="D127" s="35" t="s">
        <v>90</v>
      </c>
      <c r="E127" s="35" t="s">
        <v>91</v>
      </c>
      <c r="F127" s="35">
        <v>1947.0</v>
      </c>
      <c r="G127" s="35">
        <v>12.89</v>
      </c>
      <c r="H127" s="35">
        <v>151.0</v>
      </c>
      <c r="I127" s="35" t="s">
        <v>62</v>
      </c>
    </row>
    <row r="128" ht="22.5" customHeight="1">
      <c r="A128" s="35" t="s">
        <v>478</v>
      </c>
      <c r="B128" s="35" t="s">
        <v>479</v>
      </c>
      <c r="C128" s="35" t="s">
        <v>61</v>
      </c>
      <c r="D128" s="35" t="s">
        <v>136</v>
      </c>
      <c r="E128" s="35" t="s">
        <v>189</v>
      </c>
      <c r="F128" s="35">
        <v>188.0</v>
      </c>
      <c r="G128" s="35">
        <v>8.74</v>
      </c>
      <c r="H128" s="35">
        <v>21.5</v>
      </c>
      <c r="I128" s="35" t="s">
        <v>75</v>
      </c>
    </row>
    <row r="129" ht="22.5" customHeight="1">
      <c r="A129" s="35" t="s">
        <v>480</v>
      </c>
      <c r="B129" s="35" t="s">
        <v>481</v>
      </c>
      <c r="C129" s="35" t="s">
        <v>61</v>
      </c>
      <c r="D129" s="35" t="s">
        <v>78</v>
      </c>
      <c r="E129" s="35" t="s">
        <v>79</v>
      </c>
      <c r="F129" s="35">
        <v>410.0</v>
      </c>
      <c r="G129" s="35">
        <v>14.57</v>
      </c>
      <c r="H129" s="35">
        <v>28.1</v>
      </c>
      <c r="I129" s="35" t="s">
        <v>75</v>
      </c>
    </row>
    <row r="130" ht="22.5" customHeight="1">
      <c r="A130" s="35" t="s">
        <v>483</v>
      </c>
      <c r="B130" s="35" t="s">
        <v>484</v>
      </c>
      <c r="C130" s="35" t="s">
        <v>61</v>
      </c>
      <c r="D130" s="35" t="s">
        <v>156</v>
      </c>
      <c r="E130" s="35" t="s">
        <v>157</v>
      </c>
      <c r="F130" s="35">
        <v>795.0</v>
      </c>
      <c r="G130" s="35">
        <v>4.14</v>
      </c>
      <c r="H130" s="35">
        <v>192.0</v>
      </c>
      <c r="I130" s="35" t="s">
        <v>62</v>
      </c>
    </row>
    <row r="131" ht="22.5" customHeight="1">
      <c r="A131" s="35" t="s">
        <v>486</v>
      </c>
      <c r="B131" s="35" t="s">
        <v>487</v>
      </c>
      <c r="C131" s="35" t="s">
        <v>61</v>
      </c>
      <c r="D131" s="35" t="s">
        <v>165</v>
      </c>
      <c r="E131" s="35" t="s">
        <v>254</v>
      </c>
      <c r="F131" s="35">
        <v>1122.0</v>
      </c>
      <c r="G131" s="35">
        <v>17.65</v>
      </c>
      <c r="H131" s="35">
        <v>63.6</v>
      </c>
      <c r="I131" s="35" t="s">
        <v>62</v>
      </c>
    </row>
    <row r="132" ht="22.5" customHeight="1">
      <c r="A132" s="35" t="s">
        <v>489</v>
      </c>
      <c r="B132" s="35" t="s">
        <v>490</v>
      </c>
      <c r="C132" s="35" t="s">
        <v>61</v>
      </c>
      <c r="D132" s="35" t="s">
        <v>165</v>
      </c>
      <c r="E132" s="35" t="s">
        <v>254</v>
      </c>
      <c r="F132" s="35">
        <v>123.0</v>
      </c>
      <c r="G132" s="35">
        <v>13.96</v>
      </c>
      <c r="H132" s="35">
        <v>8.8</v>
      </c>
      <c r="I132" s="35" t="s">
        <v>75</v>
      </c>
    </row>
    <row r="133" ht="22.5" customHeight="1">
      <c r="A133" s="35" t="s">
        <v>492</v>
      </c>
      <c r="B133" s="35" t="s">
        <v>493</v>
      </c>
      <c r="C133" s="35" t="s">
        <v>61</v>
      </c>
      <c r="D133" s="35" t="s">
        <v>123</v>
      </c>
      <c r="E133" s="35" t="s">
        <v>181</v>
      </c>
      <c r="F133" s="35">
        <v>126.0</v>
      </c>
      <c r="G133" s="35">
        <v>7.68</v>
      </c>
      <c r="H133" s="35">
        <v>16.4</v>
      </c>
      <c r="I133" s="35" t="s">
        <v>75</v>
      </c>
    </row>
    <row r="134" ht="22.5" customHeight="1">
      <c r="A134" s="35" t="s">
        <v>495</v>
      </c>
      <c r="B134" s="35" t="s">
        <v>496</v>
      </c>
      <c r="C134" s="35" t="s">
        <v>61</v>
      </c>
      <c r="D134" s="35" t="s">
        <v>106</v>
      </c>
      <c r="E134" s="35" t="s">
        <v>107</v>
      </c>
      <c r="F134" s="35">
        <v>175.0</v>
      </c>
      <c r="G134" s="35">
        <v>4.85</v>
      </c>
      <c r="H134" s="35">
        <v>36.1</v>
      </c>
      <c r="I134" s="35" t="s">
        <v>75</v>
      </c>
    </row>
    <row r="135" ht="22.5" customHeight="1">
      <c r="A135" s="35" t="s">
        <v>497</v>
      </c>
      <c r="B135" s="35" t="s">
        <v>498</v>
      </c>
      <c r="C135" s="35" t="s">
        <v>61</v>
      </c>
      <c r="D135" s="35" t="s">
        <v>50</v>
      </c>
      <c r="E135" s="35" t="s">
        <v>49</v>
      </c>
      <c r="F135" s="35">
        <v>459.0</v>
      </c>
      <c r="G135" s="35">
        <v>6.72</v>
      </c>
      <c r="H135" s="35">
        <v>68.3</v>
      </c>
      <c r="I135" s="35" t="s">
        <v>75</v>
      </c>
    </row>
    <row r="136" ht="22.5" customHeight="1">
      <c r="A136" s="35" t="s">
        <v>500</v>
      </c>
      <c r="B136" s="35" t="s">
        <v>502</v>
      </c>
      <c r="C136" s="35" t="s">
        <v>61</v>
      </c>
      <c r="D136" s="35" t="s">
        <v>137</v>
      </c>
      <c r="E136" s="35" t="s">
        <v>138</v>
      </c>
      <c r="F136" s="35">
        <v>426.0</v>
      </c>
      <c r="G136" s="35">
        <v>9.18</v>
      </c>
      <c r="H136" s="35">
        <v>46.4</v>
      </c>
      <c r="I136" s="35" t="s">
        <v>75</v>
      </c>
    </row>
    <row r="137" ht="22.5" customHeight="1">
      <c r="A137" s="35" t="s">
        <v>503</v>
      </c>
      <c r="B137" s="35" t="s">
        <v>505</v>
      </c>
      <c r="C137" s="35" t="s">
        <v>61</v>
      </c>
      <c r="D137" s="35" t="s">
        <v>165</v>
      </c>
      <c r="E137" s="35" t="s">
        <v>254</v>
      </c>
      <c r="F137" s="35">
        <v>1745.0</v>
      </c>
      <c r="G137" s="35">
        <v>12.27</v>
      </c>
      <c r="H137" s="35">
        <v>142.2</v>
      </c>
      <c r="I137" s="35" t="s">
        <v>62</v>
      </c>
    </row>
    <row r="138" ht="22.5" customHeight="1">
      <c r="A138" s="35" t="s">
        <v>506</v>
      </c>
      <c r="B138" s="35" t="s">
        <v>507</v>
      </c>
      <c r="C138" s="35" t="s">
        <v>61</v>
      </c>
      <c r="D138" s="35" t="s">
        <v>140</v>
      </c>
      <c r="E138" s="35" t="s">
        <v>147</v>
      </c>
      <c r="F138" s="35">
        <v>246.0</v>
      </c>
      <c r="G138" s="35">
        <v>5.77</v>
      </c>
      <c r="H138" s="35">
        <v>42.6</v>
      </c>
      <c r="I138" s="35" t="s">
        <v>75</v>
      </c>
    </row>
    <row r="139" ht="22.5" customHeight="1">
      <c r="A139" s="35" t="s">
        <v>510</v>
      </c>
      <c r="B139" s="35" t="s">
        <v>511</v>
      </c>
      <c r="C139" s="35" t="s">
        <v>61</v>
      </c>
      <c r="D139" s="35" t="s">
        <v>198</v>
      </c>
      <c r="E139" s="35" t="s">
        <v>217</v>
      </c>
      <c r="F139" s="35">
        <v>186.0</v>
      </c>
      <c r="G139" s="35">
        <v>0.41</v>
      </c>
      <c r="H139" s="35">
        <v>453.7</v>
      </c>
      <c r="I139" s="35" t="s">
        <v>75</v>
      </c>
    </row>
    <row r="140" ht="22.5" customHeight="1">
      <c r="A140" s="35" t="s">
        <v>512</v>
      </c>
      <c r="B140" s="35" t="s">
        <v>513</v>
      </c>
      <c r="C140" s="35" t="s">
        <v>61</v>
      </c>
      <c r="D140" s="35" t="s">
        <v>198</v>
      </c>
      <c r="E140" s="35" t="s">
        <v>217</v>
      </c>
      <c r="F140" s="35">
        <v>143.0</v>
      </c>
      <c r="G140" s="35">
        <v>5.98</v>
      </c>
      <c r="H140" s="35">
        <v>23.9</v>
      </c>
      <c r="I140" s="35" t="s">
        <v>75</v>
      </c>
    </row>
    <row r="141" ht="22.5" customHeight="1">
      <c r="A141" s="35" t="s">
        <v>515</v>
      </c>
      <c r="B141" s="35" t="s">
        <v>516</v>
      </c>
      <c r="C141" s="35" t="s">
        <v>61</v>
      </c>
      <c r="D141" s="35" t="s">
        <v>50</v>
      </c>
      <c r="E141" s="35" t="s">
        <v>49</v>
      </c>
      <c r="F141" s="35">
        <v>547.0</v>
      </c>
      <c r="G141" s="35">
        <v>5.76</v>
      </c>
      <c r="H141" s="35">
        <v>95.0</v>
      </c>
      <c r="I141" s="35" t="s">
        <v>62</v>
      </c>
    </row>
    <row r="142" ht="22.5" customHeight="1">
      <c r="A142" s="35" t="s">
        <v>518</v>
      </c>
      <c r="B142" s="35" t="s">
        <v>519</v>
      </c>
      <c r="C142" s="35" t="s">
        <v>61</v>
      </c>
      <c r="D142" s="35" t="s">
        <v>123</v>
      </c>
      <c r="E142" s="35" t="s">
        <v>181</v>
      </c>
      <c r="F142" s="35">
        <v>88.0</v>
      </c>
      <c r="G142" s="35">
        <v>3.91</v>
      </c>
      <c r="H142" s="35">
        <v>22.5</v>
      </c>
      <c r="I142" s="35" t="s">
        <v>75</v>
      </c>
    </row>
    <row r="143" ht="22.5" customHeight="1">
      <c r="A143" s="35" t="s">
        <v>520</v>
      </c>
      <c r="B143" s="35" t="s">
        <v>521</v>
      </c>
      <c r="C143" s="35" t="s">
        <v>61</v>
      </c>
      <c r="D143" s="35" t="s">
        <v>90</v>
      </c>
      <c r="E143" s="35" t="s">
        <v>91</v>
      </c>
      <c r="F143" s="35">
        <v>248.0</v>
      </c>
      <c r="G143" s="35">
        <v>6.07</v>
      </c>
      <c r="H143" s="35">
        <v>40.9</v>
      </c>
      <c r="I143" s="35" t="s">
        <v>75</v>
      </c>
    </row>
    <row r="144" ht="22.5" customHeight="1">
      <c r="A144" s="35" t="s">
        <v>522</v>
      </c>
      <c r="B144" s="35" t="s">
        <v>523</v>
      </c>
      <c r="C144" s="35" t="s">
        <v>61</v>
      </c>
      <c r="D144" s="35" t="s">
        <v>94</v>
      </c>
      <c r="E144" s="35" t="s">
        <v>95</v>
      </c>
      <c r="F144" s="35">
        <v>58.0</v>
      </c>
      <c r="G144" s="35">
        <v>4.02</v>
      </c>
      <c r="H144" s="35">
        <v>14.4</v>
      </c>
      <c r="I144" s="35" t="s">
        <v>75</v>
      </c>
    </row>
    <row r="145" ht="22.5" customHeight="1">
      <c r="A145" s="35" t="s">
        <v>525</v>
      </c>
      <c r="B145" s="35" t="s">
        <v>526</v>
      </c>
      <c r="C145" s="35" t="s">
        <v>61</v>
      </c>
      <c r="D145" s="35" t="s">
        <v>136</v>
      </c>
      <c r="E145" s="35" t="s">
        <v>189</v>
      </c>
      <c r="F145" s="35">
        <v>63.0</v>
      </c>
      <c r="G145" s="35">
        <v>7.3</v>
      </c>
      <c r="H145" s="35">
        <v>8.6</v>
      </c>
      <c r="I145" s="35" t="s">
        <v>75</v>
      </c>
    </row>
    <row r="146" ht="22.5" customHeight="1">
      <c r="A146" s="35" t="s">
        <v>528</v>
      </c>
      <c r="B146" s="35" t="s">
        <v>529</v>
      </c>
      <c r="C146" s="35" t="s">
        <v>61</v>
      </c>
      <c r="D146" s="35" t="s">
        <v>136</v>
      </c>
      <c r="E146" s="35" t="s">
        <v>189</v>
      </c>
      <c r="F146" s="35">
        <v>111.0</v>
      </c>
      <c r="G146" s="35">
        <v>3.16</v>
      </c>
      <c r="H146" s="35">
        <v>35.1</v>
      </c>
      <c r="I146" s="35" t="s">
        <v>75</v>
      </c>
    </row>
    <row r="147" ht="22.5" customHeight="1">
      <c r="A147" s="35" t="s">
        <v>531</v>
      </c>
      <c r="B147" s="35" t="s">
        <v>532</v>
      </c>
      <c r="C147" s="35" t="s">
        <v>61</v>
      </c>
      <c r="D147" s="35" t="s">
        <v>90</v>
      </c>
      <c r="E147" s="35" t="s">
        <v>91</v>
      </c>
      <c r="F147" s="35">
        <v>87.0</v>
      </c>
      <c r="G147" s="35">
        <v>4.6</v>
      </c>
      <c r="H147" s="35">
        <v>18.9</v>
      </c>
      <c r="I147" s="35" t="s">
        <v>75</v>
      </c>
    </row>
    <row r="148" ht="22.5" customHeight="1">
      <c r="A148" s="35" t="s">
        <v>535</v>
      </c>
      <c r="B148" s="35" t="s">
        <v>536</v>
      </c>
      <c r="C148" s="35" t="s">
        <v>61</v>
      </c>
      <c r="D148" s="35" t="s">
        <v>136</v>
      </c>
      <c r="E148" s="35" t="s">
        <v>189</v>
      </c>
      <c r="F148" s="35">
        <v>801.0</v>
      </c>
      <c r="G148" s="35">
        <v>19.86</v>
      </c>
      <c r="H148" s="35">
        <v>40.3</v>
      </c>
      <c r="I148" s="35" t="s">
        <v>62</v>
      </c>
    </row>
    <row r="149" ht="22.5" customHeight="1">
      <c r="A149" s="35" t="s">
        <v>538</v>
      </c>
      <c r="B149" s="35" t="s">
        <v>539</v>
      </c>
      <c r="C149" s="35" t="s">
        <v>61</v>
      </c>
      <c r="D149" s="35" t="s">
        <v>106</v>
      </c>
      <c r="E149" s="35" t="s">
        <v>107</v>
      </c>
      <c r="F149" s="35">
        <v>375.0</v>
      </c>
      <c r="G149" s="35">
        <v>12.75</v>
      </c>
      <c r="H149" s="35">
        <v>29.4</v>
      </c>
      <c r="I149" s="35" t="s">
        <v>75</v>
      </c>
    </row>
    <row r="150" ht="22.5" customHeight="1">
      <c r="A150" s="35" t="s">
        <v>540</v>
      </c>
      <c r="B150" s="35" t="s">
        <v>541</v>
      </c>
      <c r="C150" s="35" t="s">
        <v>61</v>
      </c>
      <c r="D150" s="35" t="s">
        <v>137</v>
      </c>
      <c r="E150" s="35" t="s">
        <v>138</v>
      </c>
      <c r="F150" s="35">
        <v>201.0</v>
      </c>
      <c r="G150" s="35">
        <v>2.22</v>
      </c>
      <c r="H150" s="35">
        <v>90.5</v>
      </c>
      <c r="I150" s="35" t="s">
        <v>75</v>
      </c>
    </row>
    <row r="151" ht="22.5" customHeight="1">
      <c r="A151" s="35" t="s">
        <v>542</v>
      </c>
      <c r="B151" s="35" t="s">
        <v>543</v>
      </c>
      <c r="C151" s="35" t="s">
        <v>61</v>
      </c>
      <c r="D151" s="35" t="s">
        <v>73</v>
      </c>
      <c r="E151" s="35" t="s">
        <v>74</v>
      </c>
      <c r="F151" s="35">
        <v>234.0</v>
      </c>
      <c r="G151" s="35">
        <v>7.74</v>
      </c>
      <c r="H151" s="35">
        <v>30.2</v>
      </c>
      <c r="I151" s="35" t="s">
        <v>75</v>
      </c>
    </row>
    <row r="152" ht="22.5" customHeight="1">
      <c r="A152" s="35" t="s">
        <v>545</v>
      </c>
      <c r="B152" s="35" t="s">
        <v>546</v>
      </c>
      <c r="C152" s="35" t="s">
        <v>61</v>
      </c>
      <c r="D152" s="35" t="s">
        <v>136</v>
      </c>
      <c r="E152" s="35" t="s">
        <v>189</v>
      </c>
      <c r="F152" s="35">
        <v>827.0</v>
      </c>
      <c r="G152" s="35">
        <v>8.93</v>
      </c>
      <c r="H152" s="35">
        <v>92.6</v>
      </c>
      <c r="I152" s="35" t="s">
        <v>62</v>
      </c>
    </row>
    <row r="153" ht="22.5" customHeight="1">
      <c r="A153" s="35" t="s">
        <v>547</v>
      </c>
      <c r="B153" s="35" t="s">
        <v>548</v>
      </c>
      <c r="C153" s="35" t="s">
        <v>61</v>
      </c>
      <c r="D153" s="35" t="s">
        <v>136</v>
      </c>
      <c r="E153" s="35" t="s">
        <v>189</v>
      </c>
      <c r="F153" s="35">
        <v>272.0</v>
      </c>
      <c r="G153" s="35">
        <v>3.31</v>
      </c>
      <c r="H153" s="35">
        <v>82.2</v>
      </c>
      <c r="I153" s="35" t="s">
        <v>75</v>
      </c>
    </row>
    <row r="154" ht="22.5" customHeight="1">
      <c r="A154" s="35" t="s">
        <v>550</v>
      </c>
      <c r="B154" s="35" t="s">
        <v>551</v>
      </c>
      <c r="C154" s="35" t="s">
        <v>61</v>
      </c>
      <c r="D154" s="35" t="s">
        <v>137</v>
      </c>
      <c r="E154" s="35" t="s">
        <v>138</v>
      </c>
      <c r="F154" s="35">
        <v>313.0</v>
      </c>
      <c r="G154" s="35">
        <v>9.23</v>
      </c>
      <c r="H154" s="35">
        <v>33.9</v>
      </c>
      <c r="I154" s="35" t="s">
        <v>75</v>
      </c>
    </row>
    <row r="155" ht="22.5" customHeight="1">
      <c r="A155" s="35" t="s">
        <v>553</v>
      </c>
      <c r="B155" s="35" t="s">
        <v>554</v>
      </c>
      <c r="C155" s="35" t="s">
        <v>61</v>
      </c>
      <c r="D155" s="35" t="s">
        <v>166</v>
      </c>
      <c r="E155" s="35" t="s">
        <v>168</v>
      </c>
      <c r="F155" s="35">
        <v>495.0</v>
      </c>
      <c r="G155" s="35">
        <v>18.58</v>
      </c>
      <c r="H155" s="35">
        <v>26.6</v>
      </c>
      <c r="I155" s="35" t="s">
        <v>75</v>
      </c>
    </row>
    <row r="156" ht="22.5" customHeight="1">
      <c r="A156" s="35" t="s">
        <v>556</v>
      </c>
      <c r="B156" s="35" t="s">
        <v>557</v>
      </c>
      <c r="C156" s="35" t="s">
        <v>61</v>
      </c>
      <c r="D156" s="35" t="s">
        <v>182</v>
      </c>
      <c r="E156" s="35" t="s">
        <v>357</v>
      </c>
      <c r="F156" s="35">
        <v>301.0</v>
      </c>
      <c r="G156" s="35">
        <v>8.09</v>
      </c>
      <c r="H156" s="35">
        <v>37.2</v>
      </c>
      <c r="I156" s="35" t="s">
        <v>75</v>
      </c>
    </row>
    <row r="157" ht="22.5" customHeight="1">
      <c r="A157" s="35" t="s">
        <v>559</v>
      </c>
      <c r="B157" s="35" t="s">
        <v>560</v>
      </c>
      <c r="C157" s="35" t="s">
        <v>61</v>
      </c>
      <c r="D157" s="35" t="s">
        <v>182</v>
      </c>
      <c r="E157" s="35" t="s">
        <v>357</v>
      </c>
      <c r="F157" s="35">
        <v>2594.0</v>
      </c>
      <c r="G157" s="35">
        <v>20.64</v>
      </c>
      <c r="H157" s="35">
        <v>125.7</v>
      </c>
      <c r="I157" s="35" t="s">
        <v>142</v>
      </c>
    </row>
    <row r="158" ht="22.5" customHeight="1">
      <c r="A158" s="35" t="s">
        <v>561</v>
      </c>
      <c r="B158" s="35" t="s">
        <v>562</v>
      </c>
      <c r="C158" s="35" t="s">
        <v>61</v>
      </c>
      <c r="D158" s="35" t="s">
        <v>123</v>
      </c>
      <c r="E158" s="35" t="s">
        <v>181</v>
      </c>
      <c r="F158" s="35">
        <v>323.0</v>
      </c>
      <c r="G158" s="35">
        <v>9.77</v>
      </c>
      <c r="H158" s="35">
        <v>33.1</v>
      </c>
      <c r="I158" s="35" t="s">
        <v>75</v>
      </c>
    </row>
    <row r="159" ht="22.5" customHeight="1">
      <c r="A159" s="35" t="s">
        <v>563</v>
      </c>
      <c r="B159" s="35" t="s">
        <v>564</v>
      </c>
      <c r="C159" s="35" t="s">
        <v>61</v>
      </c>
      <c r="D159" s="35" t="s">
        <v>50</v>
      </c>
      <c r="E159" s="35" t="s">
        <v>49</v>
      </c>
      <c r="F159" s="35">
        <v>1568.0</v>
      </c>
      <c r="G159" s="35">
        <v>3.67</v>
      </c>
      <c r="H159" s="35">
        <v>427.2</v>
      </c>
      <c r="I159" s="35" t="s">
        <v>62</v>
      </c>
    </row>
    <row r="160" ht="22.5" customHeight="1">
      <c r="A160" s="35" t="s">
        <v>565</v>
      </c>
      <c r="B160" s="35" t="s">
        <v>566</v>
      </c>
      <c r="C160" s="35" t="s">
        <v>61</v>
      </c>
      <c r="D160" s="35" t="s">
        <v>123</v>
      </c>
      <c r="E160" s="35" t="s">
        <v>181</v>
      </c>
      <c r="F160" s="35">
        <v>361.0</v>
      </c>
      <c r="G160" s="35">
        <v>8.87</v>
      </c>
      <c r="H160" s="35">
        <v>40.7</v>
      </c>
      <c r="I160" s="35" t="s">
        <v>75</v>
      </c>
    </row>
    <row r="161" ht="22.5" customHeight="1">
      <c r="A161" s="35" t="s">
        <v>567</v>
      </c>
      <c r="B161" s="35" t="s">
        <v>568</v>
      </c>
      <c r="C161" s="35" t="s">
        <v>61</v>
      </c>
      <c r="D161" s="35" t="s">
        <v>90</v>
      </c>
      <c r="E161" s="35" t="s">
        <v>91</v>
      </c>
      <c r="F161" s="35">
        <v>895.0</v>
      </c>
      <c r="G161" s="35">
        <v>10.96</v>
      </c>
      <c r="H161" s="35">
        <v>81.7</v>
      </c>
      <c r="I161" s="35" t="s">
        <v>62</v>
      </c>
    </row>
    <row r="162" ht="22.5" customHeight="1">
      <c r="A162" s="35" t="s">
        <v>569</v>
      </c>
      <c r="B162" s="35" t="s">
        <v>570</v>
      </c>
      <c r="C162" s="35" t="s">
        <v>61</v>
      </c>
      <c r="D162" s="35" t="s">
        <v>123</v>
      </c>
      <c r="E162" s="35" t="s">
        <v>181</v>
      </c>
      <c r="F162" s="35">
        <v>15097.0</v>
      </c>
      <c r="G162" s="35">
        <v>16.98</v>
      </c>
      <c r="H162" s="35">
        <v>889.1</v>
      </c>
      <c r="I162" s="35" t="s">
        <v>571</v>
      </c>
    </row>
    <row r="163" ht="22.5" customHeight="1">
      <c r="A163" s="35" t="s">
        <v>572</v>
      </c>
      <c r="B163" s="35" t="s">
        <v>573</v>
      </c>
      <c r="C163" s="35" t="s">
        <v>61</v>
      </c>
      <c r="D163" s="35" t="s">
        <v>73</v>
      </c>
      <c r="E163" s="35" t="s">
        <v>74</v>
      </c>
      <c r="F163" s="35">
        <v>83.0</v>
      </c>
      <c r="G163" s="35">
        <v>10.64</v>
      </c>
      <c r="H163" s="35">
        <v>7.8</v>
      </c>
      <c r="I163" s="35" t="s">
        <v>75</v>
      </c>
    </row>
    <row r="164" ht="22.5" customHeight="1">
      <c r="A164" s="35" t="s">
        <v>574</v>
      </c>
      <c r="B164" s="35" t="s">
        <v>575</v>
      </c>
      <c r="C164" s="35" t="s">
        <v>61</v>
      </c>
      <c r="D164" s="35" t="s">
        <v>94</v>
      </c>
      <c r="E164" s="35" t="s">
        <v>95</v>
      </c>
      <c r="F164" s="35">
        <v>125.0</v>
      </c>
      <c r="G164" s="35">
        <v>2.63</v>
      </c>
      <c r="H164" s="35">
        <v>47.5</v>
      </c>
      <c r="I164" s="35" t="s">
        <v>75</v>
      </c>
    </row>
    <row r="165" ht="22.5" customHeight="1">
      <c r="A165" s="35" t="s">
        <v>576</v>
      </c>
      <c r="B165" s="35" t="s">
        <v>577</v>
      </c>
      <c r="C165" s="35" t="s">
        <v>61</v>
      </c>
      <c r="D165" s="35" t="s">
        <v>78</v>
      </c>
      <c r="E165" s="35" t="s">
        <v>79</v>
      </c>
      <c r="F165" s="35">
        <v>91.0</v>
      </c>
      <c r="G165" s="35">
        <v>4.68</v>
      </c>
      <c r="H165" s="35">
        <v>19.4</v>
      </c>
      <c r="I165" s="35" t="s">
        <v>75</v>
      </c>
    </row>
    <row r="166" ht="22.5" customHeight="1">
      <c r="A166" s="35" t="s">
        <v>578</v>
      </c>
      <c r="B166" s="35" t="s">
        <v>579</v>
      </c>
      <c r="C166" s="35" t="s">
        <v>61</v>
      </c>
      <c r="D166" s="35" t="s">
        <v>106</v>
      </c>
      <c r="E166" s="35" t="s">
        <v>107</v>
      </c>
      <c r="F166" s="35">
        <v>238.0</v>
      </c>
      <c r="G166" s="35">
        <v>8.55</v>
      </c>
      <c r="H166" s="35">
        <v>27.8</v>
      </c>
      <c r="I166" s="35" t="s">
        <v>75</v>
      </c>
    </row>
    <row r="167" ht="22.5" customHeight="1">
      <c r="A167" s="35" t="s">
        <v>580</v>
      </c>
      <c r="B167" s="35" t="s">
        <v>581</v>
      </c>
      <c r="C167" s="35" t="s">
        <v>61</v>
      </c>
      <c r="D167" s="35" t="s">
        <v>50</v>
      </c>
      <c r="E167" s="35" t="s">
        <v>49</v>
      </c>
      <c r="F167" s="35">
        <v>11596.0</v>
      </c>
      <c r="G167" s="35">
        <v>13.31</v>
      </c>
      <c r="H167" s="35">
        <v>871.2</v>
      </c>
      <c r="I167" s="35" t="s">
        <v>571</v>
      </c>
    </row>
    <row r="168" ht="22.5" customHeight="1">
      <c r="A168" s="35" t="s">
        <v>582</v>
      </c>
      <c r="B168" s="35" t="s">
        <v>583</v>
      </c>
      <c r="C168" s="35" t="s">
        <v>61</v>
      </c>
      <c r="D168" s="35" t="s">
        <v>90</v>
      </c>
      <c r="E168" s="35" t="s">
        <v>91</v>
      </c>
      <c r="F168" s="35">
        <v>859.0</v>
      </c>
      <c r="G168" s="35">
        <v>11.6</v>
      </c>
      <c r="H168" s="35">
        <v>74.1</v>
      </c>
      <c r="I168" s="35" t="s">
        <v>62</v>
      </c>
    </row>
    <row r="169" ht="22.5" customHeight="1">
      <c r="A169" s="35" t="s">
        <v>584</v>
      </c>
      <c r="B169" s="35" t="s">
        <v>585</v>
      </c>
      <c r="C169" s="35" t="s">
        <v>61</v>
      </c>
      <c r="D169" s="35" t="s">
        <v>67</v>
      </c>
      <c r="E169" s="35" t="s">
        <v>68</v>
      </c>
      <c r="F169" s="35">
        <v>153.0</v>
      </c>
      <c r="G169" s="35">
        <v>5.24</v>
      </c>
      <c r="H169" s="35">
        <v>29.2</v>
      </c>
      <c r="I169" s="35" t="s">
        <v>75</v>
      </c>
    </row>
    <row r="170" ht="22.5" customHeight="1">
      <c r="A170" s="35" t="s">
        <v>586</v>
      </c>
      <c r="B170" s="35" t="s">
        <v>587</v>
      </c>
      <c r="C170" s="35" t="s">
        <v>61</v>
      </c>
      <c r="D170" s="35" t="s">
        <v>90</v>
      </c>
      <c r="E170" s="35" t="s">
        <v>91</v>
      </c>
      <c r="F170" s="35">
        <v>214.0</v>
      </c>
      <c r="G170" s="35">
        <v>3.65</v>
      </c>
      <c r="H170" s="35">
        <v>58.6</v>
      </c>
      <c r="I170" s="35" t="s">
        <v>75</v>
      </c>
    </row>
    <row r="171" ht="22.5" customHeight="1">
      <c r="A171" s="35" t="s">
        <v>588</v>
      </c>
      <c r="B171" s="35" t="s">
        <v>589</v>
      </c>
      <c r="C171" s="35" t="s">
        <v>61</v>
      </c>
      <c r="D171" s="35" t="s">
        <v>136</v>
      </c>
      <c r="E171" s="35" t="s">
        <v>189</v>
      </c>
      <c r="F171" s="35">
        <v>147.0</v>
      </c>
      <c r="G171" s="35">
        <v>3.69</v>
      </c>
      <c r="H171" s="35">
        <v>39.8</v>
      </c>
      <c r="I171" s="35" t="s">
        <v>75</v>
      </c>
    </row>
    <row r="172" ht="22.5" customHeight="1">
      <c r="A172" s="35" t="s">
        <v>590</v>
      </c>
      <c r="B172" s="35" t="s">
        <v>591</v>
      </c>
      <c r="C172" s="35" t="s">
        <v>61</v>
      </c>
      <c r="D172" s="35" t="s">
        <v>86</v>
      </c>
      <c r="E172" s="35" t="s">
        <v>87</v>
      </c>
      <c r="F172" s="35">
        <v>127.0</v>
      </c>
      <c r="G172" s="35">
        <v>10.91</v>
      </c>
      <c r="H172" s="35">
        <v>11.6</v>
      </c>
      <c r="I172" s="35" t="s">
        <v>75</v>
      </c>
    </row>
    <row r="173" ht="22.5" customHeight="1">
      <c r="A173" s="35" t="s">
        <v>592</v>
      </c>
      <c r="B173" s="35" t="s">
        <v>593</v>
      </c>
      <c r="C173" s="35" t="s">
        <v>61</v>
      </c>
      <c r="D173" s="35" t="s">
        <v>90</v>
      </c>
      <c r="E173" s="35" t="s">
        <v>91</v>
      </c>
      <c r="F173" s="35">
        <v>378.0</v>
      </c>
      <c r="G173" s="35">
        <v>13.81</v>
      </c>
      <c r="H173" s="35">
        <v>27.4</v>
      </c>
      <c r="I173" s="35" t="s">
        <v>75</v>
      </c>
    </row>
    <row r="174" ht="22.5" customHeight="1">
      <c r="A174" s="35" t="s">
        <v>594</v>
      </c>
      <c r="B174" s="35" t="s">
        <v>595</v>
      </c>
      <c r="C174" s="35" t="s">
        <v>61</v>
      </c>
      <c r="D174" s="35" t="s">
        <v>73</v>
      </c>
      <c r="E174" s="35" t="s">
        <v>74</v>
      </c>
      <c r="F174" s="35">
        <v>742.0</v>
      </c>
      <c r="G174" s="35">
        <v>17.43</v>
      </c>
      <c r="H174" s="35">
        <v>42.6</v>
      </c>
      <c r="I174" s="35" t="s">
        <v>62</v>
      </c>
    </row>
    <row r="175" ht="22.5" customHeight="1">
      <c r="A175" s="35" t="s">
        <v>596</v>
      </c>
      <c r="B175" s="35" t="s">
        <v>597</v>
      </c>
      <c r="C175" s="35" t="s">
        <v>61</v>
      </c>
      <c r="D175" s="35" t="s">
        <v>166</v>
      </c>
      <c r="E175" s="35" t="s">
        <v>168</v>
      </c>
      <c r="F175" s="35">
        <v>98.0</v>
      </c>
      <c r="G175" s="35">
        <v>5.02</v>
      </c>
      <c r="H175" s="35">
        <v>19.5</v>
      </c>
      <c r="I175" s="35" t="s">
        <v>75</v>
      </c>
    </row>
    <row r="176" ht="22.5" customHeight="1">
      <c r="A176" s="35" t="s">
        <v>598</v>
      </c>
      <c r="B176" s="35" t="s">
        <v>599</v>
      </c>
      <c r="C176" s="35" t="s">
        <v>61</v>
      </c>
      <c r="D176" s="35" t="s">
        <v>165</v>
      </c>
      <c r="E176" s="35" t="s">
        <v>254</v>
      </c>
      <c r="F176" s="35">
        <v>136.0</v>
      </c>
      <c r="G176" s="35">
        <v>5.95</v>
      </c>
      <c r="H176" s="35">
        <v>22.9</v>
      </c>
      <c r="I176" s="35" t="s">
        <v>75</v>
      </c>
    </row>
    <row r="177" ht="22.5" customHeight="1">
      <c r="A177" s="35" t="s">
        <v>600</v>
      </c>
      <c r="B177" s="35" t="s">
        <v>601</v>
      </c>
      <c r="C177" s="35" t="s">
        <v>61</v>
      </c>
      <c r="D177" s="35" t="s">
        <v>86</v>
      </c>
      <c r="E177" s="35" t="s">
        <v>87</v>
      </c>
      <c r="F177" s="35">
        <v>197.0</v>
      </c>
      <c r="G177" s="35">
        <v>8.76</v>
      </c>
      <c r="H177" s="35">
        <v>22.5</v>
      </c>
      <c r="I177" s="35" t="s">
        <v>75</v>
      </c>
    </row>
    <row r="178" ht="22.5" customHeight="1">
      <c r="A178" s="35" t="s">
        <v>602</v>
      </c>
      <c r="B178" s="35" t="s">
        <v>603</v>
      </c>
      <c r="C178" s="35" t="s">
        <v>61</v>
      </c>
      <c r="D178" s="35" t="s">
        <v>94</v>
      </c>
      <c r="E178" s="35" t="s">
        <v>95</v>
      </c>
      <c r="F178" s="35">
        <v>329.0</v>
      </c>
      <c r="G178" s="35">
        <v>17.14</v>
      </c>
      <c r="H178" s="35">
        <v>19.2</v>
      </c>
      <c r="I178" s="35" t="s">
        <v>75</v>
      </c>
    </row>
    <row r="179" ht="22.5" customHeight="1">
      <c r="A179" s="35" t="s">
        <v>604</v>
      </c>
      <c r="B179" s="35" t="s">
        <v>605</v>
      </c>
      <c r="C179" s="35" t="s">
        <v>61</v>
      </c>
      <c r="D179" s="35" t="s">
        <v>123</v>
      </c>
      <c r="E179" s="35" t="s">
        <v>181</v>
      </c>
      <c r="F179" s="35">
        <v>389.0</v>
      </c>
      <c r="G179" s="35">
        <v>16.49</v>
      </c>
      <c r="H179" s="35">
        <v>23.6</v>
      </c>
      <c r="I179" s="35" t="s">
        <v>75</v>
      </c>
    </row>
    <row r="180" ht="22.5" customHeight="1">
      <c r="A180" s="35" t="s">
        <v>606</v>
      </c>
      <c r="B180" s="35" t="s">
        <v>607</v>
      </c>
      <c r="C180" s="35" t="s">
        <v>61</v>
      </c>
      <c r="D180" s="35" t="s">
        <v>182</v>
      </c>
      <c r="E180" s="35" t="s">
        <v>357</v>
      </c>
      <c r="F180" s="35">
        <v>1296.0</v>
      </c>
      <c r="G180" s="35">
        <v>22.59</v>
      </c>
      <c r="H180" s="35">
        <v>57.4</v>
      </c>
      <c r="I180" s="35" t="s">
        <v>62</v>
      </c>
    </row>
    <row r="181" ht="22.5" customHeight="1">
      <c r="A181" s="35" t="s">
        <v>608</v>
      </c>
      <c r="B181" s="35" t="s">
        <v>609</v>
      </c>
      <c r="C181" s="35" t="s">
        <v>61</v>
      </c>
      <c r="D181" s="35" t="s">
        <v>123</v>
      </c>
      <c r="E181" s="35" t="s">
        <v>181</v>
      </c>
      <c r="F181" s="35">
        <v>1195.0</v>
      </c>
      <c r="G181" s="35">
        <v>2.85</v>
      </c>
      <c r="H181" s="35">
        <v>419.3</v>
      </c>
      <c r="I181" s="35" t="s">
        <v>62</v>
      </c>
    </row>
    <row r="182" ht="22.5" customHeight="1">
      <c r="A182" s="35" t="s">
        <v>610</v>
      </c>
      <c r="B182" s="35" t="s">
        <v>611</v>
      </c>
      <c r="C182" s="35" t="s">
        <v>61</v>
      </c>
      <c r="D182" s="35" t="s">
        <v>82</v>
      </c>
      <c r="E182" s="35" t="s">
        <v>83</v>
      </c>
      <c r="F182" s="35">
        <v>140.0</v>
      </c>
      <c r="G182" s="35">
        <v>10.59</v>
      </c>
      <c r="H182" s="35">
        <v>13.2</v>
      </c>
      <c r="I182" s="35" t="s">
        <v>75</v>
      </c>
    </row>
    <row r="183" ht="22.5" customHeight="1">
      <c r="A183" s="35" t="s">
        <v>612</v>
      </c>
      <c r="B183" s="35" t="s">
        <v>613</v>
      </c>
      <c r="C183" s="35" t="s">
        <v>61</v>
      </c>
      <c r="D183" s="35" t="s">
        <v>78</v>
      </c>
      <c r="E183" s="35" t="s">
        <v>79</v>
      </c>
      <c r="F183" s="35">
        <v>359.0</v>
      </c>
      <c r="G183" s="35">
        <v>13.73</v>
      </c>
      <c r="H183" s="35">
        <v>26.1</v>
      </c>
      <c r="I183" s="35" t="s">
        <v>75</v>
      </c>
    </row>
    <row r="184" ht="22.5" customHeight="1">
      <c r="A184" s="35" t="s">
        <v>614</v>
      </c>
      <c r="B184" s="35" t="s">
        <v>615</v>
      </c>
      <c r="C184" s="35" t="s">
        <v>61</v>
      </c>
      <c r="D184" s="35" t="s">
        <v>90</v>
      </c>
      <c r="E184" s="35" t="s">
        <v>91</v>
      </c>
      <c r="F184" s="35">
        <v>526.0</v>
      </c>
      <c r="G184" s="35">
        <v>5.58</v>
      </c>
      <c r="H184" s="35">
        <v>94.3</v>
      </c>
      <c r="I184" s="35" t="s">
        <v>62</v>
      </c>
    </row>
    <row r="185" ht="22.5" customHeight="1">
      <c r="A185" s="35" t="s">
        <v>616</v>
      </c>
      <c r="B185" s="35" t="s">
        <v>617</v>
      </c>
      <c r="C185" s="35" t="s">
        <v>61</v>
      </c>
      <c r="D185" s="35" t="s">
        <v>136</v>
      </c>
      <c r="E185" s="35" t="s">
        <v>189</v>
      </c>
      <c r="F185" s="35">
        <v>484.0</v>
      </c>
      <c r="G185" s="35">
        <v>3.53</v>
      </c>
      <c r="H185" s="35">
        <v>137.1</v>
      </c>
      <c r="I185" s="35" t="s">
        <v>75</v>
      </c>
    </row>
    <row r="186" ht="22.5" customHeight="1">
      <c r="A186" s="35" t="s">
        <v>618</v>
      </c>
      <c r="B186" s="35" t="s">
        <v>619</v>
      </c>
      <c r="C186" s="35" t="s">
        <v>61</v>
      </c>
      <c r="D186" s="35" t="s">
        <v>102</v>
      </c>
      <c r="E186" s="35" t="s">
        <v>103</v>
      </c>
      <c r="F186" s="35">
        <v>364.0</v>
      </c>
      <c r="G186" s="35">
        <v>20.41</v>
      </c>
      <c r="H186" s="35">
        <v>17.8</v>
      </c>
      <c r="I186" s="35" t="s">
        <v>75</v>
      </c>
    </row>
    <row r="187" ht="22.5" customHeight="1">
      <c r="A187" s="35" t="s">
        <v>620</v>
      </c>
      <c r="B187" s="35" t="s">
        <v>621</v>
      </c>
      <c r="C187" s="35" t="s">
        <v>61</v>
      </c>
      <c r="D187" s="35" t="s">
        <v>123</v>
      </c>
      <c r="E187" s="35" t="s">
        <v>181</v>
      </c>
      <c r="F187" s="35">
        <v>62.0</v>
      </c>
      <c r="G187" s="35">
        <v>8.17</v>
      </c>
      <c r="H187" s="35">
        <v>7.6</v>
      </c>
      <c r="I187" s="35" t="s">
        <v>75</v>
      </c>
    </row>
    <row r="188" ht="22.5" customHeight="1">
      <c r="A188" s="35" t="s">
        <v>622</v>
      </c>
      <c r="B188" s="35" t="s">
        <v>623</v>
      </c>
      <c r="C188" s="35" t="s">
        <v>61</v>
      </c>
      <c r="D188" s="35" t="s">
        <v>73</v>
      </c>
      <c r="E188" s="35" t="s">
        <v>74</v>
      </c>
      <c r="F188" s="35">
        <v>173.0</v>
      </c>
      <c r="G188" s="35">
        <v>9.33</v>
      </c>
      <c r="H188" s="35">
        <v>18.5</v>
      </c>
      <c r="I188" s="35" t="s">
        <v>75</v>
      </c>
    </row>
    <row r="189" ht="22.5" customHeight="1">
      <c r="A189" s="35" t="s">
        <v>624</v>
      </c>
      <c r="B189" s="35" t="s">
        <v>625</v>
      </c>
      <c r="C189" s="35" t="s">
        <v>61</v>
      </c>
      <c r="D189" s="35" t="s">
        <v>90</v>
      </c>
      <c r="E189" s="35" t="s">
        <v>91</v>
      </c>
      <c r="F189" s="35">
        <v>882.0</v>
      </c>
      <c r="G189" s="35">
        <v>8.96</v>
      </c>
      <c r="H189" s="35">
        <v>98.4</v>
      </c>
      <c r="I189" s="35" t="s">
        <v>62</v>
      </c>
    </row>
    <row r="190" ht="22.5" customHeight="1">
      <c r="A190" s="35" t="s">
        <v>626</v>
      </c>
      <c r="B190" s="35" t="s">
        <v>627</v>
      </c>
      <c r="C190" s="35" t="s">
        <v>61</v>
      </c>
      <c r="D190" s="35" t="s">
        <v>136</v>
      </c>
      <c r="E190" s="35" t="s">
        <v>189</v>
      </c>
      <c r="F190" s="35">
        <v>289.0</v>
      </c>
      <c r="G190" s="35">
        <v>4.23</v>
      </c>
      <c r="H190" s="35">
        <v>68.3</v>
      </c>
      <c r="I190" s="35" t="s">
        <v>75</v>
      </c>
    </row>
    <row r="191" ht="22.5" customHeight="1">
      <c r="A191" s="35" t="s">
        <v>628</v>
      </c>
      <c r="B191" s="35" t="s">
        <v>629</v>
      </c>
      <c r="C191" s="35" t="s">
        <v>61</v>
      </c>
      <c r="D191" s="35" t="s">
        <v>165</v>
      </c>
      <c r="E191" s="35" t="s">
        <v>254</v>
      </c>
      <c r="F191" s="35">
        <v>509.0</v>
      </c>
      <c r="G191" s="35">
        <v>14.39</v>
      </c>
      <c r="H191" s="35">
        <v>35.4</v>
      </c>
      <c r="I191" s="35" t="s">
        <v>62</v>
      </c>
    </row>
    <row r="192" ht="22.5" customHeight="1">
      <c r="A192" s="35" t="s">
        <v>630</v>
      </c>
      <c r="B192" s="35" t="s">
        <v>631</v>
      </c>
      <c r="C192" s="35" t="s">
        <v>61</v>
      </c>
      <c r="D192" s="35" t="s">
        <v>90</v>
      </c>
      <c r="E192" s="35" t="s">
        <v>91</v>
      </c>
      <c r="F192" s="35">
        <v>243.0</v>
      </c>
      <c r="G192" s="35">
        <v>3.45</v>
      </c>
      <c r="H192" s="35">
        <v>70.4</v>
      </c>
      <c r="I192" s="35" t="s">
        <v>75</v>
      </c>
    </row>
    <row r="193" ht="22.5" customHeight="1">
      <c r="A193" s="35" t="s">
        <v>632</v>
      </c>
      <c r="B193" s="35" t="s">
        <v>633</v>
      </c>
      <c r="C193" s="35" t="s">
        <v>61</v>
      </c>
      <c r="D193" s="35" t="s">
        <v>140</v>
      </c>
      <c r="E193" s="35" t="s">
        <v>147</v>
      </c>
      <c r="F193" s="35">
        <v>589.0</v>
      </c>
      <c r="G193" s="35">
        <v>8.3</v>
      </c>
      <c r="H193" s="35">
        <v>71.0</v>
      </c>
      <c r="I193" s="35" t="s">
        <v>62</v>
      </c>
    </row>
    <row r="194" ht="22.5" customHeight="1">
      <c r="A194" s="35" t="s">
        <v>634</v>
      </c>
      <c r="B194" s="35" t="s">
        <v>635</v>
      </c>
      <c r="C194" s="35" t="s">
        <v>61</v>
      </c>
      <c r="D194" s="35" t="s">
        <v>166</v>
      </c>
      <c r="E194" s="35" t="s">
        <v>168</v>
      </c>
      <c r="F194" s="35">
        <v>97.0</v>
      </c>
      <c r="G194" s="35">
        <v>9.3</v>
      </c>
      <c r="H194" s="35">
        <v>10.4</v>
      </c>
      <c r="I194" s="35" t="s">
        <v>75</v>
      </c>
    </row>
    <row r="195" ht="22.5" customHeight="1">
      <c r="A195" s="35" t="s">
        <v>636</v>
      </c>
      <c r="B195" s="35" t="s">
        <v>637</v>
      </c>
      <c r="C195" s="35" t="s">
        <v>61</v>
      </c>
      <c r="D195" s="35" t="s">
        <v>102</v>
      </c>
      <c r="E195" s="35" t="s">
        <v>103</v>
      </c>
      <c r="F195" s="35">
        <v>467.0</v>
      </c>
      <c r="G195" s="35">
        <v>12.34</v>
      </c>
      <c r="H195" s="35">
        <v>37.8</v>
      </c>
      <c r="I195" s="35" t="s">
        <v>75</v>
      </c>
    </row>
    <row r="196" ht="22.5" customHeight="1">
      <c r="A196" s="35" t="s">
        <v>638</v>
      </c>
      <c r="B196" s="35" t="s">
        <v>639</v>
      </c>
      <c r="C196" s="35" t="s">
        <v>61</v>
      </c>
      <c r="D196" s="35" t="s">
        <v>123</v>
      </c>
      <c r="E196" s="35" t="s">
        <v>181</v>
      </c>
      <c r="F196" s="35">
        <v>1308.0</v>
      </c>
      <c r="G196" s="35">
        <v>17.24</v>
      </c>
      <c r="H196" s="35">
        <v>75.9</v>
      </c>
      <c r="I196" s="35" t="s">
        <v>62</v>
      </c>
    </row>
    <row r="197" ht="22.5" customHeight="1">
      <c r="A197" s="35" t="s">
        <v>640</v>
      </c>
      <c r="B197" s="35" t="s">
        <v>641</v>
      </c>
      <c r="C197" s="35" t="s">
        <v>61</v>
      </c>
      <c r="D197" s="35" t="s">
        <v>156</v>
      </c>
      <c r="E197" s="35" t="s">
        <v>157</v>
      </c>
      <c r="F197" s="35">
        <v>61.0</v>
      </c>
      <c r="G197" s="35">
        <v>7.39</v>
      </c>
      <c r="H197" s="35">
        <v>8.3</v>
      </c>
      <c r="I197" s="35" t="s">
        <v>75</v>
      </c>
    </row>
    <row r="198" ht="22.5" customHeight="1">
      <c r="A198" s="35" t="s">
        <v>642</v>
      </c>
      <c r="B198" s="35" t="s">
        <v>643</v>
      </c>
      <c r="C198" s="35" t="s">
        <v>61</v>
      </c>
      <c r="D198" s="35" t="s">
        <v>136</v>
      </c>
      <c r="E198" s="35" t="s">
        <v>189</v>
      </c>
      <c r="F198" s="35">
        <v>207.0</v>
      </c>
      <c r="G198" s="35">
        <v>6.75</v>
      </c>
      <c r="H198" s="35">
        <v>30.7</v>
      </c>
      <c r="I198" s="35" t="s">
        <v>75</v>
      </c>
    </row>
    <row r="199" ht="22.5" customHeight="1">
      <c r="A199" s="35" t="s">
        <v>644</v>
      </c>
      <c r="B199" s="35" t="s">
        <v>645</v>
      </c>
      <c r="C199" s="35" t="s">
        <v>61</v>
      </c>
      <c r="D199" s="35" t="s">
        <v>165</v>
      </c>
      <c r="E199" s="35" t="s">
        <v>254</v>
      </c>
      <c r="F199" s="35">
        <v>71.0</v>
      </c>
      <c r="G199" s="35">
        <v>3.38</v>
      </c>
      <c r="H199" s="35">
        <v>21.0</v>
      </c>
      <c r="I199" s="35" t="s">
        <v>75</v>
      </c>
    </row>
    <row r="200" ht="22.5" customHeight="1">
      <c r="A200" s="35" t="s">
        <v>646</v>
      </c>
      <c r="B200" s="35" t="s">
        <v>647</v>
      </c>
      <c r="C200" s="35" t="s">
        <v>61</v>
      </c>
      <c r="D200" s="35" t="s">
        <v>50</v>
      </c>
      <c r="E200" s="35" t="s">
        <v>49</v>
      </c>
      <c r="F200" s="35">
        <v>224.0</v>
      </c>
      <c r="G200" s="35">
        <v>3.36</v>
      </c>
      <c r="H200" s="35">
        <v>66.7</v>
      </c>
      <c r="I200" s="35" t="s">
        <v>75</v>
      </c>
    </row>
    <row r="201" ht="22.5" customHeight="1">
      <c r="A201" s="35" t="s">
        <v>648</v>
      </c>
      <c r="B201" s="35" t="s">
        <v>649</v>
      </c>
      <c r="C201" s="35" t="s">
        <v>61</v>
      </c>
      <c r="D201" s="35" t="s">
        <v>78</v>
      </c>
      <c r="E201" s="35" t="s">
        <v>79</v>
      </c>
      <c r="F201" s="35">
        <v>256.0</v>
      </c>
      <c r="G201" s="35">
        <v>13.23</v>
      </c>
      <c r="H201" s="35">
        <v>19.3</v>
      </c>
      <c r="I201" s="35" t="s">
        <v>75</v>
      </c>
    </row>
    <row r="202" ht="22.5" customHeight="1">
      <c r="A202" s="35" t="s">
        <v>650</v>
      </c>
      <c r="B202" s="35" t="s">
        <v>651</v>
      </c>
      <c r="C202" s="35" t="s">
        <v>61</v>
      </c>
      <c r="D202" s="35" t="s">
        <v>123</v>
      </c>
      <c r="E202" s="35" t="s">
        <v>181</v>
      </c>
      <c r="F202" s="35">
        <v>654.0</v>
      </c>
      <c r="G202" s="35">
        <v>4.45</v>
      </c>
      <c r="H202" s="35">
        <v>147.0</v>
      </c>
      <c r="I202" s="35" t="s">
        <v>62</v>
      </c>
    </row>
    <row r="203" ht="22.5" customHeight="1">
      <c r="A203" s="35" t="s">
        <v>652</v>
      </c>
      <c r="B203" s="35" t="s">
        <v>653</v>
      </c>
      <c r="C203" s="35" t="s">
        <v>61</v>
      </c>
      <c r="D203" s="35" t="s">
        <v>90</v>
      </c>
      <c r="E203" s="35" t="s">
        <v>91</v>
      </c>
      <c r="F203" s="35">
        <v>352.0</v>
      </c>
      <c r="G203" s="35">
        <v>3.75</v>
      </c>
      <c r="H203" s="35">
        <v>93.9</v>
      </c>
      <c r="I203" s="35" t="s">
        <v>75</v>
      </c>
    </row>
    <row r="204" ht="22.5" customHeight="1">
      <c r="A204" s="35" t="s">
        <v>654</v>
      </c>
      <c r="B204" s="35" t="s">
        <v>655</v>
      </c>
      <c r="C204" s="35" t="s">
        <v>61</v>
      </c>
      <c r="D204" s="35" t="s">
        <v>78</v>
      </c>
      <c r="E204" s="35" t="s">
        <v>79</v>
      </c>
      <c r="F204" s="35">
        <v>357.0</v>
      </c>
      <c r="G204" s="35">
        <v>5.9</v>
      </c>
      <c r="H204" s="35">
        <v>60.5</v>
      </c>
      <c r="I204" s="35" t="s">
        <v>75</v>
      </c>
    </row>
    <row r="205" ht="22.5" customHeight="1">
      <c r="A205" s="35" t="s">
        <v>656</v>
      </c>
      <c r="B205" s="35" t="s">
        <v>657</v>
      </c>
      <c r="C205" s="35" t="s">
        <v>61</v>
      </c>
      <c r="D205" s="35" t="s">
        <v>50</v>
      </c>
      <c r="E205" s="35" t="s">
        <v>49</v>
      </c>
      <c r="F205" s="35">
        <v>674.0</v>
      </c>
      <c r="G205" s="35">
        <v>5.61</v>
      </c>
      <c r="H205" s="35">
        <v>120.1</v>
      </c>
      <c r="I205" s="35" t="s">
        <v>62</v>
      </c>
    </row>
    <row r="206" ht="22.5" customHeight="1">
      <c r="A206" s="35" t="s">
        <v>658</v>
      </c>
      <c r="B206" s="35" t="s">
        <v>659</v>
      </c>
      <c r="C206" s="35" t="s">
        <v>61</v>
      </c>
      <c r="D206" s="35" t="s">
        <v>123</v>
      </c>
      <c r="E206" s="35" t="s">
        <v>181</v>
      </c>
      <c r="F206" s="35">
        <v>306.0</v>
      </c>
      <c r="G206" s="35">
        <v>5.5</v>
      </c>
      <c r="H206" s="35">
        <v>55.6</v>
      </c>
      <c r="I206" s="35" t="s">
        <v>75</v>
      </c>
    </row>
    <row r="207" ht="22.5" customHeight="1">
      <c r="A207" s="35" t="s">
        <v>660</v>
      </c>
      <c r="B207" s="35" t="s">
        <v>661</v>
      </c>
      <c r="C207" s="35" t="s">
        <v>61</v>
      </c>
      <c r="D207" s="35" t="s">
        <v>140</v>
      </c>
      <c r="E207" s="35" t="s">
        <v>147</v>
      </c>
      <c r="F207" s="35">
        <v>61.0</v>
      </c>
      <c r="G207" s="35">
        <v>3.46</v>
      </c>
      <c r="H207" s="35">
        <v>17.6</v>
      </c>
      <c r="I207" s="35" t="s">
        <v>75</v>
      </c>
    </row>
    <row r="208" ht="22.5" customHeight="1">
      <c r="A208" s="35" t="s">
        <v>662</v>
      </c>
      <c r="B208" s="35" t="s">
        <v>663</v>
      </c>
      <c r="C208" s="35" t="s">
        <v>61</v>
      </c>
      <c r="D208" s="35" t="s">
        <v>86</v>
      </c>
      <c r="E208" s="35" t="s">
        <v>87</v>
      </c>
      <c r="F208" s="35">
        <v>851.0</v>
      </c>
      <c r="G208" s="35">
        <v>15.27</v>
      </c>
      <c r="H208" s="35">
        <v>55.7</v>
      </c>
      <c r="I208" s="35" t="s">
        <v>62</v>
      </c>
    </row>
    <row r="209" ht="22.5" customHeight="1">
      <c r="A209" s="35" t="s">
        <v>664</v>
      </c>
      <c r="B209" s="35" t="s">
        <v>665</v>
      </c>
      <c r="C209" s="35" t="s">
        <v>61</v>
      </c>
      <c r="D209" s="35" t="s">
        <v>102</v>
      </c>
      <c r="E209" s="35" t="s">
        <v>103</v>
      </c>
      <c r="F209" s="35">
        <v>332.0</v>
      </c>
      <c r="G209" s="35">
        <v>7.32</v>
      </c>
      <c r="H209" s="35">
        <v>45.4</v>
      </c>
      <c r="I209" s="35" t="s">
        <v>75</v>
      </c>
    </row>
    <row r="210" ht="22.5" customHeight="1">
      <c r="A210" s="35" t="s">
        <v>666</v>
      </c>
      <c r="B210" s="35" t="s">
        <v>667</v>
      </c>
      <c r="C210" s="35" t="s">
        <v>61</v>
      </c>
      <c r="D210" s="35" t="s">
        <v>137</v>
      </c>
      <c r="E210" s="35" t="s">
        <v>138</v>
      </c>
      <c r="F210" s="35">
        <v>990.0</v>
      </c>
      <c r="G210" s="35">
        <v>11.38</v>
      </c>
      <c r="H210" s="35">
        <v>87.0</v>
      </c>
      <c r="I210" s="35" t="s">
        <v>62</v>
      </c>
    </row>
    <row r="211" ht="22.5" customHeight="1">
      <c r="A211" s="35" t="s">
        <v>668</v>
      </c>
      <c r="B211" s="35" t="s">
        <v>669</v>
      </c>
      <c r="C211" s="35" t="s">
        <v>61</v>
      </c>
      <c r="D211" s="35" t="s">
        <v>78</v>
      </c>
      <c r="E211" s="35" t="s">
        <v>79</v>
      </c>
      <c r="F211" s="35">
        <v>649.0</v>
      </c>
      <c r="G211" s="35">
        <v>6.08</v>
      </c>
      <c r="H211" s="35">
        <v>106.7</v>
      </c>
      <c r="I211" s="35" t="s">
        <v>62</v>
      </c>
    </row>
    <row r="212" ht="22.5" customHeight="1">
      <c r="A212" s="35" t="s">
        <v>670</v>
      </c>
      <c r="B212" s="35" t="s">
        <v>671</v>
      </c>
      <c r="C212" s="35" t="s">
        <v>61</v>
      </c>
      <c r="D212" s="35" t="s">
        <v>137</v>
      </c>
      <c r="E212" s="35" t="s">
        <v>138</v>
      </c>
      <c r="F212" s="35">
        <v>194.0</v>
      </c>
      <c r="G212" s="35">
        <v>6.12</v>
      </c>
      <c r="H212" s="35">
        <v>31.7</v>
      </c>
      <c r="I212" s="35" t="s">
        <v>75</v>
      </c>
    </row>
    <row r="213" ht="22.5" customHeight="1">
      <c r="A213" s="35" t="s">
        <v>672</v>
      </c>
      <c r="B213" s="35" t="s">
        <v>673</v>
      </c>
      <c r="C213" s="35" t="s">
        <v>61</v>
      </c>
      <c r="D213" s="35" t="s">
        <v>123</v>
      </c>
      <c r="E213" s="35" t="s">
        <v>181</v>
      </c>
      <c r="F213" s="35">
        <v>443.0</v>
      </c>
      <c r="G213" s="35">
        <v>28.72</v>
      </c>
      <c r="H213" s="35">
        <v>15.4</v>
      </c>
      <c r="I213" s="35" t="s">
        <v>75</v>
      </c>
    </row>
    <row r="214" ht="22.5" customHeight="1">
      <c r="A214" s="35" t="s">
        <v>674</v>
      </c>
      <c r="B214" s="35" t="s">
        <v>675</v>
      </c>
      <c r="C214" s="35" t="s">
        <v>61</v>
      </c>
      <c r="D214" s="35" t="s">
        <v>182</v>
      </c>
      <c r="E214" s="35" t="s">
        <v>357</v>
      </c>
      <c r="F214" s="35">
        <v>161.0</v>
      </c>
      <c r="G214" s="35">
        <v>7.82</v>
      </c>
      <c r="H214" s="35">
        <v>20.6</v>
      </c>
      <c r="I214" s="35" t="s">
        <v>75</v>
      </c>
    </row>
    <row r="215" ht="22.5" customHeight="1">
      <c r="A215" s="35" t="s">
        <v>676</v>
      </c>
      <c r="B215" s="35" t="s">
        <v>677</v>
      </c>
      <c r="C215" s="35" t="s">
        <v>61</v>
      </c>
      <c r="D215" s="35" t="s">
        <v>50</v>
      </c>
      <c r="E215" s="35" t="s">
        <v>49</v>
      </c>
      <c r="F215" s="35">
        <v>39.0</v>
      </c>
      <c r="G215" s="35">
        <v>3.17</v>
      </c>
      <c r="H215" s="35">
        <v>12.3</v>
      </c>
      <c r="I215" s="35" t="s">
        <v>75</v>
      </c>
    </row>
    <row r="216" ht="22.5" customHeight="1">
      <c r="A216" s="35" t="s">
        <v>678</v>
      </c>
      <c r="B216" s="35" t="s">
        <v>679</v>
      </c>
      <c r="C216" s="35" t="s">
        <v>61</v>
      </c>
      <c r="D216" s="35" t="s">
        <v>123</v>
      </c>
      <c r="E216" s="35" t="s">
        <v>181</v>
      </c>
      <c r="F216" s="35">
        <v>304.0</v>
      </c>
      <c r="G216" s="35">
        <v>14.05</v>
      </c>
      <c r="H216" s="35">
        <v>21.6</v>
      </c>
      <c r="I216" s="35" t="s">
        <v>75</v>
      </c>
    </row>
    <row r="217" ht="22.5" customHeight="1">
      <c r="A217" s="35" t="s">
        <v>680</v>
      </c>
      <c r="B217" s="35" t="s">
        <v>681</v>
      </c>
      <c r="C217" s="35" t="s">
        <v>61</v>
      </c>
      <c r="D217" s="35" t="s">
        <v>90</v>
      </c>
      <c r="E217" s="35" t="s">
        <v>91</v>
      </c>
      <c r="F217" s="35">
        <v>352.0</v>
      </c>
      <c r="G217" s="35">
        <v>8.98</v>
      </c>
      <c r="H217" s="35">
        <v>39.2</v>
      </c>
      <c r="I217" s="35" t="s">
        <v>75</v>
      </c>
    </row>
    <row r="218" ht="22.5" customHeight="1">
      <c r="A218" s="35" t="s">
        <v>682</v>
      </c>
      <c r="B218" s="35" t="s">
        <v>683</v>
      </c>
      <c r="C218" s="35" t="s">
        <v>61</v>
      </c>
      <c r="D218" s="35" t="s">
        <v>123</v>
      </c>
      <c r="E218" s="35" t="s">
        <v>181</v>
      </c>
      <c r="F218" s="35">
        <v>82.0</v>
      </c>
      <c r="G218" s="35">
        <v>2.76</v>
      </c>
      <c r="H218" s="35">
        <v>29.7</v>
      </c>
      <c r="I218" s="35" t="s">
        <v>75</v>
      </c>
    </row>
    <row r="219" ht="22.5" customHeight="1">
      <c r="A219" s="35" t="s">
        <v>684</v>
      </c>
      <c r="B219" s="35" t="s">
        <v>685</v>
      </c>
      <c r="C219" s="35" t="s">
        <v>61</v>
      </c>
      <c r="D219" s="35" t="s">
        <v>67</v>
      </c>
      <c r="E219" s="35" t="s">
        <v>68</v>
      </c>
      <c r="F219" s="35">
        <v>1808.0</v>
      </c>
      <c r="G219" s="35">
        <v>6.74</v>
      </c>
      <c r="H219" s="35">
        <v>268.2</v>
      </c>
      <c r="I219" s="35" t="s">
        <v>62</v>
      </c>
    </row>
    <row r="220" ht="22.5" customHeight="1">
      <c r="A220" s="35" t="s">
        <v>686</v>
      </c>
      <c r="B220" s="35" t="s">
        <v>687</v>
      </c>
      <c r="C220" s="35" t="s">
        <v>61</v>
      </c>
      <c r="D220" s="35" t="s">
        <v>123</v>
      </c>
      <c r="E220" s="35" t="s">
        <v>181</v>
      </c>
      <c r="F220" s="35">
        <v>126.0</v>
      </c>
      <c r="G220" s="35">
        <v>10.13</v>
      </c>
      <c r="H220" s="35">
        <v>12.4</v>
      </c>
      <c r="I220" s="35" t="s">
        <v>75</v>
      </c>
    </row>
    <row r="221" ht="22.5" customHeight="1">
      <c r="A221" s="35" t="s">
        <v>688</v>
      </c>
      <c r="B221" s="35" t="s">
        <v>689</v>
      </c>
      <c r="C221" s="35" t="s">
        <v>61</v>
      </c>
      <c r="D221" s="35" t="s">
        <v>123</v>
      </c>
      <c r="E221" s="35" t="s">
        <v>181</v>
      </c>
      <c r="F221" s="35">
        <v>361.0</v>
      </c>
      <c r="G221" s="35">
        <v>5.97</v>
      </c>
      <c r="H221" s="35">
        <v>60.5</v>
      </c>
      <c r="I221" s="35" t="s">
        <v>75</v>
      </c>
    </row>
    <row r="222" ht="22.5" customHeight="1">
      <c r="A222" s="35" t="s">
        <v>690</v>
      </c>
      <c r="B222" s="35" t="s">
        <v>691</v>
      </c>
      <c r="C222" s="35" t="s">
        <v>61</v>
      </c>
      <c r="D222" s="35" t="s">
        <v>78</v>
      </c>
      <c r="E222" s="35" t="s">
        <v>79</v>
      </c>
      <c r="F222" s="35">
        <v>78.0</v>
      </c>
      <c r="G222" s="35">
        <v>4.24</v>
      </c>
      <c r="H222" s="35">
        <v>18.4</v>
      </c>
      <c r="I222" s="35" t="s">
        <v>75</v>
      </c>
    </row>
    <row r="223" ht="22.5" customHeight="1">
      <c r="A223" s="35" t="s">
        <v>692</v>
      </c>
      <c r="B223" s="35" t="s">
        <v>693</v>
      </c>
      <c r="C223" s="35" t="s">
        <v>61</v>
      </c>
      <c r="D223" s="35" t="s">
        <v>90</v>
      </c>
      <c r="E223" s="35" t="s">
        <v>91</v>
      </c>
      <c r="F223" s="35">
        <v>174.0</v>
      </c>
      <c r="G223" s="35">
        <v>7.49</v>
      </c>
      <c r="H223" s="35">
        <v>23.2</v>
      </c>
      <c r="I223" s="35" t="s">
        <v>75</v>
      </c>
    </row>
    <row r="224" ht="22.5" customHeight="1">
      <c r="A224" s="35" t="s">
        <v>694</v>
      </c>
      <c r="B224" s="35" t="s">
        <v>695</v>
      </c>
      <c r="C224" s="35" t="s">
        <v>61</v>
      </c>
      <c r="D224" s="35" t="s">
        <v>73</v>
      </c>
      <c r="E224" s="35" t="s">
        <v>74</v>
      </c>
      <c r="F224" s="35">
        <v>926.0</v>
      </c>
      <c r="G224" s="35">
        <v>13.59</v>
      </c>
      <c r="H224" s="35">
        <v>68.1</v>
      </c>
      <c r="I224" s="35" t="s">
        <v>62</v>
      </c>
    </row>
    <row r="225" ht="22.5" customHeight="1">
      <c r="A225" s="35" t="s">
        <v>696</v>
      </c>
      <c r="B225" s="35" t="s">
        <v>697</v>
      </c>
      <c r="C225" s="35" t="s">
        <v>61</v>
      </c>
      <c r="D225" s="35" t="s">
        <v>102</v>
      </c>
      <c r="E225" s="35" t="s">
        <v>103</v>
      </c>
      <c r="F225" s="35">
        <v>366.0</v>
      </c>
      <c r="G225" s="35">
        <v>24.58</v>
      </c>
      <c r="H225" s="35">
        <v>14.9</v>
      </c>
      <c r="I225" s="35" t="s">
        <v>75</v>
      </c>
    </row>
    <row r="226" ht="22.5" customHeight="1">
      <c r="A226" s="35" t="s">
        <v>698</v>
      </c>
      <c r="B226" s="35" t="s">
        <v>699</v>
      </c>
      <c r="C226" s="35" t="s">
        <v>61</v>
      </c>
      <c r="D226" s="35" t="s">
        <v>106</v>
      </c>
      <c r="E226" s="35" t="s">
        <v>107</v>
      </c>
      <c r="F226" s="35">
        <v>127.0</v>
      </c>
      <c r="G226" s="35">
        <v>8.17</v>
      </c>
      <c r="H226" s="35">
        <v>15.5</v>
      </c>
      <c r="I226" s="35" t="s">
        <v>75</v>
      </c>
    </row>
    <row r="227" ht="22.5" customHeight="1">
      <c r="A227" s="35" t="s">
        <v>700</v>
      </c>
      <c r="B227" s="35" t="s">
        <v>701</v>
      </c>
      <c r="C227" s="35" t="s">
        <v>61</v>
      </c>
      <c r="D227" s="35" t="s">
        <v>86</v>
      </c>
      <c r="E227" s="35" t="s">
        <v>87</v>
      </c>
      <c r="F227" s="35">
        <v>84.0</v>
      </c>
      <c r="G227" s="35">
        <v>8.67</v>
      </c>
      <c r="H227" s="35">
        <v>9.7</v>
      </c>
      <c r="I227" s="35" t="s">
        <v>75</v>
      </c>
    </row>
    <row r="228" ht="22.5" customHeight="1">
      <c r="A228" s="35" t="s">
        <v>702</v>
      </c>
      <c r="B228" s="35" t="s">
        <v>703</v>
      </c>
      <c r="C228" s="35" t="s">
        <v>61</v>
      </c>
      <c r="D228" s="35" t="s">
        <v>86</v>
      </c>
      <c r="E228" s="35" t="s">
        <v>87</v>
      </c>
      <c r="F228" s="35">
        <v>119.0</v>
      </c>
      <c r="G228" s="35">
        <v>5.96</v>
      </c>
      <c r="H228" s="35">
        <v>20.0</v>
      </c>
      <c r="I228" s="35" t="s">
        <v>75</v>
      </c>
    </row>
    <row r="229" ht="22.5" customHeight="1">
      <c r="A229" s="35" t="s">
        <v>704</v>
      </c>
      <c r="B229" s="35" t="s">
        <v>705</v>
      </c>
      <c r="C229" s="35" t="s">
        <v>61</v>
      </c>
      <c r="D229" s="35" t="s">
        <v>137</v>
      </c>
      <c r="E229" s="35" t="s">
        <v>138</v>
      </c>
      <c r="F229" s="35">
        <v>335.0</v>
      </c>
      <c r="G229" s="35">
        <v>11.81</v>
      </c>
      <c r="H229" s="35">
        <v>28.4</v>
      </c>
      <c r="I229" s="35" t="s">
        <v>75</v>
      </c>
    </row>
    <row r="230" ht="22.5" customHeight="1">
      <c r="A230" s="35" t="s">
        <v>706</v>
      </c>
      <c r="B230" s="35" t="s">
        <v>707</v>
      </c>
      <c r="C230" s="35" t="s">
        <v>61</v>
      </c>
      <c r="D230" s="35" t="s">
        <v>73</v>
      </c>
      <c r="E230" s="35" t="s">
        <v>74</v>
      </c>
      <c r="F230" s="35">
        <v>1472.0</v>
      </c>
      <c r="G230" s="35">
        <v>18.08</v>
      </c>
      <c r="H230" s="35">
        <v>81.4</v>
      </c>
      <c r="I230" s="35" t="s">
        <v>62</v>
      </c>
    </row>
    <row r="231" ht="22.5" customHeight="1">
      <c r="A231" s="35" t="s">
        <v>708</v>
      </c>
      <c r="B231" s="35" t="s">
        <v>709</v>
      </c>
      <c r="C231" s="35" t="s">
        <v>61</v>
      </c>
      <c r="D231" s="35" t="s">
        <v>136</v>
      </c>
      <c r="E231" s="35" t="s">
        <v>189</v>
      </c>
      <c r="F231" s="35">
        <v>1812.0</v>
      </c>
      <c r="G231" s="35">
        <v>27.77</v>
      </c>
      <c r="H231" s="35">
        <v>65.3</v>
      </c>
      <c r="I231" s="35" t="s">
        <v>62</v>
      </c>
    </row>
    <row r="232" ht="22.5" customHeight="1">
      <c r="A232" s="35" t="s">
        <v>710</v>
      </c>
      <c r="B232" s="35" t="s">
        <v>711</v>
      </c>
      <c r="C232" s="35" t="s">
        <v>61</v>
      </c>
      <c r="D232" s="35" t="s">
        <v>123</v>
      </c>
      <c r="E232" s="35" t="s">
        <v>181</v>
      </c>
      <c r="F232" s="35">
        <v>1166.0</v>
      </c>
      <c r="G232" s="35">
        <v>7.11</v>
      </c>
      <c r="H232" s="35">
        <v>164.0</v>
      </c>
      <c r="I232" s="35" t="s">
        <v>62</v>
      </c>
    </row>
    <row r="233" ht="22.5" customHeight="1">
      <c r="A233" s="35" t="s">
        <v>712</v>
      </c>
      <c r="B233" s="35" t="s">
        <v>713</v>
      </c>
      <c r="C233" s="35" t="s">
        <v>61</v>
      </c>
      <c r="D233" s="35" t="s">
        <v>198</v>
      </c>
      <c r="E233" s="35" t="s">
        <v>217</v>
      </c>
      <c r="F233" s="35">
        <v>183.0</v>
      </c>
      <c r="G233" s="35">
        <v>9.44</v>
      </c>
      <c r="H233" s="35">
        <v>19.4</v>
      </c>
      <c r="I233" s="35" t="s">
        <v>75</v>
      </c>
    </row>
    <row r="234" ht="22.5" customHeight="1">
      <c r="A234" s="35" t="s">
        <v>714</v>
      </c>
      <c r="B234" s="35" t="s">
        <v>715</v>
      </c>
      <c r="C234" s="35" t="s">
        <v>61</v>
      </c>
      <c r="D234" s="35" t="s">
        <v>123</v>
      </c>
      <c r="E234" s="35" t="s">
        <v>181</v>
      </c>
      <c r="F234" s="35">
        <v>87.0</v>
      </c>
      <c r="G234" s="35">
        <v>10.57</v>
      </c>
      <c r="H234" s="35">
        <v>8.2</v>
      </c>
      <c r="I234" s="35" t="s">
        <v>75</v>
      </c>
    </row>
    <row r="235" ht="22.5" customHeight="1">
      <c r="A235" s="35" t="s">
        <v>716</v>
      </c>
      <c r="B235" s="35" t="s">
        <v>717</v>
      </c>
      <c r="C235" s="35" t="s">
        <v>61</v>
      </c>
      <c r="D235" s="35" t="s">
        <v>182</v>
      </c>
      <c r="E235" s="35" t="s">
        <v>357</v>
      </c>
      <c r="F235" s="35">
        <v>591.0</v>
      </c>
      <c r="G235" s="35">
        <v>4.34</v>
      </c>
      <c r="H235" s="35">
        <v>136.2</v>
      </c>
      <c r="I235" s="35" t="s">
        <v>62</v>
      </c>
    </row>
    <row r="236" ht="22.5" customHeight="1">
      <c r="A236" s="35" t="s">
        <v>718</v>
      </c>
      <c r="B236" s="35" t="s">
        <v>719</v>
      </c>
      <c r="C236" s="35" t="s">
        <v>61</v>
      </c>
      <c r="D236" s="35" t="s">
        <v>67</v>
      </c>
      <c r="E236" s="35" t="s">
        <v>68</v>
      </c>
      <c r="F236" s="35">
        <v>3049.0</v>
      </c>
      <c r="G236" s="35">
        <v>10.37</v>
      </c>
      <c r="H236" s="35">
        <v>294.0</v>
      </c>
      <c r="I236" s="35" t="s">
        <v>142</v>
      </c>
    </row>
    <row r="237" ht="22.5" customHeight="1">
      <c r="A237" s="35" t="s">
        <v>720</v>
      </c>
      <c r="B237" s="35" t="s">
        <v>721</v>
      </c>
      <c r="C237" s="35" t="s">
        <v>61</v>
      </c>
      <c r="D237" s="35" t="s">
        <v>82</v>
      </c>
      <c r="E237" s="35" t="s">
        <v>83</v>
      </c>
      <c r="F237" s="35">
        <v>64.0</v>
      </c>
      <c r="G237" s="35">
        <v>3.49</v>
      </c>
      <c r="H237" s="35">
        <v>18.3</v>
      </c>
      <c r="I237" s="35" t="s">
        <v>75</v>
      </c>
    </row>
    <row r="238" ht="22.5" customHeight="1">
      <c r="A238" s="35" t="s">
        <v>722</v>
      </c>
      <c r="B238" s="35" t="s">
        <v>723</v>
      </c>
      <c r="C238" s="35" t="s">
        <v>61</v>
      </c>
      <c r="D238" s="35" t="s">
        <v>67</v>
      </c>
      <c r="E238" s="35" t="s">
        <v>68</v>
      </c>
      <c r="F238" s="35">
        <v>1733.0</v>
      </c>
      <c r="G238" s="35">
        <v>5.02</v>
      </c>
      <c r="H238" s="35">
        <v>345.2</v>
      </c>
      <c r="I238" s="35" t="s">
        <v>62</v>
      </c>
    </row>
    <row r="239" ht="22.5" customHeight="1">
      <c r="A239" s="35" t="s">
        <v>724</v>
      </c>
      <c r="B239" s="35" t="s">
        <v>725</v>
      </c>
      <c r="C239" s="35" t="s">
        <v>61</v>
      </c>
      <c r="D239" s="35" t="s">
        <v>140</v>
      </c>
      <c r="E239" s="35" t="s">
        <v>147</v>
      </c>
      <c r="F239" s="35">
        <v>607.0</v>
      </c>
      <c r="G239" s="35">
        <v>9.38</v>
      </c>
      <c r="H239" s="35">
        <v>64.7</v>
      </c>
      <c r="I239" s="35" t="s">
        <v>62</v>
      </c>
    </row>
    <row r="240" ht="22.5" customHeight="1">
      <c r="A240" s="35" t="s">
        <v>726</v>
      </c>
      <c r="B240" s="35" t="s">
        <v>727</v>
      </c>
      <c r="C240" s="35" t="s">
        <v>61</v>
      </c>
      <c r="D240" s="35" t="s">
        <v>73</v>
      </c>
      <c r="E240" s="35" t="s">
        <v>74</v>
      </c>
      <c r="F240" s="35">
        <v>152.0</v>
      </c>
      <c r="G240" s="35">
        <v>6.6</v>
      </c>
      <c r="H240" s="35">
        <v>23.0</v>
      </c>
      <c r="I240" s="35" t="s">
        <v>75</v>
      </c>
    </row>
    <row r="241" ht="22.5" customHeight="1">
      <c r="A241" s="35" t="s">
        <v>728</v>
      </c>
      <c r="B241" s="35" t="s">
        <v>729</v>
      </c>
      <c r="C241" s="35" t="s">
        <v>61</v>
      </c>
      <c r="D241" s="35" t="s">
        <v>106</v>
      </c>
      <c r="E241" s="35" t="s">
        <v>107</v>
      </c>
      <c r="F241" s="35">
        <v>102.0</v>
      </c>
      <c r="G241" s="35">
        <v>8.56</v>
      </c>
      <c r="H241" s="35">
        <v>11.9</v>
      </c>
      <c r="I241" s="35" t="s">
        <v>75</v>
      </c>
    </row>
    <row r="242" ht="22.5" customHeight="1">
      <c r="A242" s="35" t="s">
        <v>730</v>
      </c>
      <c r="B242" s="35" t="s">
        <v>731</v>
      </c>
      <c r="C242" s="35" t="s">
        <v>61</v>
      </c>
      <c r="D242" s="35" t="s">
        <v>86</v>
      </c>
      <c r="E242" s="35" t="s">
        <v>87</v>
      </c>
      <c r="F242" s="35">
        <v>84.0</v>
      </c>
      <c r="G242" s="35">
        <v>5.21</v>
      </c>
      <c r="H242" s="35">
        <v>16.1</v>
      </c>
      <c r="I242" s="35" t="s">
        <v>75</v>
      </c>
    </row>
    <row r="243" ht="22.5" customHeight="1">
      <c r="A243" s="35" t="s">
        <v>732</v>
      </c>
      <c r="B243" s="35" t="s">
        <v>733</v>
      </c>
      <c r="C243" s="35" t="s">
        <v>61</v>
      </c>
      <c r="D243" s="35" t="s">
        <v>166</v>
      </c>
      <c r="E243" s="35" t="s">
        <v>168</v>
      </c>
      <c r="F243" s="35">
        <v>28.0</v>
      </c>
      <c r="G243" s="35">
        <v>4.85</v>
      </c>
      <c r="H243" s="35">
        <v>5.8</v>
      </c>
      <c r="I243" s="35" t="s">
        <v>75</v>
      </c>
    </row>
    <row r="244" ht="22.5" customHeight="1">
      <c r="A244" s="35" t="s">
        <v>734</v>
      </c>
      <c r="B244" s="35" t="s">
        <v>735</v>
      </c>
      <c r="C244" s="35" t="s">
        <v>61</v>
      </c>
      <c r="D244" s="35" t="s">
        <v>86</v>
      </c>
      <c r="E244" s="35" t="s">
        <v>87</v>
      </c>
      <c r="F244" s="35">
        <v>72.0</v>
      </c>
      <c r="G244" s="35">
        <v>4.95</v>
      </c>
      <c r="H244" s="35">
        <v>14.5</v>
      </c>
      <c r="I244" s="35" t="s">
        <v>75</v>
      </c>
    </row>
    <row r="245" ht="22.5" customHeight="1">
      <c r="A245" s="35" t="s">
        <v>736</v>
      </c>
      <c r="B245" s="35" t="s">
        <v>737</v>
      </c>
      <c r="C245" s="35" t="s">
        <v>61</v>
      </c>
      <c r="D245" s="35" t="s">
        <v>67</v>
      </c>
      <c r="E245" s="35" t="s">
        <v>68</v>
      </c>
      <c r="F245" s="35">
        <v>361.0</v>
      </c>
      <c r="G245" s="35">
        <v>9.1</v>
      </c>
      <c r="H245" s="35">
        <v>39.7</v>
      </c>
      <c r="I245" s="35" t="s">
        <v>75</v>
      </c>
    </row>
    <row r="246" ht="22.5" customHeight="1">
      <c r="A246" s="35" t="s">
        <v>738</v>
      </c>
      <c r="B246" s="35" t="s">
        <v>739</v>
      </c>
      <c r="C246" s="35" t="s">
        <v>61</v>
      </c>
      <c r="D246" s="35" t="s">
        <v>102</v>
      </c>
      <c r="E246" s="35" t="s">
        <v>103</v>
      </c>
      <c r="F246" s="35">
        <v>126.0</v>
      </c>
      <c r="G246" s="35">
        <v>4.81</v>
      </c>
      <c r="H246" s="35">
        <v>26.2</v>
      </c>
      <c r="I246" s="35" t="s">
        <v>75</v>
      </c>
    </row>
    <row r="247" ht="22.5" customHeight="1">
      <c r="A247" s="35" t="s">
        <v>740</v>
      </c>
      <c r="B247" s="35" t="s">
        <v>741</v>
      </c>
      <c r="C247" s="35" t="s">
        <v>61</v>
      </c>
      <c r="D247" s="35" t="s">
        <v>90</v>
      </c>
      <c r="E247" s="35" t="s">
        <v>91</v>
      </c>
      <c r="F247" s="35">
        <v>161.0</v>
      </c>
      <c r="G247" s="35">
        <v>4.39</v>
      </c>
      <c r="H247" s="35">
        <v>36.7</v>
      </c>
      <c r="I247" s="35" t="s">
        <v>75</v>
      </c>
    </row>
    <row r="248" ht="22.5" customHeight="1">
      <c r="A248" s="35" t="s">
        <v>742</v>
      </c>
      <c r="B248" s="35" t="s">
        <v>743</v>
      </c>
      <c r="C248" s="35" t="s">
        <v>61</v>
      </c>
      <c r="D248" s="35" t="s">
        <v>166</v>
      </c>
      <c r="E248" s="35" t="s">
        <v>168</v>
      </c>
      <c r="F248" s="35">
        <v>123.0</v>
      </c>
      <c r="G248" s="35">
        <v>10.04</v>
      </c>
      <c r="H248" s="35">
        <v>12.3</v>
      </c>
      <c r="I248" s="35" t="s">
        <v>75</v>
      </c>
    </row>
    <row r="249" ht="22.5" customHeight="1">
      <c r="A249" s="35" t="s">
        <v>744</v>
      </c>
      <c r="B249" s="35" t="s">
        <v>745</v>
      </c>
      <c r="C249" s="35" t="s">
        <v>61</v>
      </c>
      <c r="D249" s="35" t="s">
        <v>140</v>
      </c>
      <c r="E249" s="35" t="s">
        <v>147</v>
      </c>
      <c r="F249" s="35">
        <v>424.0</v>
      </c>
      <c r="G249" s="35">
        <v>5.76</v>
      </c>
      <c r="H249" s="35">
        <v>73.6</v>
      </c>
      <c r="I249" s="35" t="s">
        <v>75</v>
      </c>
    </row>
    <row r="250" ht="22.5" customHeight="1">
      <c r="A250" s="35" t="s">
        <v>746</v>
      </c>
      <c r="B250" s="35" t="s">
        <v>747</v>
      </c>
      <c r="C250" s="35" t="s">
        <v>61</v>
      </c>
      <c r="D250" s="35" t="s">
        <v>102</v>
      </c>
      <c r="E250" s="35" t="s">
        <v>103</v>
      </c>
      <c r="F250" s="35">
        <v>378.0</v>
      </c>
      <c r="G250" s="35">
        <v>8.1</v>
      </c>
      <c r="H250" s="35">
        <v>46.7</v>
      </c>
      <c r="I250" s="35" t="s">
        <v>75</v>
      </c>
    </row>
    <row r="251" ht="22.5" customHeight="1">
      <c r="A251" s="35" t="s">
        <v>748</v>
      </c>
      <c r="B251" s="35" t="s">
        <v>749</v>
      </c>
      <c r="C251" s="35" t="s">
        <v>61</v>
      </c>
      <c r="D251" s="35" t="s">
        <v>102</v>
      </c>
      <c r="E251" s="35" t="s">
        <v>103</v>
      </c>
      <c r="F251" s="35">
        <v>370.0</v>
      </c>
      <c r="G251" s="35">
        <v>8.15</v>
      </c>
      <c r="H251" s="35">
        <v>45.4</v>
      </c>
      <c r="I251" s="35" t="s">
        <v>75</v>
      </c>
    </row>
    <row r="252" ht="22.5" customHeight="1">
      <c r="A252" s="35" t="s">
        <v>750</v>
      </c>
      <c r="B252" s="35" t="s">
        <v>751</v>
      </c>
      <c r="C252" s="35" t="s">
        <v>61</v>
      </c>
      <c r="D252" s="35" t="s">
        <v>50</v>
      </c>
      <c r="E252" s="35" t="s">
        <v>49</v>
      </c>
      <c r="F252" s="35">
        <v>609.0</v>
      </c>
      <c r="G252" s="35">
        <v>4.54</v>
      </c>
      <c r="H252" s="35">
        <v>134.1</v>
      </c>
      <c r="I252" s="35" t="s">
        <v>62</v>
      </c>
    </row>
    <row r="253" ht="22.5" customHeight="1">
      <c r="A253" s="35" t="s">
        <v>752</v>
      </c>
      <c r="B253" s="35" t="s">
        <v>753</v>
      </c>
      <c r="C253" s="35" t="s">
        <v>61</v>
      </c>
      <c r="D253" s="35" t="s">
        <v>73</v>
      </c>
      <c r="E253" s="35" t="s">
        <v>74</v>
      </c>
      <c r="F253" s="35">
        <v>392.0</v>
      </c>
      <c r="G253" s="35">
        <v>11.45</v>
      </c>
      <c r="H253" s="35">
        <v>34.2</v>
      </c>
      <c r="I253" s="35" t="s">
        <v>75</v>
      </c>
    </row>
    <row r="254" ht="22.5" customHeight="1">
      <c r="A254" s="35" t="s">
        <v>754</v>
      </c>
      <c r="B254" s="35" t="s">
        <v>755</v>
      </c>
      <c r="C254" s="35" t="s">
        <v>61</v>
      </c>
      <c r="D254" s="35" t="s">
        <v>50</v>
      </c>
      <c r="E254" s="35" t="s">
        <v>49</v>
      </c>
      <c r="F254" s="35">
        <v>208.0</v>
      </c>
      <c r="G254" s="35">
        <v>3.78</v>
      </c>
      <c r="H254" s="35">
        <v>55.0</v>
      </c>
      <c r="I254" s="35" t="s">
        <v>75</v>
      </c>
    </row>
    <row r="255" ht="22.5" customHeight="1">
      <c r="A255" s="35" t="s">
        <v>756</v>
      </c>
      <c r="B255" s="35" t="s">
        <v>757</v>
      </c>
      <c r="C255" s="35" t="s">
        <v>61</v>
      </c>
      <c r="D255" s="35" t="s">
        <v>90</v>
      </c>
      <c r="E255" s="35" t="s">
        <v>91</v>
      </c>
      <c r="F255" s="35">
        <v>114.0</v>
      </c>
      <c r="G255" s="35">
        <v>6.88</v>
      </c>
      <c r="H255" s="35">
        <v>16.6</v>
      </c>
      <c r="I255" s="35" t="s">
        <v>75</v>
      </c>
    </row>
    <row r="256" ht="22.5" customHeight="1">
      <c r="A256" s="35" t="s">
        <v>758</v>
      </c>
      <c r="B256" s="35" t="s">
        <v>759</v>
      </c>
      <c r="C256" s="35" t="s">
        <v>61</v>
      </c>
      <c r="D256" s="35" t="s">
        <v>166</v>
      </c>
      <c r="E256" s="35" t="s">
        <v>168</v>
      </c>
      <c r="F256" s="35">
        <v>717.0</v>
      </c>
      <c r="G256" s="35">
        <v>20.02</v>
      </c>
      <c r="H256" s="35">
        <v>35.8</v>
      </c>
      <c r="I256" s="35" t="s">
        <v>62</v>
      </c>
    </row>
    <row r="257" ht="22.5" customHeight="1">
      <c r="A257" s="35" t="s">
        <v>760</v>
      </c>
      <c r="B257" s="35" t="s">
        <v>761</v>
      </c>
      <c r="C257" s="35" t="s">
        <v>61</v>
      </c>
      <c r="D257" s="35" t="s">
        <v>166</v>
      </c>
      <c r="E257" s="35" t="s">
        <v>168</v>
      </c>
      <c r="F257" s="35">
        <v>84.0</v>
      </c>
      <c r="G257" s="35">
        <v>8.2</v>
      </c>
      <c r="H257" s="35">
        <v>10.2</v>
      </c>
      <c r="I257" s="35" t="s">
        <v>75</v>
      </c>
    </row>
    <row r="258" ht="22.5" customHeight="1">
      <c r="A258" s="35" t="s">
        <v>762</v>
      </c>
      <c r="B258" s="35" t="s">
        <v>763</v>
      </c>
      <c r="C258" s="35" t="s">
        <v>61</v>
      </c>
      <c r="D258" s="35" t="s">
        <v>166</v>
      </c>
      <c r="E258" s="35" t="s">
        <v>168</v>
      </c>
      <c r="F258" s="35">
        <v>30.0</v>
      </c>
      <c r="G258" s="35">
        <v>3.18</v>
      </c>
      <c r="H258" s="35">
        <v>9.4</v>
      </c>
      <c r="I258" s="35" t="s">
        <v>75</v>
      </c>
    </row>
    <row r="259" ht="22.5" customHeight="1">
      <c r="A259" s="35" t="s">
        <v>764</v>
      </c>
      <c r="B259" s="35" t="s">
        <v>765</v>
      </c>
      <c r="C259" s="35" t="s">
        <v>61</v>
      </c>
      <c r="D259" s="35" t="s">
        <v>102</v>
      </c>
      <c r="E259" s="35" t="s">
        <v>103</v>
      </c>
      <c r="F259" s="35">
        <v>287.0</v>
      </c>
      <c r="G259" s="35">
        <v>7.25</v>
      </c>
      <c r="H259" s="35">
        <v>39.6</v>
      </c>
      <c r="I259" s="35" t="s">
        <v>75</v>
      </c>
    </row>
    <row r="260" ht="22.5" customHeight="1">
      <c r="A260" s="35" t="s">
        <v>766</v>
      </c>
      <c r="B260" s="35" t="s">
        <v>767</v>
      </c>
      <c r="C260" s="35" t="s">
        <v>61</v>
      </c>
      <c r="D260" s="35" t="s">
        <v>182</v>
      </c>
      <c r="E260" s="35" t="s">
        <v>357</v>
      </c>
      <c r="F260" s="35">
        <v>654.0</v>
      </c>
      <c r="G260" s="35">
        <v>4.53</v>
      </c>
      <c r="H260" s="35">
        <v>144.4</v>
      </c>
      <c r="I260" s="35" t="s">
        <v>62</v>
      </c>
    </row>
    <row r="261" ht="22.5" customHeight="1">
      <c r="A261" s="35" t="s">
        <v>768</v>
      </c>
      <c r="B261" s="35" t="s">
        <v>769</v>
      </c>
      <c r="C261" s="35" t="s">
        <v>61</v>
      </c>
      <c r="D261" s="35" t="s">
        <v>165</v>
      </c>
      <c r="E261" s="35" t="s">
        <v>254</v>
      </c>
      <c r="F261" s="35">
        <v>148.0</v>
      </c>
      <c r="G261" s="35">
        <v>10.48</v>
      </c>
      <c r="H261" s="35">
        <v>14.1</v>
      </c>
      <c r="I261" s="35" t="s">
        <v>75</v>
      </c>
    </row>
    <row r="262" ht="22.5" customHeight="1">
      <c r="A262" s="35" t="s">
        <v>770</v>
      </c>
      <c r="B262" s="35" t="s">
        <v>771</v>
      </c>
      <c r="C262" s="35" t="s">
        <v>61</v>
      </c>
      <c r="D262" s="35" t="s">
        <v>198</v>
      </c>
      <c r="E262" s="35" t="s">
        <v>217</v>
      </c>
      <c r="F262" s="35">
        <v>153.0</v>
      </c>
      <c r="G262" s="35">
        <v>5.07</v>
      </c>
      <c r="H262" s="35">
        <v>30.2</v>
      </c>
      <c r="I262" s="35" t="s">
        <v>75</v>
      </c>
    </row>
    <row r="263" ht="22.5" customHeight="1">
      <c r="A263" s="35" t="s">
        <v>772</v>
      </c>
      <c r="B263" s="35" t="s">
        <v>773</v>
      </c>
      <c r="C263" s="35" t="s">
        <v>61</v>
      </c>
      <c r="D263" s="35" t="s">
        <v>123</v>
      </c>
      <c r="E263" s="35" t="s">
        <v>181</v>
      </c>
      <c r="F263" s="35">
        <v>134.0</v>
      </c>
      <c r="G263" s="35">
        <v>15.92</v>
      </c>
      <c r="H263" s="35">
        <v>8.4</v>
      </c>
      <c r="I263" s="35" t="s">
        <v>75</v>
      </c>
    </row>
    <row r="264" ht="22.5" customHeight="1">
      <c r="A264" s="35" t="s">
        <v>774</v>
      </c>
      <c r="B264" s="35" t="s">
        <v>775</v>
      </c>
      <c r="C264" s="35" t="s">
        <v>61</v>
      </c>
      <c r="D264" s="35" t="s">
        <v>106</v>
      </c>
      <c r="E264" s="35" t="s">
        <v>107</v>
      </c>
      <c r="F264" s="35">
        <v>75.0</v>
      </c>
      <c r="G264" s="35">
        <v>5.39</v>
      </c>
      <c r="H264" s="35">
        <v>13.9</v>
      </c>
      <c r="I264" s="35" t="s">
        <v>75</v>
      </c>
    </row>
    <row r="265" ht="22.5" customHeight="1">
      <c r="A265" s="35" t="s">
        <v>776</v>
      </c>
      <c r="B265" s="35" t="s">
        <v>777</v>
      </c>
      <c r="C265" s="35" t="s">
        <v>61</v>
      </c>
      <c r="D265" s="35" t="s">
        <v>140</v>
      </c>
      <c r="E265" s="35" t="s">
        <v>147</v>
      </c>
      <c r="F265" s="35">
        <v>191.0</v>
      </c>
      <c r="G265" s="35">
        <v>7.73</v>
      </c>
      <c r="H265" s="35">
        <v>24.7</v>
      </c>
      <c r="I265" s="35" t="s">
        <v>75</v>
      </c>
    </row>
    <row r="266" ht="22.5" customHeight="1">
      <c r="A266" s="35" t="s">
        <v>778</v>
      </c>
      <c r="B266" s="35" t="s">
        <v>779</v>
      </c>
      <c r="C266" s="35" t="s">
        <v>61</v>
      </c>
      <c r="D266" s="35" t="s">
        <v>78</v>
      </c>
      <c r="E266" s="35" t="s">
        <v>79</v>
      </c>
      <c r="F266" s="35">
        <v>164.0</v>
      </c>
      <c r="G266" s="35">
        <v>13.06</v>
      </c>
      <c r="H266" s="35">
        <v>12.6</v>
      </c>
      <c r="I266" s="35" t="s">
        <v>75</v>
      </c>
    </row>
    <row r="267" ht="22.5" customHeight="1">
      <c r="A267" s="35" t="s">
        <v>780</v>
      </c>
      <c r="B267" s="35" t="s">
        <v>781</v>
      </c>
      <c r="C267" s="35" t="s">
        <v>61</v>
      </c>
      <c r="D267" s="35" t="s">
        <v>156</v>
      </c>
      <c r="E267" s="35" t="s">
        <v>157</v>
      </c>
      <c r="F267" s="35">
        <v>307.0</v>
      </c>
      <c r="G267" s="35">
        <v>2.69</v>
      </c>
      <c r="H267" s="35">
        <v>114.1</v>
      </c>
      <c r="I267" s="35" t="s">
        <v>75</v>
      </c>
    </row>
    <row r="268" ht="22.5" customHeight="1">
      <c r="A268" s="35" t="s">
        <v>782</v>
      </c>
      <c r="B268" s="35" t="s">
        <v>783</v>
      </c>
      <c r="C268" s="35" t="s">
        <v>61</v>
      </c>
      <c r="D268" s="35" t="s">
        <v>165</v>
      </c>
      <c r="E268" s="35" t="s">
        <v>254</v>
      </c>
      <c r="F268" s="35">
        <v>122.0</v>
      </c>
      <c r="G268" s="35">
        <v>8.02</v>
      </c>
      <c r="H268" s="35">
        <v>15.2</v>
      </c>
      <c r="I268" s="35" t="s">
        <v>75</v>
      </c>
    </row>
    <row r="269" ht="22.5" customHeight="1">
      <c r="A269" s="35" t="s">
        <v>784</v>
      </c>
      <c r="B269" s="35" t="s">
        <v>785</v>
      </c>
      <c r="C269" s="35" t="s">
        <v>61</v>
      </c>
      <c r="D269" s="35" t="s">
        <v>102</v>
      </c>
      <c r="E269" s="35" t="s">
        <v>103</v>
      </c>
      <c r="F269" s="35">
        <v>337.0</v>
      </c>
      <c r="G269" s="35">
        <v>10.96</v>
      </c>
      <c r="H269" s="35">
        <v>30.7</v>
      </c>
      <c r="I269" s="35" t="s">
        <v>75</v>
      </c>
    </row>
    <row r="270" ht="22.5" customHeight="1">
      <c r="A270" s="35" t="s">
        <v>786</v>
      </c>
      <c r="B270" s="35" t="s">
        <v>787</v>
      </c>
      <c r="C270" s="35" t="s">
        <v>61</v>
      </c>
      <c r="D270" s="35" t="s">
        <v>156</v>
      </c>
      <c r="E270" s="35" t="s">
        <v>157</v>
      </c>
      <c r="F270" s="35">
        <v>38.0</v>
      </c>
      <c r="G270" s="35">
        <v>7.55</v>
      </c>
      <c r="H270" s="35">
        <v>5.0</v>
      </c>
      <c r="I270" s="35" t="s">
        <v>75</v>
      </c>
    </row>
    <row r="271" ht="22.5" customHeight="1">
      <c r="A271" s="35" t="s">
        <v>788</v>
      </c>
      <c r="B271" s="35" t="s">
        <v>789</v>
      </c>
      <c r="C271" s="35" t="s">
        <v>61</v>
      </c>
      <c r="D271" s="35" t="s">
        <v>123</v>
      </c>
      <c r="E271" s="35" t="s">
        <v>181</v>
      </c>
      <c r="F271" s="35">
        <v>534.0</v>
      </c>
      <c r="G271" s="35">
        <v>19.86</v>
      </c>
      <c r="H271" s="35">
        <v>26.9</v>
      </c>
      <c r="I271" s="35" t="s">
        <v>62</v>
      </c>
    </row>
    <row r="272" ht="22.5" customHeight="1">
      <c r="A272" s="35" t="s">
        <v>790</v>
      </c>
      <c r="B272" s="35" t="s">
        <v>791</v>
      </c>
      <c r="C272" s="35" t="s">
        <v>61</v>
      </c>
      <c r="D272" s="35" t="s">
        <v>123</v>
      </c>
      <c r="E272" s="35" t="s">
        <v>181</v>
      </c>
      <c r="F272" s="35">
        <v>395.0</v>
      </c>
      <c r="G272" s="35">
        <v>19.1</v>
      </c>
      <c r="H272" s="35">
        <v>20.7</v>
      </c>
      <c r="I272" s="35" t="s">
        <v>75</v>
      </c>
    </row>
    <row r="273" ht="22.5" customHeight="1">
      <c r="A273" s="35" t="s">
        <v>792</v>
      </c>
      <c r="B273" s="35" t="s">
        <v>793</v>
      </c>
      <c r="C273" s="35" t="s">
        <v>61</v>
      </c>
      <c r="D273" s="35" t="s">
        <v>182</v>
      </c>
      <c r="E273" s="35" t="s">
        <v>357</v>
      </c>
      <c r="F273" s="35">
        <v>241.0</v>
      </c>
      <c r="G273" s="35">
        <v>12.31</v>
      </c>
      <c r="H273" s="35">
        <v>19.6</v>
      </c>
      <c r="I273" s="35" t="s">
        <v>75</v>
      </c>
    </row>
    <row r="274" ht="22.5" customHeight="1">
      <c r="A274" s="35" t="s">
        <v>794</v>
      </c>
      <c r="B274" s="35" t="s">
        <v>795</v>
      </c>
      <c r="C274" s="35" t="s">
        <v>61</v>
      </c>
      <c r="D274" s="35" t="s">
        <v>136</v>
      </c>
      <c r="E274" s="35" t="s">
        <v>189</v>
      </c>
      <c r="F274" s="35">
        <v>438.0</v>
      </c>
      <c r="G274" s="35">
        <v>7.75</v>
      </c>
      <c r="H274" s="35">
        <v>56.5</v>
      </c>
      <c r="I274" s="35" t="s">
        <v>75</v>
      </c>
    </row>
    <row r="275" ht="22.5" customHeight="1">
      <c r="A275" s="35" t="s">
        <v>796</v>
      </c>
      <c r="B275" s="35" t="s">
        <v>797</v>
      </c>
      <c r="C275" s="35" t="s">
        <v>61</v>
      </c>
      <c r="D275" s="35" t="s">
        <v>73</v>
      </c>
      <c r="E275" s="35" t="s">
        <v>74</v>
      </c>
      <c r="F275" s="35">
        <v>278.0</v>
      </c>
      <c r="G275" s="35">
        <v>8.84</v>
      </c>
      <c r="H275" s="35">
        <v>31.4</v>
      </c>
      <c r="I275" s="35" t="s">
        <v>75</v>
      </c>
    </row>
    <row r="276" ht="22.5" customHeight="1">
      <c r="A276" s="35" t="s">
        <v>798</v>
      </c>
      <c r="B276" s="35" t="s">
        <v>799</v>
      </c>
      <c r="C276" s="35" t="s">
        <v>61</v>
      </c>
      <c r="D276" s="35" t="s">
        <v>165</v>
      </c>
      <c r="E276" s="35" t="s">
        <v>254</v>
      </c>
      <c r="F276" s="35">
        <v>98.0</v>
      </c>
      <c r="G276" s="35">
        <v>7.46</v>
      </c>
      <c r="H276" s="35">
        <v>13.1</v>
      </c>
      <c r="I276" s="35" t="s">
        <v>75</v>
      </c>
    </row>
    <row r="277" ht="22.5" customHeight="1">
      <c r="A277" s="35" t="s">
        <v>800</v>
      </c>
      <c r="B277" s="35" t="s">
        <v>801</v>
      </c>
      <c r="C277" s="35" t="s">
        <v>61</v>
      </c>
      <c r="D277" s="35" t="s">
        <v>165</v>
      </c>
      <c r="E277" s="35" t="s">
        <v>254</v>
      </c>
      <c r="F277" s="35">
        <v>847.0</v>
      </c>
      <c r="G277" s="35">
        <v>16.18</v>
      </c>
      <c r="H277" s="35">
        <v>52.3</v>
      </c>
      <c r="I277" s="35" t="s">
        <v>62</v>
      </c>
    </row>
    <row r="278" ht="22.5" customHeight="1">
      <c r="A278" s="35" t="s">
        <v>802</v>
      </c>
      <c r="B278" s="35" t="s">
        <v>803</v>
      </c>
      <c r="C278" s="35" t="s">
        <v>61</v>
      </c>
      <c r="D278" s="35" t="s">
        <v>94</v>
      </c>
      <c r="E278" s="35" t="s">
        <v>95</v>
      </c>
      <c r="F278" s="35">
        <v>1072.0</v>
      </c>
      <c r="G278" s="35">
        <v>13.32</v>
      </c>
      <c r="H278" s="35">
        <v>80.5</v>
      </c>
      <c r="I278" s="35" t="s">
        <v>62</v>
      </c>
    </row>
    <row r="279" ht="22.5" customHeight="1">
      <c r="A279" s="35" t="s">
        <v>804</v>
      </c>
      <c r="B279" s="35" t="s">
        <v>805</v>
      </c>
      <c r="C279" s="35" t="s">
        <v>61</v>
      </c>
      <c r="D279" s="35" t="s">
        <v>140</v>
      </c>
      <c r="E279" s="35" t="s">
        <v>147</v>
      </c>
      <c r="F279" s="35">
        <v>345.0</v>
      </c>
      <c r="G279" s="35">
        <v>4.61</v>
      </c>
      <c r="H279" s="35">
        <v>74.8</v>
      </c>
      <c r="I279" s="35" t="s">
        <v>75</v>
      </c>
    </row>
    <row r="280" ht="22.5" customHeight="1">
      <c r="A280" s="35" t="s">
        <v>806</v>
      </c>
      <c r="B280" s="35" t="s">
        <v>807</v>
      </c>
      <c r="C280" s="35" t="s">
        <v>61</v>
      </c>
      <c r="D280" s="35" t="s">
        <v>182</v>
      </c>
      <c r="E280" s="35" t="s">
        <v>357</v>
      </c>
      <c r="F280" s="35">
        <v>399.0</v>
      </c>
      <c r="G280" s="35">
        <v>7.54</v>
      </c>
      <c r="H280" s="35">
        <v>52.9</v>
      </c>
      <c r="I280" s="35" t="s">
        <v>75</v>
      </c>
    </row>
    <row r="281" ht="22.5" customHeight="1">
      <c r="A281" s="35" t="s">
        <v>808</v>
      </c>
      <c r="B281" s="35" t="s">
        <v>809</v>
      </c>
      <c r="C281" s="35" t="s">
        <v>61</v>
      </c>
      <c r="D281" s="35" t="s">
        <v>123</v>
      </c>
      <c r="E281" s="35" t="s">
        <v>181</v>
      </c>
      <c r="F281" s="35">
        <v>2691.0</v>
      </c>
      <c r="G281" s="35">
        <v>28.64</v>
      </c>
      <c r="H281" s="35">
        <v>94.0</v>
      </c>
      <c r="I281" s="35" t="s">
        <v>142</v>
      </c>
    </row>
    <row r="282" ht="22.5" customHeight="1">
      <c r="A282" s="35" t="s">
        <v>810</v>
      </c>
      <c r="B282" s="35" t="s">
        <v>811</v>
      </c>
      <c r="C282" s="35" t="s">
        <v>61</v>
      </c>
      <c r="D282" s="35" t="s">
        <v>198</v>
      </c>
      <c r="E282" s="35" t="s">
        <v>217</v>
      </c>
      <c r="F282" s="35">
        <v>408.0</v>
      </c>
      <c r="G282" s="35">
        <v>7.04</v>
      </c>
      <c r="H282" s="35">
        <v>58.0</v>
      </c>
      <c r="I282" s="35" t="s">
        <v>75</v>
      </c>
    </row>
    <row r="283" ht="22.5" customHeight="1">
      <c r="A283" s="35" t="s">
        <v>812</v>
      </c>
      <c r="B283" s="35" t="s">
        <v>813</v>
      </c>
      <c r="C283" s="35" t="s">
        <v>61</v>
      </c>
      <c r="D283" s="35" t="s">
        <v>123</v>
      </c>
      <c r="E283" s="35" t="s">
        <v>181</v>
      </c>
      <c r="F283" s="35">
        <v>1329.0</v>
      </c>
      <c r="G283" s="35">
        <v>2.19</v>
      </c>
      <c r="H283" s="35">
        <v>606.8</v>
      </c>
      <c r="I283" s="35" t="s">
        <v>62</v>
      </c>
    </row>
    <row r="284" ht="22.5" customHeight="1">
      <c r="A284" s="35" t="s">
        <v>814</v>
      </c>
      <c r="B284" s="35" t="s">
        <v>815</v>
      </c>
      <c r="C284" s="35" t="s">
        <v>61</v>
      </c>
      <c r="D284" s="35" t="s">
        <v>198</v>
      </c>
      <c r="E284" s="35" t="s">
        <v>217</v>
      </c>
      <c r="F284" s="35">
        <v>543.0</v>
      </c>
      <c r="G284" s="35">
        <v>13.69</v>
      </c>
      <c r="H284" s="35">
        <v>39.7</v>
      </c>
      <c r="I284" s="35" t="s">
        <v>62</v>
      </c>
    </row>
    <row r="285" ht="22.5" customHeight="1">
      <c r="A285" s="35" t="s">
        <v>816</v>
      </c>
      <c r="B285" s="35" t="s">
        <v>817</v>
      </c>
      <c r="C285" s="35" t="s">
        <v>61</v>
      </c>
      <c r="D285" s="35" t="s">
        <v>136</v>
      </c>
      <c r="E285" s="35" t="s">
        <v>189</v>
      </c>
      <c r="F285" s="35">
        <v>208.0</v>
      </c>
      <c r="G285" s="35">
        <v>2.4</v>
      </c>
      <c r="H285" s="35">
        <v>86.7</v>
      </c>
      <c r="I285" s="35" t="s">
        <v>75</v>
      </c>
    </row>
    <row r="286" ht="22.5" customHeight="1">
      <c r="A286" s="35" t="s">
        <v>818</v>
      </c>
      <c r="B286" s="35" t="s">
        <v>819</v>
      </c>
      <c r="C286" s="35" t="s">
        <v>61</v>
      </c>
      <c r="D286" s="35" t="s">
        <v>165</v>
      </c>
      <c r="E286" s="35" t="s">
        <v>254</v>
      </c>
      <c r="F286" s="35">
        <v>839.0</v>
      </c>
      <c r="G286" s="35">
        <v>17.63</v>
      </c>
      <c r="H286" s="35">
        <v>47.6</v>
      </c>
      <c r="I286" s="35" t="s">
        <v>62</v>
      </c>
    </row>
    <row r="287" ht="22.5" customHeight="1">
      <c r="A287" s="35" t="s">
        <v>820</v>
      </c>
      <c r="B287" s="35" t="s">
        <v>821</v>
      </c>
      <c r="C287" s="35" t="s">
        <v>61</v>
      </c>
      <c r="D287" s="35" t="s">
        <v>198</v>
      </c>
      <c r="E287" s="35" t="s">
        <v>217</v>
      </c>
      <c r="F287" s="35">
        <v>1157.0</v>
      </c>
      <c r="G287" s="35">
        <v>8.66</v>
      </c>
      <c r="H287" s="35">
        <v>133.6</v>
      </c>
      <c r="I287" s="35" t="s">
        <v>62</v>
      </c>
    </row>
    <row r="288" ht="22.5" customHeight="1">
      <c r="A288" s="35" t="s">
        <v>822</v>
      </c>
      <c r="B288" s="35" t="s">
        <v>823</v>
      </c>
      <c r="C288" s="35" t="s">
        <v>61</v>
      </c>
      <c r="D288" s="35" t="s">
        <v>123</v>
      </c>
      <c r="E288" s="35" t="s">
        <v>181</v>
      </c>
      <c r="F288" s="35">
        <v>125.0</v>
      </c>
      <c r="G288" s="35">
        <v>5.26</v>
      </c>
      <c r="H288" s="35">
        <v>23.8</v>
      </c>
      <c r="I288" s="35" t="s">
        <v>75</v>
      </c>
    </row>
    <row r="289" ht="22.5" customHeight="1">
      <c r="A289" s="35" t="s">
        <v>824</v>
      </c>
      <c r="B289" s="35" t="s">
        <v>825</v>
      </c>
      <c r="C289" s="35" t="s">
        <v>61</v>
      </c>
      <c r="D289" s="35" t="s">
        <v>82</v>
      </c>
      <c r="E289" s="35" t="s">
        <v>83</v>
      </c>
      <c r="F289" s="35">
        <v>1436.0</v>
      </c>
      <c r="G289" s="35">
        <v>10.33</v>
      </c>
      <c r="H289" s="35">
        <v>139.0</v>
      </c>
      <c r="I289" s="35" t="s">
        <v>62</v>
      </c>
    </row>
    <row r="290" ht="22.5" customHeight="1">
      <c r="A290" s="35" t="s">
        <v>826</v>
      </c>
      <c r="B290" s="35" t="s">
        <v>827</v>
      </c>
      <c r="C290" s="35" t="s">
        <v>61</v>
      </c>
      <c r="D290" s="35" t="s">
        <v>78</v>
      </c>
      <c r="E290" s="35" t="s">
        <v>79</v>
      </c>
      <c r="F290" s="35">
        <v>522.0</v>
      </c>
      <c r="G290" s="35">
        <v>9.17</v>
      </c>
      <c r="H290" s="35">
        <v>56.9</v>
      </c>
      <c r="I290" s="35" t="s">
        <v>62</v>
      </c>
    </row>
    <row r="291" ht="22.5" customHeight="1">
      <c r="A291" s="35" t="s">
        <v>828</v>
      </c>
      <c r="B291" s="35" t="s">
        <v>829</v>
      </c>
      <c r="C291" s="35" t="s">
        <v>61</v>
      </c>
      <c r="D291" s="35" t="s">
        <v>102</v>
      </c>
      <c r="E291" s="35" t="s">
        <v>103</v>
      </c>
      <c r="F291" s="35">
        <v>363.0</v>
      </c>
      <c r="G291" s="35">
        <v>13.69</v>
      </c>
      <c r="H291" s="35">
        <v>26.5</v>
      </c>
      <c r="I291" s="35" t="s">
        <v>75</v>
      </c>
    </row>
    <row r="292" ht="22.5" customHeight="1">
      <c r="A292" s="35" t="s">
        <v>830</v>
      </c>
      <c r="B292" s="35" t="s">
        <v>831</v>
      </c>
      <c r="C292" s="35" t="s">
        <v>61</v>
      </c>
      <c r="D292" s="35" t="s">
        <v>140</v>
      </c>
      <c r="E292" s="35" t="s">
        <v>147</v>
      </c>
      <c r="F292" s="35">
        <v>724.0</v>
      </c>
      <c r="G292" s="35">
        <v>5.92</v>
      </c>
      <c r="H292" s="35">
        <v>122.3</v>
      </c>
      <c r="I292" s="35" t="s">
        <v>62</v>
      </c>
    </row>
    <row r="293" ht="22.5" customHeight="1">
      <c r="A293" s="35" t="s">
        <v>832</v>
      </c>
      <c r="B293" s="35" t="s">
        <v>833</v>
      </c>
      <c r="C293" s="35" t="s">
        <v>61</v>
      </c>
      <c r="D293" s="35" t="s">
        <v>50</v>
      </c>
      <c r="E293" s="35" t="s">
        <v>49</v>
      </c>
      <c r="F293" s="35">
        <v>2796.0</v>
      </c>
      <c r="G293" s="35">
        <v>6.81</v>
      </c>
      <c r="H293" s="35">
        <v>410.6</v>
      </c>
      <c r="I293" s="35" t="s">
        <v>142</v>
      </c>
    </row>
    <row r="294" ht="22.5" customHeight="1">
      <c r="A294" s="35" t="s">
        <v>834</v>
      </c>
      <c r="B294" s="35" t="s">
        <v>835</v>
      </c>
      <c r="C294" s="35" t="s">
        <v>61</v>
      </c>
      <c r="D294" s="35" t="s">
        <v>123</v>
      </c>
      <c r="E294" s="35" t="s">
        <v>181</v>
      </c>
      <c r="F294" s="35">
        <v>2836.0</v>
      </c>
      <c r="G294" s="35">
        <v>20.85</v>
      </c>
      <c r="H294" s="35">
        <v>136.0</v>
      </c>
      <c r="I294" s="35" t="s">
        <v>142</v>
      </c>
    </row>
    <row r="295" ht="22.5" customHeight="1">
      <c r="A295" s="35" t="s">
        <v>836</v>
      </c>
      <c r="B295" s="35" t="s">
        <v>837</v>
      </c>
      <c r="C295" s="35" t="s">
        <v>61</v>
      </c>
      <c r="D295" s="35" t="s">
        <v>94</v>
      </c>
      <c r="E295" s="35" t="s">
        <v>95</v>
      </c>
      <c r="F295" s="35">
        <v>526.0</v>
      </c>
      <c r="G295" s="35">
        <v>24.12</v>
      </c>
      <c r="H295" s="35">
        <v>21.8</v>
      </c>
      <c r="I295" s="35" t="s">
        <v>62</v>
      </c>
    </row>
    <row r="296" ht="22.5" customHeight="1">
      <c r="A296" s="35" t="s">
        <v>838</v>
      </c>
      <c r="B296" s="35" t="s">
        <v>839</v>
      </c>
      <c r="C296" s="35" t="s">
        <v>61</v>
      </c>
      <c r="D296" s="35" t="s">
        <v>102</v>
      </c>
      <c r="E296" s="35" t="s">
        <v>103</v>
      </c>
      <c r="F296" s="35">
        <v>2027.0</v>
      </c>
      <c r="G296" s="35">
        <v>18.95</v>
      </c>
      <c r="H296" s="35">
        <v>107.0</v>
      </c>
      <c r="I296" s="35" t="s">
        <v>142</v>
      </c>
    </row>
    <row r="297" ht="22.5" customHeight="1">
      <c r="A297" s="35" t="s">
        <v>840</v>
      </c>
      <c r="B297" s="35" t="s">
        <v>841</v>
      </c>
      <c r="C297" s="35" t="s">
        <v>61</v>
      </c>
      <c r="D297" s="35" t="s">
        <v>165</v>
      </c>
      <c r="E297" s="35" t="s">
        <v>254</v>
      </c>
      <c r="F297" s="35">
        <v>519.0</v>
      </c>
      <c r="G297" s="35">
        <v>16.19</v>
      </c>
      <c r="H297" s="35">
        <v>32.1</v>
      </c>
      <c r="I297" s="35" t="s">
        <v>62</v>
      </c>
    </row>
    <row r="298" ht="22.5" customHeight="1">
      <c r="A298" s="35" t="s">
        <v>842</v>
      </c>
      <c r="B298" s="35" t="s">
        <v>843</v>
      </c>
      <c r="C298" s="35" t="s">
        <v>61</v>
      </c>
      <c r="D298" s="35" t="s">
        <v>136</v>
      </c>
      <c r="E298" s="35" t="s">
        <v>189</v>
      </c>
      <c r="F298" s="35">
        <v>704.0</v>
      </c>
      <c r="G298" s="35">
        <v>6.68</v>
      </c>
      <c r="H298" s="35">
        <v>105.4</v>
      </c>
      <c r="I298" s="35" t="s">
        <v>62</v>
      </c>
    </row>
    <row r="299" ht="22.5" customHeight="1">
      <c r="A299" s="35" t="s">
        <v>844</v>
      </c>
      <c r="B299" s="35" t="s">
        <v>845</v>
      </c>
      <c r="C299" s="35" t="s">
        <v>61</v>
      </c>
      <c r="D299" s="35" t="s">
        <v>140</v>
      </c>
      <c r="E299" s="35" t="s">
        <v>147</v>
      </c>
      <c r="F299" s="35">
        <v>249.0</v>
      </c>
      <c r="G299" s="35">
        <v>7.79</v>
      </c>
      <c r="H299" s="35">
        <v>32.0</v>
      </c>
      <c r="I299" s="35" t="s">
        <v>75</v>
      </c>
    </row>
    <row r="300" ht="22.5" customHeight="1">
      <c r="A300" s="35" t="s">
        <v>846</v>
      </c>
      <c r="B300" s="35" t="s">
        <v>847</v>
      </c>
      <c r="C300" s="35" t="s">
        <v>61</v>
      </c>
      <c r="D300" s="35" t="s">
        <v>165</v>
      </c>
      <c r="E300" s="35" t="s">
        <v>254</v>
      </c>
      <c r="F300" s="35">
        <v>1103.0</v>
      </c>
      <c r="G300" s="35">
        <v>26.58</v>
      </c>
      <c r="H300" s="35">
        <v>41.5</v>
      </c>
      <c r="I300" s="35" t="s">
        <v>62</v>
      </c>
    </row>
    <row r="301" ht="22.5" customHeight="1">
      <c r="A301" s="35" t="s">
        <v>848</v>
      </c>
      <c r="B301" s="35" t="s">
        <v>849</v>
      </c>
      <c r="C301" s="35" t="s">
        <v>61</v>
      </c>
      <c r="D301" s="35" t="s">
        <v>82</v>
      </c>
      <c r="E301" s="35" t="s">
        <v>83</v>
      </c>
      <c r="F301" s="35">
        <v>420.0</v>
      </c>
      <c r="G301" s="35">
        <v>13.76</v>
      </c>
      <c r="H301" s="35">
        <v>30.5</v>
      </c>
      <c r="I301" s="35" t="s">
        <v>75</v>
      </c>
    </row>
    <row r="302" ht="22.5" customHeight="1">
      <c r="A302" s="35" t="s">
        <v>850</v>
      </c>
      <c r="B302" s="35" t="s">
        <v>851</v>
      </c>
      <c r="C302" s="35" t="s">
        <v>61</v>
      </c>
      <c r="D302" s="35" t="s">
        <v>140</v>
      </c>
      <c r="E302" s="35" t="s">
        <v>147</v>
      </c>
      <c r="F302" s="35">
        <v>1701.0</v>
      </c>
      <c r="G302" s="35">
        <v>12.82</v>
      </c>
      <c r="H302" s="35">
        <v>132.7</v>
      </c>
      <c r="I302" s="35" t="s">
        <v>62</v>
      </c>
    </row>
    <row r="303" ht="22.5" customHeight="1">
      <c r="A303" s="35" t="s">
        <v>852</v>
      </c>
      <c r="B303" s="35" t="s">
        <v>853</v>
      </c>
      <c r="C303" s="35" t="s">
        <v>61</v>
      </c>
      <c r="D303" s="35" t="s">
        <v>102</v>
      </c>
      <c r="E303" s="35" t="s">
        <v>103</v>
      </c>
      <c r="F303" s="35">
        <v>130.0</v>
      </c>
      <c r="G303" s="35">
        <v>6.62</v>
      </c>
      <c r="H303" s="35">
        <v>19.6</v>
      </c>
      <c r="I303" s="35" t="s">
        <v>75</v>
      </c>
    </row>
    <row r="304" ht="22.5" customHeight="1">
      <c r="A304" s="35" t="s">
        <v>854</v>
      </c>
      <c r="B304" s="35" t="s">
        <v>855</v>
      </c>
      <c r="C304" s="35" t="s">
        <v>61</v>
      </c>
      <c r="D304" s="35" t="s">
        <v>198</v>
      </c>
      <c r="E304" s="35" t="s">
        <v>217</v>
      </c>
      <c r="F304" s="35">
        <v>194.0</v>
      </c>
      <c r="G304" s="35">
        <v>5.26</v>
      </c>
      <c r="H304" s="35">
        <v>36.9</v>
      </c>
      <c r="I304" s="35" t="s">
        <v>75</v>
      </c>
    </row>
    <row r="305" ht="22.5" customHeight="1">
      <c r="A305" s="35" t="s">
        <v>856</v>
      </c>
      <c r="B305" s="35" t="s">
        <v>857</v>
      </c>
      <c r="C305" s="35" t="s">
        <v>61</v>
      </c>
      <c r="D305" s="35" t="s">
        <v>137</v>
      </c>
      <c r="E305" s="35" t="s">
        <v>138</v>
      </c>
      <c r="F305" s="35">
        <v>1355.0</v>
      </c>
      <c r="G305" s="35">
        <v>8.93</v>
      </c>
      <c r="H305" s="35">
        <v>151.7</v>
      </c>
      <c r="I305" s="35" t="s">
        <v>62</v>
      </c>
    </row>
    <row r="306" ht="22.5" customHeight="1">
      <c r="A306" s="35" t="s">
        <v>858</v>
      </c>
      <c r="B306" s="35" t="s">
        <v>859</v>
      </c>
      <c r="C306" s="35" t="s">
        <v>61</v>
      </c>
      <c r="D306" s="35" t="s">
        <v>140</v>
      </c>
      <c r="E306" s="35" t="s">
        <v>147</v>
      </c>
      <c r="F306" s="35">
        <v>518.0</v>
      </c>
      <c r="G306" s="35">
        <v>9.62</v>
      </c>
      <c r="H306" s="35">
        <v>53.8</v>
      </c>
      <c r="I306" s="35" t="s">
        <v>62</v>
      </c>
    </row>
    <row r="307" ht="22.5" customHeight="1">
      <c r="A307" s="35" t="s">
        <v>860</v>
      </c>
      <c r="B307" s="35" t="s">
        <v>861</v>
      </c>
      <c r="C307" s="35" t="s">
        <v>61</v>
      </c>
      <c r="D307" s="35" t="s">
        <v>140</v>
      </c>
      <c r="E307" s="35" t="s">
        <v>147</v>
      </c>
      <c r="F307" s="35">
        <v>232.0</v>
      </c>
      <c r="G307" s="35">
        <v>5.33</v>
      </c>
      <c r="H307" s="35">
        <v>43.5</v>
      </c>
      <c r="I307" s="35" t="s">
        <v>75</v>
      </c>
    </row>
    <row r="308" ht="22.5" customHeight="1">
      <c r="A308" s="35" t="s">
        <v>862</v>
      </c>
      <c r="B308" s="35" t="s">
        <v>863</v>
      </c>
      <c r="C308" s="35" t="s">
        <v>61</v>
      </c>
      <c r="D308" s="35" t="s">
        <v>165</v>
      </c>
      <c r="E308" s="35" t="s">
        <v>254</v>
      </c>
      <c r="F308" s="35">
        <v>862.0</v>
      </c>
      <c r="G308" s="35">
        <v>19.86</v>
      </c>
      <c r="H308" s="35">
        <v>43.4</v>
      </c>
      <c r="I308" s="35" t="s">
        <v>62</v>
      </c>
    </row>
    <row r="309" ht="22.5" customHeight="1">
      <c r="A309" s="35" t="s">
        <v>864</v>
      </c>
      <c r="B309" s="35" t="s">
        <v>865</v>
      </c>
      <c r="C309" s="35" t="s">
        <v>61</v>
      </c>
      <c r="D309" s="35" t="s">
        <v>140</v>
      </c>
      <c r="E309" s="35" t="s">
        <v>147</v>
      </c>
      <c r="F309" s="35">
        <v>378.0</v>
      </c>
      <c r="G309" s="35">
        <v>11.99</v>
      </c>
      <c r="H309" s="35">
        <v>31.5</v>
      </c>
      <c r="I309" s="35" t="s">
        <v>75</v>
      </c>
    </row>
    <row r="310" ht="22.5" customHeight="1">
      <c r="A310" s="35" t="s">
        <v>866</v>
      </c>
      <c r="B310" s="35" t="s">
        <v>867</v>
      </c>
      <c r="C310" s="35" t="s">
        <v>61</v>
      </c>
      <c r="D310" s="35" t="s">
        <v>198</v>
      </c>
      <c r="E310" s="35" t="s">
        <v>217</v>
      </c>
      <c r="F310" s="35">
        <v>140.0</v>
      </c>
      <c r="G310" s="35">
        <v>5.8</v>
      </c>
      <c r="H310" s="35">
        <v>24.1</v>
      </c>
      <c r="I310" s="35" t="s">
        <v>75</v>
      </c>
    </row>
    <row r="311" ht="22.5" customHeight="1">
      <c r="A311" s="35" t="s">
        <v>868</v>
      </c>
      <c r="B311" s="35" t="s">
        <v>869</v>
      </c>
      <c r="C311" s="35" t="s">
        <v>61</v>
      </c>
      <c r="D311" s="35" t="s">
        <v>165</v>
      </c>
      <c r="E311" s="35" t="s">
        <v>254</v>
      </c>
      <c r="F311" s="35">
        <v>280.0</v>
      </c>
      <c r="G311" s="35">
        <v>10.37</v>
      </c>
      <c r="H311" s="35">
        <v>27.0</v>
      </c>
      <c r="I311" s="35" t="s">
        <v>75</v>
      </c>
    </row>
    <row r="312" ht="22.5" customHeight="1">
      <c r="A312" s="35" t="s">
        <v>870</v>
      </c>
      <c r="B312" s="35" t="s">
        <v>871</v>
      </c>
      <c r="C312" s="35" t="s">
        <v>61</v>
      </c>
      <c r="D312" s="35" t="s">
        <v>102</v>
      </c>
      <c r="E312" s="35" t="s">
        <v>103</v>
      </c>
      <c r="F312" s="35">
        <v>483.0</v>
      </c>
      <c r="G312" s="35">
        <v>8.99</v>
      </c>
      <c r="H312" s="35">
        <v>53.7</v>
      </c>
      <c r="I312" s="35" t="s">
        <v>75</v>
      </c>
    </row>
    <row r="313" ht="22.5" customHeight="1">
      <c r="A313" s="35" t="s">
        <v>872</v>
      </c>
      <c r="B313" s="35" t="s">
        <v>873</v>
      </c>
      <c r="C313" s="35" t="s">
        <v>61</v>
      </c>
      <c r="D313" s="35" t="s">
        <v>198</v>
      </c>
      <c r="E313" s="35" t="s">
        <v>217</v>
      </c>
      <c r="F313" s="35">
        <v>166.0</v>
      </c>
      <c r="G313" s="35">
        <v>4.95</v>
      </c>
      <c r="H313" s="35">
        <v>33.5</v>
      </c>
      <c r="I313" s="35" t="s">
        <v>75</v>
      </c>
    </row>
    <row r="314" ht="22.5" customHeight="1">
      <c r="A314" s="35" t="s">
        <v>874</v>
      </c>
      <c r="B314" s="35" t="s">
        <v>875</v>
      </c>
      <c r="C314" s="35" t="s">
        <v>61</v>
      </c>
      <c r="D314" s="35" t="s">
        <v>123</v>
      </c>
      <c r="E314" s="35" t="s">
        <v>181</v>
      </c>
      <c r="F314" s="35">
        <v>535.0</v>
      </c>
      <c r="G314" s="35">
        <v>7.5</v>
      </c>
      <c r="H314" s="35">
        <v>71.3</v>
      </c>
      <c r="I314" s="35" t="s">
        <v>62</v>
      </c>
    </row>
    <row r="315" ht="22.5" customHeight="1">
      <c r="A315" s="35" t="s">
        <v>876</v>
      </c>
      <c r="B315" s="35" t="s">
        <v>877</v>
      </c>
      <c r="C315" s="35" t="s">
        <v>61</v>
      </c>
      <c r="D315" s="35" t="s">
        <v>50</v>
      </c>
      <c r="E315" s="35" t="s">
        <v>49</v>
      </c>
      <c r="F315" s="35">
        <v>404.0</v>
      </c>
      <c r="G315" s="35">
        <v>9.5</v>
      </c>
      <c r="H315" s="35">
        <v>42.5</v>
      </c>
      <c r="I315" s="35" t="s">
        <v>75</v>
      </c>
    </row>
    <row r="316" ht="22.5" customHeight="1">
      <c r="A316" s="35" t="s">
        <v>878</v>
      </c>
      <c r="B316" s="35" t="s">
        <v>879</v>
      </c>
      <c r="C316" s="35" t="s">
        <v>61</v>
      </c>
      <c r="D316" s="35" t="s">
        <v>198</v>
      </c>
      <c r="E316" s="35" t="s">
        <v>217</v>
      </c>
      <c r="F316" s="35">
        <v>463.0</v>
      </c>
      <c r="G316" s="35">
        <v>5.46</v>
      </c>
      <c r="H316" s="35">
        <v>84.8</v>
      </c>
      <c r="I316" s="35" t="s">
        <v>75</v>
      </c>
    </row>
    <row r="317" ht="22.5" customHeight="1">
      <c r="A317" s="35" t="s">
        <v>880</v>
      </c>
      <c r="B317" s="35" t="s">
        <v>881</v>
      </c>
      <c r="C317" s="35" t="s">
        <v>61</v>
      </c>
      <c r="D317" s="35" t="s">
        <v>165</v>
      </c>
      <c r="E317" s="35" t="s">
        <v>254</v>
      </c>
      <c r="F317" s="35">
        <v>106.0</v>
      </c>
      <c r="G317" s="35">
        <v>2.91</v>
      </c>
      <c r="H317" s="35">
        <v>36.4</v>
      </c>
      <c r="I317" s="35" t="s">
        <v>75</v>
      </c>
    </row>
    <row r="318" ht="22.5" customHeight="1">
      <c r="A318" s="35" t="s">
        <v>882</v>
      </c>
      <c r="B318" s="35" t="s">
        <v>883</v>
      </c>
      <c r="C318" s="35" t="s">
        <v>61</v>
      </c>
      <c r="D318" s="35" t="s">
        <v>123</v>
      </c>
      <c r="E318" s="35" t="s">
        <v>181</v>
      </c>
      <c r="F318" s="35">
        <v>272.0</v>
      </c>
      <c r="G318" s="35">
        <v>9.03</v>
      </c>
      <c r="H318" s="35">
        <v>30.1</v>
      </c>
      <c r="I318" s="35" t="s">
        <v>75</v>
      </c>
    </row>
    <row r="319" ht="22.5" customHeight="1">
      <c r="A319" s="35" t="s">
        <v>884</v>
      </c>
      <c r="B319" s="35" t="s">
        <v>885</v>
      </c>
      <c r="C319" s="35" t="s">
        <v>61</v>
      </c>
      <c r="D319" s="35" t="s">
        <v>137</v>
      </c>
      <c r="E319" s="35" t="s">
        <v>138</v>
      </c>
      <c r="F319" s="35">
        <v>160.0</v>
      </c>
      <c r="G319" s="35">
        <v>7.22</v>
      </c>
      <c r="H319" s="35">
        <v>22.2</v>
      </c>
      <c r="I319" s="35" t="s">
        <v>75</v>
      </c>
    </row>
    <row r="320" ht="22.5" customHeight="1">
      <c r="A320" s="35" t="s">
        <v>886</v>
      </c>
      <c r="B320" s="35" t="s">
        <v>887</v>
      </c>
      <c r="C320" s="35" t="s">
        <v>61</v>
      </c>
      <c r="D320" s="35" t="s">
        <v>198</v>
      </c>
      <c r="E320" s="35" t="s">
        <v>217</v>
      </c>
      <c r="F320" s="35">
        <v>2890.0</v>
      </c>
      <c r="G320" s="35">
        <v>15.15</v>
      </c>
      <c r="H320" s="35">
        <v>190.8</v>
      </c>
      <c r="I320" s="35" t="s">
        <v>142</v>
      </c>
    </row>
    <row r="321" ht="22.5" customHeight="1">
      <c r="A321" s="35" t="s">
        <v>888</v>
      </c>
      <c r="B321" s="35" t="s">
        <v>889</v>
      </c>
      <c r="C321" s="35" t="s">
        <v>61</v>
      </c>
      <c r="D321" s="35" t="s">
        <v>50</v>
      </c>
      <c r="E321" s="35" t="s">
        <v>49</v>
      </c>
      <c r="F321" s="35">
        <v>166.0</v>
      </c>
      <c r="G321" s="35">
        <v>2.53</v>
      </c>
      <c r="H321" s="35">
        <v>65.6</v>
      </c>
      <c r="I321" s="35" t="s">
        <v>75</v>
      </c>
    </row>
    <row r="322" ht="22.5" customHeight="1">
      <c r="A322" s="35" t="s">
        <v>890</v>
      </c>
      <c r="B322" s="35" t="s">
        <v>891</v>
      </c>
      <c r="C322" s="35" t="s">
        <v>61</v>
      </c>
      <c r="D322" s="35" t="s">
        <v>50</v>
      </c>
      <c r="E322" s="35" t="s">
        <v>49</v>
      </c>
      <c r="F322" s="35">
        <v>971.0</v>
      </c>
      <c r="G322" s="35">
        <v>15.36</v>
      </c>
      <c r="H322" s="35">
        <v>63.2</v>
      </c>
      <c r="I322" s="35" t="s">
        <v>62</v>
      </c>
    </row>
    <row r="323" ht="22.5" customHeight="1">
      <c r="A323" s="35" t="s">
        <v>892</v>
      </c>
      <c r="B323" s="35" t="s">
        <v>893</v>
      </c>
      <c r="C323" s="35" t="s">
        <v>61</v>
      </c>
      <c r="D323" s="35" t="s">
        <v>165</v>
      </c>
      <c r="E323" s="35" t="s">
        <v>254</v>
      </c>
      <c r="F323" s="35">
        <v>198.0</v>
      </c>
      <c r="G323" s="35">
        <v>4.91</v>
      </c>
      <c r="H323" s="35">
        <v>40.3</v>
      </c>
      <c r="I323" s="35" t="s">
        <v>75</v>
      </c>
    </row>
    <row r="324" ht="22.5" customHeight="1">
      <c r="A324" s="35" t="s">
        <v>894</v>
      </c>
      <c r="B324" s="35" t="s">
        <v>895</v>
      </c>
      <c r="C324" s="35" t="s">
        <v>61</v>
      </c>
      <c r="D324" s="35" t="s">
        <v>73</v>
      </c>
      <c r="E324" s="35" t="s">
        <v>74</v>
      </c>
      <c r="F324" s="35">
        <v>236.0</v>
      </c>
      <c r="G324" s="35">
        <v>8.83</v>
      </c>
      <c r="H324" s="35">
        <v>26.7</v>
      </c>
      <c r="I324" s="35" t="s">
        <v>75</v>
      </c>
    </row>
    <row r="325" ht="22.5" customHeight="1">
      <c r="A325" s="35" t="s">
        <v>896</v>
      </c>
      <c r="B325" s="35" t="s">
        <v>897</v>
      </c>
      <c r="C325" s="35" t="s">
        <v>61</v>
      </c>
      <c r="D325" s="35" t="s">
        <v>123</v>
      </c>
      <c r="E325" s="35" t="s">
        <v>181</v>
      </c>
      <c r="F325" s="35">
        <v>683.0</v>
      </c>
      <c r="G325" s="35">
        <v>10.09</v>
      </c>
      <c r="H325" s="35">
        <v>67.7</v>
      </c>
      <c r="I325" s="35" t="s">
        <v>62</v>
      </c>
    </row>
    <row r="326" ht="22.5" customHeight="1">
      <c r="A326" s="35" t="s">
        <v>898</v>
      </c>
      <c r="B326" s="35" t="s">
        <v>899</v>
      </c>
      <c r="C326" s="35" t="s">
        <v>61</v>
      </c>
      <c r="D326" s="35" t="s">
        <v>140</v>
      </c>
      <c r="E326" s="35" t="s">
        <v>147</v>
      </c>
      <c r="F326" s="35">
        <v>5183.0</v>
      </c>
      <c r="G326" s="35">
        <v>6.25</v>
      </c>
      <c r="H326" s="35">
        <v>829.3</v>
      </c>
      <c r="I326" s="35" t="s">
        <v>142</v>
      </c>
    </row>
    <row r="327" ht="22.5" customHeight="1">
      <c r="A327" s="35" t="s">
        <v>900</v>
      </c>
      <c r="B327" s="35" t="s">
        <v>901</v>
      </c>
      <c r="C327" s="35" t="s">
        <v>61</v>
      </c>
      <c r="D327" s="35" t="s">
        <v>165</v>
      </c>
      <c r="E327" s="35" t="s">
        <v>254</v>
      </c>
      <c r="F327" s="35">
        <v>258.0</v>
      </c>
      <c r="G327" s="35">
        <v>6.38</v>
      </c>
      <c r="H327" s="35">
        <v>40.4</v>
      </c>
      <c r="I327" s="35" t="s">
        <v>75</v>
      </c>
    </row>
    <row r="328" ht="22.5" customHeight="1">
      <c r="A328" s="35" t="s">
        <v>902</v>
      </c>
      <c r="B328" s="35" t="s">
        <v>903</v>
      </c>
      <c r="C328" s="35" t="s">
        <v>61</v>
      </c>
      <c r="D328" s="35" t="s">
        <v>165</v>
      </c>
      <c r="E328" s="35" t="s">
        <v>254</v>
      </c>
      <c r="F328" s="35">
        <v>127.0</v>
      </c>
      <c r="G328" s="35">
        <v>5.98</v>
      </c>
      <c r="H328" s="35">
        <v>21.2</v>
      </c>
      <c r="I328" s="35" t="s">
        <v>75</v>
      </c>
    </row>
    <row r="329" ht="22.5" customHeight="1">
      <c r="A329" s="35" t="s">
        <v>904</v>
      </c>
      <c r="B329" s="35" t="s">
        <v>905</v>
      </c>
      <c r="C329" s="35" t="s">
        <v>61</v>
      </c>
      <c r="D329" s="35" t="s">
        <v>198</v>
      </c>
      <c r="E329" s="35" t="s">
        <v>217</v>
      </c>
      <c r="F329" s="35">
        <v>84.0</v>
      </c>
      <c r="G329" s="35">
        <v>4.56</v>
      </c>
      <c r="H329" s="35">
        <v>18.4</v>
      </c>
      <c r="I329" s="35" t="s">
        <v>75</v>
      </c>
    </row>
    <row r="330" ht="22.5" customHeight="1">
      <c r="A330" s="35" t="s">
        <v>906</v>
      </c>
      <c r="B330" s="35" t="s">
        <v>907</v>
      </c>
      <c r="C330" s="35" t="s">
        <v>61</v>
      </c>
      <c r="D330" s="35" t="s">
        <v>94</v>
      </c>
      <c r="E330" s="35" t="s">
        <v>95</v>
      </c>
      <c r="F330" s="35">
        <v>37.0</v>
      </c>
      <c r="G330" s="35">
        <v>2.68</v>
      </c>
      <c r="H330" s="35">
        <v>13.8</v>
      </c>
      <c r="I330" s="35" t="s">
        <v>75</v>
      </c>
    </row>
    <row r="331" ht="22.5" customHeight="1">
      <c r="A331" s="35" t="s">
        <v>908</v>
      </c>
      <c r="B331" s="35" t="s">
        <v>909</v>
      </c>
      <c r="C331" s="35" t="s">
        <v>61</v>
      </c>
      <c r="D331" s="35" t="s">
        <v>78</v>
      </c>
      <c r="E331" s="35" t="s">
        <v>79</v>
      </c>
      <c r="F331" s="35">
        <v>630.0</v>
      </c>
      <c r="G331" s="35">
        <v>10.35</v>
      </c>
      <c r="H331" s="35">
        <v>60.9</v>
      </c>
      <c r="I331" s="35" t="s">
        <v>62</v>
      </c>
    </row>
    <row r="332" ht="22.5" customHeight="1">
      <c r="A332" s="35" t="s">
        <v>910</v>
      </c>
      <c r="B332" s="35" t="s">
        <v>911</v>
      </c>
      <c r="C332" s="35" t="s">
        <v>61</v>
      </c>
      <c r="D332" s="35" t="s">
        <v>123</v>
      </c>
      <c r="E332" s="35" t="s">
        <v>181</v>
      </c>
      <c r="F332" s="35">
        <v>425.0</v>
      </c>
      <c r="G332" s="35">
        <v>5.59</v>
      </c>
      <c r="H332" s="35">
        <v>76.0</v>
      </c>
      <c r="I332" s="35" t="s">
        <v>75</v>
      </c>
    </row>
    <row r="333" ht="22.5" customHeight="1">
      <c r="A333" s="35" t="s">
        <v>912</v>
      </c>
      <c r="B333" s="35" t="s">
        <v>913</v>
      </c>
      <c r="C333" s="35" t="s">
        <v>61</v>
      </c>
      <c r="D333" s="35" t="s">
        <v>86</v>
      </c>
      <c r="E333" s="35" t="s">
        <v>87</v>
      </c>
      <c r="F333" s="35">
        <v>65.0</v>
      </c>
      <c r="G333" s="35">
        <v>5.5</v>
      </c>
      <c r="H333" s="35">
        <v>11.8</v>
      </c>
      <c r="I333" s="35" t="s">
        <v>75</v>
      </c>
    </row>
    <row r="334" ht="22.5" customHeight="1">
      <c r="A334" s="35" t="s">
        <v>914</v>
      </c>
      <c r="B334" s="35" t="s">
        <v>915</v>
      </c>
      <c r="C334" s="35" t="s">
        <v>61</v>
      </c>
      <c r="D334" s="35" t="s">
        <v>78</v>
      </c>
      <c r="E334" s="35" t="s">
        <v>79</v>
      </c>
      <c r="F334" s="35">
        <v>140.0</v>
      </c>
      <c r="G334" s="35">
        <v>8.75</v>
      </c>
      <c r="H334" s="35">
        <v>16.0</v>
      </c>
      <c r="I334" s="35" t="s">
        <v>75</v>
      </c>
    </row>
    <row r="335" ht="22.5" customHeight="1">
      <c r="A335" s="35" t="s">
        <v>916</v>
      </c>
      <c r="B335" s="35" t="s">
        <v>917</v>
      </c>
      <c r="C335" s="35" t="s">
        <v>61</v>
      </c>
      <c r="D335" s="35" t="s">
        <v>123</v>
      </c>
      <c r="E335" s="35" t="s">
        <v>181</v>
      </c>
      <c r="F335" s="35">
        <v>120.0</v>
      </c>
      <c r="G335" s="35">
        <v>8.57</v>
      </c>
      <c r="H335" s="35">
        <v>14.0</v>
      </c>
      <c r="I335" s="35" t="s">
        <v>75</v>
      </c>
    </row>
    <row r="336" ht="22.5" customHeight="1">
      <c r="A336" s="35" t="s">
        <v>918</v>
      </c>
      <c r="B336" s="35" t="s">
        <v>919</v>
      </c>
      <c r="C336" s="35" t="s">
        <v>61</v>
      </c>
      <c r="D336" s="35" t="s">
        <v>198</v>
      </c>
      <c r="E336" s="35" t="s">
        <v>217</v>
      </c>
      <c r="F336" s="35">
        <v>572.0</v>
      </c>
      <c r="G336" s="35">
        <v>17.67</v>
      </c>
      <c r="H336" s="35">
        <v>32.4</v>
      </c>
      <c r="I336" s="35" t="s">
        <v>62</v>
      </c>
    </row>
    <row r="337" ht="22.5" customHeight="1">
      <c r="A337" s="35" t="s">
        <v>920</v>
      </c>
      <c r="B337" s="35" t="s">
        <v>921</v>
      </c>
      <c r="C337" s="35" t="s">
        <v>61</v>
      </c>
      <c r="D337" s="35" t="s">
        <v>73</v>
      </c>
      <c r="E337" s="35" t="s">
        <v>74</v>
      </c>
      <c r="F337" s="35">
        <v>275.0</v>
      </c>
      <c r="G337" s="35">
        <v>20.58</v>
      </c>
      <c r="H337" s="35">
        <v>13.4</v>
      </c>
      <c r="I337" s="35" t="s">
        <v>75</v>
      </c>
    </row>
    <row r="338" ht="22.5" customHeight="1">
      <c r="A338" s="35" t="s">
        <v>922</v>
      </c>
      <c r="B338" s="35" t="s">
        <v>923</v>
      </c>
      <c r="C338" s="35" t="s">
        <v>61</v>
      </c>
      <c r="D338" s="35" t="s">
        <v>166</v>
      </c>
      <c r="E338" s="35" t="s">
        <v>168</v>
      </c>
      <c r="F338" s="35">
        <v>80.0</v>
      </c>
      <c r="G338" s="35">
        <v>4.38</v>
      </c>
      <c r="H338" s="35">
        <v>18.3</v>
      </c>
      <c r="I338" s="35" t="s">
        <v>75</v>
      </c>
    </row>
    <row r="339" ht="22.5" customHeight="1">
      <c r="A339" s="35" t="s">
        <v>924</v>
      </c>
      <c r="B339" s="35" t="s">
        <v>925</v>
      </c>
      <c r="C339" s="35" t="s">
        <v>61</v>
      </c>
      <c r="D339" s="35" t="s">
        <v>198</v>
      </c>
      <c r="E339" s="35" t="s">
        <v>217</v>
      </c>
      <c r="F339" s="35">
        <v>1011.0</v>
      </c>
      <c r="G339" s="35">
        <v>9.98</v>
      </c>
      <c r="H339" s="35">
        <v>101.3</v>
      </c>
      <c r="I339" s="35" t="s">
        <v>62</v>
      </c>
    </row>
    <row r="340" ht="22.5" customHeight="1">
      <c r="A340" s="35" t="s">
        <v>926</v>
      </c>
      <c r="B340" s="35" t="s">
        <v>927</v>
      </c>
      <c r="C340" s="35" t="s">
        <v>61</v>
      </c>
      <c r="D340" s="35" t="s">
        <v>123</v>
      </c>
      <c r="E340" s="35" t="s">
        <v>181</v>
      </c>
      <c r="F340" s="35">
        <v>227.0</v>
      </c>
      <c r="G340" s="35">
        <v>10.86</v>
      </c>
      <c r="H340" s="35">
        <v>20.9</v>
      </c>
      <c r="I340" s="35" t="s">
        <v>75</v>
      </c>
    </row>
    <row r="341" ht="22.5" customHeight="1">
      <c r="A341" s="35" t="s">
        <v>928</v>
      </c>
      <c r="B341" s="35" t="s">
        <v>929</v>
      </c>
      <c r="C341" s="35" t="s">
        <v>61</v>
      </c>
      <c r="D341" s="35" t="s">
        <v>165</v>
      </c>
      <c r="E341" s="35" t="s">
        <v>254</v>
      </c>
      <c r="F341" s="35">
        <v>56.0</v>
      </c>
      <c r="G341" s="35">
        <v>7.16</v>
      </c>
      <c r="H341" s="35">
        <v>7.8</v>
      </c>
      <c r="I341" s="35" t="s">
        <v>75</v>
      </c>
    </row>
    <row r="342" ht="22.5" customHeight="1">
      <c r="A342" s="35" t="s">
        <v>930</v>
      </c>
      <c r="B342" s="35" t="s">
        <v>931</v>
      </c>
      <c r="C342" s="35" t="s">
        <v>61</v>
      </c>
      <c r="D342" s="35" t="s">
        <v>82</v>
      </c>
      <c r="E342" s="35" t="s">
        <v>83</v>
      </c>
      <c r="F342" s="35">
        <v>304.0</v>
      </c>
      <c r="G342" s="35">
        <v>11.39</v>
      </c>
      <c r="H342" s="35">
        <v>26.7</v>
      </c>
      <c r="I342" s="35" t="s">
        <v>75</v>
      </c>
    </row>
    <row r="343" ht="22.5" customHeight="1">
      <c r="A343" s="35" t="s">
        <v>932</v>
      </c>
      <c r="B343" s="35" t="s">
        <v>933</v>
      </c>
      <c r="C343" s="35" t="s">
        <v>61</v>
      </c>
      <c r="D343" s="35" t="s">
        <v>140</v>
      </c>
      <c r="E343" s="35" t="s">
        <v>147</v>
      </c>
      <c r="F343" s="35">
        <v>1280.0</v>
      </c>
      <c r="G343" s="35">
        <v>5.1</v>
      </c>
      <c r="H343" s="35">
        <v>251.0</v>
      </c>
      <c r="I343" s="35" t="s">
        <v>62</v>
      </c>
    </row>
    <row r="344" ht="22.5" customHeight="1">
      <c r="A344" s="35" t="s">
        <v>934</v>
      </c>
      <c r="B344" s="35" t="s">
        <v>935</v>
      </c>
      <c r="C344" s="35" t="s">
        <v>61</v>
      </c>
      <c r="D344" s="35" t="s">
        <v>78</v>
      </c>
      <c r="E344" s="35" t="s">
        <v>79</v>
      </c>
      <c r="F344" s="35">
        <v>2792.0</v>
      </c>
      <c r="G344" s="35">
        <v>25.15</v>
      </c>
      <c r="H344" s="35">
        <v>111.0</v>
      </c>
      <c r="I344" s="35" t="s">
        <v>142</v>
      </c>
    </row>
    <row r="345" ht="22.5" customHeight="1">
      <c r="A345" s="35" t="s">
        <v>936</v>
      </c>
      <c r="B345" s="35" t="s">
        <v>937</v>
      </c>
      <c r="C345" s="35" t="s">
        <v>61</v>
      </c>
      <c r="D345" s="35" t="s">
        <v>82</v>
      </c>
      <c r="E345" s="35" t="s">
        <v>83</v>
      </c>
      <c r="F345" s="35">
        <v>4490.0</v>
      </c>
      <c r="G345" s="35">
        <v>16.22</v>
      </c>
      <c r="H345" s="35">
        <v>276.8</v>
      </c>
      <c r="I345" s="35" t="s">
        <v>142</v>
      </c>
    </row>
    <row r="346" ht="22.5" customHeight="1">
      <c r="A346" s="35" t="s">
        <v>938</v>
      </c>
      <c r="B346" s="35" t="s">
        <v>939</v>
      </c>
      <c r="C346" s="35" t="s">
        <v>61</v>
      </c>
      <c r="D346" s="35" t="s">
        <v>50</v>
      </c>
      <c r="E346" s="35" t="s">
        <v>49</v>
      </c>
      <c r="F346" s="35">
        <v>238.0</v>
      </c>
      <c r="G346" s="35">
        <v>7.21</v>
      </c>
      <c r="H346" s="35">
        <v>33.0</v>
      </c>
      <c r="I346" s="35" t="s">
        <v>75</v>
      </c>
    </row>
    <row r="347" ht="22.5" customHeight="1">
      <c r="A347" s="35" t="s">
        <v>940</v>
      </c>
      <c r="B347" s="35" t="s">
        <v>941</v>
      </c>
      <c r="C347" s="35" t="s">
        <v>61</v>
      </c>
      <c r="D347" s="35" t="s">
        <v>137</v>
      </c>
      <c r="E347" s="35" t="s">
        <v>138</v>
      </c>
      <c r="F347" s="35">
        <v>357.0</v>
      </c>
      <c r="G347" s="35">
        <v>9.42</v>
      </c>
      <c r="H347" s="35">
        <v>37.9</v>
      </c>
      <c r="I347" s="35" t="s">
        <v>75</v>
      </c>
    </row>
    <row r="348" ht="22.5" customHeight="1">
      <c r="A348" s="35" t="s">
        <v>942</v>
      </c>
      <c r="B348" s="35" t="s">
        <v>943</v>
      </c>
      <c r="C348" s="35" t="s">
        <v>61</v>
      </c>
      <c r="D348" s="35" t="s">
        <v>78</v>
      </c>
      <c r="E348" s="35" t="s">
        <v>79</v>
      </c>
      <c r="F348" s="35">
        <v>244.0</v>
      </c>
      <c r="G348" s="35">
        <v>4.23</v>
      </c>
      <c r="H348" s="35">
        <v>57.7</v>
      </c>
      <c r="I348" s="35" t="s">
        <v>75</v>
      </c>
    </row>
    <row r="349" ht="22.5" customHeight="1">
      <c r="A349" s="35" t="s">
        <v>944</v>
      </c>
      <c r="B349" s="35" t="s">
        <v>945</v>
      </c>
      <c r="C349" s="35" t="s">
        <v>61</v>
      </c>
      <c r="D349" s="35" t="s">
        <v>82</v>
      </c>
      <c r="E349" s="35" t="s">
        <v>83</v>
      </c>
      <c r="F349" s="35">
        <v>320.0</v>
      </c>
      <c r="G349" s="35">
        <v>9.27</v>
      </c>
      <c r="H349" s="35">
        <v>34.5</v>
      </c>
      <c r="I349" s="35" t="s">
        <v>75</v>
      </c>
    </row>
    <row r="350" ht="22.5" customHeight="1">
      <c r="A350" s="35" t="s">
        <v>946</v>
      </c>
      <c r="B350" s="35" t="s">
        <v>947</v>
      </c>
      <c r="C350" s="35" t="s">
        <v>61</v>
      </c>
      <c r="D350" s="35" t="s">
        <v>140</v>
      </c>
      <c r="E350" s="35" t="s">
        <v>147</v>
      </c>
      <c r="F350" s="35">
        <v>179.0</v>
      </c>
      <c r="G350" s="35">
        <v>5.2</v>
      </c>
      <c r="H350" s="35">
        <v>34.4</v>
      </c>
      <c r="I350" s="35" t="s">
        <v>75</v>
      </c>
    </row>
    <row r="351" ht="22.5" customHeight="1">
      <c r="A351" s="35" t="s">
        <v>948</v>
      </c>
      <c r="B351" s="35" t="s">
        <v>949</v>
      </c>
      <c r="C351" s="35" t="s">
        <v>61</v>
      </c>
      <c r="D351" s="35" t="s">
        <v>102</v>
      </c>
      <c r="E351" s="35" t="s">
        <v>103</v>
      </c>
      <c r="F351" s="35">
        <v>556.0</v>
      </c>
      <c r="G351" s="35">
        <v>12.24</v>
      </c>
      <c r="H351" s="35">
        <v>45.4</v>
      </c>
      <c r="I351" s="35" t="s">
        <v>62</v>
      </c>
    </row>
    <row r="352" ht="22.5" customHeight="1">
      <c r="A352" s="35" t="s">
        <v>950</v>
      </c>
      <c r="B352" s="35" t="s">
        <v>951</v>
      </c>
      <c r="C352" s="35" t="s">
        <v>61</v>
      </c>
      <c r="D352" s="35" t="s">
        <v>165</v>
      </c>
      <c r="E352" s="35" t="s">
        <v>254</v>
      </c>
      <c r="F352" s="35">
        <v>244.0</v>
      </c>
      <c r="G352" s="35">
        <v>7.56</v>
      </c>
      <c r="H352" s="35">
        <v>32.3</v>
      </c>
      <c r="I352" s="35" t="s">
        <v>75</v>
      </c>
    </row>
    <row r="353" ht="22.5" customHeight="1">
      <c r="A353" s="35" t="s">
        <v>952</v>
      </c>
      <c r="B353" s="35" t="s">
        <v>953</v>
      </c>
      <c r="C353" s="35" t="s">
        <v>61</v>
      </c>
      <c r="D353" s="35" t="s">
        <v>198</v>
      </c>
      <c r="E353" s="35" t="s">
        <v>217</v>
      </c>
      <c r="F353" s="35">
        <v>545.0</v>
      </c>
      <c r="G353" s="35">
        <v>8.15</v>
      </c>
      <c r="H353" s="35">
        <v>66.9</v>
      </c>
      <c r="I353" s="35" t="s">
        <v>62</v>
      </c>
    </row>
    <row r="354" ht="22.5" customHeight="1">
      <c r="A354" s="35" t="s">
        <v>954</v>
      </c>
      <c r="B354" s="35" t="s">
        <v>955</v>
      </c>
      <c r="C354" s="35" t="s">
        <v>61</v>
      </c>
      <c r="D354" s="35" t="s">
        <v>140</v>
      </c>
      <c r="E354" s="35" t="s">
        <v>147</v>
      </c>
      <c r="F354" s="35">
        <v>1569.0</v>
      </c>
      <c r="G354" s="35">
        <v>3.7</v>
      </c>
      <c r="H354" s="35">
        <v>424.1</v>
      </c>
      <c r="I354" s="35" t="s">
        <v>62</v>
      </c>
    </row>
    <row r="355" ht="22.5" customHeight="1">
      <c r="A355" s="35" t="s">
        <v>956</v>
      </c>
      <c r="B355" s="35" t="s">
        <v>957</v>
      </c>
      <c r="C355" s="35" t="s">
        <v>61</v>
      </c>
      <c r="D355" s="35" t="s">
        <v>106</v>
      </c>
      <c r="E355" s="35" t="s">
        <v>107</v>
      </c>
      <c r="F355" s="35">
        <v>343.0</v>
      </c>
      <c r="G355" s="35">
        <v>6.21</v>
      </c>
      <c r="H355" s="35">
        <v>55.2</v>
      </c>
      <c r="I355" s="35" t="s">
        <v>75</v>
      </c>
    </row>
    <row r="356" ht="22.5" customHeight="1">
      <c r="A356" s="35" t="s">
        <v>958</v>
      </c>
      <c r="B356" s="35" t="s">
        <v>959</v>
      </c>
      <c r="C356" s="35" t="s">
        <v>61</v>
      </c>
      <c r="D356" s="35" t="s">
        <v>165</v>
      </c>
      <c r="E356" s="35" t="s">
        <v>254</v>
      </c>
      <c r="F356" s="35">
        <v>203.0</v>
      </c>
      <c r="G356" s="35">
        <v>11.19</v>
      </c>
      <c r="H356" s="35">
        <v>18.1</v>
      </c>
      <c r="I356" s="35" t="s">
        <v>75</v>
      </c>
    </row>
    <row r="357" ht="22.5" customHeight="1">
      <c r="A357" s="35" t="s">
        <v>960</v>
      </c>
      <c r="B357" s="35" t="s">
        <v>961</v>
      </c>
      <c r="C357" s="35" t="s">
        <v>61</v>
      </c>
      <c r="D357" s="35" t="s">
        <v>198</v>
      </c>
      <c r="E357" s="35" t="s">
        <v>217</v>
      </c>
      <c r="F357" s="35">
        <v>822.0</v>
      </c>
      <c r="G357" s="35">
        <v>9.38</v>
      </c>
      <c r="H357" s="35">
        <v>87.6</v>
      </c>
      <c r="I357" s="35" t="s">
        <v>62</v>
      </c>
    </row>
    <row r="358" ht="22.5" customHeight="1">
      <c r="A358" s="35" t="s">
        <v>962</v>
      </c>
      <c r="B358" s="35" t="s">
        <v>963</v>
      </c>
      <c r="C358" s="35" t="s">
        <v>61</v>
      </c>
      <c r="D358" s="35" t="s">
        <v>123</v>
      </c>
      <c r="E358" s="35" t="s">
        <v>181</v>
      </c>
      <c r="F358" s="35">
        <v>165.0</v>
      </c>
      <c r="G358" s="35">
        <v>7.28</v>
      </c>
      <c r="H358" s="35">
        <v>22.7</v>
      </c>
      <c r="I358" s="35" t="s">
        <v>75</v>
      </c>
    </row>
    <row r="359" ht="22.5" customHeight="1">
      <c r="A359" s="35" t="s">
        <v>964</v>
      </c>
      <c r="B359" s="35" t="s">
        <v>965</v>
      </c>
      <c r="C359" s="35" t="s">
        <v>61</v>
      </c>
      <c r="D359" s="35" t="s">
        <v>82</v>
      </c>
      <c r="E359" s="35" t="s">
        <v>83</v>
      </c>
      <c r="F359" s="35">
        <v>189.0</v>
      </c>
      <c r="G359" s="35">
        <v>7.06</v>
      </c>
      <c r="H359" s="35">
        <v>26.8</v>
      </c>
      <c r="I359" s="35" t="s">
        <v>75</v>
      </c>
    </row>
    <row r="360" ht="22.5" customHeight="1">
      <c r="A360" s="35" t="s">
        <v>966</v>
      </c>
      <c r="B360" s="35" t="s">
        <v>967</v>
      </c>
      <c r="C360" s="35" t="s">
        <v>61</v>
      </c>
      <c r="D360" s="35" t="s">
        <v>165</v>
      </c>
      <c r="E360" s="35" t="s">
        <v>254</v>
      </c>
      <c r="F360" s="35">
        <v>131.0</v>
      </c>
      <c r="G360" s="35">
        <v>9.51</v>
      </c>
      <c r="H360" s="35">
        <v>13.8</v>
      </c>
      <c r="I360" s="35" t="s">
        <v>75</v>
      </c>
    </row>
    <row r="361" ht="22.5" customHeight="1">
      <c r="A361" s="35" t="s">
        <v>968</v>
      </c>
      <c r="B361" s="35" t="s">
        <v>969</v>
      </c>
      <c r="C361" s="35" t="s">
        <v>61</v>
      </c>
      <c r="D361" s="35" t="s">
        <v>156</v>
      </c>
      <c r="E361" s="35" t="s">
        <v>157</v>
      </c>
      <c r="F361" s="35">
        <v>125.0</v>
      </c>
      <c r="G361" s="35">
        <v>4.18</v>
      </c>
      <c r="H361" s="35">
        <v>29.9</v>
      </c>
      <c r="I361" s="35" t="s">
        <v>75</v>
      </c>
    </row>
    <row r="362" ht="22.5" customHeight="1">
      <c r="A362" s="35" t="s">
        <v>970</v>
      </c>
      <c r="B362" s="35" t="s">
        <v>971</v>
      </c>
      <c r="C362" s="35" t="s">
        <v>61</v>
      </c>
      <c r="D362" s="35" t="s">
        <v>165</v>
      </c>
      <c r="E362" s="35" t="s">
        <v>254</v>
      </c>
      <c r="F362" s="35">
        <v>192.0</v>
      </c>
      <c r="G362" s="35">
        <v>9.28</v>
      </c>
      <c r="H362" s="35">
        <v>20.7</v>
      </c>
      <c r="I362" s="35" t="s">
        <v>75</v>
      </c>
    </row>
    <row r="363" ht="22.5" customHeight="1">
      <c r="A363" s="35" t="s">
        <v>972</v>
      </c>
      <c r="B363" s="35" t="s">
        <v>973</v>
      </c>
      <c r="C363" s="35" t="s">
        <v>61</v>
      </c>
      <c r="D363" s="35" t="s">
        <v>94</v>
      </c>
      <c r="E363" s="35" t="s">
        <v>95</v>
      </c>
      <c r="F363" s="35">
        <v>28.0</v>
      </c>
      <c r="G363" s="35">
        <v>3.09</v>
      </c>
      <c r="H363" s="35">
        <v>9.1</v>
      </c>
      <c r="I363" s="35" t="s">
        <v>75</v>
      </c>
    </row>
    <row r="364" ht="22.5" customHeight="1">
      <c r="A364" s="35" t="s">
        <v>974</v>
      </c>
      <c r="B364" s="35" t="s">
        <v>975</v>
      </c>
      <c r="C364" s="35" t="s">
        <v>61</v>
      </c>
      <c r="D364" s="35" t="s">
        <v>156</v>
      </c>
      <c r="E364" s="35" t="s">
        <v>157</v>
      </c>
      <c r="F364" s="35">
        <v>8469.0</v>
      </c>
      <c r="G364" s="35">
        <v>33.9</v>
      </c>
      <c r="H364" s="35">
        <v>249.8</v>
      </c>
      <c r="I364" s="35" t="s">
        <v>142</v>
      </c>
    </row>
    <row r="365" ht="22.5" customHeight="1">
      <c r="A365" s="35" t="s">
        <v>976</v>
      </c>
      <c r="B365" s="35" t="s">
        <v>977</v>
      </c>
      <c r="C365" s="35" t="s">
        <v>61</v>
      </c>
      <c r="D365" s="35" t="s">
        <v>198</v>
      </c>
      <c r="E365" s="35" t="s">
        <v>217</v>
      </c>
      <c r="F365" s="35">
        <v>1343.0</v>
      </c>
      <c r="G365" s="35">
        <v>6.39</v>
      </c>
      <c r="H365" s="35">
        <v>210.2</v>
      </c>
      <c r="I365" s="35" t="s">
        <v>62</v>
      </c>
    </row>
    <row r="366" ht="22.5" customHeight="1">
      <c r="A366" s="35" t="s">
        <v>978</v>
      </c>
      <c r="B366" s="35" t="s">
        <v>979</v>
      </c>
      <c r="C366" s="35" t="s">
        <v>61</v>
      </c>
      <c r="D366" s="35" t="s">
        <v>140</v>
      </c>
      <c r="E366" s="35" t="s">
        <v>147</v>
      </c>
      <c r="F366" s="35">
        <v>1412.0</v>
      </c>
      <c r="G366" s="35">
        <v>14.65</v>
      </c>
      <c r="H366" s="35">
        <v>96.4</v>
      </c>
      <c r="I366" s="35" t="s">
        <v>62</v>
      </c>
    </row>
    <row r="367" ht="22.5" customHeight="1">
      <c r="A367" s="35" t="s">
        <v>980</v>
      </c>
      <c r="B367" s="35" t="s">
        <v>981</v>
      </c>
      <c r="C367" s="35" t="s">
        <v>61</v>
      </c>
      <c r="D367" s="35" t="s">
        <v>165</v>
      </c>
      <c r="E367" s="35" t="s">
        <v>254</v>
      </c>
      <c r="F367" s="35">
        <v>57.0</v>
      </c>
      <c r="G367" s="35">
        <v>3.49</v>
      </c>
      <c r="H367" s="35">
        <v>16.3</v>
      </c>
      <c r="I367" s="35" t="s">
        <v>75</v>
      </c>
    </row>
    <row r="368" ht="22.5" customHeight="1">
      <c r="A368" s="35" t="s">
        <v>982</v>
      </c>
      <c r="B368" s="35" t="s">
        <v>983</v>
      </c>
      <c r="C368" s="35" t="s">
        <v>61</v>
      </c>
      <c r="D368" s="35" t="s">
        <v>165</v>
      </c>
      <c r="E368" s="35" t="s">
        <v>254</v>
      </c>
      <c r="F368" s="35">
        <v>170.0</v>
      </c>
      <c r="G368" s="35">
        <v>13.26</v>
      </c>
      <c r="H368" s="35">
        <v>12.8</v>
      </c>
      <c r="I368" s="35" t="s">
        <v>75</v>
      </c>
    </row>
    <row r="369" ht="22.5" customHeight="1">
      <c r="A369" s="35" t="s">
        <v>984</v>
      </c>
      <c r="B369" s="35" t="s">
        <v>985</v>
      </c>
      <c r="C369" s="35" t="s">
        <v>61</v>
      </c>
      <c r="D369" s="35" t="s">
        <v>82</v>
      </c>
      <c r="E369" s="35" t="s">
        <v>83</v>
      </c>
      <c r="F369" s="35">
        <v>224.0</v>
      </c>
      <c r="G369" s="35">
        <v>9.78</v>
      </c>
      <c r="H369" s="35">
        <v>22.9</v>
      </c>
      <c r="I369" s="35" t="s">
        <v>75</v>
      </c>
    </row>
    <row r="370" ht="22.5" customHeight="1">
      <c r="A370" s="35" t="s">
        <v>986</v>
      </c>
      <c r="B370" s="35" t="s">
        <v>987</v>
      </c>
      <c r="C370" s="35" t="s">
        <v>61</v>
      </c>
      <c r="D370" s="35" t="s">
        <v>94</v>
      </c>
      <c r="E370" s="35" t="s">
        <v>95</v>
      </c>
      <c r="F370" s="35">
        <v>999.0</v>
      </c>
      <c r="G370" s="35">
        <v>7.11</v>
      </c>
      <c r="H370" s="35">
        <v>140.5</v>
      </c>
      <c r="I370" s="35" t="s">
        <v>62</v>
      </c>
    </row>
    <row r="371" ht="22.5" customHeight="1">
      <c r="A371" s="35" t="s">
        <v>988</v>
      </c>
      <c r="B371" s="35" t="s">
        <v>989</v>
      </c>
      <c r="C371" s="35" t="s">
        <v>61</v>
      </c>
      <c r="D371" s="35" t="s">
        <v>156</v>
      </c>
      <c r="E371" s="35" t="s">
        <v>157</v>
      </c>
      <c r="F371" s="35">
        <v>218.0</v>
      </c>
      <c r="G371" s="35">
        <v>7.53</v>
      </c>
      <c r="H371" s="35">
        <v>29.0</v>
      </c>
      <c r="I371" s="35" t="s">
        <v>75</v>
      </c>
    </row>
    <row r="372" ht="22.5" customHeight="1">
      <c r="A372" s="35" t="s">
        <v>990</v>
      </c>
      <c r="B372" s="35" t="s">
        <v>991</v>
      </c>
      <c r="C372" s="35" t="s">
        <v>61</v>
      </c>
      <c r="D372" s="35" t="s">
        <v>123</v>
      </c>
      <c r="E372" s="35" t="s">
        <v>181</v>
      </c>
      <c r="F372" s="35">
        <v>672.0</v>
      </c>
      <c r="G372" s="35">
        <v>1.74</v>
      </c>
      <c r="H372" s="35">
        <v>386.2</v>
      </c>
      <c r="I372" s="35" t="s">
        <v>62</v>
      </c>
    </row>
    <row r="373" ht="22.5" customHeight="1">
      <c r="A373" s="35" t="s">
        <v>992</v>
      </c>
      <c r="B373" s="35" t="s">
        <v>993</v>
      </c>
      <c r="C373" s="35" t="s">
        <v>61</v>
      </c>
      <c r="D373" s="35" t="s">
        <v>198</v>
      </c>
      <c r="E373" s="35" t="s">
        <v>217</v>
      </c>
      <c r="F373" s="35">
        <v>251.0</v>
      </c>
      <c r="G373" s="35">
        <v>5.83</v>
      </c>
      <c r="H373" s="35">
        <v>43.1</v>
      </c>
      <c r="I373" s="35" t="s">
        <v>75</v>
      </c>
    </row>
    <row r="374" ht="22.5" customHeight="1">
      <c r="A374" s="35" t="s">
        <v>994</v>
      </c>
      <c r="B374" s="35" t="s">
        <v>995</v>
      </c>
      <c r="C374" s="35" t="s">
        <v>61</v>
      </c>
      <c r="D374" s="35" t="s">
        <v>156</v>
      </c>
      <c r="E374" s="35" t="s">
        <v>157</v>
      </c>
      <c r="F374" s="35">
        <v>229.0</v>
      </c>
      <c r="G374" s="35">
        <v>15.63</v>
      </c>
      <c r="H374" s="35">
        <v>14.7</v>
      </c>
      <c r="I374" s="35" t="s">
        <v>75</v>
      </c>
    </row>
    <row r="375" ht="22.5" customHeight="1">
      <c r="A375" s="35" t="s">
        <v>996</v>
      </c>
      <c r="B375" s="35" t="s">
        <v>997</v>
      </c>
      <c r="C375" s="35" t="s">
        <v>61</v>
      </c>
      <c r="D375" s="35" t="s">
        <v>198</v>
      </c>
      <c r="E375" s="35" t="s">
        <v>217</v>
      </c>
      <c r="F375" s="35">
        <v>328.0</v>
      </c>
      <c r="G375" s="35">
        <v>7.34</v>
      </c>
      <c r="H375" s="35">
        <v>44.7</v>
      </c>
      <c r="I375" s="35" t="s">
        <v>75</v>
      </c>
    </row>
    <row r="376" ht="22.5" customHeight="1">
      <c r="A376" s="35" t="s">
        <v>998</v>
      </c>
      <c r="B376" s="35" t="s">
        <v>999</v>
      </c>
      <c r="C376" s="35" t="s">
        <v>61</v>
      </c>
      <c r="D376" s="35" t="s">
        <v>90</v>
      </c>
      <c r="E376" s="35" t="s">
        <v>91</v>
      </c>
      <c r="F376" s="35">
        <v>141.0</v>
      </c>
      <c r="G376" s="35">
        <v>7.98</v>
      </c>
      <c r="H376" s="35">
        <v>17.7</v>
      </c>
      <c r="I376" s="35" t="s">
        <v>75</v>
      </c>
    </row>
    <row r="377" ht="22.5" customHeight="1">
      <c r="A377" s="35" t="s">
        <v>1000</v>
      </c>
      <c r="B377" s="35" t="s">
        <v>1001</v>
      </c>
      <c r="C377" s="35" t="s">
        <v>61</v>
      </c>
      <c r="D377" s="35" t="s">
        <v>137</v>
      </c>
      <c r="E377" s="35" t="s">
        <v>138</v>
      </c>
      <c r="F377" s="35">
        <v>120.0</v>
      </c>
      <c r="G377" s="35">
        <v>6.18</v>
      </c>
      <c r="H377" s="35">
        <v>19.4</v>
      </c>
      <c r="I377" s="35" t="s">
        <v>75</v>
      </c>
    </row>
    <row r="378" ht="22.5" customHeight="1">
      <c r="A378" s="35" t="s">
        <v>1002</v>
      </c>
      <c r="B378" s="35" t="s">
        <v>1003</v>
      </c>
      <c r="C378" s="35" t="s">
        <v>61</v>
      </c>
      <c r="D378" s="35" t="s">
        <v>86</v>
      </c>
      <c r="E378" s="35" t="s">
        <v>87</v>
      </c>
      <c r="F378" s="35">
        <v>60.0</v>
      </c>
      <c r="G378" s="35">
        <v>2.5</v>
      </c>
      <c r="H378" s="35">
        <v>24.0</v>
      </c>
      <c r="I378" s="35" t="s">
        <v>75</v>
      </c>
    </row>
    <row r="379" ht="22.5" customHeight="1">
      <c r="A379" s="35" t="s">
        <v>1004</v>
      </c>
      <c r="B379" s="35" t="s">
        <v>1005</v>
      </c>
      <c r="C379" s="35" t="s">
        <v>61</v>
      </c>
      <c r="D379" s="35" t="s">
        <v>140</v>
      </c>
      <c r="E379" s="35" t="s">
        <v>147</v>
      </c>
      <c r="F379" s="35">
        <v>1153.0</v>
      </c>
      <c r="G379" s="35">
        <v>13.45</v>
      </c>
      <c r="H379" s="35">
        <v>85.7</v>
      </c>
      <c r="I379" s="35" t="s">
        <v>62</v>
      </c>
    </row>
    <row r="380" ht="22.5" customHeight="1">
      <c r="A380" s="35" t="s">
        <v>1006</v>
      </c>
      <c r="B380" s="35" t="s">
        <v>1007</v>
      </c>
      <c r="C380" s="35" t="s">
        <v>61</v>
      </c>
      <c r="D380" s="35" t="s">
        <v>67</v>
      </c>
      <c r="E380" s="35" t="s">
        <v>68</v>
      </c>
      <c r="F380" s="35">
        <v>288.0</v>
      </c>
      <c r="G380" s="35">
        <v>13.91</v>
      </c>
      <c r="H380" s="35">
        <v>20.7</v>
      </c>
      <c r="I380" s="35" t="s">
        <v>75</v>
      </c>
    </row>
    <row r="381" ht="22.5" customHeight="1">
      <c r="A381" s="35" t="s">
        <v>1008</v>
      </c>
      <c r="B381" s="35" t="s">
        <v>1009</v>
      </c>
      <c r="C381" s="35" t="s">
        <v>61</v>
      </c>
      <c r="D381" s="35" t="s">
        <v>78</v>
      </c>
      <c r="E381" s="35" t="s">
        <v>79</v>
      </c>
      <c r="F381" s="35">
        <v>604.0</v>
      </c>
      <c r="G381" s="35">
        <v>30.09</v>
      </c>
      <c r="H381" s="35">
        <v>20.1</v>
      </c>
      <c r="I381" s="35" t="s">
        <v>62</v>
      </c>
    </row>
    <row r="382" ht="22.5" customHeight="1">
      <c r="A382" s="35" t="s">
        <v>1010</v>
      </c>
      <c r="B382" s="35" t="s">
        <v>1011</v>
      </c>
      <c r="C382" s="35" t="s">
        <v>61</v>
      </c>
      <c r="D382" s="35" t="s">
        <v>90</v>
      </c>
      <c r="E382" s="35" t="s">
        <v>91</v>
      </c>
      <c r="F382" s="35">
        <v>149.0</v>
      </c>
      <c r="G382" s="35">
        <v>6.82</v>
      </c>
      <c r="H382" s="35">
        <v>21.8</v>
      </c>
      <c r="I382" s="35" t="s">
        <v>75</v>
      </c>
    </row>
    <row r="383" ht="22.5" customHeight="1">
      <c r="A383" s="35" t="s">
        <v>1012</v>
      </c>
      <c r="B383" s="35" t="s">
        <v>1013</v>
      </c>
      <c r="C383" s="35" t="s">
        <v>61</v>
      </c>
      <c r="D383" s="35" t="s">
        <v>165</v>
      </c>
      <c r="E383" s="35" t="s">
        <v>254</v>
      </c>
      <c r="F383" s="35">
        <v>189.0</v>
      </c>
      <c r="G383" s="35">
        <v>10.87</v>
      </c>
      <c r="H383" s="35">
        <v>17.4</v>
      </c>
      <c r="I383" s="35" t="s">
        <v>75</v>
      </c>
    </row>
    <row r="384" ht="22.5" customHeight="1">
      <c r="A384" s="35" t="s">
        <v>1014</v>
      </c>
      <c r="B384" s="35" t="s">
        <v>1015</v>
      </c>
      <c r="C384" s="35" t="s">
        <v>61</v>
      </c>
      <c r="D384" s="35" t="s">
        <v>198</v>
      </c>
      <c r="E384" s="35" t="s">
        <v>217</v>
      </c>
      <c r="F384" s="35">
        <v>38.0</v>
      </c>
      <c r="G384" s="35">
        <v>3.71</v>
      </c>
      <c r="H384" s="35">
        <v>10.2</v>
      </c>
      <c r="I384" s="35" t="s">
        <v>75</v>
      </c>
    </row>
    <row r="385" ht="22.5" customHeight="1">
      <c r="A385" s="35" t="s">
        <v>1016</v>
      </c>
      <c r="B385" s="35" t="s">
        <v>1017</v>
      </c>
      <c r="C385" s="35" t="s">
        <v>61</v>
      </c>
      <c r="D385" s="35" t="s">
        <v>165</v>
      </c>
      <c r="E385" s="35" t="s">
        <v>254</v>
      </c>
      <c r="F385" s="35">
        <v>241.0</v>
      </c>
      <c r="G385" s="35">
        <v>19.43</v>
      </c>
      <c r="H385" s="35">
        <v>12.4</v>
      </c>
      <c r="I385" s="35" t="s">
        <v>75</v>
      </c>
    </row>
    <row r="386" ht="22.5" customHeight="1">
      <c r="A386" s="35" t="s">
        <v>1018</v>
      </c>
      <c r="B386" s="35" t="s">
        <v>1019</v>
      </c>
      <c r="C386" s="35" t="s">
        <v>61</v>
      </c>
      <c r="D386" s="35" t="s">
        <v>165</v>
      </c>
      <c r="E386" s="35" t="s">
        <v>254</v>
      </c>
      <c r="F386" s="35">
        <v>167.0</v>
      </c>
      <c r="G386" s="35">
        <v>10.13</v>
      </c>
      <c r="H386" s="35">
        <v>16.5</v>
      </c>
      <c r="I386" s="35" t="s">
        <v>75</v>
      </c>
    </row>
    <row r="387" ht="22.5" customHeight="1">
      <c r="A387" s="35" t="s">
        <v>1020</v>
      </c>
      <c r="B387" s="35" t="s">
        <v>1021</v>
      </c>
      <c r="C387" s="35" t="s">
        <v>61</v>
      </c>
      <c r="D387" s="35" t="s">
        <v>156</v>
      </c>
      <c r="E387" s="35" t="s">
        <v>157</v>
      </c>
      <c r="F387" s="35">
        <v>503.0</v>
      </c>
      <c r="G387" s="35">
        <v>15.85</v>
      </c>
      <c r="H387" s="35">
        <v>31.7</v>
      </c>
      <c r="I387" s="35" t="s">
        <v>62</v>
      </c>
    </row>
    <row r="388" ht="22.5" customHeight="1">
      <c r="A388" s="35" t="s">
        <v>1022</v>
      </c>
      <c r="B388" s="35" t="s">
        <v>1023</v>
      </c>
      <c r="C388" s="35" t="s">
        <v>61</v>
      </c>
      <c r="D388" s="35" t="s">
        <v>137</v>
      </c>
      <c r="E388" s="35" t="s">
        <v>138</v>
      </c>
      <c r="F388" s="35">
        <v>126.0</v>
      </c>
      <c r="G388" s="35">
        <v>5.79</v>
      </c>
      <c r="H388" s="35">
        <v>21.8</v>
      </c>
      <c r="I388" s="35" t="s">
        <v>75</v>
      </c>
    </row>
    <row r="389" ht="22.5" customHeight="1">
      <c r="A389" s="35" t="s">
        <v>1024</v>
      </c>
      <c r="B389" s="35" t="s">
        <v>1025</v>
      </c>
      <c r="C389" s="35" t="s">
        <v>61</v>
      </c>
      <c r="D389" s="35" t="s">
        <v>136</v>
      </c>
      <c r="E389" s="35" t="s">
        <v>189</v>
      </c>
      <c r="F389" s="35">
        <v>216.0</v>
      </c>
      <c r="G389" s="35">
        <v>3.0</v>
      </c>
      <c r="H389" s="35">
        <v>72.0</v>
      </c>
      <c r="I389" s="35" t="s">
        <v>75</v>
      </c>
    </row>
    <row r="390" ht="22.5" customHeight="1">
      <c r="A390" s="35" t="s">
        <v>1026</v>
      </c>
      <c r="B390" s="35" t="s">
        <v>1027</v>
      </c>
      <c r="C390" s="35" t="s">
        <v>61</v>
      </c>
      <c r="D390" s="35" t="s">
        <v>136</v>
      </c>
      <c r="E390" s="35" t="s">
        <v>189</v>
      </c>
      <c r="F390" s="35">
        <v>24220.0</v>
      </c>
      <c r="G390" s="35">
        <v>44.48</v>
      </c>
      <c r="H390" s="35">
        <v>544.5</v>
      </c>
      <c r="I390" s="35" t="s">
        <v>571</v>
      </c>
    </row>
    <row r="391" ht="22.5" customHeight="1">
      <c r="A391" s="35" t="s">
        <v>1028</v>
      </c>
      <c r="B391" s="35" t="s">
        <v>1029</v>
      </c>
      <c r="C391" s="35" t="s">
        <v>61</v>
      </c>
      <c r="D391" s="35" t="s">
        <v>78</v>
      </c>
      <c r="E391" s="35" t="s">
        <v>79</v>
      </c>
      <c r="F391" s="35">
        <v>283.0</v>
      </c>
      <c r="G391" s="35">
        <v>23.63</v>
      </c>
      <c r="H391" s="35">
        <v>12.0</v>
      </c>
      <c r="I391" s="35" t="s">
        <v>75</v>
      </c>
    </row>
    <row r="392" ht="22.5" customHeight="1">
      <c r="A392" s="35" t="s">
        <v>1030</v>
      </c>
      <c r="B392" s="35" t="s">
        <v>1031</v>
      </c>
      <c r="C392" s="35" t="s">
        <v>61</v>
      </c>
      <c r="D392" s="35" t="s">
        <v>102</v>
      </c>
      <c r="E392" s="35" t="s">
        <v>103</v>
      </c>
      <c r="F392" s="35">
        <v>239.0</v>
      </c>
      <c r="G392" s="35">
        <v>9.62</v>
      </c>
      <c r="H392" s="35">
        <v>24.8</v>
      </c>
      <c r="I392" s="35" t="s">
        <v>75</v>
      </c>
    </row>
    <row r="393" ht="22.5" customHeight="1">
      <c r="A393" s="35" t="s">
        <v>1032</v>
      </c>
      <c r="B393" s="35" t="s">
        <v>1033</v>
      </c>
      <c r="C393" s="35" t="s">
        <v>61</v>
      </c>
      <c r="D393" s="35" t="s">
        <v>123</v>
      </c>
      <c r="E393" s="35" t="s">
        <v>181</v>
      </c>
      <c r="F393" s="35">
        <v>198.0</v>
      </c>
      <c r="G393" s="35">
        <v>9.29</v>
      </c>
      <c r="H393" s="35">
        <v>21.3</v>
      </c>
      <c r="I393" s="35" t="s">
        <v>75</v>
      </c>
    </row>
    <row r="394" ht="22.5" customHeight="1">
      <c r="A394" s="35" t="s">
        <v>1034</v>
      </c>
      <c r="B394" s="35" t="s">
        <v>1035</v>
      </c>
      <c r="C394" s="35" t="s">
        <v>61</v>
      </c>
      <c r="D394" s="35" t="s">
        <v>106</v>
      </c>
      <c r="E394" s="35" t="s">
        <v>107</v>
      </c>
      <c r="F394" s="35">
        <v>96.0</v>
      </c>
      <c r="G394" s="35">
        <v>9.17</v>
      </c>
      <c r="H394" s="35">
        <v>10.5</v>
      </c>
      <c r="I394" s="35" t="s">
        <v>75</v>
      </c>
    </row>
    <row r="395" ht="22.5" customHeight="1">
      <c r="A395" s="35" t="s">
        <v>1036</v>
      </c>
      <c r="B395" s="35" t="s">
        <v>1037</v>
      </c>
      <c r="C395" s="35" t="s">
        <v>61</v>
      </c>
      <c r="D395" s="35" t="s">
        <v>136</v>
      </c>
      <c r="E395" s="35" t="s">
        <v>189</v>
      </c>
      <c r="F395" s="35">
        <v>251.0</v>
      </c>
      <c r="G395" s="35">
        <v>4.56</v>
      </c>
      <c r="H395" s="35">
        <v>55.0</v>
      </c>
      <c r="I395" s="35" t="s">
        <v>75</v>
      </c>
    </row>
    <row r="396" ht="22.5" customHeight="1">
      <c r="A396" s="35" t="s">
        <v>1038</v>
      </c>
      <c r="B396" s="35" t="s">
        <v>1039</v>
      </c>
      <c r="C396" s="35" t="s">
        <v>61</v>
      </c>
      <c r="D396" s="35" t="s">
        <v>82</v>
      </c>
      <c r="E396" s="35" t="s">
        <v>83</v>
      </c>
      <c r="F396" s="35">
        <v>203.0</v>
      </c>
      <c r="G396" s="35">
        <v>4.47</v>
      </c>
      <c r="H396" s="35">
        <v>45.4</v>
      </c>
      <c r="I396" s="35" t="s">
        <v>75</v>
      </c>
    </row>
    <row r="397" ht="22.5" customHeight="1">
      <c r="A397" s="35" t="s">
        <v>1040</v>
      </c>
      <c r="B397" s="35" t="s">
        <v>1041</v>
      </c>
      <c r="C397" s="35" t="s">
        <v>61</v>
      </c>
      <c r="D397" s="35" t="s">
        <v>102</v>
      </c>
      <c r="E397" s="35" t="s">
        <v>103</v>
      </c>
      <c r="F397" s="35">
        <v>155.0</v>
      </c>
      <c r="G397" s="35">
        <v>7.2</v>
      </c>
      <c r="H397" s="35">
        <v>21.5</v>
      </c>
      <c r="I397" s="35" t="s">
        <v>75</v>
      </c>
    </row>
    <row r="398" ht="22.5" customHeight="1">
      <c r="A398" s="35" t="s">
        <v>1042</v>
      </c>
      <c r="B398" s="35" t="s">
        <v>1043</v>
      </c>
      <c r="C398" s="35" t="s">
        <v>61</v>
      </c>
      <c r="D398" s="35" t="s">
        <v>165</v>
      </c>
      <c r="E398" s="35" t="s">
        <v>254</v>
      </c>
      <c r="F398" s="35">
        <v>409.0</v>
      </c>
      <c r="G398" s="35">
        <v>11.6</v>
      </c>
      <c r="H398" s="35">
        <v>35.3</v>
      </c>
      <c r="I398" s="35" t="s">
        <v>75</v>
      </c>
    </row>
    <row r="399" ht="22.5" customHeight="1">
      <c r="A399" s="35" t="s">
        <v>1044</v>
      </c>
      <c r="B399" s="35" t="s">
        <v>1045</v>
      </c>
      <c r="C399" s="35" t="s">
        <v>61</v>
      </c>
      <c r="D399" s="35" t="s">
        <v>198</v>
      </c>
      <c r="E399" s="35" t="s">
        <v>217</v>
      </c>
      <c r="F399" s="35">
        <v>125.0</v>
      </c>
      <c r="G399" s="35">
        <v>2.62</v>
      </c>
      <c r="H399" s="35">
        <v>47.7</v>
      </c>
      <c r="I399" s="35" t="s">
        <v>75</v>
      </c>
    </row>
    <row r="400" ht="22.5" customHeight="1">
      <c r="A400" s="35" t="s">
        <v>1046</v>
      </c>
      <c r="B400" s="35" t="s">
        <v>1047</v>
      </c>
      <c r="C400" s="35" t="s">
        <v>61</v>
      </c>
      <c r="D400" s="35" t="s">
        <v>165</v>
      </c>
      <c r="E400" s="35" t="s">
        <v>254</v>
      </c>
      <c r="F400" s="35">
        <v>223.0</v>
      </c>
      <c r="G400" s="35">
        <v>11.56</v>
      </c>
      <c r="H400" s="35">
        <v>19.3</v>
      </c>
      <c r="I400" s="35" t="s">
        <v>75</v>
      </c>
    </row>
    <row r="401" ht="22.5" customHeight="1">
      <c r="A401" s="35" t="s">
        <v>1048</v>
      </c>
      <c r="B401" s="35" t="s">
        <v>1049</v>
      </c>
      <c r="C401" s="35" t="s">
        <v>61</v>
      </c>
      <c r="D401" s="35" t="s">
        <v>165</v>
      </c>
      <c r="E401" s="35" t="s">
        <v>254</v>
      </c>
      <c r="F401" s="35">
        <v>269.0</v>
      </c>
      <c r="G401" s="35">
        <v>14.68</v>
      </c>
      <c r="H401" s="35">
        <v>18.3</v>
      </c>
      <c r="I401" s="35" t="s">
        <v>75</v>
      </c>
    </row>
    <row r="402" ht="22.5" customHeight="1">
      <c r="A402" s="35" t="s">
        <v>1050</v>
      </c>
      <c r="B402" s="35" t="s">
        <v>1051</v>
      </c>
      <c r="C402" s="35" t="s">
        <v>61</v>
      </c>
      <c r="D402" s="35" t="s">
        <v>140</v>
      </c>
      <c r="E402" s="35" t="s">
        <v>147</v>
      </c>
      <c r="F402" s="35">
        <v>790.0</v>
      </c>
      <c r="G402" s="35">
        <v>10.89</v>
      </c>
      <c r="H402" s="35">
        <v>72.5</v>
      </c>
      <c r="I402" s="35" t="s">
        <v>62</v>
      </c>
    </row>
    <row r="403" ht="22.5" customHeight="1">
      <c r="A403" s="35" t="s">
        <v>1052</v>
      </c>
      <c r="B403" s="35" t="s">
        <v>1053</v>
      </c>
      <c r="C403" s="35" t="s">
        <v>61</v>
      </c>
      <c r="D403" s="35" t="s">
        <v>90</v>
      </c>
      <c r="E403" s="35" t="s">
        <v>91</v>
      </c>
      <c r="F403" s="35">
        <v>83.0</v>
      </c>
      <c r="G403" s="35">
        <v>6.65</v>
      </c>
      <c r="H403" s="35">
        <v>12.5</v>
      </c>
      <c r="I403" s="35" t="s">
        <v>75</v>
      </c>
    </row>
    <row r="404" ht="22.5" customHeight="1">
      <c r="A404" s="35" t="s">
        <v>1054</v>
      </c>
      <c r="B404" s="35" t="s">
        <v>1055</v>
      </c>
      <c r="C404" s="35" t="s">
        <v>61</v>
      </c>
      <c r="D404" s="35" t="s">
        <v>82</v>
      </c>
      <c r="E404" s="35" t="s">
        <v>83</v>
      </c>
      <c r="F404" s="35">
        <v>754.0</v>
      </c>
      <c r="G404" s="35">
        <v>16.48</v>
      </c>
      <c r="H404" s="35">
        <v>45.8</v>
      </c>
      <c r="I404" s="35" t="s">
        <v>62</v>
      </c>
    </row>
    <row r="405" ht="22.5" customHeight="1">
      <c r="A405" s="35" t="s">
        <v>1056</v>
      </c>
      <c r="B405" s="35" t="s">
        <v>1057</v>
      </c>
      <c r="C405" s="35" t="s">
        <v>61</v>
      </c>
      <c r="D405" s="35" t="s">
        <v>137</v>
      </c>
      <c r="E405" s="35" t="s">
        <v>138</v>
      </c>
      <c r="F405" s="35">
        <v>455.0</v>
      </c>
      <c r="G405" s="35">
        <v>12.7</v>
      </c>
      <c r="H405" s="35">
        <v>35.8</v>
      </c>
      <c r="I405" s="35" t="s">
        <v>75</v>
      </c>
    </row>
    <row r="406" ht="22.5" customHeight="1">
      <c r="A406" s="35" t="s">
        <v>1058</v>
      </c>
      <c r="B406" s="35" t="s">
        <v>1059</v>
      </c>
      <c r="C406" s="35" t="s">
        <v>61</v>
      </c>
      <c r="D406" s="35" t="s">
        <v>67</v>
      </c>
      <c r="E406" s="35" t="s">
        <v>68</v>
      </c>
      <c r="F406" s="35">
        <v>101.0</v>
      </c>
      <c r="G406" s="35">
        <v>3.68</v>
      </c>
      <c r="H406" s="35">
        <v>27.4</v>
      </c>
      <c r="I406" s="35" t="s">
        <v>75</v>
      </c>
    </row>
    <row r="407" ht="22.5" customHeight="1">
      <c r="A407" s="35" t="s">
        <v>1060</v>
      </c>
      <c r="B407" s="35" t="s">
        <v>1061</v>
      </c>
      <c r="C407" s="35" t="s">
        <v>61</v>
      </c>
      <c r="D407" s="35" t="s">
        <v>156</v>
      </c>
      <c r="E407" s="35" t="s">
        <v>157</v>
      </c>
      <c r="F407" s="35">
        <v>190.0</v>
      </c>
      <c r="G407" s="35">
        <v>10.19</v>
      </c>
      <c r="H407" s="35">
        <v>18.6</v>
      </c>
      <c r="I407" s="35" t="s">
        <v>75</v>
      </c>
    </row>
    <row r="408" ht="22.5" customHeight="1">
      <c r="A408" s="35" t="s">
        <v>1062</v>
      </c>
      <c r="B408" s="35" t="s">
        <v>1063</v>
      </c>
      <c r="C408" s="35" t="s">
        <v>61</v>
      </c>
      <c r="D408" s="35" t="s">
        <v>198</v>
      </c>
      <c r="E408" s="35" t="s">
        <v>217</v>
      </c>
      <c r="F408" s="35">
        <v>543.0</v>
      </c>
      <c r="G408" s="35">
        <v>7.78</v>
      </c>
      <c r="H408" s="35">
        <v>69.8</v>
      </c>
      <c r="I408" s="35" t="s">
        <v>62</v>
      </c>
    </row>
    <row r="409" ht="22.5" customHeight="1">
      <c r="A409" s="35" t="s">
        <v>1064</v>
      </c>
      <c r="B409" s="35" t="s">
        <v>1065</v>
      </c>
      <c r="C409" s="35" t="s">
        <v>61</v>
      </c>
      <c r="D409" s="35" t="s">
        <v>90</v>
      </c>
      <c r="E409" s="35" t="s">
        <v>91</v>
      </c>
      <c r="F409" s="35">
        <v>140.0</v>
      </c>
      <c r="G409" s="35">
        <v>4.92</v>
      </c>
      <c r="H409" s="35">
        <v>28.5</v>
      </c>
      <c r="I409" s="35" t="s">
        <v>75</v>
      </c>
    </row>
    <row r="410" ht="22.5" customHeight="1">
      <c r="A410" s="35" t="s">
        <v>1066</v>
      </c>
      <c r="B410" s="35" t="s">
        <v>1067</v>
      </c>
      <c r="C410" s="35" t="s">
        <v>61</v>
      </c>
      <c r="D410" s="35" t="s">
        <v>123</v>
      </c>
      <c r="E410" s="35" t="s">
        <v>181</v>
      </c>
      <c r="F410" s="35">
        <v>65.0</v>
      </c>
      <c r="G410" s="35">
        <v>4.12</v>
      </c>
      <c r="H410" s="35">
        <v>15.8</v>
      </c>
      <c r="I410" s="35" t="s">
        <v>75</v>
      </c>
    </row>
    <row r="411" ht="22.5" customHeight="1">
      <c r="A411" s="35" t="s">
        <v>1068</v>
      </c>
      <c r="B411" s="35" t="s">
        <v>1069</v>
      </c>
      <c r="C411" s="35" t="s">
        <v>61</v>
      </c>
      <c r="D411" s="35" t="s">
        <v>136</v>
      </c>
      <c r="E411" s="35" t="s">
        <v>189</v>
      </c>
      <c r="F411" s="35">
        <v>117.0</v>
      </c>
      <c r="G411" s="35">
        <v>3.87</v>
      </c>
      <c r="H411" s="35">
        <v>30.2</v>
      </c>
      <c r="I411" s="35" t="s">
        <v>75</v>
      </c>
    </row>
    <row r="412" ht="22.5" customHeight="1">
      <c r="A412" s="35" t="s">
        <v>1070</v>
      </c>
      <c r="B412" s="35" t="s">
        <v>1071</v>
      </c>
      <c r="C412" s="35" t="s">
        <v>61</v>
      </c>
      <c r="D412" s="35" t="s">
        <v>78</v>
      </c>
      <c r="E412" s="35" t="s">
        <v>79</v>
      </c>
      <c r="F412" s="35">
        <v>1264.0</v>
      </c>
      <c r="G412" s="35">
        <v>10.1</v>
      </c>
      <c r="H412" s="35">
        <v>125.1</v>
      </c>
      <c r="I412" s="35" t="s">
        <v>62</v>
      </c>
    </row>
    <row r="413" ht="22.5" customHeight="1">
      <c r="A413" s="35" t="s">
        <v>1072</v>
      </c>
      <c r="B413" s="35" t="s">
        <v>1073</v>
      </c>
      <c r="C413" s="35" t="s">
        <v>61</v>
      </c>
      <c r="D413" s="35" t="s">
        <v>50</v>
      </c>
      <c r="E413" s="35" t="s">
        <v>49</v>
      </c>
      <c r="F413" s="35">
        <v>385.0</v>
      </c>
      <c r="G413" s="35">
        <v>5.5</v>
      </c>
      <c r="H413" s="35">
        <v>70.0</v>
      </c>
      <c r="I413" s="35" t="s">
        <v>75</v>
      </c>
    </row>
    <row r="414" ht="22.5" customHeight="1">
      <c r="A414" s="35" t="s">
        <v>1074</v>
      </c>
      <c r="B414" s="35" t="s">
        <v>1075</v>
      </c>
      <c r="C414" s="35" t="s">
        <v>61</v>
      </c>
      <c r="D414" s="35" t="s">
        <v>90</v>
      </c>
      <c r="E414" s="35" t="s">
        <v>91</v>
      </c>
      <c r="F414" s="35">
        <v>192.0</v>
      </c>
      <c r="G414" s="35">
        <v>5.66</v>
      </c>
      <c r="H414" s="35">
        <v>33.9</v>
      </c>
      <c r="I414" s="35" t="s">
        <v>75</v>
      </c>
    </row>
    <row r="415" ht="22.5" customHeight="1">
      <c r="A415" s="35" t="s">
        <v>1076</v>
      </c>
      <c r="B415" s="35" t="s">
        <v>1077</v>
      </c>
      <c r="C415" s="35" t="s">
        <v>61</v>
      </c>
      <c r="D415" s="35" t="s">
        <v>166</v>
      </c>
      <c r="E415" s="35" t="s">
        <v>168</v>
      </c>
      <c r="F415" s="35">
        <v>220.0</v>
      </c>
      <c r="G415" s="35">
        <v>8.28</v>
      </c>
      <c r="H415" s="35">
        <v>26.6</v>
      </c>
      <c r="I415" s="35" t="s">
        <v>75</v>
      </c>
    </row>
    <row r="416" ht="22.5" customHeight="1">
      <c r="A416" s="35" t="s">
        <v>1078</v>
      </c>
      <c r="B416" s="35" t="s">
        <v>1079</v>
      </c>
      <c r="C416" s="35" t="s">
        <v>61</v>
      </c>
      <c r="D416" s="35" t="s">
        <v>156</v>
      </c>
      <c r="E416" s="35" t="s">
        <v>157</v>
      </c>
      <c r="F416" s="35">
        <v>84.0</v>
      </c>
      <c r="G416" s="35">
        <v>8.22</v>
      </c>
      <c r="H416" s="35">
        <v>10.2</v>
      </c>
      <c r="I416" s="35" t="s">
        <v>75</v>
      </c>
    </row>
    <row r="417" ht="22.5" customHeight="1">
      <c r="A417" s="35" t="s">
        <v>1080</v>
      </c>
      <c r="B417" s="35" t="s">
        <v>1081</v>
      </c>
      <c r="C417" s="35" t="s">
        <v>61</v>
      </c>
      <c r="D417" s="35" t="s">
        <v>102</v>
      </c>
      <c r="E417" s="35" t="s">
        <v>103</v>
      </c>
      <c r="F417" s="35">
        <v>249.0</v>
      </c>
      <c r="G417" s="35">
        <v>10.78</v>
      </c>
      <c r="H417" s="35">
        <v>23.1</v>
      </c>
      <c r="I417" s="35" t="s">
        <v>75</v>
      </c>
    </row>
    <row r="418" ht="22.5" customHeight="1">
      <c r="A418" s="35" t="s">
        <v>1082</v>
      </c>
      <c r="B418" s="35" t="s">
        <v>1083</v>
      </c>
      <c r="C418" s="35" t="s">
        <v>61</v>
      </c>
      <c r="D418" s="35" t="s">
        <v>90</v>
      </c>
      <c r="E418" s="35" t="s">
        <v>91</v>
      </c>
      <c r="F418" s="35">
        <v>1232.0</v>
      </c>
      <c r="G418" s="35">
        <v>38.07</v>
      </c>
      <c r="H418" s="35">
        <v>32.4</v>
      </c>
      <c r="I418" s="35" t="s">
        <v>62</v>
      </c>
    </row>
    <row r="419" ht="22.5" customHeight="1">
      <c r="A419" s="35" t="s">
        <v>1084</v>
      </c>
      <c r="B419" s="35" t="s">
        <v>1085</v>
      </c>
      <c r="C419" s="35" t="s">
        <v>61</v>
      </c>
      <c r="D419" s="35" t="s">
        <v>78</v>
      </c>
      <c r="E419" s="35" t="s">
        <v>79</v>
      </c>
      <c r="F419" s="35">
        <v>141.0</v>
      </c>
      <c r="G419" s="35">
        <v>8.92</v>
      </c>
      <c r="H419" s="35">
        <v>15.8</v>
      </c>
      <c r="I419" s="35" t="s">
        <v>75</v>
      </c>
    </row>
    <row r="420" ht="22.5" customHeight="1">
      <c r="A420" s="35" t="s">
        <v>1086</v>
      </c>
      <c r="B420" s="35" t="s">
        <v>1087</v>
      </c>
      <c r="C420" s="35" t="s">
        <v>61</v>
      </c>
      <c r="D420" s="35" t="s">
        <v>102</v>
      </c>
      <c r="E420" s="35" t="s">
        <v>103</v>
      </c>
      <c r="F420" s="35">
        <v>203.0</v>
      </c>
      <c r="G420" s="35">
        <v>11.12</v>
      </c>
      <c r="H420" s="35">
        <v>18.3</v>
      </c>
      <c r="I420" s="35" t="s">
        <v>75</v>
      </c>
    </row>
    <row r="421" ht="22.5" customHeight="1">
      <c r="A421" s="35" t="s">
        <v>1088</v>
      </c>
      <c r="B421" s="35" t="s">
        <v>1089</v>
      </c>
      <c r="C421" s="35" t="s">
        <v>61</v>
      </c>
      <c r="D421" s="35" t="s">
        <v>123</v>
      </c>
      <c r="E421" s="35" t="s">
        <v>181</v>
      </c>
      <c r="F421" s="35">
        <v>85.0</v>
      </c>
      <c r="G421" s="35">
        <v>7.3</v>
      </c>
      <c r="H421" s="35">
        <v>11.6</v>
      </c>
      <c r="I421" s="35" t="s">
        <v>75</v>
      </c>
    </row>
    <row r="422" ht="22.5" customHeight="1">
      <c r="A422" s="35" t="s">
        <v>1090</v>
      </c>
      <c r="B422" s="35" t="s">
        <v>1091</v>
      </c>
      <c r="C422" s="35" t="s">
        <v>61</v>
      </c>
      <c r="D422" s="35" t="s">
        <v>182</v>
      </c>
      <c r="E422" s="35" t="s">
        <v>357</v>
      </c>
      <c r="F422" s="35">
        <v>202.0</v>
      </c>
      <c r="G422" s="35">
        <v>7.68</v>
      </c>
      <c r="H422" s="35">
        <v>26.3</v>
      </c>
      <c r="I422" s="35" t="s">
        <v>75</v>
      </c>
    </row>
    <row r="423" ht="22.5" customHeight="1">
      <c r="A423" s="35" t="s">
        <v>1092</v>
      </c>
      <c r="B423" s="35" t="s">
        <v>1093</v>
      </c>
      <c r="C423" s="35" t="s">
        <v>61</v>
      </c>
      <c r="D423" s="35" t="s">
        <v>165</v>
      </c>
      <c r="E423" s="35" t="s">
        <v>254</v>
      </c>
      <c r="F423" s="35">
        <v>110.0</v>
      </c>
      <c r="G423" s="35">
        <v>4.78</v>
      </c>
      <c r="H423" s="35">
        <v>23.0</v>
      </c>
      <c r="I423" s="35" t="s">
        <v>75</v>
      </c>
    </row>
    <row r="424" ht="22.5" customHeight="1">
      <c r="A424" s="35" t="s">
        <v>1094</v>
      </c>
      <c r="B424" s="35" t="s">
        <v>1095</v>
      </c>
      <c r="C424" s="35" t="s">
        <v>61</v>
      </c>
      <c r="D424" s="35" t="s">
        <v>165</v>
      </c>
      <c r="E424" s="35" t="s">
        <v>254</v>
      </c>
      <c r="F424" s="35">
        <v>266.0</v>
      </c>
      <c r="G424" s="35">
        <v>11.11</v>
      </c>
      <c r="H424" s="35">
        <v>23.9</v>
      </c>
      <c r="I424" s="35" t="s">
        <v>75</v>
      </c>
    </row>
    <row r="425" ht="22.5" customHeight="1">
      <c r="A425" s="35" t="s">
        <v>1096</v>
      </c>
      <c r="B425" s="35" t="s">
        <v>1097</v>
      </c>
      <c r="C425" s="35" t="s">
        <v>61</v>
      </c>
      <c r="D425" s="35" t="s">
        <v>94</v>
      </c>
      <c r="E425" s="35" t="s">
        <v>95</v>
      </c>
      <c r="F425" s="35">
        <v>118.0</v>
      </c>
      <c r="G425" s="35">
        <v>3.52</v>
      </c>
      <c r="H425" s="35">
        <v>33.5</v>
      </c>
      <c r="I425" s="35" t="s">
        <v>75</v>
      </c>
    </row>
    <row r="426" ht="22.5" customHeight="1">
      <c r="A426" s="35" t="s">
        <v>1098</v>
      </c>
      <c r="B426" s="35" t="s">
        <v>1099</v>
      </c>
      <c r="C426" s="35" t="s">
        <v>61</v>
      </c>
      <c r="D426" s="35" t="s">
        <v>106</v>
      </c>
      <c r="E426" s="35" t="s">
        <v>107</v>
      </c>
      <c r="F426" s="35">
        <v>126.0</v>
      </c>
      <c r="G426" s="35">
        <v>11.05</v>
      </c>
      <c r="H426" s="35">
        <v>11.4</v>
      </c>
      <c r="I426" s="35" t="s">
        <v>75</v>
      </c>
    </row>
    <row r="427" ht="22.5" customHeight="1">
      <c r="A427" s="35" t="s">
        <v>1100</v>
      </c>
      <c r="B427" s="35" t="s">
        <v>1101</v>
      </c>
      <c r="C427" s="35" t="s">
        <v>61</v>
      </c>
      <c r="D427" s="35" t="s">
        <v>78</v>
      </c>
      <c r="E427" s="35" t="s">
        <v>79</v>
      </c>
      <c r="F427" s="35">
        <v>108.0</v>
      </c>
      <c r="G427" s="35">
        <v>10.16</v>
      </c>
      <c r="H427" s="35">
        <v>10.6</v>
      </c>
      <c r="I427" s="35" t="s">
        <v>75</v>
      </c>
    </row>
    <row r="428" ht="22.5" customHeight="1">
      <c r="A428" s="35" t="s">
        <v>1102</v>
      </c>
      <c r="B428" s="35" t="s">
        <v>1103</v>
      </c>
      <c r="C428" s="35" t="s">
        <v>61</v>
      </c>
      <c r="D428" s="35" t="s">
        <v>102</v>
      </c>
      <c r="E428" s="35" t="s">
        <v>103</v>
      </c>
      <c r="F428" s="35">
        <v>64.0</v>
      </c>
      <c r="G428" s="35">
        <v>6.16</v>
      </c>
      <c r="H428" s="35">
        <v>10.4</v>
      </c>
      <c r="I428" s="35" t="s">
        <v>75</v>
      </c>
    </row>
    <row r="429" ht="22.5" customHeight="1">
      <c r="A429" s="35" t="s">
        <v>1104</v>
      </c>
      <c r="B429" s="35" t="s">
        <v>1105</v>
      </c>
      <c r="C429" s="35" t="s">
        <v>61</v>
      </c>
      <c r="D429" s="35" t="s">
        <v>82</v>
      </c>
      <c r="E429" s="35" t="s">
        <v>83</v>
      </c>
      <c r="F429" s="35">
        <v>357.0</v>
      </c>
      <c r="G429" s="35">
        <v>20.28</v>
      </c>
      <c r="H429" s="35">
        <v>17.6</v>
      </c>
      <c r="I429" s="35" t="s">
        <v>75</v>
      </c>
    </row>
    <row r="430" ht="22.5" customHeight="1">
      <c r="A430" s="35" t="s">
        <v>1106</v>
      </c>
      <c r="B430" s="35" t="s">
        <v>1107</v>
      </c>
      <c r="C430" s="35" t="s">
        <v>61</v>
      </c>
      <c r="D430" s="35" t="s">
        <v>198</v>
      </c>
      <c r="E430" s="35" t="s">
        <v>217</v>
      </c>
      <c r="F430" s="35">
        <v>122.0</v>
      </c>
      <c r="G430" s="35">
        <v>3.68</v>
      </c>
      <c r="H430" s="35">
        <v>33.2</v>
      </c>
      <c r="I430" s="35" t="s">
        <v>75</v>
      </c>
    </row>
    <row r="431" ht="22.5" customHeight="1">
      <c r="A431" s="35" t="s">
        <v>1108</v>
      </c>
      <c r="B431" s="35" t="s">
        <v>1109</v>
      </c>
      <c r="C431" s="35" t="s">
        <v>61</v>
      </c>
      <c r="D431" s="35" t="s">
        <v>198</v>
      </c>
      <c r="E431" s="35" t="s">
        <v>217</v>
      </c>
      <c r="F431" s="35">
        <v>232.0</v>
      </c>
      <c r="G431" s="35">
        <v>8.15</v>
      </c>
      <c r="H431" s="35">
        <v>28.5</v>
      </c>
      <c r="I431" s="35" t="s">
        <v>75</v>
      </c>
    </row>
    <row r="432" ht="22.5" customHeight="1">
      <c r="A432" s="35" t="s">
        <v>1110</v>
      </c>
      <c r="B432" s="35" t="s">
        <v>1111</v>
      </c>
      <c r="C432" s="35" t="s">
        <v>61</v>
      </c>
      <c r="D432" s="35" t="s">
        <v>78</v>
      </c>
      <c r="E432" s="35" t="s">
        <v>79</v>
      </c>
      <c r="F432" s="35">
        <v>392.0</v>
      </c>
      <c r="G432" s="35">
        <v>7.25</v>
      </c>
      <c r="H432" s="35">
        <v>54.1</v>
      </c>
      <c r="I432" s="35" t="s">
        <v>75</v>
      </c>
    </row>
    <row r="433" ht="22.5" customHeight="1">
      <c r="A433" s="35" t="s">
        <v>1112</v>
      </c>
      <c r="B433" s="35" t="s">
        <v>1113</v>
      </c>
      <c r="C433" s="35" t="s">
        <v>61</v>
      </c>
      <c r="D433" s="35" t="s">
        <v>78</v>
      </c>
      <c r="E433" s="35" t="s">
        <v>79</v>
      </c>
      <c r="F433" s="35">
        <v>403.0</v>
      </c>
      <c r="G433" s="35">
        <v>25.75</v>
      </c>
      <c r="H433" s="35">
        <v>15.7</v>
      </c>
      <c r="I433" s="35" t="s">
        <v>75</v>
      </c>
    </row>
    <row r="434" ht="22.5" customHeight="1">
      <c r="A434" s="35" t="s">
        <v>1114</v>
      </c>
      <c r="B434" s="35" t="s">
        <v>1115</v>
      </c>
      <c r="C434" s="35" t="s">
        <v>61</v>
      </c>
      <c r="D434" s="35" t="s">
        <v>82</v>
      </c>
      <c r="E434" s="35" t="s">
        <v>83</v>
      </c>
      <c r="F434" s="35">
        <v>178.0</v>
      </c>
      <c r="G434" s="35">
        <v>10.46</v>
      </c>
      <c r="H434" s="35">
        <v>17.0</v>
      </c>
      <c r="I434" s="35" t="s">
        <v>75</v>
      </c>
    </row>
    <row r="435" ht="22.5" customHeight="1">
      <c r="A435" s="35" t="s">
        <v>1116</v>
      </c>
      <c r="B435" s="35" t="s">
        <v>1117</v>
      </c>
      <c r="C435" s="35" t="s">
        <v>61</v>
      </c>
      <c r="D435" s="35" t="s">
        <v>50</v>
      </c>
      <c r="E435" s="35" t="s">
        <v>49</v>
      </c>
      <c r="F435" s="35">
        <v>311.0</v>
      </c>
      <c r="G435" s="35">
        <v>10.3</v>
      </c>
      <c r="H435" s="35">
        <v>30.2</v>
      </c>
      <c r="I435" s="35" t="s">
        <v>75</v>
      </c>
    </row>
    <row r="436" ht="22.5" customHeight="1">
      <c r="A436" s="35" t="s">
        <v>1118</v>
      </c>
      <c r="B436" s="35" t="s">
        <v>1119</v>
      </c>
      <c r="C436" s="35" t="s">
        <v>61</v>
      </c>
      <c r="D436" s="35" t="s">
        <v>78</v>
      </c>
      <c r="E436" s="35" t="s">
        <v>79</v>
      </c>
      <c r="F436" s="35">
        <v>389.0</v>
      </c>
      <c r="G436" s="35">
        <v>15.55</v>
      </c>
      <c r="H436" s="35">
        <v>25.0</v>
      </c>
      <c r="I436" s="35" t="s">
        <v>75</v>
      </c>
    </row>
    <row r="437" ht="22.5" customHeight="1">
      <c r="A437" s="35" t="s">
        <v>1120</v>
      </c>
      <c r="B437" s="35" t="s">
        <v>1121</v>
      </c>
      <c r="C437" s="35" t="s">
        <v>61</v>
      </c>
      <c r="D437" s="35" t="s">
        <v>123</v>
      </c>
      <c r="E437" s="35" t="s">
        <v>181</v>
      </c>
      <c r="F437" s="35">
        <v>821.0</v>
      </c>
      <c r="G437" s="35">
        <v>40.08</v>
      </c>
      <c r="H437" s="35">
        <v>20.5</v>
      </c>
      <c r="I437" s="35" t="s">
        <v>62</v>
      </c>
    </row>
    <row r="438" ht="22.5" customHeight="1">
      <c r="A438" s="35" t="s">
        <v>1122</v>
      </c>
      <c r="B438" s="35" t="s">
        <v>1123</v>
      </c>
      <c r="C438" s="35" t="s">
        <v>61</v>
      </c>
      <c r="D438" s="35" t="s">
        <v>140</v>
      </c>
      <c r="E438" s="35" t="s">
        <v>147</v>
      </c>
      <c r="F438" s="35">
        <v>151.0</v>
      </c>
      <c r="G438" s="35">
        <v>7.43</v>
      </c>
      <c r="H438" s="35">
        <v>20.3</v>
      </c>
      <c r="I438" s="35" t="s">
        <v>75</v>
      </c>
    </row>
    <row r="439" ht="22.5" customHeight="1">
      <c r="A439" s="35" t="s">
        <v>1124</v>
      </c>
      <c r="B439" s="35" t="s">
        <v>1125</v>
      </c>
      <c r="C439" s="35" t="s">
        <v>61</v>
      </c>
      <c r="D439" s="35" t="s">
        <v>73</v>
      </c>
      <c r="E439" s="35" t="s">
        <v>74</v>
      </c>
      <c r="F439" s="35">
        <v>203.0</v>
      </c>
      <c r="G439" s="35">
        <v>4.54</v>
      </c>
      <c r="H439" s="35">
        <v>44.7</v>
      </c>
      <c r="I439" s="35" t="s">
        <v>75</v>
      </c>
    </row>
    <row r="440" ht="22.5" customHeight="1">
      <c r="A440" s="35" t="s">
        <v>1126</v>
      </c>
      <c r="B440" s="35" t="s">
        <v>1127</v>
      </c>
      <c r="C440" s="35" t="s">
        <v>61</v>
      </c>
      <c r="D440" s="35" t="s">
        <v>50</v>
      </c>
      <c r="E440" s="35" t="s">
        <v>49</v>
      </c>
      <c r="F440" s="35">
        <v>341.0</v>
      </c>
      <c r="G440" s="35">
        <v>8.36</v>
      </c>
      <c r="H440" s="35">
        <v>40.8</v>
      </c>
      <c r="I440" s="35" t="s">
        <v>75</v>
      </c>
    </row>
    <row r="441" ht="22.5" customHeight="1">
      <c r="A441" s="35" t="s">
        <v>1128</v>
      </c>
      <c r="B441" s="35" t="s">
        <v>1129</v>
      </c>
      <c r="C441" s="35" t="s">
        <v>61</v>
      </c>
      <c r="D441" s="35" t="s">
        <v>123</v>
      </c>
      <c r="E441" s="35" t="s">
        <v>181</v>
      </c>
      <c r="F441" s="35">
        <v>221.0</v>
      </c>
      <c r="G441" s="35">
        <v>9.14</v>
      </c>
      <c r="H441" s="35">
        <v>24.2</v>
      </c>
      <c r="I441" s="35" t="s">
        <v>75</v>
      </c>
    </row>
    <row r="442" ht="22.5" customHeight="1">
      <c r="A442" s="35" t="s">
        <v>1130</v>
      </c>
      <c r="B442" s="35" t="s">
        <v>1131</v>
      </c>
      <c r="C442" s="35" t="s">
        <v>61</v>
      </c>
      <c r="D442" s="35" t="s">
        <v>165</v>
      </c>
      <c r="E442" s="35" t="s">
        <v>254</v>
      </c>
      <c r="F442" s="35">
        <v>83.0</v>
      </c>
      <c r="G442" s="35">
        <v>9.22</v>
      </c>
      <c r="H442" s="35">
        <v>9.0</v>
      </c>
      <c r="I442" s="35" t="s">
        <v>75</v>
      </c>
    </row>
    <row r="443" ht="22.5" customHeight="1">
      <c r="A443" s="35" t="s">
        <v>1132</v>
      </c>
      <c r="B443" s="35" t="s">
        <v>1133</v>
      </c>
      <c r="C443" s="35" t="s">
        <v>61</v>
      </c>
      <c r="D443" s="35" t="s">
        <v>90</v>
      </c>
      <c r="E443" s="35" t="s">
        <v>91</v>
      </c>
      <c r="F443" s="35">
        <v>377.0</v>
      </c>
      <c r="G443" s="35">
        <v>5.48</v>
      </c>
      <c r="H443" s="35">
        <v>68.8</v>
      </c>
      <c r="I443" s="35" t="s">
        <v>75</v>
      </c>
    </row>
    <row r="444" ht="22.5" customHeight="1">
      <c r="A444" s="35" t="s">
        <v>1134</v>
      </c>
      <c r="B444" s="35" t="s">
        <v>1135</v>
      </c>
      <c r="C444" s="35" t="s">
        <v>61</v>
      </c>
      <c r="D444" s="35" t="s">
        <v>182</v>
      </c>
      <c r="E444" s="35" t="s">
        <v>357</v>
      </c>
      <c r="F444" s="35">
        <v>530.0</v>
      </c>
      <c r="G444" s="35">
        <v>15.54</v>
      </c>
      <c r="H444" s="35">
        <v>34.1</v>
      </c>
      <c r="I444" s="35" t="s">
        <v>62</v>
      </c>
    </row>
    <row r="445" ht="22.5" customHeight="1">
      <c r="A445" s="35" t="s">
        <v>1136</v>
      </c>
      <c r="B445" s="35" t="s">
        <v>1137</v>
      </c>
      <c r="C445" s="35" t="s">
        <v>61</v>
      </c>
      <c r="D445" s="35" t="s">
        <v>102</v>
      </c>
      <c r="E445" s="35" t="s">
        <v>103</v>
      </c>
      <c r="F445" s="35">
        <v>125.0</v>
      </c>
      <c r="G445" s="35">
        <v>7.88</v>
      </c>
      <c r="H445" s="35">
        <v>15.9</v>
      </c>
      <c r="I445" s="35" t="s">
        <v>75</v>
      </c>
    </row>
    <row r="446" ht="22.5" customHeight="1">
      <c r="A446" s="35" t="s">
        <v>1138</v>
      </c>
      <c r="B446" s="35" t="s">
        <v>1139</v>
      </c>
      <c r="C446" s="35" t="s">
        <v>61</v>
      </c>
      <c r="D446" s="35" t="s">
        <v>102</v>
      </c>
      <c r="E446" s="35" t="s">
        <v>103</v>
      </c>
      <c r="F446" s="35">
        <v>47.0</v>
      </c>
      <c r="G446" s="35">
        <v>4.61</v>
      </c>
      <c r="H446" s="35">
        <v>10.2</v>
      </c>
      <c r="I446" s="35" t="s">
        <v>75</v>
      </c>
    </row>
    <row r="447" ht="22.5" customHeight="1">
      <c r="A447" s="35" t="s">
        <v>1140</v>
      </c>
      <c r="B447" s="35" t="s">
        <v>1141</v>
      </c>
      <c r="C447" s="35" t="s">
        <v>61</v>
      </c>
      <c r="D447" s="35" t="s">
        <v>73</v>
      </c>
      <c r="E447" s="35" t="s">
        <v>74</v>
      </c>
      <c r="F447" s="35">
        <v>2229.0</v>
      </c>
      <c r="G447" s="35">
        <v>13.8</v>
      </c>
      <c r="H447" s="35">
        <v>161.5</v>
      </c>
      <c r="I447" s="35" t="s">
        <v>142</v>
      </c>
    </row>
    <row r="448" ht="22.5" customHeight="1">
      <c r="A448" s="35" t="s">
        <v>1142</v>
      </c>
      <c r="B448" s="35" t="s">
        <v>1143</v>
      </c>
      <c r="C448" s="35" t="s">
        <v>61</v>
      </c>
      <c r="D448" s="35" t="s">
        <v>82</v>
      </c>
      <c r="E448" s="35" t="s">
        <v>83</v>
      </c>
      <c r="F448" s="35">
        <v>483.0</v>
      </c>
      <c r="G448" s="35">
        <v>13.05</v>
      </c>
      <c r="H448" s="35">
        <v>37.0</v>
      </c>
      <c r="I448" s="35" t="s">
        <v>75</v>
      </c>
    </row>
    <row r="449" ht="22.5" customHeight="1">
      <c r="A449" s="35" t="s">
        <v>1144</v>
      </c>
      <c r="B449" s="35" t="s">
        <v>1145</v>
      </c>
      <c r="C449" s="35" t="s">
        <v>61</v>
      </c>
      <c r="D449" s="35" t="s">
        <v>156</v>
      </c>
      <c r="E449" s="35" t="s">
        <v>157</v>
      </c>
      <c r="F449" s="35">
        <v>410.0</v>
      </c>
      <c r="G449" s="35">
        <v>16.92</v>
      </c>
      <c r="H449" s="35">
        <v>24.2</v>
      </c>
      <c r="I449" s="35" t="s">
        <v>75</v>
      </c>
    </row>
    <row r="450" ht="22.5" customHeight="1">
      <c r="A450" s="35" t="s">
        <v>1146</v>
      </c>
      <c r="B450" s="35" t="s">
        <v>1147</v>
      </c>
      <c r="C450" s="35" t="s">
        <v>61</v>
      </c>
      <c r="D450" s="35" t="s">
        <v>136</v>
      </c>
      <c r="E450" s="35" t="s">
        <v>189</v>
      </c>
      <c r="F450" s="35">
        <v>130.0</v>
      </c>
      <c r="G450" s="35">
        <v>4.45</v>
      </c>
      <c r="H450" s="35">
        <v>29.2</v>
      </c>
      <c r="I450" s="35" t="s">
        <v>75</v>
      </c>
    </row>
    <row r="451" ht="22.5" customHeight="1">
      <c r="A451" s="35" t="s">
        <v>1148</v>
      </c>
      <c r="B451" s="35" t="s">
        <v>1149</v>
      </c>
      <c r="C451" s="35" t="s">
        <v>61</v>
      </c>
      <c r="D451" s="35" t="s">
        <v>78</v>
      </c>
      <c r="E451" s="35" t="s">
        <v>79</v>
      </c>
      <c r="F451" s="35">
        <v>398.0</v>
      </c>
      <c r="G451" s="35">
        <v>10.57</v>
      </c>
      <c r="H451" s="35">
        <v>37.7</v>
      </c>
      <c r="I451" s="35" t="s">
        <v>75</v>
      </c>
    </row>
    <row r="452" ht="22.5" customHeight="1">
      <c r="A452" s="35" t="s">
        <v>1150</v>
      </c>
      <c r="B452" s="35" t="s">
        <v>1151</v>
      </c>
      <c r="C452" s="35" t="s">
        <v>61</v>
      </c>
      <c r="D452" s="35" t="s">
        <v>50</v>
      </c>
      <c r="E452" s="35" t="s">
        <v>49</v>
      </c>
      <c r="F452" s="35">
        <v>207.0</v>
      </c>
      <c r="G452" s="35">
        <v>3.56</v>
      </c>
      <c r="H452" s="35">
        <v>58.1</v>
      </c>
      <c r="I452" s="35" t="s">
        <v>75</v>
      </c>
    </row>
    <row r="453" ht="22.5" customHeight="1">
      <c r="A453" s="35" t="s">
        <v>1152</v>
      </c>
      <c r="B453" s="35" t="s">
        <v>1153</v>
      </c>
      <c r="C453" s="35" t="s">
        <v>61</v>
      </c>
      <c r="D453" s="35" t="s">
        <v>50</v>
      </c>
      <c r="E453" s="35" t="s">
        <v>49</v>
      </c>
      <c r="F453" s="35">
        <v>419.0</v>
      </c>
      <c r="G453" s="35">
        <v>5.22</v>
      </c>
      <c r="H453" s="35">
        <v>80.3</v>
      </c>
      <c r="I453" s="35" t="s">
        <v>75</v>
      </c>
    </row>
    <row r="454" ht="22.5" customHeight="1">
      <c r="A454" s="35" t="s">
        <v>1154</v>
      </c>
      <c r="B454" s="35" t="s">
        <v>1155</v>
      </c>
      <c r="C454" s="35" t="s">
        <v>61</v>
      </c>
      <c r="D454" s="35" t="s">
        <v>82</v>
      </c>
      <c r="E454" s="35" t="s">
        <v>83</v>
      </c>
      <c r="F454" s="35">
        <v>637.0</v>
      </c>
      <c r="G454" s="35">
        <v>11.9</v>
      </c>
      <c r="H454" s="35">
        <v>53.5</v>
      </c>
      <c r="I454" s="35" t="s">
        <v>62</v>
      </c>
    </row>
    <row r="455" ht="22.5" customHeight="1">
      <c r="A455" s="35" t="s">
        <v>1156</v>
      </c>
      <c r="B455" s="35" t="s">
        <v>1157</v>
      </c>
      <c r="C455" s="35" t="s">
        <v>61</v>
      </c>
      <c r="D455" s="35" t="s">
        <v>67</v>
      </c>
      <c r="E455" s="35" t="s">
        <v>68</v>
      </c>
      <c r="F455" s="35">
        <v>935.0</v>
      </c>
      <c r="G455" s="35">
        <v>7.82</v>
      </c>
      <c r="H455" s="35">
        <v>119.6</v>
      </c>
      <c r="I455" s="35" t="s">
        <v>62</v>
      </c>
    </row>
    <row r="456" ht="22.5" customHeight="1">
      <c r="A456" s="35" t="s">
        <v>1158</v>
      </c>
      <c r="B456" s="35" t="s">
        <v>1159</v>
      </c>
      <c r="C456" s="35" t="s">
        <v>61</v>
      </c>
      <c r="D456" s="35" t="s">
        <v>137</v>
      </c>
      <c r="E456" s="35" t="s">
        <v>138</v>
      </c>
      <c r="F456" s="35">
        <v>253.0</v>
      </c>
      <c r="G456" s="35">
        <v>5.84</v>
      </c>
      <c r="H456" s="35">
        <v>43.3</v>
      </c>
      <c r="I456" s="35" t="s">
        <v>75</v>
      </c>
    </row>
    <row r="457" ht="22.5" customHeight="1">
      <c r="A457" s="35" t="s">
        <v>1160</v>
      </c>
      <c r="B457" s="35" t="s">
        <v>1161</v>
      </c>
      <c r="C457" s="35" t="s">
        <v>61</v>
      </c>
      <c r="D457" s="35" t="s">
        <v>73</v>
      </c>
      <c r="E457" s="35" t="s">
        <v>74</v>
      </c>
      <c r="F457" s="35">
        <v>320.0</v>
      </c>
      <c r="G457" s="35">
        <v>9.02</v>
      </c>
      <c r="H457" s="35">
        <v>35.5</v>
      </c>
      <c r="I457" s="35" t="s">
        <v>75</v>
      </c>
    </row>
    <row r="458" ht="22.5" customHeight="1">
      <c r="A458" s="35" t="s">
        <v>1162</v>
      </c>
      <c r="B458" s="35" t="s">
        <v>1163</v>
      </c>
      <c r="C458" s="35" t="s">
        <v>61</v>
      </c>
      <c r="D458" s="35" t="s">
        <v>140</v>
      </c>
      <c r="E458" s="35" t="s">
        <v>147</v>
      </c>
      <c r="F458" s="35">
        <v>435.0</v>
      </c>
      <c r="G458" s="35">
        <v>5.5</v>
      </c>
      <c r="H458" s="35">
        <v>79.1</v>
      </c>
      <c r="I458" s="35" t="s">
        <v>75</v>
      </c>
    </row>
    <row r="459" ht="22.5" customHeight="1">
      <c r="A459" s="35" t="s">
        <v>1164</v>
      </c>
      <c r="B459" s="35" t="s">
        <v>1165</v>
      </c>
      <c r="C459" s="35" t="s">
        <v>61</v>
      </c>
      <c r="D459" s="35" t="s">
        <v>78</v>
      </c>
      <c r="E459" s="35" t="s">
        <v>79</v>
      </c>
      <c r="F459" s="35">
        <v>56.0</v>
      </c>
      <c r="G459" s="35">
        <v>2.94</v>
      </c>
      <c r="H459" s="35">
        <v>19.0</v>
      </c>
      <c r="I459" s="35" t="s">
        <v>75</v>
      </c>
    </row>
    <row r="460" ht="22.5" customHeight="1">
      <c r="A460" s="35" t="s">
        <v>1166</v>
      </c>
      <c r="B460" s="35" t="s">
        <v>1167</v>
      </c>
      <c r="C460" s="35" t="s">
        <v>61</v>
      </c>
      <c r="D460" s="35" t="s">
        <v>94</v>
      </c>
      <c r="E460" s="35" t="s">
        <v>95</v>
      </c>
      <c r="F460" s="35">
        <v>507.0</v>
      </c>
      <c r="G460" s="35">
        <v>9.65</v>
      </c>
      <c r="H460" s="35">
        <v>52.5</v>
      </c>
      <c r="I460" s="35" t="s">
        <v>62</v>
      </c>
    </row>
    <row r="461" ht="22.5" customHeight="1">
      <c r="A461" s="35" t="s">
        <v>1168</v>
      </c>
      <c r="B461" s="35" t="s">
        <v>1169</v>
      </c>
      <c r="C461" s="35" t="s">
        <v>61</v>
      </c>
      <c r="D461" s="35" t="s">
        <v>123</v>
      </c>
      <c r="E461" s="35" t="s">
        <v>181</v>
      </c>
      <c r="F461" s="35">
        <v>558.0</v>
      </c>
      <c r="G461" s="35">
        <v>4.53</v>
      </c>
      <c r="H461" s="35">
        <v>123.2</v>
      </c>
      <c r="I461" s="35" t="s">
        <v>62</v>
      </c>
    </row>
    <row r="462" ht="22.5" customHeight="1">
      <c r="A462" s="35" t="s">
        <v>1170</v>
      </c>
      <c r="B462" s="35" t="s">
        <v>1171</v>
      </c>
      <c r="C462" s="35" t="s">
        <v>61</v>
      </c>
      <c r="D462" s="35" t="s">
        <v>67</v>
      </c>
      <c r="E462" s="35" t="s">
        <v>68</v>
      </c>
      <c r="F462" s="35">
        <v>100.0</v>
      </c>
      <c r="G462" s="35">
        <v>3.05</v>
      </c>
      <c r="H462" s="35">
        <v>32.8</v>
      </c>
      <c r="I462" s="35" t="s">
        <v>75</v>
      </c>
    </row>
    <row r="463" ht="22.5" customHeight="1">
      <c r="A463" s="35" t="s">
        <v>1172</v>
      </c>
      <c r="B463" s="35" t="s">
        <v>1173</v>
      </c>
      <c r="C463" s="35" t="s">
        <v>61</v>
      </c>
      <c r="D463" s="35" t="s">
        <v>78</v>
      </c>
      <c r="E463" s="35" t="s">
        <v>79</v>
      </c>
      <c r="F463" s="35">
        <v>107.0</v>
      </c>
      <c r="G463" s="35">
        <v>6.73</v>
      </c>
      <c r="H463" s="35">
        <v>15.9</v>
      </c>
      <c r="I463" s="35" t="s">
        <v>75</v>
      </c>
    </row>
    <row r="464" ht="22.5" customHeight="1">
      <c r="A464" s="35" t="s">
        <v>1174</v>
      </c>
      <c r="B464" s="35" t="s">
        <v>1175</v>
      </c>
      <c r="C464" s="35" t="s">
        <v>61</v>
      </c>
      <c r="D464" s="35" t="s">
        <v>90</v>
      </c>
      <c r="E464" s="35" t="s">
        <v>91</v>
      </c>
      <c r="F464" s="35">
        <v>625.0</v>
      </c>
      <c r="G464" s="35">
        <v>3.31</v>
      </c>
      <c r="H464" s="35">
        <v>188.8</v>
      </c>
      <c r="I464" s="35" t="s">
        <v>62</v>
      </c>
    </row>
    <row r="465" ht="22.5" customHeight="1">
      <c r="A465" s="35" t="s">
        <v>1176</v>
      </c>
      <c r="B465" s="35" t="s">
        <v>1177</v>
      </c>
      <c r="C465" s="35" t="s">
        <v>61</v>
      </c>
      <c r="D465" s="35" t="s">
        <v>82</v>
      </c>
      <c r="E465" s="35" t="s">
        <v>83</v>
      </c>
      <c r="F465" s="35">
        <v>161.0</v>
      </c>
      <c r="G465" s="35">
        <v>1.81</v>
      </c>
      <c r="H465" s="35">
        <v>89.0</v>
      </c>
      <c r="I465" s="35" t="s">
        <v>75</v>
      </c>
    </row>
    <row r="466" ht="22.5" customHeight="1">
      <c r="A466" s="35" t="s">
        <v>1178</v>
      </c>
      <c r="B466" s="35" t="s">
        <v>1179</v>
      </c>
      <c r="C466" s="35" t="s">
        <v>61</v>
      </c>
      <c r="D466" s="35" t="s">
        <v>136</v>
      </c>
      <c r="E466" s="35" t="s">
        <v>189</v>
      </c>
      <c r="F466" s="35">
        <v>359.0</v>
      </c>
      <c r="G466" s="35">
        <v>4.45</v>
      </c>
      <c r="H466" s="35">
        <v>80.7</v>
      </c>
      <c r="I466" s="35" t="s">
        <v>75</v>
      </c>
    </row>
    <row r="467" ht="22.5" customHeight="1">
      <c r="A467" s="35" t="s">
        <v>1180</v>
      </c>
      <c r="B467" s="35" t="s">
        <v>1181</v>
      </c>
      <c r="C467" s="35" t="s">
        <v>61</v>
      </c>
      <c r="D467" s="35" t="s">
        <v>90</v>
      </c>
      <c r="E467" s="35" t="s">
        <v>91</v>
      </c>
      <c r="F467" s="35">
        <v>122.0</v>
      </c>
      <c r="G467" s="35">
        <v>6.08</v>
      </c>
      <c r="H467" s="35">
        <v>20.1</v>
      </c>
      <c r="I467" s="35" t="s">
        <v>75</v>
      </c>
    </row>
    <row r="468" ht="22.5" customHeight="1">
      <c r="A468" s="35" t="s">
        <v>1182</v>
      </c>
      <c r="B468" s="35" t="s">
        <v>1183</v>
      </c>
      <c r="C468" s="35" t="s">
        <v>61</v>
      </c>
      <c r="D468" s="35" t="s">
        <v>165</v>
      </c>
      <c r="E468" s="35" t="s">
        <v>254</v>
      </c>
      <c r="F468" s="35">
        <v>320.0</v>
      </c>
      <c r="G468" s="35">
        <v>19.86</v>
      </c>
      <c r="H468" s="35">
        <v>16.1</v>
      </c>
      <c r="I468" s="35" t="s">
        <v>75</v>
      </c>
    </row>
    <row r="469" ht="22.5" customHeight="1">
      <c r="A469" s="35" t="s">
        <v>1184</v>
      </c>
      <c r="B469" s="35" t="s">
        <v>1185</v>
      </c>
      <c r="C469" s="35" t="s">
        <v>61</v>
      </c>
      <c r="D469" s="35" t="s">
        <v>50</v>
      </c>
      <c r="E469" s="35" t="s">
        <v>49</v>
      </c>
      <c r="F469" s="35">
        <v>426.0</v>
      </c>
      <c r="G469" s="35">
        <v>13.39</v>
      </c>
      <c r="H469" s="35">
        <v>31.8</v>
      </c>
      <c r="I469" s="35" t="s">
        <v>75</v>
      </c>
    </row>
    <row r="470" ht="22.5" customHeight="1">
      <c r="A470" s="35" t="s">
        <v>1186</v>
      </c>
      <c r="B470" s="35" t="s">
        <v>1187</v>
      </c>
      <c r="C470" s="35" t="s">
        <v>61</v>
      </c>
      <c r="D470" s="35" t="s">
        <v>73</v>
      </c>
      <c r="E470" s="35" t="s">
        <v>74</v>
      </c>
      <c r="F470" s="35">
        <v>211.0</v>
      </c>
      <c r="G470" s="35">
        <v>5.36</v>
      </c>
      <c r="H470" s="35">
        <v>39.4</v>
      </c>
      <c r="I470" s="35" t="s">
        <v>75</v>
      </c>
    </row>
    <row r="471" ht="22.5" customHeight="1">
      <c r="A471" s="35" t="s">
        <v>1188</v>
      </c>
      <c r="B471" s="35" t="s">
        <v>1189</v>
      </c>
      <c r="C471" s="35" t="s">
        <v>61</v>
      </c>
      <c r="D471" s="35" t="s">
        <v>82</v>
      </c>
      <c r="E471" s="35" t="s">
        <v>83</v>
      </c>
      <c r="F471" s="35">
        <v>132.0</v>
      </c>
      <c r="G471" s="35">
        <v>5.92</v>
      </c>
      <c r="H471" s="35">
        <v>22.3</v>
      </c>
      <c r="I471" s="35" t="s">
        <v>75</v>
      </c>
    </row>
    <row r="472" ht="22.5" customHeight="1">
      <c r="A472" s="35" t="s">
        <v>1190</v>
      </c>
      <c r="B472" s="35" t="s">
        <v>1191</v>
      </c>
      <c r="C472" s="35" t="s">
        <v>61</v>
      </c>
      <c r="D472" s="35" t="s">
        <v>156</v>
      </c>
      <c r="E472" s="35" t="s">
        <v>157</v>
      </c>
      <c r="F472" s="35">
        <v>1028.0</v>
      </c>
      <c r="G472" s="35">
        <v>20.3</v>
      </c>
      <c r="H472" s="35">
        <v>50.6</v>
      </c>
      <c r="I472" s="35" t="s">
        <v>62</v>
      </c>
    </row>
    <row r="473" ht="22.5" customHeight="1">
      <c r="A473" s="35" t="s">
        <v>1192</v>
      </c>
      <c r="B473" s="35" t="s">
        <v>1193</v>
      </c>
      <c r="C473" s="35" t="s">
        <v>61</v>
      </c>
      <c r="D473" s="35" t="s">
        <v>102</v>
      </c>
      <c r="E473" s="35" t="s">
        <v>103</v>
      </c>
      <c r="F473" s="35">
        <v>90.0</v>
      </c>
      <c r="G473" s="35">
        <v>4.83</v>
      </c>
      <c r="H473" s="35">
        <v>18.6</v>
      </c>
      <c r="I473" s="35" t="s">
        <v>75</v>
      </c>
    </row>
    <row r="474" ht="22.5" customHeight="1">
      <c r="A474" s="35" t="s">
        <v>1194</v>
      </c>
      <c r="B474" s="35" t="s">
        <v>1195</v>
      </c>
      <c r="C474" s="35" t="s">
        <v>61</v>
      </c>
      <c r="D474" s="35" t="s">
        <v>136</v>
      </c>
      <c r="E474" s="35" t="s">
        <v>189</v>
      </c>
      <c r="F474" s="35">
        <v>1146.0</v>
      </c>
      <c r="G474" s="35">
        <v>4.2</v>
      </c>
      <c r="H474" s="35">
        <v>272.9</v>
      </c>
      <c r="I474" s="35" t="s">
        <v>62</v>
      </c>
    </row>
    <row r="475" ht="22.5" customHeight="1">
      <c r="A475" s="35" t="s">
        <v>1196</v>
      </c>
      <c r="B475" s="35" t="s">
        <v>1197</v>
      </c>
      <c r="C475" s="35" t="s">
        <v>61</v>
      </c>
      <c r="D475" s="35" t="s">
        <v>78</v>
      </c>
      <c r="E475" s="35" t="s">
        <v>79</v>
      </c>
      <c r="F475" s="35">
        <v>766.0</v>
      </c>
      <c r="G475" s="35">
        <v>23.64</v>
      </c>
      <c r="H475" s="35">
        <v>32.4</v>
      </c>
      <c r="I475" s="35" t="s">
        <v>62</v>
      </c>
    </row>
    <row r="476" ht="22.5" customHeight="1">
      <c r="A476" s="35" t="s">
        <v>1198</v>
      </c>
      <c r="B476" s="35" t="s">
        <v>1199</v>
      </c>
      <c r="C476" s="35" t="s">
        <v>61</v>
      </c>
      <c r="D476" s="35" t="s">
        <v>137</v>
      </c>
      <c r="E476" s="35" t="s">
        <v>138</v>
      </c>
      <c r="F476" s="35">
        <v>39.0</v>
      </c>
      <c r="G476" s="35">
        <v>5.48</v>
      </c>
      <c r="H476" s="35">
        <v>7.1</v>
      </c>
      <c r="I476" s="35" t="s">
        <v>75</v>
      </c>
    </row>
    <row r="477" ht="22.5" customHeight="1">
      <c r="A477" s="35" t="s">
        <v>1200</v>
      </c>
      <c r="B477" s="35" t="s">
        <v>1201</v>
      </c>
      <c r="C477" s="35" t="s">
        <v>61</v>
      </c>
      <c r="D477" s="35" t="s">
        <v>198</v>
      </c>
      <c r="E477" s="35" t="s">
        <v>217</v>
      </c>
      <c r="F477" s="35">
        <v>816.0</v>
      </c>
      <c r="G477" s="35">
        <v>9.92</v>
      </c>
      <c r="H477" s="35">
        <v>82.3</v>
      </c>
      <c r="I477" s="35" t="s">
        <v>62</v>
      </c>
    </row>
    <row r="478" ht="22.5" customHeight="1">
      <c r="A478" s="35" t="s">
        <v>1202</v>
      </c>
      <c r="B478" s="35" t="s">
        <v>1203</v>
      </c>
      <c r="C478" s="35" t="s">
        <v>61</v>
      </c>
      <c r="D478" s="35" t="s">
        <v>136</v>
      </c>
      <c r="E478" s="35" t="s">
        <v>189</v>
      </c>
      <c r="F478" s="35">
        <v>63.0</v>
      </c>
      <c r="G478" s="35">
        <v>6.74</v>
      </c>
      <c r="H478" s="35">
        <v>9.3</v>
      </c>
      <c r="I478" s="35" t="s">
        <v>75</v>
      </c>
    </row>
    <row r="479" ht="22.5" customHeight="1">
      <c r="A479" s="35" t="s">
        <v>1204</v>
      </c>
      <c r="B479" s="35" t="s">
        <v>1205</v>
      </c>
      <c r="C479" s="35" t="s">
        <v>61</v>
      </c>
      <c r="D479" s="35" t="s">
        <v>166</v>
      </c>
      <c r="E479" s="35" t="s">
        <v>168</v>
      </c>
      <c r="F479" s="35">
        <v>1207.0</v>
      </c>
      <c r="G479" s="35">
        <v>5.8</v>
      </c>
      <c r="H479" s="35">
        <v>208.1</v>
      </c>
      <c r="I479" s="35" t="s">
        <v>62</v>
      </c>
    </row>
    <row r="480" ht="22.5" customHeight="1">
      <c r="A480" s="35" t="s">
        <v>1206</v>
      </c>
      <c r="B480" s="35" t="s">
        <v>1207</v>
      </c>
      <c r="C480" s="35" t="s">
        <v>61</v>
      </c>
      <c r="D480" s="35" t="s">
        <v>94</v>
      </c>
      <c r="E480" s="35" t="s">
        <v>95</v>
      </c>
      <c r="F480" s="35">
        <v>839.0</v>
      </c>
      <c r="G480" s="35">
        <v>13.47</v>
      </c>
      <c r="H480" s="35">
        <v>62.3</v>
      </c>
      <c r="I480" s="35" t="s">
        <v>62</v>
      </c>
    </row>
    <row r="481" ht="22.5" customHeight="1">
      <c r="A481" s="35" t="s">
        <v>1208</v>
      </c>
      <c r="B481" s="35" t="s">
        <v>1209</v>
      </c>
      <c r="C481" s="35" t="s">
        <v>61</v>
      </c>
      <c r="D481" s="35" t="s">
        <v>140</v>
      </c>
      <c r="E481" s="35" t="s">
        <v>147</v>
      </c>
      <c r="F481" s="35">
        <v>1606.0</v>
      </c>
      <c r="G481" s="35">
        <v>6.26</v>
      </c>
      <c r="H481" s="35">
        <v>256.5</v>
      </c>
      <c r="I481" s="35" t="s">
        <v>62</v>
      </c>
    </row>
    <row r="482" ht="22.5" customHeight="1">
      <c r="A482" s="35" t="s">
        <v>1210</v>
      </c>
      <c r="B482" s="35" t="s">
        <v>1211</v>
      </c>
      <c r="C482" s="35" t="s">
        <v>61</v>
      </c>
      <c r="D482" s="35" t="s">
        <v>182</v>
      </c>
      <c r="E482" s="35" t="s">
        <v>357</v>
      </c>
      <c r="F482" s="35">
        <v>209.0</v>
      </c>
      <c r="G482" s="35">
        <v>15.37</v>
      </c>
      <c r="H482" s="35">
        <v>13.6</v>
      </c>
      <c r="I482" s="35" t="s">
        <v>75</v>
      </c>
    </row>
    <row r="483" ht="22.5" customHeight="1">
      <c r="A483" s="35" t="s">
        <v>1212</v>
      </c>
      <c r="B483" s="35" t="s">
        <v>1213</v>
      </c>
      <c r="C483" s="35" t="s">
        <v>61</v>
      </c>
      <c r="D483" s="35" t="s">
        <v>102</v>
      </c>
      <c r="E483" s="35" t="s">
        <v>103</v>
      </c>
      <c r="F483" s="35">
        <v>200.0</v>
      </c>
      <c r="G483" s="35">
        <v>11.15</v>
      </c>
      <c r="H483" s="35">
        <v>17.9</v>
      </c>
      <c r="I483" s="35" t="s">
        <v>75</v>
      </c>
    </row>
    <row r="484" ht="22.5" customHeight="1">
      <c r="A484" s="35" t="s">
        <v>1214</v>
      </c>
      <c r="B484" s="35" t="s">
        <v>1215</v>
      </c>
      <c r="C484" s="35" t="s">
        <v>61</v>
      </c>
      <c r="D484" s="35" t="s">
        <v>106</v>
      </c>
      <c r="E484" s="35" t="s">
        <v>107</v>
      </c>
      <c r="F484" s="35">
        <v>30.0</v>
      </c>
      <c r="G484" s="35">
        <v>3.27</v>
      </c>
      <c r="H484" s="35">
        <v>9.2</v>
      </c>
      <c r="I484" s="35" t="s">
        <v>75</v>
      </c>
    </row>
    <row r="485" ht="22.5" customHeight="1">
      <c r="A485" s="35" t="s">
        <v>1216</v>
      </c>
      <c r="B485" s="35" t="s">
        <v>1217</v>
      </c>
      <c r="C485" s="35" t="s">
        <v>61</v>
      </c>
      <c r="D485" s="35" t="s">
        <v>136</v>
      </c>
      <c r="E485" s="35" t="s">
        <v>189</v>
      </c>
      <c r="F485" s="35">
        <v>140.0</v>
      </c>
      <c r="G485" s="35">
        <v>2.95</v>
      </c>
      <c r="H485" s="35">
        <v>47.5</v>
      </c>
      <c r="I485" s="35" t="s">
        <v>75</v>
      </c>
    </row>
    <row r="486" ht="22.5" customHeight="1">
      <c r="A486" s="35" t="s">
        <v>1218</v>
      </c>
      <c r="B486" s="35" t="s">
        <v>1219</v>
      </c>
      <c r="C486" s="35" t="s">
        <v>61</v>
      </c>
      <c r="D486" s="35" t="s">
        <v>123</v>
      </c>
      <c r="E486" s="35" t="s">
        <v>181</v>
      </c>
      <c r="F486" s="35">
        <v>157.0</v>
      </c>
      <c r="G486" s="35">
        <v>7.53</v>
      </c>
      <c r="H486" s="35">
        <v>20.8</v>
      </c>
      <c r="I486" s="35" t="s">
        <v>75</v>
      </c>
    </row>
    <row r="487" ht="22.5" customHeight="1">
      <c r="A487" s="35" t="s">
        <v>1220</v>
      </c>
      <c r="B487" s="35" t="s">
        <v>1221</v>
      </c>
      <c r="C487" s="35" t="s">
        <v>61</v>
      </c>
      <c r="D487" s="35" t="s">
        <v>123</v>
      </c>
      <c r="E487" s="35" t="s">
        <v>181</v>
      </c>
      <c r="F487" s="35">
        <v>135.0</v>
      </c>
      <c r="G487" s="35">
        <v>4.01</v>
      </c>
      <c r="H487" s="35">
        <v>33.7</v>
      </c>
      <c r="I487" s="35" t="s">
        <v>75</v>
      </c>
    </row>
    <row r="488" ht="22.5" customHeight="1">
      <c r="A488" s="35" t="s">
        <v>1222</v>
      </c>
      <c r="B488" s="35" t="s">
        <v>1223</v>
      </c>
      <c r="C488" s="35" t="s">
        <v>61</v>
      </c>
      <c r="D488" s="35" t="s">
        <v>198</v>
      </c>
      <c r="E488" s="35" t="s">
        <v>217</v>
      </c>
      <c r="F488" s="35">
        <v>317.0</v>
      </c>
      <c r="G488" s="35">
        <v>9.85</v>
      </c>
      <c r="H488" s="35">
        <v>32.2</v>
      </c>
      <c r="I488" s="35" t="s">
        <v>75</v>
      </c>
    </row>
    <row r="489" ht="22.5" customHeight="1">
      <c r="A489" s="35" t="s">
        <v>1224</v>
      </c>
      <c r="B489" s="35" t="s">
        <v>1225</v>
      </c>
      <c r="C489" s="35" t="s">
        <v>61</v>
      </c>
      <c r="D489" s="35" t="s">
        <v>123</v>
      </c>
      <c r="E489" s="35" t="s">
        <v>181</v>
      </c>
      <c r="F489" s="35">
        <v>273.0</v>
      </c>
      <c r="G489" s="35">
        <v>10.34</v>
      </c>
      <c r="H489" s="35">
        <v>26.4</v>
      </c>
      <c r="I489" s="35" t="s">
        <v>75</v>
      </c>
    </row>
    <row r="490" ht="22.5" customHeight="1">
      <c r="A490" s="35" t="s">
        <v>1226</v>
      </c>
      <c r="B490" s="35" t="s">
        <v>1227</v>
      </c>
      <c r="C490" s="35" t="s">
        <v>61</v>
      </c>
      <c r="D490" s="35" t="s">
        <v>73</v>
      </c>
      <c r="E490" s="35" t="s">
        <v>74</v>
      </c>
      <c r="F490" s="35">
        <v>141.0</v>
      </c>
      <c r="G490" s="35">
        <v>9.84</v>
      </c>
      <c r="H490" s="35">
        <v>14.3</v>
      </c>
      <c r="I490" s="35" t="s">
        <v>75</v>
      </c>
    </row>
    <row r="491" ht="22.5" customHeight="1">
      <c r="A491" s="35" t="s">
        <v>1228</v>
      </c>
      <c r="B491" s="35" t="s">
        <v>1229</v>
      </c>
      <c r="C491" s="35" t="s">
        <v>61</v>
      </c>
      <c r="D491" s="35" t="s">
        <v>102</v>
      </c>
      <c r="E491" s="35" t="s">
        <v>103</v>
      </c>
      <c r="F491" s="35">
        <v>674.0</v>
      </c>
      <c r="G491" s="35">
        <v>11.47</v>
      </c>
      <c r="H491" s="35">
        <v>58.8</v>
      </c>
      <c r="I491" s="35" t="s">
        <v>62</v>
      </c>
    </row>
    <row r="492" ht="22.5" customHeight="1">
      <c r="A492" s="35" t="s">
        <v>1230</v>
      </c>
      <c r="B492" s="35" t="s">
        <v>1231</v>
      </c>
      <c r="C492" s="35" t="s">
        <v>61</v>
      </c>
      <c r="D492" s="35" t="s">
        <v>123</v>
      </c>
      <c r="E492" s="35" t="s">
        <v>181</v>
      </c>
      <c r="F492" s="35">
        <v>51.0</v>
      </c>
      <c r="G492" s="35">
        <v>4.82</v>
      </c>
      <c r="H492" s="35">
        <v>10.6</v>
      </c>
      <c r="I492" s="35" t="s">
        <v>75</v>
      </c>
    </row>
    <row r="493" ht="22.5" customHeight="1">
      <c r="A493" s="35" t="s">
        <v>1232</v>
      </c>
      <c r="B493" s="35" t="s">
        <v>1233</v>
      </c>
      <c r="C493" s="35" t="s">
        <v>61</v>
      </c>
      <c r="D493" s="35" t="s">
        <v>73</v>
      </c>
      <c r="E493" s="35" t="s">
        <v>74</v>
      </c>
      <c r="F493" s="35">
        <v>71.0</v>
      </c>
      <c r="G493" s="35">
        <v>7.37</v>
      </c>
      <c r="H493" s="35">
        <v>9.6</v>
      </c>
      <c r="I493" s="35" t="s">
        <v>75</v>
      </c>
    </row>
    <row r="494" ht="22.5" customHeight="1">
      <c r="A494" s="35" t="s">
        <v>1234</v>
      </c>
      <c r="B494" s="35" t="s">
        <v>1235</v>
      </c>
      <c r="C494" s="35" t="s">
        <v>61</v>
      </c>
      <c r="D494" s="35" t="s">
        <v>73</v>
      </c>
      <c r="E494" s="35" t="s">
        <v>74</v>
      </c>
      <c r="F494" s="35">
        <v>306.0</v>
      </c>
      <c r="G494" s="35">
        <v>8.49</v>
      </c>
      <c r="H494" s="35">
        <v>36.0</v>
      </c>
      <c r="I494" s="35" t="s">
        <v>75</v>
      </c>
    </row>
    <row r="495" ht="22.5" customHeight="1">
      <c r="A495" s="35" t="s">
        <v>1236</v>
      </c>
      <c r="B495" s="35" t="s">
        <v>1237</v>
      </c>
      <c r="C495" s="35" t="s">
        <v>61</v>
      </c>
      <c r="D495" s="35" t="s">
        <v>123</v>
      </c>
      <c r="E495" s="35" t="s">
        <v>181</v>
      </c>
      <c r="F495" s="35">
        <v>279.0</v>
      </c>
      <c r="G495" s="35">
        <v>22.77</v>
      </c>
      <c r="H495" s="35">
        <v>12.3</v>
      </c>
      <c r="I495" s="35" t="s">
        <v>75</v>
      </c>
    </row>
    <row r="496" ht="22.5" customHeight="1">
      <c r="A496" s="35" t="s">
        <v>1238</v>
      </c>
      <c r="B496" s="35" t="s">
        <v>1239</v>
      </c>
      <c r="C496" s="35" t="s">
        <v>61</v>
      </c>
      <c r="D496" s="35" t="s">
        <v>166</v>
      </c>
      <c r="E496" s="35" t="s">
        <v>168</v>
      </c>
      <c r="F496" s="35">
        <v>193.0</v>
      </c>
      <c r="G496" s="35">
        <v>15.63</v>
      </c>
      <c r="H496" s="35">
        <v>12.3</v>
      </c>
      <c r="I496" s="35" t="s">
        <v>75</v>
      </c>
    </row>
    <row r="497" ht="22.5" customHeight="1">
      <c r="A497" s="35" t="s">
        <v>1240</v>
      </c>
      <c r="B497" s="35" t="s">
        <v>1241</v>
      </c>
      <c r="C497" s="35" t="s">
        <v>61</v>
      </c>
      <c r="D497" s="35" t="s">
        <v>90</v>
      </c>
      <c r="E497" s="35" t="s">
        <v>91</v>
      </c>
      <c r="F497" s="35">
        <v>751.0</v>
      </c>
      <c r="G497" s="35">
        <v>9.96</v>
      </c>
      <c r="H497" s="35">
        <v>75.4</v>
      </c>
      <c r="I497" s="35" t="s">
        <v>62</v>
      </c>
    </row>
    <row r="498" ht="22.5" customHeight="1">
      <c r="A498" s="35" t="s">
        <v>1242</v>
      </c>
      <c r="B498" s="35" t="s">
        <v>1243</v>
      </c>
      <c r="C498" s="35" t="s">
        <v>61</v>
      </c>
      <c r="D498" s="35" t="s">
        <v>182</v>
      </c>
      <c r="E498" s="35" t="s">
        <v>357</v>
      </c>
      <c r="F498" s="35">
        <v>1305.0</v>
      </c>
      <c r="G498" s="35">
        <v>13.01</v>
      </c>
      <c r="H498" s="35">
        <v>100.3</v>
      </c>
      <c r="I498" s="35" t="s">
        <v>62</v>
      </c>
    </row>
    <row r="499" ht="22.5" customHeight="1">
      <c r="A499" s="35" t="s">
        <v>1244</v>
      </c>
      <c r="B499" s="35" t="s">
        <v>1245</v>
      </c>
      <c r="C499" s="35" t="s">
        <v>61</v>
      </c>
      <c r="D499" s="35" t="s">
        <v>156</v>
      </c>
      <c r="E499" s="35" t="s">
        <v>157</v>
      </c>
      <c r="F499" s="35">
        <v>79.0</v>
      </c>
      <c r="G499" s="35">
        <v>4.0</v>
      </c>
      <c r="H499" s="35">
        <v>19.8</v>
      </c>
      <c r="I499" s="35" t="s">
        <v>75</v>
      </c>
    </row>
    <row r="500" ht="22.5" customHeight="1">
      <c r="A500" s="35" t="s">
        <v>1246</v>
      </c>
      <c r="B500" s="35" t="s">
        <v>1247</v>
      </c>
      <c r="C500" s="35" t="s">
        <v>61</v>
      </c>
      <c r="D500" s="35" t="s">
        <v>90</v>
      </c>
      <c r="E500" s="35" t="s">
        <v>91</v>
      </c>
      <c r="F500" s="35">
        <v>70.0</v>
      </c>
      <c r="G500" s="35">
        <v>5.67</v>
      </c>
      <c r="H500" s="35">
        <v>12.3</v>
      </c>
      <c r="I500" s="35" t="s">
        <v>75</v>
      </c>
    </row>
    <row r="501" ht="22.5" customHeight="1">
      <c r="A501" s="35" t="s">
        <v>1248</v>
      </c>
      <c r="B501" s="35" t="s">
        <v>1249</v>
      </c>
      <c r="C501" s="35" t="s">
        <v>61</v>
      </c>
      <c r="D501" s="35" t="s">
        <v>123</v>
      </c>
      <c r="E501" s="35" t="s">
        <v>181</v>
      </c>
      <c r="F501" s="35">
        <v>684.0</v>
      </c>
      <c r="G501" s="35">
        <v>10.52</v>
      </c>
      <c r="H501" s="35">
        <v>65.0</v>
      </c>
      <c r="I501" s="35" t="s">
        <v>62</v>
      </c>
    </row>
    <row r="502" ht="22.5" customHeight="1">
      <c r="A502" s="35" t="s">
        <v>1250</v>
      </c>
      <c r="B502" s="35" t="s">
        <v>1251</v>
      </c>
      <c r="C502" s="35" t="s">
        <v>61</v>
      </c>
      <c r="D502" s="35" t="s">
        <v>140</v>
      </c>
      <c r="E502" s="35" t="s">
        <v>147</v>
      </c>
      <c r="F502" s="35">
        <v>544.0</v>
      </c>
      <c r="G502" s="35">
        <v>6.01</v>
      </c>
      <c r="H502" s="35">
        <v>90.5</v>
      </c>
      <c r="I502" s="35" t="s">
        <v>62</v>
      </c>
    </row>
    <row r="503" ht="22.5" customHeight="1">
      <c r="A503" s="35" t="s">
        <v>1252</v>
      </c>
      <c r="B503" s="35" t="s">
        <v>1253</v>
      </c>
      <c r="C503" s="35" t="s">
        <v>61</v>
      </c>
      <c r="D503" s="35" t="s">
        <v>166</v>
      </c>
      <c r="E503" s="35" t="s">
        <v>168</v>
      </c>
      <c r="F503" s="35">
        <v>98.0</v>
      </c>
      <c r="G503" s="35">
        <v>7.03</v>
      </c>
      <c r="H503" s="35">
        <v>13.9</v>
      </c>
      <c r="I503" s="35" t="s">
        <v>75</v>
      </c>
    </row>
    <row r="504" ht="22.5" customHeight="1">
      <c r="A504" s="35" t="s">
        <v>1254</v>
      </c>
      <c r="B504" s="35" t="s">
        <v>1255</v>
      </c>
      <c r="C504" s="35" t="s">
        <v>61</v>
      </c>
      <c r="D504" s="35" t="s">
        <v>102</v>
      </c>
      <c r="E504" s="35" t="s">
        <v>103</v>
      </c>
      <c r="F504" s="35">
        <v>469.0</v>
      </c>
      <c r="G504" s="35">
        <v>14.37</v>
      </c>
      <c r="H504" s="35">
        <v>32.6</v>
      </c>
      <c r="I504" s="35" t="s">
        <v>75</v>
      </c>
    </row>
    <row r="505" ht="22.5" customHeight="1">
      <c r="A505" s="35" t="s">
        <v>1256</v>
      </c>
      <c r="B505" s="35" t="s">
        <v>1257</v>
      </c>
      <c r="C505" s="35" t="s">
        <v>61</v>
      </c>
      <c r="D505" s="35" t="s">
        <v>102</v>
      </c>
      <c r="E505" s="35" t="s">
        <v>103</v>
      </c>
      <c r="F505" s="35">
        <v>208.0</v>
      </c>
      <c r="G505" s="35">
        <v>11.86</v>
      </c>
      <c r="H505" s="35">
        <v>17.5</v>
      </c>
      <c r="I505" s="35" t="s">
        <v>75</v>
      </c>
    </row>
    <row r="506" ht="22.5" customHeight="1">
      <c r="A506" s="35" t="s">
        <v>1258</v>
      </c>
      <c r="B506" s="35" t="s">
        <v>1259</v>
      </c>
      <c r="C506" s="35" t="s">
        <v>61</v>
      </c>
      <c r="D506" s="35" t="s">
        <v>73</v>
      </c>
      <c r="E506" s="35" t="s">
        <v>74</v>
      </c>
      <c r="F506" s="35">
        <v>185.0</v>
      </c>
      <c r="G506" s="35">
        <v>6.47</v>
      </c>
      <c r="H506" s="35">
        <v>28.6</v>
      </c>
      <c r="I506" s="35" t="s">
        <v>75</v>
      </c>
    </row>
    <row r="507" ht="22.5" customHeight="1">
      <c r="A507" s="35" t="s">
        <v>1260</v>
      </c>
      <c r="B507" s="35" t="s">
        <v>1261</v>
      </c>
      <c r="C507" s="35" t="s">
        <v>61</v>
      </c>
      <c r="D507" s="35" t="s">
        <v>86</v>
      </c>
      <c r="E507" s="35" t="s">
        <v>87</v>
      </c>
      <c r="F507" s="35">
        <v>74.0</v>
      </c>
      <c r="G507" s="35">
        <v>1.61</v>
      </c>
      <c r="H507" s="35">
        <v>46.0</v>
      </c>
      <c r="I507" s="35" t="s">
        <v>75</v>
      </c>
    </row>
    <row r="508" ht="22.5" customHeight="1">
      <c r="A508" s="35" t="s">
        <v>1262</v>
      </c>
      <c r="B508" s="35" t="s">
        <v>1263</v>
      </c>
      <c r="C508" s="35" t="s">
        <v>61</v>
      </c>
      <c r="D508" s="35" t="s">
        <v>86</v>
      </c>
      <c r="E508" s="35" t="s">
        <v>87</v>
      </c>
      <c r="F508" s="35">
        <v>141.0</v>
      </c>
      <c r="G508" s="35">
        <v>6.44</v>
      </c>
      <c r="H508" s="35">
        <v>21.9</v>
      </c>
      <c r="I508" s="35" t="s">
        <v>75</v>
      </c>
    </row>
    <row r="509" ht="22.5" customHeight="1">
      <c r="A509" s="35" t="s">
        <v>1264</v>
      </c>
      <c r="B509" s="35" t="s">
        <v>1265</v>
      </c>
      <c r="C509" s="35" t="s">
        <v>61</v>
      </c>
      <c r="D509" s="35" t="s">
        <v>94</v>
      </c>
      <c r="E509" s="35" t="s">
        <v>95</v>
      </c>
      <c r="F509" s="35">
        <v>994.0</v>
      </c>
      <c r="G509" s="35">
        <v>6.22</v>
      </c>
      <c r="H509" s="35">
        <v>159.8</v>
      </c>
      <c r="I509" s="35" t="s">
        <v>62</v>
      </c>
    </row>
    <row r="510" ht="22.5" customHeight="1">
      <c r="A510" s="35" t="s">
        <v>1266</v>
      </c>
      <c r="B510" s="35" t="s">
        <v>1267</v>
      </c>
      <c r="C510" s="35" t="s">
        <v>61</v>
      </c>
      <c r="D510" s="35" t="s">
        <v>106</v>
      </c>
      <c r="E510" s="35" t="s">
        <v>107</v>
      </c>
      <c r="F510" s="35">
        <v>117.0</v>
      </c>
      <c r="G510" s="35">
        <v>5.2</v>
      </c>
      <c r="H510" s="35">
        <v>22.5</v>
      </c>
      <c r="I510" s="35" t="s">
        <v>75</v>
      </c>
    </row>
    <row r="511" ht="22.5" customHeight="1">
      <c r="A511" s="35" t="s">
        <v>1268</v>
      </c>
      <c r="B511" s="35" t="s">
        <v>1269</v>
      </c>
      <c r="C511" s="35" t="s">
        <v>61</v>
      </c>
      <c r="D511" s="35" t="s">
        <v>78</v>
      </c>
      <c r="E511" s="35" t="s">
        <v>79</v>
      </c>
      <c r="F511" s="35">
        <v>44.0</v>
      </c>
      <c r="G511" s="35">
        <v>2.07</v>
      </c>
      <c r="H511" s="35">
        <v>21.3</v>
      </c>
      <c r="I511" s="35" t="s">
        <v>75</v>
      </c>
    </row>
    <row r="512" ht="22.5" customHeight="1">
      <c r="A512" s="35" t="s">
        <v>1270</v>
      </c>
      <c r="B512" s="35" t="s">
        <v>1271</v>
      </c>
      <c r="C512" s="35" t="s">
        <v>61</v>
      </c>
      <c r="D512" s="35" t="s">
        <v>165</v>
      </c>
      <c r="E512" s="35" t="s">
        <v>254</v>
      </c>
      <c r="F512" s="35">
        <v>115.0</v>
      </c>
      <c r="G512" s="35">
        <v>10.97</v>
      </c>
      <c r="H512" s="35">
        <v>10.5</v>
      </c>
      <c r="I512" s="35" t="s">
        <v>75</v>
      </c>
    </row>
    <row r="513" ht="22.5" customHeight="1">
      <c r="A513" s="35" t="s">
        <v>1272</v>
      </c>
      <c r="B513" s="35" t="s">
        <v>1273</v>
      </c>
      <c r="C513" s="35" t="s">
        <v>61</v>
      </c>
      <c r="D513" s="35" t="s">
        <v>106</v>
      </c>
      <c r="E513" s="35" t="s">
        <v>107</v>
      </c>
      <c r="F513" s="35">
        <v>88.0</v>
      </c>
      <c r="G513" s="35">
        <v>3.36</v>
      </c>
      <c r="H513" s="35">
        <v>26.2</v>
      </c>
      <c r="I513" s="35" t="s">
        <v>75</v>
      </c>
    </row>
    <row r="514" ht="22.5" customHeight="1">
      <c r="A514" s="35" t="s">
        <v>1274</v>
      </c>
      <c r="B514" s="35" t="s">
        <v>1275</v>
      </c>
      <c r="C514" s="35" t="s">
        <v>61</v>
      </c>
      <c r="D514" s="35" t="s">
        <v>90</v>
      </c>
      <c r="E514" s="35" t="s">
        <v>91</v>
      </c>
      <c r="F514" s="35">
        <v>186.0</v>
      </c>
      <c r="G514" s="35">
        <v>7.43</v>
      </c>
      <c r="H514" s="35">
        <v>25.0</v>
      </c>
      <c r="I514" s="35" t="s">
        <v>75</v>
      </c>
    </row>
    <row r="515" ht="22.5" customHeight="1">
      <c r="A515" s="35" t="s">
        <v>1276</v>
      </c>
      <c r="B515" s="35" t="s">
        <v>1277</v>
      </c>
      <c r="C515" s="35" t="s">
        <v>61</v>
      </c>
      <c r="D515" s="35" t="s">
        <v>123</v>
      </c>
      <c r="E515" s="35" t="s">
        <v>181</v>
      </c>
      <c r="F515" s="35">
        <v>86.0</v>
      </c>
      <c r="G515" s="35">
        <v>3.73</v>
      </c>
      <c r="H515" s="35">
        <v>23.1</v>
      </c>
      <c r="I515" s="35" t="s">
        <v>75</v>
      </c>
    </row>
    <row r="516" ht="22.5" customHeight="1">
      <c r="A516" s="35" t="s">
        <v>1278</v>
      </c>
      <c r="B516" s="35" t="s">
        <v>1279</v>
      </c>
      <c r="C516" s="35" t="s">
        <v>61</v>
      </c>
      <c r="D516" s="35" t="s">
        <v>198</v>
      </c>
      <c r="E516" s="35" t="s">
        <v>217</v>
      </c>
      <c r="F516" s="35">
        <v>659.0</v>
      </c>
      <c r="G516" s="35">
        <v>6.28</v>
      </c>
      <c r="H516" s="35">
        <v>104.9</v>
      </c>
      <c r="I516" s="35" t="s">
        <v>62</v>
      </c>
    </row>
    <row r="517" ht="22.5" customHeight="1">
      <c r="A517" s="35" t="s">
        <v>1280</v>
      </c>
      <c r="B517" s="35" t="s">
        <v>1281</v>
      </c>
      <c r="C517" s="35" t="s">
        <v>61</v>
      </c>
      <c r="D517" s="35" t="s">
        <v>123</v>
      </c>
      <c r="E517" s="35" t="s">
        <v>181</v>
      </c>
      <c r="F517" s="35">
        <v>1189.0</v>
      </c>
      <c r="G517" s="35">
        <v>17.3</v>
      </c>
      <c r="H517" s="35">
        <v>68.7</v>
      </c>
      <c r="I517" s="35" t="s">
        <v>62</v>
      </c>
    </row>
    <row r="518" ht="22.5" customHeight="1">
      <c r="A518" s="35" t="s">
        <v>1282</v>
      </c>
      <c r="B518" s="35" t="s">
        <v>1283</v>
      </c>
      <c r="C518" s="35" t="s">
        <v>61</v>
      </c>
      <c r="D518" s="35" t="s">
        <v>78</v>
      </c>
      <c r="E518" s="35" t="s">
        <v>79</v>
      </c>
      <c r="F518" s="35">
        <v>424.0</v>
      </c>
      <c r="G518" s="35">
        <v>2.9</v>
      </c>
      <c r="H518" s="35">
        <v>146.2</v>
      </c>
      <c r="I518" s="35" t="s">
        <v>75</v>
      </c>
    </row>
    <row r="519" ht="22.5" customHeight="1">
      <c r="A519" s="35" t="s">
        <v>1284</v>
      </c>
      <c r="B519" s="35" t="s">
        <v>1285</v>
      </c>
      <c r="C519" s="35" t="s">
        <v>61</v>
      </c>
      <c r="D519" s="35" t="s">
        <v>50</v>
      </c>
      <c r="E519" s="35" t="s">
        <v>49</v>
      </c>
      <c r="F519" s="35">
        <v>80.0</v>
      </c>
      <c r="G519" s="35">
        <v>1.92</v>
      </c>
      <c r="H519" s="35">
        <v>41.7</v>
      </c>
      <c r="I519" s="35" t="s">
        <v>75</v>
      </c>
    </row>
    <row r="520" ht="22.5" customHeight="1">
      <c r="A520" s="35" t="s">
        <v>1286</v>
      </c>
      <c r="B520" s="35" t="s">
        <v>1287</v>
      </c>
      <c r="C520" s="35" t="s">
        <v>61</v>
      </c>
      <c r="D520" s="35" t="s">
        <v>123</v>
      </c>
      <c r="E520" s="35" t="s">
        <v>181</v>
      </c>
      <c r="F520" s="35">
        <v>1943.0</v>
      </c>
      <c r="G520" s="35">
        <v>17.98</v>
      </c>
      <c r="H520" s="35">
        <v>108.1</v>
      </c>
      <c r="I520" s="35" t="s">
        <v>62</v>
      </c>
    </row>
    <row r="521" ht="22.5" customHeight="1">
      <c r="A521" s="35" t="s">
        <v>1288</v>
      </c>
      <c r="B521" s="35" t="s">
        <v>1289</v>
      </c>
      <c r="C521" s="35" t="s">
        <v>61</v>
      </c>
      <c r="D521" s="35" t="s">
        <v>156</v>
      </c>
      <c r="E521" s="35" t="s">
        <v>157</v>
      </c>
      <c r="F521" s="35">
        <v>602.0</v>
      </c>
      <c r="G521" s="35">
        <v>8.45</v>
      </c>
      <c r="H521" s="35">
        <v>71.2</v>
      </c>
      <c r="I521" s="35" t="s">
        <v>62</v>
      </c>
    </row>
    <row r="522" ht="22.5" customHeight="1">
      <c r="A522" s="35" t="s">
        <v>1290</v>
      </c>
      <c r="B522" s="35" t="s">
        <v>1291</v>
      </c>
      <c r="C522" s="35" t="s">
        <v>61</v>
      </c>
      <c r="D522" s="35" t="s">
        <v>73</v>
      </c>
      <c r="E522" s="35" t="s">
        <v>74</v>
      </c>
      <c r="F522" s="35">
        <v>187.0</v>
      </c>
      <c r="G522" s="35">
        <v>9.94</v>
      </c>
      <c r="H522" s="35">
        <v>18.8</v>
      </c>
      <c r="I522" s="35" t="s">
        <v>75</v>
      </c>
    </row>
    <row r="523" ht="22.5" customHeight="1">
      <c r="A523" s="35" t="s">
        <v>1292</v>
      </c>
      <c r="B523" s="35" t="s">
        <v>1293</v>
      </c>
      <c r="C523" s="35" t="s">
        <v>61</v>
      </c>
      <c r="D523" s="35" t="s">
        <v>50</v>
      </c>
      <c r="E523" s="35" t="s">
        <v>49</v>
      </c>
      <c r="F523" s="35">
        <v>197.0</v>
      </c>
      <c r="G523" s="35">
        <v>3.82</v>
      </c>
      <c r="H523" s="35">
        <v>51.6</v>
      </c>
      <c r="I523" s="35" t="s">
        <v>75</v>
      </c>
    </row>
    <row r="524" ht="22.5" customHeight="1">
      <c r="A524" s="35" t="s">
        <v>1294</v>
      </c>
      <c r="B524" s="35" t="s">
        <v>1295</v>
      </c>
      <c r="C524" s="35" t="s">
        <v>61</v>
      </c>
      <c r="D524" s="35" t="s">
        <v>165</v>
      </c>
      <c r="E524" s="35" t="s">
        <v>254</v>
      </c>
      <c r="F524" s="35">
        <v>61.0</v>
      </c>
      <c r="G524" s="35">
        <v>5.16</v>
      </c>
      <c r="H524" s="35">
        <v>11.8</v>
      </c>
      <c r="I524" s="35" t="s">
        <v>75</v>
      </c>
    </row>
    <row r="525" ht="22.5" customHeight="1">
      <c r="A525" s="35" t="s">
        <v>1296</v>
      </c>
      <c r="B525" s="35" t="s">
        <v>1297</v>
      </c>
      <c r="C525" s="35" t="s">
        <v>61</v>
      </c>
      <c r="D525" s="35" t="s">
        <v>165</v>
      </c>
      <c r="E525" s="35" t="s">
        <v>254</v>
      </c>
      <c r="F525" s="35">
        <v>394.0</v>
      </c>
      <c r="G525" s="35">
        <v>10.92</v>
      </c>
      <c r="H525" s="35">
        <v>36.1</v>
      </c>
      <c r="I525" s="35" t="s">
        <v>75</v>
      </c>
    </row>
    <row r="526" ht="22.5" customHeight="1">
      <c r="A526" s="35" t="s">
        <v>1298</v>
      </c>
      <c r="B526" s="35" t="s">
        <v>1299</v>
      </c>
      <c r="C526" s="35" t="s">
        <v>61</v>
      </c>
      <c r="D526" s="35" t="s">
        <v>140</v>
      </c>
      <c r="E526" s="35" t="s">
        <v>147</v>
      </c>
      <c r="F526" s="35">
        <v>848.0</v>
      </c>
      <c r="G526" s="35">
        <v>8.07</v>
      </c>
      <c r="H526" s="35">
        <v>105.1</v>
      </c>
      <c r="I526" s="35" t="s">
        <v>62</v>
      </c>
    </row>
    <row r="527" ht="22.5" customHeight="1">
      <c r="A527" s="35" t="s">
        <v>1300</v>
      </c>
      <c r="B527" s="35" t="s">
        <v>1301</v>
      </c>
      <c r="C527" s="35" t="s">
        <v>61</v>
      </c>
      <c r="D527" s="35" t="s">
        <v>86</v>
      </c>
      <c r="E527" s="35" t="s">
        <v>87</v>
      </c>
      <c r="F527" s="35">
        <v>121.0</v>
      </c>
      <c r="G527" s="35">
        <v>4.5</v>
      </c>
      <c r="H527" s="35">
        <v>26.9</v>
      </c>
      <c r="I527" s="35" t="s">
        <v>75</v>
      </c>
    </row>
    <row r="528" ht="22.5" customHeight="1">
      <c r="A528" s="35" t="s">
        <v>1302</v>
      </c>
      <c r="B528" s="35" t="s">
        <v>1303</v>
      </c>
      <c r="C528" s="35" t="s">
        <v>61</v>
      </c>
      <c r="D528" s="35" t="s">
        <v>90</v>
      </c>
      <c r="E528" s="35" t="s">
        <v>91</v>
      </c>
      <c r="F528" s="35">
        <v>116.0</v>
      </c>
      <c r="G528" s="35">
        <v>3.67</v>
      </c>
      <c r="H528" s="35">
        <v>31.6</v>
      </c>
      <c r="I528" s="35" t="s">
        <v>75</v>
      </c>
    </row>
    <row r="529" ht="22.5" customHeight="1">
      <c r="A529" s="35" t="s">
        <v>1304</v>
      </c>
      <c r="B529" s="35" t="s">
        <v>1305</v>
      </c>
      <c r="C529" s="35" t="s">
        <v>61</v>
      </c>
      <c r="D529" s="35" t="s">
        <v>94</v>
      </c>
      <c r="E529" s="35" t="s">
        <v>95</v>
      </c>
      <c r="F529" s="35">
        <v>170.0</v>
      </c>
      <c r="G529" s="35">
        <v>6.47</v>
      </c>
      <c r="H529" s="35">
        <v>26.3</v>
      </c>
      <c r="I529" s="35" t="s">
        <v>75</v>
      </c>
    </row>
    <row r="530" ht="22.5" customHeight="1">
      <c r="A530" s="35" t="s">
        <v>1306</v>
      </c>
      <c r="B530" s="35" t="s">
        <v>1307</v>
      </c>
      <c r="C530" s="35" t="s">
        <v>61</v>
      </c>
      <c r="D530" s="35" t="s">
        <v>78</v>
      </c>
      <c r="E530" s="35" t="s">
        <v>79</v>
      </c>
      <c r="F530" s="35">
        <v>225.0</v>
      </c>
      <c r="G530" s="35">
        <v>31.6</v>
      </c>
      <c r="H530" s="35">
        <v>7.1</v>
      </c>
      <c r="I530" s="35" t="s">
        <v>75</v>
      </c>
    </row>
    <row r="531" ht="22.5" customHeight="1">
      <c r="A531" s="35" t="s">
        <v>1308</v>
      </c>
      <c r="B531" s="35" t="s">
        <v>1309</v>
      </c>
      <c r="C531" s="35" t="s">
        <v>61</v>
      </c>
      <c r="D531" s="35" t="s">
        <v>123</v>
      </c>
      <c r="E531" s="35" t="s">
        <v>181</v>
      </c>
      <c r="F531" s="35">
        <v>1106.0</v>
      </c>
      <c r="G531" s="35">
        <v>6.91</v>
      </c>
      <c r="H531" s="35">
        <v>160.1</v>
      </c>
      <c r="I531" s="35" t="s">
        <v>62</v>
      </c>
    </row>
    <row r="532" ht="22.5" customHeight="1">
      <c r="A532" s="35" t="s">
        <v>1310</v>
      </c>
      <c r="B532" s="35" t="s">
        <v>1311</v>
      </c>
      <c r="C532" s="35" t="s">
        <v>61</v>
      </c>
      <c r="D532" s="35" t="s">
        <v>182</v>
      </c>
      <c r="E532" s="35" t="s">
        <v>357</v>
      </c>
      <c r="F532" s="35">
        <v>2134.0</v>
      </c>
      <c r="G532" s="35">
        <v>24.1</v>
      </c>
      <c r="H532" s="35">
        <v>88.5</v>
      </c>
      <c r="I532" s="35" t="s">
        <v>142</v>
      </c>
    </row>
    <row r="533" ht="22.5" customHeight="1">
      <c r="A533" s="35" t="s">
        <v>1312</v>
      </c>
      <c r="B533" s="35" t="s">
        <v>1313</v>
      </c>
      <c r="C533" s="35" t="s">
        <v>61</v>
      </c>
      <c r="D533" s="35" t="s">
        <v>166</v>
      </c>
      <c r="E533" s="35" t="s">
        <v>168</v>
      </c>
      <c r="F533" s="35">
        <v>68.0</v>
      </c>
      <c r="G533" s="35">
        <v>5.48</v>
      </c>
      <c r="H533" s="35">
        <v>12.4</v>
      </c>
      <c r="I533" s="35" t="s">
        <v>75</v>
      </c>
    </row>
    <row r="534" ht="22.5" customHeight="1">
      <c r="A534" s="35" t="s">
        <v>1314</v>
      </c>
      <c r="B534" s="35" t="s">
        <v>1315</v>
      </c>
      <c r="C534" s="35" t="s">
        <v>61</v>
      </c>
      <c r="D534" s="35" t="s">
        <v>102</v>
      </c>
      <c r="E534" s="35" t="s">
        <v>103</v>
      </c>
      <c r="F534" s="35">
        <v>124.0</v>
      </c>
      <c r="G534" s="35">
        <v>5.19</v>
      </c>
      <c r="H534" s="35">
        <v>23.9</v>
      </c>
      <c r="I534" s="35" t="s">
        <v>75</v>
      </c>
    </row>
    <row r="535" ht="22.5" customHeight="1">
      <c r="A535" s="35" t="s">
        <v>1316</v>
      </c>
      <c r="B535" s="35" t="s">
        <v>1317</v>
      </c>
      <c r="C535" s="35" t="s">
        <v>61</v>
      </c>
      <c r="D535" s="35" t="s">
        <v>165</v>
      </c>
      <c r="E535" s="35" t="s">
        <v>254</v>
      </c>
      <c r="F535" s="35">
        <v>2468.0</v>
      </c>
      <c r="G535" s="35">
        <v>48.57</v>
      </c>
      <c r="H535" s="35">
        <v>50.8</v>
      </c>
      <c r="I535" s="35" t="s">
        <v>142</v>
      </c>
    </row>
    <row r="536" ht="22.5" customHeight="1">
      <c r="A536" s="35" t="s">
        <v>1318</v>
      </c>
      <c r="B536" s="35" t="s">
        <v>1319</v>
      </c>
      <c r="C536" s="35" t="s">
        <v>61</v>
      </c>
      <c r="D536" s="35" t="s">
        <v>73</v>
      </c>
      <c r="E536" s="35" t="s">
        <v>74</v>
      </c>
      <c r="F536" s="35">
        <v>527.0</v>
      </c>
      <c r="G536" s="35">
        <v>16.69</v>
      </c>
      <c r="H536" s="35">
        <v>31.6</v>
      </c>
      <c r="I536" s="35" t="s">
        <v>62</v>
      </c>
    </row>
    <row r="537" ht="22.5" customHeight="1">
      <c r="A537" s="35" t="s">
        <v>1320</v>
      </c>
      <c r="B537" s="35" t="s">
        <v>1321</v>
      </c>
      <c r="C537" s="35" t="s">
        <v>61</v>
      </c>
      <c r="D537" s="35" t="s">
        <v>73</v>
      </c>
      <c r="E537" s="35" t="s">
        <v>74</v>
      </c>
      <c r="F537" s="35">
        <v>239.0</v>
      </c>
      <c r="G537" s="35">
        <v>8.05</v>
      </c>
      <c r="H537" s="35">
        <v>29.7</v>
      </c>
      <c r="I537" s="35" t="s">
        <v>75</v>
      </c>
    </row>
    <row r="538" ht="22.5" customHeight="1">
      <c r="A538" s="35" t="s">
        <v>1322</v>
      </c>
      <c r="B538" s="35" t="s">
        <v>1323</v>
      </c>
      <c r="C538" s="35" t="s">
        <v>61</v>
      </c>
      <c r="D538" s="35" t="s">
        <v>136</v>
      </c>
      <c r="E538" s="35" t="s">
        <v>189</v>
      </c>
      <c r="F538" s="35">
        <v>143.0</v>
      </c>
      <c r="G538" s="35">
        <v>3.49</v>
      </c>
      <c r="H538" s="35">
        <v>41.0</v>
      </c>
      <c r="I538" s="35" t="s">
        <v>75</v>
      </c>
    </row>
    <row r="539" ht="22.5" customHeight="1">
      <c r="A539" s="35" t="s">
        <v>1324</v>
      </c>
      <c r="B539" s="35" t="s">
        <v>1325</v>
      </c>
      <c r="C539" s="35" t="s">
        <v>61</v>
      </c>
      <c r="D539" s="35" t="s">
        <v>102</v>
      </c>
      <c r="E539" s="35" t="s">
        <v>103</v>
      </c>
      <c r="F539" s="35">
        <v>202.0</v>
      </c>
      <c r="G539" s="35">
        <v>9.25</v>
      </c>
      <c r="H539" s="35">
        <v>21.8</v>
      </c>
      <c r="I539" s="35" t="s">
        <v>75</v>
      </c>
    </row>
    <row r="540" ht="22.5" customHeight="1">
      <c r="A540" s="35" t="s">
        <v>1326</v>
      </c>
      <c r="B540" s="35" t="s">
        <v>1327</v>
      </c>
      <c r="C540" s="35" t="s">
        <v>61</v>
      </c>
      <c r="D540" s="35" t="s">
        <v>82</v>
      </c>
      <c r="E540" s="35" t="s">
        <v>83</v>
      </c>
      <c r="F540" s="35">
        <v>132.0</v>
      </c>
      <c r="G540" s="35">
        <v>7.23</v>
      </c>
      <c r="H540" s="35">
        <v>18.3</v>
      </c>
      <c r="I540" s="35" t="s">
        <v>75</v>
      </c>
    </row>
    <row r="541" ht="22.5" customHeight="1">
      <c r="A541" s="35" t="s">
        <v>1328</v>
      </c>
      <c r="B541" s="35" t="s">
        <v>1329</v>
      </c>
      <c r="C541" s="35" t="s">
        <v>61</v>
      </c>
      <c r="D541" s="35" t="s">
        <v>67</v>
      </c>
      <c r="E541" s="35" t="s">
        <v>68</v>
      </c>
      <c r="F541" s="35">
        <v>825.0</v>
      </c>
      <c r="G541" s="35">
        <v>16.29</v>
      </c>
      <c r="H541" s="35">
        <v>50.6</v>
      </c>
      <c r="I541" s="35" t="s">
        <v>62</v>
      </c>
    </row>
    <row r="542" ht="22.5" customHeight="1">
      <c r="A542" s="35" t="s">
        <v>1330</v>
      </c>
      <c r="B542" s="35" t="s">
        <v>1331</v>
      </c>
      <c r="C542" s="35" t="s">
        <v>61</v>
      </c>
      <c r="D542" s="35" t="s">
        <v>86</v>
      </c>
      <c r="E542" s="35" t="s">
        <v>87</v>
      </c>
      <c r="F542" s="35">
        <v>293.0</v>
      </c>
      <c r="G542" s="35">
        <v>2.86</v>
      </c>
      <c r="H542" s="35">
        <v>102.4</v>
      </c>
      <c r="I542" s="35" t="s">
        <v>75</v>
      </c>
    </row>
    <row r="543" ht="22.5" customHeight="1">
      <c r="A543" s="35" t="s">
        <v>1332</v>
      </c>
      <c r="B543" s="35" t="s">
        <v>1333</v>
      </c>
      <c r="C543" s="35" t="s">
        <v>61</v>
      </c>
      <c r="D543" s="35" t="s">
        <v>50</v>
      </c>
      <c r="E543" s="35" t="s">
        <v>49</v>
      </c>
      <c r="F543" s="35">
        <v>1109.0</v>
      </c>
      <c r="G543" s="35">
        <v>6.18</v>
      </c>
      <c r="H543" s="35">
        <v>179.4</v>
      </c>
      <c r="I543" s="35" t="s">
        <v>62</v>
      </c>
    </row>
    <row r="544" ht="22.5" customHeight="1">
      <c r="A544" s="35" t="s">
        <v>1334</v>
      </c>
      <c r="B544" s="35" t="s">
        <v>1335</v>
      </c>
      <c r="C544" s="35" t="s">
        <v>61</v>
      </c>
      <c r="D544" s="35" t="s">
        <v>156</v>
      </c>
      <c r="E544" s="35" t="s">
        <v>157</v>
      </c>
      <c r="F544" s="35">
        <v>269.0</v>
      </c>
      <c r="G544" s="35">
        <v>6.55</v>
      </c>
      <c r="H544" s="35">
        <v>41.1</v>
      </c>
      <c r="I544" s="35" t="s">
        <v>75</v>
      </c>
    </row>
    <row r="545" ht="22.5" customHeight="1">
      <c r="A545" s="35" t="s">
        <v>1336</v>
      </c>
      <c r="B545" s="35" t="s">
        <v>1337</v>
      </c>
      <c r="C545" s="35" t="s">
        <v>61</v>
      </c>
      <c r="D545" s="35" t="s">
        <v>102</v>
      </c>
      <c r="E545" s="35" t="s">
        <v>103</v>
      </c>
      <c r="F545" s="35">
        <v>176.0</v>
      </c>
      <c r="G545" s="35">
        <v>11.99</v>
      </c>
      <c r="H545" s="35">
        <v>14.7</v>
      </c>
      <c r="I545" s="35" t="s">
        <v>75</v>
      </c>
    </row>
    <row r="546" ht="22.5" customHeight="1">
      <c r="A546" s="35" t="s">
        <v>1338</v>
      </c>
      <c r="B546" s="35" t="s">
        <v>1339</v>
      </c>
      <c r="C546" s="35" t="s">
        <v>61</v>
      </c>
      <c r="D546" s="35" t="s">
        <v>82</v>
      </c>
      <c r="E546" s="35" t="s">
        <v>83</v>
      </c>
      <c r="F546" s="35">
        <v>438.0</v>
      </c>
      <c r="G546" s="35">
        <v>10.85</v>
      </c>
      <c r="H546" s="35">
        <v>40.4</v>
      </c>
      <c r="I546" s="35" t="s">
        <v>75</v>
      </c>
    </row>
    <row r="547" ht="22.5" customHeight="1">
      <c r="A547" s="35" t="s">
        <v>1340</v>
      </c>
      <c r="B547" s="35" t="s">
        <v>1341</v>
      </c>
      <c r="C547" s="35" t="s">
        <v>61</v>
      </c>
      <c r="D547" s="35" t="s">
        <v>140</v>
      </c>
      <c r="E547" s="35" t="s">
        <v>147</v>
      </c>
      <c r="F547" s="35">
        <v>169.0</v>
      </c>
      <c r="G547" s="35">
        <v>5.35</v>
      </c>
      <c r="H547" s="35">
        <v>31.6</v>
      </c>
      <c r="I547" s="35" t="s">
        <v>75</v>
      </c>
    </row>
    <row r="548" ht="22.5" customHeight="1">
      <c r="A548" s="35" t="s">
        <v>1342</v>
      </c>
      <c r="B548" s="35" t="s">
        <v>1343</v>
      </c>
      <c r="C548" s="35" t="s">
        <v>61</v>
      </c>
      <c r="D548" s="35" t="s">
        <v>140</v>
      </c>
      <c r="E548" s="35" t="s">
        <v>147</v>
      </c>
      <c r="F548" s="35">
        <v>660.0</v>
      </c>
      <c r="G548" s="35">
        <v>7.23</v>
      </c>
      <c r="H548" s="35">
        <v>91.3</v>
      </c>
      <c r="I548" s="35" t="s">
        <v>62</v>
      </c>
    </row>
    <row r="549" ht="22.5" customHeight="1">
      <c r="A549" s="35" t="s">
        <v>1344</v>
      </c>
      <c r="B549" s="35" t="s">
        <v>1345</v>
      </c>
      <c r="C549" s="35" t="s">
        <v>61</v>
      </c>
      <c r="D549" s="35" t="s">
        <v>78</v>
      </c>
      <c r="E549" s="35" t="s">
        <v>79</v>
      </c>
      <c r="F549" s="35">
        <v>490.0</v>
      </c>
      <c r="G549" s="35">
        <v>8.73</v>
      </c>
      <c r="H549" s="35">
        <v>56.1</v>
      </c>
      <c r="I549" s="35" t="s">
        <v>75</v>
      </c>
    </row>
    <row r="550" ht="22.5" customHeight="1">
      <c r="A550" s="35" t="s">
        <v>1346</v>
      </c>
      <c r="B550" s="35" t="s">
        <v>1347</v>
      </c>
      <c r="C550" s="35" t="s">
        <v>61</v>
      </c>
      <c r="D550" s="35" t="s">
        <v>136</v>
      </c>
      <c r="E550" s="35" t="s">
        <v>189</v>
      </c>
      <c r="F550" s="35">
        <v>53.0</v>
      </c>
      <c r="G550" s="35">
        <v>2.41</v>
      </c>
      <c r="H550" s="35">
        <v>22.0</v>
      </c>
      <c r="I550" s="35" t="s">
        <v>75</v>
      </c>
    </row>
    <row r="551" ht="22.5" customHeight="1">
      <c r="A551" s="35" t="s">
        <v>1348</v>
      </c>
      <c r="B551" s="35" t="s">
        <v>1349</v>
      </c>
      <c r="C551" s="35" t="s">
        <v>61</v>
      </c>
      <c r="D551" s="35" t="s">
        <v>156</v>
      </c>
      <c r="E551" s="35" t="s">
        <v>157</v>
      </c>
      <c r="F551" s="35">
        <v>1354.0</v>
      </c>
      <c r="G551" s="35">
        <v>16.35</v>
      </c>
      <c r="H551" s="35">
        <v>82.8</v>
      </c>
      <c r="I551" s="35" t="s">
        <v>62</v>
      </c>
    </row>
    <row r="552" ht="22.5" customHeight="1">
      <c r="A552" s="35" t="s">
        <v>1350</v>
      </c>
      <c r="B552" s="35" t="s">
        <v>1351</v>
      </c>
      <c r="C552" s="35" t="s">
        <v>61</v>
      </c>
      <c r="D552" s="35" t="s">
        <v>94</v>
      </c>
      <c r="E552" s="35" t="s">
        <v>95</v>
      </c>
      <c r="F552" s="35">
        <v>1587.0</v>
      </c>
      <c r="G552" s="35">
        <v>23.26</v>
      </c>
      <c r="H552" s="35">
        <v>68.2</v>
      </c>
      <c r="I552" s="35" t="s">
        <v>62</v>
      </c>
    </row>
    <row r="553" ht="22.5" customHeight="1">
      <c r="A553" s="35" t="s">
        <v>1352</v>
      </c>
      <c r="B553" s="35" t="s">
        <v>1353</v>
      </c>
      <c r="C553" s="35" t="s">
        <v>61</v>
      </c>
      <c r="D553" s="35" t="s">
        <v>67</v>
      </c>
      <c r="E553" s="35" t="s">
        <v>68</v>
      </c>
      <c r="F553" s="35">
        <v>325.0</v>
      </c>
      <c r="G553" s="35">
        <v>5.24</v>
      </c>
      <c r="H553" s="35">
        <v>62.0</v>
      </c>
      <c r="I553" s="35" t="s">
        <v>75</v>
      </c>
    </row>
    <row r="554" ht="22.5" customHeight="1">
      <c r="A554" s="35" t="s">
        <v>1354</v>
      </c>
      <c r="B554" s="35" t="s">
        <v>1355</v>
      </c>
      <c r="C554" s="35" t="s">
        <v>61</v>
      </c>
      <c r="D554" s="35" t="s">
        <v>90</v>
      </c>
      <c r="E554" s="35" t="s">
        <v>91</v>
      </c>
      <c r="F554" s="35">
        <v>92.0</v>
      </c>
      <c r="G554" s="35">
        <v>9.15</v>
      </c>
      <c r="H554" s="35">
        <v>10.1</v>
      </c>
      <c r="I554" s="35" t="s">
        <v>75</v>
      </c>
    </row>
    <row r="555" ht="22.5" customHeight="1">
      <c r="A555" s="35" t="s">
        <v>1356</v>
      </c>
      <c r="B555" s="35" t="s">
        <v>1357</v>
      </c>
      <c r="C555" s="35" t="s">
        <v>61</v>
      </c>
      <c r="D555" s="35" t="s">
        <v>86</v>
      </c>
      <c r="E555" s="35" t="s">
        <v>87</v>
      </c>
      <c r="F555" s="35">
        <v>80.0</v>
      </c>
      <c r="G555" s="35">
        <v>4.35</v>
      </c>
      <c r="H555" s="35">
        <v>18.4</v>
      </c>
      <c r="I555" s="35" t="s">
        <v>75</v>
      </c>
    </row>
    <row r="556" ht="22.5" customHeight="1">
      <c r="A556" s="35" t="s">
        <v>1358</v>
      </c>
      <c r="B556" s="35" t="s">
        <v>1359</v>
      </c>
      <c r="C556" s="35" t="s">
        <v>61</v>
      </c>
      <c r="D556" s="35" t="s">
        <v>106</v>
      </c>
      <c r="E556" s="35" t="s">
        <v>107</v>
      </c>
      <c r="F556" s="35">
        <v>131.0</v>
      </c>
      <c r="G556" s="35">
        <v>7.24</v>
      </c>
      <c r="H556" s="35">
        <v>18.1</v>
      </c>
      <c r="I556" s="35" t="s">
        <v>75</v>
      </c>
    </row>
    <row r="557" ht="22.5" customHeight="1">
      <c r="A557" s="35" t="s">
        <v>1360</v>
      </c>
      <c r="B557" s="35" t="s">
        <v>1361</v>
      </c>
      <c r="C557" s="35" t="s">
        <v>61</v>
      </c>
      <c r="D557" s="35" t="s">
        <v>106</v>
      </c>
      <c r="E557" s="35" t="s">
        <v>107</v>
      </c>
      <c r="F557" s="35">
        <v>785.0</v>
      </c>
      <c r="G557" s="35">
        <v>15.09</v>
      </c>
      <c r="H557" s="35">
        <v>52.0</v>
      </c>
      <c r="I557" s="35" t="s">
        <v>62</v>
      </c>
    </row>
    <row r="558" ht="22.5" customHeight="1">
      <c r="A558" s="35" t="s">
        <v>1362</v>
      </c>
      <c r="B558" s="35" t="s">
        <v>1363</v>
      </c>
      <c r="C558" s="35" t="s">
        <v>61</v>
      </c>
      <c r="D558" s="35" t="s">
        <v>90</v>
      </c>
      <c r="E558" s="35" t="s">
        <v>91</v>
      </c>
      <c r="F558" s="35">
        <v>309.0</v>
      </c>
      <c r="G558" s="35">
        <v>5.15</v>
      </c>
      <c r="H558" s="35">
        <v>60.0</v>
      </c>
      <c r="I558" s="35" t="s">
        <v>75</v>
      </c>
    </row>
    <row r="559" ht="22.5" customHeight="1">
      <c r="A559" s="35" t="s">
        <v>1364</v>
      </c>
      <c r="B559" s="35" t="s">
        <v>1365</v>
      </c>
      <c r="C559" s="35" t="s">
        <v>61</v>
      </c>
      <c r="D559" s="35" t="s">
        <v>86</v>
      </c>
      <c r="E559" s="35" t="s">
        <v>87</v>
      </c>
      <c r="F559" s="35">
        <v>80.0</v>
      </c>
      <c r="G559" s="35">
        <v>7.1</v>
      </c>
      <c r="H559" s="35">
        <v>11.3</v>
      </c>
      <c r="I559" s="35" t="s">
        <v>75</v>
      </c>
    </row>
    <row r="560" ht="22.5" customHeight="1">
      <c r="A560" s="35" t="s">
        <v>1366</v>
      </c>
      <c r="B560" s="35" t="s">
        <v>1367</v>
      </c>
      <c r="C560" s="35" t="s">
        <v>61</v>
      </c>
      <c r="D560" s="35" t="s">
        <v>86</v>
      </c>
      <c r="E560" s="35" t="s">
        <v>87</v>
      </c>
      <c r="F560" s="35">
        <v>60.0</v>
      </c>
      <c r="G560" s="35">
        <v>6.22</v>
      </c>
      <c r="H560" s="35">
        <v>9.6</v>
      </c>
      <c r="I560" s="35" t="s">
        <v>75</v>
      </c>
    </row>
    <row r="561" ht="22.5" customHeight="1">
      <c r="A561" s="35" t="s">
        <v>1368</v>
      </c>
      <c r="B561" s="35" t="s">
        <v>1369</v>
      </c>
      <c r="C561" s="35" t="s">
        <v>61</v>
      </c>
      <c r="D561" s="35" t="s">
        <v>165</v>
      </c>
      <c r="E561" s="35" t="s">
        <v>254</v>
      </c>
      <c r="F561" s="35">
        <v>114.0</v>
      </c>
      <c r="G561" s="35">
        <v>1.96</v>
      </c>
      <c r="H561" s="35">
        <v>58.2</v>
      </c>
      <c r="I561" s="35" t="s">
        <v>75</v>
      </c>
    </row>
    <row r="562" ht="22.5" customHeight="1">
      <c r="A562" s="35" t="s">
        <v>1370</v>
      </c>
      <c r="B562" s="35" t="s">
        <v>1371</v>
      </c>
      <c r="C562" s="35" t="s">
        <v>61</v>
      </c>
      <c r="D562" s="35" t="s">
        <v>106</v>
      </c>
      <c r="E562" s="35" t="s">
        <v>107</v>
      </c>
      <c r="F562" s="35">
        <v>245.0</v>
      </c>
      <c r="G562" s="35">
        <v>10.63</v>
      </c>
      <c r="H562" s="35">
        <v>23.0</v>
      </c>
      <c r="I562" s="35" t="s">
        <v>75</v>
      </c>
    </row>
    <row r="563" ht="22.5" customHeight="1">
      <c r="A563" s="35" t="s">
        <v>1372</v>
      </c>
      <c r="B563" s="35" t="s">
        <v>1373</v>
      </c>
      <c r="C563" s="35" t="s">
        <v>61</v>
      </c>
      <c r="D563" s="35" t="s">
        <v>166</v>
      </c>
      <c r="E563" s="35" t="s">
        <v>168</v>
      </c>
      <c r="F563" s="35">
        <v>143.0</v>
      </c>
      <c r="G563" s="35">
        <v>10.27</v>
      </c>
      <c r="H563" s="35">
        <v>13.9</v>
      </c>
      <c r="I563" s="35" t="s">
        <v>75</v>
      </c>
    </row>
    <row r="564" ht="22.5" customHeight="1">
      <c r="A564" s="35" t="s">
        <v>1374</v>
      </c>
      <c r="B564" s="35" t="s">
        <v>1375</v>
      </c>
      <c r="C564" s="35" t="s">
        <v>61</v>
      </c>
      <c r="D564" s="35" t="s">
        <v>136</v>
      </c>
      <c r="E564" s="35" t="s">
        <v>189</v>
      </c>
      <c r="F564" s="35">
        <v>353.0</v>
      </c>
      <c r="G564" s="35">
        <v>9.07</v>
      </c>
      <c r="H564" s="35">
        <v>38.9</v>
      </c>
      <c r="I564" s="35" t="s">
        <v>75</v>
      </c>
    </row>
    <row r="565" ht="22.5" customHeight="1">
      <c r="A565" s="35" t="s">
        <v>1376</v>
      </c>
      <c r="B565" s="35" t="s">
        <v>1377</v>
      </c>
      <c r="C565" s="35" t="s">
        <v>61</v>
      </c>
      <c r="D565" s="35" t="s">
        <v>86</v>
      </c>
      <c r="E565" s="35" t="s">
        <v>87</v>
      </c>
      <c r="F565" s="35">
        <v>66.0</v>
      </c>
      <c r="G565" s="35">
        <v>2.4</v>
      </c>
      <c r="H565" s="35">
        <v>27.5</v>
      </c>
      <c r="I565" s="35" t="s">
        <v>75</v>
      </c>
    </row>
    <row r="566" ht="22.5" customHeight="1">
      <c r="A566" s="35" t="s">
        <v>1378</v>
      </c>
      <c r="B566" s="35" t="s">
        <v>1379</v>
      </c>
      <c r="C566" s="35" t="s">
        <v>61</v>
      </c>
      <c r="D566" s="35" t="s">
        <v>90</v>
      </c>
      <c r="E566" s="35" t="s">
        <v>91</v>
      </c>
      <c r="F566" s="35">
        <v>367.0</v>
      </c>
      <c r="G566" s="35">
        <v>9.69</v>
      </c>
      <c r="H566" s="35">
        <v>37.9</v>
      </c>
      <c r="I566" s="35" t="s">
        <v>75</v>
      </c>
    </row>
    <row r="567" ht="22.5" customHeight="1">
      <c r="A567" s="35" t="s">
        <v>1380</v>
      </c>
      <c r="B567" s="35" t="s">
        <v>1381</v>
      </c>
      <c r="C567" s="35" t="s">
        <v>61</v>
      </c>
      <c r="D567" s="35" t="s">
        <v>123</v>
      </c>
      <c r="E567" s="35" t="s">
        <v>181</v>
      </c>
      <c r="F567" s="35">
        <v>174.0</v>
      </c>
      <c r="G567" s="35">
        <v>13.05</v>
      </c>
      <c r="H567" s="35">
        <v>13.3</v>
      </c>
      <c r="I567" s="35" t="s">
        <v>75</v>
      </c>
    </row>
    <row r="568" ht="22.5" customHeight="1">
      <c r="A568" s="35" t="s">
        <v>1382</v>
      </c>
      <c r="B568" s="35" t="s">
        <v>1383</v>
      </c>
      <c r="C568" s="35" t="s">
        <v>61</v>
      </c>
      <c r="D568" s="35" t="s">
        <v>73</v>
      </c>
      <c r="E568" s="35" t="s">
        <v>74</v>
      </c>
      <c r="F568" s="35">
        <v>142.0</v>
      </c>
      <c r="G568" s="35">
        <v>6.93</v>
      </c>
      <c r="H568" s="35">
        <v>20.5</v>
      </c>
      <c r="I568" s="35" t="s">
        <v>75</v>
      </c>
    </row>
    <row r="569" ht="22.5" customHeight="1">
      <c r="A569" s="35" t="s">
        <v>1384</v>
      </c>
      <c r="B569" s="35" t="s">
        <v>1385</v>
      </c>
      <c r="C569" s="35" t="s">
        <v>61</v>
      </c>
      <c r="D569" s="35" t="s">
        <v>94</v>
      </c>
      <c r="E569" s="35" t="s">
        <v>95</v>
      </c>
      <c r="F569" s="35">
        <v>191.0</v>
      </c>
      <c r="G569" s="35">
        <v>15.84</v>
      </c>
      <c r="H569" s="35">
        <v>12.1</v>
      </c>
      <c r="I569" s="35" t="s">
        <v>75</v>
      </c>
    </row>
    <row r="570" ht="22.5" customHeight="1">
      <c r="A570" s="35" t="s">
        <v>1386</v>
      </c>
      <c r="B570" s="35" t="s">
        <v>1387</v>
      </c>
      <c r="C570" s="35" t="s">
        <v>61</v>
      </c>
      <c r="D570" s="35" t="s">
        <v>67</v>
      </c>
      <c r="E570" s="35" t="s">
        <v>68</v>
      </c>
      <c r="F570" s="35">
        <v>1100.0</v>
      </c>
      <c r="G570" s="35">
        <v>3.01</v>
      </c>
      <c r="H570" s="35">
        <v>365.4</v>
      </c>
      <c r="I570" s="35" t="s">
        <v>62</v>
      </c>
    </row>
    <row r="571" ht="22.5" customHeight="1">
      <c r="A571" s="35" t="s">
        <v>1388</v>
      </c>
      <c r="B571" s="35" t="s">
        <v>1389</v>
      </c>
      <c r="C571" s="35" t="s">
        <v>61</v>
      </c>
      <c r="D571" s="35" t="s">
        <v>102</v>
      </c>
      <c r="E571" s="35" t="s">
        <v>103</v>
      </c>
      <c r="F571" s="35">
        <v>131.0</v>
      </c>
      <c r="G571" s="35">
        <v>3.55</v>
      </c>
      <c r="H571" s="35">
        <v>36.9</v>
      </c>
      <c r="I571" s="35" t="s">
        <v>75</v>
      </c>
    </row>
    <row r="572" ht="22.5" customHeight="1">
      <c r="A572" s="35" t="s">
        <v>1390</v>
      </c>
      <c r="B572" s="35" t="s">
        <v>1391</v>
      </c>
      <c r="C572" s="35" t="s">
        <v>61</v>
      </c>
      <c r="D572" s="35" t="s">
        <v>123</v>
      </c>
      <c r="E572" s="35" t="s">
        <v>181</v>
      </c>
      <c r="F572" s="35">
        <v>139.0</v>
      </c>
      <c r="G572" s="35">
        <v>3.79</v>
      </c>
      <c r="H572" s="35">
        <v>36.7</v>
      </c>
      <c r="I572" s="35" t="s">
        <v>75</v>
      </c>
    </row>
    <row r="573" ht="22.5" customHeight="1">
      <c r="A573" s="35" t="s">
        <v>1392</v>
      </c>
      <c r="B573" s="35" t="s">
        <v>1393</v>
      </c>
      <c r="C573" s="35" t="s">
        <v>61</v>
      </c>
      <c r="D573" s="35" t="s">
        <v>182</v>
      </c>
      <c r="E573" s="35" t="s">
        <v>357</v>
      </c>
      <c r="F573" s="35">
        <v>745.0</v>
      </c>
      <c r="G573" s="35">
        <v>5.39</v>
      </c>
      <c r="H573" s="35">
        <v>138.2</v>
      </c>
      <c r="I573" s="35" t="s">
        <v>62</v>
      </c>
    </row>
    <row r="574" ht="22.5" customHeight="1">
      <c r="A574" s="35" t="s">
        <v>1394</v>
      </c>
      <c r="B574" s="35" t="s">
        <v>1395</v>
      </c>
      <c r="C574" s="35" t="s">
        <v>61</v>
      </c>
      <c r="D574" s="35" t="s">
        <v>102</v>
      </c>
      <c r="E574" s="35" t="s">
        <v>103</v>
      </c>
      <c r="F574" s="35">
        <v>682.0</v>
      </c>
      <c r="G574" s="35">
        <v>9.8</v>
      </c>
      <c r="H574" s="35">
        <v>69.6</v>
      </c>
      <c r="I574" s="35" t="s">
        <v>62</v>
      </c>
    </row>
    <row r="575" ht="22.5" customHeight="1">
      <c r="A575" s="35" t="s">
        <v>1396</v>
      </c>
      <c r="B575" s="35" t="s">
        <v>1397</v>
      </c>
      <c r="C575" s="35" t="s">
        <v>61</v>
      </c>
      <c r="D575" s="35" t="s">
        <v>50</v>
      </c>
      <c r="E575" s="35" t="s">
        <v>49</v>
      </c>
      <c r="F575" s="35">
        <v>250.0</v>
      </c>
      <c r="G575" s="35">
        <v>7.59</v>
      </c>
      <c r="H575" s="35">
        <v>32.9</v>
      </c>
      <c r="I575" s="35" t="s">
        <v>75</v>
      </c>
    </row>
    <row r="576" ht="22.5" customHeight="1">
      <c r="A576" s="35" t="s">
        <v>1398</v>
      </c>
      <c r="B576" s="35" t="s">
        <v>1399</v>
      </c>
      <c r="C576" s="35" t="s">
        <v>61</v>
      </c>
      <c r="D576" s="35" t="s">
        <v>73</v>
      </c>
      <c r="E576" s="35" t="s">
        <v>74</v>
      </c>
      <c r="F576" s="35">
        <v>341.0</v>
      </c>
      <c r="G576" s="35">
        <v>10.65</v>
      </c>
      <c r="H576" s="35">
        <v>32.0</v>
      </c>
      <c r="I576" s="35" t="s">
        <v>75</v>
      </c>
    </row>
    <row r="577" ht="22.5" customHeight="1">
      <c r="A577" s="35" t="s">
        <v>1400</v>
      </c>
      <c r="B577" s="35" t="s">
        <v>1401</v>
      </c>
      <c r="C577" s="35" t="s">
        <v>61</v>
      </c>
      <c r="D577" s="35" t="s">
        <v>78</v>
      </c>
      <c r="E577" s="35" t="s">
        <v>79</v>
      </c>
      <c r="F577" s="35">
        <v>173.0</v>
      </c>
      <c r="G577" s="35">
        <v>7.44</v>
      </c>
      <c r="H577" s="35">
        <v>23.3</v>
      </c>
      <c r="I577" s="35" t="s">
        <v>75</v>
      </c>
    </row>
    <row r="578" ht="22.5" customHeight="1">
      <c r="A578" s="35" t="s">
        <v>1402</v>
      </c>
      <c r="B578" s="35" t="s">
        <v>1403</v>
      </c>
      <c r="C578" s="35" t="s">
        <v>61</v>
      </c>
      <c r="D578" s="35" t="s">
        <v>137</v>
      </c>
      <c r="E578" s="35" t="s">
        <v>138</v>
      </c>
      <c r="F578" s="35">
        <v>1637.0</v>
      </c>
      <c r="G578" s="35">
        <v>9.69</v>
      </c>
      <c r="H578" s="35">
        <v>168.9</v>
      </c>
      <c r="I578" s="35" t="s">
        <v>62</v>
      </c>
    </row>
    <row r="579" ht="22.5" customHeight="1">
      <c r="A579" s="35" t="s">
        <v>1404</v>
      </c>
      <c r="B579" s="35" t="s">
        <v>1405</v>
      </c>
      <c r="C579" s="35" t="s">
        <v>61</v>
      </c>
      <c r="D579" s="35" t="s">
        <v>152</v>
      </c>
      <c r="E579" s="35" t="s">
        <v>417</v>
      </c>
      <c r="F579" s="35">
        <v>78.0</v>
      </c>
      <c r="G579" s="35">
        <v>2.44</v>
      </c>
      <c r="H579" s="35">
        <v>32.0</v>
      </c>
      <c r="I579" s="35" t="s">
        <v>75</v>
      </c>
    </row>
    <row r="580" ht="22.5" customHeight="1">
      <c r="A580" s="35" t="s">
        <v>1406</v>
      </c>
      <c r="B580" s="35" t="s">
        <v>1407</v>
      </c>
      <c r="C580" s="35" t="s">
        <v>61</v>
      </c>
      <c r="D580" s="35" t="s">
        <v>94</v>
      </c>
      <c r="E580" s="35" t="s">
        <v>95</v>
      </c>
      <c r="F580" s="35">
        <v>186.0</v>
      </c>
      <c r="G580" s="35">
        <v>6.1</v>
      </c>
      <c r="H580" s="35">
        <v>30.5</v>
      </c>
      <c r="I580" s="35" t="s">
        <v>75</v>
      </c>
    </row>
    <row r="581" ht="22.5" customHeight="1">
      <c r="A581" s="35" t="s">
        <v>1408</v>
      </c>
      <c r="B581" s="35" t="s">
        <v>1409</v>
      </c>
      <c r="C581" s="35" t="s">
        <v>61</v>
      </c>
      <c r="D581" s="35" t="s">
        <v>106</v>
      </c>
      <c r="E581" s="35" t="s">
        <v>107</v>
      </c>
      <c r="F581" s="35">
        <v>93.0</v>
      </c>
      <c r="G581" s="35">
        <v>5.18</v>
      </c>
      <c r="H581" s="35">
        <v>18.0</v>
      </c>
      <c r="I581" s="35" t="s">
        <v>75</v>
      </c>
    </row>
    <row r="582" ht="22.5" customHeight="1">
      <c r="A582" s="35" t="s">
        <v>1410</v>
      </c>
      <c r="B582" s="35" t="s">
        <v>1411</v>
      </c>
      <c r="C582" s="35" t="s">
        <v>61</v>
      </c>
      <c r="D582" s="35" t="s">
        <v>67</v>
      </c>
      <c r="E582" s="35" t="s">
        <v>68</v>
      </c>
      <c r="F582" s="35">
        <v>100.0</v>
      </c>
      <c r="G582" s="35">
        <v>2.88</v>
      </c>
      <c r="H582" s="35">
        <v>34.7</v>
      </c>
      <c r="I582" s="35" t="s">
        <v>75</v>
      </c>
    </row>
    <row r="583" ht="22.5" customHeight="1">
      <c r="A583" s="35" t="s">
        <v>1412</v>
      </c>
      <c r="B583" s="35" t="s">
        <v>1413</v>
      </c>
      <c r="C583" s="35" t="s">
        <v>61</v>
      </c>
      <c r="D583" s="35" t="s">
        <v>165</v>
      </c>
      <c r="E583" s="35" t="s">
        <v>254</v>
      </c>
      <c r="F583" s="35">
        <v>432.0</v>
      </c>
      <c r="G583" s="35">
        <v>16.44</v>
      </c>
      <c r="H583" s="35">
        <v>26.3</v>
      </c>
      <c r="I583" s="35" t="s">
        <v>75</v>
      </c>
    </row>
    <row r="584" ht="22.5" customHeight="1">
      <c r="A584" s="35" t="s">
        <v>1414</v>
      </c>
      <c r="B584" s="35" t="s">
        <v>1415</v>
      </c>
      <c r="C584" s="35" t="s">
        <v>61</v>
      </c>
      <c r="D584" s="35" t="s">
        <v>86</v>
      </c>
      <c r="E584" s="35" t="s">
        <v>87</v>
      </c>
      <c r="F584" s="35">
        <v>24.0</v>
      </c>
      <c r="G584" s="35">
        <v>4.93</v>
      </c>
      <c r="H584" s="35">
        <v>4.9</v>
      </c>
      <c r="I584" s="35" t="s">
        <v>75</v>
      </c>
    </row>
    <row r="585" ht="22.5" customHeight="1">
      <c r="A585" s="35" t="s">
        <v>1416</v>
      </c>
      <c r="B585" s="35" t="s">
        <v>1417</v>
      </c>
      <c r="C585" s="35" t="s">
        <v>61</v>
      </c>
      <c r="D585" s="35" t="s">
        <v>67</v>
      </c>
      <c r="E585" s="35" t="s">
        <v>68</v>
      </c>
      <c r="F585" s="35">
        <v>726.0</v>
      </c>
      <c r="G585" s="35">
        <v>6.72</v>
      </c>
      <c r="H585" s="35">
        <v>108.0</v>
      </c>
      <c r="I585" s="35" t="s">
        <v>62</v>
      </c>
    </row>
    <row r="586" ht="22.5" customHeight="1">
      <c r="A586" s="35" t="s">
        <v>1418</v>
      </c>
      <c r="B586" s="35" t="s">
        <v>1419</v>
      </c>
      <c r="C586" s="35" t="s">
        <v>61</v>
      </c>
      <c r="D586" s="35" t="s">
        <v>90</v>
      </c>
      <c r="E586" s="35" t="s">
        <v>91</v>
      </c>
      <c r="F586" s="35">
        <v>115.0</v>
      </c>
      <c r="G586" s="35">
        <v>3.23</v>
      </c>
      <c r="H586" s="35">
        <v>35.6</v>
      </c>
      <c r="I586" s="35" t="s">
        <v>75</v>
      </c>
    </row>
    <row r="587" ht="22.5" customHeight="1">
      <c r="A587" s="35" t="s">
        <v>1420</v>
      </c>
      <c r="B587" s="35" t="s">
        <v>1421</v>
      </c>
      <c r="C587" s="35" t="s">
        <v>61</v>
      </c>
      <c r="D587" s="35" t="s">
        <v>78</v>
      </c>
      <c r="E587" s="35" t="s">
        <v>79</v>
      </c>
      <c r="F587" s="35">
        <v>605.0</v>
      </c>
      <c r="G587" s="35">
        <v>13.63</v>
      </c>
      <c r="H587" s="35">
        <v>44.4</v>
      </c>
      <c r="I587" s="35" t="s">
        <v>62</v>
      </c>
    </row>
    <row r="588" ht="22.5" customHeight="1">
      <c r="A588" s="35" t="s">
        <v>1422</v>
      </c>
      <c r="B588" s="35" t="s">
        <v>1423</v>
      </c>
      <c r="C588" s="35" t="s">
        <v>61</v>
      </c>
      <c r="D588" s="35" t="s">
        <v>198</v>
      </c>
      <c r="E588" s="35" t="s">
        <v>217</v>
      </c>
      <c r="F588" s="35">
        <v>290.0</v>
      </c>
      <c r="G588" s="35">
        <v>15.06</v>
      </c>
      <c r="H588" s="35">
        <v>19.3</v>
      </c>
      <c r="I588" s="35" t="s">
        <v>75</v>
      </c>
    </row>
    <row r="589" ht="22.5" customHeight="1">
      <c r="A589" s="35" t="s">
        <v>1424</v>
      </c>
      <c r="B589" s="35" t="s">
        <v>1425</v>
      </c>
      <c r="C589" s="35" t="s">
        <v>61</v>
      </c>
      <c r="D589" s="35" t="s">
        <v>198</v>
      </c>
      <c r="E589" s="35" t="s">
        <v>217</v>
      </c>
      <c r="F589" s="35">
        <v>353.0</v>
      </c>
      <c r="G589" s="35">
        <v>6.78</v>
      </c>
      <c r="H589" s="35">
        <v>52.1</v>
      </c>
      <c r="I589" s="35" t="s">
        <v>75</v>
      </c>
    </row>
    <row r="590" ht="22.5" customHeight="1">
      <c r="A590" s="35" t="s">
        <v>1426</v>
      </c>
      <c r="B590" s="35" t="s">
        <v>1427</v>
      </c>
      <c r="C590" s="35" t="s">
        <v>61</v>
      </c>
      <c r="D590" s="35" t="s">
        <v>137</v>
      </c>
      <c r="E590" s="35" t="s">
        <v>138</v>
      </c>
      <c r="F590" s="35">
        <v>176.0</v>
      </c>
      <c r="G590" s="35">
        <v>6.83</v>
      </c>
      <c r="H590" s="35">
        <v>25.8</v>
      </c>
      <c r="I590" s="35" t="s">
        <v>75</v>
      </c>
    </row>
    <row r="591" ht="22.5" customHeight="1">
      <c r="A591" s="35" t="s">
        <v>1428</v>
      </c>
      <c r="B591" s="35" t="s">
        <v>1429</v>
      </c>
      <c r="C591" s="35" t="s">
        <v>61</v>
      </c>
      <c r="D591" s="35" t="s">
        <v>73</v>
      </c>
      <c r="E591" s="35" t="s">
        <v>74</v>
      </c>
      <c r="F591" s="35">
        <v>490.0</v>
      </c>
      <c r="G591" s="35">
        <v>9.79</v>
      </c>
      <c r="H591" s="35">
        <v>50.1</v>
      </c>
      <c r="I591" s="35" t="s">
        <v>75</v>
      </c>
    </row>
    <row r="592" ht="22.5" customHeight="1">
      <c r="A592" s="35" t="s">
        <v>1430</v>
      </c>
      <c r="B592" s="35" t="s">
        <v>1431</v>
      </c>
      <c r="C592" s="35" t="s">
        <v>61</v>
      </c>
      <c r="D592" s="35" t="s">
        <v>198</v>
      </c>
      <c r="E592" s="35" t="s">
        <v>217</v>
      </c>
      <c r="F592" s="35">
        <v>683.0</v>
      </c>
      <c r="G592" s="35">
        <v>12.23</v>
      </c>
      <c r="H592" s="35">
        <v>55.8</v>
      </c>
      <c r="I592" s="35" t="s">
        <v>62</v>
      </c>
    </row>
    <row r="593" ht="22.5" customHeight="1">
      <c r="A593" s="35" t="s">
        <v>1432</v>
      </c>
      <c r="B593" s="35" t="s">
        <v>1433</v>
      </c>
      <c r="C593" s="35" t="s">
        <v>61</v>
      </c>
      <c r="D593" s="35" t="s">
        <v>137</v>
      </c>
      <c r="E593" s="35" t="s">
        <v>138</v>
      </c>
      <c r="F593" s="35">
        <v>594.0</v>
      </c>
      <c r="G593" s="35">
        <v>8.3</v>
      </c>
      <c r="H593" s="35">
        <v>71.6</v>
      </c>
      <c r="I593" s="35" t="s">
        <v>62</v>
      </c>
    </row>
    <row r="594" ht="22.5" customHeight="1">
      <c r="A594" s="35" t="s">
        <v>1434</v>
      </c>
      <c r="B594" s="35" t="s">
        <v>1435</v>
      </c>
      <c r="C594" s="35" t="s">
        <v>61</v>
      </c>
      <c r="D594" s="35" t="s">
        <v>90</v>
      </c>
      <c r="E594" s="35" t="s">
        <v>91</v>
      </c>
      <c r="F594" s="35">
        <v>320.0</v>
      </c>
      <c r="G594" s="35">
        <v>9.62</v>
      </c>
      <c r="H594" s="35">
        <v>33.3</v>
      </c>
      <c r="I594" s="35" t="s">
        <v>75</v>
      </c>
    </row>
    <row r="595" ht="22.5" customHeight="1">
      <c r="A595" s="35" t="s">
        <v>1436</v>
      </c>
      <c r="B595" s="35" t="s">
        <v>1437</v>
      </c>
      <c r="C595" s="35" t="s">
        <v>61</v>
      </c>
      <c r="D595" s="35" t="s">
        <v>136</v>
      </c>
      <c r="E595" s="35" t="s">
        <v>189</v>
      </c>
      <c r="F595" s="35">
        <v>401.0</v>
      </c>
      <c r="G595" s="35">
        <v>8.34</v>
      </c>
      <c r="H595" s="35">
        <v>48.1</v>
      </c>
      <c r="I595" s="35" t="s">
        <v>75</v>
      </c>
    </row>
    <row r="596" ht="22.5" customHeight="1">
      <c r="A596" s="35" t="s">
        <v>1438</v>
      </c>
      <c r="B596" s="35" t="s">
        <v>1439</v>
      </c>
      <c r="C596" s="35" t="s">
        <v>61</v>
      </c>
      <c r="D596" s="35" t="s">
        <v>123</v>
      </c>
      <c r="E596" s="35" t="s">
        <v>181</v>
      </c>
      <c r="F596" s="35">
        <v>56.0</v>
      </c>
      <c r="G596" s="35">
        <v>5.06</v>
      </c>
      <c r="H596" s="35">
        <v>11.1</v>
      </c>
      <c r="I596" s="35" t="s">
        <v>75</v>
      </c>
    </row>
    <row r="597" ht="22.5" customHeight="1">
      <c r="A597" s="35" t="s">
        <v>1440</v>
      </c>
      <c r="B597" s="35" t="s">
        <v>1441</v>
      </c>
      <c r="C597" s="35" t="s">
        <v>61</v>
      </c>
      <c r="D597" s="35" t="s">
        <v>165</v>
      </c>
      <c r="E597" s="35" t="s">
        <v>254</v>
      </c>
      <c r="F597" s="35">
        <v>94.0</v>
      </c>
      <c r="G597" s="35">
        <v>6.59</v>
      </c>
      <c r="H597" s="35">
        <v>14.3</v>
      </c>
      <c r="I597" s="35" t="s">
        <v>75</v>
      </c>
    </row>
    <row r="598" ht="22.5" customHeight="1">
      <c r="A598" s="35" t="s">
        <v>1442</v>
      </c>
      <c r="B598" s="35" t="s">
        <v>1443</v>
      </c>
      <c r="C598" s="35" t="s">
        <v>61</v>
      </c>
      <c r="D598" s="35" t="s">
        <v>82</v>
      </c>
      <c r="E598" s="35" t="s">
        <v>83</v>
      </c>
      <c r="F598" s="35">
        <v>276.0</v>
      </c>
      <c r="G598" s="35">
        <v>5.33</v>
      </c>
      <c r="H598" s="35">
        <v>51.8</v>
      </c>
      <c r="I598" s="35" t="s">
        <v>75</v>
      </c>
    </row>
    <row r="599" ht="22.5" customHeight="1">
      <c r="A599" s="35" t="s">
        <v>1444</v>
      </c>
      <c r="B599" s="35" t="s">
        <v>1445</v>
      </c>
      <c r="C599" s="35" t="s">
        <v>61</v>
      </c>
      <c r="D599" s="35" t="s">
        <v>82</v>
      </c>
      <c r="E599" s="35" t="s">
        <v>83</v>
      </c>
      <c r="F599" s="35">
        <v>146.0</v>
      </c>
      <c r="G599" s="35">
        <v>3.49</v>
      </c>
      <c r="H599" s="35">
        <v>41.8</v>
      </c>
      <c r="I599" s="35" t="s">
        <v>75</v>
      </c>
    </row>
    <row r="600" ht="22.5" customHeight="1">
      <c r="A600" s="35" t="s">
        <v>1446</v>
      </c>
      <c r="B600" s="35" t="s">
        <v>1447</v>
      </c>
      <c r="C600" s="35" t="s">
        <v>61</v>
      </c>
      <c r="D600" s="35" t="s">
        <v>78</v>
      </c>
      <c r="E600" s="35" t="s">
        <v>79</v>
      </c>
      <c r="F600" s="35">
        <v>346.0</v>
      </c>
      <c r="G600" s="35">
        <v>18.17</v>
      </c>
      <c r="H600" s="35">
        <v>19.0</v>
      </c>
      <c r="I600" s="35" t="s">
        <v>75</v>
      </c>
    </row>
    <row r="601" ht="22.5" customHeight="1">
      <c r="A601" s="35" t="s">
        <v>1448</v>
      </c>
      <c r="B601" s="35" t="s">
        <v>1449</v>
      </c>
      <c r="C601" s="35" t="s">
        <v>61</v>
      </c>
      <c r="D601" s="35" t="s">
        <v>78</v>
      </c>
      <c r="E601" s="35" t="s">
        <v>79</v>
      </c>
      <c r="F601" s="35">
        <v>136.0</v>
      </c>
      <c r="G601" s="35">
        <v>11.33</v>
      </c>
      <c r="H601" s="35">
        <v>12.0</v>
      </c>
      <c r="I601" s="35" t="s">
        <v>75</v>
      </c>
    </row>
    <row r="602" ht="22.5" customHeight="1">
      <c r="A602" s="35" t="s">
        <v>1450</v>
      </c>
      <c r="B602" s="35" t="s">
        <v>1451</v>
      </c>
      <c r="C602" s="35" t="s">
        <v>61</v>
      </c>
      <c r="D602" s="35" t="s">
        <v>102</v>
      </c>
      <c r="E602" s="35" t="s">
        <v>103</v>
      </c>
      <c r="F602" s="35">
        <v>219.0</v>
      </c>
      <c r="G602" s="35">
        <v>9.85</v>
      </c>
      <c r="H602" s="35">
        <v>22.2</v>
      </c>
      <c r="I602" s="35" t="s">
        <v>75</v>
      </c>
    </row>
    <row r="603" ht="22.5" customHeight="1">
      <c r="A603" s="35" t="s">
        <v>1452</v>
      </c>
      <c r="B603" s="35" t="s">
        <v>1453</v>
      </c>
      <c r="C603" s="35" t="s">
        <v>61</v>
      </c>
      <c r="D603" s="35" t="s">
        <v>165</v>
      </c>
      <c r="E603" s="35" t="s">
        <v>254</v>
      </c>
      <c r="F603" s="35">
        <v>331.0</v>
      </c>
      <c r="G603" s="35">
        <v>17.5</v>
      </c>
      <c r="H603" s="35">
        <v>18.9</v>
      </c>
      <c r="I603" s="35" t="s">
        <v>75</v>
      </c>
    </row>
    <row r="604" ht="22.5" customHeight="1">
      <c r="A604" s="35" t="s">
        <v>1454</v>
      </c>
      <c r="B604" s="35" t="s">
        <v>1455</v>
      </c>
      <c r="C604" s="35" t="s">
        <v>61</v>
      </c>
      <c r="D604" s="35" t="s">
        <v>50</v>
      </c>
      <c r="E604" s="35" t="s">
        <v>49</v>
      </c>
      <c r="F604" s="35">
        <v>428.0</v>
      </c>
      <c r="G604" s="35">
        <v>8.26</v>
      </c>
      <c r="H604" s="35">
        <v>51.8</v>
      </c>
      <c r="I604" s="35" t="s">
        <v>75</v>
      </c>
    </row>
    <row r="605" ht="22.5" customHeight="1">
      <c r="A605" s="35" t="s">
        <v>1456</v>
      </c>
      <c r="B605" s="35" t="s">
        <v>1457</v>
      </c>
      <c r="C605" s="35" t="s">
        <v>61</v>
      </c>
      <c r="D605" s="35" t="s">
        <v>137</v>
      </c>
      <c r="E605" s="35" t="s">
        <v>138</v>
      </c>
      <c r="F605" s="35">
        <v>53.0</v>
      </c>
      <c r="G605" s="35">
        <v>3.94</v>
      </c>
      <c r="H605" s="35">
        <v>13.5</v>
      </c>
      <c r="I605" s="35" t="s">
        <v>75</v>
      </c>
    </row>
    <row r="606" ht="22.5" customHeight="1">
      <c r="A606" s="35" t="s">
        <v>1458</v>
      </c>
      <c r="B606" s="35" t="s">
        <v>1459</v>
      </c>
      <c r="C606" s="35" t="s">
        <v>61</v>
      </c>
      <c r="D606" s="35" t="s">
        <v>90</v>
      </c>
      <c r="E606" s="35" t="s">
        <v>91</v>
      </c>
      <c r="F606" s="35">
        <v>62.0</v>
      </c>
      <c r="G606" s="35">
        <v>4.99</v>
      </c>
      <c r="H606" s="35">
        <v>12.4</v>
      </c>
      <c r="I606" s="35" t="s">
        <v>75</v>
      </c>
    </row>
    <row r="607" ht="22.5" customHeight="1">
      <c r="A607" s="35" t="s">
        <v>1460</v>
      </c>
      <c r="B607" s="35" t="s">
        <v>1461</v>
      </c>
      <c r="C607" s="35" t="s">
        <v>61</v>
      </c>
      <c r="D607" s="35" t="s">
        <v>166</v>
      </c>
      <c r="E607" s="35" t="s">
        <v>168</v>
      </c>
      <c r="F607" s="35">
        <v>89.0</v>
      </c>
      <c r="G607" s="35">
        <v>4.93</v>
      </c>
      <c r="H607" s="35">
        <v>18.1</v>
      </c>
      <c r="I607" s="35" t="s">
        <v>75</v>
      </c>
    </row>
    <row r="608" ht="22.5" customHeight="1">
      <c r="A608" s="35" t="s">
        <v>1462</v>
      </c>
      <c r="B608" s="35" t="s">
        <v>1463</v>
      </c>
      <c r="C608" s="35" t="s">
        <v>61</v>
      </c>
      <c r="D608" s="35" t="s">
        <v>198</v>
      </c>
      <c r="E608" s="35" t="s">
        <v>217</v>
      </c>
      <c r="F608" s="35">
        <v>146.0</v>
      </c>
      <c r="G608" s="35">
        <v>3.8</v>
      </c>
      <c r="H608" s="35">
        <v>38.4</v>
      </c>
      <c r="I608" s="35" t="s">
        <v>75</v>
      </c>
    </row>
    <row r="609" ht="22.5" customHeight="1">
      <c r="A609" s="35" t="s">
        <v>1464</v>
      </c>
      <c r="B609" s="35" t="s">
        <v>1465</v>
      </c>
      <c r="C609" s="35" t="s">
        <v>61</v>
      </c>
      <c r="D609" s="35" t="s">
        <v>94</v>
      </c>
      <c r="E609" s="35" t="s">
        <v>95</v>
      </c>
      <c r="F609" s="35">
        <v>187.0</v>
      </c>
      <c r="G609" s="35">
        <v>12.01</v>
      </c>
      <c r="H609" s="35">
        <v>15.6</v>
      </c>
      <c r="I609" s="35" t="s">
        <v>75</v>
      </c>
    </row>
    <row r="610" ht="22.5" customHeight="1">
      <c r="A610" s="35" t="s">
        <v>1466</v>
      </c>
      <c r="B610" s="35" t="s">
        <v>1467</v>
      </c>
      <c r="C610" s="35" t="s">
        <v>61</v>
      </c>
      <c r="D610" s="35" t="s">
        <v>140</v>
      </c>
      <c r="E610" s="35" t="s">
        <v>147</v>
      </c>
      <c r="F610" s="35">
        <v>265.0</v>
      </c>
      <c r="G610" s="35">
        <v>6.4</v>
      </c>
      <c r="H610" s="35">
        <v>41.4</v>
      </c>
      <c r="I610" s="35" t="s">
        <v>75</v>
      </c>
    </row>
    <row r="611" ht="22.5" customHeight="1">
      <c r="A611" s="35" t="s">
        <v>1468</v>
      </c>
      <c r="B611" s="35" t="s">
        <v>1469</v>
      </c>
      <c r="C611" s="35" t="s">
        <v>61</v>
      </c>
      <c r="D611" s="35" t="s">
        <v>73</v>
      </c>
      <c r="E611" s="35" t="s">
        <v>74</v>
      </c>
      <c r="F611" s="35">
        <v>241.0</v>
      </c>
      <c r="G611" s="35">
        <v>9.02</v>
      </c>
      <c r="H611" s="35">
        <v>26.7</v>
      </c>
      <c r="I611" s="35" t="s">
        <v>75</v>
      </c>
    </row>
    <row r="612" ht="22.5" customHeight="1">
      <c r="A612" s="35" t="s">
        <v>1470</v>
      </c>
      <c r="B612" s="35" t="s">
        <v>1471</v>
      </c>
      <c r="C612" s="35" t="s">
        <v>61</v>
      </c>
      <c r="D612" s="35" t="s">
        <v>94</v>
      </c>
      <c r="E612" s="35" t="s">
        <v>95</v>
      </c>
      <c r="F612" s="35">
        <v>339.0</v>
      </c>
      <c r="G612" s="35">
        <v>10.05</v>
      </c>
      <c r="H612" s="35">
        <v>33.7</v>
      </c>
      <c r="I612" s="35" t="s">
        <v>75</v>
      </c>
    </row>
    <row r="613" ht="22.5" customHeight="1">
      <c r="A613" s="35" t="s">
        <v>1472</v>
      </c>
      <c r="B613" s="35" t="s">
        <v>1473</v>
      </c>
      <c r="C613" s="35" t="s">
        <v>61</v>
      </c>
      <c r="D613" s="35" t="s">
        <v>94</v>
      </c>
      <c r="E613" s="35" t="s">
        <v>95</v>
      </c>
      <c r="F613" s="35">
        <v>144.0</v>
      </c>
      <c r="G613" s="35">
        <v>8.78</v>
      </c>
      <c r="H613" s="35">
        <v>16.4</v>
      </c>
      <c r="I613" s="35" t="s">
        <v>75</v>
      </c>
    </row>
    <row r="614" ht="22.5" customHeight="1">
      <c r="A614" s="35" t="s">
        <v>1474</v>
      </c>
      <c r="B614" s="35" t="s">
        <v>1475</v>
      </c>
      <c r="C614" s="35" t="s">
        <v>61</v>
      </c>
      <c r="D614" s="35" t="s">
        <v>166</v>
      </c>
      <c r="E614" s="35" t="s">
        <v>168</v>
      </c>
      <c r="F614" s="35">
        <v>135.0</v>
      </c>
      <c r="G614" s="35">
        <v>6.75</v>
      </c>
      <c r="H614" s="35">
        <v>20.0</v>
      </c>
      <c r="I614" s="35" t="s">
        <v>75</v>
      </c>
    </row>
    <row r="615" ht="22.5" customHeight="1">
      <c r="A615" s="35" t="s">
        <v>1476</v>
      </c>
      <c r="B615" s="35" t="s">
        <v>1477</v>
      </c>
      <c r="C615" s="35" t="s">
        <v>61</v>
      </c>
      <c r="D615" s="35" t="s">
        <v>166</v>
      </c>
      <c r="E615" s="35" t="s">
        <v>168</v>
      </c>
      <c r="F615" s="35">
        <v>157.0</v>
      </c>
      <c r="G615" s="35">
        <v>7.94</v>
      </c>
      <c r="H615" s="35">
        <v>19.8</v>
      </c>
      <c r="I615" s="35" t="s">
        <v>75</v>
      </c>
    </row>
    <row r="616" ht="22.5" customHeight="1">
      <c r="A616" s="35" t="s">
        <v>1478</v>
      </c>
      <c r="B616" s="35" t="s">
        <v>1479</v>
      </c>
      <c r="C616" s="35" t="s">
        <v>61</v>
      </c>
      <c r="D616" s="35" t="s">
        <v>102</v>
      </c>
      <c r="E616" s="35" t="s">
        <v>103</v>
      </c>
      <c r="F616" s="35">
        <v>790.0</v>
      </c>
      <c r="G616" s="35">
        <v>10.65</v>
      </c>
      <c r="H616" s="35">
        <v>74.2</v>
      </c>
      <c r="I616" s="35" t="s">
        <v>62</v>
      </c>
    </row>
    <row r="617" ht="22.5" customHeight="1">
      <c r="A617" s="35" t="s">
        <v>1480</v>
      </c>
      <c r="B617" s="35" t="s">
        <v>1481</v>
      </c>
      <c r="C617" s="35" t="s">
        <v>61</v>
      </c>
      <c r="D617" s="35" t="s">
        <v>102</v>
      </c>
      <c r="E617" s="35" t="s">
        <v>103</v>
      </c>
      <c r="F617" s="35">
        <v>360.0</v>
      </c>
      <c r="G617" s="35">
        <v>14.97</v>
      </c>
      <c r="H617" s="35">
        <v>24.0</v>
      </c>
      <c r="I617" s="35" t="s">
        <v>75</v>
      </c>
    </row>
    <row r="618" ht="22.5" customHeight="1">
      <c r="A618" s="35" t="s">
        <v>1482</v>
      </c>
      <c r="B618" s="35" t="s">
        <v>1483</v>
      </c>
      <c r="C618" s="35" t="s">
        <v>61</v>
      </c>
      <c r="D618" s="35" t="s">
        <v>123</v>
      </c>
      <c r="E618" s="35" t="s">
        <v>181</v>
      </c>
      <c r="F618" s="35">
        <v>225.0</v>
      </c>
      <c r="G618" s="35">
        <v>6.67</v>
      </c>
      <c r="H618" s="35">
        <v>33.7</v>
      </c>
      <c r="I618" s="35" t="s">
        <v>75</v>
      </c>
    </row>
    <row r="619" ht="22.5" customHeight="1">
      <c r="A619" s="35" t="s">
        <v>1484</v>
      </c>
      <c r="B619" s="35" t="s">
        <v>1485</v>
      </c>
      <c r="C619" s="35" t="s">
        <v>61</v>
      </c>
      <c r="D619" s="35" t="s">
        <v>82</v>
      </c>
      <c r="E619" s="35" t="s">
        <v>83</v>
      </c>
      <c r="F619" s="35">
        <v>86.0</v>
      </c>
      <c r="G619" s="35">
        <v>3.62</v>
      </c>
      <c r="H619" s="35">
        <v>23.8</v>
      </c>
      <c r="I619" s="35" t="s">
        <v>75</v>
      </c>
    </row>
    <row r="620" ht="22.5" customHeight="1">
      <c r="A620" s="35" t="s">
        <v>1486</v>
      </c>
      <c r="B620" s="35" t="s">
        <v>1487</v>
      </c>
      <c r="C620" s="35" t="s">
        <v>61</v>
      </c>
      <c r="D620" s="35" t="s">
        <v>94</v>
      </c>
      <c r="E620" s="35" t="s">
        <v>95</v>
      </c>
      <c r="F620" s="35">
        <v>1931.0</v>
      </c>
      <c r="G620" s="35">
        <v>27.04</v>
      </c>
      <c r="H620" s="35">
        <v>71.4</v>
      </c>
      <c r="I620" s="35" t="s">
        <v>62</v>
      </c>
    </row>
    <row r="621" ht="22.5" customHeight="1">
      <c r="A621" s="35" t="s">
        <v>1488</v>
      </c>
      <c r="B621" s="35" t="s">
        <v>1489</v>
      </c>
      <c r="C621" s="35" t="s">
        <v>61</v>
      </c>
      <c r="D621" s="35" t="s">
        <v>123</v>
      </c>
      <c r="E621" s="35" t="s">
        <v>181</v>
      </c>
      <c r="F621" s="35">
        <v>299.0</v>
      </c>
      <c r="G621" s="35">
        <v>5.69</v>
      </c>
      <c r="H621" s="35">
        <v>52.5</v>
      </c>
      <c r="I621" s="35" t="s">
        <v>75</v>
      </c>
    </row>
    <row r="622" ht="22.5" customHeight="1">
      <c r="A622" s="35" t="s">
        <v>1490</v>
      </c>
      <c r="B622" s="35" t="s">
        <v>1491</v>
      </c>
      <c r="C622" s="35" t="s">
        <v>61</v>
      </c>
      <c r="D622" s="35" t="s">
        <v>165</v>
      </c>
      <c r="E622" s="35" t="s">
        <v>254</v>
      </c>
      <c r="F622" s="35">
        <v>359.0</v>
      </c>
      <c r="G622" s="35">
        <v>11.08</v>
      </c>
      <c r="H622" s="35">
        <v>32.4</v>
      </c>
      <c r="I622" s="35" t="s">
        <v>75</v>
      </c>
    </row>
    <row r="623" ht="22.5" customHeight="1">
      <c r="A623" s="35" t="s">
        <v>1492</v>
      </c>
      <c r="B623" s="35" t="s">
        <v>1493</v>
      </c>
      <c r="C623" s="35" t="s">
        <v>61</v>
      </c>
      <c r="D623" s="35" t="s">
        <v>50</v>
      </c>
      <c r="E623" s="35" t="s">
        <v>49</v>
      </c>
      <c r="F623" s="35">
        <v>88.0</v>
      </c>
      <c r="G623" s="35">
        <v>5.51</v>
      </c>
      <c r="H623" s="35">
        <v>16.0</v>
      </c>
      <c r="I623" s="35" t="s">
        <v>75</v>
      </c>
    </row>
    <row r="624" ht="22.5" customHeight="1">
      <c r="A624" s="35" t="s">
        <v>1494</v>
      </c>
      <c r="B624" s="35" t="s">
        <v>1495</v>
      </c>
      <c r="C624" s="35" t="s">
        <v>61</v>
      </c>
      <c r="D624" s="35" t="s">
        <v>165</v>
      </c>
      <c r="E624" s="35" t="s">
        <v>254</v>
      </c>
      <c r="F624" s="35">
        <v>95.0</v>
      </c>
      <c r="G624" s="35">
        <v>5.65</v>
      </c>
      <c r="H624" s="35">
        <v>16.8</v>
      </c>
      <c r="I624" s="35" t="s">
        <v>75</v>
      </c>
    </row>
    <row r="625" ht="22.5" customHeight="1">
      <c r="A625" s="35" t="s">
        <v>1496</v>
      </c>
      <c r="B625" s="35" t="s">
        <v>1497</v>
      </c>
      <c r="C625" s="35" t="s">
        <v>61</v>
      </c>
      <c r="D625" s="35" t="s">
        <v>182</v>
      </c>
      <c r="E625" s="35" t="s">
        <v>357</v>
      </c>
      <c r="F625" s="35">
        <v>450.0</v>
      </c>
      <c r="G625" s="35">
        <v>4.29</v>
      </c>
      <c r="H625" s="35">
        <v>104.9</v>
      </c>
      <c r="I625" s="35" t="s">
        <v>75</v>
      </c>
    </row>
    <row r="626" ht="22.5" customHeight="1">
      <c r="A626" s="35" t="s">
        <v>1498</v>
      </c>
      <c r="B626" s="35" t="s">
        <v>1499</v>
      </c>
      <c r="C626" s="35" t="s">
        <v>61</v>
      </c>
      <c r="D626" s="35" t="s">
        <v>82</v>
      </c>
      <c r="E626" s="35" t="s">
        <v>83</v>
      </c>
      <c r="F626" s="35">
        <v>83.0</v>
      </c>
      <c r="G626" s="35">
        <v>4.0</v>
      </c>
      <c r="H626" s="35">
        <v>20.8</v>
      </c>
      <c r="I626" s="35" t="s">
        <v>75</v>
      </c>
    </row>
    <row r="627" ht="22.5" customHeight="1">
      <c r="A627" s="35" t="s">
        <v>1500</v>
      </c>
      <c r="B627" s="35" t="s">
        <v>1501</v>
      </c>
      <c r="C627" s="35" t="s">
        <v>61</v>
      </c>
      <c r="D627" s="35" t="s">
        <v>123</v>
      </c>
      <c r="E627" s="35" t="s">
        <v>181</v>
      </c>
      <c r="F627" s="35">
        <v>155.0</v>
      </c>
      <c r="G627" s="35">
        <v>6.08</v>
      </c>
      <c r="H627" s="35">
        <v>25.5</v>
      </c>
      <c r="I627" s="35" t="s">
        <v>75</v>
      </c>
    </row>
    <row r="628" ht="22.5" customHeight="1">
      <c r="A628" s="35" t="s">
        <v>1502</v>
      </c>
      <c r="B628" s="35" t="s">
        <v>1503</v>
      </c>
      <c r="C628" s="35" t="s">
        <v>61</v>
      </c>
      <c r="D628" s="35" t="s">
        <v>78</v>
      </c>
      <c r="E628" s="35" t="s">
        <v>79</v>
      </c>
      <c r="F628" s="35">
        <v>365.0</v>
      </c>
      <c r="G628" s="35">
        <v>7.06</v>
      </c>
      <c r="H628" s="35">
        <v>51.7</v>
      </c>
      <c r="I628" s="35" t="s">
        <v>75</v>
      </c>
    </row>
    <row r="629" ht="22.5" customHeight="1">
      <c r="A629" s="35" t="s">
        <v>1504</v>
      </c>
      <c r="B629" s="35" t="s">
        <v>1505</v>
      </c>
      <c r="C629" s="35" t="s">
        <v>61</v>
      </c>
      <c r="D629" s="35" t="s">
        <v>165</v>
      </c>
      <c r="E629" s="35" t="s">
        <v>254</v>
      </c>
      <c r="F629" s="35">
        <v>200.0</v>
      </c>
      <c r="G629" s="35">
        <v>4.25</v>
      </c>
      <c r="H629" s="35">
        <v>47.1</v>
      </c>
      <c r="I629" s="35" t="s">
        <v>75</v>
      </c>
    </row>
    <row r="630" ht="22.5" customHeight="1">
      <c r="A630" s="35" t="s">
        <v>1506</v>
      </c>
      <c r="B630" s="35" t="s">
        <v>1507</v>
      </c>
      <c r="C630" s="35" t="s">
        <v>61</v>
      </c>
      <c r="D630" s="35" t="s">
        <v>198</v>
      </c>
      <c r="E630" s="35" t="s">
        <v>217</v>
      </c>
      <c r="F630" s="35">
        <v>237.0</v>
      </c>
      <c r="G630" s="35">
        <v>5.9</v>
      </c>
      <c r="H630" s="35">
        <v>40.2</v>
      </c>
      <c r="I630" s="35" t="s">
        <v>75</v>
      </c>
    </row>
    <row r="631" ht="22.5" customHeight="1">
      <c r="A631" s="35" t="s">
        <v>1508</v>
      </c>
      <c r="B631" s="35" t="s">
        <v>1509</v>
      </c>
      <c r="C631" s="35" t="s">
        <v>61</v>
      </c>
      <c r="D631" s="35" t="s">
        <v>140</v>
      </c>
      <c r="E631" s="35" t="s">
        <v>147</v>
      </c>
      <c r="F631" s="35">
        <v>506.0</v>
      </c>
      <c r="G631" s="35">
        <v>5.15</v>
      </c>
      <c r="H631" s="35">
        <v>98.3</v>
      </c>
      <c r="I631" s="35" t="s">
        <v>62</v>
      </c>
    </row>
    <row r="632" ht="22.5" customHeight="1">
      <c r="A632" s="35" t="s">
        <v>1510</v>
      </c>
      <c r="B632" s="35" t="s">
        <v>1511</v>
      </c>
      <c r="C632" s="35" t="s">
        <v>61</v>
      </c>
      <c r="D632" s="35" t="s">
        <v>166</v>
      </c>
      <c r="E632" s="35" t="s">
        <v>168</v>
      </c>
      <c r="F632" s="35">
        <v>45.0</v>
      </c>
      <c r="G632" s="35">
        <v>3.9</v>
      </c>
      <c r="H632" s="35">
        <v>11.5</v>
      </c>
      <c r="I632" s="35" t="s">
        <v>75</v>
      </c>
    </row>
    <row r="633" ht="22.5" customHeight="1">
      <c r="A633" s="35" t="s">
        <v>1512</v>
      </c>
      <c r="B633" s="35" t="s">
        <v>1513</v>
      </c>
      <c r="C633" s="35" t="s">
        <v>61</v>
      </c>
      <c r="D633" s="35" t="s">
        <v>137</v>
      </c>
      <c r="E633" s="35" t="s">
        <v>138</v>
      </c>
      <c r="F633" s="35">
        <v>226.0</v>
      </c>
      <c r="G633" s="35">
        <v>3.01</v>
      </c>
      <c r="H633" s="35">
        <v>75.1</v>
      </c>
      <c r="I633" s="35" t="s">
        <v>75</v>
      </c>
    </row>
    <row r="634" ht="22.5" customHeight="1">
      <c r="A634" s="35" t="s">
        <v>1514</v>
      </c>
      <c r="B634" s="35" t="s">
        <v>1515</v>
      </c>
      <c r="C634" s="35" t="s">
        <v>61</v>
      </c>
      <c r="D634" s="35" t="s">
        <v>123</v>
      </c>
      <c r="E634" s="35" t="s">
        <v>181</v>
      </c>
      <c r="F634" s="35">
        <v>335.0</v>
      </c>
      <c r="G634" s="35">
        <v>8.04</v>
      </c>
      <c r="H634" s="35">
        <v>41.7</v>
      </c>
      <c r="I634" s="35" t="s">
        <v>75</v>
      </c>
    </row>
    <row r="635" ht="22.5" customHeight="1">
      <c r="A635" s="35" t="s">
        <v>1516</v>
      </c>
      <c r="B635" s="35" t="s">
        <v>1517</v>
      </c>
      <c r="C635" s="35" t="s">
        <v>61</v>
      </c>
      <c r="D635" s="35" t="s">
        <v>106</v>
      </c>
      <c r="E635" s="35" t="s">
        <v>107</v>
      </c>
      <c r="F635" s="35">
        <v>239.0</v>
      </c>
      <c r="G635" s="35">
        <v>7.32</v>
      </c>
      <c r="H635" s="35">
        <v>32.7</v>
      </c>
      <c r="I635" s="35" t="s">
        <v>75</v>
      </c>
    </row>
    <row r="636" ht="22.5" customHeight="1">
      <c r="A636" s="35" t="s">
        <v>1518</v>
      </c>
      <c r="B636" s="35" t="s">
        <v>1519</v>
      </c>
      <c r="C636" s="35" t="s">
        <v>61</v>
      </c>
      <c r="D636" s="35" t="s">
        <v>123</v>
      </c>
      <c r="E636" s="35" t="s">
        <v>181</v>
      </c>
      <c r="F636" s="35">
        <v>122.0</v>
      </c>
      <c r="G636" s="35">
        <v>6.77</v>
      </c>
      <c r="H636" s="35">
        <v>18.0</v>
      </c>
      <c r="I636" s="35" t="s">
        <v>75</v>
      </c>
    </row>
    <row r="637" ht="22.5" customHeight="1">
      <c r="A637" s="35" t="s">
        <v>1520</v>
      </c>
      <c r="B637" s="35" t="s">
        <v>1521</v>
      </c>
      <c r="C637" s="35" t="s">
        <v>61</v>
      </c>
      <c r="D637" s="35" t="s">
        <v>106</v>
      </c>
      <c r="E637" s="35" t="s">
        <v>107</v>
      </c>
      <c r="F637" s="35">
        <v>299.0</v>
      </c>
      <c r="G637" s="35">
        <v>12.48</v>
      </c>
      <c r="H637" s="35">
        <v>24.0</v>
      </c>
      <c r="I637" s="35" t="s">
        <v>75</v>
      </c>
    </row>
    <row r="638" ht="22.5" customHeight="1">
      <c r="A638" s="35" t="s">
        <v>1522</v>
      </c>
      <c r="B638" s="35" t="s">
        <v>1523</v>
      </c>
      <c r="C638" s="35" t="s">
        <v>61</v>
      </c>
      <c r="D638" s="35" t="s">
        <v>166</v>
      </c>
      <c r="E638" s="35" t="s">
        <v>168</v>
      </c>
      <c r="F638" s="35">
        <v>917.0</v>
      </c>
      <c r="G638" s="35">
        <v>16.68</v>
      </c>
      <c r="H638" s="35">
        <v>55.0</v>
      </c>
      <c r="I638" s="35" t="s">
        <v>62</v>
      </c>
    </row>
    <row r="639" ht="22.5" customHeight="1">
      <c r="A639" s="35" t="s">
        <v>1524</v>
      </c>
      <c r="B639" s="35" t="s">
        <v>1525</v>
      </c>
      <c r="C639" s="35" t="s">
        <v>61</v>
      </c>
      <c r="D639" s="35" t="s">
        <v>102</v>
      </c>
      <c r="E639" s="35" t="s">
        <v>103</v>
      </c>
      <c r="F639" s="35">
        <v>202.0</v>
      </c>
      <c r="G639" s="35">
        <v>8.67</v>
      </c>
      <c r="H639" s="35">
        <v>23.3</v>
      </c>
      <c r="I639" s="35" t="s">
        <v>75</v>
      </c>
    </row>
    <row r="640" ht="22.5" customHeight="1">
      <c r="A640" s="35" t="s">
        <v>1526</v>
      </c>
      <c r="B640" s="35" t="s">
        <v>1527</v>
      </c>
      <c r="C640" s="35" t="s">
        <v>61</v>
      </c>
      <c r="D640" s="35" t="s">
        <v>165</v>
      </c>
      <c r="E640" s="35" t="s">
        <v>254</v>
      </c>
      <c r="F640" s="35">
        <v>923.0</v>
      </c>
      <c r="G640" s="35">
        <v>12.53</v>
      </c>
      <c r="H640" s="35">
        <v>73.7</v>
      </c>
      <c r="I640" s="35" t="s">
        <v>62</v>
      </c>
    </row>
    <row r="641" ht="22.5" customHeight="1">
      <c r="A641" s="35" t="s">
        <v>1528</v>
      </c>
      <c r="B641" s="35" t="s">
        <v>1529</v>
      </c>
      <c r="C641" s="35" t="s">
        <v>61</v>
      </c>
      <c r="D641" s="35" t="s">
        <v>165</v>
      </c>
      <c r="E641" s="35" t="s">
        <v>254</v>
      </c>
      <c r="F641" s="35">
        <v>148.0</v>
      </c>
      <c r="G641" s="35">
        <v>6.92</v>
      </c>
      <c r="H641" s="35">
        <v>21.4</v>
      </c>
      <c r="I641" s="35" t="s">
        <v>75</v>
      </c>
    </row>
    <row r="642" ht="22.5" customHeight="1">
      <c r="A642" s="35" t="s">
        <v>1530</v>
      </c>
      <c r="B642" s="35" t="s">
        <v>1531</v>
      </c>
      <c r="C642" s="35" t="s">
        <v>61</v>
      </c>
      <c r="D642" s="35" t="s">
        <v>137</v>
      </c>
      <c r="E642" s="35" t="s">
        <v>138</v>
      </c>
      <c r="F642" s="35">
        <v>276.0</v>
      </c>
      <c r="G642" s="35">
        <v>8.42</v>
      </c>
      <c r="H642" s="35">
        <v>32.8</v>
      </c>
      <c r="I642" s="35" t="s">
        <v>75</v>
      </c>
    </row>
    <row r="643" ht="22.5" customHeight="1">
      <c r="A643" s="35" t="s">
        <v>1532</v>
      </c>
      <c r="B643" s="35" t="s">
        <v>1533</v>
      </c>
      <c r="C643" s="35" t="s">
        <v>61</v>
      </c>
      <c r="D643" s="35" t="s">
        <v>102</v>
      </c>
      <c r="E643" s="35" t="s">
        <v>103</v>
      </c>
      <c r="F643" s="35">
        <v>234.0</v>
      </c>
      <c r="G643" s="35">
        <v>6.17</v>
      </c>
      <c r="H643" s="35">
        <v>37.9</v>
      </c>
      <c r="I643" s="35" t="s">
        <v>75</v>
      </c>
    </row>
    <row r="644" ht="22.5" customHeight="1">
      <c r="A644" s="35" t="s">
        <v>1534</v>
      </c>
      <c r="B644" s="35" t="s">
        <v>1535</v>
      </c>
      <c r="C644" s="35" t="s">
        <v>61</v>
      </c>
      <c r="D644" s="35" t="s">
        <v>102</v>
      </c>
      <c r="E644" s="35" t="s">
        <v>103</v>
      </c>
      <c r="F644" s="35">
        <v>441.0</v>
      </c>
      <c r="G644" s="35">
        <v>7.89</v>
      </c>
      <c r="H644" s="35">
        <v>55.9</v>
      </c>
      <c r="I644" s="35" t="s">
        <v>75</v>
      </c>
    </row>
    <row r="645" ht="22.5" customHeight="1">
      <c r="A645" s="35" t="s">
        <v>1536</v>
      </c>
      <c r="B645" s="35" t="s">
        <v>1537</v>
      </c>
      <c r="C645" s="35" t="s">
        <v>61</v>
      </c>
      <c r="D645" s="35" t="s">
        <v>156</v>
      </c>
      <c r="E645" s="35" t="s">
        <v>157</v>
      </c>
      <c r="F645" s="35">
        <v>44.0</v>
      </c>
      <c r="G645" s="35">
        <v>5.07</v>
      </c>
      <c r="H645" s="35">
        <v>8.7</v>
      </c>
      <c r="I645" s="35" t="s">
        <v>75</v>
      </c>
    </row>
    <row r="646" ht="22.5" customHeight="1">
      <c r="A646" s="35" t="s">
        <v>1538</v>
      </c>
      <c r="B646" s="35" t="s">
        <v>1539</v>
      </c>
      <c r="C646" s="35" t="s">
        <v>61</v>
      </c>
      <c r="D646" s="35" t="s">
        <v>86</v>
      </c>
      <c r="E646" s="35" t="s">
        <v>87</v>
      </c>
      <c r="F646" s="35">
        <v>127.0</v>
      </c>
      <c r="G646" s="35">
        <v>3.37</v>
      </c>
      <c r="H646" s="35">
        <v>37.7</v>
      </c>
      <c r="I646" s="35" t="s">
        <v>75</v>
      </c>
    </row>
    <row r="647" ht="22.5" customHeight="1">
      <c r="A647" s="35" t="s">
        <v>1540</v>
      </c>
      <c r="B647" s="35" t="s">
        <v>1541</v>
      </c>
      <c r="C647" s="35" t="s">
        <v>61</v>
      </c>
      <c r="D647" s="35" t="s">
        <v>78</v>
      </c>
      <c r="E647" s="35" t="s">
        <v>79</v>
      </c>
      <c r="F647" s="35">
        <v>1697.0</v>
      </c>
      <c r="G647" s="35">
        <v>20.34</v>
      </c>
      <c r="H647" s="35">
        <v>83.4</v>
      </c>
      <c r="I647" s="35" t="s">
        <v>62</v>
      </c>
    </row>
    <row r="648" ht="22.5" customHeight="1">
      <c r="A648" s="35" t="s">
        <v>1542</v>
      </c>
      <c r="B648" s="35" t="s">
        <v>1543</v>
      </c>
      <c r="C648" s="35" t="s">
        <v>61</v>
      </c>
      <c r="D648" s="35" t="s">
        <v>123</v>
      </c>
      <c r="E648" s="35" t="s">
        <v>181</v>
      </c>
      <c r="F648" s="35">
        <v>232.0</v>
      </c>
      <c r="G648" s="35">
        <v>6.97</v>
      </c>
      <c r="H648" s="35">
        <v>33.3</v>
      </c>
      <c r="I648" s="35" t="s">
        <v>75</v>
      </c>
    </row>
    <row r="649" ht="22.5" customHeight="1">
      <c r="A649" s="35" t="s">
        <v>1544</v>
      </c>
      <c r="B649" s="35" t="s">
        <v>1545</v>
      </c>
      <c r="C649" s="35" t="s">
        <v>61</v>
      </c>
      <c r="D649" s="35" t="s">
        <v>166</v>
      </c>
      <c r="E649" s="35" t="s">
        <v>168</v>
      </c>
      <c r="F649" s="35">
        <v>73.0</v>
      </c>
      <c r="G649" s="35">
        <v>4.56</v>
      </c>
      <c r="H649" s="35">
        <v>16.0</v>
      </c>
      <c r="I649" s="35" t="s">
        <v>75</v>
      </c>
    </row>
    <row r="650" ht="22.5" customHeight="1">
      <c r="A650" s="35" t="s">
        <v>1546</v>
      </c>
      <c r="B650" s="35" t="s">
        <v>1547</v>
      </c>
      <c r="C650" s="35" t="s">
        <v>61</v>
      </c>
      <c r="D650" s="35" t="s">
        <v>123</v>
      </c>
      <c r="E650" s="35" t="s">
        <v>181</v>
      </c>
      <c r="F650" s="35">
        <v>152.0</v>
      </c>
      <c r="G650" s="35">
        <v>7.58</v>
      </c>
      <c r="H650" s="35">
        <v>20.1</v>
      </c>
      <c r="I650" s="35" t="s">
        <v>75</v>
      </c>
    </row>
    <row r="651" ht="22.5" customHeight="1">
      <c r="A651" s="35" t="s">
        <v>1548</v>
      </c>
      <c r="B651" s="35" t="s">
        <v>1549</v>
      </c>
      <c r="C651" s="35" t="s">
        <v>61</v>
      </c>
      <c r="D651" s="35" t="s">
        <v>50</v>
      </c>
      <c r="E651" s="35" t="s">
        <v>49</v>
      </c>
      <c r="F651" s="35">
        <v>2288.0</v>
      </c>
      <c r="G651" s="35">
        <v>29.76</v>
      </c>
      <c r="H651" s="35">
        <v>76.9</v>
      </c>
      <c r="I651" s="35" t="s">
        <v>142</v>
      </c>
    </row>
    <row r="652" ht="22.5" customHeight="1">
      <c r="A652" s="35" t="s">
        <v>1550</v>
      </c>
      <c r="B652" s="35" t="s">
        <v>1551</v>
      </c>
      <c r="C652" s="35" t="s">
        <v>61</v>
      </c>
      <c r="D652" s="35" t="s">
        <v>165</v>
      </c>
      <c r="E652" s="35" t="s">
        <v>254</v>
      </c>
      <c r="F652" s="35">
        <v>281.0</v>
      </c>
      <c r="G652" s="35">
        <v>7.83</v>
      </c>
      <c r="H652" s="35">
        <v>35.9</v>
      </c>
      <c r="I652" s="35" t="s">
        <v>75</v>
      </c>
    </row>
    <row r="653" ht="22.5" customHeight="1">
      <c r="A653" s="35" t="s">
        <v>1552</v>
      </c>
      <c r="B653" s="35" t="s">
        <v>1553</v>
      </c>
      <c r="C653" s="35" t="s">
        <v>61</v>
      </c>
      <c r="D653" s="35" t="s">
        <v>90</v>
      </c>
      <c r="E653" s="35" t="s">
        <v>91</v>
      </c>
      <c r="F653" s="35">
        <v>116.0</v>
      </c>
      <c r="G653" s="35">
        <v>4.68</v>
      </c>
      <c r="H653" s="35">
        <v>24.8</v>
      </c>
      <c r="I653" s="35" t="s">
        <v>75</v>
      </c>
    </row>
    <row r="654" ht="22.5" customHeight="1">
      <c r="A654" s="35" t="s">
        <v>1554</v>
      </c>
      <c r="B654" s="35" t="s">
        <v>1555</v>
      </c>
      <c r="C654" s="35" t="s">
        <v>61</v>
      </c>
      <c r="D654" s="35" t="s">
        <v>82</v>
      </c>
      <c r="E654" s="35" t="s">
        <v>83</v>
      </c>
      <c r="F654" s="35">
        <v>118.0</v>
      </c>
      <c r="G654" s="35">
        <v>5.52</v>
      </c>
      <c r="H654" s="35">
        <v>21.4</v>
      </c>
      <c r="I654" s="35" t="s">
        <v>75</v>
      </c>
    </row>
    <row r="655" ht="22.5" customHeight="1">
      <c r="A655" s="35" t="s">
        <v>1556</v>
      </c>
      <c r="B655" s="35" t="s">
        <v>1557</v>
      </c>
      <c r="C655" s="35" t="s">
        <v>61</v>
      </c>
      <c r="D655" s="35" t="s">
        <v>156</v>
      </c>
      <c r="E655" s="35" t="s">
        <v>157</v>
      </c>
      <c r="F655" s="35">
        <v>3199.0</v>
      </c>
      <c r="G655" s="35">
        <v>42.22</v>
      </c>
      <c r="H655" s="35">
        <v>75.8</v>
      </c>
      <c r="I655" s="35" t="s">
        <v>142</v>
      </c>
    </row>
    <row r="656" ht="22.5" customHeight="1">
      <c r="A656" s="35" t="s">
        <v>1558</v>
      </c>
      <c r="B656" s="35" t="s">
        <v>1559</v>
      </c>
      <c r="C656" s="35" t="s">
        <v>61</v>
      </c>
      <c r="D656" s="35" t="s">
        <v>50</v>
      </c>
      <c r="E656" s="35" t="s">
        <v>49</v>
      </c>
      <c r="F656" s="35">
        <v>110.0</v>
      </c>
      <c r="G656" s="35">
        <v>6.6</v>
      </c>
      <c r="H656" s="35">
        <v>16.7</v>
      </c>
      <c r="I656" s="35" t="s">
        <v>75</v>
      </c>
    </row>
    <row r="657" ht="22.5" customHeight="1">
      <c r="A657" s="35" t="s">
        <v>1560</v>
      </c>
      <c r="B657" s="35" t="s">
        <v>1561</v>
      </c>
      <c r="C657" s="35" t="s">
        <v>61</v>
      </c>
      <c r="D657" s="35" t="s">
        <v>137</v>
      </c>
      <c r="E657" s="35" t="s">
        <v>138</v>
      </c>
      <c r="F657" s="35">
        <v>370.0</v>
      </c>
      <c r="G657" s="35">
        <v>11.08</v>
      </c>
      <c r="H657" s="35">
        <v>33.4</v>
      </c>
      <c r="I657" s="35" t="s">
        <v>75</v>
      </c>
    </row>
    <row r="658" ht="22.5" customHeight="1">
      <c r="A658" s="35" t="s">
        <v>1562</v>
      </c>
      <c r="B658" s="35" t="s">
        <v>1563</v>
      </c>
      <c r="C658" s="35" t="s">
        <v>61</v>
      </c>
      <c r="D658" s="35" t="s">
        <v>102</v>
      </c>
      <c r="E658" s="35" t="s">
        <v>103</v>
      </c>
      <c r="F658" s="35">
        <v>328.0</v>
      </c>
      <c r="G658" s="35">
        <v>12.06</v>
      </c>
      <c r="H658" s="35">
        <v>27.2</v>
      </c>
      <c r="I658" s="35" t="s">
        <v>75</v>
      </c>
    </row>
    <row r="659" ht="22.5" customHeight="1">
      <c r="A659" s="35" t="s">
        <v>1564</v>
      </c>
      <c r="B659" s="35" t="s">
        <v>1565</v>
      </c>
      <c r="C659" s="35" t="s">
        <v>61</v>
      </c>
      <c r="D659" s="35" t="s">
        <v>165</v>
      </c>
      <c r="E659" s="35" t="s">
        <v>254</v>
      </c>
      <c r="F659" s="35">
        <v>39.0</v>
      </c>
      <c r="G659" s="35">
        <v>7.16</v>
      </c>
      <c r="H659" s="35">
        <v>5.4</v>
      </c>
      <c r="I659" s="35" t="s">
        <v>75</v>
      </c>
    </row>
    <row r="660" ht="22.5" customHeight="1">
      <c r="A660" s="35" t="s">
        <v>1566</v>
      </c>
      <c r="B660" s="35" t="s">
        <v>1567</v>
      </c>
      <c r="C660" s="35" t="s">
        <v>61</v>
      </c>
      <c r="D660" s="35" t="s">
        <v>73</v>
      </c>
      <c r="E660" s="35" t="s">
        <v>74</v>
      </c>
      <c r="F660" s="35">
        <v>41.0</v>
      </c>
      <c r="G660" s="35">
        <v>7.03</v>
      </c>
      <c r="H660" s="35">
        <v>5.8</v>
      </c>
      <c r="I660" s="35" t="s">
        <v>75</v>
      </c>
    </row>
    <row r="661" ht="22.5" customHeight="1">
      <c r="A661" s="35" t="s">
        <v>1568</v>
      </c>
      <c r="B661" s="35" t="s">
        <v>1569</v>
      </c>
      <c r="C661" s="35" t="s">
        <v>61</v>
      </c>
      <c r="D661" s="35" t="s">
        <v>78</v>
      </c>
      <c r="E661" s="35" t="s">
        <v>79</v>
      </c>
      <c r="F661" s="35">
        <v>67.0</v>
      </c>
      <c r="G661" s="35">
        <v>9.62</v>
      </c>
      <c r="H661" s="35">
        <v>7.0</v>
      </c>
      <c r="I661" s="35" t="s">
        <v>75</v>
      </c>
    </row>
    <row r="662" ht="22.5" customHeight="1">
      <c r="A662" s="35" t="s">
        <v>1570</v>
      </c>
      <c r="B662" s="35" t="s">
        <v>1571</v>
      </c>
      <c r="C662" s="35" t="s">
        <v>61</v>
      </c>
      <c r="D662" s="35" t="s">
        <v>140</v>
      </c>
      <c r="E662" s="35" t="s">
        <v>147</v>
      </c>
      <c r="F662" s="35">
        <v>52813.0</v>
      </c>
      <c r="G662" s="35">
        <v>22.8</v>
      </c>
      <c r="H662" s="35">
        <v>2316.4</v>
      </c>
      <c r="I662" s="35" t="s">
        <v>7463</v>
      </c>
    </row>
    <row r="663" ht="22.5" customHeight="1">
      <c r="A663" s="35" t="s">
        <v>1572</v>
      </c>
      <c r="B663" s="35" t="s">
        <v>1573</v>
      </c>
      <c r="C663" s="35" t="s">
        <v>61</v>
      </c>
      <c r="D663" s="35" t="s">
        <v>106</v>
      </c>
      <c r="E663" s="35" t="s">
        <v>107</v>
      </c>
      <c r="F663" s="35">
        <v>226.0</v>
      </c>
      <c r="G663" s="35">
        <v>14.02</v>
      </c>
      <c r="H663" s="35">
        <v>16.1</v>
      </c>
      <c r="I663" s="35" t="s">
        <v>75</v>
      </c>
    </row>
    <row r="664" ht="22.5" customHeight="1">
      <c r="A664" s="35" t="s">
        <v>1574</v>
      </c>
      <c r="B664" s="35" t="s">
        <v>1575</v>
      </c>
      <c r="C664" s="35" t="s">
        <v>61</v>
      </c>
      <c r="D664" s="35" t="s">
        <v>140</v>
      </c>
      <c r="E664" s="35" t="s">
        <v>147</v>
      </c>
      <c r="F664" s="35">
        <v>593.0</v>
      </c>
      <c r="G664" s="35">
        <v>6.36</v>
      </c>
      <c r="H664" s="35">
        <v>93.2</v>
      </c>
      <c r="I664" s="35" t="s">
        <v>62</v>
      </c>
    </row>
    <row r="665" ht="22.5" customHeight="1">
      <c r="A665" s="35" t="s">
        <v>1576</v>
      </c>
      <c r="B665" s="35" t="s">
        <v>1577</v>
      </c>
      <c r="C665" s="35" t="s">
        <v>61</v>
      </c>
      <c r="D665" s="35" t="s">
        <v>86</v>
      </c>
      <c r="E665" s="35" t="s">
        <v>87</v>
      </c>
      <c r="F665" s="35">
        <v>71.0</v>
      </c>
      <c r="G665" s="35">
        <v>2.48</v>
      </c>
      <c r="H665" s="35">
        <v>28.6</v>
      </c>
      <c r="I665" s="35" t="s">
        <v>75</v>
      </c>
    </row>
    <row r="666" ht="22.5" customHeight="1">
      <c r="A666" s="35" t="s">
        <v>1578</v>
      </c>
      <c r="B666" s="35" t="s">
        <v>1579</v>
      </c>
      <c r="C666" s="35" t="s">
        <v>61</v>
      </c>
      <c r="D666" s="35" t="s">
        <v>136</v>
      </c>
      <c r="E666" s="35" t="s">
        <v>189</v>
      </c>
      <c r="F666" s="35">
        <v>384.0</v>
      </c>
      <c r="G666" s="35">
        <v>25.35</v>
      </c>
      <c r="H666" s="35">
        <v>15.1</v>
      </c>
      <c r="I666" s="35" t="s">
        <v>75</v>
      </c>
    </row>
    <row r="667" ht="22.5" customHeight="1">
      <c r="A667" s="35" t="s">
        <v>1580</v>
      </c>
      <c r="B667" s="35" t="s">
        <v>1581</v>
      </c>
      <c r="C667" s="35" t="s">
        <v>61</v>
      </c>
      <c r="D667" s="35" t="s">
        <v>90</v>
      </c>
      <c r="E667" s="35" t="s">
        <v>91</v>
      </c>
      <c r="F667" s="35">
        <v>101.0</v>
      </c>
      <c r="G667" s="35">
        <v>4.49</v>
      </c>
      <c r="H667" s="35">
        <v>22.5</v>
      </c>
      <c r="I667" s="35" t="s">
        <v>75</v>
      </c>
    </row>
    <row r="668" ht="22.5" customHeight="1">
      <c r="A668" s="35" t="s">
        <v>1582</v>
      </c>
      <c r="B668" s="35" t="s">
        <v>1583</v>
      </c>
      <c r="C668" s="35" t="s">
        <v>61</v>
      </c>
      <c r="D668" s="35" t="s">
        <v>123</v>
      </c>
      <c r="E668" s="35" t="s">
        <v>181</v>
      </c>
      <c r="F668" s="35">
        <v>266.0</v>
      </c>
      <c r="G668" s="35">
        <v>10.06</v>
      </c>
      <c r="H668" s="35">
        <v>26.4</v>
      </c>
      <c r="I668" s="35" t="s">
        <v>75</v>
      </c>
    </row>
    <row r="669" ht="22.5" customHeight="1">
      <c r="A669" s="35" t="s">
        <v>1584</v>
      </c>
      <c r="B669" s="35" t="s">
        <v>1585</v>
      </c>
      <c r="C669" s="35" t="s">
        <v>61</v>
      </c>
      <c r="D669" s="35" t="s">
        <v>182</v>
      </c>
      <c r="E669" s="35" t="s">
        <v>357</v>
      </c>
      <c r="F669" s="35">
        <v>687.0</v>
      </c>
      <c r="G669" s="35">
        <v>2.67</v>
      </c>
      <c r="H669" s="35">
        <v>257.3</v>
      </c>
      <c r="I669" s="35" t="s">
        <v>62</v>
      </c>
    </row>
    <row r="670" ht="22.5" customHeight="1">
      <c r="A670" s="35" t="s">
        <v>1586</v>
      </c>
      <c r="B670" s="35" t="s">
        <v>1587</v>
      </c>
      <c r="C670" s="35" t="s">
        <v>61</v>
      </c>
      <c r="D670" s="35" t="s">
        <v>198</v>
      </c>
      <c r="E670" s="35" t="s">
        <v>217</v>
      </c>
      <c r="F670" s="35">
        <v>618.0</v>
      </c>
      <c r="G670" s="35">
        <v>7.5</v>
      </c>
      <c r="H670" s="35">
        <v>82.4</v>
      </c>
      <c r="I670" s="35" t="s">
        <v>62</v>
      </c>
    </row>
    <row r="671" ht="22.5" customHeight="1">
      <c r="A671" s="35" t="s">
        <v>1588</v>
      </c>
      <c r="B671" s="35" t="s">
        <v>1589</v>
      </c>
      <c r="C671" s="35" t="s">
        <v>61</v>
      </c>
      <c r="D671" s="35" t="s">
        <v>198</v>
      </c>
      <c r="E671" s="35" t="s">
        <v>217</v>
      </c>
      <c r="F671" s="35">
        <v>1087.0</v>
      </c>
      <c r="G671" s="35">
        <v>11.84</v>
      </c>
      <c r="H671" s="35">
        <v>91.8</v>
      </c>
      <c r="I671" s="35" t="s">
        <v>62</v>
      </c>
    </row>
    <row r="672" ht="22.5" customHeight="1">
      <c r="A672" s="35" t="s">
        <v>1590</v>
      </c>
      <c r="B672" s="35" t="s">
        <v>1591</v>
      </c>
      <c r="C672" s="35" t="s">
        <v>61</v>
      </c>
      <c r="D672" s="35" t="s">
        <v>137</v>
      </c>
      <c r="E672" s="35" t="s">
        <v>138</v>
      </c>
      <c r="F672" s="35">
        <v>202.0</v>
      </c>
      <c r="G672" s="35">
        <v>7.68</v>
      </c>
      <c r="H672" s="35">
        <v>26.3</v>
      </c>
      <c r="I672" s="35" t="s">
        <v>75</v>
      </c>
    </row>
    <row r="673" ht="22.5" customHeight="1">
      <c r="A673" s="35" t="s">
        <v>1592</v>
      </c>
      <c r="B673" s="35" t="s">
        <v>1593</v>
      </c>
      <c r="C673" s="35" t="s">
        <v>61</v>
      </c>
      <c r="D673" s="35" t="s">
        <v>78</v>
      </c>
      <c r="E673" s="35" t="s">
        <v>79</v>
      </c>
      <c r="F673" s="35">
        <v>201.0</v>
      </c>
      <c r="G673" s="35">
        <v>4.79</v>
      </c>
      <c r="H673" s="35">
        <v>42.0</v>
      </c>
      <c r="I673" s="35" t="s">
        <v>75</v>
      </c>
    </row>
    <row r="674" ht="22.5" customHeight="1">
      <c r="A674" s="35" t="s">
        <v>1594</v>
      </c>
      <c r="B674" s="35" t="s">
        <v>1595</v>
      </c>
      <c r="C674" s="35" t="s">
        <v>61</v>
      </c>
      <c r="D674" s="35" t="s">
        <v>67</v>
      </c>
      <c r="E674" s="35" t="s">
        <v>68</v>
      </c>
      <c r="F674" s="35">
        <v>576.0</v>
      </c>
      <c r="G674" s="35">
        <v>4.81</v>
      </c>
      <c r="H674" s="35">
        <v>119.8</v>
      </c>
      <c r="I674" s="35" t="s">
        <v>62</v>
      </c>
    </row>
    <row r="675" ht="22.5" customHeight="1">
      <c r="A675" s="35" t="s">
        <v>1596</v>
      </c>
      <c r="B675" s="35" t="s">
        <v>1597</v>
      </c>
      <c r="C675" s="35" t="s">
        <v>61</v>
      </c>
      <c r="D675" s="35" t="s">
        <v>137</v>
      </c>
      <c r="E675" s="35" t="s">
        <v>138</v>
      </c>
      <c r="F675" s="35">
        <v>179.0</v>
      </c>
      <c r="G675" s="35">
        <v>8.46</v>
      </c>
      <c r="H675" s="35">
        <v>21.2</v>
      </c>
      <c r="I675" s="35" t="s">
        <v>75</v>
      </c>
    </row>
    <row r="676" ht="22.5" customHeight="1">
      <c r="A676" s="35" t="s">
        <v>1598</v>
      </c>
      <c r="B676" s="35" t="s">
        <v>1599</v>
      </c>
      <c r="C676" s="35" t="s">
        <v>61</v>
      </c>
      <c r="D676" s="35" t="s">
        <v>198</v>
      </c>
      <c r="E676" s="35" t="s">
        <v>217</v>
      </c>
      <c r="F676" s="35">
        <v>219.0</v>
      </c>
      <c r="G676" s="35">
        <v>6.43</v>
      </c>
      <c r="H676" s="35">
        <v>34.1</v>
      </c>
      <c r="I676" s="35" t="s">
        <v>75</v>
      </c>
    </row>
    <row r="677" ht="22.5" customHeight="1">
      <c r="A677" s="35" t="s">
        <v>1600</v>
      </c>
      <c r="B677" s="35" t="s">
        <v>1601</v>
      </c>
      <c r="C677" s="35" t="s">
        <v>61</v>
      </c>
      <c r="D677" s="35" t="s">
        <v>198</v>
      </c>
      <c r="E677" s="35" t="s">
        <v>217</v>
      </c>
      <c r="F677" s="35">
        <v>380.0</v>
      </c>
      <c r="G677" s="35">
        <v>6.71</v>
      </c>
      <c r="H677" s="35">
        <v>56.6</v>
      </c>
      <c r="I677" s="35" t="s">
        <v>75</v>
      </c>
    </row>
    <row r="678" ht="22.5" customHeight="1">
      <c r="A678" s="35" t="s">
        <v>1602</v>
      </c>
      <c r="B678" s="35" t="s">
        <v>1603</v>
      </c>
      <c r="C678" s="35" t="s">
        <v>61</v>
      </c>
      <c r="D678" s="35" t="s">
        <v>140</v>
      </c>
      <c r="E678" s="35" t="s">
        <v>147</v>
      </c>
      <c r="F678" s="35">
        <v>706.0</v>
      </c>
      <c r="G678" s="35">
        <v>10.45</v>
      </c>
      <c r="H678" s="35">
        <v>67.6</v>
      </c>
      <c r="I678" s="35" t="s">
        <v>62</v>
      </c>
    </row>
    <row r="679" ht="22.5" customHeight="1">
      <c r="A679" s="35" t="s">
        <v>1604</v>
      </c>
      <c r="B679" s="35" t="s">
        <v>1605</v>
      </c>
      <c r="C679" s="35" t="s">
        <v>61</v>
      </c>
      <c r="D679" s="35" t="s">
        <v>67</v>
      </c>
      <c r="E679" s="35" t="s">
        <v>68</v>
      </c>
      <c r="F679" s="35">
        <v>273.0</v>
      </c>
      <c r="G679" s="35">
        <v>9.12</v>
      </c>
      <c r="H679" s="35">
        <v>29.9</v>
      </c>
      <c r="I679" s="35" t="s">
        <v>75</v>
      </c>
    </row>
    <row r="680" ht="22.5" customHeight="1">
      <c r="A680" s="35" t="s">
        <v>1606</v>
      </c>
      <c r="B680" s="35" t="s">
        <v>1607</v>
      </c>
      <c r="C680" s="35" t="s">
        <v>61</v>
      </c>
      <c r="D680" s="35" t="s">
        <v>123</v>
      </c>
      <c r="E680" s="35" t="s">
        <v>181</v>
      </c>
      <c r="F680" s="35">
        <v>139.0</v>
      </c>
      <c r="G680" s="35">
        <v>13.59</v>
      </c>
      <c r="H680" s="35">
        <v>10.2</v>
      </c>
      <c r="I680" s="35" t="s">
        <v>75</v>
      </c>
    </row>
    <row r="681" ht="22.5" customHeight="1">
      <c r="A681" s="35" t="s">
        <v>1608</v>
      </c>
      <c r="B681" s="35" t="s">
        <v>1609</v>
      </c>
      <c r="C681" s="35" t="s">
        <v>61</v>
      </c>
      <c r="D681" s="35" t="s">
        <v>123</v>
      </c>
      <c r="E681" s="35" t="s">
        <v>181</v>
      </c>
      <c r="F681" s="35">
        <v>273.0</v>
      </c>
      <c r="G681" s="35">
        <v>13.67</v>
      </c>
      <c r="H681" s="35">
        <v>20.0</v>
      </c>
      <c r="I681" s="35" t="s">
        <v>75</v>
      </c>
    </row>
    <row r="682" ht="22.5" customHeight="1">
      <c r="A682" s="35" t="s">
        <v>1610</v>
      </c>
      <c r="B682" s="35" t="s">
        <v>1611</v>
      </c>
      <c r="C682" s="35" t="s">
        <v>61</v>
      </c>
      <c r="D682" s="35" t="s">
        <v>67</v>
      </c>
      <c r="E682" s="35" t="s">
        <v>68</v>
      </c>
      <c r="F682" s="35">
        <v>340.0</v>
      </c>
      <c r="G682" s="35">
        <v>5.53</v>
      </c>
      <c r="H682" s="35">
        <v>61.5</v>
      </c>
      <c r="I682" s="35" t="s">
        <v>75</v>
      </c>
    </row>
    <row r="683" ht="22.5" customHeight="1">
      <c r="A683" s="35" t="s">
        <v>1612</v>
      </c>
      <c r="B683" s="35" t="s">
        <v>1613</v>
      </c>
      <c r="C683" s="35" t="s">
        <v>61</v>
      </c>
      <c r="D683" s="35" t="s">
        <v>90</v>
      </c>
      <c r="E683" s="35" t="s">
        <v>91</v>
      </c>
      <c r="F683" s="35">
        <v>42.0</v>
      </c>
      <c r="G683" s="35">
        <v>2.2</v>
      </c>
      <c r="H683" s="35">
        <v>19.1</v>
      </c>
      <c r="I683" s="35" t="s">
        <v>75</v>
      </c>
    </row>
    <row r="684" ht="22.5" customHeight="1">
      <c r="A684" s="35" t="s">
        <v>1614</v>
      </c>
      <c r="B684" s="35" t="s">
        <v>1615</v>
      </c>
      <c r="C684" s="35" t="s">
        <v>61</v>
      </c>
      <c r="D684" s="35" t="s">
        <v>50</v>
      </c>
      <c r="E684" s="35" t="s">
        <v>49</v>
      </c>
      <c r="F684" s="35">
        <v>287.0</v>
      </c>
      <c r="G684" s="35">
        <v>5.6</v>
      </c>
      <c r="H684" s="35">
        <v>51.2</v>
      </c>
      <c r="I684" s="35" t="s">
        <v>75</v>
      </c>
    </row>
    <row r="685" ht="22.5" customHeight="1">
      <c r="A685" s="35" t="s">
        <v>1616</v>
      </c>
      <c r="B685" s="35" t="s">
        <v>1617</v>
      </c>
      <c r="C685" s="35" t="s">
        <v>61</v>
      </c>
      <c r="D685" s="35" t="s">
        <v>94</v>
      </c>
      <c r="E685" s="35" t="s">
        <v>95</v>
      </c>
      <c r="F685" s="35">
        <v>601.0</v>
      </c>
      <c r="G685" s="35">
        <v>11.7</v>
      </c>
      <c r="H685" s="35">
        <v>51.4</v>
      </c>
      <c r="I685" s="35" t="s">
        <v>62</v>
      </c>
    </row>
    <row r="686" ht="22.5" customHeight="1">
      <c r="A686" s="35" t="s">
        <v>1618</v>
      </c>
      <c r="B686" s="35" t="s">
        <v>1619</v>
      </c>
      <c r="C686" s="35" t="s">
        <v>61</v>
      </c>
      <c r="D686" s="35" t="s">
        <v>102</v>
      </c>
      <c r="E686" s="35" t="s">
        <v>103</v>
      </c>
      <c r="F686" s="35">
        <v>112.0</v>
      </c>
      <c r="G686" s="35">
        <v>2.37</v>
      </c>
      <c r="H686" s="35">
        <v>47.3</v>
      </c>
      <c r="I686" s="35" t="s">
        <v>75</v>
      </c>
    </row>
    <row r="687" ht="22.5" customHeight="1">
      <c r="A687" s="35" t="s">
        <v>1620</v>
      </c>
      <c r="B687" s="35" t="s">
        <v>1621</v>
      </c>
      <c r="C687" s="35" t="s">
        <v>61</v>
      </c>
      <c r="D687" s="35" t="s">
        <v>50</v>
      </c>
      <c r="E687" s="35" t="s">
        <v>49</v>
      </c>
      <c r="F687" s="35">
        <v>2005.0</v>
      </c>
      <c r="G687" s="35">
        <v>13.16</v>
      </c>
      <c r="H687" s="35">
        <v>152.4</v>
      </c>
      <c r="I687" s="35" t="s">
        <v>142</v>
      </c>
    </row>
    <row r="688" ht="22.5" customHeight="1">
      <c r="A688" s="35" t="s">
        <v>1622</v>
      </c>
      <c r="B688" s="35" t="s">
        <v>1623</v>
      </c>
      <c r="C688" s="35" t="s">
        <v>61</v>
      </c>
      <c r="D688" s="35" t="s">
        <v>78</v>
      </c>
      <c r="E688" s="35" t="s">
        <v>79</v>
      </c>
      <c r="F688" s="35">
        <v>2065.0</v>
      </c>
      <c r="G688" s="35">
        <v>53.5</v>
      </c>
      <c r="H688" s="35">
        <v>38.6</v>
      </c>
      <c r="I688" s="35" t="s">
        <v>142</v>
      </c>
    </row>
    <row r="689" ht="22.5" customHeight="1">
      <c r="A689" s="35" t="s">
        <v>1624</v>
      </c>
      <c r="B689" s="35" t="s">
        <v>1625</v>
      </c>
      <c r="C689" s="35" t="s">
        <v>61</v>
      </c>
      <c r="D689" s="35" t="s">
        <v>94</v>
      </c>
      <c r="E689" s="35" t="s">
        <v>95</v>
      </c>
      <c r="F689" s="35">
        <v>505.0</v>
      </c>
      <c r="G689" s="35">
        <v>10.84</v>
      </c>
      <c r="H689" s="35">
        <v>46.6</v>
      </c>
      <c r="I689" s="35" t="s">
        <v>62</v>
      </c>
    </row>
    <row r="690" ht="22.5" customHeight="1">
      <c r="A690" s="35" t="s">
        <v>1626</v>
      </c>
      <c r="B690" s="35" t="s">
        <v>1627</v>
      </c>
      <c r="C690" s="35" t="s">
        <v>61</v>
      </c>
      <c r="D690" s="35" t="s">
        <v>67</v>
      </c>
      <c r="E690" s="35" t="s">
        <v>68</v>
      </c>
      <c r="F690" s="35">
        <v>28046.0</v>
      </c>
      <c r="G690" s="35">
        <v>12.32</v>
      </c>
      <c r="H690" s="35">
        <v>2276.5</v>
      </c>
      <c r="I690" s="35" t="s">
        <v>571</v>
      </c>
    </row>
    <row r="691" ht="22.5" customHeight="1">
      <c r="A691" s="35" t="s">
        <v>1628</v>
      </c>
      <c r="B691" s="35" t="s">
        <v>1629</v>
      </c>
      <c r="C691" s="35" t="s">
        <v>61</v>
      </c>
      <c r="D691" s="35" t="s">
        <v>166</v>
      </c>
      <c r="E691" s="35" t="s">
        <v>168</v>
      </c>
      <c r="F691" s="35">
        <v>95.0</v>
      </c>
      <c r="G691" s="35">
        <v>6.0</v>
      </c>
      <c r="H691" s="35">
        <v>15.8</v>
      </c>
      <c r="I691" s="35" t="s">
        <v>75</v>
      </c>
    </row>
    <row r="692" ht="22.5" customHeight="1">
      <c r="A692" s="35" t="s">
        <v>1630</v>
      </c>
      <c r="B692" s="35" t="s">
        <v>1631</v>
      </c>
      <c r="C692" s="35" t="s">
        <v>61</v>
      </c>
      <c r="D692" s="35" t="s">
        <v>123</v>
      </c>
      <c r="E692" s="35" t="s">
        <v>181</v>
      </c>
      <c r="F692" s="35">
        <v>56.0</v>
      </c>
      <c r="G692" s="35">
        <v>4.23</v>
      </c>
      <c r="H692" s="35">
        <v>13.2</v>
      </c>
      <c r="I692" s="35" t="s">
        <v>75</v>
      </c>
    </row>
    <row r="693" ht="22.5" customHeight="1">
      <c r="A693" s="35" t="s">
        <v>1632</v>
      </c>
      <c r="B693" s="35" t="s">
        <v>1633</v>
      </c>
      <c r="C693" s="35" t="s">
        <v>61</v>
      </c>
      <c r="D693" s="35" t="s">
        <v>165</v>
      </c>
      <c r="E693" s="35" t="s">
        <v>254</v>
      </c>
      <c r="F693" s="35">
        <v>134.0</v>
      </c>
      <c r="G693" s="35">
        <v>4.62</v>
      </c>
      <c r="H693" s="35">
        <v>29.0</v>
      </c>
      <c r="I693" s="35" t="s">
        <v>75</v>
      </c>
    </row>
    <row r="694" ht="22.5" customHeight="1">
      <c r="A694" s="35" t="s">
        <v>1634</v>
      </c>
      <c r="B694" s="35" t="s">
        <v>1635</v>
      </c>
      <c r="C694" s="35" t="s">
        <v>61</v>
      </c>
      <c r="D694" s="35" t="s">
        <v>140</v>
      </c>
      <c r="E694" s="35" t="s">
        <v>147</v>
      </c>
      <c r="F694" s="35">
        <v>178.0</v>
      </c>
      <c r="G694" s="35">
        <v>6.28</v>
      </c>
      <c r="H694" s="35">
        <v>28.3</v>
      </c>
      <c r="I694" s="35" t="s">
        <v>75</v>
      </c>
    </row>
    <row r="695" ht="22.5" customHeight="1">
      <c r="A695" s="35" t="s">
        <v>1636</v>
      </c>
      <c r="B695" s="35" t="s">
        <v>1637</v>
      </c>
      <c r="C695" s="35" t="s">
        <v>61</v>
      </c>
      <c r="D695" s="35" t="s">
        <v>73</v>
      </c>
      <c r="E695" s="35" t="s">
        <v>74</v>
      </c>
      <c r="F695" s="35">
        <v>205.0</v>
      </c>
      <c r="G695" s="35">
        <v>9.26</v>
      </c>
      <c r="H695" s="35">
        <v>22.1</v>
      </c>
      <c r="I695" s="35" t="s">
        <v>75</v>
      </c>
    </row>
    <row r="696" ht="22.5" customHeight="1">
      <c r="A696" s="35" t="s">
        <v>1638</v>
      </c>
      <c r="B696" s="35" t="s">
        <v>1639</v>
      </c>
      <c r="C696" s="35" t="s">
        <v>61</v>
      </c>
      <c r="D696" s="35" t="s">
        <v>165</v>
      </c>
      <c r="E696" s="35" t="s">
        <v>254</v>
      </c>
      <c r="F696" s="35">
        <v>266.0</v>
      </c>
      <c r="G696" s="35">
        <v>13.94</v>
      </c>
      <c r="H696" s="35">
        <v>19.1</v>
      </c>
      <c r="I696" s="35" t="s">
        <v>75</v>
      </c>
    </row>
    <row r="697" ht="22.5" customHeight="1">
      <c r="A697" s="35" t="s">
        <v>1640</v>
      </c>
      <c r="B697" s="35" t="s">
        <v>1641</v>
      </c>
      <c r="C697" s="35" t="s">
        <v>61</v>
      </c>
      <c r="D697" s="35" t="s">
        <v>102</v>
      </c>
      <c r="E697" s="35" t="s">
        <v>103</v>
      </c>
      <c r="F697" s="35">
        <v>74.0</v>
      </c>
      <c r="G697" s="35">
        <v>5.22</v>
      </c>
      <c r="H697" s="35">
        <v>14.2</v>
      </c>
      <c r="I697" s="35" t="s">
        <v>75</v>
      </c>
    </row>
    <row r="698" ht="22.5" customHeight="1">
      <c r="A698" s="35" t="s">
        <v>1642</v>
      </c>
      <c r="B698" s="35" t="s">
        <v>1643</v>
      </c>
      <c r="C698" s="35" t="s">
        <v>61</v>
      </c>
      <c r="D698" s="35" t="s">
        <v>90</v>
      </c>
      <c r="E698" s="35" t="s">
        <v>91</v>
      </c>
      <c r="F698" s="35">
        <v>272.0</v>
      </c>
      <c r="G698" s="35">
        <v>10.27</v>
      </c>
      <c r="H698" s="35">
        <v>26.5</v>
      </c>
      <c r="I698" s="35" t="s">
        <v>75</v>
      </c>
    </row>
    <row r="699" ht="22.5" customHeight="1">
      <c r="A699" s="35" t="s">
        <v>1644</v>
      </c>
      <c r="B699" s="35" t="s">
        <v>1645</v>
      </c>
      <c r="C699" s="35" t="s">
        <v>61</v>
      </c>
      <c r="D699" s="35" t="s">
        <v>165</v>
      </c>
      <c r="E699" s="35" t="s">
        <v>254</v>
      </c>
      <c r="F699" s="35">
        <v>155.0</v>
      </c>
      <c r="G699" s="35">
        <v>7.44</v>
      </c>
      <c r="H699" s="35">
        <v>20.8</v>
      </c>
      <c r="I699" s="35" t="s">
        <v>75</v>
      </c>
    </row>
    <row r="700" ht="22.5" customHeight="1">
      <c r="A700" s="35" t="s">
        <v>1646</v>
      </c>
      <c r="B700" s="35" t="s">
        <v>1647</v>
      </c>
      <c r="C700" s="35" t="s">
        <v>61</v>
      </c>
      <c r="D700" s="35" t="s">
        <v>94</v>
      </c>
      <c r="E700" s="35" t="s">
        <v>95</v>
      </c>
      <c r="F700" s="35">
        <v>92.0</v>
      </c>
      <c r="G700" s="35">
        <v>6.38</v>
      </c>
      <c r="H700" s="35">
        <v>14.4</v>
      </c>
      <c r="I700" s="35" t="s">
        <v>75</v>
      </c>
    </row>
    <row r="701" ht="22.5" customHeight="1">
      <c r="A701" s="35" t="s">
        <v>1648</v>
      </c>
      <c r="B701" s="35" t="s">
        <v>1649</v>
      </c>
      <c r="C701" s="35" t="s">
        <v>61</v>
      </c>
      <c r="D701" s="35" t="s">
        <v>102</v>
      </c>
      <c r="E701" s="35" t="s">
        <v>103</v>
      </c>
      <c r="F701" s="35">
        <v>257.0</v>
      </c>
      <c r="G701" s="35">
        <v>10.58</v>
      </c>
      <c r="H701" s="35">
        <v>24.3</v>
      </c>
      <c r="I701" s="35" t="s">
        <v>75</v>
      </c>
    </row>
    <row r="702" ht="22.5" customHeight="1">
      <c r="A702" s="35" t="s">
        <v>1650</v>
      </c>
      <c r="B702" s="35" t="s">
        <v>1651</v>
      </c>
      <c r="C702" s="35" t="s">
        <v>61</v>
      </c>
      <c r="D702" s="35" t="s">
        <v>90</v>
      </c>
      <c r="E702" s="35" t="s">
        <v>91</v>
      </c>
      <c r="F702" s="35">
        <v>16.0</v>
      </c>
      <c r="G702" s="35">
        <v>2.54</v>
      </c>
      <c r="H702" s="35">
        <v>6.3</v>
      </c>
      <c r="I702" s="35" t="s">
        <v>75</v>
      </c>
    </row>
    <row r="703" ht="22.5" customHeight="1">
      <c r="A703" s="35" t="s">
        <v>1652</v>
      </c>
      <c r="B703" s="35" t="s">
        <v>1653</v>
      </c>
      <c r="C703" s="35" t="s">
        <v>61</v>
      </c>
      <c r="D703" s="35" t="s">
        <v>102</v>
      </c>
      <c r="E703" s="35" t="s">
        <v>103</v>
      </c>
      <c r="F703" s="35">
        <v>162.0</v>
      </c>
      <c r="G703" s="35">
        <v>8.84</v>
      </c>
      <c r="H703" s="35">
        <v>18.3</v>
      </c>
      <c r="I703" s="35" t="s">
        <v>75</v>
      </c>
    </row>
    <row r="704" ht="22.5" customHeight="1">
      <c r="A704" s="35" t="s">
        <v>1654</v>
      </c>
      <c r="B704" s="35" t="s">
        <v>1655</v>
      </c>
      <c r="C704" s="35" t="s">
        <v>61</v>
      </c>
      <c r="D704" s="35" t="s">
        <v>73</v>
      </c>
      <c r="E704" s="35" t="s">
        <v>74</v>
      </c>
      <c r="F704" s="35">
        <v>543.0</v>
      </c>
      <c r="G704" s="35">
        <v>25.58</v>
      </c>
      <c r="H704" s="35">
        <v>21.2</v>
      </c>
      <c r="I704" s="35" t="s">
        <v>62</v>
      </c>
    </row>
    <row r="705" ht="22.5" customHeight="1">
      <c r="A705" s="35" t="s">
        <v>1656</v>
      </c>
      <c r="B705" s="35" t="s">
        <v>1657</v>
      </c>
      <c r="C705" s="35" t="s">
        <v>61</v>
      </c>
      <c r="D705" s="35" t="s">
        <v>50</v>
      </c>
      <c r="E705" s="35" t="s">
        <v>49</v>
      </c>
      <c r="F705" s="35">
        <v>13045.0</v>
      </c>
      <c r="G705" s="35">
        <v>18.3</v>
      </c>
      <c r="H705" s="35">
        <v>712.8</v>
      </c>
      <c r="I705" s="35" t="s">
        <v>571</v>
      </c>
    </row>
    <row r="706" ht="22.5" customHeight="1">
      <c r="A706" s="35" t="s">
        <v>1658</v>
      </c>
      <c r="B706" s="35" t="s">
        <v>1659</v>
      </c>
      <c r="C706" s="35" t="s">
        <v>61</v>
      </c>
      <c r="D706" s="35" t="s">
        <v>90</v>
      </c>
      <c r="E706" s="35" t="s">
        <v>91</v>
      </c>
      <c r="F706" s="35">
        <v>317.0</v>
      </c>
      <c r="G706" s="35">
        <v>7.06</v>
      </c>
      <c r="H706" s="35">
        <v>44.9</v>
      </c>
      <c r="I706" s="35" t="s">
        <v>75</v>
      </c>
    </row>
    <row r="707" ht="22.5" customHeight="1">
      <c r="A707" s="35" t="s">
        <v>1660</v>
      </c>
      <c r="B707" s="35" t="s">
        <v>1661</v>
      </c>
      <c r="C707" s="35" t="s">
        <v>61</v>
      </c>
      <c r="D707" s="35" t="s">
        <v>165</v>
      </c>
      <c r="E707" s="35" t="s">
        <v>254</v>
      </c>
      <c r="F707" s="35">
        <v>220.0</v>
      </c>
      <c r="G707" s="35">
        <v>16.75</v>
      </c>
      <c r="H707" s="35">
        <v>13.1</v>
      </c>
      <c r="I707" s="35" t="s">
        <v>75</v>
      </c>
    </row>
    <row r="708" ht="22.5" customHeight="1">
      <c r="A708" s="35" t="s">
        <v>1662</v>
      </c>
      <c r="B708" s="35" t="s">
        <v>1663</v>
      </c>
      <c r="C708" s="35" t="s">
        <v>61</v>
      </c>
      <c r="D708" s="35" t="s">
        <v>94</v>
      </c>
      <c r="E708" s="35" t="s">
        <v>95</v>
      </c>
      <c r="F708" s="35">
        <v>541.0</v>
      </c>
      <c r="G708" s="35">
        <v>6.99</v>
      </c>
      <c r="H708" s="35">
        <v>77.4</v>
      </c>
      <c r="I708" s="35" t="s">
        <v>62</v>
      </c>
    </row>
    <row r="709" ht="22.5" customHeight="1">
      <c r="A709" s="35" t="s">
        <v>1664</v>
      </c>
      <c r="B709" s="35" t="s">
        <v>1665</v>
      </c>
      <c r="C709" s="35" t="s">
        <v>61</v>
      </c>
      <c r="D709" s="35" t="s">
        <v>73</v>
      </c>
      <c r="E709" s="35" t="s">
        <v>74</v>
      </c>
      <c r="F709" s="35">
        <v>122.0</v>
      </c>
      <c r="G709" s="35">
        <v>6.23</v>
      </c>
      <c r="H709" s="35">
        <v>19.6</v>
      </c>
      <c r="I709" s="35" t="s">
        <v>75</v>
      </c>
    </row>
    <row r="710" ht="22.5" customHeight="1">
      <c r="A710" s="35" t="s">
        <v>1666</v>
      </c>
      <c r="B710" s="35" t="s">
        <v>1667</v>
      </c>
      <c r="C710" s="35" t="s">
        <v>61</v>
      </c>
      <c r="D710" s="35" t="s">
        <v>166</v>
      </c>
      <c r="E710" s="35" t="s">
        <v>168</v>
      </c>
      <c r="F710" s="35">
        <v>158.0</v>
      </c>
      <c r="G710" s="35">
        <v>7.12</v>
      </c>
      <c r="H710" s="35">
        <v>22.2</v>
      </c>
      <c r="I710" s="35" t="s">
        <v>75</v>
      </c>
    </row>
    <row r="711" ht="22.5" customHeight="1">
      <c r="A711" s="35" t="s">
        <v>1668</v>
      </c>
      <c r="B711" s="35" t="s">
        <v>1669</v>
      </c>
      <c r="C711" s="35" t="s">
        <v>61</v>
      </c>
      <c r="D711" s="35" t="s">
        <v>123</v>
      </c>
      <c r="E711" s="35" t="s">
        <v>181</v>
      </c>
      <c r="F711" s="35">
        <v>81.0</v>
      </c>
      <c r="G711" s="35">
        <v>3.59</v>
      </c>
      <c r="H711" s="35">
        <v>22.6</v>
      </c>
      <c r="I711" s="35" t="s">
        <v>75</v>
      </c>
    </row>
    <row r="712" ht="22.5" customHeight="1">
      <c r="A712" s="35" t="s">
        <v>1670</v>
      </c>
      <c r="B712" s="35" t="s">
        <v>1671</v>
      </c>
      <c r="C712" s="35" t="s">
        <v>61</v>
      </c>
      <c r="D712" s="35" t="s">
        <v>73</v>
      </c>
      <c r="E712" s="35" t="s">
        <v>74</v>
      </c>
      <c r="F712" s="35">
        <v>110.0</v>
      </c>
      <c r="G712" s="35">
        <v>7.8</v>
      </c>
      <c r="H712" s="35">
        <v>14.1</v>
      </c>
      <c r="I712" s="35" t="s">
        <v>75</v>
      </c>
    </row>
    <row r="713" ht="22.5" customHeight="1">
      <c r="A713" s="35" t="s">
        <v>1672</v>
      </c>
      <c r="B713" s="35" t="s">
        <v>1673</v>
      </c>
      <c r="C713" s="35" t="s">
        <v>61</v>
      </c>
      <c r="D713" s="35" t="s">
        <v>50</v>
      </c>
      <c r="E713" s="35" t="s">
        <v>49</v>
      </c>
      <c r="F713" s="35">
        <v>685.0</v>
      </c>
      <c r="G713" s="35">
        <v>14.5</v>
      </c>
      <c r="H713" s="35">
        <v>47.2</v>
      </c>
      <c r="I713" s="35" t="s">
        <v>62</v>
      </c>
    </row>
    <row r="714" ht="22.5" customHeight="1">
      <c r="A714" s="35" t="s">
        <v>1674</v>
      </c>
      <c r="B714" s="35" t="s">
        <v>1675</v>
      </c>
      <c r="C714" s="35" t="s">
        <v>61</v>
      </c>
      <c r="D714" s="35" t="s">
        <v>198</v>
      </c>
      <c r="E714" s="35" t="s">
        <v>217</v>
      </c>
      <c r="F714" s="35">
        <v>80.0</v>
      </c>
      <c r="G714" s="35">
        <v>4.05</v>
      </c>
      <c r="H714" s="35">
        <v>19.8</v>
      </c>
      <c r="I714" s="35" t="s">
        <v>75</v>
      </c>
    </row>
    <row r="715" ht="22.5" customHeight="1">
      <c r="A715" s="35" t="s">
        <v>1676</v>
      </c>
      <c r="B715" s="35" t="s">
        <v>1677</v>
      </c>
      <c r="C715" s="35" t="s">
        <v>61</v>
      </c>
      <c r="D715" s="35" t="s">
        <v>123</v>
      </c>
      <c r="E715" s="35" t="s">
        <v>181</v>
      </c>
      <c r="F715" s="35">
        <v>952.0</v>
      </c>
      <c r="G715" s="35">
        <v>20.4</v>
      </c>
      <c r="H715" s="35">
        <v>46.7</v>
      </c>
      <c r="I715" s="35" t="s">
        <v>62</v>
      </c>
    </row>
    <row r="716" ht="22.5" customHeight="1">
      <c r="A716" s="35" t="s">
        <v>1678</v>
      </c>
      <c r="B716" s="35" t="s">
        <v>1679</v>
      </c>
      <c r="C716" s="35" t="s">
        <v>61</v>
      </c>
      <c r="D716" s="35" t="s">
        <v>102</v>
      </c>
      <c r="E716" s="35" t="s">
        <v>103</v>
      </c>
      <c r="F716" s="35">
        <v>207.0</v>
      </c>
      <c r="G716" s="35">
        <v>2.8</v>
      </c>
      <c r="H716" s="35">
        <v>73.9</v>
      </c>
      <c r="I716" s="35" t="s">
        <v>75</v>
      </c>
    </row>
    <row r="717" ht="22.5" customHeight="1">
      <c r="A717" s="35" t="s">
        <v>1680</v>
      </c>
      <c r="B717" s="35" t="s">
        <v>1681</v>
      </c>
      <c r="C717" s="35" t="s">
        <v>61</v>
      </c>
      <c r="D717" s="35" t="s">
        <v>137</v>
      </c>
      <c r="E717" s="35" t="s">
        <v>138</v>
      </c>
      <c r="F717" s="35">
        <v>541.0</v>
      </c>
      <c r="G717" s="35">
        <v>15.24</v>
      </c>
      <c r="H717" s="35">
        <v>35.5</v>
      </c>
      <c r="I717" s="35" t="s">
        <v>62</v>
      </c>
    </row>
    <row r="718" ht="22.5" customHeight="1">
      <c r="A718" s="35" t="s">
        <v>1682</v>
      </c>
      <c r="B718" s="35" t="s">
        <v>1683</v>
      </c>
      <c r="C718" s="35" t="s">
        <v>61</v>
      </c>
      <c r="D718" s="35" t="s">
        <v>86</v>
      </c>
      <c r="E718" s="35" t="s">
        <v>87</v>
      </c>
      <c r="F718" s="35">
        <v>139.0</v>
      </c>
      <c r="G718" s="35">
        <v>3.02</v>
      </c>
      <c r="H718" s="35">
        <v>46.0</v>
      </c>
      <c r="I718" s="35" t="s">
        <v>75</v>
      </c>
    </row>
    <row r="719" ht="22.5" customHeight="1">
      <c r="A719" s="35" t="s">
        <v>1684</v>
      </c>
      <c r="B719" s="35" t="s">
        <v>1685</v>
      </c>
      <c r="C719" s="35" t="s">
        <v>61</v>
      </c>
      <c r="D719" s="35" t="s">
        <v>140</v>
      </c>
      <c r="E719" s="35" t="s">
        <v>147</v>
      </c>
      <c r="F719" s="35">
        <v>282.0</v>
      </c>
      <c r="G719" s="35">
        <v>5.92</v>
      </c>
      <c r="H719" s="35">
        <v>47.6</v>
      </c>
      <c r="I719" s="35" t="s">
        <v>75</v>
      </c>
    </row>
    <row r="720" ht="22.5" customHeight="1">
      <c r="A720" s="35" t="s">
        <v>1686</v>
      </c>
      <c r="B720" s="35" t="s">
        <v>1687</v>
      </c>
      <c r="C720" s="35" t="s">
        <v>61</v>
      </c>
      <c r="D720" s="35" t="s">
        <v>82</v>
      </c>
      <c r="E720" s="35" t="s">
        <v>83</v>
      </c>
      <c r="F720" s="35">
        <v>341.0</v>
      </c>
      <c r="G720" s="35">
        <v>12.98</v>
      </c>
      <c r="H720" s="35">
        <v>26.3</v>
      </c>
      <c r="I720" s="35" t="s">
        <v>75</v>
      </c>
    </row>
    <row r="721" ht="22.5" customHeight="1">
      <c r="A721" s="35" t="s">
        <v>1688</v>
      </c>
      <c r="B721" s="35" t="s">
        <v>1689</v>
      </c>
      <c r="C721" s="35" t="s">
        <v>61</v>
      </c>
      <c r="D721" s="35" t="s">
        <v>50</v>
      </c>
      <c r="E721" s="35" t="s">
        <v>49</v>
      </c>
      <c r="F721" s="35">
        <v>187.0</v>
      </c>
      <c r="G721" s="35">
        <v>6.0</v>
      </c>
      <c r="H721" s="35">
        <v>31.2</v>
      </c>
      <c r="I721" s="35" t="s">
        <v>75</v>
      </c>
    </row>
    <row r="722" ht="22.5" customHeight="1">
      <c r="A722" s="35" t="s">
        <v>1690</v>
      </c>
      <c r="B722" s="35" t="s">
        <v>1691</v>
      </c>
      <c r="C722" s="35" t="s">
        <v>61</v>
      </c>
      <c r="D722" s="35" t="s">
        <v>137</v>
      </c>
      <c r="E722" s="35" t="s">
        <v>138</v>
      </c>
      <c r="F722" s="35">
        <v>534.0</v>
      </c>
      <c r="G722" s="35">
        <v>7.31</v>
      </c>
      <c r="H722" s="35">
        <v>73.1</v>
      </c>
      <c r="I722" s="35" t="s">
        <v>62</v>
      </c>
    </row>
    <row r="723" ht="22.5" customHeight="1">
      <c r="A723" s="35" t="s">
        <v>1692</v>
      </c>
      <c r="B723" s="35" t="s">
        <v>1693</v>
      </c>
      <c r="C723" s="35" t="s">
        <v>61</v>
      </c>
      <c r="D723" s="35" t="s">
        <v>94</v>
      </c>
      <c r="E723" s="35" t="s">
        <v>95</v>
      </c>
      <c r="F723" s="35">
        <v>687.0</v>
      </c>
      <c r="G723" s="35">
        <v>13.8</v>
      </c>
      <c r="H723" s="35">
        <v>49.8</v>
      </c>
      <c r="I723" s="35" t="s">
        <v>62</v>
      </c>
    </row>
    <row r="724" ht="22.5" customHeight="1">
      <c r="A724" s="35" t="s">
        <v>1694</v>
      </c>
      <c r="B724" s="35" t="s">
        <v>1695</v>
      </c>
      <c r="C724" s="35" t="s">
        <v>61</v>
      </c>
      <c r="D724" s="35" t="s">
        <v>82</v>
      </c>
      <c r="E724" s="35" t="s">
        <v>83</v>
      </c>
      <c r="F724" s="35">
        <v>505.0</v>
      </c>
      <c r="G724" s="35">
        <v>12.4</v>
      </c>
      <c r="H724" s="35">
        <v>40.7</v>
      </c>
      <c r="I724" s="35" t="s">
        <v>62</v>
      </c>
    </row>
    <row r="725" ht="22.5" customHeight="1">
      <c r="A725" s="35" t="s">
        <v>1696</v>
      </c>
      <c r="B725" s="35" t="s">
        <v>1697</v>
      </c>
      <c r="C725" s="35" t="s">
        <v>61</v>
      </c>
      <c r="D725" s="35" t="s">
        <v>90</v>
      </c>
      <c r="E725" s="35" t="s">
        <v>91</v>
      </c>
      <c r="F725" s="35">
        <v>2050.0</v>
      </c>
      <c r="G725" s="35">
        <v>9.97</v>
      </c>
      <c r="H725" s="35">
        <v>205.6</v>
      </c>
      <c r="I725" s="35" t="s">
        <v>142</v>
      </c>
    </row>
    <row r="726" ht="22.5" customHeight="1">
      <c r="A726" s="35" t="s">
        <v>1698</v>
      </c>
      <c r="B726" s="35" t="s">
        <v>1699</v>
      </c>
      <c r="C726" s="35" t="s">
        <v>61</v>
      </c>
      <c r="D726" s="35" t="s">
        <v>165</v>
      </c>
      <c r="E726" s="35" t="s">
        <v>254</v>
      </c>
      <c r="F726" s="35">
        <v>355.0</v>
      </c>
      <c r="G726" s="35">
        <v>5.22</v>
      </c>
      <c r="H726" s="35">
        <v>68.0</v>
      </c>
      <c r="I726" s="35" t="s">
        <v>75</v>
      </c>
    </row>
    <row r="727" ht="22.5" customHeight="1">
      <c r="A727" s="35" t="s">
        <v>1700</v>
      </c>
      <c r="B727" s="35" t="s">
        <v>1701</v>
      </c>
      <c r="C727" s="35" t="s">
        <v>61</v>
      </c>
      <c r="D727" s="35" t="s">
        <v>82</v>
      </c>
      <c r="E727" s="35" t="s">
        <v>83</v>
      </c>
      <c r="F727" s="35">
        <v>152.0</v>
      </c>
      <c r="G727" s="35">
        <v>5.36</v>
      </c>
      <c r="H727" s="35">
        <v>28.4</v>
      </c>
      <c r="I727" s="35" t="s">
        <v>75</v>
      </c>
    </row>
    <row r="728" ht="22.5" customHeight="1">
      <c r="A728" s="35" t="s">
        <v>1702</v>
      </c>
      <c r="B728" s="35" t="s">
        <v>1703</v>
      </c>
      <c r="C728" s="35" t="s">
        <v>61</v>
      </c>
      <c r="D728" s="35" t="s">
        <v>78</v>
      </c>
      <c r="E728" s="35" t="s">
        <v>79</v>
      </c>
      <c r="F728" s="35">
        <v>217.0</v>
      </c>
      <c r="G728" s="35">
        <v>5.52</v>
      </c>
      <c r="H728" s="35">
        <v>39.3</v>
      </c>
      <c r="I728" s="35" t="s">
        <v>75</v>
      </c>
    </row>
    <row r="729" ht="22.5" customHeight="1">
      <c r="A729" s="35" t="s">
        <v>1704</v>
      </c>
      <c r="B729" s="35" t="s">
        <v>1705</v>
      </c>
      <c r="C729" s="35" t="s">
        <v>61</v>
      </c>
      <c r="D729" s="35" t="s">
        <v>102</v>
      </c>
      <c r="E729" s="35" t="s">
        <v>103</v>
      </c>
      <c r="F729" s="35">
        <v>172.0</v>
      </c>
      <c r="G729" s="35">
        <v>9.84</v>
      </c>
      <c r="H729" s="35">
        <v>17.5</v>
      </c>
      <c r="I729" s="35" t="s">
        <v>75</v>
      </c>
    </row>
    <row r="730" ht="22.5" customHeight="1">
      <c r="A730" s="35" t="s">
        <v>1706</v>
      </c>
      <c r="B730" s="35" t="s">
        <v>1707</v>
      </c>
      <c r="C730" s="35" t="s">
        <v>61</v>
      </c>
      <c r="D730" s="35" t="s">
        <v>90</v>
      </c>
      <c r="E730" s="35" t="s">
        <v>91</v>
      </c>
      <c r="F730" s="35">
        <v>197.0</v>
      </c>
      <c r="G730" s="35">
        <v>3.22</v>
      </c>
      <c r="H730" s="35">
        <v>61.2</v>
      </c>
      <c r="I730" s="35" t="s">
        <v>75</v>
      </c>
    </row>
    <row r="731" ht="22.5" customHeight="1">
      <c r="A731" s="35" t="s">
        <v>1708</v>
      </c>
      <c r="B731" s="35" t="s">
        <v>1709</v>
      </c>
      <c r="C731" s="35" t="s">
        <v>61</v>
      </c>
      <c r="D731" s="35" t="s">
        <v>86</v>
      </c>
      <c r="E731" s="35" t="s">
        <v>87</v>
      </c>
      <c r="F731" s="35">
        <v>92.0</v>
      </c>
      <c r="G731" s="35">
        <v>2.94</v>
      </c>
      <c r="H731" s="35">
        <v>31.3</v>
      </c>
      <c r="I731" s="35" t="s">
        <v>75</v>
      </c>
    </row>
    <row r="732" ht="22.5" customHeight="1">
      <c r="A732" s="35" t="s">
        <v>1710</v>
      </c>
      <c r="B732" s="35" t="s">
        <v>1711</v>
      </c>
      <c r="C732" s="35" t="s">
        <v>61</v>
      </c>
      <c r="D732" s="35" t="s">
        <v>136</v>
      </c>
      <c r="E732" s="35" t="s">
        <v>189</v>
      </c>
      <c r="F732" s="35">
        <v>230.0</v>
      </c>
      <c r="G732" s="35">
        <v>4.02</v>
      </c>
      <c r="H732" s="35">
        <v>57.2</v>
      </c>
      <c r="I732" s="35" t="s">
        <v>75</v>
      </c>
    </row>
    <row r="733" ht="22.5" customHeight="1">
      <c r="A733" s="35" t="s">
        <v>1712</v>
      </c>
      <c r="B733" s="35" t="s">
        <v>1713</v>
      </c>
      <c r="C733" s="35" t="s">
        <v>61</v>
      </c>
      <c r="D733" s="35" t="s">
        <v>90</v>
      </c>
      <c r="E733" s="35" t="s">
        <v>91</v>
      </c>
      <c r="F733" s="35">
        <v>237.0</v>
      </c>
      <c r="G733" s="35">
        <v>8.53</v>
      </c>
      <c r="H733" s="35">
        <v>27.8</v>
      </c>
      <c r="I733" s="35" t="s">
        <v>75</v>
      </c>
    </row>
    <row r="734" ht="22.5" customHeight="1">
      <c r="A734" s="35" t="s">
        <v>1714</v>
      </c>
      <c r="B734" s="35" t="s">
        <v>1715</v>
      </c>
      <c r="C734" s="35" t="s">
        <v>61</v>
      </c>
      <c r="D734" s="35" t="s">
        <v>67</v>
      </c>
      <c r="E734" s="35" t="s">
        <v>68</v>
      </c>
      <c r="F734" s="35">
        <v>323.0</v>
      </c>
      <c r="G734" s="35">
        <v>6.55</v>
      </c>
      <c r="H734" s="35">
        <v>49.3</v>
      </c>
      <c r="I734" s="35" t="s">
        <v>75</v>
      </c>
    </row>
    <row r="735" ht="22.5" customHeight="1">
      <c r="A735" s="35" t="s">
        <v>1716</v>
      </c>
      <c r="B735" s="35" t="s">
        <v>1717</v>
      </c>
      <c r="C735" s="35" t="s">
        <v>61</v>
      </c>
      <c r="D735" s="35" t="s">
        <v>137</v>
      </c>
      <c r="E735" s="35" t="s">
        <v>138</v>
      </c>
      <c r="F735" s="35">
        <v>498.0</v>
      </c>
      <c r="G735" s="35">
        <v>14.1</v>
      </c>
      <c r="H735" s="35">
        <v>35.3</v>
      </c>
      <c r="I735" s="35" t="s">
        <v>75</v>
      </c>
    </row>
    <row r="736" ht="22.5" customHeight="1">
      <c r="A736" s="35" t="s">
        <v>1718</v>
      </c>
      <c r="B736" s="35" t="s">
        <v>1719</v>
      </c>
      <c r="C736" s="35" t="s">
        <v>61</v>
      </c>
      <c r="D736" s="35" t="s">
        <v>82</v>
      </c>
      <c r="E736" s="35" t="s">
        <v>83</v>
      </c>
      <c r="F736" s="35">
        <v>924.0</v>
      </c>
      <c r="G736" s="35">
        <v>15.88</v>
      </c>
      <c r="H736" s="35">
        <v>58.2</v>
      </c>
      <c r="I736" s="35" t="s">
        <v>62</v>
      </c>
    </row>
    <row r="737" ht="22.5" customHeight="1">
      <c r="A737" s="35" t="s">
        <v>1720</v>
      </c>
      <c r="B737" s="35" t="s">
        <v>1721</v>
      </c>
      <c r="C737" s="35" t="s">
        <v>61</v>
      </c>
      <c r="D737" s="35" t="s">
        <v>67</v>
      </c>
      <c r="E737" s="35" t="s">
        <v>68</v>
      </c>
      <c r="F737" s="35">
        <v>763.0</v>
      </c>
      <c r="G737" s="35">
        <v>5.01</v>
      </c>
      <c r="H737" s="35">
        <v>152.3</v>
      </c>
      <c r="I737" s="35" t="s">
        <v>62</v>
      </c>
    </row>
    <row r="738" ht="22.5" customHeight="1">
      <c r="A738" s="35" t="s">
        <v>1722</v>
      </c>
      <c r="B738" s="35" t="s">
        <v>1723</v>
      </c>
      <c r="C738" s="35" t="s">
        <v>61</v>
      </c>
      <c r="D738" s="35" t="s">
        <v>198</v>
      </c>
      <c r="E738" s="35" t="s">
        <v>217</v>
      </c>
      <c r="F738" s="35">
        <v>142.0</v>
      </c>
      <c r="G738" s="35">
        <v>3.89</v>
      </c>
      <c r="H738" s="35">
        <v>36.5</v>
      </c>
      <c r="I738" s="35" t="s">
        <v>75</v>
      </c>
    </row>
    <row r="739" ht="22.5" customHeight="1">
      <c r="A739" s="35" t="s">
        <v>1724</v>
      </c>
      <c r="B739" s="35" t="s">
        <v>1725</v>
      </c>
      <c r="C739" s="35" t="s">
        <v>61</v>
      </c>
      <c r="D739" s="35" t="s">
        <v>90</v>
      </c>
      <c r="E739" s="35" t="s">
        <v>91</v>
      </c>
      <c r="F739" s="35">
        <v>43.0</v>
      </c>
      <c r="G739" s="35">
        <v>2.28</v>
      </c>
      <c r="H739" s="35">
        <v>18.9</v>
      </c>
      <c r="I739" s="35" t="s">
        <v>75</v>
      </c>
    </row>
    <row r="740" ht="22.5" customHeight="1">
      <c r="A740" s="35" t="s">
        <v>1726</v>
      </c>
      <c r="B740" s="35" t="s">
        <v>1727</v>
      </c>
      <c r="C740" s="35" t="s">
        <v>61</v>
      </c>
      <c r="D740" s="35" t="s">
        <v>198</v>
      </c>
      <c r="E740" s="35" t="s">
        <v>217</v>
      </c>
      <c r="F740" s="35">
        <v>123.0</v>
      </c>
      <c r="G740" s="35">
        <v>5.25</v>
      </c>
      <c r="H740" s="35">
        <v>23.4</v>
      </c>
      <c r="I740" s="35" t="s">
        <v>75</v>
      </c>
    </row>
    <row r="741" ht="22.5" customHeight="1">
      <c r="A741" s="35" t="s">
        <v>1728</v>
      </c>
      <c r="B741" s="35" t="s">
        <v>1729</v>
      </c>
      <c r="C741" s="35" t="s">
        <v>61</v>
      </c>
      <c r="D741" s="35" t="s">
        <v>94</v>
      </c>
      <c r="E741" s="35" t="s">
        <v>95</v>
      </c>
      <c r="F741" s="35">
        <v>923.0</v>
      </c>
      <c r="G741" s="35">
        <v>14.58</v>
      </c>
      <c r="H741" s="35">
        <v>63.3</v>
      </c>
      <c r="I741" s="35" t="s">
        <v>62</v>
      </c>
    </row>
    <row r="742" ht="22.5" customHeight="1">
      <c r="A742" s="35" t="s">
        <v>1730</v>
      </c>
      <c r="B742" s="35" t="s">
        <v>1731</v>
      </c>
      <c r="C742" s="35" t="s">
        <v>61</v>
      </c>
      <c r="D742" s="35" t="s">
        <v>198</v>
      </c>
      <c r="E742" s="35" t="s">
        <v>217</v>
      </c>
      <c r="F742" s="35">
        <v>585.0</v>
      </c>
      <c r="G742" s="35">
        <v>10.96</v>
      </c>
      <c r="H742" s="35">
        <v>53.4</v>
      </c>
      <c r="I742" s="35" t="s">
        <v>62</v>
      </c>
    </row>
    <row r="743" ht="22.5" customHeight="1">
      <c r="A743" s="35" t="s">
        <v>1732</v>
      </c>
      <c r="B743" s="35" t="s">
        <v>1733</v>
      </c>
      <c r="C743" s="35" t="s">
        <v>61</v>
      </c>
      <c r="D743" s="35" t="s">
        <v>182</v>
      </c>
      <c r="E743" s="35" t="s">
        <v>357</v>
      </c>
      <c r="F743" s="35">
        <v>133.0</v>
      </c>
      <c r="G743" s="35">
        <v>12.78</v>
      </c>
      <c r="H743" s="35">
        <v>10.4</v>
      </c>
      <c r="I743" s="35" t="s">
        <v>75</v>
      </c>
    </row>
    <row r="744" ht="22.5" customHeight="1">
      <c r="A744" s="35" t="s">
        <v>1734</v>
      </c>
      <c r="B744" s="35" t="s">
        <v>1735</v>
      </c>
      <c r="C744" s="35" t="s">
        <v>61</v>
      </c>
      <c r="D744" s="35" t="s">
        <v>86</v>
      </c>
      <c r="E744" s="35" t="s">
        <v>87</v>
      </c>
      <c r="F744" s="35">
        <v>101.0</v>
      </c>
      <c r="G744" s="35">
        <v>8.97</v>
      </c>
      <c r="H744" s="35">
        <v>11.3</v>
      </c>
      <c r="I744" s="35" t="s">
        <v>75</v>
      </c>
    </row>
    <row r="745" ht="22.5" customHeight="1">
      <c r="A745" s="35" t="s">
        <v>1736</v>
      </c>
      <c r="B745" s="35" t="s">
        <v>1737</v>
      </c>
      <c r="C745" s="35" t="s">
        <v>61</v>
      </c>
      <c r="D745" s="35" t="s">
        <v>82</v>
      </c>
      <c r="E745" s="35" t="s">
        <v>83</v>
      </c>
      <c r="F745" s="35">
        <v>229.0</v>
      </c>
      <c r="G745" s="35">
        <v>8.99</v>
      </c>
      <c r="H745" s="35">
        <v>25.5</v>
      </c>
      <c r="I745" s="35" t="s">
        <v>75</v>
      </c>
    </row>
    <row r="746" ht="22.5" customHeight="1">
      <c r="A746" s="35" t="s">
        <v>1738</v>
      </c>
      <c r="B746" s="35" t="s">
        <v>1739</v>
      </c>
      <c r="C746" s="35" t="s">
        <v>61</v>
      </c>
      <c r="D746" s="35" t="s">
        <v>67</v>
      </c>
      <c r="E746" s="35" t="s">
        <v>68</v>
      </c>
      <c r="F746" s="35">
        <v>1324.0</v>
      </c>
      <c r="G746" s="35">
        <v>3.73</v>
      </c>
      <c r="H746" s="35">
        <v>355.0</v>
      </c>
      <c r="I746" s="35" t="s">
        <v>62</v>
      </c>
    </row>
    <row r="747" ht="22.5" customHeight="1">
      <c r="A747" s="35" t="s">
        <v>1740</v>
      </c>
      <c r="B747" s="35" t="s">
        <v>1741</v>
      </c>
      <c r="C747" s="35" t="s">
        <v>61</v>
      </c>
      <c r="D747" s="35" t="s">
        <v>123</v>
      </c>
      <c r="E747" s="35" t="s">
        <v>181</v>
      </c>
      <c r="F747" s="35">
        <v>443.0</v>
      </c>
      <c r="G747" s="35">
        <v>5.23</v>
      </c>
      <c r="H747" s="35">
        <v>84.7</v>
      </c>
      <c r="I747" s="35" t="s">
        <v>75</v>
      </c>
    </row>
    <row r="748" ht="22.5" customHeight="1">
      <c r="A748" s="35" t="s">
        <v>1742</v>
      </c>
      <c r="B748" s="35" t="s">
        <v>1743</v>
      </c>
      <c r="C748" s="35" t="s">
        <v>61</v>
      </c>
      <c r="D748" s="35" t="s">
        <v>198</v>
      </c>
      <c r="E748" s="35" t="s">
        <v>217</v>
      </c>
      <c r="F748" s="35">
        <v>212.0</v>
      </c>
      <c r="G748" s="35">
        <v>4.29</v>
      </c>
      <c r="H748" s="35">
        <v>49.4</v>
      </c>
      <c r="I748" s="35" t="s">
        <v>75</v>
      </c>
    </row>
    <row r="749" ht="22.5" customHeight="1">
      <c r="A749" s="35" t="s">
        <v>1744</v>
      </c>
      <c r="B749" s="35" t="s">
        <v>1745</v>
      </c>
      <c r="C749" s="35" t="s">
        <v>61</v>
      </c>
      <c r="D749" s="35" t="s">
        <v>82</v>
      </c>
      <c r="E749" s="35" t="s">
        <v>83</v>
      </c>
      <c r="F749" s="35">
        <v>124.0</v>
      </c>
      <c r="G749" s="35">
        <v>3.8</v>
      </c>
      <c r="H749" s="35">
        <v>32.6</v>
      </c>
      <c r="I749" s="35" t="s">
        <v>75</v>
      </c>
    </row>
    <row r="750" ht="22.5" customHeight="1">
      <c r="A750" s="35" t="s">
        <v>1746</v>
      </c>
      <c r="B750" s="35" t="s">
        <v>1747</v>
      </c>
      <c r="C750" s="35" t="s">
        <v>61</v>
      </c>
      <c r="D750" s="35" t="s">
        <v>82</v>
      </c>
      <c r="E750" s="35" t="s">
        <v>83</v>
      </c>
      <c r="F750" s="35">
        <v>155.0</v>
      </c>
      <c r="G750" s="35">
        <v>5.2</v>
      </c>
      <c r="H750" s="35">
        <v>29.8</v>
      </c>
      <c r="I750" s="35" t="s">
        <v>75</v>
      </c>
    </row>
    <row r="751" ht="22.5" customHeight="1">
      <c r="A751" s="35" t="s">
        <v>1748</v>
      </c>
      <c r="B751" s="35" t="s">
        <v>1749</v>
      </c>
      <c r="C751" s="35" t="s">
        <v>61</v>
      </c>
      <c r="D751" s="35" t="s">
        <v>198</v>
      </c>
      <c r="E751" s="35" t="s">
        <v>217</v>
      </c>
      <c r="F751" s="35">
        <v>1104.0</v>
      </c>
      <c r="G751" s="35">
        <v>16.01</v>
      </c>
      <c r="H751" s="35">
        <v>69.0</v>
      </c>
      <c r="I751" s="35" t="s">
        <v>62</v>
      </c>
    </row>
    <row r="752" ht="22.5" customHeight="1">
      <c r="A752" s="35" t="s">
        <v>1750</v>
      </c>
      <c r="B752" s="35" t="s">
        <v>1751</v>
      </c>
      <c r="C752" s="35" t="s">
        <v>61</v>
      </c>
      <c r="D752" s="35" t="s">
        <v>137</v>
      </c>
      <c r="E752" s="35" t="s">
        <v>138</v>
      </c>
      <c r="F752" s="35">
        <v>139.0</v>
      </c>
      <c r="G752" s="35">
        <v>4.64</v>
      </c>
      <c r="H752" s="35">
        <v>30.0</v>
      </c>
      <c r="I752" s="35" t="s">
        <v>75</v>
      </c>
    </row>
    <row r="753" ht="22.5" customHeight="1">
      <c r="A753" s="35" t="s">
        <v>1752</v>
      </c>
      <c r="B753" s="35" t="s">
        <v>1753</v>
      </c>
      <c r="C753" s="35" t="s">
        <v>61</v>
      </c>
      <c r="D753" s="35" t="s">
        <v>73</v>
      </c>
      <c r="E753" s="35" t="s">
        <v>74</v>
      </c>
      <c r="F753" s="35">
        <v>249.0</v>
      </c>
      <c r="G753" s="35">
        <v>7.94</v>
      </c>
      <c r="H753" s="35">
        <v>31.4</v>
      </c>
      <c r="I753" s="35" t="s">
        <v>75</v>
      </c>
    </row>
    <row r="754" ht="22.5" customHeight="1">
      <c r="A754" s="35" t="s">
        <v>1754</v>
      </c>
      <c r="B754" s="35" t="s">
        <v>1755</v>
      </c>
      <c r="C754" s="35" t="s">
        <v>61</v>
      </c>
      <c r="D754" s="35" t="s">
        <v>50</v>
      </c>
      <c r="E754" s="35" t="s">
        <v>49</v>
      </c>
      <c r="F754" s="35">
        <v>470.0</v>
      </c>
      <c r="G754" s="35">
        <v>12.9</v>
      </c>
      <c r="H754" s="35">
        <v>36.4</v>
      </c>
      <c r="I754" s="35" t="s">
        <v>75</v>
      </c>
    </row>
    <row r="755" ht="22.5" customHeight="1">
      <c r="A755" s="35" t="s">
        <v>1756</v>
      </c>
      <c r="B755" s="35" t="s">
        <v>1757</v>
      </c>
      <c r="C755" s="35" t="s">
        <v>61</v>
      </c>
      <c r="D755" s="35" t="s">
        <v>165</v>
      </c>
      <c r="E755" s="35" t="s">
        <v>254</v>
      </c>
      <c r="F755" s="35">
        <v>2549.0</v>
      </c>
      <c r="G755" s="35">
        <v>10.48</v>
      </c>
      <c r="H755" s="35">
        <v>243.2</v>
      </c>
      <c r="I755" s="35" t="s">
        <v>142</v>
      </c>
    </row>
    <row r="756" ht="22.5" customHeight="1">
      <c r="A756" s="35" t="s">
        <v>1758</v>
      </c>
      <c r="B756" s="35" t="s">
        <v>1759</v>
      </c>
      <c r="C756" s="35" t="s">
        <v>61</v>
      </c>
      <c r="D756" s="35" t="s">
        <v>73</v>
      </c>
      <c r="E756" s="35" t="s">
        <v>74</v>
      </c>
      <c r="F756" s="35">
        <v>235.0</v>
      </c>
      <c r="G756" s="35">
        <v>10.3</v>
      </c>
      <c r="H756" s="35">
        <v>22.8</v>
      </c>
      <c r="I756" s="35" t="s">
        <v>75</v>
      </c>
    </row>
    <row r="757" ht="22.5" customHeight="1">
      <c r="A757" s="35" t="s">
        <v>1760</v>
      </c>
      <c r="B757" s="35" t="s">
        <v>1761</v>
      </c>
      <c r="C757" s="35" t="s">
        <v>61</v>
      </c>
      <c r="D757" s="35" t="s">
        <v>136</v>
      </c>
      <c r="E757" s="35" t="s">
        <v>189</v>
      </c>
      <c r="F757" s="35">
        <v>270.0</v>
      </c>
      <c r="G757" s="35">
        <v>4.12</v>
      </c>
      <c r="H757" s="35">
        <v>65.5</v>
      </c>
      <c r="I757" s="35" t="s">
        <v>75</v>
      </c>
    </row>
    <row r="758" ht="22.5" customHeight="1">
      <c r="A758" s="35" t="s">
        <v>1762</v>
      </c>
      <c r="B758" s="35" t="s">
        <v>1763</v>
      </c>
      <c r="C758" s="35" t="s">
        <v>61</v>
      </c>
      <c r="D758" s="35" t="s">
        <v>182</v>
      </c>
      <c r="E758" s="35" t="s">
        <v>357</v>
      </c>
      <c r="F758" s="35">
        <v>155.0</v>
      </c>
      <c r="G758" s="35">
        <v>7.46</v>
      </c>
      <c r="H758" s="35">
        <v>20.8</v>
      </c>
      <c r="I758" s="35" t="s">
        <v>75</v>
      </c>
    </row>
    <row r="759" ht="22.5" customHeight="1">
      <c r="A759" s="35" t="s">
        <v>1764</v>
      </c>
      <c r="B759" s="35" t="s">
        <v>1765</v>
      </c>
      <c r="C759" s="35" t="s">
        <v>61</v>
      </c>
      <c r="D759" s="35" t="s">
        <v>102</v>
      </c>
      <c r="E759" s="35" t="s">
        <v>103</v>
      </c>
      <c r="F759" s="35">
        <v>113.0</v>
      </c>
      <c r="G759" s="35">
        <v>3.23</v>
      </c>
      <c r="H759" s="35">
        <v>35.0</v>
      </c>
      <c r="I759" s="35" t="s">
        <v>75</v>
      </c>
    </row>
    <row r="760" ht="22.5" customHeight="1">
      <c r="A760" s="35" t="s">
        <v>1766</v>
      </c>
      <c r="B760" s="35" t="s">
        <v>1767</v>
      </c>
      <c r="C760" s="35" t="s">
        <v>61</v>
      </c>
      <c r="D760" s="35" t="s">
        <v>123</v>
      </c>
      <c r="E760" s="35" t="s">
        <v>181</v>
      </c>
      <c r="F760" s="35">
        <v>181.0</v>
      </c>
      <c r="G760" s="35">
        <v>10.74</v>
      </c>
      <c r="H760" s="35">
        <v>16.9</v>
      </c>
      <c r="I760" s="35" t="s">
        <v>75</v>
      </c>
    </row>
    <row r="761" ht="22.5" customHeight="1">
      <c r="A761" s="35" t="s">
        <v>1768</v>
      </c>
      <c r="B761" s="35" t="s">
        <v>1769</v>
      </c>
      <c r="C761" s="35" t="s">
        <v>61</v>
      </c>
      <c r="D761" s="35" t="s">
        <v>102</v>
      </c>
      <c r="E761" s="35" t="s">
        <v>103</v>
      </c>
      <c r="F761" s="35">
        <v>1608.0</v>
      </c>
      <c r="G761" s="35">
        <v>5.29</v>
      </c>
      <c r="H761" s="35">
        <v>304.0</v>
      </c>
      <c r="I761" s="35" t="s">
        <v>62</v>
      </c>
    </row>
    <row r="762" ht="22.5" customHeight="1">
      <c r="A762" s="35" t="s">
        <v>1770</v>
      </c>
      <c r="B762" s="35" t="s">
        <v>1771</v>
      </c>
      <c r="C762" s="35" t="s">
        <v>61</v>
      </c>
      <c r="D762" s="35" t="s">
        <v>123</v>
      </c>
      <c r="E762" s="35" t="s">
        <v>181</v>
      </c>
      <c r="F762" s="35">
        <v>93.0</v>
      </c>
      <c r="G762" s="35">
        <v>6.33</v>
      </c>
      <c r="H762" s="35">
        <v>14.7</v>
      </c>
      <c r="I762" s="35" t="s">
        <v>75</v>
      </c>
    </row>
    <row r="763" ht="22.5" customHeight="1">
      <c r="A763" s="35" t="s">
        <v>1772</v>
      </c>
      <c r="B763" s="35" t="s">
        <v>1773</v>
      </c>
      <c r="C763" s="35" t="s">
        <v>61</v>
      </c>
      <c r="D763" s="35" t="s">
        <v>90</v>
      </c>
      <c r="E763" s="35" t="s">
        <v>91</v>
      </c>
      <c r="F763" s="35">
        <v>166.0</v>
      </c>
      <c r="G763" s="35">
        <v>6.62</v>
      </c>
      <c r="H763" s="35">
        <v>25.1</v>
      </c>
      <c r="I763" s="35" t="s">
        <v>75</v>
      </c>
    </row>
    <row r="764" ht="22.5" customHeight="1">
      <c r="A764" s="35" t="s">
        <v>1774</v>
      </c>
      <c r="B764" s="35" t="s">
        <v>1775</v>
      </c>
      <c r="C764" s="35" t="s">
        <v>61</v>
      </c>
      <c r="D764" s="35" t="s">
        <v>182</v>
      </c>
      <c r="E764" s="35" t="s">
        <v>357</v>
      </c>
      <c r="F764" s="35">
        <v>1192.0</v>
      </c>
      <c r="G764" s="35">
        <v>21.54</v>
      </c>
      <c r="H764" s="35">
        <v>55.3</v>
      </c>
      <c r="I764" s="35" t="s">
        <v>62</v>
      </c>
    </row>
    <row r="765" ht="22.5" customHeight="1">
      <c r="A765" s="35" t="s">
        <v>1776</v>
      </c>
      <c r="B765" s="35" t="s">
        <v>1777</v>
      </c>
      <c r="C765" s="35" t="s">
        <v>61</v>
      </c>
      <c r="D765" s="35" t="s">
        <v>106</v>
      </c>
      <c r="E765" s="35" t="s">
        <v>107</v>
      </c>
      <c r="F765" s="35">
        <v>384.0</v>
      </c>
      <c r="G765" s="35">
        <v>12.7</v>
      </c>
      <c r="H765" s="35">
        <v>30.2</v>
      </c>
      <c r="I765" s="35" t="s">
        <v>75</v>
      </c>
    </row>
    <row r="766" ht="22.5" customHeight="1">
      <c r="A766" s="35" t="s">
        <v>1778</v>
      </c>
      <c r="B766" s="35" t="s">
        <v>1779</v>
      </c>
      <c r="C766" s="35" t="s">
        <v>61</v>
      </c>
      <c r="D766" s="35" t="s">
        <v>123</v>
      </c>
      <c r="E766" s="35" t="s">
        <v>181</v>
      </c>
      <c r="F766" s="35">
        <v>310.0</v>
      </c>
      <c r="G766" s="35">
        <v>10.06</v>
      </c>
      <c r="H766" s="35">
        <v>30.8</v>
      </c>
      <c r="I766" s="35" t="s">
        <v>75</v>
      </c>
    </row>
    <row r="767" ht="22.5" customHeight="1">
      <c r="A767" s="35" t="s">
        <v>1780</v>
      </c>
      <c r="B767" s="35" t="s">
        <v>1781</v>
      </c>
      <c r="C767" s="35" t="s">
        <v>61</v>
      </c>
      <c r="D767" s="35" t="s">
        <v>166</v>
      </c>
      <c r="E767" s="35" t="s">
        <v>168</v>
      </c>
      <c r="F767" s="35">
        <v>262.0</v>
      </c>
      <c r="G767" s="35">
        <v>13.94</v>
      </c>
      <c r="H767" s="35">
        <v>18.8</v>
      </c>
      <c r="I767" s="35" t="s">
        <v>75</v>
      </c>
    </row>
    <row r="768" ht="22.5" customHeight="1">
      <c r="A768" s="35" t="s">
        <v>1782</v>
      </c>
      <c r="B768" s="35" t="s">
        <v>1783</v>
      </c>
      <c r="C768" s="35" t="s">
        <v>61</v>
      </c>
      <c r="D768" s="35" t="s">
        <v>166</v>
      </c>
      <c r="E768" s="35" t="s">
        <v>168</v>
      </c>
      <c r="F768" s="35">
        <v>204.0</v>
      </c>
      <c r="G768" s="35">
        <v>10.17</v>
      </c>
      <c r="H768" s="35">
        <v>20.1</v>
      </c>
      <c r="I768" s="35" t="s">
        <v>75</v>
      </c>
    </row>
    <row r="769" ht="22.5" customHeight="1">
      <c r="A769" s="35" t="s">
        <v>1784</v>
      </c>
      <c r="B769" s="35" t="s">
        <v>1785</v>
      </c>
      <c r="C769" s="35" t="s">
        <v>61</v>
      </c>
      <c r="D769" s="35" t="s">
        <v>78</v>
      </c>
      <c r="E769" s="35" t="s">
        <v>79</v>
      </c>
      <c r="F769" s="35">
        <v>150.0</v>
      </c>
      <c r="G769" s="35">
        <v>8.46</v>
      </c>
      <c r="H769" s="35">
        <v>17.7</v>
      </c>
      <c r="I769" s="35" t="s">
        <v>75</v>
      </c>
    </row>
    <row r="770" ht="22.5" customHeight="1">
      <c r="A770" s="35" t="s">
        <v>1786</v>
      </c>
      <c r="B770" s="35" t="s">
        <v>1787</v>
      </c>
      <c r="C770" s="35" t="s">
        <v>61</v>
      </c>
      <c r="D770" s="35" t="s">
        <v>106</v>
      </c>
      <c r="E770" s="35" t="s">
        <v>107</v>
      </c>
      <c r="F770" s="35">
        <v>219.0</v>
      </c>
      <c r="G770" s="35">
        <v>7.66</v>
      </c>
      <c r="H770" s="35">
        <v>28.6</v>
      </c>
      <c r="I770" s="35" t="s">
        <v>75</v>
      </c>
    </row>
    <row r="771" ht="22.5" customHeight="1">
      <c r="A771" s="35" t="s">
        <v>1788</v>
      </c>
      <c r="B771" s="35" t="s">
        <v>1789</v>
      </c>
      <c r="C771" s="35" t="s">
        <v>61</v>
      </c>
      <c r="D771" s="35" t="s">
        <v>67</v>
      </c>
      <c r="E771" s="35" t="s">
        <v>68</v>
      </c>
      <c r="F771" s="35">
        <v>2616.0</v>
      </c>
      <c r="G771" s="35">
        <v>4.53</v>
      </c>
      <c r="H771" s="35">
        <v>577.5</v>
      </c>
      <c r="I771" s="35" t="s">
        <v>142</v>
      </c>
    </row>
    <row r="772" ht="22.5" customHeight="1">
      <c r="A772" s="35" t="s">
        <v>1790</v>
      </c>
      <c r="B772" s="35" t="s">
        <v>1791</v>
      </c>
      <c r="C772" s="35" t="s">
        <v>61</v>
      </c>
      <c r="D772" s="35" t="s">
        <v>123</v>
      </c>
      <c r="E772" s="35" t="s">
        <v>181</v>
      </c>
      <c r="F772" s="35">
        <v>277.0</v>
      </c>
      <c r="G772" s="35">
        <v>10.69</v>
      </c>
      <c r="H772" s="35">
        <v>25.9</v>
      </c>
      <c r="I772" s="35" t="s">
        <v>75</v>
      </c>
    </row>
    <row r="773" ht="22.5" customHeight="1">
      <c r="A773" s="35" t="s">
        <v>1792</v>
      </c>
      <c r="B773" s="35" t="s">
        <v>1793</v>
      </c>
      <c r="C773" s="35" t="s">
        <v>61</v>
      </c>
      <c r="D773" s="35" t="s">
        <v>50</v>
      </c>
      <c r="E773" s="35" t="s">
        <v>49</v>
      </c>
      <c r="F773" s="35">
        <v>684.0</v>
      </c>
      <c r="G773" s="35">
        <v>12.34</v>
      </c>
      <c r="H773" s="35">
        <v>55.4</v>
      </c>
      <c r="I773" s="35" t="s">
        <v>62</v>
      </c>
    </row>
    <row r="774" ht="22.5" customHeight="1">
      <c r="A774" s="35" t="s">
        <v>1794</v>
      </c>
      <c r="B774" s="35" t="s">
        <v>1795</v>
      </c>
      <c r="C774" s="35" t="s">
        <v>61</v>
      </c>
      <c r="D774" s="35" t="s">
        <v>198</v>
      </c>
      <c r="E774" s="35" t="s">
        <v>217</v>
      </c>
      <c r="F774" s="35">
        <v>263.0</v>
      </c>
      <c r="G774" s="35">
        <v>4.0</v>
      </c>
      <c r="H774" s="35">
        <v>65.8</v>
      </c>
      <c r="I774" s="35" t="s">
        <v>75</v>
      </c>
    </row>
    <row r="775" ht="22.5" customHeight="1">
      <c r="A775" s="35" t="s">
        <v>1796</v>
      </c>
      <c r="B775" s="35" t="s">
        <v>1797</v>
      </c>
      <c r="C775" s="35" t="s">
        <v>61</v>
      </c>
      <c r="D775" s="35" t="s">
        <v>123</v>
      </c>
      <c r="E775" s="35" t="s">
        <v>181</v>
      </c>
      <c r="F775" s="35">
        <v>75.0</v>
      </c>
      <c r="G775" s="35">
        <v>13.12</v>
      </c>
      <c r="H775" s="35">
        <v>5.7</v>
      </c>
      <c r="I775" s="35" t="s">
        <v>75</v>
      </c>
    </row>
    <row r="776" ht="22.5" customHeight="1">
      <c r="A776" s="35" t="s">
        <v>1798</v>
      </c>
      <c r="B776" s="35" t="s">
        <v>1799</v>
      </c>
      <c r="C776" s="35" t="s">
        <v>61</v>
      </c>
      <c r="D776" s="35" t="s">
        <v>102</v>
      </c>
      <c r="E776" s="35" t="s">
        <v>103</v>
      </c>
      <c r="F776" s="35">
        <v>10489.0</v>
      </c>
      <c r="G776" s="35">
        <v>42.11</v>
      </c>
      <c r="H776" s="35">
        <v>249.1</v>
      </c>
      <c r="I776" s="35" t="s">
        <v>571</v>
      </c>
    </row>
    <row r="777" ht="22.5" customHeight="1">
      <c r="A777" s="35" t="s">
        <v>1800</v>
      </c>
      <c r="B777" s="35" t="s">
        <v>1801</v>
      </c>
      <c r="C777" s="35" t="s">
        <v>61</v>
      </c>
      <c r="D777" s="35" t="s">
        <v>102</v>
      </c>
      <c r="E777" s="35" t="s">
        <v>103</v>
      </c>
      <c r="F777" s="35">
        <v>193.0</v>
      </c>
      <c r="G777" s="35">
        <v>8.18</v>
      </c>
      <c r="H777" s="35">
        <v>23.6</v>
      </c>
      <c r="I777" s="35" t="s">
        <v>75</v>
      </c>
    </row>
    <row r="778" ht="22.5" customHeight="1">
      <c r="A778" s="35" t="s">
        <v>1802</v>
      </c>
      <c r="B778" s="35" t="s">
        <v>1803</v>
      </c>
      <c r="C778" s="35" t="s">
        <v>61</v>
      </c>
      <c r="D778" s="35" t="s">
        <v>94</v>
      </c>
      <c r="E778" s="35" t="s">
        <v>95</v>
      </c>
      <c r="F778" s="35">
        <v>262.0</v>
      </c>
      <c r="G778" s="35">
        <v>10.61</v>
      </c>
      <c r="H778" s="35">
        <v>24.7</v>
      </c>
      <c r="I778" s="35" t="s">
        <v>75</v>
      </c>
    </row>
    <row r="779" ht="22.5" customHeight="1">
      <c r="A779" s="35" t="s">
        <v>1804</v>
      </c>
      <c r="B779" s="35" t="s">
        <v>1805</v>
      </c>
      <c r="C779" s="35" t="s">
        <v>61</v>
      </c>
      <c r="D779" s="35" t="s">
        <v>82</v>
      </c>
      <c r="E779" s="35" t="s">
        <v>83</v>
      </c>
      <c r="F779" s="35">
        <v>166.0</v>
      </c>
      <c r="G779" s="35">
        <v>8.13</v>
      </c>
      <c r="H779" s="35">
        <v>20.4</v>
      </c>
      <c r="I779" s="35" t="s">
        <v>75</v>
      </c>
    </row>
    <row r="780" ht="22.5" customHeight="1">
      <c r="A780" s="35" t="s">
        <v>1806</v>
      </c>
      <c r="B780" s="35" t="s">
        <v>1807</v>
      </c>
      <c r="C780" s="35" t="s">
        <v>61</v>
      </c>
      <c r="D780" s="35" t="s">
        <v>140</v>
      </c>
      <c r="E780" s="35" t="s">
        <v>147</v>
      </c>
      <c r="F780" s="35">
        <v>418.0</v>
      </c>
      <c r="G780" s="35">
        <v>8.93</v>
      </c>
      <c r="H780" s="35">
        <v>46.8</v>
      </c>
      <c r="I780" s="35" t="s">
        <v>75</v>
      </c>
    </row>
    <row r="781" ht="22.5" customHeight="1">
      <c r="A781" s="35" t="s">
        <v>1808</v>
      </c>
      <c r="B781" s="35" t="s">
        <v>1809</v>
      </c>
      <c r="C781" s="35" t="s">
        <v>61</v>
      </c>
      <c r="D781" s="35" t="s">
        <v>123</v>
      </c>
      <c r="E781" s="35" t="s">
        <v>181</v>
      </c>
      <c r="F781" s="35">
        <v>508.0</v>
      </c>
      <c r="G781" s="35">
        <v>10.75</v>
      </c>
      <c r="H781" s="35">
        <v>47.3</v>
      </c>
      <c r="I781" s="35" t="s">
        <v>62</v>
      </c>
    </row>
    <row r="782" ht="22.5" customHeight="1">
      <c r="A782" s="35" t="s">
        <v>1810</v>
      </c>
      <c r="B782" s="35" t="s">
        <v>1811</v>
      </c>
      <c r="C782" s="35" t="s">
        <v>61</v>
      </c>
      <c r="D782" s="35" t="s">
        <v>90</v>
      </c>
      <c r="E782" s="35" t="s">
        <v>91</v>
      </c>
      <c r="F782" s="35">
        <v>84.0</v>
      </c>
      <c r="G782" s="35">
        <v>2.68</v>
      </c>
      <c r="H782" s="35">
        <v>31.3</v>
      </c>
      <c r="I782" s="35" t="s">
        <v>75</v>
      </c>
    </row>
    <row r="783" ht="22.5" customHeight="1">
      <c r="A783" s="35" t="s">
        <v>1812</v>
      </c>
      <c r="B783" s="35" t="s">
        <v>1813</v>
      </c>
      <c r="C783" s="35" t="s">
        <v>61</v>
      </c>
      <c r="D783" s="35" t="s">
        <v>182</v>
      </c>
      <c r="E783" s="35" t="s">
        <v>357</v>
      </c>
      <c r="F783" s="35">
        <v>997.0</v>
      </c>
      <c r="G783" s="35">
        <v>7.63</v>
      </c>
      <c r="H783" s="35">
        <v>130.7</v>
      </c>
      <c r="I783" s="35" t="s">
        <v>62</v>
      </c>
    </row>
    <row r="784" ht="22.5" customHeight="1">
      <c r="A784" s="35" t="s">
        <v>1814</v>
      </c>
      <c r="B784" s="35" t="s">
        <v>1815</v>
      </c>
      <c r="C784" s="35" t="s">
        <v>61</v>
      </c>
      <c r="D784" s="35" t="s">
        <v>166</v>
      </c>
      <c r="E784" s="35" t="s">
        <v>168</v>
      </c>
      <c r="F784" s="35">
        <v>101.0</v>
      </c>
      <c r="G784" s="35">
        <v>12.05</v>
      </c>
      <c r="H784" s="35">
        <v>8.4</v>
      </c>
      <c r="I784" s="35" t="s">
        <v>75</v>
      </c>
    </row>
    <row r="785" ht="22.5" customHeight="1">
      <c r="A785" s="35" t="s">
        <v>1816</v>
      </c>
      <c r="B785" s="35" t="s">
        <v>1817</v>
      </c>
      <c r="C785" s="35" t="s">
        <v>61</v>
      </c>
      <c r="D785" s="35" t="s">
        <v>50</v>
      </c>
      <c r="E785" s="35" t="s">
        <v>49</v>
      </c>
      <c r="F785" s="35">
        <v>1651.0</v>
      </c>
      <c r="G785" s="35">
        <v>17.79</v>
      </c>
      <c r="H785" s="35">
        <v>92.8</v>
      </c>
      <c r="I785" s="35" t="s">
        <v>62</v>
      </c>
    </row>
    <row r="786" ht="22.5" customHeight="1">
      <c r="A786" s="35" t="s">
        <v>1818</v>
      </c>
      <c r="B786" s="35" t="s">
        <v>1819</v>
      </c>
      <c r="C786" s="35" t="s">
        <v>61</v>
      </c>
      <c r="D786" s="35" t="s">
        <v>136</v>
      </c>
      <c r="E786" s="35" t="s">
        <v>189</v>
      </c>
      <c r="F786" s="35">
        <v>654.0</v>
      </c>
      <c r="G786" s="35">
        <v>9.01</v>
      </c>
      <c r="H786" s="35">
        <v>72.6</v>
      </c>
      <c r="I786" s="35" t="s">
        <v>62</v>
      </c>
    </row>
    <row r="787" ht="22.5" customHeight="1">
      <c r="A787" s="35" t="s">
        <v>1820</v>
      </c>
      <c r="B787" s="35" t="s">
        <v>1821</v>
      </c>
      <c r="C787" s="35" t="s">
        <v>61</v>
      </c>
      <c r="D787" s="35" t="s">
        <v>102</v>
      </c>
      <c r="E787" s="35" t="s">
        <v>103</v>
      </c>
      <c r="F787" s="35">
        <v>403.0</v>
      </c>
      <c r="G787" s="35">
        <v>13.97</v>
      </c>
      <c r="H787" s="35">
        <v>28.8</v>
      </c>
      <c r="I787" s="35" t="s">
        <v>75</v>
      </c>
    </row>
    <row r="788" ht="22.5" customHeight="1">
      <c r="A788" s="35" t="s">
        <v>1822</v>
      </c>
      <c r="B788" s="35" t="s">
        <v>1823</v>
      </c>
      <c r="C788" s="35" t="s">
        <v>61</v>
      </c>
      <c r="D788" s="35" t="s">
        <v>165</v>
      </c>
      <c r="E788" s="35" t="s">
        <v>254</v>
      </c>
      <c r="F788" s="35">
        <v>70.0</v>
      </c>
      <c r="G788" s="35">
        <v>3.38</v>
      </c>
      <c r="H788" s="35">
        <v>20.7</v>
      </c>
      <c r="I788" s="35" t="s">
        <v>75</v>
      </c>
    </row>
    <row r="789" ht="22.5" customHeight="1">
      <c r="A789" s="35" t="s">
        <v>1824</v>
      </c>
      <c r="B789" s="35" t="s">
        <v>1825</v>
      </c>
      <c r="C789" s="35" t="s">
        <v>61</v>
      </c>
      <c r="D789" s="35" t="s">
        <v>136</v>
      </c>
      <c r="E789" s="35" t="s">
        <v>189</v>
      </c>
      <c r="F789" s="35">
        <v>383.0</v>
      </c>
      <c r="G789" s="35">
        <v>4.76</v>
      </c>
      <c r="H789" s="35">
        <v>80.5</v>
      </c>
      <c r="I789" s="35" t="s">
        <v>75</v>
      </c>
    </row>
    <row r="790" ht="22.5" customHeight="1">
      <c r="A790" s="35" t="s">
        <v>1826</v>
      </c>
      <c r="B790" s="35" t="s">
        <v>1827</v>
      </c>
      <c r="C790" s="35" t="s">
        <v>61</v>
      </c>
      <c r="D790" s="35" t="s">
        <v>165</v>
      </c>
      <c r="E790" s="35" t="s">
        <v>254</v>
      </c>
      <c r="F790" s="35">
        <v>348.0</v>
      </c>
      <c r="G790" s="35">
        <v>11.58</v>
      </c>
      <c r="H790" s="35">
        <v>30.1</v>
      </c>
      <c r="I790" s="35" t="s">
        <v>75</v>
      </c>
    </row>
    <row r="791" ht="22.5" customHeight="1">
      <c r="A791" s="35" t="s">
        <v>1828</v>
      </c>
      <c r="B791" s="35" t="s">
        <v>1829</v>
      </c>
      <c r="C791" s="35" t="s">
        <v>61</v>
      </c>
      <c r="D791" s="35" t="s">
        <v>73</v>
      </c>
      <c r="E791" s="35" t="s">
        <v>74</v>
      </c>
      <c r="F791" s="35">
        <v>312.0</v>
      </c>
      <c r="G791" s="35">
        <v>13.84</v>
      </c>
      <c r="H791" s="35">
        <v>22.5</v>
      </c>
      <c r="I791" s="35" t="s">
        <v>75</v>
      </c>
    </row>
    <row r="792" ht="22.5" customHeight="1">
      <c r="A792" s="35" t="s">
        <v>1830</v>
      </c>
      <c r="B792" s="35" t="s">
        <v>1831</v>
      </c>
      <c r="C792" s="35" t="s">
        <v>61</v>
      </c>
      <c r="D792" s="35" t="s">
        <v>67</v>
      </c>
      <c r="E792" s="35" t="s">
        <v>68</v>
      </c>
      <c r="F792" s="35">
        <v>89.0</v>
      </c>
      <c r="G792" s="35">
        <v>4.58</v>
      </c>
      <c r="H792" s="35">
        <v>19.4</v>
      </c>
      <c r="I792" s="35" t="s">
        <v>75</v>
      </c>
    </row>
    <row r="793" ht="22.5" customHeight="1">
      <c r="A793" s="35" t="s">
        <v>1832</v>
      </c>
      <c r="B793" s="35" t="s">
        <v>1833</v>
      </c>
      <c r="C793" s="35" t="s">
        <v>61</v>
      </c>
      <c r="D793" s="35" t="s">
        <v>90</v>
      </c>
      <c r="E793" s="35" t="s">
        <v>91</v>
      </c>
      <c r="F793" s="35">
        <v>43.0</v>
      </c>
      <c r="G793" s="35">
        <v>1.07</v>
      </c>
      <c r="H793" s="35">
        <v>40.2</v>
      </c>
      <c r="I793" s="35" t="s">
        <v>75</v>
      </c>
    </row>
    <row r="794" ht="22.5" customHeight="1">
      <c r="A794" s="35" t="s">
        <v>1834</v>
      </c>
      <c r="B794" s="35" t="s">
        <v>1835</v>
      </c>
      <c r="C794" s="35" t="s">
        <v>61</v>
      </c>
      <c r="D794" s="35" t="s">
        <v>82</v>
      </c>
      <c r="E794" s="35" t="s">
        <v>83</v>
      </c>
      <c r="F794" s="35">
        <v>927.0</v>
      </c>
      <c r="G794" s="35">
        <v>6.76</v>
      </c>
      <c r="H794" s="35">
        <v>137.1</v>
      </c>
      <c r="I794" s="35" t="s">
        <v>62</v>
      </c>
    </row>
    <row r="795" ht="22.5" customHeight="1">
      <c r="A795" s="35" t="s">
        <v>1836</v>
      </c>
      <c r="B795" s="35" t="s">
        <v>1837</v>
      </c>
      <c r="C795" s="35" t="s">
        <v>61</v>
      </c>
      <c r="D795" s="35" t="s">
        <v>156</v>
      </c>
      <c r="E795" s="35" t="s">
        <v>157</v>
      </c>
      <c r="F795" s="35">
        <v>350.0</v>
      </c>
      <c r="G795" s="35">
        <v>21.36</v>
      </c>
      <c r="H795" s="35">
        <v>16.4</v>
      </c>
      <c r="I795" s="35" t="s">
        <v>75</v>
      </c>
    </row>
    <row r="796" ht="22.5" customHeight="1">
      <c r="A796" s="35" t="s">
        <v>1838</v>
      </c>
      <c r="B796" s="35" t="s">
        <v>1839</v>
      </c>
      <c r="C796" s="35" t="s">
        <v>61</v>
      </c>
      <c r="D796" s="35" t="s">
        <v>165</v>
      </c>
      <c r="E796" s="35" t="s">
        <v>254</v>
      </c>
      <c r="F796" s="35">
        <v>179.0</v>
      </c>
      <c r="G796" s="35">
        <v>7.61</v>
      </c>
      <c r="H796" s="35">
        <v>23.5</v>
      </c>
      <c r="I796" s="35" t="s">
        <v>75</v>
      </c>
    </row>
    <row r="797" ht="22.5" customHeight="1">
      <c r="A797" s="35" t="s">
        <v>1840</v>
      </c>
      <c r="B797" s="35" t="s">
        <v>1841</v>
      </c>
      <c r="C797" s="35" t="s">
        <v>61</v>
      </c>
      <c r="D797" s="35" t="s">
        <v>156</v>
      </c>
      <c r="E797" s="35" t="s">
        <v>157</v>
      </c>
      <c r="F797" s="35">
        <v>460.0</v>
      </c>
      <c r="G797" s="35">
        <v>12.02</v>
      </c>
      <c r="H797" s="35">
        <v>38.3</v>
      </c>
      <c r="I797" s="35" t="s">
        <v>75</v>
      </c>
    </row>
    <row r="798" ht="22.5" customHeight="1">
      <c r="A798" s="35" t="s">
        <v>1842</v>
      </c>
      <c r="B798" s="35" t="s">
        <v>1843</v>
      </c>
      <c r="C798" s="35" t="s">
        <v>61</v>
      </c>
      <c r="D798" s="35" t="s">
        <v>137</v>
      </c>
      <c r="E798" s="35" t="s">
        <v>138</v>
      </c>
      <c r="F798" s="35">
        <v>145.0</v>
      </c>
      <c r="G798" s="35">
        <v>4.51</v>
      </c>
      <c r="H798" s="35">
        <v>32.2</v>
      </c>
      <c r="I798" s="35" t="s">
        <v>75</v>
      </c>
    </row>
    <row r="799" ht="22.5" customHeight="1">
      <c r="A799" s="35" t="s">
        <v>1844</v>
      </c>
      <c r="B799" s="35" t="s">
        <v>1845</v>
      </c>
      <c r="C799" s="35" t="s">
        <v>7756</v>
      </c>
      <c r="D799" s="35" t="s">
        <v>120</v>
      </c>
      <c r="E799" s="35" t="s">
        <v>312</v>
      </c>
      <c r="F799" s="35">
        <v>441.0</v>
      </c>
      <c r="G799" s="35">
        <v>5.68</v>
      </c>
      <c r="H799" s="35">
        <v>77.6</v>
      </c>
      <c r="I799" s="35" t="s">
        <v>75</v>
      </c>
    </row>
    <row r="800" ht="22.5" customHeight="1">
      <c r="A800" s="35" t="s">
        <v>1846</v>
      </c>
      <c r="B800" s="35" t="s">
        <v>1847</v>
      </c>
      <c r="C800" s="35" t="s">
        <v>7756</v>
      </c>
      <c r="D800" s="35" t="s">
        <v>122</v>
      </c>
      <c r="E800" s="35" t="s">
        <v>328</v>
      </c>
      <c r="F800" s="35">
        <v>4108.0</v>
      </c>
      <c r="G800" s="35">
        <v>7.24</v>
      </c>
      <c r="H800" s="35">
        <v>567.4</v>
      </c>
      <c r="I800" s="35" t="s">
        <v>142</v>
      </c>
    </row>
    <row r="801" ht="22.5" customHeight="1">
      <c r="A801" s="35" t="s">
        <v>1848</v>
      </c>
      <c r="B801" s="35" t="s">
        <v>1849</v>
      </c>
      <c r="C801" s="35" t="s">
        <v>7756</v>
      </c>
      <c r="D801" s="35" t="s">
        <v>145</v>
      </c>
      <c r="E801" s="35" t="s">
        <v>255</v>
      </c>
      <c r="F801" s="35">
        <v>350.0</v>
      </c>
      <c r="G801" s="35">
        <v>9.22</v>
      </c>
      <c r="H801" s="35">
        <v>38.0</v>
      </c>
      <c r="I801" s="35" t="s">
        <v>75</v>
      </c>
    </row>
    <row r="802" ht="22.5" customHeight="1">
      <c r="A802" s="35" t="s">
        <v>1850</v>
      </c>
      <c r="B802" s="35" t="s">
        <v>1851</v>
      </c>
      <c r="C802" s="35" t="s">
        <v>7756</v>
      </c>
      <c r="D802" s="35" t="s">
        <v>224</v>
      </c>
      <c r="E802" s="35" t="s">
        <v>390</v>
      </c>
      <c r="F802" s="35">
        <v>1338.0</v>
      </c>
      <c r="G802" s="35">
        <v>6.54</v>
      </c>
      <c r="H802" s="35">
        <v>204.6</v>
      </c>
      <c r="I802" s="35" t="s">
        <v>62</v>
      </c>
    </row>
    <row r="803" ht="22.5" customHeight="1">
      <c r="A803" s="35" t="s">
        <v>1852</v>
      </c>
      <c r="B803" s="35" t="s">
        <v>1853</v>
      </c>
      <c r="C803" s="35" t="s">
        <v>7756</v>
      </c>
      <c r="D803" s="35" t="s">
        <v>236</v>
      </c>
      <c r="E803" s="35" t="s">
        <v>558</v>
      </c>
      <c r="F803" s="35">
        <v>3545.0</v>
      </c>
      <c r="G803" s="35">
        <v>5.54</v>
      </c>
      <c r="H803" s="35">
        <v>639.9</v>
      </c>
      <c r="I803" s="35" t="s">
        <v>142</v>
      </c>
    </row>
    <row r="804" ht="22.5" customHeight="1">
      <c r="A804" s="35" t="s">
        <v>1854</v>
      </c>
      <c r="B804" s="35" t="s">
        <v>1855</v>
      </c>
      <c r="C804" s="35" t="s">
        <v>7756</v>
      </c>
      <c r="D804" s="35" t="s">
        <v>192</v>
      </c>
      <c r="E804" s="35" t="s">
        <v>508</v>
      </c>
      <c r="F804" s="35">
        <v>619.0</v>
      </c>
      <c r="G804" s="35">
        <v>6.82</v>
      </c>
      <c r="H804" s="35">
        <v>90.8</v>
      </c>
      <c r="I804" s="35" t="s">
        <v>62</v>
      </c>
    </row>
    <row r="805" ht="22.5" customHeight="1">
      <c r="A805" s="35" t="s">
        <v>1856</v>
      </c>
      <c r="B805" s="35" t="s">
        <v>1857</v>
      </c>
      <c r="C805" s="35" t="s">
        <v>7756</v>
      </c>
      <c r="D805" s="35" t="s">
        <v>130</v>
      </c>
      <c r="E805" s="35" t="s">
        <v>180</v>
      </c>
      <c r="F805" s="35">
        <v>888.0</v>
      </c>
      <c r="G805" s="35">
        <v>1.71</v>
      </c>
      <c r="H805" s="35">
        <v>519.3</v>
      </c>
      <c r="I805" s="35" t="s">
        <v>62</v>
      </c>
    </row>
    <row r="806" ht="22.5" customHeight="1">
      <c r="A806" s="35" t="s">
        <v>1858</v>
      </c>
      <c r="B806" s="35" t="s">
        <v>1859</v>
      </c>
      <c r="C806" s="35" t="s">
        <v>7756</v>
      </c>
      <c r="D806" s="35" t="s">
        <v>72</v>
      </c>
      <c r="E806" s="35" t="s">
        <v>71</v>
      </c>
      <c r="F806" s="35">
        <v>9963.0</v>
      </c>
      <c r="G806" s="35">
        <v>6.52</v>
      </c>
      <c r="H806" s="35">
        <v>1528.1</v>
      </c>
      <c r="I806" s="35" t="s">
        <v>142</v>
      </c>
    </row>
    <row r="807" ht="22.5" customHeight="1">
      <c r="A807" s="35" t="s">
        <v>1860</v>
      </c>
      <c r="B807" s="35" t="s">
        <v>1861</v>
      </c>
      <c r="C807" s="35" t="s">
        <v>7756</v>
      </c>
      <c r="D807" s="35" t="s">
        <v>236</v>
      </c>
      <c r="E807" s="35" t="s">
        <v>558</v>
      </c>
      <c r="F807" s="35">
        <v>62868.0</v>
      </c>
      <c r="G807" s="35">
        <v>27.45</v>
      </c>
      <c r="H807" s="35">
        <v>2290.3</v>
      </c>
      <c r="I807" s="35" t="s">
        <v>7463</v>
      </c>
    </row>
    <row r="808" ht="22.5" customHeight="1">
      <c r="A808" s="35" t="s">
        <v>1862</v>
      </c>
      <c r="B808" s="35" t="s">
        <v>1863</v>
      </c>
      <c r="C808" s="35" t="s">
        <v>7756</v>
      </c>
      <c r="D808" s="35" t="s">
        <v>120</v>
      </c>
      <c r="E808" s="35" t="s">
        <v>312</v>
      </c>
      <c r="F808" s="35">
        <v>258.0</v>
      </c>
      <c r="G808" s="35">
        <v>5.41</v>
      </c>
      <c r="H808" s="35">
        <v>47.7</v>
      </c>
      <c r="I808" s="35" t="s">
        <v>75</v>
      </c>
    </row>
    <row r="809" ht="22.5" customHeight="1">
      <c r="A809" s="35" t="s">
        <v>1864</v>
      </c>
      <c r="B809" s="35" t="s">
        <v>1865</v>
      </c>
      <c r="C809" s="35" t="s">
        <v>7756</v>
      </c>
      <c r="D809" s="35" t="s">
        <v>236</v>
      </c>
      <c r="E809" s="35" t="s">
        <v>558</v>
      </c>
      <c r="F809" s="35">
        <v>10847.0</v>
      </c>
      <c r="G809" s="35">
        <v>8.97</v>
      </c>
      <c r="H809" s="35">
        <v>1209.3</v>
      </c>
      <c r="I809" s="35" t="s">
        <v>571</v>
      </c>
    </row>
    <row r="810" ht="22.5" customHeight="1">
      <c r="A810" s="35" t="s">
        <v>1866</v>
      </c>
      <c r="B810" s="35" t="s">
        <v>1867</v>
      </c>
      <c r="C810" s="35" t="s">
        <v>7756</v>
      </c>
      <c r="D810" s="35" t="s">
        <v>205</v>
      </c>
      <c r="E810" s="35" t="s">
        <v>530</v>
      </c>
      <c r="F810" s="35">
        <v>3099.0</v>
      </c>
      <c r="G810" s="35">
        <v>22.27</v>
      </c>
      <c r="H810" s="35">
        <v>139.2</v>
      </c>
      <c r="I810" s="35" t="s">
        <v>142</v>
      </c>
    </row>
    <row r="811" ht="22.5" customHeight="1">
      <c r="A811" s="35" t="s">
        <v>1868</v>
      </c>
      <c r="B811" s="35" t="s">
        <v>1869</v>
      </c>
      <c r="C811" s="35" t="s">
        <v>7756</v>
      </c>
      <c r="D811" s="35" t="s">
        <v>236</v>
      </c>
      <c r="E811" s="35" t="s">
        <v>558</v>
      </c>
      <c r="F811" s="35">
        <v>1631.0</v>
      </c>
      <c r="G811" s="35">
        <v>2.3</v>
      </c>
      <c r="H811" s="35">
        <v>709.1</v>
      </c>
      <c r="I811" s="35" t="s">
        <v>62</v>
      </c>
    </row>
    <row r="812" ht="22.5" customHeight="1">
      <c r="A812" s="35" t="s">
        <v>1870</v>
      </c>
      <c r="B812" s="35" t="s">
        <v>1871</v>
      </c>
      <c r="C812" s="35" t="s">
        <v>7756</v>
      </c>
      <c r="D812" s="35" t="s">
        <v>146</v>
      </c>
      <c r="E812" s="35" t="s">
        <v>268</v>
      </c>
      <c r="F812" s="35">
        <v>13183.0</v>
      </c>
      <c r="G812" s="35">
        <v>3.65</v>
      </c>
      <c r="H812" s="35">
        <v>3611.8</v>
      </c>
      <c r="I812" s="35" t="s">
        <v>571</v>
      </c>
    </row>
    <row r="813" ht="22.5" customHeight="1">
      <c r="A813" s="35" t="s">
        <v>1872</v>
      </c>
      <c r="B813" s="35" t="s">
        <v>1873</v>
      </c>
      <c r="C813" s="35" t="s">
        <v>7756</v>
      </c>
      <c r="D813" s="35" t="s">
        <v>130</v>
      </c>
      <c r="E813" s="35" t="s">
        <v>180</v>
      </c>
      <c r="F813" s="35">
        <v>3125.0</v>
      </c>
      <c r="G813" s="35">
        <v>11.13</v>
      </c>
      <c r="H813" s="35">
        <v>280.8</v>
      </c>
      <c r="I813" s="35" t="s">
        <v>142</v>
      </c>
    </row>
    <row r="814" ht="22.5" customHeight="1">
      <c r="A814" s="35" t="s">
        <v>1874</v>
      </c>
      <c r="B814" s="35" t="s">
        <v>1875</v>
      </c>
      <c r="C814" s="35" t="s">
        <v>7756</v>
      </c>
      <c r="D814" s="35" t="s">
        <v>235</v>
      </c>
      <c r="E814" s="35" t="s">
        <v>555</v>
      </c>
      <c r="F814" s="35">
        <v>2077.0</v>
      </c>
      <c r="G814" s="35">
        <v>10.17</v>
      </c>
      <c r="H814" s="35">
        <v>204.2</v>
      </c>
      <c r="I814" s="35" t="s">
        <v>142</v>
      </c>
    </row>
    <row r="815" ht="22.5" customHeight="1">
      <c r="A815" s="35" t="s">
        <v>1876</v>
      </c>
      <c r="B815" s="35" t="s">
        <v>1877</v>
      </c>
      <c r="C815" s="35" t="s">
        <v>7756</v>
      </c>
      <c r="D815" s="35" t="s">
        <v>236</v>
      </c>
      <c r="E815" s="35" t="s">
        <v>558</v>
      </c>
      <c r="F815" s="35">
        <v>26998.0</v>
      </c>
      <c r="G815" s="35">
        <v>6.27</v>
      </c>
      <c r="H815" s="35">
        <v>4305.9</v>
      </c>
      <c r="I815" s="35" t="s">
        <v>571</v>
      </c>
    </row>
    <row r="816" ht="22.5" customHeight="1">
      <c r="A816" s="35" t="s">
        <v>1878</v>
      </c>
      <c r="B816" s="35" t="s">
        <v>1879</v>
      </c>
      <c r="C816" s="35" t="s">
        <v>7756</v>
      </c>
      <c r="D816" s="35" t="s">
        <v>99</v>
      </c>
      <c r="E816" s="35" t="s">
        <v>98</v>
      </c>
      <c r="F816" s="35">
        <v>1594.0</v>
      </c>
      <c r="G816" s="35">
        <v>13.41</v>
      </c>
      <c r="H816" s="35">
        <v>118.9</v>
      </c>
      <c r="I816" s="35" t="s">
        <v>62</v>
      </c>
    </row>
    <row r="817" ht="22.5" customHeight="1">
      <c r="A817" s="35" t="s">
        <v>1880</v>
      </c>
      <c r="B817" s="35" t="s">
        <v>1881</v>
      </c>
      <c r="C817" s="35" t="s">
        <v>7756</v>
      </c>
      <c r="D817" s="35" t="s">
        <v>146</v>
      </c>
      <c r="E817" s="35" t="s">
        <v>268</v>
      </c>
      <c r="F817" s="35">
        <v>1082.0</v>
      </c>
      <c r="G817" s="35">
        <v>6.5</v>
      </c>
      <c r="H817" s="35">
        <v>166.5</v>
      </c>
      <c r="I817" s="35" t="s">
        <v>62</v>
      </c>
    </row>
    <row r="818" ht="22.5" customHeight="1">
      <c r="A818" s="35" t="s">
        <v>1882</v>
      </c>
      <c r="B818" s="35" t="s">
        <v>1883</v>
      </c>
      <c r="C818" s="35" t="s">
        <v>7756</v>
      </c>
      <c r="D818" s="35" t="s">
        <v>145</v>
      </c>
      <c r="E818" s="35" t="s">
        <v>255</v>
      </c>
      <c r="F818" s="35">
        <v>1769.0</v>
      </c>
      <c r="G818" s="35">
        <v>1.87</v>
      </c>
      <c r="H818" s="35">
        <v>946.0</v>
      </c>
      <c r="I818" s="35" t="s">
        <v>62</v>
      </c>
    </row>
    <row r="819" ht="22.5" customHeight="1">
      <c r="A819" s="35" t="s">
        <v>1884</v>
      </c>
      <c r="B819" s="35" t="s">
        <v>1885</v>
      </c>
      <c r="C819" s="35" t="s">
        <v>7756</v>
      </c>
      <c r="D819" s="35" t="s">
        <v>224</v>
      </c>
      <c r="E819" s="35" t="s">
        <v>390</v>
      </c>
      <c r="F819" s="35">
        <v>2245.0</v>
      </c>
      <c r="G819" s="35">
        <v>6.74</v>
      </c>
      <c r="H819" s="35">
        <v>333.1</v>
      </c>
      <c r="I819" s="35" t="s">
        <v>142</v>
      </c>
    </row>
    <row r="820" ht="22.5" customHeight="1">
      <c r="A820" s="35" t="s">
        <v>1886</v>
      </c>
      <c r="B820" s="35" t="s">
        <v>1887</v>
      </c>
      <c r="C820" s="35" t="s">
        <v>7756</v>
      </c>
      <c r="D820" s="35" t="s">
        <v>120</v>
      </c>
      <c r="E820" s="35" t="s">
        <v>312</v>
      </c>
      <c r="F820" s="35">
        <v>549.0</v>
      </c>
      <c r="G820" s="35">
        <v>3.21</v>
      </c>
      <c r="H820" s="35">
        <v>171.0</v>
      </c>
      <c r="I820" s="35" t="s">
        <v>62</v>
      </c>
    </row>
    <row r="821" ht="22.5" customHeight="1">
      <c r="A821" s="35" t="s">
        <v>1888</v>
      </c>
      <c r="B821" s="35" t="s">
        <v>1889</v>
      </c>
      <c r="C821" s="35" t="s">
        <v>7756</v>
      </c>
      <c r="D821" s="35" t="s">
        <v>72</v>
      </c>
      <c r="E821" s="35" t="s">
        <v>71</v>
      </c>
      <c r="F821" s="35">
        <v>4626.0</v>
      </c>
      <c r="G821" s="35">
        <v>7.08</v>
      </c>
      <c r="H821" s="35">
        <v>653.4</v>
      </c>
      <c r="I821" s="35" t="s">
        <v>142</v>
      </c>
    </row>
    <row r="822" ht="22.5" customHeight="1">
      <c r="A822" s="35" t="s">
        <v>1890</v>
      </c>
      <c r="B822" s="35" t="s">
        <v>1891</v>
      </c>
      <c r="C822" s="35" t="s">
        <v>7756</v>
      </c>
      <c r="D822" s="35" t="s">
        <v>236</v>
      </c>
      <c r="E822" s="35" t="s">
        <v>558</v>
      </c>
      <c r="F822" s="35">
        <v>1749.0</v>
      </c>
      <c r="G822" s="35">
        <v>10.1</v>
      </c>
      <c r="H822" s="35">
        <v>173.2</v>
      </c>
      <c r="I822" s="35" t="s">
        <v>62</v>
      </c>
    </row>
    <row r="823" ht="22.5" customHeight="1">
      <c r="A823" s="35" t="s">
        <v>1892</v>
      </c>
      <c r="B823" s="35" t="s">
        <v>1893</v>
      </c>
      <c r="C823" s="35" t="s">
        <v>7756</v>
      </c>
      <c r="D823" s="35" t="s">
        <v>130</v>
      </c>
      <c r="E823" s="35" t="s">
        <v>180</v>
      </c>
      <c r="F823" s="35">
        <v>1143.0</v>
      </c>
      <c r="G823" s="35">
        <v>5.16</v>
      </c>
      <c r="H823" s="35">
        <v>221.5</v>
      </c>
      <c r="I823" s="35" t="s">
        <v>62</v>
      </c>
    </row>
    <row r="824" ht="22.5" customHeight="1">
      <c r="A824" s="35" t="s">
        <v>1894</v>
      </c>
      <c r="B824" s="35" t="s">
        <v>1895</v>
      </c>
      <c r="C824" s="35" t="s">
        <v>7756</v>
      </c>
      <c r="D824" s="35" t="s">
        <v>146</v>
      </c>
      <c r="E824" s="35" t="s">
        <v>268</v>
      </c>
      <c r="F824" s="35">
        <v>1705.0</v>
      </c>
      <c r="G824" s="35">
        <v>4.32</v>
      </c>
      <c r="H824" s="35">
        <v>394.7</v>
      </c>
      <c r="I824" s="35" t="s">
        <v>62</v>
      </c>
    </row>
    <row r="825" ht="22.5" customHeight="1">
      <c r="A825" s="35" t="s">
        <v>1896</v>
      </c>
      <c r="B825" s="35" t="s">
        <v>1897</v>
      </c>
      <c r="C825" s="35" t="s">
        <v>7756</v>
      </c>
      <c r="D825" s="35" t="s">
        <v>130</v>
      </c>
      <c r="E825" s="35" t="s">
        <v>180</v>
      </c>
      <c r="F825" s="35">
        <v>7083.0</v>
      </c>
      <c r="G825" s="35">
        <v>7.13</v>
      </c>
      <c r="H825" s="35">
        <v>993.4</v>
      </c>
      <c r="I825" s="35" t="s">
        <v>142</v>
      </c>
    </row>
    <row r="826" ht="22.5" customHeight="1">
      <c r="A826" s="35" t="s">
        <v>1898</v>
      </c>
      <c r="B826" s="35" t="s">
        <v>1899</v>
      </c>
      <c r="C826" s="35" t="s">
        <v>7756</v>
      </c>
      <c r="D826" s="35" t="s">
        <v>224</v>
      </c>
      <c r="E826" s="35" t="s">
        <v>390</v>
      </c>
      <c r="F826" s="35">
        <v>1599.0</v>
      </c>
      <c r="G826" s="35">
        <v>7.77</v>
      </c>
      <c r="H826" s="35">
        <v>205.8</v>
      </c>
      <c r="I826" s="35" t="s">
        <v>62</v>
      </c>
    </row>
    <row r="827" ht="22.5" customHeight="1">
      <c r="A827" s="35" t="s">
        <v>1900</v>
      </c>
      <c r="B827" s="35" t="s">
        <v>1901</v>
      </c>
      <c r="C827" s="35" t="s">
        <v>7756</v>
      </c>
      <c r="D827" s="35" t="s">
        <v>192</v>
      </c>
      <c r="E827" s="35" t="s">
        <v>508</v>
      </c>
      <c r="F827" s="35">
        <v>359.0</v>
      </c>
      <c r="G827" s="35">
        <v>3.56</v>
      </c>
      <c r="H827" s="35">
        <v>100.8</v>
      </c>
      <c r="I827" s="35" t="s">
        <v>75</v>
      </c>
    </row>
    <row r="828" ht="22.5" customHeight="1">
      <c r="A828" s="35" t="s">
        <v>1902</v>
      </c>
      <c r="B828" s="35" t="s">
        <v>1903</v>
      </c>
      <c r="C828" s="35" t="s">
        <v>7756</v>
      </c>
      <c r="D828" s="35" t="s">
        <v>146</v>
      </c>
      <c r="E828" s="35" t="s">
        <v>268</v>
      </c>
      <c r="F828" s="35">
        <v>7080.0</v>
      </c>
      <c r="G828" s="35">
        <v>6.08</v>
      </c>
      <c r="H828" s="35">
        <v>1164.5</v>
      </c>
      <c r="I828" s="35" t="s">
        <v>142</v>
      </c>
    </row>
    <row r="829" ht="22.5" customHeight="1">
      <c r="A829" s="35" t="s">
        <v>1904</v>
      </c>
      <c r="B829" s="35" t="s">
        <v>1905</v>
      </c>
      <c r="C829" s="35" t="s">
        <v>7756</v>
      </c>
      <c r="D829" s="35" t="s">
        <v>145</v>
      </c>
      <c r="E829" s="35" t="s">
        <v>255</v>
      </c>
      <c r="F829" s="35">
        <v>8612.0</v>
      </c>
      <c r="G829" s="35">
        <v>8.65</v>
      </c>
      <c r="H829" s="35">
        <v>995.6</v>
      </c>
      <c r="I829" s="35" t="s">
        <v>142</v>
      </c>
    </row>
    <row r="830" ht="22.5" customHeight="1">
      <c r="A830" s="35" t="s">
        <v>1906</v>
      </c>
      <c r="B830" s="35" t="s">
        <v>1907</v>
      </c>
      <c r="C830" s="35" t="s">
        <v>7756</v>
      </c>
      <c r="D830" s="35" t="s">
        <v>224</v>
      </c>
      <c r="E830" s="35" t="s">
        <v>390</v>
      </c>
      <c r="F830" s="35">
        <v>2561.0</v>
      </c>
      <c r="G830" s="35">
        <v>13.85</v>
      </c>
      <c r="H830" s="35">
        <v>184.9</v>
      </c>
      <c r="I830" s="35" t="s">
        <v>142</v>
      </c>
    </row>
    <row r="831" ht="22.5" customHeight="1">
      <c r="A831" s="35" t="s">
        <v>1908</v>
      </c>
      <c r="B831" s="35" t="s">
        <v>1909</v>
      </c>
      <c r="C831" s="35" t="s">
        <v>7756</v>
      </c>
      <c r="D831" s="35" t="s">
        <v>149</v>
      </c>
      <c r="E831" s="35" t="s">
        <v>363</v>
      </c>
      <c r="F831" s="35">
        <v>2232.0</v>
      </c>
      <c r="G831" s="35">
        <v>12.74</v>
      </c>
      <c r="H831" s="35">
        <v>175.2</v>
      </c>
      <c r="I831" s="35" t="s">
        <v>142</v>
      </c>
    </row>
    <row r="832" ht="22.5" customHeight="1">
      <c r="A832" s="35" t="s">
        <v>1910</v>
      </c>
      <c r="B832" s="35" t="s">
        <v>1911</v>
      </c>
      <c r="C832" s="35" t="s">
        <v>7756</v>
      </c>
      <c r="D832" s="35" t="s">
        <v>149</v>
      </c>
      <c r="E832" s="35" t="s">
        <v>363</v>
      </c>
      <c r="F832" s="35">
        <v>4012.0</v>
      </c>
      <c r="G832" s="35">
        <v>2.31</v>
      </c>
      <c r="H832" s="35">
        <v>1736.8</v>
      </c>
      <c r="I832" s="35" t="s">
        <v>142</v>
      </c>
    </row>
    <row r="833" ht="22.5" customHeight="1">
      <c r="A833" s="35" t="s">
        <v>1912</v>
      </c>
      <c r="B833" s="35" t="s">
        <v>1913</v>
      </c>
      <c r="C833" s="35" t="s">
        <v>7756</v>
      </c>
      <c r="D833" s="35" t="s">
        <v>135</v>
      </c>
      <c r="E833" s="35" t="s">
        <v>349</v>
      </c>
      <c r="F833" s="35">
        <v>3562.0</v>
      </c>
      <c r="G833" s="35">
        <v>9.04</v>
      </c>
      <c r="H833" s="35">
        <v>394.0</v>
      </c>
      <c r="I833" s="35" t="s">
        <v>142</v>
      </c>
    </row>
    <row r="834" ht="22.5" customHeight="1">
      <c r="A834" s="35" t="s">
        <v>1914</v>
      </c>
      <c r="B834" s="35" t="s">
        <v>1915</v>
      </c>
      <c r="C834" s="35" t="s">
        <v>7756</v>
      </c>
      <c r="D834" s="35" t="s">
        <v>122</v>
      </c>
      <c r="E834" s="35" t="s">
        <v>328</v>
      </c>
      <c r="F834" s="35">
        <v>1458.0</v>
      </c>
      <c r="G834" s="35">
        <v>10.51</v>
      </c>
      <c r="H834" s="35">
        <v>138.7</v>
      </c>
      <c r="I834" s="35" t="s">
        <v>62</v>
      </c>
    </row>
    <row r="835" ht="22.5" customHeight="1">
      <c r="A835" s="35" t="s">
        <v>1916</v>
      </c>
      <c r="B835" s="35" t="s">
        <v>1917</v>
      </c>
      <c r="C835" s="35" t="s">
        <v>7756</v>
      </c>
      <c r="D835" s="35" t="s">
        <v>120</v>
      </c>
      <c r="E835" s="35" t="s">
        <v>312</v>
      </c>
      <c r="F835" s="35">
        <v>757.0</v>
      </c>
      <c r="G835" s="35">
        <v>6.31</v>
      </c>
      <c r="H835" s="35">
        <v>120.0</v>
      </c>
      <c r="I835" s="35" t="s">
        <v>62</v>
      </c>
    </row>
    <row r="836" ht="22.5" customHeight="1">
      <c r="A836" s="35" t="s">
        <v>1918</v>
      </c>
      <c r="B836" s="35" t="s">
        <v>1919</v>
      </c>
      <c r="C836" s="35" t="s">
        <v>7756</v>
      </c>
      <c r="D836" s="35" t="s">
        <v>145</v>
      </c>
      <c r="E836" s="35" t="s">
        <v>255</v>
      </c>
      <c r="F836" s="35">
        <v>2230.0</v>
      </c>
      <c r="G836" s="35">
        <v>9.41</v>
      </c>
      <c r="H836" s="35">
        <v>237.0</v>
      </c>
      <c r="I836" s="35" t="s">
        <v>142</v>
      </c>
    </row>
    <row r="837" ht="22.5" customHeight="1">
      <c r="A837" s="35" t="s">
        <v>1920</v>
      </c>
      <c r="B837" s="35" t="s">
        <v>1921</v>
      </c>
      <c r="C837" s="35" t="s">
        <v>7756</v>
      </c>
      <c r="D837" s="35" t="s">
        <v>224</v>
      </c>
      <c r="E837" s="35" t="s">
        <v>390</v>
      </c>
      <c r="F837" s="35">
        <v>1898.0</v>
      </c>
      <c r="G837" s="35">
        <v>6.43</v>
      </c>
      <c r="H837" s="35">
        <v>295.2</v>
      </c>
      <c r="I837" s="35" t="s">
        <v>62</v>
      </c>
    </row>
    <row r="838" ht="22.5" customHeight="1">
      <c r="A838" s="35" t="s">
        <v>1922</v>
      </c>
      <c r="B838" s="35" t="s">
        <v>1923</v>
      </c>
      <c r="C838" s="35" t="s">
        <v>7756</v>
      </c>
      <c r="D838" s="35" t="s">
        <v>99</v>
      </c>
      <c r="E838" s="35" t="s">
        <v>98</v>
      </c>
      <c r="F838" s="35">
        <v>14732.0</v>
      </c>
      <c r="G838" s="35">
        <v>43.49</v>
      </c>
      <c r="H838" s="35">
        <v>338.7</v>
      </c>
      <c r="I838" s="35" t="s">
        <v>571</v>
      </c>
    </row>
    <row r="839" ht="22.5" customHeight="1">
      <c r="A839" s="35" t="s">
        <v>1924</v>
      </c>
      <c r="B839" s="35" t="s">
        <v>1925</v>
      </c>
      <c r="C839" s="35" t="s">
        <v>7756</v>
      </c>
      <c r="D839" s="35" t="s">
        <v>236</v>
      </c>
      <c r="E839" s="35" t="s">
        <v>558</v>
      </c>
      <c r="F839" s="35">
        <v>5545.0</v>
      </c>
      <c r="G839" s="35">
        <v>8.68</v>
      </c>
      <c r="H839" s="35">
        <v>638.8</v>
      </c>
      <c r="I839" s="35" t="s">
        <v>142</v>
      </c>
    </row>
    <row r="840" ht="22.5" customHeight="1">
      <c r="A840" s="35" t="s">
        <v>1926</v>
      </c>
      <c r="B840" s="35" t="s">
        <v>1927</v>
      </c>
      <c r="C840" s="35" t="s">
        <v>7756</v>
      </c>
      <c r="D840" s="35" t="s">
        <v>205</v>
      </c>
      <c r="E840" s="35" t="s">
        <v>530</v>
      </c>
      <c r="F840" s="35">
        <v>158.0</v>
      </c>
      <c r="G840" s="35">
        <v>7.96</v>
      </c>
      <c r="H840" s="35">
        <v>19.8</v>
      </c>
      <c r="I840" s="35" t="s">
        <v>75</v>
      </c>
    </row>
    <row r="841" ht="22.5" customHeight="1">
      <c r="A841" s="35" t="s">
        <v>1928</v>
      </c>
      <c r="B841" s="35" t="s">
        <v>1929</v>
      </c>
      <c r="C841" s="35" t="s">
        <v>7756</v>
      </c>
      <c r="D841" s="35" t="s">
        <v>171</v>
      </c>
      <c r="E841" s="35" t="s">
        <v>457</v>
      </c>
      <c r="F841" s="35">
        <v>845.0</v>
      </c>
      <c r="G841" s="35">
        <v>11.82</v>
      </c>
      <c r="H841" s="35">
        <v>71.5</v>
      </c>
      <c r="I841" s="35" t="s">
        <v>62</v>
      </c>
    </row>
    <row r="842" ht="22.5" customHeight="1">
      <c r="A842" s="35" t="s">
        <v>1930</v>
      </c>
      <c r="B842" s="35" t="s">
        <v>1931</v>
      </c>
      <c r="C842" s="35" t="s">
        <v>7756</v>
      </c>
      <c r="D842" s="35" t="s">
        <v>120</v>
      </c>
      <c r="E842" s="35" t="s">
        <v>312</v>
      </c>
      <c r="F842" s="35">
        <v>339.0</v>
      </c>
      <c r="G842" s="35">
        <v>6.16</v>
      </c>
      <c r="H842" s="35">
        <v>55.0</v>
      </c>
      <c r="I842" s="35" t="s">
        <v>75</v>
      </c>
    </row>
    <row r="843" ht="22.5" customHeight="1">
      <c r="A843" s="35" t="s">
        <v>1932</v>
      </c>
      <c r="B843" s="35" t="s">
        <v>1933</v>
      </c>
      <c r="C843" s="35" t="s">
        <v>7756</v>
      </c>
      <c r="D843" s="35" t="s">
        <v>120</v>
      </c>
      <c r="E843" s="35" t="s">
        <v>312</v>
      </c>
      <c r="F843" s="35">
        <v>494.0</v>
      </c>
      <c r="G843" s="35">
        <v>3.18</v>
      </c>
      <c r="H843" s="35">
        <v>155.3</v>
      </c>
      <c r="I843" s="35" t="s">
        <v>75</v>
      </c>
    </row>
    <row r="844" ht="22.5" customHeight="1">
      <c r="A844" s="35" t="s">
        <v>1934</v>
      </c>
      <c r="B844" s="35" t="s">
        <v>1935</v>
      </c>
      <c r="C844" s="35" t="s">
        <v>7756</v>
      </c>
      <c r="D844" s="35" t="s">
        <v>120</v>
      </c>
      <c r="E844" s="35" t="s">
        <v>312</v>
      </c>
      <c r="F844" s="35">
        <v>441.0</v>
      </c>
      <c r="G844" s="35">
        <v>7.69</v>
      </c>
      <c r="H844" s="35">
        <v>57.3</v>
      </c>
      <c r="I844" s="35" t="s">
        <v>75</v>
      </c>
    </row>
    <row r="845" ht="22.5" customHeight="1">
      <c r="A845" s="35" t="s">
        <v>1936</v>
      </c>
      <c r="B845" s="35" t="s">
        <v>1937</v>
      </c>
      <c r="C845" s="35" t="s">
        <v>7756</v>
      </c>
      <c r="D845" s="35" t="s">
        <v>149</v>
      </c>
      <c r="E845" s="35" t="s">
        <v>363</v>
      </c>
      <c r="F845" s="35">
        <v>348.0</v>
      </c>
      <c r="G845" s="35">
        <v>7.62</v>
      </c>
      <c r="H845" s="35">
        <v>45.7</v>
      </c>
      <c r="I845" s="35" t="s">
        <v>75</v>
      </c>
    </row>
    <row r="846" ht="22.5" customHeight="1">
      <c r="A846" s="35" t="s">
        <v>1938</v>
      </c>
      <c r="B846" s="35" t="s">
        <v>1939</v>
      </c>
      <c r="C846" s="35" t="s">
        <v>7756</v>
      </c>
      <c r="D846" s="35" t="s">
        <v>236</v>
      </c>
      <c r="E846" s="35" t="s">
        <v>558</v>
      </c>
      <c r="F846" s="35">
        <v>6650.0</v>
      </c>
      <c r="G846" s="35">
        <v>3.53</v>
      </c>
      <c r="H846" s="35">
        <v>1883.9</v>
      </c>
      <c r="I846" s="35" t="s">
        <v>142</v>
      </c>
    </row>
    <row r="847" ht="22.5" customHeight="1">
      <c r="A847" s="35" t="s">
        <v>1940</v>
      </c>
      <c r="B847" s="35" t="s">
        <v>1941</v>
      </c>
      <c r="C847" s="35" t="s">
        <v>7756</v>
      </c>
      <c r="D847" s="35" t="s">
        <v>236</v>
      </c>
      <c r="E847" s="35" t="s">
        <v>558</v>
      </c>
      <c r="F847" s="35">
        <v>5249.0</v>
      </c>
      <c r="G847" s="35">
        <v>3.87</v>
      </c>
      <c r="H847" s="35">
        <v>1356.3</v>
      </c>
      <c r="I847" s="35" t="s">
        <v>142</v>
      </c>
    </row>
    <row r="848" ht="22.5" customHeight="1">
      <c r="A848" s="35" t="s">
        <v>1942</v>
      </c>
      <c r="B848" s="35" t="s">
        <v>1943</v>
      </c>
      <c r="C848" s="35" t="s">
        <v>7756</v>
      </c>
      <c r="D848" s="35" t="s">
        <v>192</v>
      </c>
      <c r="E848" s="35" t="s">
        <v>508</v>
      </c>
      <c r="F848" s="35">
        <v>3249.0</v>
      </c>
      <c r="G848" s="35">
        <v>10.33</v>
      </c>
      <c r="H848" s="35">
        <v>314.5</v>
      </c>
      <c r="I848" s="35" t="s">
        <v>142</v>
      </c>
    </row>
    <row r="849" ht="22.5" customHeight="1">
      <c r="A849" s="35" t="s">
        <v>1944</v>
      </c>
      <c r="B849" s="35" t="s">
        <v>1945</v>
      </c>
      <c r="C849" s="35" t="s">
        <v>7756</v>
      </c>
      <c r="D849" s="35" t="s">
        <v>99</v>
      </c>
      <c r="E849" s="35" t="s">
        <v>98</v>
      </c>
      <c r="F849" s="35">
        <v>1045.0</v>
      </c>
      <c r="G849" s="35">
        <v>8.44</v>
      </c>
      <c r="H849" s="35">
        <v>123.8</v>
      </c>
      <c r="I849" s="35" t="s">
        <v>62</v>
      </c>
    </row>
    <row r="850" ht="22.5" customHeight="1">
      <c r="A850" s="35" t="s">
        <v>1946</v>
      </c>
      <c r="B850" s="35" t="s">
        <v>1947</v>
      </c>
      <c r="C850" s="35" t="s">
        <v>7756</v>
      </c>
      <c r="D850" s="35" t="s">
        <v>135</v>
      </c>
      <c r="E850" s="35" t="s">
        <v>349</v>
      </c>
      <c r="F850" s="35">
        <v>551.0</v>
      </c>
      <c r="G850" s="35">
        <v>11.83</v>
      </c>
      <c r="H850" s="35">
        <v>46.6</v>
      </c>
      <c r="I850" s="35" t="s">
        <v>62</v>
      </c>
    </row>
    <row r="851" ht="22.5" customHeight="1">
      <c r="A851" s="35" t="s">
        <v>1948</v>
      </c>
      <c r="B851" s="35" t="s">
        <v>1949</v>
      </c>
      <c r="C851" s="35" t="s">
        <v>7756</v>
      </c>
      <c r="D851" s="35" t="s">
        <v>236</v>
      </c>
      <c r="E851" s="35" t="s">
        <v>558</v>
      </c>
      <c r="F851" s="35">
        <v>845.0</v>
      </c>
      <c r="G851" s="35">
        <v>5.04</v>
      </c>
      <c r="H851" s="35">
        <v>167.7</v>
      </c>
      <c r="I851" s="35" t="s">
        <v>62</v>
      </c>
    </row>
    <row r="852" ht="22.5" customHeight="1">
      <c r="A852" s="35" t="s">
        <v>1950</v>
      </c>
      <c r="B852" s="35" t="s">
        <v>1951</v>
      </c>
      <c r="C852" s="35" t="s">
        <v>7756</v>
      </c>
      <c r="D852" s="35" t="s">
        <v>192</v>
      </c>
      <c r="E852" s="35" t="s">
        <v>508</v>
      </c>
      <c r="F852" s="35">
        <v>574.0</v>
      </c>
      <c r="G852" s="35">
        <v>7.88</v>
      </c>
      <c r="H852" s="35">
        <v>72.8</v>
      </c>
      <c r="I852" s="35" t="s">
        <v>62</v>
      </c>
    </row>
    <row r="853" ht="22.5" customHeight="1">
      <c r="A853" s="35" t="s">
        <v>1952</v>
      </c>
      <c r="B853" s="35" t="s">
        <v>1953</v>
      </c>
      <c r="C853" s="35" t="s">
        <v>7756</v>
      </c>
      <c r="D853" s="35" t="s">
        <v>145</v>
      </c>
      <c r="E853" s="35" t="s">
        <v>255</v>
      </c>
      <c r="F853" s="35">
        <v>995.0</v>
      </c>
      <c r="G853" s="35">
        <v>12.82</v>
      </c>
      <c r="H853" s="35">
        <v>77.6</v>
      </c>
      <c r="I853" s="35" t="s">
        <v>62</v>
      </c>
    </row>
    <row r="854" ht="22.5" customHeight="1">
      <c r="A854" s="35" t="s">
        <v>1954</v>
      </c>
      <c r="B854" s="35" t="s">
        <v>1955</v>
      </c>
      <c r="C854" s="35" t="s">
        <v>7756</v>
      </c>
      <c r="D854" s="35" t="s">
        <v>135</v>
      </c>
      <c r="E854" s="35" t="s">
        <v>349</v>
      </c>
      <c r="F854" s="35">
        <v>458.0</v>
      </c>
      <c r="G854" s="35">
        <v>3.31</v>
      </c>
      <c r="H854" s="35">
        <v>138.4</v>
      </c>
      <c r="I854" s="35" t="s">
        <v>75</v>
      </c>
    </row>
    <row r="855" ht="22.5" customHeight="1">
      <c r="A855" s="35" t="s">
        <v>1956</v>
      </c>
      <c r="B855" s="35" t="s">
        <v>1957</v>
      </c>
      <c r="C855" s="35" t="s">
        <v>7756</v>
      </c>
      <c r="D855" s="35" t="s">
        <v>202</v>
      </c>
      <c r="E855" s="35" t="s">
        <v>499</v>
      </c>
      <c r="F855" s="35">
        <v>234.0</v>
      </c>
      <c r="G855" s="35">
        <v>1.01</v>
      </c>
      <c r="H855" s="35">
        <v>231.7</v>
      </c>
      <c r="I855" s="35" t="s">
        <v>75</v>
      </c>
    </row>
    <row r="856" ht="22.5" customHeight="1">
      <c r="A856" s="35" t="s">
        <v>1958</v>
      </c>
      <c r="B856" s="35" t="s">
        <v>1959</v>
      </c>
      <c r="C856" s="35" t="s">
        <v>7756</v>
      </c>
      <c r="D856" s="35" t="s">
        <v>149</v>
      </c>
      <c r="E856" s="35" t="s">
        <v>363</v>
      </c>
      <c r="F856" s="35">
        <v>272.0</v>
      </c>
      <c r="G856" s="35">
        <v>7.9</v>
      </c>
      <c r="H856" s="35">
        <v>34.4</v>
      </c>
      <c r="I856" s="35" t="s">
        <v>75</v>
      </c>
    </row>
    <row r="857" ht="22.5" customHeight="1">
      <c r="A857" s="35" t="s">
        <v>1960</v>
      </c>
      <c r="B857" s="35" t="s">
        <v>295</v>
      </c>
      <c r="C857" s="35" t="s">
        <v>7756</v>
      </c>
      <c r="D857" s="35" t="s">
        <v>149</v>
      </c>
      <c r="E857" s="35" t="s">
        <v>363</v>
      </c>
      <c r="F857" s="35">
        <v>169.0</v>
      </c>
      <c r="G857" s="35">
        <v>7.38</v>
      </c>
      <c r="H857" s="35">
        <v>22.9</v>
      </c>
      <c r="I857" s="35" t="s">
        <v>75</v>
      </c>
    </row>
    <row r="858" ht="22.5" customHeight="1">
      <c r="A858" s="35" t="s">
        <v>1961</v>
      </c>
      <c r="B858" s="35" t="s">
        <v>1962</v>
      </c>
      <c r="C858" s="35" t="s">
        <v>7756</v>
      </c>
      <c r="D858" s="35" t="s">
        <v>135</v>
      </c>
      <c r="E858" s="35" t="s">
        <v>349</v>
      </c>
      <c r="F858" s="35">
        <v>1933.0</v>
      </c>
      <c r="G858" s="35">
        <v>3.54</v>
      </c>
      <c r="H858" s="35">
        <v>546.0</v>
      </c>
      <c r="I858" s="35" t="s">
        <v>62</v>
      </c>
    </row>
    <row r="859" ht="22.5" customHeight="1">
      <c r="A859" s="35" t="s">
        <v>1963</v>
      </c>
      <c r="B859" s="35" t="s">
        <v>1964</v>
      </c>
      <c r="C859" s="35" t="s">
        <v>7756</v>
      </c>
      <c r="D859" s="35" t="s">
        <v>122</v>
      </c>
      <c r="E859" s="35" t="s">
        <v>328</v>
      </c>
      <c r="F859" s="35">
        <v>1301.0</v>
      </c>
      <c r="G859" s="35">
        <v>3.4</v>
      </c>
      <c r="H859" s="35">
        <v>382.6</v>
      </c>
      <c r="I859" s="35" t="s">
        <v>62</v>
      </c>
    </row>
    <row r="860" ht="22.5" customHeight="1">
      <c r="A860" s="35" t="s">
        <v>1965</v>
      </c>
      <c r="B860" s="35" t="s">
        <v>1966</v>
      </c>
      <c r="C860" s="35" t="s">
        <v>7756</v>
      </c>
      <c r="D860" s="35" t="s">
        <v>192</v>
      </c>
      <c r="E860" s="35" t="s">
        <v>508</v>
      </c>
      <c r="F860" s="35">
        <v>810.0</v>
      </c>
      <c r="G860" s="35">
        <v>5.21</v>
      </c>
      <c r="H860" s="35">
        <v>155.5</v>
      </c>
      <c r="I860" s="35" t="s">
        <v>62</v>
      </c>
    </row>
    <row r="861" ht="22.5" customHeight="1">
      <c r="A861" s="35" t="s">
        <v>1967</v>
      </c>
      <c r="B861" s="35" t="s">
        <v>1968</v>
      </c>
      <c r="C861" s="35" t="s">
        <v>7756</v>
      </c>
      <c r="D861" s="35" t="s">
        <v>149</v>
      </c>
      <c r="E861" s="35" t="s">
        <v>363</v>
      </c>
      <c r="F861" s="35">
        <v>163.0</v>
      </c>
      <c r="G861" s="35">
        <v>5.76</v>
      </c>
      <c r="H861" s="35">
        <v>28.3</v>
      </c>
      <c r="I861" s="35" t="s">
        <v>75</v>
      </c>
    </row>
    <row r="862" ht="22.5" customHeight="1">
      <c r="A862" s="35" t="s">
        <v>1969</v>
      </c>
      <c r="B862" s="35" t="s">
        <v>1970</v>
      </c>
      <c r="C862" s="35" t="s">
        <v>7756</v>
      </c>
      <c r="D862" s="35" t="s">
        <v>171</v>
      </c>
      <c r="E862" s="35" t="s">
        <v>457</v>
      </c>
      <c r="F862" s="35">
        <v>3525.0</v>
      </c>
      <c r="G862" s="35">
        <v>1.34</v>
      </c>
      <c r="H862" s="35">
        <v>2630.6</v>
      </c>
      <c r="I862" s="35" t="s">
        <v>142</v>
      </c>
    </row>
    <row r="863" ht="22.5" customHeight="1">
      <c r="A863" s="35" t="s">
        <v>1971</v>
      </c>
      <c r="B863" s="35" t="s">
        <v>1972</v>
      </c>
      <c r="C863" s="35" t="s">
        <v>7756</v>
      </c>
      <c r="D863" s="35" t="s">
        <v>145</v>
      </c>
      <c r="E863" s="35" t="s">
        <v>255</v>
      </c>
      <c r="F863" s="35">
        <v>3159.0</v>
      </c>
      <c r="G863" s="35">
        <v>13.16</v>
      </c>
      <c r="H863" s="35">
        <v>240.0</v>
      </c>
      <c r="I863" s="35" t="s">
        <v>142</v>
      </c>
    </row>
    <row r="864" ht="22.5" customHeight="1">
      <c r="A864" s="35" t="s">
        <v>1973</v>
      </c>
      <c r="B864" s="35" t="s">
        <v>1974</v>
      </c>
      <c r="C864" s="35" t="s">
        <v>7756</v>
      </c>
      <c r="D864" s="35" t="s">
        <v>202</v>
      </c>
      <c r="E864" s="35" t="s">
        <v>499</v>
      </c>
      <c r="F864" s="35">
        <v>778.0</v>
      </c>
      <c r="G864" s="35">
        <v>6.62</v>
      </c>
      <c r="H864" s="35">
        <v>117.5</v>
      </c>
      <c r="I864" s="35" t="s">
        <v>62</v>
      </c>
    </row>
    <row r="865" ht="22.5" customHeight="1">
      <c r="A865" s="35" t="s">
        <v>1975</v>
      </c>
      <c r="B865" s="35" t="s">
        <v>1976</v>
      </c>
      <c r="C865" s="35" t="s">
        <v>7756</v>
      </c>
      <c r="D865" s="35" t="s">
        <v>224</v>
      </c>
      <c r="E865" s="35" t="s">
        <v>390</v>
      </c>
      <c r="F865" s="35">
        <v>2318.0</v>
      </c>
      <c r="G865" s="35">
        <v>11.14</v>
      </c>
      <c r="H865" s="35">
        <v>208.1</v>
      </c>
      <c r="I865" s="35" t="s">
        <v>142</v>
      </c>
    </row>
    <row r="866" ht="22.5" customHeight="1">
      <c r="A866" s="35" t="s">
        <v>1977</v>
      </c>
      <c r="B866" s="35" t="s">
        <v>1978</v>
      </c>
      <c r="C866" s="35" t="s">
        <v>7756</v>
      </c>
      <c r="D866" s="35" t="s">
        <v>145</v>
      </c>
      <c r="E866" s="35" t="s">
        <v>255</v>
      </c>
      <c r="F866" s="35">
        <v>237.0</v>
      </c>
      <c r="G866" s="35">
        <v>2.85</v>
      </c>
      <c r="H866" s="35">
        <v>83.2</v>
      </c>
      <c r="I866" s="35" t="s">
        <v>75</v>
      </c>
    </row>
    <row r="867" ht="22.5" customHeight="1">
      <c r="A867" s="35" t="s">
        <v>1979</v>
      </c>
      <c r="B867" s="35" t="s">
        <v>1980</v>
      </c>
      <c r="C867" s="35" t="s">
        <v>7756</v>
      </c>
      <c r="D867" s="35" t="s">
        <v>99</v>
      </c>
      <c r="E867" s="35" t="s">
        <v>98</v>
      </c>
      <c r="F867" s="35">
        <v>627.0</v>
      </c>
      <c r="G867" s="35">
        <v>5.13</v>
      </c>
      <c r="H867" s="35">
        <v>122.2</v>
      </c>
      <c r="I867" s="35" t="s">
        <v>62</v>
      </c>
    </row>
    <row r="868" ht="22.5" customHeight="1">
      <c r="A868" s="35" t="s">
        <v>1981</v>
      </c>
      <c r="B868" s="35" t="s">
        <v>1982</v>
      </c>
      <c r="C868" s="35" t="s">
        <v>7756</v>
      </c>
      <c r="D868" s="35" t="s">
        <v>135</v>
      </c>
      <c r="E868" s="35" t="s">
        <v>349</v>
      </c>
      <c r="F868" s="35">
        <v>2140.0</v>
      </c>
      <c r="G868" s="35">
        <v>8.55</v>
      </c>
      <c r="H868" s="35">
        <v>250.3</v>
      </c>
      <c r="I868" s="35" t="s">
        <v>142</v>
      </c>
    </row>
    <row r="869" ht="22.5" customHeight="1">
      <c r="A869" s="35" t="s">
        <v>1983</v>
      </c>
      <c r="B869" s="35" t="s">
        <v>1984</v>
      </c>
      <c r="C869" s="35" t="s">
        <v>7756</v>
      </c>
      <c r="D869" s="35" t="s">
        <v>135</v>
      </c>
      <c r="E869" s="35" t="s">
        <v>349</v>
      </c>
      <c r="F869" s="35">
        <v>689.0</v>
      </c>
      <c r="G869" s="35">
        <v>5.15</v>
      </c>
      <c r="H869" s="35">
        <v>133.8</v>
      </c>
      <c r="I869" s="35" t="s">
        <v>62</v>
      </c>
    </row>
    <row r="870" ht="22.5" customHeight="1">
      <c r="A870" s="35" t="s">
        <v>1985</v>
      </c>
      <c r="B870" s="35" t="s">
        <v>1986</v>
      </c>
      <c r="C870" s="35" t="s">
        <v>7756</v>
      </c>
      <c r="D870" s="35" t="s">
        <v>145</v>
      </c>
      <c r="E870" s="35" t="s">
        <v>255</v>
      </c>
      <c r="F870" s="35">
        <v>343.0</v>
      </c>
      <c r="G870" s="35">
        <v>4.62</v>
      </c>
      <c r="H870" s="35">
        <v>74.2</v>
      </c>
      <c r="I870" s="35" t="s">
        <v>75</v>
      </c>
    </row>
    <row r="871" ht="22.5" customHeight="1">
      <c r="A871" s="35" t="s">
        <v>1987</v>
      </c>
      <c r="B871" s="35" t="s">
        <v>1988</v>
      </c>
      <c r="C871" s="35" t="s">
        <v>7756</v>
      </c>
      <c r="D871" s="35" t="s">
        <v>192</v>
      </c>
      <c r="E871" s="35" t="s">
        <v>508</v>
      </c>
      <c r="F871" s="35">
        <v>253.0</v>
      </c>
      <c r="G871" s="35">
        <v>3.32</v>
      </c>
      <c r="H871" s="35">
        <v>76.2</v>
      </c>
      <c r="I871" s="35" t="s">
        <v>75</v>
      </c>
    </row>
    <row r="872" ht="22.5" customHeight="1">
      <c r="A872" s="35" t="s">
        <v>1989</v>
      </c>
      <c r="B872" s="35" t="s">
        <v>1990</v>
      </c>
      <c r="C872" s="35" t="s">
        <v>7756</v>
      </c>
      <c r="D872" s="35" t="s">
        <v>149</v>
      </c>
      <c r="E872" s="35" t="s">
        <v>363</v>
      </c>
      <c r="F872" s="35">
        <v>599.0</v>
      </c>
      <c r="G872" s="35">
        <v>8.92</v>
      </c>
      <c r="H872" s="35">
        <v>67.2</v>
      </c>
      <c r="I872" s="35" t="s">
        <v>62</v>
      </c>
    </row>
    <row r="873" ht="22.5" customHeight="1">
      <c r="A873" s="35" t="s">
        <v>1991</v>
      </c>
      <c r="B873" s="35" t="s">
        <v>1992</v>
      </c>
      <c r="C873" s="35" t="s">
        <v>7756</v>
      </c>
      <c r="D873" s="35" t="s">
        <v>146</v>
      </c>
      <c r="E873" s="35" t="s">
        <v>268</v>
      </c>
      <c r="F873" s="35">
        <v>6796.0</v>
      </c>
      <c r="G873" s="35">
        <v>2.98</v>
      </c>
      <c r="H873" s="35">
        <v>2280.5</v>
      </c>
      <c r="I873" s="35" t="s">
        <v>142</v>
      </c>
    </row>
    <row r="874" ht="22.5" customHeight="1">
      <c r="A874" s="35" t="s">
        <v>1993</v>
      </c>
      <c r="B874" s="35" t="s">
        <v>1994</v>
      </c>
      <c r="C874" s="35" t="s">
        <v>7756</v>
      </c>
      <c r="D874" s="35" t="s">
        <v>224</v>
      </c>
      <c r="E874" s="35" t="s">
        <v>390</v>
      </c>
      <c r="F874" s="35">
        <v>2861.0</v>
      </c>
      <c r="G874" s="35">
        <v>12.59</v>
      </c>
      <c r="H874" s="35">
        <v>227.2</v>
      </c>
      <c r="I874" s="35" t="s">
        <v>142</v>
      </c>
    </row>
    <row r="875" ht="22.5" customHeight="1">
      <c r="A875" s="35" t="s">
        <v>1995</v>
      </c>
      <c r="B875" s="35" t="s">
        <v>1996</v>
      </c>
      <c r="C875" s="35" t="s">
        <v>7756</v>
      </c>
      <c r="D875" s="35" t="s">
        <v>135</v>
      </c>
      <c r="E875" s="35" t="s">
        <v>349</v>
      </c>
      <c r="F875" s="35">
        <v>529.0</v>
      </c>
      <c r="G875" s="35">
        <v>4.8</v>
      </c>
      <c r="H875" s="35">
        <v>110.2</v>
      </c>
      <c r="I875" s="35" t="s">
        <v>62</v>
      </c>
    </row>
    <row r="876" ht="22.5" customHeight="1">
      <c r="A876" s="35" t="s">
        <v>1997</v>
      </c>
      <c r="B876" s="35" t="s">
        <v>1998</v>
      </c>
      <c r="C876" s="35" t="s">
        <v>7756</v>
      </c>
      <c r="D876" s="35" t="s">
        <v>171</v>
      </c>
      <c r="E876" s="35" t="s">
        <v>457</v>
      </c>
      <c r="F876" s="35">
        <v>1716.0</v>
      </c>
      <c r="G876" s="35">
        <v>11.07</v>
      </c>
      <c r="H876" s="35">
        <v>155.0</v>
      </c>
      <c r="I876" s="35" t="s">
        <v>62</v>
      </c>
    </row>
    <row r="877" ht="22.5" customHeight="1">
      <c r="A877" s="35" t="s">
        <v>1999</v>
      </c>
      <c r="B877" s="35" t="s">
        <v>2000</v>
      </c>
      <c r="C877" s="35" t="s">
        <v>7756</v>
      </c>
      <c r="D877" s="35" t="s">
        <v>171</v>
      </c>
      <c r="E877" s="35" t="s">
        <v>457</v>
      </c>
      <c r="F877" s="35">
        <v>239.0</v>
      </c>
      <c r="G877" s="35">
        <v>3.58</v>
      </c>
      <c r="H877" s="35">
        <v>66.8</v>
      </c>
      <c r="I877" s="35" t="s">
        <v>75</v>
      </c>
    </row>
    <row r="878" ht="22.5" customHeight="1">
      <c r="A878" s="35" t="s">
        <v>2001</v>
      </c>
      <c r="B878" s="35" t="s">
        <v>2002</v>
      </c>
      <c r="C878" s="35" t="s">
        <v>7756</v>
      </c>
      <c r="D878" s="35" t="s">
        <v>99</v>
      </c>
      <c r="E878" s="35" t="s">
        <v>98</v>
      </c>
      <c r="F878" s="35">
        <v>2008.0</v>
      </c>
      <c r="G878" s="35">
        <v>18.24</v>
      </c>
      <c r="H878" s="35">
        <v>110.1</v>
      </c>
      <c r="I878" s="35" t="s">
        <v>142</v>
      </c>
    </row>
    <row r="879" ht="22.5" customHeight="1">
      <c r="A879" s="35" t="s">
        <v>2003</v>
      </c>
      <c r="B879" s="35" t="s">
        <v>2004</v>
      </c>
      <c r="C879" s="35" t="s">
        <v>7756</v>
      </c>
      <c r="D879" s="35" t="s">
        <v>120</v>
      </c>
      <c r="E879" s="35" t="s">
        <v>312</v>
      </c>
      <c r="F879" s="35">
        <v>313.0</v>
      </c>
      <c r="G879" s="35">
        <v>3.59</v>
      </c>
      <c r="H879" s="35">
        <v>87.2</v>
      </c>
      <c r="I879" s="35" t="s">
        <v>75</v>
      </c>
    </row>
    <row r="880" ht="22.5" customHeight="1">
      <c r="A880" s="35" t="s">
        <v>2005</v>
      </c>
      <c r="B880" s="35" t="s">
        <v>2006</v>
      </c>
      <c r="C880" s="35" t="s">
        <v>7756</v>
      </c>
      <c r="D880" s="35" t="s">
        <v>99</v>
      </c>
      <c r="E880" s="35" t="s">
        <v>98</v>
      </c>
      <c r="F880" s="35">
        <v>2244.0</v>
      </c>
      <c r="G880" s="35">
        <v>13.71</v>
      </c>
      <c r="H880" s="35">
        <v>163.7</v>
      </c>
      <c r="I880" s="35" t="s">
        <v>142</v>
      </c>
    </row>
    <row r="881" ht="22.5" customHeight="1">
      <c r="A881" s="35" t="s">
        <v>2007</v>
      </c>
      <c r="B881" s="35" t="s">
        <v>2008</v>
      </c>
      <c r="C881" s="35" t="s">
        <v>7756</v>
      </c>
      <c r="D881" s="35" t="s">
        <v>99</v>
      </c>
      <c r="E881" s="35" t="s">
        <v>98</v>
      </c>
      <c r="F881" s="35">
        <v>766.0</v>
      </c>
      <c r="G881" s="35">
        <v>7.09</v>
      </c>
      <c r="H881" s="35">
        <v>108.0</v>
      </c>
      <c r="I881" s="35" t="s">
        <v>62</v>
      </c>
    </row>
    <row r="882" ht="22.5" customHeight="1">
      <c r="A882" s="35" t="s">
        <v>2009</v>
      </c>
      <c r="B882" s="35" t="s">
        <v>2010</v>
      </c>
      <c r="C882" s="35" t="s">
        <v>7756</v>
      </c>
      <c r="D882" s="35" t="s">
        <v>236</v>
      </c>
      <c r="E882" s="35" t="s">
        <v>558</v>
      </c>
      <c r="F882" s="35">
        <v>1775.0</v>
      </c>
      <c r="G882" s="35">
        <v>7.41</v>
      </c>
      <c r="H882" s="35">
        <v>239.5</v>
      </c>
      <c r="I882" s="35" t="s">
        <v>62</v>
      </c>
    </row>
    <row r="883" ht="22.5" customHeight="1">
      <c r="A883" s="35" t="s">
        <v>2011</v>
      </c>
      <c r="B883" s="35" t="s">
        <v>2012</v>
      </c>
      <c r="C883" s="35" t="s">
        <v>7756</v>
      </c>
      <c r="D883" s="35" t="s">
        <v>171</v>
      </c>
      <c r="E883" s="35" t="s">
        <v>457</v>
      </c>
      <c r="F883" s="35">
        <v>1445.0</v>
      </c>
      <c r="G883" s="35">
        <v>17.59</v>
      </c>
      <c r="H883" s="35">
        <v>82.1</v>
      </c>
      <c r="I883" s="35" t="s">
        <v>62</v>
      </c>
    </row>
    <row r="884" ht="22.5" customHeight="1">
      <c r="A884" s="35" t="s">
        <v>2013</v>
      </c>
      <c r="B884" s="35" t="s">
        <v>2014</v>
      </c>
      <c r="C884" s="35" t="s">
        <v>7756</v>
      </c>
      <c r="D884" s="35" t="s">
        <v>236</v>
      </c>
      <c r="E884" s="35" t="s">
        <v>558</v>
      </c>
      <c r="F884" s="35">
        <v>9747.0</v>
      </c>
      <c r="G884" s="35">
        <v>13.0</v>
      </c>
      <c r="H884" s="35">
        <v>749.8</v>
      </c>
      <c r="I884" s="35" t="s">
        <v>142</v>
      </c>
    </row>
    <row r="885" ht="22.5" customHeight="1">
      <c r="A885" s="35" t="s">
        <v>2015</v>
      </c>
      <c r="B885" s="35" t="s">
        <v>2016</v>
      </c>
      <c r="C885" s="35" t="s">
        <v>7756</v>
      </c>
      <c r="D885" s="35" t="s">
        <v>99</v>
      </c>
      <c r="E885" s="35" t="s">
        <v>98</v>
      </c>
      <c r="F885" s="35">
        <v>553.0</v>
      </c>
      <c r="G885" s="35">
        <v>5.97</v>
      </c>
      <c r="H885" s="35">
        <v>92.6</v>
      </c>
      <c r="I885" s="35" t="s">
        <v>62</v>
      </c>
    </row>
    <row r="886" ht="22.5" customHeight="1">
      <c r="A886" s="35" t="s">
        <v>2017</v>
      </c>
      <c r="B886" s="35" t="s">
        <v>2018</v>
      </c>
      <c r="C886" s="35" t="s">
        <v>7756</v>
      </c>
      <c r="D886" s="35" t="s">
        <v>122</v>
      </c>
      <c r="E886" s="35" t="s">
        <v>328</v>
      </c>
      <c r="F886" s="35">
        <v>4113.0</v>
      </c>
      <c r="G886" s="35">
        <v>12.42</v>
      </c>
      <c r="H886" s="35">
        <v>331.2</v>
      </c>
      <c r="I886" s="35" t="s">
        <v>142</v>
      </c>
    </row>
    <row r="887" ht="22.5" customHeight="1">
      <c r="A887" s="35" t="s">
        <v>2019</v>
      </c>
      <c r="B887" s="35" t="s">
        <v>2020</v>
      </c>
      <c r="C887" s="35" t="s">
        <v>7756</v>
      </c>
      <c r="D887" s="35" t="s">
        <v>149</v>
      </c>
      <c r="E887" s="35" t="s">
        <v>363</v>
      </c>
      <c r="F887" s="35">
        <v>291.0</v>
      </c>
      <c r="G887" s="35">
        <v>8.72</v>
      </c>
      <c r="H887" s="35">
        <v>33.4</v>
      </c>
      <c r="I887" s="35" t="s">
        <v>75</v>
      </c>
    </row>
    <row r="888" ht="22.5" customHeight="1">
      <c r="A888" s="35" t="s">
        <v>2021</v>
      </c>
      <c r="B888" s="35" t="s">
        <v>2022</v>
      </c>
      <c r="C888" s="35" t="s">
        <v>7756</v>
      </c>
      <c r="D888" s="35" t="s">
        <v>235</v>
      </c>
      <c r="E888" s="35" t="s">
        <v>555</v>
      </c>
      <c r="F888" s="35">
        <v>6931.0</v>
      </c>
      <c r="G888" s="35">
        <v>38.35</v>
      </c>
      <c r="H888" s="35">
        <v>180.7</v>
      </c>
      <c r="I888" s="35" t="s">
        <v>142</v>
      </c>
    </row>
    <row r="889" ht="22.5" customHeight="1">
      <c r="A889" s="35" t="s">
        <v>2023</v>
      </c>
      <c r="B889" s="35" t="s">
        <v>2024</v>
      </c>
      <c r="C889" s="35" t="s">
        <v>7756</v>
      </c>
      <c r="D889" s="35" t="s">
        <v>224</v>
      </c>
      <c r="E889" s="35" t="s">
        <v>390</v>
      </c>
      <c r="F889" s="35">
        <v>1682.0</v>
      </c>
      <c r="G889" s="35">
        <v>6.57</v>
      </c>
      <c r="H889" s="35">
        <v>256.0</v>
      </c>
      <c r="I889" s="35" t="s">
        <v>62</v>
      </c>
    </row>
    <row r="890" ht="22.5" customHeight="1">
      <c r="A890" s="35" t="s">
        <v>2025</v>
      </c>
      <c r="B890" s="35" t="s">
        <v>2026</v>
      </c>
      <c r="C890" s="35" t="s">
        <v>7756</v>
      </c>
      <c r="D890" s="35" t="s">
        <v>120</v>
      </c>
      <c r="E890" s="35" t="s">
        <v>312</v>
      </c>
      <c r="F890" s="35">
        <v>360.0</v>
      </c>
      <c r="G890" s="35">
        <v>7.63</v>
      </c>
      <c r="H890" s="35">
        <v>47.2</v>
      </c>
      <c r="I890" s="35" t="s">
        <v>75</v>
      </c>
    </row>
    <row r="891" ht="22.5" customHeight="1">
      <c r="A891" s="35" t="s">
        <v>2027</v>
      </c>
      <c r="B891" s="35" t="s">
        <v>2028</v>
      </c>
      <c r="C891" s="35" t="s">
        <v>7756</v>
      </c>
      <c r="D891" s="35" t="s">
        <v>236</v>
      </c>
      <c r="E891" s="35" t="s">
        <v>558</v>
      </c>
      <c r="F891" s="35">
        <v>4978.0</v>
      </c>
      <c r="G891" s="35">
        <v>6.42</v>
      </c>
      <c r="H891" s="35">
        <v>775.4</v>
      </c>
      <c r="I891" s="35" t="s">
        <v>142</v>
      </c>
    </row>
    <row r="892" ht="22.5" customHeight="1">
      <c r="A892" s="35" t="s">
        <v>2029</v>
      </c>
      <c r="B892" s="35" t="s">
        <v>2030</v>
      </c>
      <c r="C892" s="35" t="s">
        <v>7756</v>
      </c>
      <c r="D892" s="35" t="s">
        <v>192</v>
      </c>
      <c r="E892" s="35" t="s">
        <v>508</v>
      </c>
      <c r="F892" s="35">
        <v>1769.0</v>
      </c>
      <c r="G892" s="35">
        <v>9.85</v>
      </c>
      <c r="H892" s="35">
        <v>179.6</v>
      </c>
      <c r="I892" s="35" t="s">
        <v>62</v>
      </c>
    </row>
    <row r="893" ht="22.5" customHeight="1">
      <c r="A893" s="35" t="s">
        <v>2031</v>
      </c>
      <c r="B893" s="35" t="s">
        <v>2032</v>
      </c>
      <c r="C893" s="35" t="s">
        <v>7756</v>
      </c>
      <c r="D893" s="35" t="s">
        <v>122</v>
      </c>
      <c r="E893" s="35" t="s">
        <v>328</v>
      </c>
      <c r="F893" s="35">
        <v>339.0</v>
      </c>
      <c r="G893" s="35">
        <v>3.15</v>
      </c>
      <c r="H893" s="35">
        <v>107.6</v>
      </c>
      <c r="I893" s="35" t="s">
        <v>75</v>
      </c>
    </row>
    <row r="894" ht="22.5" customHeight="1">
      <c r="A894" s="35" t="s">
        <v>2033</v>
      </c>
      <c r="B894" s="35" t="s">
        <v>2034</v>
      </c>
      <c r="C894" s="35" t="s">
        <v>7756</v>
      </c>
      <c r="D894" s="35" t="s">
        <v>145</v>
      </c>
      <c r="E894" s="35" t="s">
        <v>255</v>
      </c>
      <c r="F894" s="35">
        <v>369.0</v>
      </c>
      <c r="G894" s="35">
        <v>12.16</v>
      </c>
      <c r="H894" s="35">
        <v>30.3</v>
      </c>
      <c r="I894" s="35" t="s">
        <v>75</v>
      </c>
    </row>
    <row r="895" ht="22.5" customHeight="1">
      <c r="A895" s="35" t="s">
        <v>2035</v>
      </c>
      <c r="B895" s="35" t="s">
        <v>2036</v>
      </c>
      <c r="C895" s="35" t="s">
        <v>7756</v>
      </c>
      <c r="D895" s="35" t="s">
        <v>135</v>
      </c>
      <c r="E895" s="35" t="s">
        <v>349</v>
      </c>
      <c r="F895" s="35">
        <v>436.0</v>
      </c>
      <c r="G895" s="35">
        <v>4.81</v>
      </c>
      <c r="H895" s="35">
        <v>90.6</v>
      </c>
      <c r="I895" s="35" t="s">
        <v>75</v>
      </c>
    </row>
    <row r="896" ht="22.5" customHeight="1">
      <c r="A896" s="35" t="s">
        <v>2037</v>
      </c>
      <c r="B896" s="35" t="s">
        <v>2038</v>
      </c>
      <c r="C896" s="35" t="s">
        <v>7756</v>
      </c>
      <c r="D896" s="35" t="s">
        <v>145</v>
      </c>
      <c r="E896" s="35" t="s">
        <v>255</v>
      </c>
      <c r="F896" s="35">
        <v>522.0</v>
      </c>
      <c r="G896" s="35">
        <v>3.28</v>
      </c>
      <c r="H896" s="35">
        <v>159.1</v>
      </c>
      <c r="I896" s="35" t="s">
        <v>62</v>
      </c>
    </row>
    <row r="897" ht="22.5" customHeight="1">
      <c r="A897" s="35" t="s">
        <v>2039</v>
      </c>
      <c r="B897" s="35" t="s">
        <v>2040</v>
      </c>
      <c r="C897" s="35" t="s">
        <v>7756</v>
      </c>
      <c r="D897" s="35" t="s">
        <v>145</v>
      </c>
      <c r="E897" s="35" t="s">
        <v>255</v>
      </c>
      <c r="F897" s="35">
        <v>3123.0</v>
      </c>
      <c r="G897" s="35">
        <v>6.28</v>
      </c>
      <c r="H897" s="35">
        <v>497.3</v>
      </c>
      <c r="I897" s="35" t="s">
        <v>142</v>
      </c>
    </row>
    <row r="898" ht="22.5" customHeight="1">
      <c r="A898" s="35" t="s">
        <v>2041</v>
      </c>
      <c r="B898" s="35" t="s">
        <v>2042</v>
      </c>
      <c r="C898" s="35" t="s">
        <v>7756</v>
      </c>
      <c r="D898" s="35" t="s">
        <v>224</v>
      </c>
      <c r="E898" s="35" t="s">
        <v>390</v>
      </c>
      <c r="F898" s="35">
        <v>1580.0</v>
      </c>
      <c r="G898" s="35">
        <v>8.69</v>
      </c>
      <c r="H898" s="35">
        <v>181.8</v>
      </c>
      <c r="I898" s="35" t="s">
        <v>62</v>
      </c>
    </row>
    <row r="899" ht="22.5" customHeight="1">
      <c r="A899" s="35" t="s">
        <v>2043</v>
      </c>
      <c r="B899" s="35" t="s">
        <v>2044</v>
      </c>
      <c r="C899" s="35" t="s">
        <v>7756</v>
      </c>
      <c r="D899" s="35" t="s">
        <v>236</v>
      </c>
      <c r="E899" s="35" t="s">
        <v>558</v>
      </c>
      <c r="F899" s="35">
        <v>766.0</v>
      </c>
      <c r="G899" s="35">
        <v>2.71</v>
      </c>
      <c r="H899" s="35">
        <v>282.7</v>
      </c>
      <c r="I899" s="35" t="s">
        <v>62</v>
      </c>
    </row>
    <row r="900" ht="22.5" customHeight="1">
      <c r="A900" s="35" t="s">
        <v>2045</v>
      </c>
      <c r="B900" s="35" t="s">
        <v>2046</v>
      </c>
      <c r="C900" s="35" t="s">
        <v>7756</v>
      </c>
      <c r="D900" s="35" t="s">
        <v>235</v>
      </c>
      <c r="E900" s="35" t="s">
        <v>555</v>
      </c>
      <c r="F900" s="35">
        <v>4189.0</v>
      </c>
      <c r="G900" s="35">
        <v>8.63</v>
      </c>
      <c r="H900" s="35">
        <v>485.4</v>
      </c>
      <c r="I900" s="35" t="s">
        <v>142</v>
      </c>
    </row>
    <row r="901" ht="22.5" customHeight="1">
      <c r="A901" s="35" t="s">
        <v>2047</v>
      </c>
      <c r="B901" s="35" t="s">
        <v>2048</v>
      </c>
      <c r="C901" s="35" t="s">
        <v>7756</v>
      </c>
      <c r="D901" s="35" t="s">
        <v>135</v>
      </c>
      <c r="E901" s="35" t="s">
        <v>349</v>
      </c>
      <c r="F901" s="35">
        <v>689.0</v>
      </c>
      <c r="G901" s="35">
        <v>6.96</v>
      </c>
      <c r="H901" s="35">
        <v>99.0</v>
      </c>
      <c r="I901" s="35" t="s">
        <v>62</v>
      </c>
    </row>
    <row r="902" ht="22.5" customHeight="1">
      <c r="A902" s="35" t="s">
        <v>2049</v>
      </c>
      <c r="B902" s="35" t="s">
        <v>2050</v>
      </c>
      <c r="C902" s="35" t="s">
        <v>7756</v>
      </c>
      <c r="D902" s="35" t="s">
        <v>122</v>
      </c>
      <c r="E902" s="35" t="s">
        <v>328</v>
      </c>
      <c r="F902" s="35">
        <v>771.0</v>
      </c>
      <c r="G902" s="35">
        <v>2.84</v>
      </c>
      <c r="H902" s="35">
        <v>271.5</v>
      </c>
      <c r="I902" s="35" t="s">
        <v>62</v>
      </c>
    </row>
    <row r="903" ht="22.5" customHeight="1">
      <c r="A903" s="35" t="s">
        <v>2051</v>
      </c>
      <c r="B903" s="35" t="s">
        <v>2052</v>
      </c>
      <c r="C903" s="35" t="s">
        <v>7756</v>
      </c>
      <c r="D903" s="35" t="s">
        <v>171</v>
      </c>
      <c r="E903" s="35" t="s">
        <v>457</v>
      </c>
      <c r="F903" s="35">
        <v>1452.0</v>
      </c>
      <c r="G903" s="35">
        <v>11.9</v>
      </c>
      <c r="H903" s="35">
        <v>122.0</v>
      </c>
      <c r="I903" s="35" t="s">
        <v>62</v>
      </c>
    </row>
    <row r="904" ht="22.5" customHeight="1">
      <c r="A904" s="35" t="s">
        <v>2053</v>
      </c>
      <c r="B904" s="35" t="s">
        <v>2054</v>
      </c>
      <c r="C904" s="35" t="s">
        <v>7756</v>
      </c>
      <c r="D904" s="35" t="s">
        <v>171</v>
      </c>
      <c r="E904" s="35" t="s">
        <v>457</v>
      </c>
      <c r="F904" s="35">
        <v>425.0</v>
      </c>
      <c r="G904" s="35">
        <v>3.77</v>
      </c>
      <c r="H904" s="35">
        <v>112.7</v>
      </c>
      <c r="I904" s="35" t="s">
        <v>75</v>
      </c>
    </row>
    <row r="905" ht="22.5" customHeight="1">
      <c r="A905" s="35" t="s">
        <v>2055</v>
      </c>
      <c r="B905" s="35" t="s">
        <v>2056</v>
      </c>
      <c r="C905" s="35" t="s">
        <v>7756</v>
      </c>
      <c r="D905" s="35" t="s">
        <v>146</v>
      </c>
      <c r="E905" s="35" t="s">
        <v>268</v>
      </c>
      <c r="F905" s="35">
        <v>11644.0</v>
      </c>
      <c r="G905" s="35">
        <v>6.67</v>
      </c>
      <c r="H905" s="35">
        <v>1745.7</v>
      </c>
      <c r="I905" s="35" t="s">
        <v>571</v>
      </c>
    </row>
    <row r="906" ht="22.5" customHeight="1">
      <c r="A906" s="35" t="s">
        <v>2057</v>
      </c>
      <c r="B906" s="35" t="s">
        <v>2058</v>
      </c>
      <c r="C906" s="35" t="s">
        <v>7756</v>
      </c>
      <c r="D906" s="35" t="s">
        <v>72</v>
      </c>
      <c r="E906" s="35" t="s">
        <v>71</v>
      </c>
      <c r="F906" s="35">
        <v>1340.0</v>
      </c>
      <c r="G906" s="35">
        <v>4.36</v>
      </c>
      <c r="H906" s="35">
        <v>307.3</v>
      </c>
      <c r="I906" s="35" t="s">
        <v>62</v>
      </c>
    </row>
    <row r="907" ht="22.5" customHeight="1">
      <c r="A907" s="35" t="s">
        <v>2059</v>
      </c>
      <c r="B907" s="35" t="s">
        <v>2060</v>
      </c>
      <c r="C907" s="35" t="s">
        <v>7756</v>
      </c>
      <c r="D907" s="35" t="s">
        <v>122</v>
      </c>
      <c r="E907" s="35" t="s">
        <v>328</v>
      </c>
      <c r="F907" s="35">
        <v>1698.0</v>
      </c>
      <c r="G907" s="35">
        <v>7.91</v>
      </c>
      <c r="H907" s="35">
        <v>214.7</v>
      </c>
      <c r="I907" s="35" t="s">
        <v>62</v>
      </c>
    </row>
    <row r="908" ht="22.5" customHeight="1">
      <c r="A908" s="35" t="s">
        <v>2061</v>
      </c>
      <c r="B908" s="35" t="s">
        <v>2062</v>
      </c>
      <c r="C908" s="35" t="s">
        <v>7756</v>
      </c>
      <c r="D908" s="35" t="s">
        <v>130</v>
      </c>
      <c r="E908" s="35" t="s">
        <v>180</v>
      </c>
      <c r="F908" s="35">
        <v>704.0</v>
      </c>
      <c r="G908" s="35">
        <v>2.03</v>
      </c>
      <c r="H908" s="35">
        <v>346.8</v>
      </c>
      <c r="I908" s="35" t="s">
        <v>62</v>
      </c>
    </row>
    <row r="909" ht="22.5" customHeight="1">
      <c r="A909" s="35" t="s">
        <v>2063</v>
      </c>
      <c r="B909" s="35" t="s">
        <v>2064</v>
      </c>
      <c r="C909" s="35" t="s">
        <v>7756</v>
      </c>
      <c r="D909" s="35" t="s">
        <v>192</v>
      </c>
      <c r="E909" s="35" t="s">
        <v>508</v>
      </c>
      <c r="F909" s="35">
        <v>390.0</v>
      </c>
      <c r="G909" s="35">
        <v>2.88</v>
      </c>
      <c r="H909" s="35">
        <v>135.4</v>
      </c>
      <c r="I909" s="35" t="s">
        <v>75</v>
      </c>
    </row>
    <row r="910" ht="22.5" customHeight="1">
      <c r="A910" s="35" t="s">
        <v>2065</v>
      </c>
      <c r="B910" s="35" t="s">
        <v>2066</v>
      </c>
      <c r="C910" s="35" t="s">
        <v>7756</v>
      </c>
      <c r="D910" s="35" t="s">
        <v>130</v>
      </c>
      <c r="E910" s="35" t="s">
        <v>180</v>
      </c>
      <c r="F910" s="35">
        <v>1095.0</v>
      </c>
      <c r="G910" s="35">
        <v>6.31</v>
      </c>
      <c r="H910" s="35">
        <v>173.5</v>
      </c>
      <c r="I910" s="35" t="s">
        <v>62</v>
      </c>
    </row>
    <row r="911" ht="22.5" customHeight="1">
      <c r="A911" s="35" t="s">
        <v>2067</v>
      </c>
      <c r="B911" s="35" t="s">
        <v>2068</v>
      </c>
      <c r="C911" s="35" t="s">
        <v>7756</v>
      </c>
      <c r="D911" s="35" t="s">
        <v>135</v>
      </c>
      <c r="E911" s="35" t="s">
        <v>349</v>
      </c>
      <c r="F911" s="35">
        <v>2435.0</v>
      </c>
      <c r="G911" s="35">
        <v>16.5</v>
      </c>
      <c r="H911" s="35">
        <v>147.6</v>
      </c>
      <c r="I911" s="35" t="s">
        <v>142</v>
      </c>
    </row>
    <row r="912" ht="22.5" customHeight="1">
      <c r="A912" s="35" t="s">
        <v>2069</v>
      </c>
      <c r="B912" s="35" t="s">
        <v>2070</v>
      </c>
      <c r="C912" s="35" t="s">
        <v>7756</v>
      </c>
      <c r="D912" s="35" t="s">
        <v>99</v>
      </c>
      <c r="E912" s="35" t="s">
        <v>98</v>
      </c>
      <c r="F912" s="35">
        <v>582.0</v>
      </c>
      <c r="G912" s="35">
        <v>6.18</v>
      </c>
      <c r="H912" s="35">
        <v>94.2</v>
      </c>
      <c r="I912" s="35" t="s">
        <v>62</v>
      </c>
    </row>
    <row r="913" ht="22.5" customHeight="1">
      <c r="A913" s="35" t="s">
        <v>2071</v>
      </c>
      <c r="B913" s="35" t="s">
        <v>2072</v>
      </c>
      <c r="C913" s="35" t="s">
        <v>7756</v>
      </c>
      <c r="D913" s="35" t="s">
        <v>99</v>
      </c>
      <c r="E913" s="35" t="s">
        <v>98</v>
      </c>
      <c r="F913" s="35">
        <v>1951.0</v>
      </c>
      <c r="G913" s="35">
        <v>10.21</v>
      </c>
      <c r="H913" s="35">
        <v>191.1</v>
      </c>
      <c r="I913" s="35" t="s">
        <v>62</v>
      </c>
    </row>
    <row r="914" ht="22.5" customHeight="1">
      <c r="A914" s="35" t="s">
        <v>2073</v>
      </c>
      <c r="B914" s="35" t="s">
        <v>2074</v>
      </c>
      <c r="C914" s="35" t="s">
        <v>7756</v>
      </c>
      <c r="D914" s="35" t="s">
        <v>120</v>
      </c>
      <c r="E914" s="35" t="s">
        <v>312</v>
      </c>
      <c r="F914" s="35">
        <v>663.0</v>
      </c>
      <c r="G914" s="35">
        <v>6.18</v>
      </c>
      <c r="H914" s="35">
        <v>107.3</v>
      </c>
      <c r="I914" s="35" t="s">
        <v>62</v>
      </c>
    </row>
    <row r="915" ht="22.5" customHeight="1">
      <c r="A915" s="35" t="s">
        <v>2075</v>
      </c>
      <c r="B915" s="35" t="s">
        <v>2076</v>
      </c>
      <c r="C915" s="35" t="s">
        <v>7756</v>
      </c>
      <c r="D915" s="35" t="s">
        <v>120</v>
      </c>
      <c r="E915" s="35" t="s">
        <v>312</v>
      </c>
      <c r="F915" s="35">
        <v>31134.0</v>
      </c>
      <c r="G915" s="35">
        <v>18.19</v>
      </c>
      <c r="H915" s="35">
        <v>1711.6</v>
      </c>
      <c r="I915" s="35" t="s">
        <v>571</v>
      </c>
    </row>
    <row r="916" ht="22.5" customHeight="1">
      <c r="A916" s="35" t="s">
        <v>2077</v>
      </c>
      <c r="B916" s="35" t="s">
        <v>2078</v>
      </c>
      <c r="C916" s="35" t="s">
        <v>7756</v>
      </c>
      <c r="D916" s="35" t="s">
        <v>224</v>
      </c>
      <c r="E916" s="35" t="s">
        <v>390</v>
      </c>
      <c r="F916" s="35">
        <v>1737.0</v>
      </c>
      <c r="G916" s="35">
        <v>7.44</v>
      </c>
      <c r="H916" s="35">
        <v>233.5</v>
      </c>
      <c r="I916" s="35" t="s">
        <v>62</v>
      </c>
    </row>
    <row r="917" ht="22.5" customHeight="1">
      <c r="A917" s="35" t="s">
        <v>2079</v>
      </c>
      <c r="B917" s="35" t="s">
        <v>2080</v>
      </c>
      <c r="C917" s="35" t="s">
        <v>7756</v>
      </c>
      <c r="D917" s="35" t="s">
        <v>224</v>
      </c>
      <c r="E917" s="35" t="s">
        <v>390</v>
      </c>
      <c r="F917" s="35">
        <v>2518.0</v>
      </c>
      <c r="G917" s="35">
        <v>6.45</v>
      </c>
      <c r="H917" s="35">
        <v>390.4</v>
      </c>
      <c r="I917" s="35" t="s">
        <v>142</v>
      </c>
    </row>
    <row r="918" ht="22.5" customHeight="1">
      <c r="A918" s="35" t="s">
        <v>2081</v>
      </c>
      <c r="B918" s="35" t="s">
        <v>2082</v>
      </c>
      <c r="C918" s="35" t="s">
        <v>7756</v>
      </c>
      <c r="D918" s="35" t="s">
        <v>120</v>
      </c>
      <c r="E918" s="35" t="s">
        <v>312</v>
      </c>
      <c r="F918" s="35">
        <v>410.0</v>
      </c>
      <c r="G918" s="35">
        <v>6.46</v>
      </c>
      <c r="H918" s="35">
        <v>63.5</v>
      </c>
      <c r="I918" s="35" t="s">
        <v>75</v>
      </c>
    </row>
    <row r="919" ht="22.5" customHeight="1">
      <c r="A919" s="35" t="s">
        <v>2083</v>
      </c>
      <c r="B919" s="35" t="s">
        <v>2084</v>
      </c>
      <c r="C919" s="35" t="s">
        <v>7756</v>
      </c>
      <c r="D919" s="35" t="s">
        <v>130</v>
      </c>
      <c r="E919" s="35" t="s">
        <v>180</v>
      </c>
      <c r="F919" s="35">
        <v>1741.0</v>
      </c>
      <c r="G919" s="35">
        <v>9.28</v>
      </c>
      <c r="H919" s="35">
        <v>187.6</v>
      </c>
      <c r="I919" s="35" t="s">
        <v>62</v>
      </c>
    </row>
    <row r="920" ht="22.5" customHeight="1">
      <c r="A920" s="35" t="s">
        <v>2085</v>
      </c>
      <c r="B920" s="35" t="s">
        <v>2086</v>
      </c>
      <c r="C920" s="35" t="s">
        <v>7756</v>
      </c>
      <c r="D920" s="35" t="s">
        <v>202</v>
      </c>
      <c r="E920" s="35" t="s">
        <v>499</v>
      </c>
      <c r="F920" s="35">
        <v>135.0</v>
      </c>
      <c r="G920" s="35">
        <v>5.07</v>
      </c>
      <c r="H920" s="35">
        <v>26.6</v>
      </c>
      <c r="I920" s="35" t="s">
        <v>75</v>
      </c>
    </row>
    <row r="921" ht="22.5" customHeight="1">
      <c r="A921" s="35" t="s">
        <v>2087</v>
      </c>
      <c r="B921" s="35" t="s">
        <v>2088</v>
      </c>
      <c r="C921" s="35" t="s">
        <v>7756</v>
      </c>
      <c r="D921" s="35" t="s">
        <v>236</v>
      </c>
      <c r="E921" s="35" t="s">
        <v>558</v>
      </c>
      <c r="F921" s="35">
        <v>2728.0</v>
      </c>
      <c r="G921" s="35">
        <v>1.87</v>
      </c>
      <c r="H921" s="35">
        <v>1458.8</v>
      </c>
      <c r="I921" s="35" t="s">
        <v>142</v>
      </c>
    </row>
    <row r="922" ht="22.5" customHeight="1">
      <c r="A922" s="35" t="s">
        <v>2089</v>
      </c>
      <c r="B922" s="35" t="s">
        <v>2090</v>
      </c>
      <c r="C922" s="35" t="s">
        <v>7756</v>
      </c>
      <c r="D922" s="35" t="s">
        <v>224</v>
      </c>
      <c r="E922" s="35" t="s">
        <v>390</v>
      </c>
      <c r="F922" s="35">
        <v>2257.0</v>
      </c>
      <c r="G922" s="35">
        <v>8.13</v>
      </c>
      <c r="H922" s="35">
        <v>277.6</v>
      </c>
      <c r="I922" s="35" t="s">
        <v>142</v>
      </c>
    </row>
    <row r="923" ht="22.5" customHeight="1">
      <c r="A923" s="35" t="s">
        <v>2091</v>
      </c>
      <c r="B923" s="35" t="s">
        <v>2092</v>
      </c>
      <c r="C923" s="35" t="s">
        <v>7756</v>
      </c>
      <c r="D923" s="35" t="s">
        <v>171</v>
      </c>
      <c r="E923" s="35" t="s">
        <v>457</v>
      </c>
      <c r="F923" s="35">
        <v>1169.0</v>
      </c>
      <c r="G923" s="35">
        <v>17.61</v>
      </c>
      <c r="H923" s="35">
        <v>66.4</v>
      </c>
      <c r="I923" s="35" t="s">
        <v>62</v>
      </c>
    </row>
    <row r="924" ht="22.5" customHeight="1">
      <c r="A924" s="35" t="s">
        <v>2093</v>
      </c>
      <c r="B924" s="35" t="s">
        <v>2094</v>
      </c>
      <c r="C924" s="35" t="s">
        <v>7756</v>
      </c>
      <c r="D924" s="35" t="s">
        <v>235</v>
      </c>
      <c r="E924" s="35" t="s">
        <v>555</v>
      </c>
      <c r="F924" s="35">
        <v>7839.0</v>
      </c>
      <c r="G924" s="35">
        <v>5.48</v>
      </c>
      <c r="H924" s="35">
        <v>1430.5</v>
      </c>
      <c r="I924" s="35" t="s">
        <v>142</v>
      </c>
    </row>
    <row r="925" ht="22.5" customHeight="1">
      <c r="A925" s="35" t="s">
        <v>2095</v>
      </c>
      <c r="B925" s="35" t="s">
        <v>2096</v>
      </c>
      <c r="C925" s="35" t="s">
        <v>7756</v>
      </c>
      <c r="D925" s="35" t="s">
        <v>135</v>
      </c>
      <c r="E925" s="35" t="s">
        <v>349</v>
      </c>
      <c r="F925" s="35">
        <v>983.0</v>
      </c>
      <c r="G925" s="35">
        <v>8.16</v>
      </c>
      <c r="H925" s="35">
        <v>120.5</v>
      </c>
      <c r="I925" s="35" t="s">
        <v>62</v>
      </c>
    </row>
    <row r="926" ht="22.5" customHeight="1">
      <c r="A926" s="35" t="s">
        <v>2097</v>
      </c>
      <c r="B926" s="35" t="s">
        <v>2098</v>
      </c>
      <c r="C926" s="35" t="s">
        <v>7756</v>
      </c>
      <c r="D926" s="35" t="s">
        <v>236</v>
      </c>
      <c r="E926" s="35" t="s">
        <v>558</v>
      </c>
      <c r="F926" s="35">
        <v>1105.0</v>
      </c>
      <c r="G926" s="35">
        <v>2.34</v>
      </c>
      <c r="H926" s="35">
        <v>472.2</v>
      </c>
      <c r="I926" s="35" t="s">
        <v>62</v>
      </c>
    </row>
    <row r="927" ht="22.5" customHeight="1">
      <c r="A927" s="35" t="s">
        <v>2099</v>
      </c>
      <c r="B927" s="35" t="s">
        <v>2100</v>
      </c>
      <c r="C927" s="35" t="s">
        <v>7756</v>
      </c>
      <c r="D927" s="35" t="s">
        <v>149</v>
      </c>
      <c r="E927" s="35" t="s">
        <v>363</v>
      </c>
      <c r="F927" s="35">
        <v>1209.0</v>
      </c>
      <c r="G927" s="35">
        <v>26.41</v>
      </c>
      <c r="H927" s="35">
        <v>45.8</v>
      </c>
      <c r="I927" s="35" t="s">
        <v>62</v>
      </c>
    </row>
    <row r="928" ht="22.5" customHeight="1">
      <c r="A928" s="35" t="s">
        <v>2101</v>
      </c>
      <c r="B928" s="35" t="s">
        <v>2102</v>
      </c>
      <c r="C928" s="35" t="s">
        <v>7756</v>
      </c>
      <c r="D928" s="35" t="s">
        <v>99</v>
      </c>
      <c r="E928" s="35" t="s">
        <v>98</v>
      </c>
      <c r="F928" s="35">
        <v>2198.0</v>
      </c>
      <c r="G928" s="35">
        <v>13.09</v>
      </c>
      <c r="H928" s="35">
        <v>167.9</v>
      </c>
      <c r="I928" s="35" t="s">
        <v>142</v>
      </c>
    </row>
    <row r="929" ht="22.5" customHeight="1">
      <c r="A929" s="35" t="s">
        <v>2103</v>
      </c>
      <c r="B929" s="35" t="s">
        <v>2104</v>
      </c>
      <c r="C929" s="35" t="s">
        <v>7756</v>
      </c>
      <c r="D929" s="35" t="s">
        <v>135</v>
      </c>
      <c r="E929" s="35" t="s">
        <v>349</v>
      </c>
      <c r="F929" s="35">
        <v>6764.0</v>
      </c>
      <c r="G929" s="35">
        <v>27.22</v>
      </c>
      <c r="H929" s="35">
        <v>248.5</v>
      </c>
      <c r="I929" s="35" t="s">
        <v>142</v>
      </c>
    </row>
    <row r="930" ht="22.5" customHeight="1">
      <c r="A930" s="35" t="s">
        <v>2105</v>
      </c>
      <c r="B930" s="35" t="s">
        <v>2106</v>
      </c>
      <c r="C930" s="35" t="s">
        <v>7756</v>
      </c>
      <c r="D930" s="35" t="s">
        <v>135</v>
      </c>
      <c r="E930" s="35" t="s">
        <v>349</v>
      </c>
      <c r="F930" s="35">
        <v>781.0</v>
      </c>
      <c r="G930" s="35">
        <v>13.41</v>
      </c>
      <c r="H930" s="35">
        <v>58.2</v>
      </c>
      <c r="I930" s="35" t="s">
        <v>62</v>
      </c>
    </row>
    <row r="931" ht="22.5" customHeight="1">
      <c r="A931" s="35" t="s">
        <v>2107</v>
      </c>
      <c r="B931" s="35" t="s">
        <v>2108</v>
      </c>
      <c r="C931" s="35" t="s">
        <v>7756</v>
      </c>
      <c r="D931" s="35" t="s">
        <v>135</v>
      </c>
      <c r="E931" s="35" t="s">
        <v>349</v>
      </c>
      <c r="F931" s="35">
        <v>689.0</v>
      </c>
      <c r="G931" s="35">
        <v>5.4</v>
      </c>
      <c r="H931" s="35">
        <v>127.6</v>
      </c>
      <c r="I931" s="35" t="s">
        <v>62</v>
      </c>
    </row>
    <row r="932" ht="22.5" customHeight="1">
      <c r="A932" s="35" t="s">
        <v>2109</v>
      </c>
      <c r="B932" s="35" t="s">
        <v>2110</v>
      </c>
      <c r="C932" s="35" t="s">
        <v>7756</v>
      </c>
      <c r="D932" s="35" t="s">
        <v>135</v>
      </c>
      <c r="E932" s="35" t="s">
        <v>349</v>
      </c>
      <c r="F932" s="35">
        <v>13833.0</v>
      </c>
      <c r="G932" s="35">
        <v>12.95</v>
      </c>
      <c r="H932" s="35">
        <v>1068.2</v>
      </c>
      <c r="I932" s="35" t="s">
        <v>571</v>
      </c>
    </row>
    <row r="933" ht="22.5" customHeight="1">
      <c r="A933" s="35" t="s">
        <v>2111</v>
      </c>
      <c r="B933" s="35" t="s">
        <v>2112</v>
      </c>
      <c r="C933" s="35" t="s">
        <v>7756</v>
      </c>
      <c r="D933" s="35" t="s">
        <v>135</v>
      </c>
      <c r="E933" s="35" t="s">
        <v>349</v>
      </c>
      <c r="F933" s="35">
        <v>467.0</v>
      </c>
      <c r="G933" s="35">
        <v>2.5</v>
      </c>
      <c r="H933" s="35">
        <v>186.8</v>
      </c>
      <c r="I933" s="35" t="s">
        <v>75</v>
      </c>
    </row>
    <row r="934" ht="22.5" customHeight="1">
      <c r="A934" s="35" t="s">
        <v>2113</v>
      </c>
      <c r="B934" s="35" t="s">
        <v>2114</v>
      </c>
      <c r="C934" s="35" t="s">
        <v>7756</v>
      </c>
      <c r="D934" s="35" t="s">
        <v>120</v>
      </c>
      <c r="E934" s="35" t="s">
        <v>312</v>
      </c>
      <c r="F934" s="35">
        <v>579.0</v>
      </c>
      <c r="G934" s="35">
        <v>5.61</v>
      </c>
      <c r="H934" s="35">
        <v>103.2</v>
      </c>
      <c r="I934" s="35" t="s">
        <v>62</v>
      </c>
    </row>
    <row r="935" ht="22.5" customHeight="1">
      <c r="A935" s="35" t="s">
        <v>2115</v>
      </c>
      <c r="B935" s="35" t="s">
        <v>2116</v>
      </c>
      <c r="C935" s="35" t="s">
        <v>7756</v>
      </c>
      <c r="D935" s="35" t="s">
        <v>145</v>
      </c>
      <c r="E935" s="35" t="s">
        <v>255</v>
      </c>
      <c r="F935" s="35">
        <v>646.0</v>
      </c>
      <c r="G935" s="35">
        <v>3.88</v>
      </c>
      <c r="H935" s="35">
        <v>166.5</v>
      </c>
      <c r="I935" s="35" t="s">
        <v>62</v>
      </c>
    </row>
    <row r="936" ht="22.5" customHeight="1">
      <c r="A936" s="35" t="s">
        <v>2117</v>
      </c>
      <c r="B936" s="35" t="s">
        <v>2118</v>
      </c>
      <c r="C936" s="35" t="s">
        <v>7756</v>
      </c>
      <c r="D936" s="35" t="s">
        <v>236</v>
      </c>
      <c r="E936" s="35" t="s">
        <v>558</v>
      </c>
      <c r="F936" s="35">
        <v>8754.0</v>
      </c>
      <c r="G936" s="35">
        <v>10.69</v>
      </c>
      <c r="H936" s="35">
        <v>818.9</v>
      </c>
      <c r="I936" s="35" t="s">
        <v>142</v>
      </c>
    </row>
    <row r="937" ht="22.5" customHeight="1">
      <c r="A937" s="35" t="s">
        <v>2119</v>
      </c>
      <c r="B937" s="35" t="s">
        <v>2120</v>
      </c>
      <c r="C937" s="35" t="s">
        <v>7756</v>
      </c>
      <c r="D937" s="35" t="s">
        <v>122</v>
      </c>
      <c r="E937" s="35" t="s">
        <v>328</v>
      </c>
      <c r="F937" s="35">
        <v>917.0</v>
      </c>
      <c r="G937" s="35">
        <v>4.41</v>
      </c>
      <c r="H937" s="35">
        <v>207.9</v>
      </c>
      <c r="I937" s="35" t="s">
        <v>62</v>
      </c>
    </row>
    <row r="938" ht="22.5" customHeight="1">
      <c r="A938" s="35" t="s">
        <v>2121</v>
      </c>
      <c r="B938" s="35" t="s">
        <v>2122</v>
      </c>
      <c r="C938" s="35" t="s">
        <v>7756</v>
      </c>
      <c r="D938" s="35" t="s">
        <v>224</v>
      </c>
      <c r="E938" s="35" t="s">
        <v>390</v>
      </c>
      <c r="F938" s="35">
        <v>766.0</v>
      </c>
      <c r="G938" s="35">
        <v>3.46</v>
      </c>
      <c r="H938" s="35">
        <v>221.4</v>
      </c>
      <c r="I938" s="35" t="s">
        <v>62</v>
      </c>
    </row>
    <row r="939" ht="22.5" customHeight="1">
      <c r="A939" s="35" t="s">
        <v>2123</v>
      </c>
      <c r="B939" s="35" t="s">
        <v>2124</v>
      </c>
      <c r="C939" s="35" t="s">
        <v>7756</v>
      </c>
      <c r="D939" s="35" t="s">
        <v>236</v>
      </c>
      <c r="E939" s="35" t="s">
        <v>558</v>
      </c>
      <c r="F939" s="35">
        <v>3078.0</v>
      </c>
      <c r="G939" s="35">
        <v>4.19</v>
      </c>
      <c r="H939" s="35">
        <v>734.6</v>
      </c>
      <c r="I939" s="35" t="s">
        <v>142</v>
      </c>
    </row>
    <row r="940" ht="22.5" customHeight="1">
      <c r="A940" s="35" t="s">
        <v>2125</v>
      </c>
      <c r="B940" s="35" t="s">
        <v>2126</v>
      </c>
      <c r="C940" s="35" t="s">
        <v>7756</v>
      </c>
      <c r="D940" s="35" t="s">
        <v>149</v>
      </c>
      <c r="E940" s="35" t="s">
        <v>363</v>
      </c>
      <c r="F940" s="35">
        <v>43.0</v>
      </c>
      <c r="G940" s="35">
        <v>2.51</v>
      </c>
      <c r="H940" s="35">
        <v>17.1</v>
      </c>
      <c r="I940" s="35" t="s">
        <v>75</v>
      </c>
    </row>
    <row r="941" ht="22.5" customHeight="1">
      <c r="A941" s="35" t="s">
        <v>2127</v>
      </c>
      <c r="B941" s="35" t="s">
        <v>2128</v>
      </c>
      <c r="C941" s="35" t="s">
        <v>7756</v>
      </c>
      <c r="D941" s="35" t="s">
        <v>149</v>
      </c>
      <c r="E941" s="35" t="s">
        <v>363</v>
      </c>
      <c r="F941" s="35">
        <v>357.0</v>
      </c>
      <c r="G941" s="35">
        <v>7.5</v>
      </c>
      <c r="H941" s="35">
        <v>47.6</v>
      </c>
      <c r="I941" s="35" t="s">
        <v>75</v>
      </c>
    </row>
    <row r="942" ht="22.5" customHeight="1">
      <c r="A942" s="35" t="s">
        <v>2129</v>
      </c>
      <c r="B942" s="35" t="s">
        <v>2130</v>
      </c>
      <c r="C942" s="35" t="s">
        <v>7756</v>
      </c>
      <c r="D942" s="35" t="s">
        <v>135</v>
      </c>
      <c r="E942" s="35" t="s">
        <v>349</v>
      </c>
      <c r="F942" s="35">
        <v>1088.0</v>
      </c>
      <c r="G942" s="35">
        <v>9.95</v>
      </c>
      <c r="H942" s="35">
        <v>109.3</v>
      </c>
      <c r="I942" s="35" t="s">
        <v>62</v>
      </c>
    </row>
    <row r="943" ht="22.5" customHeight="1">
      <c r="A943" s="35" t="s">
        <v>2131</v>
      </c>
      <c r="B943" s="35" t="s">
        <v>2132</v>
      </c>
      <c r="C943" s="35" t="s">
        <v>7756</v>
      </c>
      <c r="D943" s="35" t="s">
        <v>224</v>
      </c>
      <c r="E943" s="35" t="s">
        <v>390</v>
      </c>
      <c r="F943" s="35">
        <v>563.0</v>
      </c>
      <c r="G943" s="35">
        <v>2.84</v>
      </c>
      <c r="H943" s="35">
        <v>198.2</v>
      </c>
      <c r="I943" s="35" t="s">
        <v>62</v>
      </c>
    </row>
    <row r="944" ht="22.5" customHeight="1">
      <c r="A944" s="35" t="s">
        <v>2133</v>
      </c>
      <c r="B944" s="35" t="s">
        <v>2134</v>
      </c>
      <c r="C944" s="35" t="s">
        <v>7756</v>
      </c>
      <c r="D944" s="35" t="s">
        <v>145</v>
      </c>
      <c r="E944" s="35" t="s">
        <v>255</v>
      </c>
      <c r="F944" s="35">
        <v>1541.0</v>
      </c>
      <c r="G944" s="35">
        <v>18.82</v>
      </c>
      <c r="H944" s="35">
        <v>81.9</v>
      </c>
      <c r="I944" s="35" t="s">
        <v>62</v>
      </c>
    </row>
    <row r="945" ht="22.5" customHeight="1">
      <c r="A945" s="35" t="s">
        <v>2135</v>
      </c>
      <c r="B945" s="35" t="s">
        <v>2136</v>
      </c>
      <c r="C945" s="35" t="s">
        <v>7756</v>
      </c>
      <c r="D945" s="35" t="s">
        <v>236</v>
      </c>
      <c r="E945" s="35" t="s">
        <v>558</v>
      </c>
      <c r="F945" s="35">
        <v>12731.0</v>
      </c>
      <c r="G945" s="35">
        <v>16.06</v>
      </c>
      <c r="H945" s="35">
        <v>792.7</v>
      </c>
      <c r="I945" s="35" t="s">
        <v>571</v>
      </c>
    </row>
    <row r="946" ht="22.5" customHeight="1">
      <c r="A946" s="35" t="s">
        <v>2137</v>
      </c>
      <c r="B946" s="35" t="s">
        <v>2138</v>
      </c>
      <c r="C946" s="35" t="s">
        <v>7756</v>
      </c>
      <c r="D946" s="35" t="s">
        <v>146</v>
      </c>
      <c r="E946" s="35" t="s">
        <v>268</v>
      </c>
      <c r="F946" s="35">
        <v>9253.0</v>
      </c>
      <c r="G946" s="35">
        <v>18.36</v>
      </c>
      <c r="H946" s="35">
        <v>504.0</v>
      </c>
      <c r="I946" s="35" t="s">
        <v>142</v>
      </c>
    </row>
    <row r="947" ht="22.5" customHeight="1">
      <c r="A947" s="35" t="s">
        <v>2139</v>
      </c>
      <c r="B947" s="35" t="s">
        <v>2140</v>
      </c>
      <c r="C947" s="35" t="s">
        <v>7756</v>
      </c>
      <c r="D947" s="35" t="s">
        <v>235</v>
      </c>
      <c r="E947" s="35" t="s">
        <v>555</v>
      </c>
      <c r="F947" s="35">
        <v>20787.0</v>
      </c>
      <c r="G947" s="35">
        <v>9.12</v>
      </c>
      <c r="H947" s="35">
        <v>2279.3</v>
      </c>
      <c r="I947" s="35" t="s">
        <v>571</v>
      </c>
    </row>
    <row r="948" ht="22.5" customHeight="1">
      <c r="A948" s="35" t="s">
        <v>2141</v>
      </c>
      <c r="B948" s="35" t="s">
        <v>2142</v>
      </c>
      <c r="C948" s="35" t="s">
        <v>7756</v>
      </c>
      <c r="D948" s="35" t="s">
        <v>130</v>
      </c>
      <c r="E948" s="35" t="s">
        <v>180</v>
      </c>
      <c r="F948" s="35">
        <v>2855.0</v>
      </c>
      <c r="G948" s="35">
        <v>1.66</v>
      </c>
      <c r="H948" s="35">
        <v>1719.9</v>
      </c>
      <c r="I948" s="35" t="s">
        <v>142</v>
      </c>
    </row>
    <row r="949" ht="22.5" customHeight="1">
      <c r="A949" s="35" t="s">
        <v>2143</v>
      </c>
      <c r="B949" s="35" t="s">
        <v>2144</v>
      </c>
      <c r="C949" s="35" t="s">
        <v>7756</v>
      </c>
      <c r="D949" s="35" t="s">
        <v>145</v>
      </c>
      <c r="E949" s="35" t="s">
        <v>255</v>
      </c>
      <c r="F949" s="35">
        <v>2153.0</v>
      </c>
      <c r="G949" s="35">
        <v>20.99</v>
      </c>
      <c r="H949" s="35">
        <v>102.6</v>
      </c>
      <c r="I949" s="35" t="s">
        <v>142</v>
      </c>
    </row>
    <row r="950" ht="22.5" customHeight="1">
      <c r="A950" s="35" t="s">
        <v>2145</v>
      </c>
      <c r="B950" s="35" t="s">
        <v>2146</v>
      </c>
      <c r="C950" s="35" t="s">
        <v>7756</v>
      </c>
      <c r="D950" s="35" t="s">
        <v>224</v>
      </c>
      <c r="E950" s="35" t="s">
        <v>390</v>
      </c>
      <c r="F950" s="35">
        <v>3436.0</v>
      </c>
      <c r="G950" s="35">
        <v>16.34</v>
      </c>
      <c r="H950" s="35">
        <v>210.3</v>
      </c>
      <c r="I950" s="35" t="s">
        <v>142</v>
      </c>
    </row>
    <row r="951" ht="22.5" customHeight="1">
      <c r="A951" s="35" t="s">
        <v>2147</v>
      </c>
      <c r="B951" s="35" t="s">
        <v>2148</v>
      </c>
      <c r="C951" s="35" t="s">
        <v>7756</v>
      </c>
      <c r="D951" s="35" t="s">
        <v>235</v>
      </c>
      <c r="E951" s="35" t="s">
        <v>555</v>
      </c>
      <c r="F951" s="35">
        <v>791.0</v>
      </c>
      <c r="G951" s="35">
        <v>7.75</v>
      </c>
      <c r="H951" s="35">
        <v>102.1</v>
      </c>
      <c r="I951" s="35" t="s">
        <v>62</v>
      </c>
    </row>
    <row r="952" ht="22.5" customHeight="1">
      <c r="A952" s="35" t="s">
        <v>2149</v>
      </c>
      <c r="B952" s="35" t="s">
        <v>2150</v>
      </c>
      <c r="C952" s="35" t="s">
        <v>7756</v>
      </c>
      <c r="D952" s="35" t="s">
        <v>146</v>
      </c>
      <c r="E952" s="35" t="s">
        <v>268</v>
      </c>
      <c r="F952" s="35">
        <v>4532.0</v>
      </c>
      <c r="G952" s="35">
        <v>9.94</v>
      </c>
      <c r="H952" s="35">
        <v>455.9</v>
      </c>
      <c r="I952" s="35" t="s">
        <v>142</v>
      </c>
    </row>
    <row r="953" ht="22.5" customHeight="1">
      <c r="A953" s="35" t="s">
        <v>2151</v>
      </c>
      <c r="B953" s="35" t="s">
        <v>2152</v>
      </c>
      <c r="C953" s="35" t="s">
        <v>7756</v>
      </c>
      <c r="D953" s="35" t="s">
        <v>120</v>
      </c>
      <c r="E953" s="35" t="s">
        <v>312</v>
      </c>
      <c r="F953" s="35">
        <v>716.0</v>
      </c>
      <c r="G953" s="35">
        <v>19.02</v>
      </c>
      <c r="H953" s="35">
        <v>37.6</v>
      </c>
      <c r="I953" s="35" t="s">
        <v>62</v>
      </c>
    </row>
    <row r="954" ht="22.5" customHeight="1">
      <c r="A954" s="35" t="s">
        <v>2153</v>
      </c>
      <c r="B954" s="35" t="s">
        <v>2154</v>
      </c>
      <c r="C954" s="35" t="s">
        <v>7756</v>
      </c>
      <c r="D954" s="35" t="s">
        <v>171</v>
      </c>
      <c r="E954" s="35" t="s">
        <v>457</v>
      </c>
      <c r="F954" s="35">
        <v>659.0</v>
      </c>
      <c r="G954" s="35">
        <v>7.85</v>
      </c>
      <c r="H954" s="35">
        <v>83.9</v>
      </c>
      <c r="I954" s="35" t="s">
        <v>62</v>
      </c>
    </row>
    <row r="955" ht="22.5" customHeight="1">
      <c r="A955" s="35" t="s">
        <v>2155</v>
      </c>
      <c r="B955" s="35" t="s">
        <v>2156</v>
      </c>
      <c r="C955" s="35" t="s">
        <v>7756</v>
      </c>
      <c r="D955" s="35" t="s">
        <v>236</v>
      </c>
      <c r="E955" s="35" t="s">
        <v>558</v>
      </c>
      <c r="F955" s="35">
        <v>20566.0</v>
      </c>
      <c r="G955" s="35">
        <v>4.44</v>
      </c>
      <c r="H955" s="35">
        <v>4632.0</v>
      </c>
      <c r="I955" s="35" t="s">
        <v>571</v>
      </c>
    </row>
    <row r="956" ht="22.5" customHeight="1">
      <c r="A956" s="35" t="s">
        <v>2157</v>
      </c>
      <c r="B956" s="35" t="s">
        <v>2158</v>
      </c>
      <c r="C956" s="35" t="s">
        <v>7756</v>
      </c>
      <c r="D956" s="35" t="s">
        <v>192</v>
      </c>
      <c r="E956" s="35" t="s">
        <v>508</v>
      </c>
      <c r="F956" s="35">
        <v>238.0</v>
      </c>
      <c r="G956" s="35">
        <v>3.97</v>
      </c>
      <c r="H956" s="35">
        <v>59.9</v>
      </c>
      <c r="I956" s="35" t="s">
        <v>75</v>
      </c>
    </row>
    <row r="957" ht="22.5" customHeight="1">
      <c r="A957" s="35" t="s">
        <v>2159</v>
      </c>
      <c r="B957" s="35" t="s">
        <v>2160</v>
      </c>
      <c r="C957" s="35" t="s">
        <v>7756</v>
      </c>
      <c r="D957" s="35" t="s">
        <v>130</v>
      </c>
      <c r="E957" s="35" t="s">
        <v>180</v>
      </c>
      <c r="F957" s="35">
        <v>6467.0</v>
      </c>
      <c r="G957" s="35">
        <v>7.0</v>
      </c>
      <c r="H957" s="35">
        <v>923.9</v>
      </c>
      <c r="I957" s="35" t="s">
        <v>142</v>
      </c>
    </row>
    <row r="958" ht="22.5" customHeight="1">
      <c r="A958" s="35" t="s">
        <v>2161</v>
      </c>
      <c r="B958" s="35" t="s">
        <v>2162</v>
      </c>
      <c r="C958" s="35" t="s">
        <v>7756</v>
      </c>
      <c r="D958" s="35" t="s">
        <v>146</v>
      </c>
      <c r="E958" s="35" t="s">
        <v>268</v>
      </c>
      <c r="F958" s="35">
        <v>1333.0</v>
      </c>
      <c r="G958" s="35">
        <v>6.06</v>
      </c>
      <c r="H958" s="35">
        <v>220.0</v>
      </c>
      <c r="I958" s="35" t="s">
        <v>62</v>
      </c>
    </row>
    <row r="959" ht="22.5" customHeight="1">
      <c r="A959" s="35" t="s">
        <v>2163</v>
      </c>
      <c r="B959" s="35" t="s">
        <v>2164</v>
      </c>
      <c r="C959" s="35" t="s">
        <v>7756</v>
      </c>
      <c r="D959" s="35" t="s">
        <v>120</v>
      </c>
      <c r="E959" s="35" t="s">
        <v>312</v>
      </c>
      <c r="F959" s="35">
        <v>177.0</v>
      </c>
      <c r="G959" s="35">
        <v>2.9</v>
      </c>
      <c r="H959" s="35">
        <v>61.0</v>
      </c>
      <c r="I959" s="35" t="s">
        <v>75</v>
      </c>
    </row>
    <row r="960" ht="22.5" customHeight="1">
      <c r="A960" s="35" t="s">
        <v>2165</v>
      </c>
      <c r="B960" s="35" t="s">
        <v>2166</v>
      </c>
      <c r="C960" s="35" t="s">
        <v>7756</v>
      </c>
      <c r="D960" s="35" t="s">
        <v>224</v>
      </c>
      <c r="E960" s="35" t="s">
        <v>390</v>
      </c>
      <c r="F960" s="35">
        <v>4839.0</v>
      </c>
      <c r="G960" s="35">
        <v>13.62</v>
      </c>
      <c r="H960" s="35">
        <v>355.3</v>
      </c>
      <c r="I960" s="35" t="s">
        <v>142</v>
      </c>
    </row>
    <row r="961" ht="22.5" customHeight="1">
      <c r="A961" s="35" t="s">
        <v>2167</v>
      </c>
      <c r="B961" s="35" t="s">
        <v>2168</v>
      </c>
      <c r="C961" s="35" t="s">
        <v>7756</v>
      </c>
      <c r="D961" s="35" t="s">
        <v>149</v>
      </c>
      <c r="E961" s="35" t="s">
        <v>363</v>
      </c>
      <c r="F961" s="35">
        <v>205.0</v>
      </c>
      <c r="G961" s="35">
        <v>5.02</v>
      </c>
      <c r="H961" s="35">
        <v>40.8</v>
      </c>
      <c r="I961" s="35" t="s">
        <v>75</v>
      </c>
    </row>
    <row r="962" ht="22.5" customHeight="1">
      <c r="A962" s="35" t="s">
        <v>2169</v>
      </c>
      <c r="B962" s="35" t="s">
        <v>2170</v>
      </c>
      <c r="C962" s="35" t="s">
        <v>7756</v>
      </c>
      <c r="D962" s="35" t="s">
        <v>130</v>
      </c>
      <c r="E962" s="35" t="s">
        <v>180</v>
      </c>
      <c r="F962" s="35">
        <v>5338.0</v>
      </c>
      <c r="G962" s="35">
        <v>9.29</v>
      </c>
      <c r="H962" s="35">
        <v>574.6</v>
      </c>
      <c r="I962" s="35" t="s">
        <v>142</v>
      </c>
    </row>
    <row r="963" ht="22.5" customHeight="1">
      <c r="A963" s="35" t="s">
        <v>2171</v>
      </c>
      <c r="B963" s="35" t="s">
        <v>2172</v>
      </c>
      <c r="C963" s="35" t="s">
        <v>7756</v>
      </c>
      <c r="D963" s="35" t="s">
        <v>135</v>
      </c>
      <c r="E963" s="35" t="s">
        <v>349</v>
      </c>
      <c r="F963" s="35">
        <v>43.0</v>
      </c>
      <c r="G963" s="35">
        <v>1.89</v>
      </c>
      <c r="H963" s="35">
        <v>22.8</v>
      </c>
      <c r="I963" s="35" t="s">
        <v>75</v>
      </c>
    </row>
    <row r="964" ht="22.5" customHeight="1">
      <c r="A964" s="35" t="s">
        <v>2173</v>
      </c>
      <c r="B964" s="35" t="s">
        <v>2174</v>
      </c>
      <c r="C964" s="35" t="s">
        <v>7756</v>
      </c>
      <c r="D964" s="35" t="s">
        <v>122</v>
      </c>
      <c r="E964" s="35" t="s">
        <v>328</v>
      </c>
      <c r="F964" s="35">
        <v>20665.0</v>
      </c>
      <c r="G964" s="35">
        <v>11.51</v>
      </c>
      <c r="H964" s="35">
        <v>1795.4</v>
      </c>
      <c r="I964" s="35" t="s">
        <v>571</v>
      </c>
    </row>
    <row r="965" ht="22.5" customHeight="1">
      <c r="A965" s="35" t="s">
        <v>2175</v>
      </c>
      <c r="B965" s="35" t="s">
        <v>2176</v>
      </c>
      <c r="C965" s="35" t="s">
        <v>7756</v>
      </c>
      <c r="D965" s="35" t="s">
        <v>236</v>
      </c>
      <c r="E965" s="35" t="s">
        <v>558</v>
      </c>
      <c r="F965" s="35">
        <v>1778.0</v>
      </c>
      <c r="G965" s="35">
        <v>9.97</v>
      </c>
      <c r="H965" s="35">
        <v>178.3</v>
      </c>
      <c r="I965" s="35" t="s">
        <v>62</v>
      </c>
    </row>
    <row r="966" ht="22.5" customHeight="1">
      <c r="A966" s="35" t="s">
        <v>2177</v>
      </c>
      <c r="B966" s="35" t="s">
        <v>2178</v>
      </c>
      <c r="C966" s="35" t="s">
        <v>7756</v>
      </c>
      <c r="D966" s="35" t="s">
        <v>149</v>
      </c>
      <c r="E966" s="35" t="s">
        <v>363</v>
      </c>
      <c r="F966" s="35">
        <v>327.0</v>
      </c>
      <c r="G966" s="35">
        <v>4.84</v>
      </c>
      <c r="H966" s="35">
        <v>67.6</v>
      </c>
      <c r="I966" s="35" t="s">
        <v>75</v>
      </c>
    </row>
    <row r="967" ht="22.5" customHeight="1">
      <c r="A967" s="35" t="s">
        <v>2179</v>
      </c>
      <c r="B967" s="35" t="s">
        <v>2180</v>
      </c>
      <c r="C967" s="35" t="s">
        <v>7756</v>
      </c>
      <c r="D967" s="35" t="s">
        <v>149</v>
      </c>
      <c r="E967" s="35" t="s">
        <v>363</v>
      </c>
      <c r="F967" s="35">
        <v>289.0</v>
      </c>
      <c r="G967" s="35">
        <v>7.45</v>
      </c>
      <c r="H967" s="35">
        <v>38.8</v>
      </c>
      <c r="I967" s="35" t="s">
        <v>75</v>
      </c>
    </row>
    <row r="968" ht="22.5" customHeight="1">
      <c r="A968" s="35" t="s">
        <v>2181</v>
      </c>
      <c r="B968" s="35" t="s">
        <v>2182</v>
      </c>
      <c r="C968" s="35" t="s">
        <v>7756</v>
      </c>
      <c r="D968" s="35" t="s">
        <v>120</v>
      </c>
      <c r="E968" s="35" t="s">
        <v>312</v>
      </c>
      <c r="F968" s="35">
        <v>325.0</v>
      </c>
      <c r="G968" s="35">
        <v>7.34</v>
      </c>
      <c r="H968" s="35">
        <v>44.3</v>
      </c>
      <c r="I968" s="35" t="s">
        <v>75</v>
      </c>
    </row>
    <row r="969" ht="22.5" customHeight="1">
      <c r="A969" s="35" t="s">
        <v>2183</v>
      </c>
      <c r="B969" s="35" t="s">
        <v>2184</v>
      </c>
      <c r="C969" s="35" t="s">
        <v>7756</v>
      </c>
      <c r="D969" s="35" t="s">
        <v>149</v>
      </c>
      <c r="E969" s="35" t="s">
        <v>363</v>
      </c>
      <c r="F969" s="35">
        <v>815.0</v>
      </c>
      <c r="G969" s="35">
        <v>13.26</v>
      </c>
      <c r="H969" s="35">
        <v>61.5</v>
      </c>
      <c r="I969" s="35" t="s">
        <v>62</v>
      </c>
    </row>
    <row r="970" ht="22.5" customHeight="1">
      <c r="A970" s="35" t="s">
        <v>2185</v>
      </c>
      <c r="B970" s="35" t="s">
        <v>2186</v>
      </c>
      <c r="C970" s="35" t="s">
        <v>7756</v>
      </c>
      <c r="D970" s="35" t="s">
        <v>130</v>
      </c>
      <c r="E970" s="35" t="s">
        <v>180</v>
      </c>
      <c r="F970" s="35">
        <v>40250.0</v>
      </c>
      <c r="G970" s="35">
        <v>16.86</v>
      </c>
      <c r="H970" s="35">
        <v>2387.3</v>
      </c>
      <c r="I970" s="35" t="s">
        <v>571</v>
      </c>
    </row>
    <row r="971" ht="22.5" customHeight="1">
      <c r="A971" s="35" t="s">
        <v>2187</v>
      </c>
      <c r="B971" s="35" t="s">
        <v>2188</v>
      </c>
      <c r="C971" s="35" t="s">
        <v>7756</v>
      </c>
      <c r="D971" s="35" t="s">
        <v>122</v>
      </c>
      <c r="E971" s="35" t="s">
        <v>328</v>
      </c>
      <c r="F971" s="35">
        <v>10109.0</v>
      </c>
      <c r="G971" s="35">
        <v>9.19</v>
      </c>
      <c r="H971" s="35">
        <v>1100.0</v>
      </c>
      <c r="I971" s="35" t="s">
        <v>571</v>
      </c>
    </row>
    <row r="972" ht="22.5" customHeight="1">
      <c r="A972" s="35" t="s">
        <v>2189</v>
      </c>
      <c r="B972" s="35" t="s">
        <v>2190</v>
      </c>
      <c r="C972" s="35" t="s">
        <v>7756</v>
      </c>
      <c r="D972" s="35" t="s">
        <v>99</v>
      </c>
      <c r="E972" s="35" t="s">
        <v>98</v>
      </c>
      <c r="F972" s="35">
        <v>1436.0</v>
      </c>
      <c r="G972" s="35">
        <v>11.89</v>
      </c>
      <c r="H972" s="35">
        <v>120.8</v>
      </c>
      <c r="I972" s="35" t="s">
        <v>62</v>
      </c>
    </row>
    <row r="973" ht="22.5" customHeight="1">
      <c r="A973" s="35" t="s">
        <v>2191</v>
      </c>
      <c r="B973" s="35" t="s">
        <v>2192</v>
      </c>
      <c r="C973" s="35" t="s">
        <v>7756</v>
      </c>
      <c r="D973" s="35" t="s">
        <v>149</v>
      </c>
      <c r="E973" s="35" t="s">
        <v>363</v>
      </c>
      <c r="F973" s="35">
        <v>536.0</v>
      </c>
      <c r="G973" s="35">
        <v>8.74</v>
      </c>
      <c r="H973" s="35">
        <v>61.3</v>
      </c>
      <c r="I973" s="35" t="s">
        <v>62</v>
      </c>
    </row>
    <row r="974" ht="22.5" customHeight="1">
      <c r="A974" s="35" t="s">
        <v>2193</v>
      </c>
      <c r="B974" s="35" t="s">
        <v>2194</v>
      </c>
      <c r="C974" s="35" t="s">
        <v>7756</v>
      </c>
      <c r="D974" s="35" t="s">
        <v>171</v>
      </c>
      <c r="E974" s="35" t="s">
        <v>457</v>
      </c>
      <c r="F974" s="35">
        <v>281.0</v>
      </c>
      <c r="G974" s="35">
        <v>3.37</v>
      </c>
      <c r="H974" s="35">
        <v>83.4</v>
      </c>
      <c r="I974" s="35" t="s">
        <v>75</v>
      </c>
    </row>
    <row r="975" ht="22.5" customHeight="1">
      <c r="A975" s="35" t="s">
        <v>2195</v>
      </c>
      <c r="B975" s="35" t="s">
        <v>2196</v>
      </c>
      <c r="C975" s="35" t="s">
        <v>7756</v>
      </c>
      <c r="D975" s="35" t="s">
        <v>235</v>
      </c>
      <c r="E975" s="35" t="s">
        <v>555</v>
      </c>
      <c r="F975" s="35">
        <v>86263.0</v>
      </c>
      <c r="G975" s="35">
        <v>41.96</v>
      </c>
      <c r="H975" s="35">
        <v>2055.8</v>
      </c>
      <c r="I975" s="35" t="s">
        <v>7463</v>
      </c>
    </row>
    <row r="976" ht="22.5" customHeight="1">
      <c r="A976" s="35" t="s">
        <v>2197</v>
      </c>
      <c r="B976" s="35" t="s">
        <v>2198</v>
      </c>
      <c r="C976" s="35" t="s">
        <v>7756</v>
      </c>
      <c r="D976" s="35" t="s">
        <v>99</v>
      </c>
      <c r="E976" s="35" t="s">
        <v>98</v>
      </c>
      <c r="F976" s="35">
        <v>660.0</v>
      </c>
      <c r="G976" s="35">
        <v>9.2</v>
      </c>
      <c r="H976" s="35">
        <v>71.7</v>
      </c>
      <c r="I976" s="35" t="s">
        <v>62</v>
      </c>
    </row>
    <row r="977" ht="22.5" customHeight="1">
      <c r="A977" s="35" t="s">
        <v>2199</v>
      </c>
      <c r="B977" s="35" t="s">
        <v>2200</v>
      </c>
      <c r="C977" s="35" t="s">
        <v>7756</v>
      </c>
      <c r="D977" s="35" t="s">
        <v>72</v>
      </c>
      <c r="E977" s="35" t="s">
        <v>71</v>
      </c>
      <c r="F977" s="35">
        <v>1869.0</v>
      </c>
      <c r="G977" s="35">
        <v>4.01</v>
      </c>
      <c r="H977" s="35">
        <v>466.1</v>
      </c>
      <c r="I977" s="35" t="s">
        <v>62</v>
      </c>
    </row>
    <row r="978" ht="22.5" customHeight="1">
      <c r="A978" s="35" t="s">
        <v>2201</v>
      </c>
      <c r="B978" s="35" t="s">
        <v>2202</v>
      </c>
      <c r="C978" s="35" t="s">
        <v>7756</v>
      </c>
      <c r="D978" s="35" t="s">
        <v>149</v>
      </c>
      <c r="E978" s="35" t="s">
        <v>363</v>
      </c>
      <c r="F978" s="35">
        <v>94.0</v>
      </c>
      <c r="G978" s="35">
        <v>3.52</v>
      </c>
      <c r="H978" s="35">
        <v>26.7</v>
      </c>
      <c r="I978" s="35" t="s">
        <v>75</v>
      </c>
    </row>
    <row r="979" ht="22.5" customHeight="1">
      <c r="A979" s="35" t="s">
        <v>2203</v>
      </c>
      <c r="B979" s="35" t="s">
        <v>2204</v>
      </c>
      <c r="C979" s="35" t="s">
        <v>7756</v>
      </c>
      <c r="D979" s="35" t="s">
        <v>145</v>
      </c>
      <c r="E979" s="35" t="s">
        <v>255</v>
      </c>
      <c r="F979" s="35">
        <v>269.0</v>
      </c>
      <c r="G979" s="35">
        <v>4.87</v>
      </c>
      <c r="H979" s="35">
        <v>55.2</v>
      </c>
      <c r="I979" s="35" t="s">
        <v>75</v>
      </c>
    </row>
    <row r="980" ht="22.5" customHeight="1">
      <c r="A980" s="35" t="s">
        <v>2205</v>
      </c>
      <c r="B980" s="35" t="s">
        <v>2206</v>
      </c>
      <c r="C980" s="35" t="s">
        <v>7756</v>
      </c>
      <c r="D980" s="35" t="s">
        <v>145</v>
      </c>
      <c r="E980" s="35" t="s">
        <v>255</v>
      </c>
      <c r="F980" s="35">
        <v>145.0</v>
      </c>
      <c r="G980" s="35">
        <v>3.38</v>
      </c>
      <c r="H980" s="35">
        <v>42.9</v>
      </c>
      <c r="I980" s="35" t="s">
        <v>75</v>
      </c>
    </row>
    <row r="981" ht="22.5" customHeight="1">
      <c r="A981" s="35" t="s">
        <v>2207</v>
      </c>
      <c r="B981" s="35" t="s">
        <v>2208</v>
      </c>
      <c r="C981" s="35" t="s">
        <v>7756</v>
      </c>
      <c r="D981" s="35" t="s">
        <v>99</v>
      </c>
      <c r="E981" s="35" t="s">
        <v>98</v>
      </c>
      <c r="F981" s="35">
        <v>1213.0</v>
      </c>
      <c r="G981" s="35">
        <v>10.43</v>
      </c>
      <c r="H981" s="35">
        <v>116.3</v>
      </c>
      <c r="I981" s="35" t="s">
        <v>62</v>
      </c>
    </row>
    <row r="982" ht="22.5" customHeight="1">
      <c r="A982" s="35" t="s">
        <v>2209</v>
      </c>
      <c r="B982" s="35" t="s">
        <v>2210</v>
      </c>
      <c r="C982" s="35" t="s">
        <v>7756</v>
      </c>
      <c r="D982" s="35" t="s">
        <v>145</v>
      </c>
      <c r="E982" s="35" t="s">
        <v>255</v>
      </c>
      <c r="F982" s="35">
        <v>1013.0</v>
      </c>
      <c r="G982" s="35">
        <v>6.26</v>
      </c>
      <c r="H982" s="35">
        <v>161.8</v>
      </c>
      <c r="I982" s="35" t="s">
        <v>62</v>
      </c>
    </row>
    <row r="983" ht="22.5" customHeight="1">
      <c r="A983" s="35" t="s">
        <v>2211</v>
      </c>
      <c r="B983" s="35" t="s">
        <v>2212</v>
      </c>
      <c r="C983" s="35" t="s">
        <v>7756</v>
      </c>
      <c r="D983" s="35" t="s">
        <v>135</v>
      </c>
      <c r="E983" s="35" t="s">
        <v>349</v>
      </c>
      <c r="F983" s="35">
        <v>606.0</v>
      </c>
      <c r="G983" s="35">
        <v>8.35</v>
      </c>
      <c r="H983" s="35">
        <v>72.6</v>
      </c>
      <c r="I983" s="35" t="s">
        <v>62</v>
      </c>
    </row>
    <row r="984" ht="22.5" customHeight="1">
      <c r="A984" s="35" t="s">
        <v>2213</v>
      </c>
      <c r="B984" s="35" t="s">
        <v>2214</v>
      </c>
      <c r="C984" s="35" t="s">
        <v>7756</v>
      </c>
      <c r="D984" s="35" t="s">
        <v>122</v>
      </c>
      <c r="E984" s="35" t="s">
        <v>328</v>
      </c>
      <c r="F984" s="35">
        <v>804.0</v>
      </c>
      <c r="G984" s="35">
        <v>5.14</v>
      </c>
      <c r="H984" s="35">
        <v>156.4</v>
      </c>
      <c r="I984" s="35" t="s">
        <v>62</v>
      </c>
    </row>
    <row r="985" ht="22.5" customHeight="1">
      <c r="A985" s="35" t="s">
        <v>2215</v>
      </c>
      <c r="B985" s="35" t="s">
        <v>2216</v>
      </c>
      <c r="C985" s="35" t="s">
        <v>7756</v>
      </c>
      <c r="D985" s="35" t="s">
        <v>236</v>
      </c>
      <c r="E985" s="35" t="s">
        <v>558</v>
      </c>
      <c r="F985" s="35">
        <v>3026.0</v>
      </c>
      <c r="G985" s="35">
        <v>4.95</v>
      </c>
      <c r="H985" s="35">
        <v>611.3</v>
      </c>
      <c r="I985" s="35" t="s">
        <v>142</v>
      </c>
    </row>
    <row r="986" ht="22.5" customHeight="1">
      <c r="A986" s="35" t="s">
        <v>2217</v>
      </c>
      <c r="B986" s="35" t="s">
        <v>2218</v>
      </c>
      <c r="C986" s="35" t="s">
        <v>7756</v>
      </c>
      <c r="D986" s="35" t="s">
        <v>192</v>
      </c>
      <c r="E986" s="35" t="s">
        <v>508</v>
      </c>
      <c r="F986" s="35">
        <v>1291.0</v>
      </c>
      <c r="G986" s="35">
        <v>4.73</v>
      </c>
      <c r="H986" s="35">
        <v>272.9</v>
      </c>
      <c r="I986" s="35" t="s">
        <v>62</v>
      </c>
    </row>
    <row r="987" ht="22.5" customHeight="1">
      <c r="A987" s="35" t="s">
        <v>2219</v>
      </c>
      <c r="B987" s="35" t="s">
        <v>2220</v>
      </c>
      <c r="C987" s="35" t="s">
        <v>7756</v>
      </c>
      <c r="D987" s="35" t="s">
        <v>236</v>
      </c>
      <c r="E987" s="35" t="s">
        <v>558</v>
      </c>
      <c r="F987" s="35">
        <v>618.0</v>
      </c>
      <c r="G987" s="35">
        <v>1.34</v>
      </c>
      <c r="H987" s="35">
        <v>461.2</v>
      </c>
      <c r="I987" s="35" t="s">
        <v>62</v>
      </c>
    </row>
    <row r="988" ht="22.5" customHeight="1">
      <c r="A988" s="35" t="s">
        <v>2221</v>
      </c>
      <c r="B988" s="35" t="s">
        <v>2222</v>
      </c>
      <c r="C988" s="35" t="s">
        <v>7756</v>
      </c>
      <c r="D988" s="35" t="s">
        <v>236</v>
      </c>
      <c r="E988" s="35" t="s">
        <v>558</v>
      </c>
      <c r="F988" s="35">
        <v>1280.0</v>
      </c>
      <c r="G988" s="35">
        <v>10.47</v>
      </c>
      <c r="H988" s="35">
        <v>122.3</v>
      </c>
      <c r="I988" s="35" t="s">
        <v>62</v>
      </c>
    </row>
    <row r="989" ht="22.5" customHeight="1">
      <c r="A989" s="35" t="s">
        <v>2223</v>
      </c>
      <c r="B989" s="35" t="s">
        <v>2224</v>
      </c>
      <c r="C989" s="35" t="s">
        <v>7756</v>
      </c>
      <c r="D989" s="35" t="s">
        <v>224</v>
      </c>
      <c r="E989" s="35" t="s">
        <v>390</v>
      </c>
      <c r="F989" s="35">
        <v>2416.0</v>
      </c>
      <c r="G989" s="35">
        <v>9.97</v>
      </c>
      <c r="H989" s="35">
        <v>242.3</v>
      </c>
      <c r="I989" s="35" t="s">
        <v>142</v>
      </c>
    </row>
    <row r="990" ht="22.5" customHeight="1">
      <c r="A990" s="35" t="s">
        <v>2225</v>
      </c>
      <c r="B990" s="35" t="s">
        <v>2226</v>
      </c>
      <c r="C990" s="35" t="s">
        <v>7756</v>
      </c>
      <c r="D990" s="35" t="s">
        <v>205</v>
      </c>
      <c r="E990" s="35" t="s">
        <v>530</v>
      </c>
      <c r="F990" s="35">
        <v>237.0</v>
      </c>
      <c r="G990" s="35">
        <v>16.71</v>
      </c>
      <c r="H990" s="35">
        <v>14.2</v>
      </c>
      <c r="I990" s="35" t="s">
        <v>75</v>
      </c>
    </row>
    <row r="991" ht="22.5" customHeight="1">
      <c r="A991" s="35" t="s">
        <v>2227</v>
      </c>
      <c r="B991" s="35" t="s">
        <v>2228</v>
      </c>
      <c r="C991" s="35" t="s">
        <v>7756</v>
      </c>
      <c r="D991" s="35" t="s">
        <v>130</v>
      </c>
      <c r="E991" s="35" t="s">
        <v>180</v>
      </c>
      <c r="F991" s="35">
        <v>670.0</v>
      </c>
      <c r="G991" s="35">
        <v>5.28</v>
      </c>
      <c r="H991" s="35">
        <v>126.9</v>
      </c>
      <c r="I991" s="35" t="s">
        <v>62</v>
      </c>
    </row>
    <row r="992" ht="22.5" customHeight="1">
      <c r="A992" s="35" t="s">
        <v>2229</v>
      </c>
      <c r="B992" s="35" t="s">
        <v>2230</v>
      </c>
      <c r="C992" s="35" t="s">
        <v>7756</v>
      </c>
      <c r="D992" s="35" t="s">
        <v>171</v>
      </c>
      <c r="E992" s="35" t="s">
        <v>457</v>
      </c>
      <c r="F992" s="35">
        <v>462.0</v>
      </c>
      <c r="G992" s="35">
        <v>11.62</v>
      </c>
      <c r="H992" s="35">
        <v>39.8</v>
      </c>
      <c r="I992" s="35" t="s">
        <v>75</v>
      </c>
    </row>
    <row r="993" ht="22.5" customHeight="1">
      <c r="A993" s="35" t="s">
        <v>2231</v>
      </c>
      <c r="B993" s="35" t="s">
        <v>2232</v>
      </c>
      <c r="C993" s="35" t="s">
        <v>7756</v>
      </c>
      <c r="D993" s="35" t="s">
        <v>236</v>
      </c>
      <c r="E993" s="35" t="s">
        <v>558</v>
      </c>
      <c r="F993" s="35">
        <v>620.0</v>
      </c>
      <c r="G993" s="35">
        <v>1.75</v>
      </c>
      <c r="H993" s="35">
        <v>354.3</v>
      </c>
      <c r="I993" s="35" t="s">
        <v>62</v>
      </c>
    </row>
    <row r="994" ht="22.5" customHeight="1">
      <c r="A994" s="35" t="s">
        <v>2233</v>
      </c>
      <c r="B994" s="35" t="s">
        <v>2234</v>
      </c>
      <c r="C994" s="35" t="s">
        <v>7756</v>
      </c>
      <c r="D994" s="35" t="s">
        <v>236</v>
      </c>
      <c r="E994" s="35" t="s">
        <v>558</v>
      </c>
      <c r="F994" s="35">
        <v>5341.0</v>
      </c>
      <c r="G994" s="35">
        <v>9.08</v>
      </c>
      <c r="H994" s="35">
        <v>588.2</v>
      </c>
      <c r="I994" s="35" t="s">
        <v>142</v>
      </c>
    </row>
    <row r="995" ht="22.5" customHeight="1">
      <c r="A995" s="35" t="s">
        <v>2235</v>
      </c>
      <c r="B995" s="35" t="s">
        <v>2236</v>
      </c>
      <c r="C995" s="35" t="s">
        <v>7756</v>
      </c>
      <c r="D995" s="35" t="s">
        <v>72</v>
      </c>
      <c r="E995" s="35" t="s">
        <v>71</v>
      </c>
      <c r="F995" s="35">
        <v>1586.0</v>
      </c>
      <c r="G995" s="35">
        <v>5.86</v>
      </c>
      <c r="H995" s="35">
        <v>270.6</v>
      </c>
      <c r="I995" s="35" t="s">
        <v>62</v>
      </c>
    </row>
    <row r="996" ht="22.5" customHeight="1">
      <c r="A996" s="35" t="s">
        <v>2237</v>
      </c>
      <c r="B996" s="35" t="s">
        <v>2238</v>
      </c>
      <c r="C996" s="35" t="s">
        <v>7756</v>
      </c>
      <c r="D996" s="35" t="s">
        <v>202</v>
      </c>
      <c r="E996" s="35" t="s">
        <v>499</v>
      </c>
      <c r="F996" s="35">
        <v>479.0</v>
      </c>
      <c r="G996" s="35">
        <v>6.32</v>
      </c>
      <c r="H996" s="35">
        <v>75.8</v>
      </c>
      <c r="I996" s="35" t="s">
        <v>75</v>
      </c>
    </row>
    <row r="997" ht="22.5" customHeight="1">
      <c r="A997" s="35" t="s">
        <v>2239</v>
      </c>
      <c r="B997" s="35" t="s">
        <v>2240</v>
      </c>
      <c r="C997" s="35" t="s">
        <v>7756</v>
      </c>
      <c r="D997" s="35" t="s">
        <v>122</v>
      </c>
      <c r="E997" s="35" t="s">
        <v>328</v>
      </c>
      <c r="F997" s="35">
        <v>9039.0</v>
      </c>
      <c r="G997" s="35">
        <v>10.24</v>
      </c>
      <c r="H997" s="35">
        <v>882.7</v>
      </c>
      <c r="I997" s="35" t="s">
        <v>142</v>
      </c>
    </row>
    <row r="998" ht="22.5" customHeight="1">
      <c r="A998" s="35" t="s">
        <v>2241</v>
      </c>
      <c r="B998" s="35" t="s">
        <v>2242</v>
      </c>
      <c r="C998" s="35" t="s">
        <v>7756</v>
      </c>
      <c r="D998" s="35" t="s">
        <v>120</v>
      </c>
      <c r="E998" s="35" t="s">
        <v>312</v>
      </c>
      <c r="F998" s="35">
        <v>3171.0</v>
      </c>
      <c r="G998" s="35">
        <v>6.66</v>
      </c>
      <c r="H998" s="35">
        <v>476.1</v>
      </c>
      <c r="I998" s="35" t="s">
        <v>142</v>
      </c>
    </row>
    <row r="999" ht="22.5" customHeight="1">
      <c r="A999" s="35" t="s">
        <v>2243</v>
      </c>
      <c r="B999" s="35" t="s">
        <v>2244</v>
      </c>
      <c r="C999" s="35" t="s">
        <v>7756</v>
      </c>
      <c r="D999" s="35" t="s">
        <v>122</v>
      </c>
      <c r="E999" s="35" t="s">
        <v>328</v>
      </c>
      <c r="F999" s="35">
        <v>4202.0</v>
      </c>
      <c r="G999" s="35">
        <v>5.74</v>
      </c>
      <c r="H999" s="35">
        <v>732.1</v>
      </c>
      <c r="I999" s="35" t="s">
        <v>142</v>
      </c>
    </row>
    <row r="1000" ht="22.5" customHeight="1">
      <c r="A1000" s="35" t="s">
        <v>2245</v>
      </c>
      <c r="B1000" s="35" t="s">
        <v>2246</v>
      </c>
      <c r="C1000" s="35" t="s">
        <v>7756</v>
      </c>
      <c r="D1000" s="35" t="s">
        <v>236</v>
      </c>
      <c r="E1000" s="35" t="s">
        <v>558</v>
      </c>
      <c r="F1000" s="35">
        <v>302.0</v>
      </c>
      <c r="G1000" s="35">
        <v>1.85</v>
      </c>
      <c r="H1000" s="35">
        <v>163.2</v>
      </c>
      <c r="I1000" s="35" t="s">
        <v>75</v>
      </c>
    </row>
    <row r="1001" ht="22.5" customHeight="1">
      <c r="A1001" s="35" t="s">
        <v>2247</v>
      </c>
      <c r="B1001" s="35" t="s">
        <v>2248</v>
      </c>
      <c r="C1001" s="35" t="s">
        <v>7756</v>
      </c>
      <c r="D1001" s="35" t="s">
        <v>120</v>
      </c>
      <c r="E1001" s="35" t="s">
        <v>312</v>
      </c>
      <c r="F1001" s="35">
        <v>656.0</v>
      </c>
      <c r="G1001" s="35">
        <v>14.49</v>
      </c>
      <c r="H1001" s="35">
        <v>45.3</v>
      </c>
      <c r="I1001" s="35" t="s">
        <v>62</v>
      </c>
    </row>
    <row r="1002" ht="22.5" customHeight="1">
      <c r="A1002" s="35" t="s">
        <v>2249</v>
      </c>
      <c r="B1002" s="35" t="s">
        <v>2250</v>
      </c>
      <c r="C1002" s="35" t="s">
        <v>7756</v>
      </c>
      <c r="D1002" s="35" t="s">
        <v>171</v>
      </c>
      <c r="E1002" s="35" t="s">
        <v>457</v>
      </c>
      <c r="F1002" s="35">
        <v>2137.0</v>
      </c>
      <c r="G1002" s="35">
        <v>12.26</v>
      </c>
      <c r="H1002" s="35">
        <v>174.3</v>
      </c>
      <c r="I1002" s="35" t="s">
        <v>142</v>
      </c>
    </row>
    <row r="1003" ht="22.5" customHeight="1">
      <c r="A1003" s="35" t="s">
        <v>2251</v>
      </c>
      <c r="B1003" s="35" t="s">
        <v>2252</v>
      </c>
      <c r="C1003" s="35" t="s">
        <v>7756</v>
      </c>
      <c r="D1003" s="35" t="s">
        <v>130</v>
      </c>
      <c r="E1003" s="35" t="s">
        <v>180</v>
      </c>
      <c r="F1003" s="35">
        <v>893.0</v>
      </c>
      <c r="G1003" s="35">
        <v>5.39</v>
      </c>
      <c r="H1003" s="35">
        <v>165.7</v>
      </c>
      <c r="I1003" s="35" t="s">
        <v>62</v>
      </c>
    </row>
    <row r="1004" ht="22.5" customHeight="1">
      <c r="A1004" s="35" t="s">
        <v>2253</v>
      </c>
      <c r="B1004" s="35" t="s">
        <v>2254</v>
      </c>
      <c r="C1004" s="35" t="s">
        <v>7756</v>
      </c>
      <c r="D1004" s="35" t="s">
        <v>214</v>
      </c>
      <c r="E1004" s="35" t="s">
        <v>366</v>
      </c>
      <c r="F1004" s="35">
        <v>6525.0</v>
      </c>
      <c r="G1004" s="35">
        <v>13.4</v>
      </c>
      <c r="H1004" s="35">
        <v>486.9</v>
      </c>
      <c r="I1004" s="35" t="s">
        <v>142</v>
      </c>
    </row>
    <row r="1005" ht="22.5" customHeight="1">
      <c r="A1005" s="35" t="s">
        <v>2255</v>
      </c>
      <c r="B1005" s="35" t="s">
        <v>2256</v>
      </c>
      <c r="C1005" s="35" t="s">
        <v>7756</v>
      </c>
      <c r="D1005" s="35" t="s">
        <v>135</v>
      </c>
      <c r="E1005" s="35" t="s">
        <v>349</v>
      </c>
      <c r="F1005" s="35">
        <v>475.0</v>
      </c>
      <c r="G1005" s="35">
        <v>5.46</v>
      </c>
      <c r="H1005" s="35">
        <v>87.0</v>
      </c>
      <c r="I1005" s="35" t="s">
        <v>75</v>
      </c>
    </row>
    <row r="1006" ht="22.5" customHeight="1">
      <c r="A1006" s="35" t="s">
        <v>2257</v>
      </c>
      <c r="B1006" s="35" t="s">
        <v>811</v>
      </c>
      <c r="C1006" s="35" t="s">
        <v>7756</v>
      </c>
      <c r="D1006" s="35" t="s">
        <v>130</v>
      </c>
      <c r="E1006" s="35" t="s">
        <v>180</v>
      </c>
      <c r="F1006" s="35">
        <v>1134.0</v>
      </c>
      <c r="G1006" s="35">
        <v>5.8</v>
      </c>
      <c r="H1006" s="35">
        <v>195.5</v>
      </c>
      <c r="I1006" s="35" t="s">
        <v>62</v>
      </c>
    </row>
    <row r="1007" ht="22.5" customHeight="1">
      <c r="A1007" s="35" t="s">
        <v>2258</v>
      </c>
      <c r="B1007" s="35" t="s">
        <v>2259</v>
      </c>
      <c r="C1007" s="35" t="s">
        <v>7756</v>
      </c>
      <c r="D1007" s="35" t="s">
        <v>146</v>
      </c>
      <c r="E1007" s="35" t="s">
        <v>268</v>
      </c>
      <c r="F1007" s="35">
        <v>937.0</v>
      </c>
      <c r="G1007" s="35">
        <v>5.32</v>
      </c>
      <c r="H1007" s="35">
        <v>176.1</v>
      </c>
      <c r="I1007" s="35" t="s">
        <v>62</v>
      </c>
    </row>
    <row r="1008" ht="22.5" customHeight="1">
      <c r="A1008" s="35" t="s">
        <v>2260</v>
      </c>
      <c r="B1008" s="35" t="s">
        <v>2261</v>
      </c>
      <c r="C1008" s="35" t="s">
        <v>7756</v>
      </c>
      <c r="D1008" s="35" t="s">
        <v>120</v>
      </c>
      <c r="E1008" s="35" t="s">
        <v>312</v>
      </c>
      <c r="F1008" s="35">
        <v>363.0</v>
      </c>
      <c r="G1008" s="35">
        <v>2.77</v>
      </c>
      <c r="H1008" s="35">
        <v>131.0</v>
      </c>
      <c r="I1008" s="35" t="s">
        <v>75</v>
      </c>
    </row>
    <row r="1009" ht="22.5" customHeight="1">
      <c r="A1009" s="35" t="s">
        <v>2262</v>
      </c>
      <c r="B1009" s="35" t="s">
        <v>2263</v>
      </c>
      <c r="C1009" s="35" t="s">
        <v>7756</v>
      </c>
      <c r="D1009" s="35" t="s">
        <v>192</v>
      </c>
      <c r="E1009" s="35" t="s">
        <v>508</v>
      </c>
      <c r="F1009" s="35">
        <v>328.0</v>
      </c>
      <c r="G1009" s="35">
        <v>2.83</v>
      </c>
      <c r="H1009" s="35">
        <v>115.9</v>
      </c>
      <c r="I1009" s="35" t="s">
        <v>75</v>
      </c>
    </row>
    <row r="1010" ht="22.5" customHeight="1">
      <c r="A1010" s="35" t="s">
        <v>2264</v>
      </c>
      <c r="B1010" s="35" t="s">
        <v>2265</v>
      </c>
      <c r="C1010" s="35" t="s">
        <v>7756</v>
      </c>
      <c r="D1010" s="35" t="s">
        <v>149</v>
      </c>
      <c r="E1010" s="35" t="s">
        <v>363</v>
      </c>
      <c r="F1010" s="35">
        <v>1233.0</v>
      </c>
      <c r="G1010" s="35">
        <v>25.15</v>
      </c>
      <c r="H1010" s="35">
        <v>49.0</v>
      </c>
      <c r="I1010" s="35" t="s">
        <v>62</v>
      </c>
    </row>
    <row r="1011" ht="22.5" customHeight="1">
      <c r="A1011" s="35" t="s">
        <v>2266</v>
      </c>
      <c r="B1011" s="35" t="s">
        <v>2267</v>
      </c>
      <c r="C1011" s="35" t="s">
        <v>7756</v>
      </c>
      <c r="D1011" s="35" t="s">
        <v>120</v>
      </c>
      <c r="E1011" s="35" t="s">
        <v>312</v>
      </c>
      <c r="F1011" s="35">
        <v>725.0</v>
      </c>
      <c r="G1011" s="35">
        <v>2.82</v>
      </c>
      <c r="H1011" s="35">
        <v>257.1</v>
      </c>
      <c r="I1011" s="35" t="s">
        <v>62</v>
      </c>
    </row>
    <row r="1012" ht="22.5" customHeight="1">
      <c r="A1012" s="35" t="s">
        <v>2268</v>
      </c>
      <c r="B1012" s="35" t="s">
        <v>2269</v>
      </c>
      <c r="C1012" s="35" t="s">
        <v>7756</v>
      </c>
      <c r="D1012" s="35" t="s">
        <v>236</v>
      </c>
      <c r="E1012" s="35" t="s">
        <v>558</v>
      </c>
      <c r="F1012" s="35">
        <v>18619.0</v>
      </c>
      <c r="G1012" s="35">
        <v>4.61</v>
      </c>
      <c r="H1012" s="35">
        <v>4038.8</v>
      </c>
      <c r="I1012" s="35" t="s">
        <v>571</v>
      </c>
    </row>
    <row r="1013" ht="22.5" customHeight="1">
      <c r="A1013" s="35" t="s">
        <v>2270</v>
      </c>
      <c r="B1013" s="35" t="s">
        <v>2271</v>
      </c>
      <c r="C1013" s="35" t="s">
        <v>7756</v>
      </c>
      <c r="D1013" s="35" t="s">
        <v>146</v>
      </c>
      <c r="E1013" s="35" t="s">
        <v>268</v>
      </c>
      <c r="F1013" s="35">
        <v>2474.0</v>
      </c>
      <c r="G1013" s="35">
        <v>4.75</v>
      </c>
      <c r="H1013" s="35">
        <v>520.8</v>
      </c>
      <c r="I1013" s="35" t="s">
        <v>142</v>
      </c>
    </row>
    <row r="1014" ht="22.5" customHeight="1">
      <c r="A1014" s="35" t="s">
        <v>2272</v>
      </c>
      <c r="B1014" s="35" t="s">
        <v>2273</v>
      </c>
      <c r="C1014" s="35" t="s">
        <v>7756</v>
      </c>
      <c r="D1014" s="35" t="s">
        <v>130</v>
      </c>
      <c r="E1014" s="35" t="s">
        <v>180</v>
      </c>
      <c r="F1014" s="35">
        <v>2278.0</v>
      </c>
      <c r="G1014" s="35">
        <v>9.56</v>
      </c>
      <c r="H1014" s="35">
        <v>238.3</v>
      </c>
      <c r="I1014" s="35" t="s">
        <v>142</v>
      </c>
    </row>
    <row r="1015" ht="22.5" customHeight="1">
      <c r="A1015" s="35" t="s">
        <v>2274</v>
      </c>
      <c r="B1015" s="35" t="s">
        <v>2275</v>
      </c>
      <c r="C1015" s="35" t="s">
        <v>7756</v>
      </c>
      <c r="D1015" s="35" t="s">
        <v>192</v>
      </c>
      <c r="E1015" s="35" t="s">
        <v>508</v>
      </c>
      <c r="F1015" s="35">
        <v>506.0</v>
      </c>
      <c r="G1015" s="35">
        <v>11.47</v>
      </c>
      <c r="H1015" s="35">
        <v>44.1</v>
      </c>
      <c r="I1015" s="35" t="s">
        <v>62</v>
      </c>
    </row>
    <row r="1016" ht="22.5" customHeight="1">
      <c r="A1016" s="35" t="s">
        <v>2276</v>
      </c>
      <c r="B1016" s="35" t="s">
        <v>2277</v>
      </c>
      <c r="C1016" s="35" t="s">
        <v>7756</v>
      </c>
      <c r="D1016" s="35" t="s">
        <v>130</v>
      </c>
      <c r="E1016" s="35" t="s">
        <v>180</v>
      </c>
      <c r="F1016" s="35">
        <v>1635.0</v>
      </c>
      <c r="G1016" s="35">
        <v>5.15</v>
      </c>
      <c r="H1016" s="35">
        <v>317.5</v>
      </c>
      <c r="I1016" s="35" t="s">
        <v>62</v>
      </c>
    </row>
    <row r="1017" ht="22.5" customHeight="1">
      <c r="A1017" s="35" t="s">
        <v>2278</v>
      </c>
      <c r="B1017" s="35" t="s">
        <v>2279</v>
      </c>
      <c r="C1017" s="35" t="s">
        <v>7756</v>
      </c>
      <c r="D1017" s="35" t="s">
        <v>145</v>
      </c>
      <c r="E1017" s="35" t="s">
        <v>255</v>
      </c>
      <c r="F1017" s="35">
        <v>6703.0</v>
      </c>
      <c r="G1017" s="35">
        <v>18.77</v>
      </c>
      <c r="H1017" s="35">
        <v>357.1</v>
      </c>
      <c r="I1017" s="35" t="s">
        <v>142</v>
      </c>
    </row>
    <row r="1018" ht="22.5" customHeight="1">
      <c r="A1018" s="35" t="s">
        <v>2280</v>
      </c>
      <c r="B1018" s="35" t="s">
        <v>2281</v>
      </c>
      <c r="C1018" s="35" t="s">
        <v>7756</v>
      </c>
      <c r="D1018" s="35" t="s">
        <v>149</v>
      </c>
      <c r="E1018" s="35" t="s">
        <v>363</v>
      </c>
      <c r="F1018" s="35">
        <v>1433.0</v>
      </c>
      <c r="G1018" s="35">
        <v>19.59</v>
      </c>
      <c r="H1018" s="35">
        <v>73.1</v>
      </c>
      <c r="I1018" s="35" t="s">
        <v>62</v>
      </c>
    </row>
    <row r="1019" ht="22.5" customHeight="1">
      <c r="A1019" s="35" t="s">
        <v>2282</v>
      </c>
      <c r="B1019" s="35" t="s">
        <v>2283</v>
      </c>
      <c r="C1019" s="35" t="s">
        <v>7756</v>
      </c>
      <c r="D1019" s="35" t="s">
        <v>72</v>
      </c>
      <c r="E1019" s="35" t="s">
        <v>71</v>
      </c>
      <c r="F1019" s="35">
        <v>5441.0</v>
      </c>
      <c r="G1019" s="35">
        <v>5.82</v>
      </c>
      <c r="H1019" s="35">
        <v>934.9</v>
      </c>
      <c r="I1019" s="35" t="s">
        <v>142</v>
      </c>
    </row>
    <row r="1020" ht="22.5" customHeight="1">
      <c r="A1020" s="35" t="s">
        <v>2284</v>
      </c>
      <c r="B1020" s="35" t="s">
        <v>2285</v>
      </c>
      <c r="C1020" s="35" t="s">
        <v>7756</v>
      </c>
      <c r="D1020" s="35" t="s">
        <v>130</v>
      </c>
      <c r="E1020" s="35" t="s">
        <v>180</v>
      </c>
      <c r="F1020" s="35">
        <v>1432.0</v>
      </c>
      <c r="G1020" s="35">
        <v>5.52</v>
      </c>
      <c r="H1020" s="35">
        <v>259.4</v>
      </c>
      <c r="I1020" s="35" t="s">
        <v>62</v>
      </c>
    </row>
    <row r="1021" ht="22.5" customHeight="1">
      <c r="A1021" s="35" t="s">
        <v>2286</v>
      </c>
      <c r="B1021" s="35" t="s">
        <v>2287</v>
      </c>
      <c r="C1021" s="35" t="s">
        <v>7756</v>
      </c>
      <c r="D1021" s="35" t="s">
        <v>205</v>
      </c>
      <c r="E1021" s="35" t="s">
        <v>530</v>
      </c>
      <c r="F1021" s="35">
        <v>514.0</v>
      </c>
      <c r="G1021" s="35">
        <v>13.42</v>
      </c>
      <c r="H1021" s="35">
        <v>38.3</v>
      </c>
      <c r="I1021" s="35" t="s">
        <v>62</v>
      </c>
    </row>
    <row r="1022" ht="22.5" customHeight="1">
      <c r="A1022" s="35" t="s">
        <v>2288</v>
      </c>
      <c r="B1022" s="35" t="s">
        <v>2289</v>
      </c>
      <c r="C1022" s="35" t="s">
        <v>7756</v>
      </c>
      <c r="D1022" s="35" t="s">
        <v>145</v>
      </c>
      <c r="E1022" s="35" t="s">
        <v>255</v>
      </c>
      <c r="F1022" s="35">
        <v>5131.0</v>
      </c>
      <c r="G1022" s="35">
        <v>10.01</v>
      </c>
      <c r="H1022" s="35">
        <v>512.6</v>
      </c>
      <c r="I1022" s="35" t="s">
        <v>142</v>
      </c>
    </row>
    <row r="1023" ht="22.5" customHeight="1">
      <c r="A1023" s="35" t="s">
        <v>2290</v>
      </c>
      <c r="B1023" s="35" t="s">
        <v>2291</v>
      </c>
      <c r="C1023" s="35" t="s">
        <v>7756</v>
      </c>
      <c r="D1023" s="35" t="s">
        <v>145</v>
      </c>
      <c r="E1023" s="35" t="s">
        <v>255</v>
      </c>
      <c r="F1023" s="35">
        <v>1024.0</v>
      </c>
      <c r="G1023" s="35">
        <v>5.39</v>
      </c>
      <c r="H1023" s="35">
        <v>190.0</v>
      </c>
      <c r="I1023" s="35" t="s">
        <v>62</v>
      </c>
    </row>
    <row r="1024" ht="22.5" customHeight="1">
      <c r="A1024" s="35" t="s">
        <v>2292</v>
      </c>
      <c r="B1024" s="35" t="s">
        <v>847</v>
      </c>
      <c r="C1024" s="35" t="s">
        <v>7756</v>
      </c>
      <c r="D1024" s="35" t="s">
        <v>192</v>
      </c>
      <c r="E1024" s="35" t="s">
        <v>508</v>
      </c>
      <c r="F1024" s="35">
        <v>431.0</v>
      </c>
      <c r="G1024" s="35">
        <v>2.02</v>
      </c>
      <c r="H1024" s="35">
        <v>213.4</v>
      </c>
      <c r="I1024" s="35" t="s">
        <v>75</v>
      </c>
    </row>
    <row r="1025" ht="22.5" customHeight="1">
      <c r="A1025" s="35" t="s">
        <v>2293</v>
      </c>
      <c r="B1025" s="35" t="s">
        <v>2294</v>
      </c>
      <c r="C1025" s="35" t="s">
        <v>7756</v>
      </c>
      <c r="D1025" s="35" t="s">
        <v>149</v>
      </c>
      <c r="E1025" s="35" t="s">
        <v>363</v>
      </c>
      <c r="F1025" s="35">
        <v>342.0</v>
      </c>
      <c r="G1025" s="35">
        <v>5.66</v>
      </c>
      <c r="H1025" s="35">
        <v>60.4</v>
      </c>
      <c r="I1025" s="35" t="s">
        <v>75</v>
      </c>
    </row>
    <row r="1026" ht="22.5" customHeight="1">
      <c r="A1026" s="35" t="s">
        <v>2295</v>
      </c>
      <c r="B1026" s="35" t="s">
        <v>2296</v>
      </c>
      <c r="C1026" s="35" t="s">
        <v>7756</v>
      </c>
      <c r="D1026" s="35" t="s">
        <v>130</v>
      </c>
      <c r="E1026" s="35" t="s">
        <v>180</v>
      </c>
      <c r="F1026" s="35">
        <v>5424.0</v>
      </c>
      <c r="G1026" s="35">
        <v>7.13</v>
      </c>
      <c r="H1026" s="35">
        <v>760.7</v>
      </c>
      <c r="I1026" s="35" t="s">
        <v>142</v>
      </c>
    </row>
    <row r="1027" ht="22.5" customHeight="1">
      <c r="A1027" s="35" t="s">
        <v>2297</v>
      </c>
      <c r="B1027" s="35" t="s">
        <v>2298</v>
      </c>
      <c r="C1027" s="35" t="s">
        <v>7756</v>
      </c>
      <c r="D1027" s="35" t="s">
        <v>120</v>
      </c>
      <c r="E1027" s="35" t="s">
        <v>312</v>
      </c>
      <c r="F1027" s="35">
        <v>276.0</v>
      </c>
      <c r="G1027" s="35">
        <v>6.31</v>
      </c>
      <c r="H1027" s="35">
        <v>43.7</v>
      </c>
      <c r="I1027" s="35" t="s">
        <v>75</v>
      </c>
    </row>
    <row r="1028" ht="22.5" customHeight="1">
      <c r="A1028" s="35" t="s">
        <v>2299</v>
      </c>
      <c r="B1028" s="35" t="s">
        <v>2300</v>
      </c>
      <c r="C1028" s="35" t="s">
        <v>7756</v>
      </c>
      <c r="D1028" s="35" t="s">
        <v>99</v>
      </c>
      <c r="E1028" s="35" t="s">
        <v>98</v>
      </c>
      <c r="F1028" s="35">
        <v>923.0</v>
      </c>
      <c r="G1028" s="35">
        <v>9.01</v>
      </c>
      <c r="H1028" s="35">
        <v>102.4</v>
      </c>
      <c r="I1028" s="35" t="s">
        <v>62</v>
      </c>
    </row>
    <row r="1029" ht="22.5" customHeight="1">
      <c r="A1029" s="35" t="s">
        <v>2301</v>
      </c>
      <c r="B1029" s="35" t="s">
        <v>2302</v>
      </c>
      <c r="C1029" s="35" t="s">
        <v>7756</v>
      </c>
      <c r="D1029" s="35" t="s">
        <v>122</v>
      </c>
      <c r="E1029" s="35" t="s">
        <v>328</v>
      </c>
      <c r="F1029" s="35">
        <v>1685.0</v>
      </c>
      <c r="G1029" s="35">
        <v>14.49</v>
      </c>
      <c r="H1029" s="35">
        <v>116.3</v>
      </c>
      <c r="I1029" s="35" t="s">
        <v>62</v>
      </c>
    </row>
    <row r="1030" ht="22.5" customHeight="1">
      <c r="A1030" s="35" t="s">
        <v>2303</v>
      </c>
      <c r="B1030" s="35" t="s">
        <v>2304</v>
      </c>
      <c r="C1030" s="35" t="s">
        <v>7756</v>
      </c>
      <c r="D1030" s="35" t="s">
        <v>130</v>
      </c>
      <c r="E1030" s="35" t="s">
        <v>180</v>
      </c>
      <c r="F1030" s="35">
        <v>5745.0</v>
      </c>
      <c r="G1030" s="35">
        <v>19.16</v>
      </c>
      <c r="H1030" s="35">
        <v>299.8</v>
      </c>
      <c r="I1030" s="35" t="s">
        <v>142</v>
      </c>
    </row>
    <row r="1031" ht="22.5" customHeight="1">
      <c r="A1031" s="35" t="s">
        <v>2305</v>
      </c>
      <c r="B1031" s="35" t="s">
        <v>2306</v>
      </c>
      <c r="C1031" s="35" t="s">
        <v>7756</v>
      </c>
      <c r="D1031" s="35" t="s">
        <v>149</v>
      </c>
      <c r="E1031" s="35" t="s">
        <v>363</v>
      </c>
      <c r="F1031" s="35">
        <v>131.0</v>
      </c>
      <c r="G1031" s="35">
        <v>4.67</v>
      </c>
      <c r="H1031" s="35">
        <v>28.1</v>
      </c>
      <c r="I1031" s="35" t="s">
        <v>75</v>
      </c>
    </row>
    <row r="1032" ht="22.5" customHeight="1">
      <c r="A1032" s="35" t="s">
        <v>2307</v>
      </c>
      <c r="B1032" s="35" t="s">
        <v>2308</v>
      </c>
      <c r="C1032" s="35" t="s">
        <v>7756</v>
      </c>
      <c r="D1032" s="35" t="s">
        <v>149</v>
      </c>
      <c r="E1032" s="35" t="s">
        <v>363</v>
      </c>
      <c r="F1032" s="35">
        <v>505.0</v>
      </c>
      <c r="G1032" s="35">
        <v>17.35</v>
      </c>
      <c r="H1032" s="35">
        <v>29.1</v>
      </c>
      <c r="I1032" s="35" t="s">
        <v>62</v>
      </c>
    </row>
    <row r="1033" ht="22.5" customHeight="1">
      <c r="A1033" s="35" t="s">
        <v>2309</v>
      </c>
      <c r="B1033" s="35" t="s">
        <v>2310</v>
      </c>
      <c r="C1033" s="35" t="s">
        <v>7756</v>
      </c>
      <c r="D1033" s="35" t="s">
        <v>192</v>
      </c>
      <c r="E1033" s="35" t="s">
        <v>508</v>
      </c>
      <c r="F1033" s="35">
        <v>687.0</v>
      </c>
      <c r="G1033" s="35">
        <v>7.68</v>
      </c>
      <c r="H1033" s="35">
        <v>89.5</v>
      </c>
      <c r="I1033" s="35" t="s">
        <v>62</v>
      </c>
    </row>
    <row r="1034" ht="22.5" customHeight="1">
      <c r="A1034" s="35" t="s">
        <v>2311</v>
      </c>
      <c r="B1034" s="35" t="s">
        <v>2312</v>
      </c>
      <c r="C1034" s="35" t="s">
        <v>7756</v>
      </c>
      <c r="D1034" s="35" t="s">
        <v>135</v>
      </c>
      <c r="E1034" s="35" t="s">
        <v>349</v>
      </c>
      <c r="F1034" s="35">
        <v>1214.0</v>
      </c>
      <c r="G1034" s="35">
        <v>7.61</v>
      </c>
      <c r="H1034" s="35">
        <v>159.5</v>
      </c>
      <c r="I1034" s="35" t="s">
        <v>62</v>
      </c>
    </row>
    <row r="1035" ht="22.5" customHeight="1">
      <c r="A1035" s="35" t="s">
        <v>2313</v>
      </c>
      <c r="B1035" s="35" t="s">
        <v>865</v>
      </c>
      <c r="C1035" s="35" t="s">
        <v>7756</v>
      </c>
      <c r="D1035" s="35" t="s">
        <v>120</v>
      </c>
      <c r="E1035" s="35" t="s">
        <v>312</v>
      </c>
      <c r="F1035" s="35">
        <v>1754.0</v>
      </c>
      <c r="G1035" s="35">
        <v>10.56</v>
      </c>
      <c r="H1035" s="35">
        <v>166.1</v>
      </c>
      <c r="I1035" s="35" t="s">
        <v>62</v>
      </c>
    </row>
    <row r="1036" ht="22.5" customHeight="1">
      <c r="A1036" s="35" t="s">
        <v>2314</v>
      </c>
      <c r="B1036" s="35" t="s">
        <v>2315</v>
      </c>
      <c r="C1036" s="35" t="s">
        <v>7756</v>
      </c>
      <c r="D1036" s="35" t="s">
        <v>192</v>
      </c>
      <c r="E1036" s="35" t="s">
        <v>508</v>
      </c>
      <c r="F1036" s="35">
        <v>549.0</v>
      </c>
      <c r="G1036" s="35">
        <v>8.84</v>
      </c>
      <c r="H1036" s="35">
        <v>62.1</v>
      </c>
      <c r="I1036" s="35" t="s">
        <v>62</v>
      </c>
    </row>
    <row r="1037" ht="22.5" customHeight="1">
      <c r="A1037" s="35" t="s">
        <v>2316</v>
      </c>
      <c r="B1037" s="35" t="s">
        <v>2317</v>
      </c>
      <c r="C1037" s="35" t="s">
        <v>7756</v>
      </c>
      <c r="D1037" s="35" t="s">
        <v>236</v>
      </c>
      <c r="E1037" s="35" t="s">
        <v>558</v>
      </c>
      <c r="F1037" s="35">
        <v>1662.0</v>
      </c>
      <c r="G1037" s="35">
        <v>1.06</v>
      </c>
      <c r="H1037" s="35">
        <v>1567.9</v>
      </c>
      <c r="I1037" s="35" t="s">
        <v>62</v>
      </c>
    </row>
    <row r="1038" ht="22.5" customHeight="1">
      <c r="A1038" s="35" t="s">
        <v>2318</v>
      </c>
      <c r="B1038" s="35" t="s">
        <v>2319</v>
      </c>
      <c r="C1038" s="35" t="s">
        <v>7756</v>
      </c>
      <c r="D1038" s="35" t="s">
        <v>205</v>
      </c>
      <c r="E1038" s="35" t="s">
        <v>530</v>
      </c>
      <c r="F1038" s="35">
        <v>11449.0</v>
      </c>
      <c r="G1038" s="35">
        <v>22.97</v>
      </c>
      <c r="H1038" s="35">
        <v>498.4</v>
      </c>
      <c r="I1038" s="35" t="s">
        <v>571</v>
      </c>
    </row>
    <row r="1039" ht="22.5" customHeight="1">
      <c r="A1039" s="35" t="s">
        <v>2320</v>
      </c>
      <c r="B1039" s="35" t="s">
        <v>2321</v>
      </c>
      <c r="C1039" s="35" t="s">
        <v>7756</v>
      </c>
      <c r="D1039" s="35" t="s">
        <v>236</v>
      </c>
      <c r="E1039" s="35" t="s">
        <v>558</v>
      </c>
      <c r="F1039" s="35">
        <v>2179.0</v>
      </c>
      <c r="G1039" s="35">
        <v>8.32</v>
      </c>
      <c r="H1039" s="35">
        <v>261.9</v>
      </c>
      <c r="I1039" s="35" t="s">
        <v>142</v>
      </c>
    </row>
    <row r="1040" ht="22.5" customHeight="1">
      <c r="A1040" s="35" t="s">
        <v>2322</v>
      </c>
      <c r="B1040" s="35" t="s">
        <v>2323</v>
      </c>
      <c r="C1040" s="35" t="s">
        <v>7756</v>
      </c>
      <c r="D1040" s="35" t="s">
        <v>192</v>
      </c>
      <c r="E1040" s="35" t="s">
        <v>508</v>
      </c>
      <c r="F1040" s="35">
        <v>389.0</v>
      </c>
      <c r="G1040" s="35">
        <v>5.83</v>
      </c>
      <c r="H1040" s="35">
        <v>66.7</v>
      </c>
      <c r="I1040" s="35" t="s">
        <v>75</v>
      </c>
    </row>
    <row r="1041" ht="22.5" customHeight="1">
      <c r="A1041" s="35" t="s">
        <v>2324</v>
      </c>
      <c r="B1041" s="35" t="s">
        <v>2325</v>
      </c>
      <c r="C1041" s="35" t="s">
        <v>7756</v>
      </c>
      <c r="D1041" s="35" t="s">
        <v>236</v>
      </c>
      <c r="E1041" s="35" t="s">
        <v>558</v>
      </c>
      <c r="F1041" s="35">
        <v>2609.0</v>
      </c>
      <c r="G1041" s="35">
        <v>11.22</v>
      </c>
      <c r="H1041" s="35">
        <v>232.5</v>
      </c>
      <c r="I1041" s="35" t="s">
        <v>142</v>
      </c>
    </row>
    <row r="1042" ht="22.5" customHeight="1">
      <c r="A1042" s="35" t="s">
        <v>2326</v>
      </c>
      <c r="B1042" s="35" t="s">
        <v>2327</v>
      </c>
      <c r="C1042" s="35" t="s">
        <v>7756</v>
      </c>
      <c r="D1042" s="35" t="s">
        <v>146</v>
      </c>
      <c r="E1042" s="35" t="s">
        <v>268</v>
      </c>
      <c r="F1042" s="35">
        <v>7354.0</v>
      </c>
      <c r="G1042" s="35">
        <v>11.7</v>
      </c>
      <c r="H1042" s="35">
        <v>628.5</v>
      </c>
      <c r="I1042" s="35" t="s">
        <v>142</v>
      </c>
    </row>
    <row r="1043" ht="22.5" customHeight="1">
      <c r="A1043" s="35" t="s">
        <v>2328</v>
      </c>
      <c r="B1043" s="35" t="s">
        <v>2329</v>
      </c>
      <c r="C1043" s="35" t="s">
        <v>7756</v>
      </c>
      <c r="D1043" s="35" t="s">
        <v>130</v>
      </c>
      <c r="E1043" s="35" t="s">
        <v>180</v>
      </c>
      <c r="F1043" s="35">
        <v>919.0</v>
      </c>
      <c r="G1043" s="35">
        <v>6.41</v>
      </c>
      <c r="H1043" s="35">
        <v>143.4</v>
      </c>
      <c r="I1043" s="35" t="s">
        <v>62</v>
      </c>
    </row>
    <row r="1044" ht="22.5" customHeight="1">
      <c r="A1044" s="35" t="s">
        <v>2330</v>
      </c>
      <c r="B1044" s="35" t="s">
        <v>2331</v>
      </c>
      <c r="C1044" s="35" t="s">
        <v>7756</v>
      </c>
      <c r="D1044" s="35" t="s">
        <v>120</v>
      </c>
      <c r="E1044" s="35" t="s">
        <v>312</v>
      </c>
      <c r="F1044" s="35">
        <v>571.0</v>
      </c>
      <c r="G1044" s="35">
        <v>4.73</v>
      </c>
      <c r="H1044" s="35">
        <v>120.7</v>
      </c>
      <c r="I1044" s="35" t="s">
        <v>62</v>
      </c>
    </row>
    <row r="1045" ht="22.5" customHeight="1">
      <c r="A1045" s="35" t="s">
        <v>2332</v>
      </c>
      <c r="B1045" s="35" t="s">
        <v>2333</v>
      </c>
      <c r="C1045" s="35" t="s">
        <v>7756</v>
      </c>
      <c r="D1045" s="35" t="s">
        <v>236</v>
      </c>
      <c r="E1045" s="35" t="s">
        <v>558</v>
      </c>
      <c r="F1045" s="35">
        <v>3214.0</v>
      </c>
      <c r="G1045" s="35">
        <v>13.29</v>
      </c>
      <c r="H1045" s="35">
        <v>241.8</v>
      </c>
      <c r="I1045" s="35" t="s">
        <v>142</v>
      </c>
    </row>
    <row r="1046" ht="22.5" customHeight="1">
      <c r="A1046" s="35" t="s">
        <v>2334</v>
      </c>
      <c r="B1046" s="35" t="s">
        <v>2335</v>
      </c>
      <c r="C1046" s="35" t="s">
        <v>7756</v>
      </c>
      <c r="D1046" s="35" t="s">
        <v>236</v>
      </c>
      <c r="E1046" s="35" t="s">
        <v>558</v>
      </c>
      <c r="F1046" s="35">
        <v>1161.0</v>
      </c>
      <c r="G1046" s="35">
        <v>8.65</v>
      </c>
      <c r="H1046" s="35">
        <v>134.2</v>
      </c>
      <c r="I1046" s="35" t="s">
        <v>62</v>
      </c>
    </row>
    <row r="1047" ht="22.5" customHeight="1">
      <c r="A1047" s="35" t="s">
        <v>2336</v>
      </c>
      <c r="B1047" s="35" t="s">
        <v>2337</v>
      </c>
      <c r="C1047" s="35" t="s">
        <v>7756</v>
      </c>
      <c r="D1047" s="35" t="s">
        <v>224</v>
      </c>
      <c r="E1047" s="35" t="s">
        <v>390</v>
      </c>
      <c r="F1047" s="35">
        <v>2803.0</v>
      </c>
      <c r="G1047" s="35">
        <v>7.47</v>
      </c>
      <c r="H1047" s="35">
        <v>375.2</v>
      </c>
      <c r="I1047" s="35" t="s">
        <v>142</v>
      </c>
    </row>
    <row r="1048" ht="22.5" customHeight="1">
      <c r="A1048" s="35" t="s">
        <v>2338</v>
      </c>
      <c r="B1048" s="35" t="s">
        <v>2339</v>
      </c>
      <c r="C1048" s="35" t="s">
        <v>7756</v>
      </c>
      <c r="D1048" s="35" t="s">
        <v>192</v>
      </c>
      <c r="E1048" s="35" t="s">
        <v>508</v>
      </c>
      <c r="F1048" s="35">
        <v>505.0</v>
      </c>
      <c r="G1048" s="35">
        <v>4.5</v>
      </c>
      <c r="H1048" s="35">
        <v>112.2</v>
      </c>
      <c r="I1048" s="35" t="s">
        <v>62</v>
      </c>
    </row>
    <row r="1049" ht="22.5" customHeight="1">
      <c r="A1049" s="35" t="s">
        <v>2340</v>
      </c>
      <c r="B1049" s="35" t="s">
        <v>2341</v>
      </c>
      <c r="C1049" s="35" t="s">
        <v>7756</v>
      </c>
      <c r="D1049" s="35" t="s">
        <v>235</v>
      </c>
      <c r="E1049" s="35" t="s">
        <v>555</v>
      </c>
      <c r="F1049" s="35">
        <v>4133.0</v>
      </c>
      <c r="G1049" s="35">
        <v>35.76</v>
      </c>
      <c r="H1049" s="35">
        <v>115.6</v>
      </c>
      <c r="I1049" s="35" t="s">
        <v>142</v>
      </c>
    </row>
    <row r="1050" ht="22.5" customHeight="1">
      <c r="A1050" s="35" t="s">
        <v>2342</v>
      </c>
      <c r="B1050" s="35" t="s">
        <v>2343</v>
      </c>
      <c r="C1050" s="35" t="s">
        <v>7756</v>
      </c>
      <c r="D1050" s="35" t="s">
        <v>205</v>
      </c>
      <c r="E1050" s="35" t="s">
        <v>530</v>
      </c>
      <c r="F1050" s="35">
        <v>1699.0</v>
      </c>
      <c r="G1050" s="35">
        <v>11.79</v>
      </c>
      <c r="H1050" s="35">
        <v>144.1</v>
      </c>
      <c r="I1050" s="35" t="s">
        <v>62</v>
      </c>
    </row>
    <row r="1051" ht="22.5" customHeight="1">
      <c r="A1051" s="35" t="s">
        <v>2344</v>
      </c>
      <c r="B1051" s="35" t="s">
        <v>2345</v>
      </c>
      <c r="C1051" s="35" t="s">
        <v>7756</v>
      </c>
      <c r="D1051" s="35" t="s">
        <v>99</v>
      </c>
      <c r="E1051" s="35" t="s">
        <v>98</v>
      </c>
      <c r="F1051" s="35">
        <v>2024.0</v>
      </c>
      <c r="G1051" s="35">
        <v>11.94</v>
      </c>
      <c r="H1051" s="35">
        <v>169.5</v>
      </c>
      <c r="I1051" s="35" t="s">
        <v>142</v>
      </c>
    </row>
    <row r="1052" ht="22.5" customHeight="1">
      <c r="A1052" s="35" t="s">
        <v>2346</v>
      </c>
      <c r="B1052" s="35" t="s">
        <v>2347</v>
      </c>
      <c r="C1052" s="35" t="s">
        <v>7756</v>
      </c>
      <c r="D1052" s="35" t="s">
        <v>130</v>
      </c>
      <c r="E1052" s="35" t="s">
        <v>180</v>
      </c>
      <c r="F1052" s="35">
        <v>1070.0</v>
      </c>
      <c r="G1052" s="35">
        <v>4.77</v>
      </c>
      <c r="H1052" s="35">
        <v>224.3</v>
      </c>
      <c r="I1052" s="35" t="s">
        <v>62</v>
      </c>
    </row>
    <row r="1053" ht="22.5" customHeight="1">
      <c r="A1053" s="35" t="s">
        <v>2348</v>
      </c>
      <c r="B1053" s="35" t="s">
        <v>2349</v>
      </c>
      <c r="C1053" s="35" t="s">
        <v>7756</v>
      </c>
      <c r="D1053" s="35" t="s">
        <v>145</v>
      </c>
      <c r="E1053" s="35" t="s">
        <v>255</v>
      </c>
      <c r="F1053" s="35">
        <v>723.0</v>
      </c>
      <c r="G1053" s="35">
        <v>7.97</v>
      </c>
      <c r="H1053" s="35">
        <v>90.7</v>
      </c>
      <c r="I1053" s="35" t="s">
        <v>62</v>
      </c>
    </row>
    <row r="1054" ht="22.5" customHeight="1">
      <c r="A1054" s="35" t="s">
        <v>2350</v>
      </c>
      <c r="B1054" s="35" t="s">
        <v>2351</v>
      </c>
      <c r="C1054" s="35" t="s">
        <v>7756</v>
      </c>
      <c r="D1054" s="35" t="s">
        <v>192</v>
      </c>
      <c r="E1054" s="35" t="s">
        <v>508</v>
      </c>
      <c r="F1054" s="35">
        <v>2264.0</v>
      </c>
      <c r="G1054" s="35">
        <v>15.79</v>
      </c>
      <c r="H1054" s="35">
        <v>143.4</v>
      </c>
      <c r="I1054" s="35" t="s">
        <v>142</v>
      </c>
    </row>
    <row r="1055" ht="22.5" customHeight="1">
      <c r="A1055" s="35" t="s">
        <v>2352</v>
      </c>
      <c r="B1055" s="35" t="s">
        <v>2353</v>
      </c>
      <c r="C1055" s="35" t="s">
        <v>7756</v>
      </c>
      <c r="D1055" s="35" t="s">
        <v>224</v>
      </c>
      <c r="E1055" s="35" t="s">
        <v>390</v>
      </c>
      <c r="F1055" s="35">
        <v>4148.0</v>
      </c>
      <c r="G1055" s="35">
        <v>8.19</v>
      </c>
      <c r="H1055" s="35">
        <v>506.5</v>
      </c>
      <c r="I1055" s="35" t="s">
        <v>142</v>
      </c>
    </row>
    <row r="1056" ht="22.5" customHeight="1">
      <c r="A1056" s="35" t="s">
        <v>2354</v>
      </c>
      <c r="B1056" s="35" t="s">
        <v>2355</v>
      </c>
      <c r="C1056" s="35" t="s">
        <v>7756</v>
      </c>
      <c r="D1056" s="35" t="s">
        <v>120</v>
      </c>
      <c r="E1056" s="35" t="s">
        <v>312</v>
      </c>
      <c r="F1056" s="35">
        <v>279.0</v>
      </c>
      <c r="G1056" s="35">
        <v>4.95</v>
      </c>
      <c r="H1056" s="35">
        <v>56.4</v>
      </c>
      <c r="I1056" s="35" t="s">
        <v>75</v>
      </c>
    </row>
    <row r="1057" ht="22.5" customHeight="1">
      <c r="A1057" s="35" t="s">
        <v>2356</v>
      </c>
      <c r="B1057" s="35" t="s">
        <v>2357</v>
      </c>
      <c r="C1057" s="35" t="s">
        <v>7756</v>
      </c>
      <c r="D1057" s="35" t="s">
        <v>214</v>
      </c>
      <c r="E1057" s="35" t="s">
        <v>366</v>
      </c>
      <c r="F1057" s="35">
        <v>5616.0</v>
      </c>
      <c r="G1057" s="35">
        <v>15.03</v>
      </c>
      <c r="H1057" s="35">
        <v>373.7</v>
      </c>
      <c r="I1057" s="35" t="s">
        <v>142</v>
      </c>
    </row>
    <row r="1058" ht="22.5" customHeight="1">
      <c r="A1058" s="35" t="s">
        <v>2358</v>
      </c>
      <c r="B1058" s="35" t="s">
        <v>2359</v>
      </c>
      <c r="C1058" s="35" t="s">
        <v>7756</v>
      </c>
      <c r="D1058" s="35" t="s">
        <v>120</v>
      </c>
      <c r="E1058" s="35" t="s">
        <v>312</v>
      </c>
      <c r="F1058" s="35">
        <v>1413.0</v>
      </c>
      <c r="G1058" s="35">
        <v>12.13</v>
      </c>
      <c r="H1058" s="35">
        <v>116.5</v>
      </c>
      <c r="I1058" s="35" t="s">
        <v>62</v>
      </c>
    </row>
    <row r="1059" ht="22.5" customHeight="1">
      <c r="A1059" s="35" t="s">
        <v>2360</v>
      </c>
      <c r="B1059" s="35" t="s">
        <v>2361</v>
      </c>
      <c r="C1059" s="35" t="s">
        <v>7756</v>
      </c>
      <c r="D1059" s="35" t="s">
        <v>149</v>
      </c>
      <c r="E1059" s="35" t="s">
        <v>363</v>
      </c>
      <c r="F1059" s="35">
        <v>473.0</v>
      </c>
      <c r="G1059" s="35">
        <v>8.77</v>
      </c>
      <c r="H1059" s="35">
        <v>53.9</v>
      </c>
      <c r="I1059" s="35" t="s">
        <v>75</v>
      </c>
    </row>
    <row r="1060" ht="22.5" customHeight="1">
      <c r="A1060" s="35" t="s">
        <v>2362</v>
      </c>
      <c r="B1060" s="35" t="s">
        <v>2363</v>
      </c>
      <c r="C1060" s="35" t="s">
        <v>7756</v>
      </c>
      <c r="D1060" s="35" t="s">
        <v>235</v>
      </c>
      <c r="E1060" s="35" t="s">
        <v>555</v>
      </c>
      <c r="F1060" s="35">
        <v>20239.0</v>
      </c>
      <c r="G1060" s="35">
        <v>20.99</v>
      </c>
      <c r="H1060" s="35">
        <v>964.2</v>
      </c>
      <c r="I1060" s="35" t="s">
        <v>571</v>
      </c>
    </row>
    <row r="1061" ht="22.5" customHeight="1">
      <c r="A1061" s="35" t="s">
        <v>2364</v>
      </c>
      <c r="B1061" s="35" t="s">
        <v>2365</v>
      </c>
      <c r="C1061" s="35" t="s">
        <v>7756</v>
      </c>
      <c r="D1061" s="35" t="s">
        <v>235</v>
      </c>
      <c r="E1061" s="35" t="s">
        <v>555</v>
      </c>
      <c r="F1061" s="35">
        <v>4887.0</v>
      </c>
      <c r="G1061" s="35">
        <v>1.84</v>
      </c>
      <c r="H1061" s="35">
        <v>2656.0</v>
      </c>
      <c r="I1061" s="35" t="s">
        <v>142</v>
      </c>
    </row>
    <row r="1062" ht="22.5" customHeight="1">
      <c r="A1062" s="35" t="s">
        <v>2366</v>
      </c>
      <c r="B1062" s="35" t="s">
        <v>2367</v>
      </c>
      <c r="C1062" s="35" t="s">
        <v>7756</v>
      </c>
      <c r="D1062" s="35" t="s">
        <v>235</v>
      </c>
      <c r="E1062" s="35" t="s">
        <v>555</v>
      </c>
      <c r="F1062" s="35">
        <v>11430.0</v>
      </c>
      <c r="G1062" s="35">
        <v>20.67</v>
      </c>
      <c r="H1062" s="35">
        <v>553.0</v>
      </c>
      <c r="I1062" s="35" t="s">
        <v>571</v>
      </c>
    </row>
    <row r="1063" ht="22.5" customHeight="1">
      <c r="A1063" s="35" t="s">
        <v>2368</v>
      </c>
      <c r="B1063" s="35" t="s">
        <v>2369</v>
      </c>
      <c r="C1063" s="35" t="s">
        <v>7756</v>
      </c>
      <c r="D1063" s="35" t="s">
        <v>135</v>
      </c>
      <c r="E1063" s="35" t="s">
        <v>349</v>
      </c>
      <c r="F1063" s="35">
        <v>464.0</v>
      </c>
      <c r="G1063" s="35">
        <v>9.37</v>
      </c>
      <c r="H1063" s="35">
        <v>49.5</v>
      </c>
      <c r="I1063" s="35" t="s">
        <v>75</v>
      </c>
    </row>
    <row r="1064" ht="22.5" customHeight="1">
      <c r="A1064" s="35" t="s">
        <v>2370</v>
      </c>
      <c r="B1064" s="35" t="s">
        <v>2371</v>
      </c>
      <c r="C1064" s="35" t="s">
        <v>7756</v>
      </c>
      <c r="D1064" s="35" t="s">
        <v>236</v>
      </c>
      <c r="E1064" s="35" t="s">
        <v>558</v>
      </c>
      <c r="F1064" s="35">
        <v>1207.0</v>
      </c>
      <c r="G1064" s="35">
        <v>3.14</v>
      </c>
      <c r="H1064" s="35">
        <v>384.4</v>
      </c>
      <c r="I1064" s="35" t="s">
        <v>62</v>
      </c>
    </row>
    <row r="1065" ht="22.5" customHeight="1">
      <c r="A1065" s="35" t="s">
        <v>2372</v>
      </c>
      <c r="B1065" s="35" t="s">
        <v>2373</v>
      </c>
      <c r="C1065" s="35" t="s">
        <v>7756</v>
      </c>
      <c r="D1065" s="35" t="s">
        <v>130</v>
      </c>
      <c r="E1065" s="35" t="s">
        <v>180</v>
      </c>
      <c r="F1065" s="35">
        <v>4635.0</v>
      </c>
      <c r="G1065" s="35">
        <v>4.06</v>
      </c>
      <c r="H1065" s="35">
        <v>1141.6</v>
      </c>
      <c r="I1065" s="35" t="s">
        <v>142</v>
      </c>
    </row>
    <row r="1066" ht="22.5" customHeight="1">
      <c r="A1066" s="35" t="s">
        <v>2374</v>
      </c>
      <c r="B1066" s="35" t="s">
        <v>2375</v>
      </c>
      <c r="C1066" s="35" t="s">
        <v>7756</v>
      </c>
      <c r="D1066" s="35" t="s">
        <v>192</v>
      </c>
      <c r="E1066" s="35" t="s">
        <v>508</v>
      </c>
      <c r="F1066" s="35">
        <v>353.0</v>
      </c>
      <c r="G1066" s="35">
        <v>3.43</v>
      </c>
      <c r="H1066" s="35">
        <v>102.9</v>
      </c>
      <c r="I1066" s="35" t="s">
        <v>75</v>
      </c>
    </row>
    <row r="1067" ht="22.5" customHeight="1">
      <c r="A1067" s="35" t="s">
        <v>2376</v>
      </c>
      <c r="B1067" s="35" t="s">
        <v>2377</v>
      </c>
      <c r="C1067" s="35" t="s">
        <v>7756</v>
      </c>
      <c r="D1067" s="35" t="s">
        <v>236</v>
      </c>
      <c r="E1067" s="35" t="s">
        <v>558</v>
      </c>
      <c r="F1067" s="35">
        <v>4683.0</v>
      </c>
      <c r="G1067" s="35">
        <v>4.34</v>
      </c>
      <c r="H1067" s="35">
        <v>1079.0</v>
      </c>
      <c r="I1067" s="35" t="s">
        <v>142</v>
      </c>
    </row>
    <row r="1068" ht="22.5" customHeight="1">
      <c r="A1068" s="35" t="s">
        <v>2378</v>
      </c>
      <c r="B1068" s="35" t="s">
        <v>2379</v>
      </c>
      <c r="C1068" s="35" t="s">
        <v>7756</v>
      </c>
      <c r="D1068" s="35" t="s">
        <v>236</v>
      </c>
      <c r="E1068" s="35" t="s">
        <v>558</v>
      </c>
      <c r="F1068" s="35">
        <v>20715.0</v>
      </c>
      <c r="G1068" s="35">
        <v>12.57</v>
      </c>
      <c r="H1068" s="35">
        <v>1648.0</v>
      </c>
      <c r="I1068" s="35" t="s">
        <v>571</v>
      </c>
    </row>
    <row r="1069" ht="22.5" customHeight="1">
      <c r="A1069" s="35" t="s">
        <v>2380</v>
      </c>
      <c r="B1069" s="35" t="s">
        <v>2381</v>
      </c>
      <c r="C1069" s="35" t="s">
        <v>7756</v>
      </c>
      <c r="D1069" s="35" t="s">
        <v>130</v>
      </c>
      <c r="E1069" s="35" t="s">
        <v>180</v>
      </c>
      <c r="F1069" s="35">
        <v>797.0</v>
      </c>
      <c r="G1069" s="35">
        <v>3.58</v>
      </c>
      <c r="H1069" s="35">
        <v>222.6</v>
      </c>
      <c r="I1069" s="35" t="s">
        <v>62</v>
      </c>
    </row>
    <row r="1070" ht="22.5" customHeight="1">
      <c r="A1070" s="35" t="s">
        <v>2382</v>
      </c>
      <c r="B1070" s="35" t="s">
        <v>2383</v>
      </c>
      <c r="C1070" s="35" t="s">
        <v>7756</v>
      </c>
      <c r="D1070" s="35" t="s">
        <v>236</v>
      </c>
      <c r="E1070" s="35" t="s">
        <v>558</v>
      </c>
      <c r="F1070" s="35">
        <v>1244.0</v>
      </c>
      <c r="G1070" s="35">
        <v>2.11</v>
      </c>
      <c r="H1070" s="35">
        <v>589.6</v>
      </c>
      <c r="I1070" s="35" t="s">
        <v>62</v>
      </c>
    </row>
    <row r="1071" ht="22.5" customHeight="1">
      <c r="A1071" s="35" t="s">
        <v>2384</v>
      </c>
      <c r="B1071" s="35" t="s">
        <v>2385</v>
      </c>
      <c r="C1071" s="35" t="s">
        <v>7756</v>
      </c>
      <c r="D1071" s="35" t="s">
        <v>99</v>
      </c>
      <c r="E1071" s="35" t="s">
        <v>98</v>
      </c>
      <c r="F1071" s="35">
        <v>385.0</v>
      </c>
      <c r="G1071" s="35">
        <v>6.13</v>
      </c>
      <c r="H1071" s="35">
        <v>62.8</v>
      </c>
      <c r="I1071" s="35" t="s">
        <v>75</v>
      </c>
    </row>
    <row r="1072" ht="22.5" customHeight="1">
      <c r="A1072" s="35" t="s">
        <v>2386</v>
      </c>
      <c r="B1072" s="35" t="s">
        <v>2387</v>
      </c>
      <c r="C1072" s="35" t="s">
        <v>7756</v>
      </c>
      <c r="D1072" s="35" t="s">
        <v>192</v>
      </c>
      <c r="E1072" s="35" t="s">
        <v>508</v>
      </c>
      <c r="F1072" s="35">
        <v>599.0</v>
      </c>
      <c r="G1072" s="35">
        <v>5.17</v>
      </c>
      <c r="H1072" s="35">
        <v>115.9</v>
      </c>
      <c r="I1072" s="35" t="s">
        <v>62</v>
      </c>
    </row>
    <row r="1073" ht="22.5" customHeight="1">
      <c r="A1073" s="35" t="s">
        <v>2388</v>
      </c>
      <c r="B1073" s="35" t="s">
        <v>2389</v>
      </c>
      <c r="C1073" s="35" t="s">
        <v>7756</v>
      </c>
      <c r="D1073" s="35" t="s">
        <v>122</v>
      </c>
      <c r="E1073" s="35" t="s">
        <v>328</v>
      </c>
      <c r="F1073" s="35">
        <v>3849.0</v>
      </c>
      <c r="G1073" s="35">
        <v>12.8</v>
      </c>
      <c r="H1073" s="35">
        <v>300.7</v>
      </c>
      <c r="I1073" s="35" t="s">
        <v>142</v>
      </c>
    </row>
    <row r="1074" ht="22.5" customHeight="1">
      <c r="A1074" s="35" t="s">
        <v>2390</v>
      </c>
      <c r="B1074" s="35" t="s">
        <v>2391</v>
      </c>
      <c r="C1074" s="35" t="s">
        <v>7756</v>
      </c>
      <c r="D1074" s="35" t="s">
        <v>122</v>
      </c>
      <c r="E1074" s="35" t="s">
        <v>328</v>
      </c>
      <c r="F1074" s="35">
        <v>2626.0</v>
      </c>
      <c r="G1074" s="35">
        <v>12.23</v>
      </c>
      <c r="H1074" s="35">
        <v>214.7</v>
      </c>
      <c r="I1074" s="35" t="s">
        <v>142</v>
      </c>
    </row>
    <row r="1075" ht="22.5" customHeight="1">
      <c r="A1075" s="35" t="s">
        <v>2392</v>
      </c>
      <c r="B1075" s="35" t="s">
        <v>2393</v>
      </c>
      <c r="C1075" s="35" t="s">
        <v>7756</v>
      </c>
      <c r="D1075" s="35" t="s">
        <v>236</v>
      </c>
      <c r="E1075" s="35" t="s">
        <v>558</v>
      </c>
      <c r="F1075" s="35">
        <v>15074.0</v>
      </c>
      <c r="G1075" s="35">
        <v>5.38</v>
      </c>
      <c r="H1075" s="35">
        <v>2801.9</v>
      </c>
      <c r="I1075" s="35" t="s">
        <v>571</v>
      </c>
    </row>
    <row r="1076" ht="22.5" customHeight="1">
      <c r="A1076" s="35" t="s">
        <v>2394</v>
      </c>
      <c r="B1076" s="35" t="s">
        <v>2395</v>
      </c>
      <c r="C1076" s="35" t="s">
        <v>7756</v>
      </c>
      <c r="D1076" s="35" t="s">
        <v>135</v>
      </c>
      <c r="E1076" s="35" t="s">
        <v>349</v>
      </c>
      <c r="F1076" s="35">
        <v>193.0</v>
      </c>
      <c r="G1076" s="35">
        <v>3.56</v>
      </c>
      <c r="H1076" s="35">
        <v>54.2</v>
      </c>
      <c r="I1076" s="35" t="s">
        <v>75</v>
      </c>
    </row>
    <row r="1077" ht="22.5" customHeight="1">
      <c r="A1077" s="35" t="s">
        <v>2396</v>
      </c>
      <c r="B1077" s="35" t="s">
        <v>2397</v>
      </c>
      <c r="C1077" s="35" t="s">
        <v>7756</v>
      </c>
      <c r="D1077" s="35" t="s">
        <v>122</v>
      </c>
      <c r="E1077" s="35" t="s">
        <v>328</v>
      </c>
      <c r="F1077" s="35">
        <v>2281.0</v>
      </c>
      <c r="G1077" s="35">
        <v>5.15</v>
      </c>
      <c r="H1077" s="35">
        <v>442.9</v>
      </c>
      <c r="I1077" s="35" t="s">
        <v>142</v>
      </c>
    </row>
    <row r="1078" ht="22.5" customHeight="1">
      <c r="A1078" s="35" t="s">
        <v>2398</v>
      </c>
      <c r="B1078" s="35" t="s">
        <v>2399</v>
      </c>
      <c r="C1078" s="35" t="s">
        <v>7756</v>
      </c>
      <c r="D1078" s="35" t="s">
        <v>202</v>
      </c>
      <c r="E1078" s="35" t="s">
        <v>499</v>
      </c>
      <c r="F1078" s="35">
        <v>1451.0</v>
      </c>
      <c r="G1078" s="35">
        <v>16.13</v>
      </c>
      <c r="H1078" s="35">
        <v>90.0</v>
      </c>
      <c r="I1078" s="35" t="s">
        <v>62</v>
      </c>
    </row>
    <row r="1079" ht="22.5" customHeight="1">
      <c r="A1079" s="35" t="s">
        <v>2400</v>
      </c>
      <c r="B1079" s="35" t="s">
        <v>2401</v>
      </c>
      <c r="C1079" s="35" t="s">
        <v>7756</v>
      </c>
      <c r="D1079" s="35" t="s">
        <v>149</v>
      </c>
      <c r="E1079" s="35" t="s">
        <v>363</v>
      </c>
      <c r="F1079" s="35">
        <v>361.0</v>
      </c>
      <c r="G1079" s="35">
        <v>8.96</v>
      </c>
      <c r="H1079" s="35">
        <v>40.3</v>
      </c>
      <c r="I1079" s="35" t="s">
        <v>75</v>
      </c>
    </row>
    <row r="1080" ht="22.5" customHeight="1">
      <c r="A1080" s="35" t="s">
        <v>2402</v>
      </c>
      <c r="B1080" s="35" t="s">
        <v>2403</v>
      </c>
      <c r="C1080" s="35" t="s">
        <v>7756</v>
      </c>
      <c r="D1080" s="35" t="s">
        <v>145</v>
      </c>
      <c r="E1080" s="35" t="s">
        <v>255</v>
      </c>
      <c r="F1080" s="35">
        <v>14152.0</v>
      </c>
      <c r="G1080" s="35">
        <v>12.35</v>
      </c>
      <c r="H1080" s="35">
        <v>1145.9</v>
      </c>
      <c r="I1080" s="35" t="s">
        <v>571</v>
      </c>
    </row>
    <row r="1081" ht="22.5" customHeight="1">
      <c r="A1081" s="35" t="s">
        <v>2404</v>
      </c>
      <c r="B1081" s="35" t="s">
        <v>2405</v>
      </c>
      <c r="C1081" s="35" t="s">
        <v>7756</v>
      </c>
      <c r="D1081" s="35" t="s">
        <v>122</v>
      </c>
      <c r="E1081" s="35" t="s">
        <v>328</v>
      </c>
      <c r="F1081" s="35">
        <v>3222.0</v>
      </c>
      <c r="G1081" s="35">
        <v>4.72</v>
      </c>
      <c r="H1081" s="35">
        <v>682.6</v>
      </c>
      <c r="I1081" s="35" t="s">
        <v>142</v>
      </c>
    </row>
    <row r="1082" ht="22.5" customHeight="1">
      <c r="A1082" s="35" t="s">
        <v>2406</v>
      </c>
      <c r="B1082" s="35" t="s">
        <v>2407</v>
      </c>
      <c r="C1082" s="35" t="s">
        <v>7756</v>
      </c>
      <c r="D1082" s="35" t="s">
        <v>214</v>
      </c>
      <c r="E1082" s="35" t="s">
        <v>366</v>
      </c>
      <c r="F1082" s="35">
        <v>1376.0</v>
      </c>
      <c r="G1082" s="35">
        <v>9.27</v>
      </c>
      <c r="H1082" s="35">
        <v>148.4</v>
      </c>
      <c r="I1082" s="35" t="s">
        <v>62</v>
      </c>
    </row>
    <row r="1083" ht="22.5" customHeight="1">
      <c r="A1083" s="35" t="s">
        <v>2408</v>
      </c>
      <c r="B1083" s="35" t="s">
        <v>2409</v>
      </c>
      <c r="C1083" s="35" t="s">
        <v>7756</v>
      </c>
      <c r="D1083" s="35" t="s">
        <v>120</v>
      </c>
      <c r="E1083" s="35" t="s">
        <v>312</v>
      </c>
      <c r="F1083" s="35">
        <v>307.0</v>
      </c>
      <c r="G1083" s="35">
        <v>5.94</v>
      </c>
      <c r="H1083" s="35">
        <v>51.7</v>
      </c>
      <c r="I1083" s="35" t="s">
        <v>75</v>
      </c>
    </row>
    <row r="1084" ht="22.5" customHeight="1">
      <c r="A1084" s="35" t="s">
        <v>2410</v>
      </c>
      <c r="B1084" s="35" t="s">
        <v>2411</v>
      </c>
      <c r="C1084" s="35" t="s">
        <v>7756</v>
      </c>
      <c r="D1084" s="35" t="s">
        <v>99</v>
      </c>
      <c r="E1084" s="35" t="s">
        <v>98</v>
      </c>
      <c r="F1084" s="35">
        <v>21912.0</v>
      </c>
      <c r="G1084" s="35">
        <v>27.41</v>
      </c>
      <c r="H1084" s="35">
        <v>799.4</v>
      </c>
      <c r="I1084" s="35" t="s">
        <v>571</v>
      </c>
    </row>
    <row r="1085" ht="22.5" customHeight="1">
      <c r="A1085" s="35" t="s">
        <v>2412</v>
      </c>
      <c r="B1085" s="35" t="s">
        <v>2413</v>
      </c>
      <c r="C1085" s="35" t="s">
        <v>7756</v>
      </c>
      <c r="D1085" s="35" t="s">
        <v>192</v>
      </c>
      <c r="E1085" s="35" t="s">
        <v>508</v>
      </c>
      <c r="F1085" s="35">
        <v>353.0</v>
      </c>
      <c r="G1085" s="35">
        <v>1.36</v>
      </c>
      <c r="H1085" s="35">
        <v>259.6</v>
      </c>
      <c r="I1085" s="35" t="s">
        <v>75</v>
      </c>
    </row>
    <row r="1086" ht="22.5" customHeight="1">
      <c r="A1086" s="35" t="s">
        <v>2414</v>
      </c>
      <c r="B1086" s="35" t="s">
        <v>2415</v>
      </c>
      <c r="C1086" s="35" t="s">
        <v>7756</v>
      </c>
      <c r="D1086" s="35" t="s">
        <v>122</v>
      </c>
      <c r="E1086" s="35" t="s">
        <v>328</v>
      </c>
      <c r="F1086" s="35">
        <v>1907.0</v>
      </c>
      <c r="G1086" s="35">
        <v>7.32</v>
      </c>
      <c r="H1086" s="35">
        <v>260.5</v>
      </c>
      <c r="I1086" s="35" t="s">
        <v>62</v>
      </c>
    </row>
    <row r="1087" ht="22.5" customHeight="1">
      <c r="A1087" s="35" t="s">
        <v>2416</v>
      </c>
      <c r="B1087" s="35" t="s">
        <v>2417</v>
      </c>
      <c r="C1087" s="35" t="s">
        <v>7756</v>
      </c>
      <c r="D1087" s="35" t="s">
        <v>236</v>
      </c>
      <c r="E1087" s="35" t="s">
        <v>558</v>
      </c>
      <c r="F1087" s="35">
        <v>18582.0</v>
      </c>
      <c r="G1087" s="35">
        <v>9.67</v>
      </c>
      <c r="H1087" s="35">
        <v>1921.6</v>
      </c>
      <c r="I1087" s="35" t="s">
        <v>571</v>
      </c>
    </row>
    <row r="1088" ht="22.5" customHeight="1">
      <c r="A1088" s="35" t="s">
        <v>2418</v>
      </c>
      <c r="B1088" s="35" t="s">
        <v>2419</v>
      </c>
      <c r="C1088" s="35" t="s">
        <v>7756</v>
      </c>
      <c r="D1088" s="35" t="s">
        <v>120</v>
      </c>
      <c r="E1088" s="35" t="s">
        <v>312</v>
      </c>
      <c r="F1088" s="35">
        <v>565.0</v>
      </c>
      <c r="G1088" s="35">
        <v>4.91</v>
      </c>
      <c r="H1088" s="35">
        <v>115.1</v>
      </c>
      <c r="I1088" s="35" t="s">
        <v>62</v>
      </c>
    </row>
    <row r="1089" ht="22.5" customHeight="1">
      <c r="A1089" s="35" t="s">
        <v>2420</v>
      </c>
      <c r="B1089" s="35" t="s">
        <v>2421</v>
      </c>
      <c r="C1089" s="35" t="s">
        <v>7756</v>
      </c>
      <c r="D1089" s="35" t="s">
        <v>146</v>
      </c>
      <c r="E1089" s="35" t="s">
        <v>268</v>
      </c>
      <c r="F1089" s="35">
        <v>4479.0</v>
      </c>
      <c r="G1089" s="35">
        <v>10.74</v>
      </c>
      <c r="H1089" s="35">
        <v>417.0</v>
      </c>
      <c r="I1089" s="35" t="s">
        <v>142</v>
      </c>
    </row>
    <row r="1090" ht="22.5" customHeight="1">
      <c r="A1090" s="35" t="s">
        <v>2422</v>
      </c>
      <c r="B1090" s="35" t="s">
        <v>2423</v>
      </c>
      <c r="C1090" s="35" t="s">
        <v>7756</v>
      </c>
      <c r="D1090" s="35" t="s">
        <v>122</v>
      </c>
      <c r="E1090" s="35" t="s">
        <v>328</v>
      </c>
      <c r="F1090" s="35">
        <v>4169.0</v>
      </c>
      <c r="G1090" s="35">
        <v>4.47</v>
      </c>
      <c r="H1090" s="35">
        <v>932.7</v>
      </c>
      <c r="I1090" s="35" t="s">
        <v>142</v>
      </c>
    </row>
    <row r="1091" ht="22.5" customHeight="1">
      <c r="A1091" s="35" t="s">
        <v>2424</v>
      </c>
      <c r="B1091" s="35" t="s">
        <v>2425</v>
      </c>
      <c r="C1091" s="35" t="s">
        <v>7756</v>
      </c>
      <c r="D1091" s="35" t="s">
        <v>236</v>
      </c>
      <c r="E1091" s="35" t="s">
        <v>558</v>
      </c>
      <c r="F1091" s="35">
        <v>2267.0</v>
      </c>
      <c r="G1091" s="35">
        <v>7.12</v>
      </c>
      <c r="H1091" s="35">
        <v>318.4</v>
      </c>
      <c r="I1091" s="35" t="s">
        <v>142</v>
      </c>
    </row>
    <row r="1092" ht="22.5" customHeight="1">
      <c r="A1092" s="35" t="s">
        <v>2426</v>
      </c>
      <c r="B1092" s="35" t="s">
        <v>2427</v>
      </c>
      <c r="C1092" s="35" t="s">
        <v>7756</v>
      </c>
      <c r="D1092" s="35" t="s">
        <v>224</v>
      </c>
      <c r="E1092" s="35" t="s">
        <v>390</v>
      </c>
      <c r="F1092" s="35">
        <v>425.0</v>
      </c>
      <c r="G1092" s="35">
        <v>2.15</v>
      </c>
      <c r="H1092" s="35">
        <v>197.7</v>
      </c>
      <c r="I1092" s="35" t="s">
        <v>75</v>
      </c>
    </row>
    <row r="1093" ht="22.5" customHeight="1">
      <c r="A1093" s="35" t="s">
        <v>2428</v>
      </c>
      <c r="B1093" s="35" t="s">
        <v>2429</v>
      </c>
      <c r="C1093" s="35" t="s">
        <v>7756</v>
      </c>
      <c r="D1093" s="35" t="s">
        <v>171</v>
      </c>
      <c r="E1093" s="35" t="s">
        <v>457</v>
      </c>
      <c r="F1093" s="35">
        <v>1638.0</v>
      </c>
      <c r="G1093" s="35">
        <v>17.19</v>
      </c>
      <c r="H1093" s="35">
        <v>95.3</v>
      </c>
      <c r="I1093" s="35" t="s">
        <v>62</v>
      </c>
    </row>
    <row r="1094" ht="22.5" customHeight="1">
      <c r="A1094" s="35" t="s">
        <v>2430</v>
      </c>
      <c r="B1094" s="35" t="s">
        <v>2431</v>
      </c>
      <c r="C1094" s="35" t="s">
        <v>7756</v>
      </c>
      <c r="D1094" s="35" t="s">
        <v>149</v>
      </c>
      <c r="E1094" s="35" t="s">
        <v>363</v>
      </c>
      <c r="F1094" s="35">
        <v>288.0</v>
      </c>
      <c r="G1094" s="35">
        <v>6.08</v>
      </c>
      <c r="H1094" s="35">
        <v>47.4</v>
      </c>
      <c r="I1094" s="35" t="s">
        <v>75</v>
      </c>
    </row>
    <row r="1095" ht="22.5" customHeight="1">
      <c r="A1095" s="35" t="s">
        <v>2432</v>
      </c>
      <c r="B1095" s="35" t="s">
        <v>2433</v>
      </c>
      <c r="C1095" s="35" t="s">
        <v>7756</v>
      </c>
      <c r="D1095" s="35" t="s">
        <v>171</v>
      </c>
      <c r="E1095" s="35" t="s">
        <v>457</v>
      </c>
      <c r="F1095" s="35">
        <v>837.0</v>
      </c>
      <c r="G1095" s="35">
        <v>3.8</v>
      </c>
      <c r="H1095" s="35">
        <v>220.3</v>
      </c>
      <c r="I1095" s="35" t="s">
        <v>62</v>
      </c>
    </row>
    <row r="1096" ht="22.5" customHeight="1">
      <c r="A1096" s="35" t="s">
        <v>2434</v>
      </c>
      <c r="B1096" s="35" t="s">
        <v>2435</v>
      </c>
      <c r="C1096" s="35" t="s">
        <v>7756</v>
      </c>
      <c r="D1096" s="35" t="s">
        <v>99</v>
      </c>
      <c r="E1096" s="35" t="s">
        <v>98</v>
      </c>
      <c r="F1096" s="35">
        <v>916.0</v>
      </c>
      <c r="G1096" s="35">
        <v>12.63</v>
      </c>
      <c r="H1096" s="35">
        <v>72.5</v>
      </c>
      <c r="I1096" s="35" t="s">
        <v>62</v>
      </c>
    </row>
    <row r="1097" ht="22.5" customHeight="1">
      <c r="A1097" s="35" t="s">
        <v>2436</v>
      </c>
      <c r="B1097" s="35" t="s">
        <v>2437</v>
      </c>
      <c r="C1097" s="35" t="s">
        <v>7756</v>
      </c>
      <c r="D1097" s="35" t="s">
        <v>171</v>
      </c>
      <c r="E1097" s="35" t="s">
        <v>457</v>
      </c>
      <c r="F1097" s="35">
        <v>3957.0</v>
      </c>
      <c r="G1097" s="35">
        <v>23.62</v>
      </c>
      <c r="H1097" s="35">
        <v>167.5</v>
      </c>
      <c r="I1097" s="35" t="s">
        <v>142</v>
      </c>
    </row>
    <row r="1098" ht="22.5" customHeight="1">
      <c r="A1098" s="35" t="s">
        <v>2438</v>
      </c>
      <c r="B1098" s="35" t="s">
        <v>2439</v>
      </c>
      <c r="C1098" s="35" t="s">
        <v>7756</v>
      </c>
      <c r="D1098" s="35" t="s">
        <v>192</v>
      </c>
      <c r="E1098" s="35" t="s">
        <v>508</v>
      </c>
      <c r="F1098" s="35">
        <v>867.0</v>
      </c>
      <c r="G1098" s="35">
        <v>10.98</v>
      </c>
      <c r="H1098" s="35">
        <v>79.0</v>
      </c>
      <c r="I1098" s="35" t="s">
        <v>62</v>
      </c>
    </row>
    <row r="1099" ht="22.5" customHeight="1">
      <c r="A1099" s="35" t="s">
        <v>2440</v>
      </c>
      <c r="B1099" s="35" t="s">
        <v>2441</v>
      </c>
      <c r="C1099" s="35" t="s">
        <v>7756</v>
      </c>
      <c r="D1099" s="35" t="s">
        <v>135</v>
      </c>
      <c r="E1099" s="35" t="s">
        <v>349</v>
      </c>
      <c r="F1099" s="35">
        <v>541.0</v>
      </c>
      <c r="G1099" s="35">
        <v>6.54</v>
      </c>
      <c r="H1099" s="35">
        <v>82.7</v>
      </c>
      <c r="I1099" s="35" t="s">
        <v>62</v>
      </c>
    </row>
    <row r="1100" ht="22.5" customHeight="1">
      <c r="A1100" s="35" t="s">
        <v>2442</v>
      </c>
      <c r="B1100" s="35" t="s">
        <v>2443</v>
      </c>
      <c r="C1100" s="35" t="s">
        <v>7756</v>
      </c>
      <c r="D1100" s="35" t="s">
        <v>120</v>
      </c>
      <c r="E1100" s="35" t="s">
        <v>312</v>
      </c>
      <c r="F1100" s="35">
        <v>710.0</v>
      </c>
      <c r="G1100" s="35">
        <v>15.52</v>
      </c>
      <c r="H1100" s="35">
        <v>45.7</v>
      </c>
      <c r="I1100" s="35" t="s">
        <v>62</v>
      </c>
    </row>
    <row r="1101" ht="22.5" customHeight="1">
      <c r="A1101" s="35" t="s">
        <v>2444</v>
      </c>
      <c r="B1101" s="35" t="s">
        <v>2445</v>
      </c>
      <c r="C1101" s="35" t="s">
        <v>7756</v>
      </c>
      <c r="D1101" s="35" t="s">
        <v>122</v>
      </c>
      <c r="E1101" s="35" t="s">
        <v>328</v>
      </c>
      <c r="F1101" s="35">
        <v>1446.0</v>
      </c>
      <c r="G1101" s="35">
        <v>5.57</v>
      </c>
      <c r="H1101" s="35">
        <v>259.6</v>
      </c>
      <c r="I1101" s="35" t="s">
        <v>62</v>
      </c>
    </row>
    <row r="1102" ht="22.5" customHeight="1">
      <c r="A1102" s="35" t="s">
        <v>2446</v>
      </c>
      <c r="B1102" s="35" t="s">
        <v>2447</v>
      </c>
      <c r="C1102" s="35" t="s">
        <v>7756</v>
      </c>
      <c r="D1102" s="35" t="s">
        <v>72</v>
      </c>
      <c r="E1102" s="35" t="s">
        <v>71</v>
      </c>
      <c r="F1102" s="35">
        <v>3496.0</v>
      </c>
      <c r="G1102" s="35">
        <v>8.93</v>
      </c>
      <c r="H1102" s="35">
        <v>391.5</v>
      </c>
      <c r="I1102" s="35" t="s">
        <v>142</v>
      </c>
    </row>
    <row r="1103" ht="22.5" customHeight="1">
      <c r="A1103" s="35" t="s">
        <v>2448</v>
      </c>
      <c r="B1103" s="35" t="s">
        <v>2449</v>
      </c>
      <c r="C1103" s="35" t="s">
        <v>7756</v>
      </c>
      <c r="D1103" s="35" t="s">
        <v>192</v>
      </c>
      <c r="E1103" s="35" t="s">
        <v>508</v>
      </c>
      <c r="F1103" s="35">
        <v>902.0</v>
      </c>
      <c r="G1103" s="35">
        <v>12.14</v>
      </c>
      <c r="H1103" s="35">
        <v>74.3</v>
      </c>
      <c r="I1103" s="35" t="s">
        <v>62</v>
      </c>
    </row>
    <row r="1104" ht="22.5" customHeight="1">
      <c r="A1104" s="35" t="s">
        <v>2450</v>
      </c>
      <c r="B1104" s="35" t="s">
        <v>2451</v>
      </c>
      <c r="C1104" s="35" t="s">
        <v>7756</v>
      </c>
      <c r="D1104" s="35" t="s">
        <v>236</v>
      </c>
      <c r="E1104" s="35" t="s">
        <v>558</v>
      </c>
      <c r="F1104" s="35">
        <v>3326.0</v>
      </c>
      <c r="G1104" s="35">
        <v>6.48</v>
      </c>
      <c r="H1104" s="35">
        <v>513.3</v>
      </c>
      <c r="I1104" s="35" t="s">
        <v>142</v>
      </c>
    </row>
    <row r="1105" ht="22.5" customHeight="1">
      <c r="A1105" s="35" t="s">
        <v>2452</v>
      </c>
      <c r="B1105" s="35" t="s">
        <v>2453</v>
      </c>
      <c r="C1105" s="35" t="s">
        <v>7756</v>
      </c>
      <c r="D1105" s="35" t="s">
        <v>236</v>
      </c>
      <c r="E1105" s="35" t="s">
        <v>558</v>
      </c>
      <c r="F1105" s="35">
        <v>7921.0</v>
      </c>
      <c r="G1105" s="35">
        <v>11.27</v>
      </c>
      <c r="H1105" s="35">
        <v>702.8</v>
      </c>
      <c r="I1105" s="35" t="s">
        <v>142</v>
      </c>
    </row>
    <row r="1106" ht="22.5" customHeight="1">
      <c r="A1106" s="35" t="s">
        <v>2454</v>
      </c>
      <c r="B1106" s="35" t="s">
        <v>2455</v>
      </c>
      <c r="C1106" s="35" t="s">
        <v>7756</v>
      </c>
      <c r="D1106" s="35" t="s">
        <v>99</v>
      </c>
      <c r="E1106" s="35" t="s">
        <v>98</v>
      </c>
      <c r="F1106" s="35">
        <v>978.0</v>
      </c>
      <c r="G1106" s="35">
        <v>13.19</v>
      </c>
      <c r="H1106" s="35">
        <v>74.1</v>
      </c>
      <c r="I1106" s="35" t="s">
        <v>62</v>
      </c>
    </row>
    <row r="1107" ht="22.5" customHeight="1">
      <c r="A1107" s="35" t="s">
        <v>2456</v>
      </c>
      <c r="B1107" s="35" t="s">
        <v>2457</v>
      </c>
      <c r="C1107" s="35" t="s">
        <v>7756</v>
      </c>
      <c r="D1107" s="35" t="s">
        <v>171</v>
      </c>
      <c r="E1107" s="35" t="s">
        <v>457</v>
      </c>
      <c r="F1107" s="35">
        <v>3259.0</v>
      </c>
      <c r="G1107" s="35">
        <v>5.54</v>
      </c>
      <c r="H1107" s="35">
        <v>588.3</v>
      </c>
      <c r="I1107" s="35" t="s">
        <v>142</v>
      </c>
    </row>
    <row r="1108" ht="22.5" customHeight="1">
      <c r="A1108" s="35" t="s">
        <v>2458</v>
      </c>
      <c r="B1108" s="35" t="s">
        <v>2459</v>
      </c>
      <c r="C1108" s="35" t="s">
        <v>7756</v>
      </c>
      <c r="D1108" s="35" t="s">
        <v>236</v>
      </c>
      <c r="E1108" s="35" t="s">
        <v>558</v>
      </c>
      <c r="F1108" s="35">
        <v>1712.0</v>
      </c>
      <c r="G1108" s="35">
        <v>7.97</v>
      </c>
      <c r="H1108" s="35">
        <v>214.8</v>
      </c>
      <c r="I1108" s="35" t="s">
        <v>62</v>
      </c>
    </row>
    <row r="1109" ht="22.5" customHeight="1">
      <c r="A1109" s="35" t="s">
        <v>2460</v>
      </c>
      <c r="B1109" s="35" t="s">
        <v>2461</v>
      </c>
      <c r="C1109" s="35" t="s">
        <v>7756</v>
      </c>
      <c r="D1109" s="35" t="s">
        <v>135</v>
      </c>
      <c r="E1109" s="35" t="s">
        <v>349</v>
      </c>
      <c r="F1109" s="35">
        <v>619.0</v>
      </c>
      <c r="G1109" s="35">
        <v>3.86</v>
      </c>
      <c r="H1109" s="35">
        <v>160.4</v>
      </c>
      <c r="I1109" s="35" t="s">
        <v>62</v>
      </c>
    </row>
    <row r="1110" ht="22.5" customHeight="1">
      <c r="A1110" s="35" t="s">
        <v>2462</v>
      </c>
      <c r="B1110" s="35" t="s">
        <v>2463</v>
      </c>
      <c r="C1110" s="35" t="s">
        <v>7756</v>
      </c>
      <c r="D1110" s="35" t="s">
        <v>120</v>
      </c>
      <c r="E1110" s="35" t="s">
        <v>312</v>
      </c>
      <c r="F1110" s="35">
        <v>3403.0</v>
      </c>
      <c r="G1110" s="35">
        <v>12.75</v>
      </c>
      <c r="H1110" s="35">
        <v>266.9</v>
      </c>
      <c r="I1110" s="35" t="s">
        <v>142</v>
      </c>
    </row>
    <row r="1111" ht="22.5" customHeight="1">
      <c r="A1111" s="35" t="s">
        <v>2464</v>
      </c>
      <c r="B1111" s="35" t="s">
        <v>2465</v>
      </c>
      <c r="C1111" s="35" t="s">
        <v>7756</v>
      </c>
      <c r="D1111" s="35" t="s">
        <v>192</v>
      </c>
      <c r="E1111" s="35" t="s">
        <v>508</v>
      </c>
      <c r="F1111" s="35">
        <v>1115.0</v>
      </c>
      <c r="G1111" s="35">
        <v>5.9</v>
      </c>
      <c r="H1111" s="35">
        <v>189.0</v>
      </c>
      <c r="I1111" s="35" t="s">
        <v>62</v>
      </c>
    </row>
    <row r="1112" ht="22.5" customHeight="1">
      <c r="A1112" s="35" t="s">
        <v>2466</v>
      </c>
      <c r="B1112" s="35" t="s">
        <v>2467</v>
      </c>
      <c r="C1112" s="35" t="s">
        <v>7756</v>
      </c>
      <c r="D1112" s="35" t="s">
        <v>145</v>
      </c>
      <c r="E1112" s="35" t="s">
        <v>255</v>
      </c>
      <c r="F1112" s="35">
        <v>10160.0</v>
      </c>
      <c r="G1112" s="35">
        <v>10.23</v>
      </c>
      <c r="H1112" s="35">
        <v>993.2</v>
      </c>
      <c r="I1112" s="35" t="s">
        <v>571</v>
      </c>
    </row>
    <row r="1113" ht="22.5" customHeight="1">
      <c r="A1113" s="35" t="s">
        <v>2468</v>
      </c>
      <c r="B1113" s="35" t="s">
        <v>2469</v>
      </c>
      <c r="C1113" s="35" t="s">
        <v>7756</v>
      </c>
      <c r="D1113" s="35" t="s">
        <v>192</v>
      </c>
      <c r="E1113" s="35" t="s">
        <v>508</v>
      </c>
      <c r="F1113" s="35">
        <v>856.0</v>
      </c>
      <c r="G1113" s="35">
        <v>3.96</v>
      </c>
      <c r="H1113" s="35">
        <v>216.2</v>
      </c>
      <c r="I1113" s="35" t="s">
        <v>62</v>
      </c>
    </row>
    <row r="1114" ht="22.5" customHeight="1">
      <c r="A1114" s="35" t="s">
        <v>2470</v>
      </c>
      <c r="B1114" s="35" t="s">
        <v>2471</v>
      </c>
      <c r="C1114" s="35" t="s">
        <v>7756</v>
      </c>
      <c r="D1114" s="35" t="s">
        <v>171</v>
      </c>
      <c r="E1114" s="35" t="s">
        <v>457</v>
      </c>
      <c r="F1114" s="35">
        <v>1164.0</v>
      </c>
      <c r="G1114" s="35">
        <v>11.99</v>
      </c>
      <c r="H1114" s="35">
        <v>97.1</v>
      </c>
      <c r="I1114" s="35" t="s">
        <v>62</v>
      </c>
    </row>
    <row r="1115" ht="22.5" customHeight="1">
      <c r="A1115" s="35" t="s">
        <v>2472</v>
      </c>
      <c r="B1115" s="35" t="s">
        <v>2473</v>
      </c>
      <c r="C1115" s="35" t="s">
        <v>7756</v>
      </c>
      <c r="D1115" s="35" t="s">
        <v>130</v>
      </c>
      <c r="E1115" s="35" t="s">
        <v>180</v>
      </c>
      <c r="F1115" s="35">
        <v>6287.0</v>
      </c>
      <c r="G1115" s="35">
        <v>5.99</v>
      </c>
      <c r="H1115" s="35">
        <v>1049.6</v>
      </c>
      <c r="I1115" s="35" t="s">
        <v>142</v>
      </c>
    </row>
    <row r="1116" ht="22.5" customHeight="1">
      <c r="A1116" s="35" t="s">
        <v>2474</v>
      </c>
      <c r="B1116" s="35" t="s">
        <v>2475</v>
      </c>
      <c r="C1116" s="35" t="s">
        <v>7756</v>
      </c>
      <c r="D1116" s="35" t="s">
        <v>236</v>
      </c>
      <c r="E1116" s="35" t="s">
        <v>558</v>
      </c>
      <c r="F1116" s="35">
        <v>27090.0</v>
      </c>
      <c r="G1116" s="35">
        <v>6.07</v>
      </c>
      <c r="H1116" s="35">
        <v>4462.9</v>
      </c>
      <c r="I1116" s="35" t="s">
        <v>571</v>
      </c>
    </row>
    <row r="1117" ht="22.5" customHeight="1">
      <c r="A1117" s="35" t="s">
        <v>2476</v>
      </c>
      <c r="B1117" s="35" t="s">
        <v>2477</v>
      </c>
      <c r="C1117" s="35" t="s">
        <v>7756</v>
      </c>
      <c r="D1117" s="35" t="s">
        <v>130</v>
      </c>
      <c r="E1117" s="35" t="s">
        <v>180</v>
      </c>
      <c r="F1117" s="35">
        <v>4883.0</v>
      </c>
      <c r="G1117" s="35">
        <v>8.8</v>
      </c>
      <c r="H1117" s="35">
        <v>554.9</v>
      </c>
      <c r="I1117" s="35" t="s">
        <v>142</v>
      </c>
    </row>
    <row r="1118" ht="22.5" customHeight="1">
      <c r="A1118" s="35" t="s">
        <v>2478</v>
      </c>
      <c r="B1118" s="35" t="s">
        <v>2479</v>
      </c>
      <c r="C1118" s="35" t="s">
        <v>7756</v>
      </c>
      <c r="D1118" s="35" t="s">
        <v>224</v>
      </c>
      <c r="E1118" s="35" t="s">
        <v>390</v>
      </c>
      <c r="F1118" s="35">
        <v>2518.0</v>
      </c>
      <c r="G1118" s="35">
        <v>11.96</v>
      </c>
      <c r="H1118" s="35">
        <v>210.5</v>
      </c>
      <c r="I1118" s="35" t="s">
        <v>142</v>
      </c>
    </row>
    <row r="1119" ht="22.5" customHeight="1">
      <c r="A1119" s="35" t="s">
        <v>2480</v>
      </c>
      <c r="B1119" s="35" t="s">
        <v>2481</v>
      </c>
      <c r="C1119" s="35" t="s">
        <v>7756</v>
      </c>
      <c r="D1119" s="35" t="s">
        <v>192</v>
      </c>
      <c r="E1119" s="35" t="s">
        <v>508</v>
      </c>
      <c r="F1119" s="35">
        <v>3407.0</v>
      </c>
      <c r="G1119" s="35">
        <v>21.65</v>
      </c>
      <c r="H1119" s="35">
        <v>157.4</v>
      </c>
      <c r="I1119" s="35" t="s">
        <v>142</v>
      </c>
    </row>
    <row r="1120" ht="22.5" customHeight="1">
      <c r="A1120" s="35" t="s">
        <v>2482</v>
      </c>
      <c r="B1120" s="35" t="s">
        <v>2483</v>
      </c>
      <c r="C1120" s="35" t="s">
        <v>7756</v>
      </c>
      <c r="D1120" s="35" t="s">
        <v>236</v>
      </c>
      <c r="E1120" s="35" t="s">
        <v>558</v>
      </c>
      <c r="F1120" s="35">
        <v>1812.0</v>
      </c>
      <c r="G1120" s="35">
        <v>0.18</v>
      </c>
      <c r="H1120" s="35">
        <v>10066.7</v>
      </c>
      <c r="I1120" s="35" t="s">
        <v>62</v>
      </c>
    </row>
    <row r="1121" ht="22.5" customHeight="1">
      <c r="A1121" s="35" t="s">
        <v>2484</v>
      </c>
      <c r="B1121" s="35" t="s">
        <v>2485</v>
      </c>
      <c r="C1121" s="35" t="s">
        <v>7756</v>
      </c>
      <c r="D1121" s="35" t="s">
        <v>149</v>
      </c>
      <c r="E1121" s="35" t="s">
        <v>363</v>
      </c>
      <c r="F1121" s="35">
        <v>231.0</v>
      </c>
      <c r="G1121" s="35">
        <v>5.38</v>
      </c>
      <c r="H1121" s="35">
        <v>42.9</v>
      </c>
      <c r="I1121" s="35" t="s">
        <v>75</v>
      </c>
    </row>
    <row r="1122" ht="22.5" customHeight="1">
      <c r="A1122" s="35" t="s">
        <v>2486</v>
      </c>
      <c r="B1122" s="35" t="s">
        <v>2487</v>
      </c>
      <c r="C1122" s="35" t="s">
        <v>7756</v>
      </c>
      <c r="D1122" s="35" t="s">
        <v>130</v>
      </c>
      <c r="E1122" s="35" t="s">
        <v>180</v>
      </c>
      <c r="F1122" s="35">
        <v>1608.0</v>
      </c>
      <c r="G1122" s="35">
        <v>3.63</v>
      </c>
      <c r="H1122" s="35">
        <v>443.0</v>
      </c>
      <c r="I1122" s="35" t="s">
        <v>62</v>
      </c>
    </row>
    <row r="1123" ht="22.5" customHeight="1">
      <c r="A1123" s="35" t="s">
        <v>2488</v>
      </c>
      <c r="B1123" s="35" t="s">
        <v>2489</v>
      </c>
      <c r="C1123" s="35" t="s">
        <v>7756</v>
      </c>
      <c r="D1123" s="35" t="s">
        <v>122</v>
      </c>
      <c r="E1123" s="35" t="s">
        <v>328</v>
      </c>
      <c r="F1123" s="35">
        <v>3046.0</v>
      </c>
      <c r="G1123" s="35">
        <v>16.31</v>
      </c>
      <c r="H1123" s="35">
        <v>186.8</v>
      </c>
      <c r="I1123" s="35" t="s">
        <v>142</v>
      </c>
    </row>
    <row r="1124" ht="22.5" customHeight="1">
      <c r="A1124" s="35" t="s">
        <v>2490</v>
      </c>
      <c r="B1124" s="35" t="s">
        <v>2491</v>
      </c>
      <c r="C1124" s="35" t="s">
        <v>7756</v>
      </c>
      <c r="D1124" s="35" t="s">
        <v>130</v>
      </c>
      <c r="E1124" s="35" t="s">
        <v>180</v>
      </c>
      <c r="F1124" s="35">
        <v>1346.0</v>
      </c>
      <c r="G1124" s="35">
        <v>4.92</v>
      </c>
      <c r="H1124" s="35">
        <v>273.6</v>
      </c>
      <c r="I1124" s="35" t="s">
        <v>62</v>
      </c>
    </row>
    <row r="1125" ht="22.5" customHeight="1">
      <c r="A1125" s="35" t="s">
        <v>2492</v>
      </c>
      <c r="B1125" s="35" t="s">
        <v>2493</v>
      </c>
      <c r="C1125" s="35" t="s">
        <v>7756</v>
      </c>
      <c r="D1125" s="35" t="s">
        <v>171</v>
      </c>
      <c r="E1125" s="35" t="s">
        <v>457</v>
      </c>
      <c r="F1125" s="35">
        <v>703.0</v>
      </c>
      <c r="G1125" s="35">
        <v>8.67</v>
      </c>
      <c r="H1125" s="35">
        <v>81.1</v>
      </c>
      <c r="I1125" s="35" t="s">
        <v>62</v>
      </c>
    </row>
    <row r="1126" ht="22.5" customHeight="1">
      <c r="A1126" s="35" t="s">
        <v>2494</v>
      </c>
      <c r="B1126" s="35" t="s">
        <v>2495</v>
      </c>
      <c r="C1126" s="35" t="s">
        <v>7756</v>
      </c>
      <c r="D1126" s="35" t="s">
        <v>171</v>
      </c>
      <c r="E1126" s="35" t="s">
        <v>457</v>
      </c>
      <c r="F1126" s="35">
        <v>611.0</v>
      </c>
      <c r="G1126" s="35">
        <v>7.02</v>
      </c>
      <c r="H1126" s="35">
        <v>87.0</v>
      </c>
      <c r="I1126" s="35" t="s">
        <v>62</v>
      </c>
    </row>
    <row r="1127" ht="22.5" customHeight="1">
      <c r="A1127" s="35" t="s">
        <v>2496</v>
      </c>
      <c r="B1127" s="35" t="s">
        <v>2497</v>
      </c>
      <c r="C1127" s="35" t="s">
        <v>7756</v>
      </c>
      <c r="D1127" s="35" t="s">
        <v>236</v>
      </c>
      <c r="E1127" s="35" t="s">
        <v>558</v>
      </c>
      <c r="F1127" s="35">
        <v>9521.0</v>
      </c>
      <c r="G1127" s="35">
        <v>5.41</v>
      </c>
      <c r="H1127" s="35">
        <v>1759.9</v>
      </c>
      <c r="I1127" s="35" t="s">
        <v>142</v>
      </c>
    </row>
    <row r="1128" ht="22.5" customHeight="1">
      <c r="A1128" s="35" t="s">
        <v>2498</v>
      </c>
      <c r="B1128" s="35" t="s">
        <v>2499</v>
      </c>
      <c r="C1128" s="35" t="s">
        <v>7756</v>
      </c>
      <c r="D1128" s="35" t="s">
        <v>235</v>
      </c>
      <c r="E1128" s="35" t="s">
        <v>555</v>
      </c>
      <c r="F1128" s="35">
        <v>4078.0</v>
      </c>
      <c r="G1128" s="35">
        <v>7.19</v>
      </c>
      <c r="H1128" s="35">
        <v>567.2</v>
      </c>
      <c r="I1128" s="35" t="s">
        <v>142</v>
      </c>
    </row>
    <row r="1129" ht="22.5" customHeight="1">
      <c r="A1129" s="35" t="s">
        <v>2500</v>
      </c>
      <c r="B1129" s="35" t="s">
        <v>2501</v>
      </c>
      <c r="C1129" s="35" t="s">
        <v>7756</v>
      </c>
      <c r="D1129" s="35" t="s">
        <v>120</v>
      </c>
      <c r="E1129" s="35" t="s">
        <v>312</v>
      </c>
      <c r="F1129" s="35">
        <v>432.0</v>
      </c>
      <c r="G1129" s="35">
        <v>8.44</v>
      </c>
      <c r="H1129" s="35">
        <v>51.2</v>
      </c>
      <c r="I1129" s="35" t="s">
        <v>75</v>
      </c>
    </row>
    <row r="1130" ht="22.5" customHeight="1">
      <c r="A1130" s="35" t="s">
        <v>2502</v>
      </c>
      <c r="B1130" s="35" t="s">
        <v>2503</v>
      </c>
      <c r="C1130" s="35" t="s">
        <v>7756</v>
      </c>
      <c r="D1130" s="35" t="s">
        <v>149</v>
      </c>
      <c r="E1130" s="35" t="s">
        <v>363</v>
      </c>
      <c r="F1130" s="35">
        <v>236.0</v>
      </c>
      <c r="G1130" s="35">
        <v>4.46</v>
      </c>
      <c r="H1130" s="35">
        <v>52.9</v>
      </c>
      <c r="I1130" s="35" t="s">
        <v>75</v>
      </c>
    </row>
    <row r="1131" ht="22.5" customHeight="1">
      <c r="A1131" s="35" t="s">
        <v>2504</v>
      </c>
      <c r="B1131" s="35" t="s">
        <v>2505</v>
      </c>
      <c r="C1131" s="35" t="s">
        <v>7756</v>
      </c>
      <c r="D1131" s="35" t="s">
        <v>236</v>
      </c>
      <c r="E1131" s="35" t="s">
        <v>558</v>
      </c>
      <c r="F1131" s="35">
        <v>9600.0</v>
      </c>
      <c r="G1131" s="35">
        <v>8.47</v>
      </c>
      <c r="H1131" s="35">
        <v>1133.4</v>
      </c>
      <c r="I1131" s="35" t="s">
        <v>142</v>
      </c>
    </row>
    <row r="1132" ht="22.5" customHeight="1">
      <c r="A1132" s="35" t="s">
        <v>2506</v>
      </c>
      <c r="B1132" s="35" t="s">
        <v>2507</v>
      </c>
      <c r="C1132" s="35" t="s">
        <v>7756</v>
      </c>
      <c r="D1132" s="35" t="s">
        <v>145</v>
      </c>
      <c r="E1132" s="35" t="s">
        <v>255</v>
      </c>
      <c r="F1132" s="35">
        <v>2474.0</v>
      </c>
      <c r="G1132" s="35">
        <v>5.9</v>
      </c>
      <c r="H1132" s="35">
        <v>419.3</v>
      </c>
      <c r="I1132" s="35" t="s">
        <v>142</v>
      </c>
    </row>
    <row r="1133" ht="22.5" customHeight="1">
      <c r="A1133" s="35" t="s">
        <v>2508</v>
      </c>
      <c r="B1133" s="35" t="s">
        <v>2509</v>
      </c>
      <c r="C1133" s="35" t="s">
        <v>7756</v>
      </c>
      <c r="D1133" s="35" t="s">
        <v>72</v>
      </c>
      <c r="E1133" s="35" t="s">
        <v>71</v>
      </c>
      <c r="F1133" s="35">
        <v>2353.0</v>
      </c>
      <c r="G1133" s="35">
        <v>3.9</v>
      </c>
      <c r="H1133" s="35">
        <v>603.3</v>
      </c>
      <c r="I1133" s="35" t="s">
        <v>142</v>
      </c>
    </row>
    <row r="1134" ht="22.5" customHeight="1">
      <c r="A1134" s="35" t="s">
        <v>2510</v>
      </c>
      <c r="B1134" s="35" t="s">
        <v>2511</v>
      </c>
      <c r="C1134" s="35" t="s">
        <v>7756</v>
      </c>
      <c r="D1134" s="35" t="s">
        <v>236</v>
      </c>
      <c r="E1134" s="35" t="s">
        <v>558</v>
      </c>
      <c r="F1134" s="35">
        <v>2978.0</v>
      </c>
      <c r="G1134" s="35">
        <v>2.15</v>
      </c>
      <c r="H1134" s="35">
        <v>1385.1</v>
      </c>
      <c r="I1134" s="35" t="s">
        <v>142</v>
      </c>
    </row>
    <row r="1135" ht="22.5" customHeight="1">
      <c r="A1135" s="35" t="s">
        <v>2512</v>
      </c>
      <c r="B1135" s="35" t="s">
        <v>2513</v>
      </c>
      <c r="C1135" s="35" t="s">
        <v>7756</v>
      </c>
      <c r="D1135" s="35" t="s">
        <v>149</v>
      </c>
      <c r="E1135" s="35" t="s">
        <v>363</v>
      </c>
      <c r="F1135" s="35">
        <v>527.0</v>
      </c>
      <c r="G1135" s="35">
        <v>17.57</v>
      </c>
      <c r="H1135" s="35">
        <v>30.0</v>
      </c>
      <c r="I1135" s="35" t="s">
        <v>62</v>
      </c>
    </row>
    <row r="1136" ht="22.5" customHeight="1">
      <c r="A1136" s="35" t="s">
        <v>2514</v>
      </c>
      <c r="B1136" s="35" t="s">
        <v>2515</v>
      </c>
      <c r="C1136" s="35" t="s">
        <v>7756</v>
      </c>
      <c r="D1136" s="35" t="s">
        <v>122</v>
      </c>
      <c r="E1136" s="35" t="s">
        <v>328</v>
      </c>
      <c r="F1136" s="35">
        <v>1462.0</v>
      </c>
      <c r="G1136" s="35">
        <v>5.12</v>
      </c>
      <c r="H1136" s="35">
        <v>285.5</v>
      </c>
      <c r="I1136" s="35" t="s">
        <v>62</v>
      </c>
    </row>
    <row r="1137" ht="22.5" customHeight="1">
      <c r="A1137" s="35" t="s">
        <v>2516</v>
      </c>
      <c r="B1137" s="35" t="s">
        <v>2517</v>
      </c>
      <c r="C1137" s="35" t="s">
        <v>7756</v>
      </c>
      <c r="D1137" s="35" t="s">
        <v>135</v>
      </c>
      <c r="E1137" s="35" t="s">
        <v>349</v>
      </c>
      <c r="F1137" s="35">
        <v>1847.0</v>
      </c>
      <c r="G1137" s="35">
        <v>8.88</v>
      </c>
      <c r="H1137" s="35">
        <v>208.0</v>
      </c>
      <c r="I1137" s="35" t="s">
        <v>62</v>
      </c>
    </row>
    <row r="1138" ht="22.5" customHeight="1">
      <c r="A1138" s="35" t="s">
        <v>2518</v>
      </c>
      <c r="B1138" s="35" t="s">
        <v>2519</v>
      </c>
      <c r="C1138" s="35" t="s">
        <v>7756</v>
      </c>
      <c r="D1138" s="35" t="s">
        <v>236</v>
      </c>
      <c r="E1138" s="35" t="s">
        <v>558</v>
      </c>
      <c r="F1138" s="35">
        <v>238246.0</v>
      </c>
      <c r="G1138" s="35">
        <v>34.75</v>
      </c>
      <c r="H1138" s="35">
        <v>6856.0</v>
      </c>
      <c r="I1138" s="35" t="s">
        <v>7463</v>
      </c>
    </row>
    <row r="1139" ht="22.5" customHeight="1">
      <c r="A1139" s="35" t="s">
        <v>2520</v>
      </c>
      <c r="B1139" s="35" t="s">
        <v>2521</v>
      </c>
      <c r="C1139" s="35" t="s">
        <v>7756</v>
      </c>
      <c r="D1139" s="35" t="s">
        <v>145</v>
      </c>
      <c r="E1139" s="35" t="s">
        <v>255</v>
      </c>
      <c r="F1139" s="35">
        <v>525.0</v>
      </c>
      <c r="G1139" s="35">
        <v>6.8</v>
      </c>
      <c r="H1139" s="35">
        <v>77.2</v>
      </c>
      <c r="I1139" s="35" t="s">
        <v>62</v>
      </c>
    </row>
    <row r="1140" ht="22.5" customHeight="1">
      <c r="A1140" s="35" t="s">
        <v>2522</v>
      </c>
      <c r="B1140" s="35" t="s">
        <v>2523</v>
      </c>
      <c r="C1140" s="35" t="s">
        <v>7756</v>
      </c>
      <c r="D1140" s="35" t="s">
        <v>236</v>
      </c>
      <c r="E1140" s="35" t="s">
        <v>558</v>
      </c>
      <c r="F1140" s="35">
        <v>8161.0</v>
      </c>
      <c r="G1140" s="35">
        <v>11.7</v>
      </c>
      <c r="H1140" s="35">
        <v>697.5</v>
      </c>
      <c r="I1140" s="35" t="s">
        <v>142</v>
      </c>
    </row>
    <row r="1141" ht="22.5" customHeight="1">
      <c r="A1141" s="35" t="s">
        <v>2524</v>
      </c>
      <c r="B1141" s="35" t="s">
        <v>2525</v>
      </c>
      <c r="C1141" s="35" t="s">
        <v>7756</v>
      </c>
      <c r="D1141" s="35" t="s">
        <v>192</v>
      </c>
      <c r="E1141" s="35" t="s">
        <v>508</v>
      </c>
      <c r="F1141" s="35">
        <v>301.0</v>
      </c>
      <c r="G1141" s="35">
        <v>97.47</v>
      </c>
      <c r="H1141" s="35">
        <v>3.1</v>
      </c>
      <c r="I1141" s="35" t="s">
        <v>75</v>
      </c>
    </row>
    <row r="1142" ht="22.5" customHeight="1">
      <c r="A1142" s="35" t="s">
        <v>2526</v>
      </c>
      <c r="B1142" s="35" t="s">
        <v>2527</v>
      </c>
      <c r="C1142" s="35" t="s">
        <v>7756</v>
      </c>
      <c r="D1142" s="35" t="s">
        <v>72</v>
      </c>
      <c r="E1142" s="35" t="s">
        <v>71</v>
      </c>
      <c r="F1142" s="35">
        <v>712.0</v>
      </c>
      <c r="G1142" s="35">
        <v>2.61</v>
      </c>
      <c r="H1142" s="35">
        <v>272.8</v>
      </c>
      <c r="I1142" s="35" t="s">
        <v>62</v>
      </c>
    </row>
    <row r="1143" ht="22.5" customHeight="1">
      <c r="A1143" s="35" t="s">
        <v>2528</v>
      </c>
      <c r="B1143" s="35" t="s">
        <v>2529</v>
      </c>
      <c r="C1143" s="35" t="s">
        <v>7756</v>
      </c>
      <c r="D1143" s="35" t="s">
        <v>236</v>
      </c>
      <c r="E1143" s="35" t="s">
        <v>558</v>
      </c>
      <c r="F1143" s="35">
        <v>2155.0</v>
      </c>
      <c r="G1143" s="35">
        <v>3.1</v>
      </c>
      <c r="H1143" s="35">
        <v>695.2</v>
      </c>
      <c r="I1143" s="35" t="s">
        <v>142</v>
      </c>
    </row>
    <row r="1144" ht="22.5" customHeight="1">
      <c r="A1144" s="35" t="s">
        <v>2530</v>
      </c>
      <c r="B1144" s="35" t="s">
        <v>2531</v>
      </c>
      <c r="C1144" s="35" t="s">
        <v>7756</v>
      </c>
      <c r="D1144" s="35" t="s">
        <v>192</v>
      </c>
      <c r="E1144" s="35" t="s">
        <v>508</v>
      </c>
      <c r="F1144" s="35">
        <v>2057.0</v>
      </c>
      <c r="G1144" s="35">
        <v>17.6</v>
      </c>
      <c r="H1144" s="35">
        <v>116.9</v>
      </c>
      <c r="I1144" s="35" t="s">
        <v>142</v>
      </c>
    </row>
    <row r="1145" ht="22.5" customHeight="1">
      <c r="A1145" s="35" t="s">
        <v>2532</v>
      </c>
      <c r="B1145" s="35" t="s">
        <v>2533</v>
      </c>
      <c r="C1145" s="35" t="s">
        <v>7756</v>
      </c>
      <c r="D1145" s="35" t="s">
        <v>171</v>
      </c>
      <c r="E1145" s="35" t="s">
        <v>457</v>
      </c>
      <c r="F1145" s="35">
        <v>1228.0</v>
      </c>
      <c r="G1145" s="35">
        <v>19.5</v>
      </c>
      <c r="H1145" s="35">
        <v>63.0</v>
      </c>
      <c r="I1145" s="35" t="s">
        <v>62</v>
      </c>
    </row>
    <row r="1146" ht="22.5" customHeight="1">
      <c r="A1146" s="35" t="s">
        <v>2534</v>
      </c>
      <c r="B1146" s="35" t="s">
        <v>2535</v>
      </c>
      <c r="C1146" s="35" t="s">
        <v>7756</v>
      </c>
      <c r="D1146" s="35" t="s">
        <v>235</v>
      </c>
      <c r="E1146" s="35" t="s">
        <v>555</v>
      </c>
      <c r="F1146" s="35">
        <v>5952.0</v>
      </c>
      <c r="G1146" s="35">
        <v>42.3</v>
      </c>
      <c r="H1146" s="35">
        <v>140.7</v>
      </c>
      <c r="I1146" s="35" t="s">
        <v>142</v>
      </c>
    </row>
    <row r="1147" ht="22.5" customHeight="1">
      <c r="A1147" s="35" t="s">
        <v>2536</v>
      </c>
      <c r="B1147" s="35" t="s">
        <v>2537</v>
      </c>
      <c r="C1147" s="35" t="s">
        <v>7756</v>
      </c>
      <c r="D1147" s="35" t="s">
        <v>236</v>
      </c>
      <c r="E1147" s="35" t="s">
        <v>558</v>
      </c>
      <c r="F1147" s="35">
        <v>22567.0</v>
      </c>
      <c r="G1147" s="35">
        <v>6.9</v>
      </c>
      <c r="H1147" s="35">
        <v>3270.6</v>
      </c>
      <c r="I1147" s="35" t="s">
        <v>571</v>
      </c>
    </row>
    <row r="1148" ht="22.5" customHeight="1">
      <c r="A1148" s="35" t="s">
        <v>2538</v>
      </c>
      <c r="B1148" s="35" t="s">
        <v>2539</v>
      </c>
      <c r="C1148" s="35" t="s">
        <v>7756</v>
      </c>
      <c r="D1148" s="35" t="s">
        <v>122</v>
      </c>
      <c r="E1148" s="35" t="s">
        <v>328</v>
      </c>
      <c r="F1148" s="35">
        <v>3734.0</v>
      </c>
      <c r="G1148" s="35">
        <v>2.66</v>
      </c>
      <c r="H1148" s="35">
        <v>1403.8</v>
      </c>
      <c r="I1148" s="35" t="s">
        <v>142</v>
      </c>
    </row>
    <row r="1149" ht="22.5" customHeight="1">
      <c r="A1149" s="35" t="s">
        <v>2540</v>
      </c>
      <c r="B1149" s="35" t="s">
        <v>2541</v>
      </c>
      <c r="C1149" s="35" t="s">
        <v>7756</v>
      </c>
      <c r="D1149" s="35" t="s">
        <v>192</v>
      </c>
      <c r="E1149" s="35" t="s">
        <v>508</v>
      </c>
      <c r="F1149" s="35">
        <v>899.0</v>
      </c>
      <c r="G1149" s="35">
        <v>8.39</v>
      </c>
      <c r="H1149" s="35">
        <v>107.2</v>
      </c>
      <c r="I1149" s="35" t="s">
        <v>62</v>
      </c>
    </row>
    <row r="1150" ht="22.5" customHeight="1">
      <c r="A1150" s="35" t="s">
        <v>2542</v>
      </c>
      <c r="B1150" s="35" t="s">
        <v>2543</v>
      </c>
      <c r="C1150" s="35" t="s">
        <v>7756</v>
      </c>
      <c r="D1150" s="35" t="s">
        <v>224</v>
      </c>
      <c r="E1150" s="35" t="s">
        <v>390</v>
      </c>
      <c r="F1150" s="35">
        <v>922.0</v>
      </c>
      <c r="G1150" s="35">
        <v>2.52</v>
      </c>
      <c r="H1150" s="35">
        <v>365.9</v>
      </c>
      <c r="I1150" s="35" t="s">
        <v>62</v>
      </c>
    </row>
    <row r="1151" ht="22.5" customHeight="1">
      <c r="A1151" s="35" t="s">
        <v>2544</v>
      </c>
      <c r="B1151" s="35" t="s">
        <v>2545</v>
      </c>
      <c r="C1151" s="35" t="s">
        <v>7756</v>
      </c>
      <c r="D1151" s="35" t="s">
        <v>145</v>
      </c>
      <c r="E1151" s="35" t="s">
        <v>255</v>
      </c>
      <c r="F1151" s="35">
        <v>6294.0</v>
      </c>
      <c r="G1151" s="35">
        <v>5.96</v>
      </c>
      <c r="H1151" s="35">
        <v>1056.0</v>
      </c>
      <c r="I1151" s="35" t="s">
        <v>142</v>
      </c>
    </row>
    <row r="1152" ht="22.5" customHeight="1">
      <c r="A1152" s="35" t="s">
        <v>2546</v>
      </c>
      <c r="B1152" s="35" t="s">
        <v>2547</v>
      </c>
      <c r="C1152" s="35" t="s">
        <v>7756</v>
      </c>
      <c r="D1152" s="35" t="s">
        <v>99</v>
      </c>
      <c r="E1152" s="35" t="s">
        <v>98</v>
      </c>
      <c r="F1152" s="35">
        <v>783.0</v>
      </c>
      <c r="G1152" s="35">
        <v>9.08</v>
      </c>
      <c r="H1152" s="35">
        <v>86.2</v>
      </c>
      <c r="I1152" s="35" t="s">
        <v>62</v>
      </c>
    </row>
    <row r="1153" ht="22.5" customHeight="1">
      <c r="A1153" s="35" t="s">
        <v>2548</v>
      </c>
      <c r="B1153" s="35" t="s">
        <v>2549</v>
      </c>
      <c r="C1153" s="35" t="s">
        <v>7756</v>
      </c>
      <c r="D1153" s="35" t="s">
        <v>236</v>
      </c>
      <c r="E1153" s="35" t="s">
        <v>558</v>
      </c>
      <c r="F1153" s="35">
        <v>14050.0</v>
      </c>
      <c r="G1153" s="35">
        <v>3.27</v>
      </c>
      <c r="H1153" s="35">
        <v>4296.6</v>
      </c>
      <c r="I1153" s="35" t="s">
        <v>571</v>
      </c>
    </row>
    <row r="1154" ht="22.5" customHeight="1">
      <c r="A1154" s="35" t="s">
        <v>2550</v>
      </c>
      <c r="B1154" s="35" t="s">
        <v>2551</v>
      </c>
      <c r="C1154" s="35" t="s">
        <v>7756</v>
      </c>
      <c r="D1154" s="35" t="s">
        <v>236</v>
      </c>
      <c r="E1154" s="35" t="s">
        <v>558</v>
      </c>
      <c r="F1154" s="35">
        <v>21790.0</v>
      </c>
      <c r="G1154" s="35">
        <v>2.69</v>
      </c>
      <c r="H1154" s="35">
        <v>8100.4</v>
      </c>
      <c r="I1154" s="35" t="s">
        <v>571</v>
      </c>
    </row>
    <row r="1155" ht="22.5" customHeight="1">
      <c r="A1155" s="35" t="s">
        <v>2552</v>
      </c>
      <c r="B1155" s="35" t="s">
        <v>2553</v>
      </c>
      <c r="C1155" s="35" t="s">
        <v>7756</v>
      </c>
      <c r="D1155" s="35" t="s">
        <v>146</v>
      </c>
      <c r="E1155" s="35" t="s">
        <v>268</v>
      </c>
      <c r="F1155" s="35">
        <v>3954.0</v>
      </c>
      <c r="G1155" s="35">
        <v>11.67</v>
      </c>
      <c r="H1155" s="35">
        <v>338.8</v>
      </c>
      <c r="I1155" s="35" t="s">
        <v>142</v>
      </c>
    </row>
    <row r="1156" ht="22.5" customHeight="1">
      <c r="A1156" s="35" t="s">
        <v>2554</v>
      </c>
      <c r="B1156" s="35" t="s">
        <v>2555</v>
      </c>
      <c r="C1156" s="35" t="s">
        <v>7756</v>
      </c>
      <c r="D1156" s="35" t="s">
        <v>145</v>
      </c>
      <c r="E1156" s="35" t="s">
        <v>255</v>
      </c>
      <c r="F1156" s="35">
        <v>699.0</v>
      </c>
      <c r="G1156" s="35">
        <v>6.57</v>
      </c>
      <c r="H1156" s="35">
        <v>106.4</v>
      </c>
      <c r="I1156" s="35" t="s">
        <v>62</v>
      </c>
    </row>
    <row r="1157" ht="22.5" customHeight="1">
      <c r="A1157" s="35" t="s">
        <v>2556</v>
      </c>
      <c r="B1157" s="35" t="s">
        <v>2557</v>
      </c>
      <c r="C1157" s="35" t="s">
        <v>7756</v>
      </c>
      <c r="D1157" s="35" t="s">
        <v>236</v>
      </c>
      <c r="E1157" s="35" t="s">
        <v>558</v>
      </c>
      <c r="F1157" s="35">
        <v>628.0</v>
      </c>
      <c r="G1157" s="35">
        <v>3.51</v>
      </c>
      <c r="H1157" s="35">
        <v>178.9</v>
      </c>
      <c r="I1157" s="35" t="s">
        <v>62</v>
      </c>
    </row>
    <row r="1158" ht="22.5" customHeight="1">
      <c r="A1158" s="35" t="s">
        <v>2558</v>
      </c>
      <c r="B1158" s="35" t="s">
        <v>2559</v>
      </c>
      <c r="C1158" s="35" t="s">
        <v>7756</v>
      </c>
      <c r="D1158" s="35" t="s">
        <v>135</v>
      </c>
      <c r="E1158" s="35" t="s">
        <v>349</v>
      </c>
      <c r="F1158" s="35">
        <v>498.0</v>
      </c>
      <c r="G1158" s="35">
        <v>10.27</v>
      </c>
      <c r="H1158" s="35">
        <v>48.5</v>
      </c>
      <c r="I1158" s="35" t="s">
        <v>75</v>
      </c>
    </row>
    <row r="1159" ht="22.5" customHeight="1">
      <c r="A1159" s="35" t="s">
        <v>2560</v>
      </c>
      <c r="B1159" s="35" t="s">
        <v>2561</v>
      </c>
      <c r="C1159" s="35" t="s">
        <v>7756</v>
      </c>
      <c r="D1159" s="35" t="s">
        <v>149</v>
      </c>
      <c r="E1159" s="35" t="s">
        <v>363</v>
      </c>
      <c r="F1159" s="35">
        <v>461.0</v>
      </c>
      <c r="G1159" s="35">
        <v>6.61</v>
      </c>
      <c r="H1159" s="35">
        <v>69.7</v>
      </c>
      <c r="I1159" s="35" t="s">
        <v>75</v>
      </c>
    </row>
    <row r="1160" ht="22.5" customHeight="1">
      <c r="A1160" s="35" t="s">
        <v>2562</v>
      </c>
      <c r="B1160" s="35" t="s">
        <v>2563</v>
      </c>
      <c r="C1160" s="35" t="s">
        <v>7756</v>
      </c>
      <c r="D1160" s="35" t="s">
        <v>72</v>
      </c>
      <c r="E1160" s="35" t="s">
        <v>71</v>
      </c>
      <c r="F1160" s="35">
        <v>4507.0</v>
      </c>
      <c r="G1160" s="35">
        <v>21.45</v>
      </c>
      <c r="H1160" s="35">
        <v>210.1</v>
      </c>
      <c r="I1160" s="35" t="s">
        <v>142</v>
      </c>
    </row>
    <row r="1161" ht="22.5" customHeight="1">
      <c r="A1161" s="35" t="s">
        <v>2564</v>
      </c>
      <c r="B1161" s="35" t="s">
        <v>2565</v>
      </c>
      <c r="C1161" s="35" t="s">
        <v>7756</v>
      </c>
      <c r="D1161" s="35" t="s">
        <v>120</v>
      </c>
      <c r="E1161" s="35" t="s">
        <v>312</v>
      </c>
      <c r="F1161" s="35">
        <v>1841.0</v>
      </c>
      <c r="G1161" s="35">
        <v>15.07</v>
      </c>
      <c r="H1161" s="35">
        <v>122.2</v>
      </c>
      <c r="I1161" s="35" t="s">
        <v>62</v>
      </c>
    </row>
    <row r="1162" ht="22.5" customHeight="1">
      <c r="A1162" s="35" t="s">
        <v>2566</v>
      </c>
      <c r="B1162" s="35" t="s">
        <v>2567</v>
      </c>
      <c r="C1162" s="35" t="s">
        <v>7756</v>
      </c>
      <c r="D1162" s="35" t="s">
        <v>236</v>
      </c>
      <c r="E1162" s="35" t="s">
        <v>558</v>
      </c>
      <c r="F1162" s="35">
        <v>40184.0</v>
      </c>
      <c r="G1162" s="35">
        <v>13.97</v>
      </c>
      <c r="H1162" s="35">
        <v>2876.4</v>
      </c>
      <c r="I1162" s="35" t="s">
        <v>571</v>
      </c>
    </row>
    <row r="1163" ht="22.5" customHeight="1">
      <c r="A1163" s="35" t="s">
        <v>2568</v>
      </c>
      <c r="B1163" s="35" t="s">
        <v>2569</v>
      </c>
      <c r="C1163" s="35" t="s">
        <v>7756</v>
      </c>
      <c r="D1163" s="35" t="s">
        <v>130</v>
      </c>
      <c r="E1163" s="35" t="s">
        <v>180</v>
      </c>
      <c r="F1163" s="35">
        <v>741.0</v>
      </c>
      <c r="G1163" s="35">
        <v>6.21</v>
      </c>
      <c r="H1163" s="35">
        <v>119.3</v>
      </c>
      <c r="I1163" s="35" t="s">
        <v>62</v>
      </c>
    </row>
    <row r="1164" ht="22.5" customHeight="1">
      <c r="A1164" s="35" t="s">
        <v>2570</v>
      </c>
      <c r="B1164" s="35" t="s">
        <v>2571</v>
      </c>
      <c r="C1164" s="35" t="s">
        <v>7756</v>
      </c>
      <c r="D1164" s="35" t="s">
        <v>192</v>
      </c>
      <c r="E1164" s="35" t="s">
        <v>508</v>
      </c>
      <c r="F1164" s="35">
        <v>808.0</v>
      </c>
      <c r="G1164" s="35">
        <v>4.79</v>
      </c>
      <c r="H1164" s="35">
        <v>168.7</v>
      </c>
      <c r="I1164" s="35" t="s">
        <v>62</v>
      </c>
    </row>
    <row r="1165" ht="22.5" customHeight="1">
      <c r="A1165" s="35" t="s">
        <v>2572</v>
      </c>
      <c r="B1165" s="35" t="s">
        <v>2573</v>
      </c>
      <c r="C1165" s="35" t="s">
        <v>7756</v>
      </c>
      <c r="D1165" s="35" t="s">
        <v>135</v>
      </c>
      <c r="E1165" s="35" t="s">
        <v>349</v>
      </c>
      <c r="F1165" s="35">
        <v>1402.0</v>
      </c>
      <c r="G1165" s="35">
        <v>11.24</v>
      </c>
      <c r="H1165" s="35">
        <v>124.7</v>
      </c>
      <c r="I1165" s="35" t="s">
        <v>62</v>
      </c>
    </row>
    <row r="1166" ht="22.5" customHeight="1">
      <c r="A1166" s="35" t="s">
        <v>2574</v>
      </c>
      <c r="B1166" s="35" t="s">
        <v>2575</v>
      </c>
      <c r="C1166" s="35" t="s">
        <v>7756</v>
      </c>
      <c r="D1166" s="35" t="s">
        <v>146</v>
      </c>
      <c r="E1166" s="35" t="s">
        <v>268</v>
      </c>
      <c r="F1166" s="35">
        <v>11995.0</v>
      </c>
      <c r="G1166" s="35">
        <v>8.03</v>
      </c>
      <c r="H1166" s="35">
        <v>1493.8</v>
      </c>
      <c r="I1166" s="35" t="s">
        <v>571</v>
      </c>
    </row>
    <row r="1167" ht="22.5" customHeight="1">
      <c r="A1167" s="35" t="s">
        <v>2576</v>
      </c>
      <c r="B1167" s="35" t="s">
        <v>2577</v>
      </c>
      <c r="C1167" s="35" t="s">
        <v>7756</v>
      </c>
      <c r="D1167" s="35" t="s">
        <v>192</v>
      </c>
      <c r="E1167" s="35" t="s">
        <v>508</v>
      </c>
      <c r="F1167" s="35">
        <v>1454.0</v>
      </c>
      <c r="G1167" s="35">
        <v>22.05</v>
      </c>
      <c r="H1167" s="35">
        <v>65.9</v>
      </c>
      <c r="I1167" s="35" t="s">
        <v>62</v>
      </c>
    </row>
    <row r="1168" ht="22.5" customHeight="1">
      <c r="A1168" s="35" t="s">
        <v>2578</v>
      </c>
      <c r="B1168" s="35" t="s">
        <v>2579</v>
      </c>
      <c r="C1168" s="35" t="s">
        <v>7756</v>
      </c>
      <c r="D1168" s="35" t="s">
        <v>145</v>
      </c>
      <c r="E1168" s="35" t="s">
        <v>255</v>
      </c>
      <c r="F1168" s="35">
        <v>2653.0</v>
      </c>
      <c r="G1168" s="35">
        <v>4.82</v>
      </c>
      <c r="H1168" s="35">
        <v>550.4</v>
      </c>
      <c r="I1168" s="35" t="s">
        <v>142</v>
      </c>
    </row>
    <row r="1169" ht="22.5" customHeight="1">
      <c r="A1169" s="35" t="s">
        <v>2580</v>
      </c>
      <c r="B1169" s="35" t="s">
        <v>2581</v>
      </c>
      <c r="C1169" s="35" t="s">
        <v>7756</v>
      </c>
      <c r="D1169" s="35" t="s">
        <v>236</v>
      </c>
      <c r="E1169" s="35" t="s">
        <v>558</v>
      </c>
      <c r="F1169" s="35">
        <v>12622.0</v>
      </c>
      <c r="G1169" s="35">
        <v>4.85</v>
      </c>
      <c r="H1169" s="35">
        <v>2602.5</v>
      </c>
      <c r="I1169" s="35" t="s">
        <v>571</v>
      </c>
    </row>
    <row r="1170" ht="22.5" customHeight="1">
      <c r="A1170" s="35" t="s">
        <v>2582</v>
      </c>
      <c r="B1170" s="35" t="s">
        <v>2583</v>
      </c>
      <c r="C1170" s="35" t="s">
        <v>7756</v>
      </c>
      <c r="D1170" s="35" t="s">
        <v>122</v>
      </c>
      <c r="E1170" s="35" t="s">
        <v>328</v>
      </c>
      <c r="F1170" s="35">
        <v>1943.0</v>
      </c>
      <c r="G1170" s="35">
        <v>7.48</v>
      </c>
      <c r="H1170" s="35">
        <v>259.8</v>
      </c>
      <c r="I1170" s="35" t="s">
        <v>62</v>
      </c>
    </row>
    <row r="1171" ht="22.5" customHeight="1">
      <c r="A1171" s="35" t="s">
        <v>2584</v>
      </c>
      <c r="B1171" s="35" t="s">
        <v>2585</v>
      </c>
      <c r="C1171" s="35" t="s">
        <v>7756</v>
      </c>
      <c r="D1171" s="35" t="s">
        <v>236</v>
      </c>
      <c r="E1171" s="35" t="s">
        <v>558</v>
      </c>
      <c r="F1171" s="35">
        <v>1961.0</v>
      </c>
      <c r="G1171" s="35">
        <v>6.81</v>
      </c>
      <c r="H1171" s="35">
        <v>288.0</v>
      </c>
      <c r="I1171" s="35" t="s">
        <v>62</v>
      </c>
    </row>
    <row r="1172" ht="22.5" customHeight="1">
      <c r="A1172" s="35" t="s">
        <v>2586</v>
      </c>
      <c r="B1172" s="35" t="s">
        <v>2587</v>
      </c>
      <c r="C1172" s="35" t="s">
        <v>7756</v>
      </c>
      <c r="D1172" s="35" t="s">
        <v>120</v>
      </c>
      <c r="E1172" s="35" t="s">
        <v>312</v>
      </c>
      <c r="F1172" s="35">
        <v>2689.0</v>
      </c>
      <c r="G1172" s="35">
        <v>11.0</v>
      </c>
      <c r="H1172" s="35">
        <v>244.5</v>
      </c>
      <c r="I1172" s="35" t="s">
        <v>142</v>
      </c>
    </row>
    <row r="1173" ht="22.5" customHeight="1">
      <c r="A1173" s="35" t="s">
        <v>2588</v>
      </c>
      <c r="B1173" s="35" t="s">
        <v>2589</v>
      </c>
      <c r="C1173" s="35" t="s">
        <v>7756</v>
      </c>
      <c r="D1173" s="35" t="s">
        <v>72</v>
      </c>
      <c r="E1173" s="35" t="s">
        <v>71</v>
      </c>
      <c r="F1173" s="35">
        <v>3999.0</v>
      </c>
      <c r="G1173" s="35">
        <v>7.11</v>
      </c>
      <c r="H1173" s="35">
        <v>562.4</v>
      </c>
      <c r="I1173" s="35" t="s">
        <v>142</v>
      </c>
    </row>
    <row r="1174" ht="22.5" customHeight="1">
      <c r="A1174" s="35" t="s">
        <v>2590</v>
      </c>
      <c r="B1174" s="35" t="s">
        <v>2591</v>
      </c>
      <c r="C1174" s="35" t="s">
        <v>7756</v>
      </c>
      <c r="D1174" s="35" t="s">
        <v>122</v>
      </c>
      <c r="E1174" s="35" t="s">
        <v>328</v>
      </c>
      <c r="F1174" s="35">
        <v>911.0</v>
      </c>
      <c r="G1174" s="35">
        <v>6.23</v>
      </c>
      <c r="H1174" s="35">
        <v>146.2</v>
      </c>
      <c r="I1174" s="35" t="s">
        <v>62</v>
      </c>
    </row>
    <row r="1175" ht="22.5" customHeight="1">
      <c r="A1175" s="35" t="s">
        <v>2592</v>
      </c>
      <c r="B1175" s="35" t="s">
        <v>2593</v>
      </c>
      <c r="C1175" s="35" t="s">
        <v>7756</v>
      </c>
      <c r="D1175" s="35" t="s">
        <v>145</v>
      </c>
      <c r="E1175" s="35" t="s">
        <v>255</v>
      </c>
      <c r="F1175" s="35">
        <v>28767.0</v>
      </c>
      <c r="G1175" s="35">
        <v>18.86</v>
      </c>
      <c r="H1175" s="35">
        <v>1525.3</v>
      </c>
      <c r="I1175" s="35" t="s">
        <v>571</v>
      </c>
    </row>
    <row r="1176" ht="22.5" customHeight="1">
      <c r="A1176" s="35" t="s">
        <v>2594</v>
      </c>
      <c r="B1176" s="35" t="s">
        <v>2595</v>
      </c>
      <c r="C1176" s="35" t="s">
        <v>7756</v>
      </c>
      <c r="D1176" s="35" t="s">
        <v>122</v>
      </c>
      <c r="E1176" s="35" t="s">
        <v>328</v>
      </c>
      <c r="F1176" s="35">
        <v>949.0</v>
      </c>
      <c r="G1176" s="35">
        <v>5.15</v>
      </c>
      <c r="H1176" s="35">
        <v>184.3</v>
      </c>
      <c r="I1176" s="35" t="s">
        <v>62</v>
      </c>
    </row>
    <row r="1177" ht="22.5" customHeight="1">
      <c r="A1177" s="35" t="s">
        <v>2596</v>
      </c>
      <c r="B1177" s="35" t="s">
        <v>2597</v>
      </c>
      <c r="C1177" s="35" t="s">
        <v>7756</v>
      </c>
      <c r="D1177" s="35" t="s">
        <v>135</v>
      </c>
      <c r="E1177" s="35" t="s">
        <v>349</v>
      </c>
      <c r="F1177" s="35">
        <v>405.0</v>
      </c>
      <c r="G1177" s="35">
        <v>2.1</v>
      </c>
      <c r="H1177" s="35">
        <v>192.9</v>
      </c>
      <c r="I1177" s="35" t="s">
        <v>75</v>
      </c>
    </row>
    <row r="1178" ht="22.5" customHeight="1">
      <c r="A1178" s="35" t="s">
        <v>2598</v>
      </c>
      <c r="B1178" s="35" t="s">
        <v>2599</v>
      </c>
      <c r="C1178" s="35" t="s">
        <v>7756</v>
      </c>
      <c r="D1178" s="35" t="s">
        <v>135</v>
      </c>
      <c r="E1178" s="35" t="s">
        <v>349</v>
      </c>
      <c r="F1178" s="35">
        <v>279.0</v>
      </c>
      <c r="G1178" s="35">
        <v>8.99</v>
      </c>
      <c r="H1178" s="35">
        <v>31.0</v>
      </c>
      <c r="I1178" s="35" t="s">
        <v>75</v>
      </c>
    </row>
    <row r="1179" ht="22.5" customHeight="1">
      <c r="A1179" s="35" t="s">
        <v>2600</v>
      </c>
      <c r="B1179" s="35" t="s">
        <v>2601</v>
      </c>
      <c r="C1179" s="35" t="s">
        <v>7756</v>
      </c>
      <c r="D1179" s="35" t="s">
        <v>192</v>
      </c>
      <c r="E1179" s="35" t="s">
        <v>508</v>
      </c>
      <c r="F1179" s="35">
        <v>695.0</v>
      </c>
      <c r="G1179" s="35">
        <v>4.75</v>
      </c>
      <c r="H1179" s="35">
        <v>146.3</v>
      </c>
      <c r="I1179" s="35" t="s">
        <v>62</v>
      </c>
    </row>
    <row r="1180" ht="22.5" customHeight="1">
      <c r="A1180" s="35" t="s">
        <v>2602</v>
      </c>
      <c r="B1180" s="35" t="s">
        <v>2603</v>
      </c>
      <c r="C1180" s="35" t="s">
        <v>7756</v>
      </c>
      <c r="D1180" s="35" t="s">
        <v>171</v>
      </c>
      <c r="E1180" s="35" t="s">
        <v>457</v>
      </c>
      <c r="F1180" s="35">
        <v>615.0</v>
      </c>
      <c r="G1180" s="35">
        <v>10.72</v>
      </c>
      <c r="H1180" s="35">
        <v>57.4</v>
      </c>
      <c r="I1180" s="35" t="s">
        <v>62</v>
      </c>
    </row>
    <row r="1181" ht="22.5" customHeight="1">
      <c r="A1181" s="35" t="s">
        <v>2604</v>
      </c>
      <c r="B1181" s="35" t="s">
        <v>2605</v>
      </c>
      <c r="C1181" s="35" t="s">
        <v>7756</v>
      </c>
      <c r="D1181" s="35" t="s">
        <v>224</v>
      </c>
      <c r="E1181" s="35" t="s">
        <v>390</v>
      </c>
      <c r="F1181" s="35">
        <v>3527.0</v>
      </c>
      <c r="G1181" s="35">
        <v>8.64</v>
      </c>
      <c r="H1181" s="35">
        <v>408.2</v>
      </c>
      <c r="I1181" s="35" t="s">
        <v>142</v>
      </c>
    </row>
    <row r="1182" ht="22.5" customHeight="1">
      <c r="A1182" s="35" t="s">
        <v>2606</v>
      </c>
      <c r="B1182" s="35" t="s">
        <v>2607</v>
      </c>
      <c r="C1182" s="35" t="s">
        <v>7756</v>
      </c>
      <c r="D1182" s="35" t="s">
        <v>99</v>
      </c>
      <c r="E1182" s="35" t="s">
        <v>98</v>
      </c>
      <c r="F1182" s="35">
        <v>1106.0</v>
      </c>
      <c r="G1182" s="35">
        <v>10.14</v>
      </c>
      <c r="H1182" s="35">
        <v>109.1</v>
      </c>
      <c r="I1182" s="35" t="s">
        <v>62</v>
      </c>
    </row>
    <row r="1183" ht="22.5" customHeight="1">
      <c r="A1183" s="35" t="s">
        <v>2608</v>
      </c>
      <c r="B1183" s="35" t="s">
        <v>2609</v>
      </c>
      <c r="C1183" s="35" t="s">
        <v>7756</v>
      </c>
      <c r="D1183" s="35" t="s">
        <v>214</v>
      </c>
      <c r="E1183" s="35" t="s">
        <v>366</v>
      </c>
      <c r="F1183" s="35">
        <v>9808.0</v>
      </c>
      <c r="G1183" s="35">
        <v>27.0</v>
      </c>
      <c r="H1183" s="35">
        <v>363.3</v>
      </c>
      <c r="I1183" s="35" t="s">
        <v>142</v>
      </c>
    </row>
    <row r="1184" ht="22.5" customHeight="1">
      <c r="A1184" s="35" t="s">
        <v>2610</v>
      </c>
      <c r="B1184" s="35" t="s">
        <v>2611</v>
      </c>
      <c r="C1184" s="35" t="s">
        <v>7756</v>
      </c>
      <c r="D1184" s="35" t="s">
        <v>99</v>
      </c>
      <c r="E1184" s="35" t="s">
        <v>98</v>
      </c>
      <c r="F1184" s="35">
        <v>2231.0</v>
      </c>
      <c r="G1184" s="35">
        <v>18.49</v>
      </c>
      <c r="H1184" s="35">
        <v>120.7</v>
      </c>
      <c r="I1184" s="35" t="s">
        <v>142</v>
      </c>
    </row>
    <row r="1185" ht="22.5" customHeight="1">
      <c r="A1185" s="35" t="s">
        <v>2612</v>
      </c>
      <c r="B1185" s="35" t="s">
        <v>2613</v>
      </c>
      <c r="C1185" s="35" t="s">
        <v>7756</v>
      </c>
      <c r="D1185" s="35" t="s">
        <v>171</v>
      </c>
      <c r="E1185" s="35" t="s">
        <v>457</v>
      </c>
      <c r="F1185" s="35">
        <v>838.0</v>
      </c>
      <c r="G1185" s="35">
        <v>12.33</v>
      </c>
      <c r="H1185" s="35">
        <v>68.0</v>
      </c>
      <c r="I1185" s="35" t="s">
        <v>62</v>
      </c>
    </row>
    <row r="1186" ht="22.5" customHeight="1">
      <c r="A1186" s="35" t="s">
        <v>2614</v>
      </c>
      <c r="B1186" s="35" t="s">
        <v>2615</v>
      </c>
      <c r="C1186" s="35" t="s">
        <v>7756</v>
      </c>
      <c r="D1186" s="35" t="s">
        <v>122</v>
      </c>
      <c r="E1186" s="35" t="s">
        <v>328</v>
      </c>
      <c r="F1186" s="35">
        <v>705.0</v>
      </c>
      <c r="G1186" s="35">
        <v>3.47</v>
      </c>
      <c r="H1186" s="35">
        <v>203.2</v>
      </c>
      <c r="I1186" s="35" t="s">
        <v>62</v>
      </c>
    </row>
    <row r="1187" ht="22.5" customHeight="1">
      <c r="A1187" s="35" t="s">
        <v>2616</v>
      </c>
      <c r="B1187" s="35" t="s">
        <v>2617</v>
      </c>
      <c r="C1187" s="35" t="s">
        <v>7756</v>
      </c>
      <c r="D1187" s="35" t="s">
        <v>120</v>
      </c>
      <c r="E1187" s="35" t="s">
        <v>312</v>
      </c>
      <c r="F1187" s="35">
        <v>490.0</v>
      </c>
      <c r="G1187" s="35">
        <v>7.4</v>
      </c>
      <c r="H1187" s="35">
        <v>66.2</v>
      </c>
      <c r="I1187" s="35" t="s">
        <v>75</v>
      </c>
    </row>
    <row r="1188" ht="22.5" customHeight="1">
      <c r="A1188" s="35" t="s">
        <v>2618</v>
      </c>
      <c r="B1188" s="35" t="s">
        <v>2619</v>
      </c>
      <c r="C1188" s="35" t="s">
        <v>7756</v>
      </c>
      <c r="D1188" s="35" t="s">
        <v>145</v>
      </c>
      <c r="E1188" s="35" t="s">
        <v>255</v>
      </c>
      <c r="F1188" s="35">
        <v>419.0</v>
      </c>
      <c r="G1188" s="35">
        <v>5.96</v>
      </c>
      <c r="H1188" s="35">
        <v>70.3</v>
      </c>
      <c r="I1188" s="35" t="s">
        <v>75</v>
      </c>
    </row>
    <row r="1189" ht="22.5" customHeight="1">
      <c r="A1189" s="35" t="s">
        <v>2620</v>
      </c>
      <c r="B1189" s="35" t="s">
        <v>2621</v>
      </c>
      <c r="C1189" s="35" t="s">
        <v>7756</v>
      </c>
      <c r="D1189" s="35" t="s">
        <v>146</v>
      </c>
      <c r="E1189" s="35" t="s">
        <v>268</v>
      </c>
      <c r="F1189" s="35">
        <v>616.0</v>
      </c>
      <c r="G1189" s="35">
        <v>4.5</v>
      </c>
      <c r="H1189" s="35">
        <v>136.9</v>
      </c>
      <c r="I1189" s="35" t="s">
        <v>62</v>
      </c>
    </row>
    <row r="1190" ht="22.5" customHeight="1">
      <c r="A1190" s="35" t="s">
        <v>2622</v>
      </c>
      <c r="B1190" s="35" t="s">
        <v>2623</v>
      </c>
      <c r="C1190" s="35" t="s">
        <v>7756</v>
      </c>
      <c r="D1190" s="35" t="s">
        <v>224</v>
      </c>
      <c r="E1190" s="35" t="s">
        <v>390</v>
      </c>
      <c r="F1190" s="35">
        <v>1663.0</v>
      </c>
      <c r="G1190" s="35">
        <v>4.96</v>
      </c>
      <c r="H1190" s="35">
        <v>335.3</v>
      </c>
      <c r="I1190" s="35" t="s">
        <v>62</v>
      </c>
    </row>
    <row r="1191" ht="22.5" customHeight="1">
      <c r="A1191" s="35" t="s">
        <v>2624</v>
      </c>
      <c r="B1191" s="35" t="s">
        <v>2625</v>
      </c>
      <c r="C1191" s="35" t="s">
        <v>7756</v>
      </c>
      <c r="D1191" s="35" t="s">
        <v>72</v>
      </c>
      <c r="E1191" s="35" t="s">
        <v>71</v>
      </c>
      <c r="F1191" s="35">
        <v>2516.0</v>
      </c>
      <c r="G1191" s="35">
        <v>6.84</v>
      </c>
      <c r="H1191" s="35">
        <v>367.8</v>
      </c>
      <c r="I1191" s="35" t="s">
        <v>142</v>
      </c>
    </row>
    <row r="1192" ht="22.5" customHeight="1">
      <c r="A1192" s="35" t="s">
        <v>2626</v>
      </c>
      <c r="B1192" s="35" t="s">
        <v>2627</v>
      </c>
      <c r="C1192" s="35" t="s">
        <v>7756</v>
      </c>
      <c r="D1192" s="35" t="s">
        <v>236</v>
      </c>
      <c r="E1192" s="35" t="s">
        <v>558</v>
      </c>
      <c r="F1192" s="35">
        <v>21105.0</v>
      </c>
      <c r="G1192" s="35">
        <v>2.88</v>
      </c>
      <c r="H1192" s="35">
        <v>7328.1</v>
      </c>
      <c r="I1192" s="35" t="s">
        <v>571</v>
      </c>
    </row>
    <row r="1193" ht="22.5" customHeight="1">
      <c r="A1193" s="35" t="s">
        <v>2628</v>
      </c>
      <c r="B1193" s="35" t="s">
        <v>2629</v>
      </c>
      <c r="C1193" s="35" t="s">
        <v>7756</v>
      </c>
      <c r="D1193" s="35" t="s">
        <v>224</v>
      </c>
      <c r="E1193" s="35" t="s">
        <v>390</v>
      </c>
      <c r="F1193" s="35">
        <v>2075.0</v>
      </c>
      <c r="G1193" s="35">
        <v>12.29</v>
      </c>
      <c r="H1193" s="35">
        <v>168.8</v>
      </c>
      <c r="I1193" s="35" t="s">
        <v>142</v>
      </c>
    </row>
    <row r="1194" ht="22.5" customHeight="1">
      <c r="A1194" s="35" t="s">
        <v>2630</v>
      </c>
      <c r="B1194" s="35" t="s">
        <v>2631</v>
      </c>
      <c r="C1194" s="35" t="s">
        <v>7756</v>
      </c>
      <c r="D1194" s="35" t="s">
        <v>135</v>
      </c>
      <c r="E1194" s="35" t="s">
        <v>349</v>
      </c>
      <c r="F1194" s="35">
        <v>276.0</v>
      </c>
      <c r="G1194" s="35">
        <v>5.53</v>
      </c>
      <c r="H1194" s="35">
        <v>49.9</v>
      </c>
      <c r="I1194" s="35" t="s">
        <v>75</v>
      </c>
    </row>
    <row r="1195" ht="22.5" customHeight="1">
      <c r="A1195" s="35" t="s">
        <v>2632</v>
      </c>
      <c r="B1195" s="35" t="s">
        <v>2633</v>
      </c>
      <c r="C1195" s="35" t="s">
        <v>7756</v>
      </c>
      <c r="D1195" s="35" t="s">
        <v>135</v>
      </c>
      <c r="E1195" s="35" t="s">
        <v>349</v>
      </c>
      <c r="F1195" s="35">
        <v>552.0</v>
      </c>
      <c r="G1195" s="35">
        <v>5.84</v>
      </c>
      <c r="H1195" s="35">
        <v>94.5</v>
      </c>
      <c r="I1195" s="35" t="s">
        <v>62</v>
      </c>
    </row>
    <row r="1196" ht="22.5" customHeight="1">
      <c r="A1196" s="35" t="s">
        <v>2634</v>
      </c>
      <c r="B1196" s="35" t="s">
        <v>2635</v>
      </c>
      <c r="C1196" s="35" t="s">
        <v>7756</v>
      </c>
      <c r="D1196" s="35" t="s">
        <v>72</v>
      </c>
      <c r="E1196" s="35" t="s">
        <v>71</v>
      </c>
      <c r="F1196" s="35">
        <v>4495.0</v>
      </c>
      <c r="G1196" s="35">
        <v>5.44</v>
      </c>
      <c r="H1196" s="35">
        <v>826.3</v>
      </c>
      <c r="I1196" s="35" t="s">
        <v>142</v>
      </c>
    </row>
    <row r="1197" ht="22.5" customHeight="1">
      <c r="A1197" s="35" t="s">
        <v>2636</v>
      </c>
      <c r="B1197" s="35" t="s">
        <v>2637</v>
      </c>
      <c r="C1197" s="35" t="s">
        <v>7756</v>
      </c>
      <c r="D1197" s="35" t="s">
        <v>202</v>
      </c>
      <c r="E1197" s="35" t="s">
        <v>499</v>
      </c>
      <c r="F1197" s="35">
        <v>228.0</v>
      </c>
      <c r="G1197" s="35">
        <v>3.53</v>
      </c>
      <c r="H1197" s="35">
        <v>64.6</v>
      </c>
      <c r="I1197" s="35" t="s">
        <v>75</v>
      </c>
    </row>
    <row r="1198" ht="22.5" customHeight="1">
      <c r="A1198" s="35" t="s">
        <v>2638</v>
      </c>
      <c r="B1198" s="35" t="s">
        <v>2639</v>
      </c>
      <c r="C1198" s="35" t="s">
        <v>7756</v>
      </c>
      <c r="D1198" s="35" t="s">
        <v>99</v>
      </c>
      <c r="E1198" s="35" t="s">
        <v>98</v>
      </c>
      <c r="F1198" s="35">
        <v>2573.0</v>
      </c>
      <c r="G1198" s="35">
        <v>44.33</v>
      </c>
      <c r="H1198" s="35">
        <v>58.0</v>
      </c>
      <c r="I1198" s="35" t="s">
        <v>142</v>
      </c>
    </row>
    <row r="1199" ht="22.5" customHeight="1">
      <c r="A1199" s="35" t="s">
        <v>2640</v>
      </c>
      <c r="B1199" s="35" t="s">
        <v>2641</v>
      </c>
      <c r="C1199" s="35" t="s">
        <v>7756</v>
      </c>
      <c r="D1199" s="35" t="s">
        <v>122</v>
      </c>
      <c r="E1199" s="35" t="s">
        <v>328</v>
      </c>
      <c r="F1199" s="35">
        <v>1599.0</v>
      </c>
      <c r="G1199" s="35">
        <v>2.17</v>
      </c>
      <c r="H1199" s="35">
        <v>736.9</v>
      </c>
      <c r="I1199" s="35" t="s">
        <v>62</v>
      </c>
    </row>
    <row r="1200" ht="22.5" customHeight="1">
      <c r="A1200" s="35" t="s">
        <v>2642</v>
      </c>
      <c r="B1200" s="35" t="s">
        <v>2643</v>
      </c>
      <c r="C1200" s="35" t="s">
        <v>7756</v>
      </c>
      <c r="D1200" s="35" t="s">
        <v>224</v>
      </c>
      <c r="E1200" s="35" t="s">
        <v>390</v>
      </c>
      <c r="F1200" s="35">
        <v>1491.0</v>
      </c>
      <c r="G1200" s="35">
        <v>9.21</v>
      </c>
      <c r="H1200" s="35">
        <v>161.9</v>
      </c>
      <c r="I1200" s="35" t="s">
        <v>62</v>
      </c>
    </row>
    <row r="1201" ht="22.5" customHeight="1">
      <c r="A1201" s="35" t="s">
        <v>2644</v>
      </c>
      <c r="B1201" s="35" t="s">
        <v>2645</v>
      </c>
      <c r="C1201" s="35" t="s">
        <v>7756</v>
      </c>
      <c r="D1201" s="35" t="s">
        <v>205</v>
      </c>
      <c r="E1201" s="35" t="s">
        <v>530</v>
      </c>
      <c r="F1201" s="35">
        <v>61.0</v>
      </c>
      <c r="G1201" s="35">
        <v>7.16</v>
      </c>
      <c r="H1201" s="35">
        <v>8.5</v>
      </c>
      <c r="I1201" s="35" t="s">
        <v>75</v>
      </c>
    </row>
    <row r="1202" ht="22.5" customHeight="1">
      <c r="A1202" s="35" t="s">
        <v>2646</v>
      </c>
      <c r="B1202" s="35" t="s">
        <v>2647</v>
      </c>
      <c r="C1202" s="35" t="s">
        <v>7756</v>
      </c>
      <c r="D1202" s="35" t="s">
        <v>236</v>
      </c>
      <c r="E1202" s="35" t="s">
        <v>558</v>
      </c>
      <c r="F1202" s="35">
        <v>13369.0</v>
      </c>
      <c r="G1202" s="35">
        <v>4.16</v>
      </c>
      <c r="H1202" s="35">
        <v>3213.7</v>
      </c>
      <c r="I1202" s="35" t="s">
        <v>571</v>
      </c>
    </row>
    <row r="1203" ht="22.5" customHeight="1">
      <c r="A1203" s="35" t="s">
        <v>2648</v>
      </c>
      <c r="B1203" s="35" t="s">
        <v>2649</v>
      </c>
      <c r="C1203" s="35" t="s">
        <v>7756</v>
      </c>
      <c r="D1203" s="35" t="s">
        <v>120</v>
      </c>
      <c r="E1203" s="35" t="s">
        <v>312</v>
      </c>
      <c r="F1203" s="35">
        <v>620.0</v>
      </c>
      <c r="G1203" s="35">
        <v>5.21</v>
      </c>
      <c r="H1203" s="35">
        <v>119.0</v>
      </c>
      <c r="I1203" s="35" t="s">
        <v>62</v>
      </c>
    </row>
    <row r="1204" ht="22.5" customHeight="1">
      <c r="A1204" s="35" t="s">
        <v>2650</v>
      </c>
      <c r="B1204" s="35" t="s">
        <v>2651</v>
      </c>
      <c r="C1204" s="35" t="s">
        <v>7756</v>
      </c>
      <c r="D1204" s="35" t="s">
        <v>99</v>
      </c>
      <c r="E1204" s="35" t="s">
        <v>98</v>
      </c>
      <c r="F1204" s="35">
        <v>1417.0</v>
      </c>
      <c r="G1204" s="35">
        <v>6.42</v>
      </c>
      <c r="H1204" s="35">
        <v>220.7</v>
      </c>
      <c r="I1204" s="35" t="s">
        <v>62</v>
      </c>
    </row>
    <row r="1205" ht="22.5" customHeight="1">
      <c r="A1205" s="35" t="s">
        <v>2652</v>
      </c>
      <c r="B1205" s="35" t="s">
        <v>2653</v>
      </c>
      <c r="C1205" s="35" t="s">
        <v>7756</v>
      </c>
      <c r="D1205" s="35" t="s">
        <v>145</v>
      </c>
      <c r="E1205" s="35" t="s">
        <v>255</v>
      </c>
      <c r="F1205" s="35">
        <v>1286.0</v>
      </c>
      <c r="G1205" s="35">
        <v>1.26</v>
      </c>
      <c r="H1205" s="35">
        <v>1020.6</v>
      </c>
      <c r="I1205" s="35" t="s">
        <v>62</v>
      </c>
    </row>
    <row r="1206" ht="22.5" customHeight="1">
      <c r="A1206" s="35" t="s">
        <v>2654</v>
      </c>
      <c r="B1206" s="35" t="s">
        <v>2655</v>
      </c>
      <c r="C1206" s="35" t="s">
        <v>7756</v>
      </c>
      <c r="D1206" s="35" t="s">
        <v>192</v>
      </c>
      <c r="E1206" s="35" t="s">
        <v>508</v>
      </c>
      <c r="F1206" s="35">
        <v>298.0</v>
      </c>
      <c r="G1206" s="35">
        <v>3.16</v>
      </c>
      <c r="H1206" s="35">
        <v>94.3</v>
      </c>
      <c r="I1206" s="35" t="s">
        <v>75</v>
      </c>
    </row>
    <row r="1207" ht="22.5" customHeight="1">
      <c r="A1207" s="35" t="s">
        <v>2656</v>
      </c>
      <c r="B1207" s="35" t="s">
        <v>2657</v>
      </c>
      <c r="C1207" s="35" t="s">
        <v>7756</v>
      </c>
      <c r="D1207" s="35" t="s">
        <v>236</v>
      </c>
      <c r="E1207" s="35" t="s">
        <v>558</v>
      </c>
      <c r="F1207" s="35">
        <v>10002.0</v>
      </c>
      <c r="G1207" s="35">
        <v>6.18</v>
      </c>
      <c r="H1207" s="35">
        <v>1618.4</v>
      </c>
      <c r="I1207" s="35" t="s">
        <v>571</v>
      </c>
    </row>
    <row r="1208" ht="22.5" customHeight="1">
      <c r="A1208" s="35" t="s">
        <v>2658</v>
      </c>
      <c r="B1208" s="35" t="s">
        <v>2659</v>
      </c>
      <c r="C1208" s="35" t="s">
        <v>7756</v>
      </c>
      <c r="D1208" s="35" t="s">
        <v>224</v>
      </c>
      <c r="E1208" s="35" t="s">
        <v>390</v>
      </c>
      <c r="F1208" s="35">
        <v>593.0</v>
      </c>
      <c r="G1208" s="35">
        <v>3.96</v>
      </c>
      <c r="H1208" s="35">
        <v>149.7</v>
      </c>
      <c r="I1208" s="35" t="s">
        <v>62</v>
      </c>
    </row>
    <row r="1209" ht="22.5" customHeight="1">
      <c r="A1209" s="35" t="s">
        <v>2660</v>
      </c>
      <c r="B1209" s="35" t="s">
        <v>2661</v>
      </c>
      <c r="C1209" s="35" t="s">
        <v>7756</v>
      </c>
      <c r="D1209" s="35" t="s">
        <v>120</v>
      </c>
      <c r="E1209" s="35" t="s">
        <v>312</v>
      </c>
      <c r="F1209" s="35">
        <v>4012.0</v>
      </c>
      <c r="G1209" s="35">
        <v>2.37</v>
      </c>
      <c r="H1209" s="35">
        <v>1692.8</v>
      </c>
      <c r="I1209" s="35" t="s">
        <v>142</v>
      </c>
    </row>
    <row r="1210" ht="22.5" customHeight="1">
      <c r="A1210" s="35" t="s">
        <v>2662</v>
      </c>
      <c r="B1210" s="35" t="s">
        <v>2663</v>
      </c>
      <c r="C1210" s="35" t="s">
        <v>7756</v>
      </c>
      <c r="D1210" s="35" t="s">
        <v>122</v>
      </c>
      <c r="E1210" s="35" t="s">
        <v>328</v>
      </c>
      <c r="F1210" s="35">
        <v>2901.0</v>
      </c>
      <c r="G1210" s="35">
        <v>4.76</v>
      </c>
      <c r="H1210" s="35">
        <v>609.5</v>
      </c>
      <c r="I1210" s="35" t="s">
        <v>142</v>
      </c>
    </row>
    <row r="1211" ht="22.5" customHeight="1">
      <c r="A1211" s="35" t="s">
        <v>2664</v>
      </c>
      <c r="B1211" s="35" t="s">
        <v>2665</v>
      </c>
      <c r="C1211" s="35" t="s">
        <v>7756</v>
      </c>
      <c r="D1211" s="35" t="s">
        <v>135</v>
      </c>
      <c r="E1211" s="35" t="s">
        <v>349</v>
      </c>
      <c r="F1211" s="35">
        <v>1103.0</v>
      </c>
      <c r="G1211" s="35">
        <v>12.53</v>
      </c>
      <c r="H1211" s="35">
        <v>88.0</v>
      </c>
      <c r="I1211" s="35" t="s">
        <v>62</v>
      </c>
    </row>
    <row r="1212" ht="22.5" customHeight="1">
      <c r="A1212" s="35" t="s">
        <v>2666</v>
      </c>
      <c r="B1212" s="35" t="s">
        <v>2667</v>
      </c>
      <c r="C1212" s="35" t="s">
        <v>7756</v>
      </c>
      <c r="D1212" s="35" t="s">
        <v>99</v>
      </c>
      <c r="E1212" s="35" t="s">
        <v>98</v>
      </c>
      <c r="F1212" s="35">
        <v>7764.0</v>
      </c>
      <c r="G1212" s="35">
        <v>17.12</v>
      </c>
      <c r="H1212" s="35">
        <v>453.5</v>
      </c>
      <c r="I1212" s="35" t="s">
        <v>142</v>
      </c>
    </row>
    <row r="1213" ht="22.5" customHeight="1">
      <c r="A1213" s="35" t="s">
        <v>2668</v>
      </c>
      <c r="B1213" s="35" t="s">
        <v>2669</v>
      </c>
      <c r="C1213" s="35" t="s">
        <v>7756</v>
      </c>
      <c r="D1213" s="35" t="s">
        <v>120</v>
      </c>
      <c r="E1213" s="35" t="s">
        <v>312</v>
      </c>
      <c r="F1213" s="35">
        <v>509.0</v>
      </c>
      <c r="G1213" s="35">
        <v>4.35</v>
      </c>
      <c r="H1213" s="35">
        <v>117.0</v>
      </c>
      <c r="I1213" s="35" t="s">
        <v>62</v>
      </c>
    </row>
    <row r="1214" ht="22.5" customHeight="1">
      <c r="A1214" s="35" t="s">
        <v>2670</v>
      </c>
      <c r="B1214" s="35" t="s">
        <v>2671</v>
      </c>
      <c r="C1214" s="35" t="s">
        <v>7756</v>
      </c>
      <c r="D1214" s="35" t="s">
        <v>171</v>
      </c>
      <c r="E1214" s="35" t="s">
        <v>457</v>
      </c>
      <c r="F1214" s="35">
        <v>908.0</v>
      </c>
      <c r="G1214" s="35">
        <v>10.29</v>
      </c>
      <c r="H1214" s="35">
        <v>88.2</v>
      </c>
      <c r="I1214" s="35" t="s">
        <v>62</v>
      </c>
    </row>
    <row r="1215" ht="22.5" customHeight="1">
      <c r="A1215" s="35" t="s">
        <v>2672</v>
      </c>
      <c r="B1215" s="35" t="s">
        <v>2673</v>
      </c>
      <c r="C1215" s="35" t="s">
        <v>7756</v>
      </c>
      <c r="D1215" s="35" t="s">
        <v>122</v>
      </c>
      <c r="E1215" s="35" t="s">
        <v>328</v>
      </c>
      <c r="F1215" s="35">
        <v>1406.0</v>
      </c>
      <c r="G1215" s="35">
        <v>5.9</v>
      </c>
      <c r="H1215" s="35">
        <v>238.3</v>
      </c>
      <c r="I1215" s="35" t="s">
        <v>62</v>
      </c>
    </row>
    <row r="1216" ht="22.5" customHeight="1">
      <c r="A1216" s="35" t="s">
        <v>2674</v>
      </c>
      <c r="B1216" s="35" t="s">
        <v>2675</v>
      </c>
      <c r="C1216" s="35" t="s">
        <v>7756</v>
      </c>
      <c r="D1216" s="35" t="s">
        <v>224</v>
      </c>
      <c r="E1216" s="35" t="s">
        <v>390</v>
      </c>
      <c r="F1216" s="35">
        <v>2651.0</v>
      </c>
      <c r="G1216" s="35">
        <v>19.07</v>
      </c>
      <c r="H1216" s="35">
        <v>139.0</v>
      </c>
      <c r="I1216" s="35" t="s">
        <v>142</v>
      </c>
    </row>
    <row r="1217" ht="22.5" customHeight="1">
      <c r="A1217" s="35" t="s">
        <v>2676</v>
      </c>
      <c r="B1217" s="35" t="s">
        <v>2677</v>
      </c>
      <c r="C1217" s="35" t="s">
        <v>7756</v>
      </c>
      <c r="D1217" s="35" t="s">
        <v>99</v>
      </c>
      <c r="E1217" s="35" t="s">
        <v>98</v>
      </c>
      <c r="F1217" s="35">
        <v>825.0</v>
      </c>
      <c r="G1217" s="35">
        <v>17.23</v>
      </c>
      <c r="H1217" s="35">
        <v>47.9</v>
      </c>
      <c r="I1217" s="35" t="s">
        <v>62</v>
      </c>
    </row>
    <row r="1218" ht="22.5" customHeight="1">
      <c r="A1218" s="35" t="s">
        <v>2678</v>
      </c>
      <c r="B1218" s="35" t="s">
        <v>2679</v>
      </c>
      <c r="C1218" s="35" t="s">
        <v>7756</v>
      </c>
      <c r="D1218" s="35" t="s">
        <v>236</v>
      </c>
      <c r="E1218" s="35" t="s">
        <v>558</v>
      </c>
      <c r="F1218" s="35">
        <v>838.0</v>
      </c>
      <c r="G1218" s="35">
        <v>2.38</v>
      </c>
      <c r="H1218" s="35">
        <v>352.1</v>
      </c>
      <c r="I1218" s="35" t="s">
        <v>62</v>
      </c>
    </row>
    <row r="1219" ht="22.5" customHeight="1">
      <c r="A1219" s="35" t="s">
        <v>2680</v>
      </c>
      <c r="B1219" s="35" t="s">
        <v>2681</v>
      </c>
      <c r="C1219" s="35" t="s">
        <v>7756</v>
      </c>
      <c r="D1219" s="35" t="s">
        <v>120</v>
      </c>
      <c r="E1219" s="35" t="s">
        <v>312</v>
      </c>
      <c r="F1219" s="35">
        <v>816.0</v>
      </c>
      <c r="G1219" s="35">
        <v>4.98</v>
      </c>
      <c r="H1219" s="35">
        <v>163.9</v>
      </c>
      <c r="I1219" s="35" t="s">
        <v>62</v>
      </c>
    </row>
    <row r="1220" ht="22.5" customHeight="1">
      <c r="A1220" s="35" t="s">
        <v>2682</v>
      </c>
      <c r="B1220" s="35" t="s">
        <v>2683</v>
      </c>
      <c r="C1220" s="35" t="s">
        <v>7756</v>
      </c>
      <c r="D1220" s="35" t="s">
        <v>145</v>
      </c>
      <c r="E1220" s="35" t="s">
        <v>255</v>
      </c>
      <c r="F1220" s="35">
        <v>283.0</v>
      </c>
      <c r="G1220" s="35">
        <v>6.54</v>
      </c>
      <c r="H1220" s="35">
        <v>43.3</v>
      </c>
      <c r="I1220" s="35" t="s">
        <v>75</v>
      </c>
    </row>
    <row r="1221" ht="22.5" customHeight="1">
      <c r="A1221" s="35" t="s">
        <v>2684</v>
      </c>
      <c r="B1221" s="35" t="s">
        <v>2685</v>
      </c>
      <c r="C1221" s="35" t="s">
        <v>7756</v>
      </c>
      <c r="D1221" s="35" t="s">
        <v>122</v>
      </c>
      <c r="E1221" s="35" t="s">
        <v>328</v>
      </c>
      <c r="F1221" s="35">
        <v>657.0</v>
      </c>
      <c r="G1221" s="35">
        <v>5.05</v>
      </c>
      <c r="H1221" s="35">
        <v>130.1</v>
      </c>
      <c r="I1221" s="35" t="s">
        <v>62</v>
      </c>
    </row>
    <row r="1222" ht="22.5" customHeight="1">
      <c r="A1222" s="35" t="s">
        <v>2686</v>
      </c>
      <c r="B1222" s="35" t="s">
        <v>2687</v>
      </c>
      <c r="C1222" s="35" t="s">
        <v>7756</v>
      </c>
      <c r="D1222" s="35" t="s">
        <v>192</v>
      </c>
      <c r="E1222" s="35" t="s">
        <v>508</v>
      </c>
      <c r="F1222" s="35">
        <v>660.0</v>
      </c>
      <c r="G1222" s="35">
        <v>5.41</v>
      </c>
      <c r="H1222" s="35">
        <v>122.0</v>
      </c>
      <c r="I1222" s="35" t="s">
        <v>62</v>
      </c>
    </row>
    <row r="1223" ht="22.5" customHeight="1">
      <c r="A1223" s="35" t="s">
        <v>2688</v>
      </c>
      <c r="B1223" s="35" t="s">
        <v>2689</v>
      </c>
      <c r="C1223" s="35" t="s">
        <v>7756</v>
      </c>
      <c r="D1223" s="35" t="s">
        <v>145</v>
      </c>
      <c r="E1223" s="35" t="s">
        <v>255</v>
      </c>
      <c r="F1223" s="35">
        <v>283.0</v>
      </c>
      <c r="G1223" s="35">
        <v>5.46</v>
      </c>
      <c r="H1223" s="35">
        <v>51.8</v>
      </c>
      <c r="I1223" s="35" t="s">
        <v>75</v>
      </c>
    </row>
    <row r="1224" ht="22.5" customHeight="1">
      <c r="A1224" s="35" t="s">
        <v>2690</v>
      </c>
      <c r="B1224" s="35" t="s">
        <v>2691</v>
      </c>
      <c r="C1224" s="35" t="s">
        <v>7756</v>
      </c>
      <c r="D1224" s="35" t="s">
        <v>99</v>
      </c>
      <c r="E1224" s="35" t="s">
        <v>98</v>
      </c>
      <c r="F1224" s="35">
        <v>351.0</v>
      </c>
      <c r="G1224" s="35">
        <v>5.62</v>
      </c>
      <c r="H1224" s="35">
        <v>62.5</v>
      </c>
      <c r="I1224" s="35" t="s">
        <v>75</v>
      </c>
    </row>
    <row r="1225" ht="22.5" customHeight="1">
      <c r="A1225" s="35" t="s">
        <v>2692</v>
      </c>
      <c r="B1225" s="35" t="s">
        <v>2693</v>
      </c>
      <c r="C1225" s="35" t="s">
        <v>7756</v>
      </c>
      <c r="D1225" s="35" t="s">
        <v>146</v>
      </c>
      <c r="E1225" s="35" t="s">
        <v>268</v>
      </c>
      <c r="F1225" s="35">
        <v>945.0</v>
      </c>
      <c r="G1225" s="35">
        <v>4.86</v>
      </c>
      <c r="H1225" s="35">
        <v>194.4</v>
      </c>
      <c r="I1225" s="35" t="s">
        <v>62</v>
      </c>
    </row>
    <row r="1226" ht="22.5" customHeight="1">
      <c r="A1226" s="35" t="s">
        <v>2694</v>
      </c>
      <c r="B1226" s="35" t="s">
        <v>2695</v>
      </c>
      <c r="C1226" s="35" t="s">
        <v>7756</v>
      </c>
      <c r="D1226" s="35" t="s">
        <v>205</v>
      </c>
      <c r="E1226" s="35" t="s">
        <v>530</v>
      </c>
      <c r="F1226" s="35">
        <v>1171.0</v>
      </c>
      <c r="G1226" s="35">
        <v>11.84</v>
      </c>
      <c r="H1226" s="35">
        <v>98.9</v>
      </c>
      <c r="I1226" s="35" t="s">
        <v>62</v>
      </c>
    </row>
    <row r="1227" ht="22.5" customHeight="1">
      <c r="A1227" s="35" t="s">
        <v>2696</v>
      </c>
      <c r="B1227" s="35" t="s">
        <v>1339</v>
      </c>
      <c r="C1227" s="35" t="s">
        <v>7756</v>
      </c>
      <c r="D1227" s="35" t="s">
        <v>122</v>
      </c>
      <c r="E1227" s="35" t="s">
        <v>328</v>
      </c>
      <c r="F1227" s="35">
        <v>699.0</v>
      </c>
      <c r="G1227" s="35">
        <v>2.55</v>
      </c>
      <c r="H1227" s="35">
        <v>274.1</v>
      </c>
      <c r="I1227" s="35" t="s">
        <v>62</v>
      </c>
    </row>
    <row r="1228" ht="22.5" customHeight="1">
      <c r="A1228" s="35" t="s">
        <v>2697</v>
      </c>
      <c r="B1228" s="35" t="s">
        <v>2698</v>
      </c>
      <c r="C1228" s="35" t="s">
        <v>7756</v>
      </c>
      <c r="D1228" s="35" t="s">
        <v>146</v>
      </c>
      <c r="E1228" s="35" t="s">
        <v>268</v>
      </c>
      <c r="F1228" s="35">
        <v>8479.0</v>
      </c>
      <c r="G1228" s="35">
        <v>12.95</v>
      </c>
      <c r="H1228" s="35">
        <v>654.7</v>
      </c>
      <c r="I1228" s="35" t="s">
        <v>142</v>
      </c>
    </row>
    <row r="1229" ht="22.5" customHeight="1">
      <c r="A1229" s="35" t="s">
        <v>2699</v>
      </c>
      <c r="B1229" s="35" t="s">
        <v>2700</v>
      </c>
      <c r="C1229" s="35" t="s">
        <v>7756</v>
      </c>
      <c r="D1229" s="35" t="s">
        <v>171</v>
      </c>
      <c r="E1229" s="35" t="s">
        <v>457</v>
      </c>
      <c r="F1229" s="35">
        <v>463.0</v>
      </c>
      <c r="G1229" s="35">
        <v>4.03</v>
      </c>
      <c r="H1229" s="35">
        <v>114.9</v>
      </c>
      <c r="I1229" s="35" t="s">
        <v>75</v>
      </c>
    </row>
    <row r="1230" ht="22.5" customHeight="1">
      <c r="A1230" s="35" t="s">
        <v>2701</v>
      </c>
      <c r="B1230" s="35" t="s">
        <v>2702</v>
      </c>
      <c r="C1230" s="35" t="s">
        <v>7756</v>
      </c>
      <c r="D1230" s="35" t="s">
        <v>224</v>
      </c>
      <c r="E1230" s="35" t="s">
        <v>390</v>
      </c>
      <c r="F1230" s="35">
        <v>8396.0</v>
      </c>
      <c r="G1230" s="35">
        <v>10.92</v>
      </c>
      <c r="H1230" s="35">
        <v>768.9</v>
      </c>
      <c r="I1230" s="35" t="s">
        <v>142</v>
      </c>
    </row>
    <row r="1231" ht="22.5" customHeight="1">
      <c r="A1231" s="35" t="s">
        <v>2703</v>
      </c>
      <c r="B1231" s="35" t="s">
        <v>2704</v>
      </c>
      <c r="C1231" s="35" t="s">
        <v>7756</v>
      </c>
      <c r="D1231" s="35" t="s">
        <v>135</v>
      </c>
      <c r="E1231" s="35" t="s">
        <v>349</v>
      </c>
      <c r="F1231" s="35">
        <v>644.0</v>
      </c>
      <c r="G1231" s="35">
        <v>17.7</v>
      </c>
      <c r="H1231" s="35">
        <v>36.4</v>
      </c>
      <c r="I1231" s="35" t="s">
        <v>62</v>
      </c>
    </row>
    <row r="1232" ht="22.5" customHeight="1">
      <c r="A1232" s="35" t="s">
        <v>2705</v>
      </c>
      <c r="B1232" s="35" t="s">
        <v>2706</v>
      </c>
      <c r="C1232" s="35" t="s">
        <v>7756</v>
      </c>
      <c r="D1232" s="35" t="s">
        <v>192</v>
      </c>
      <c r="E1232" s="35" t="s">
        <v>508</v>
      </c>
      <c r="F1232" s="35">
        <v>564.0</v>
      </c>
      <c r="G1232" s="35">
        <v>3.34</v>
      </c>
      <c r="H1232" s="35">
        <v>168.9</v>
      </c>
      <c r="I1232" s="35" t="s">
        <v>62</v>
      </c>
    </row>
    <row r="1233" ht="22.5" customHeight="1">
      <c r="A1233" s="35" t="s">
        <v>2707</v>
      </c>
      <c r="B1233" s="35" t="s">
        <v>2708</v>
      </c>
      <c r="C1233" s="35" t="s">
        <v>7756</v>
      </c>
      <c r="D1233" s="35" t="s">
        <v>224</v>
      </c>
      <c r="E1233" s="35" t="s">
        <v>390</v>
      </c>
      <c r="F1233" s="35">
        <v>6097.0</v>
      </c>
      <c r="G1233" s="35">
        <v>7.58</v>
      </c>
      <c r="H1233" s="35">
        <v>804.4</v>
      </c>
      <c r="I1233" s="35" t="s">
        <v>142</v>
      </c>
    </row>
    <row r="1234" ht="22.5" customHeight="1">
      <c r="A1234" s="35" t="s">
        <v>2709</v>
      </c>
      <c r="B1234" s="35" t="s">
        <v>2710</v>
      </c>
      <c r="C1234" s="35" t="s">
        <v>7756</v>
      </c>
      <c r="D1234" s="35" t="s">
        <v>99</v>
      </c>
      <c r="E1234" s="35" t="s">
        <v>98</v>
      </c>
      <c r="F1234" s="35">
        <v>690.0</v>
      </c>
      <c r="G1234" s="35">
        <v>9.42</v>
      </c>
      <c r="H1234" s="35">
        <v>73.2</v>
      </c>
      <c r="I1234" s="35" t="s">
        <v>62</v>
      </c>
    </row>
    <row r="1235" ht="22.5" customHeight="1">
      <c r="A1235" s="35" t="s">
        <v>2711</v>
      </c>
      <c r="B1235" s="35" t="s">
        <v>2712</v>
      </c>
      <c r="C1235" s="35" t="s">
        <v>7756</v>
      </c>
      <c r="D1235" s="35" t="s">
        <v>99</v>
      </c>
      <c r="E1235" s="35" t="s">
        <v>98</v>
      </c>
      <c r="F1235" s="35">
        <v>540.0</v>
      </c>
      <c r="G1235" s="35">
        <v>4.7</v>
      </c>
      <c r="H1235" s="35">
        <v>114.9</v>
      </c>
      <c r="I1235" s="35" t="s">
        <v>62</v>
      </c>
    </row>
    <row r="1236" ht="22.5" customHeight="1">
      <c r="A1236" s="35" t="s">
        <v>2713</v>
      </c>
      <c r="B1236" s="35" t="s">
        <v>2714</v>
      </c>
      <c r="C1236" s="35" t="s">
        <v>7756</v>
      </c>
      <c r="D1236" s="35" t="s">
        <v>120</v>
      </c>
      <c r="E1236" s="35" t="s">
        <v>312</v>
      </c>
      <c r="F1236" s="35">
        <v>1030.0</v>
      </c>
      <c r="G1236" s="35">
        <v>7.59</v>
      </c>
      <c r="H1236" s="35">
        <v>135.7</v>
      </c>
      <c r="I1236" s="35" t="s">
        <v>62</v>
      </c>
    </row>
    <row r="1237" ht="22.5" customHeight="1">
      <c r="A1237" s="35" t="s">
        <v>2715</v>
      </c>
      <c r="B1237" s="35" t="s">
        <v>2716</v>
      </c>
      <c r="C1237" s="35" t="s">
        <v>7756</v>
      </c>
      <c r="D1237" s="35" t="s">
        <v>72</v>
      </c>
      <c r="E1237" s="35" t="s">
        <v>71</v>
      </c>
      <c r="F1237" s="35">
        <v>6092.0</v>
      </c>
      <c r="G1237" s="35">
        <v>9.6</v>
      </c>
      <c r="H1237" s="35">
        <v>634.6</v>
      </c>
      <c r="I1237" s="35" t="s">
        <v>142</v>
      </c>
    </row>
    <row r="1238" ht="22.5" customHeight="1">
      <c r="A1238" s="35" t="s">
        <v>2717</v>
      </c>
      <c r="B1238" s="35" t="s">
        <v>2718</v>
      </c>
      <c r="C1238" s="35" t="s">
        <v>7756</v>
      </c>
      <c r="D1238" s="35" t="s">
        <v>236</v>
      </c>
      <c r="E1238" s="35" t="s">
        <v>558</v>
      </c>
      <c r="F1238" s="35">
        <v>8455.0</v>
      </c>
      <c r="G1238" s="35">
        <v>3.04</v>
      </c>
      <c r="H1238" s="35">
        <v>2781.2</v>
      </c>
      <c r="I1238" s="35" t="s">
        <v>142</v>
      </c>
    </row>
    <row r="1239" ht="22.5" customHeight="1">
      <c r="A1239" s="35" t="s">
        <v>2719</v>
      </c>
      <c r="B1239" s="35" t="s">
        <v>2720</v>
      </c>
      <c r="C1239" s="35" t="s">
        <v>7756</v>
      </c>
      <c r="D1239" s="35" t="s">
        <v>236</v>
      </c>
      <c r="E1239" s="35" t="s">
        <v>558</v>
      </c>
      <c r="F1239" s="35">
        <v>1025.0</v>
      </c>
      <c r="G1239" s="35">
        <v>1.14</v>
      </c>
      <c r="H1239" s="35">
        <v>899.1</v>
      </c>
      <c r="I1239" s="35" t="s">
        <v>62</v>
      </c>
    </row>
    <row r="1240" ht="22.5" customHeight="1">
      <c r="A1240" s="35" t="s">
        <v>2721</v>
      </c>
      <c r="B1240" s="35" t="s">
        <v>2722</v>
      </c>
      <c r="C1240" s="35" t="s">
        <v>7756</v>
      </c>
      <c r="D1240" s="35" t="s">
        <v>146</v>
      </c>
      <c r="E1240" s="35" t="s">
        <v>268</v>
      </c>
      <c r="F1240" s="35">
        <v>5054.0</v>
      </c>
      <c r="G1240" s="35">
        <v>4.52</v>
      </c>
      <c r="H1240" s="35">
        <v>1118.1</v>
      </c>
      <c r="I1240" s="35" t="s">
        <v>142</v>
      </c>
    </row>
    <row r="1241" ht="22.5" customHeight="1">
      <c r="A1241" s="35" t="s">
        <v>2723</v>
      </c>
      <c r="B1241" s="35" t="s">
        <v>2724</v>
      </c>
      <c r="C1241" s="35" t="s">
        <v>7756</v>
      </c>
      <c r="D1241" s="35" t="s">
        <v>149</v>
      </c>
      <c r="E1241" s="35" t="s">
        <v>363</v>
      </c>
      <c r="F1241" s="35">
        <v>286.0</v>
      </c>
      <c r="G1241" s="35">
        <v>8.17</v>
      </c>
      <c r="H1241" s="35">
        <v>35.0</v>
      </c>
      <c r="I1241" s="35" t="s">
        <v>75</v>
      </c>
    </row>
    <row r="1242" ht="22.5" customHeight="1">
      <c r="A1242" s="35" t="s">
        <v>2725</v>
      </c>
      <c r="B1242" s="35" t="s">
        <v>2726</v>
      </c>
      <c r="C1242" s="35" t="s">
        <v>7756</v>
      </c>
      <c r="D1242" s="35" t="s">
        <v>224</v>
      </c>
      <c r="E1242" s="35" t="s">
        <v>390</v>
      </c>
      <c r="F1242" s="35">
        <v>4847.0</v>
      </c>
      <c r="G1242" s="35">
        <v>8.0</v>
      </c>
      <c r="H1242" s="35">
        <v>605.9</v>
      </c>
      <c r="I1242" s="35" t="s">
        <v>142</v>
      </c>
    </row>
    <row r="1243" ht="22.5" customHeight="1">
      <c r="A1243" s="35" t="s">
        <v>2727</v>
      </c>
      <c r="B1243" s="35" t="s">
        <v>2728</v>
      </c>
      <c r="C1243" s="35" t="s">
        <v>7756</v>
      </c>
      <c r="D1243" s="35" t="s">
        <v>171</v>
      </c>
      <c r="E1243" s="35" t="s">
        <v>457</v>
      </c>
      <c r="F1243" s="35">
        <v>1007.0</v>
      </c>
      <c r="G1243" s="35">
        <v>23.33</v>
      </c>
      <c r="H1243" s="35">
        <v>43.2</v>
      </c>
      <c r="I1243" s="35" t="s">
        <v>62</v>
      </c>
    </row>
    <row r="1244" ht="22.5" customHeight="1">
      <c r="A1244" s="35" t="s">
        <v>2729</v>
      </c>
      <c r="B1244" s="35" t="s">
        <v>2730</v>
      </c>
      <c r="C1244" s="35" t="s">
        <v>7756</v>
      </c>
      <c r="D1244" s="35" t="s">
        <v>192</v>
      </c>
      <c r="E1244" s="35" t="s">
        <v>508</v>
      </c>
      <c r="F1244" s="35">
        <v>2126.0</v>
      </c>
      <c r="G1244" s="35">
        <v>8.64</v>
      </c>
      <c r="H1244" s="35">
        <v>246.1</v>
      </c>
      <c r="I1244" s="35" t="s">
        <v>142</v>
      </c>
    </row>
    <row r="1245" ht="22.5" customHeight="1">
      <c r="A1245" s="35" t="s">
        <v>2731</v>
      </c>
      <c r="B1245" s="35" t="s">
        <v>2732</v>
      </c>
      <c r="C1245" s="35" t="s">
        <v>7756</v>
      </c>
      <c r="D1245" s="35" t="s">
        <v>135</v>
      </c>
      <c r="E1245" s="35" t="s">
        <v>349</v>
      </c>
      <c r="F1245" s="35">
        <v>765.0</v>
      </c>
      <c r="G1245" s="35">
        <v>6.46</v>
      </c>
      <c r="H1245" s="35">
        <v>118.4</v>
      </c>
      <c r="I1245" s="35" t="s">
        <v>62</v>
      </c>
    </row>
    <row r="1246" ht="22.5" customHeight="1">
      <c r="A1246" s="35" t="s">
        <v>2733</v>
      </c>
      <c r="B1246" s="35" t="s">
        <v>2734</v>
      </c>
      <c r="C1246" s="35" t="s">
        <v>7756</v>
      </c>
      <c r="D1246" s="35" t="s">
        <v>224</v>
      </c>
      <c r="E1246" s="35" t="s">
        <v>390</v>
      </c>
      <c r="F1246" s="35">
        <v>3016.0</v>
      </c>
      <c r="G1246" s="35">
        <v>2.24</v>
      </c>
      <c r="H1246" s="35">
        <v>1346.4</v>
      </c>
      <c r="I1246" s="35" t="s">
        <v>142</v>
      </c>
    </row>
    <row r="1247" ht="22.5" customHeight="1">
      <c r="A1247" s="35" t="s">
        <v>2735</v>
      </c>
      <c r="B1247" s="35" t="s">
        <v>2736</v>
      </c>
      <c r="C1247" s="35" t="s">
        <v>7756</v>
      </c>
      <c r="D1247" s="35" t="s">
        <v>145</v>
      </c>
      <c r="E1247" s="35" t="s">
        <v>255</v>
      </c>
      <c r="F1247" s="35">
        <v>2371.0</v>
      </c>
      <c r="G1247" s="35">
        <v>11.31</v>
      </c>
      <c r="H1247" s="35">
        <v>209.6</v>
      </c>
      <c r="I1247" s="35" t="s">
        <v>142</v>
      </c>
    </row>
    <row r="1248" ht="22.5" customHeight="1">
      <c r="A1248" s="35" t="s">
        <v>2737</v>
      </c>
      <c r="B1248" s="35" t="s">
        <v>2738</v>
      </c>
      <c r="C1248" s="35" t="s">
        <v>7756</v>
      </c>
      <c r="D1248" s="35" t="s">
        <v>192</v>
      </c>
      <c r="E1248" s="35" t="s">
        <v>508</v>
      </c>
      <c r="F1248" s="35">
        <v>439.0</v>
      </c>
      <c r="G1248" s="35">
        <v>4.02</v>
      </c>
      <c r="H1248" s="35">
        <v>109.2</v>
      </c>
      <c r="I1248" s="35" t="s">
        <v>75</v>
      </c>
    </row>
    <row r="1249" ht="22.5" customHeight="1">
      <c r="A1249" s="35" t="s">
        <v>2739</v>
      </c>
      <c r="B1249" s="35" t="s">
        <v>2740</v>
      </c>
      <c r="C1249" s="35" t="s">
        <v>7756</v>
      </c>
      <c r="D1249" s="35" t="s">
        <v>99</v>
      </c>
      <c r="E1249" s="35" t="s">
        <v>98</v>
      </c>
      <c r="F1249" s="35">
        <v>399.0</v>
      </c>
      <c r="G1249" s="35">
        <v>3.26</v>
      </c>
      <c r="H1249" s="35">
        <v>122.4</v>
      </c>
      <c r="I1249" s="35" t="s">
        <v>75</v>
      </c>
    </row>
    <row r="1250" ht="22.5" customHeight="1">
      <c r="A1250" s="35" t="s">
        <v>2741</v>
      </c>
      <c r="B1250" s="35" t="s">
        <v>2742</v>
      </c>
      <c r="C1250" s="35" t="s">
        <v>7756</v>
      </c>
      <c r="D1250" s="35" t="s">
        <v>236</v>
      </c>
      <c r="E1250" s="35" t="s">
        <v>558</v>
      </c>
      <c r="F1250" s="35">
        <v>2031.0</v>
      </c>
      <c r="G1250" s="35">
        <v>5.05</v>
      </c>
      <c r="H1250" s="35">
        <v>402.2</v>
      </c>
      <c r="I1250" s="35" t="s">
        <v>142</v>
      </c>
    </row>
    <row r="1251" ht="22.5" customHeight="1">
      <c r="A1251" s="35" t="s">
        <v>2743</v>
      </c>
      <c r="B1251" s="35" t="s">
        <v>2744</v>
      </c>
      <c r="C1251" s="35" t="s">
        <v>7756</v>
      </c>
      <c r="D1251" s="35" t="s">
        <v>146</v>
      </c>
      <c r="E1251" s="35" t="s">
        <v>268</v>
      </c>
      <c r="F1251" s="35">
        <v>2100.0</v>
      </c>
      <c r="G1251" s="35">
        <v>6.36</v>
      </c>
      <c r="H1251" s="35">
        <v>330.2</v>
      </c>
      <c r="I1251" s="35" t="s">
        <v>142</v>
      </c>
    </row>
    <row r="1252" ht="22.5" customHeight="1">
      <c r="A1252" s="35" t="s">
        <v>2745</v>
      </c>
      <c r="B1252" s="35" t="s">
        <v>2746</v>
      </c>
      <c r="C1252" s="35" t="s">
        <v>7756</v>
      </c>
      <c r="D1252" s="35" t="s">
        <v>192</v>
      </c>
      <c r="E1252" s="35" t="s">
        <v>508</v>
      </c>
      <c r="F1252" s="35">
        <v>832.0</v>
      </c>
      <c r="G1252" s="35">
        <v>3.98</v>
      </c>
      <c r="H1252" s="35">
        <v>209.0</v>
      </c>
      <c r="I1252" s="35" t="s">
        <v>62</v>
      </c>
    </row>
    <row r="1253" ht="22.5" customHeight="1">
      <c r="A1253" s="35" t="s">
        <v>2747</v>
      </c>
      <c r="B1253" s="35" t="s">
        <v>2748</v>
      </c>
      <c r="C1253" s="35" t="s">
        <v>7756</v>
      </c>
      <c r="D1253" s="35" t="s">
        <v>192</v>
      </c>
      <c r="E1253" s="35" t="s">
        <v>508</v>
      </c>
      <c r="F1253" s="35">
        <v>300.0</v>
      </c>
      <c r="G1253" s="35">
        <v>5.1</v>
      </c>
      <c r="H1253" s="35">
        <v>58.8</v>
      </c>
      <c r="I1253" s="35" t="s">
        <v>75</v>
      </c>
    </row>
    <row r="1254" ht="22.5" customHeight="1">
      <c r="A1254" s="35" t="s">
        <v>2749</v>
      </c>
      <c r="B1254" s="35" t="s">
        <v>2750</v>
      </c>
      <c r="C1254" s="35" t="s">
        <v>7756</v>
      </c>
      <c r="D1254" s="35" t="s">
        <v>149</v>
      </c>
      <c r="E1254" s="35" t="s">
        <v>363</v>
      </c>
      <c r="F1254" s="35">
        <v>1000.0</v>
      </c>
      <c r="G1254" s="35">
        <v>23.11</v>
      </c>
      <c r="H1254" s="35">
        <v>43.3</v>
      </c>
      <c r="I1254" s="35" t="s">
        <v>62</v>
      </c>
    </row>
    <row r="1255" ht="22.5" customHeight="1">
      <c r="A1255" s="35" t="s">
        <v>2751</v>
      </c>
      <c r="B1255" s="35" t="s">
        <v>2752</v>
      </c>
      <c r="C1255" s="35" t="s">
        <v>7756</v>
      </c>
      <c r="D1255" s="35" t="s">
        <v>146</v>
      </c>
      <c r="E1255" s="35" t="s">
        <v>268</v>
      </c>
      <c r="F1255" s="35">
        <v>2178.0</v>
      </c>
      <c r="G1255" s="35">
        <v>4.38</v>
      </c>
      <c r="H1255" s="35">
        <v>497.3</v>
      </c>
      <c r="I1255" s="35" t="s">
        <v>142</v>
      </c>
    </row>
    <row r="1256" ht="22.5" customHeight="1">
      <c r="A1256" s="35" t="s">
        <v>2753</v>
      </c>
      <c r="B1256" s="35" t="s">
        <v>2754</v>
      </c>
      <c r="C1256" s="35" t="s">
        <v>7756</v>
      </c>
      <c r="D1256" s="35" t="s">
        <v>120</v>
      </c>
      <c r="E1256" s="35" t="s">
        <v>312</v>
      </c>
      <c r="F1256" s="35">
        <v>3206.0</v>
      </c>
      <c r="G1256" s="35">
        <v>6.3</v>
      </c>
      <c r="H1256" s="35">
        <v>508.9</v>
      </c>
      <c r="I1256" s="35" t="s">
        <v>142</v>
      </c>
    </row>
    <row r="1257" ht="22.5" customHeight="1">
      <c r="A1257" s="35" t="s">
        <v>2755</v>
      </c>
      <c r="B1257" s="35" t="s">
        <v>2756</v>
      </c>
      <c r="C1257" s="35" t="s">
        <v>7756</v>
      </c>
      <c r="D1257" s="35" t="s">
        <v>236</v>
      </c>
      <c r="E1257" s="35" t="s">
        <v>558</v>
      </c>
      <c r="F1257" s="35">
        <v>4428.0</v>
      </c>
      <c r="G1257" s="35">
        <v>3.39</v>
      </c>
      <c r="H1257" s="35">
        <v>1306.2</v>
      </c>
      <c r="I1257" s="35" t="s">
        <v>142</v>
      </c>
    </row>
    <row r="1258" ht="22.5" customHeight="1">
      <c r="A1258" s="35" t="s">
        <v>2757</v>
      </c>
      <c r="B1258" s="35" t="s">
        <v>2758</v>
      </c>
      <c r="C1258" s="35" t="s">
        <v>7756</v>
      </c>
      <c r="D1258" s="35" t="s">
        <v>171</v>
      </c>
      <c r="E1258" s="35" t="s">
        <v>457</v>
      </c>
      <c r="F1258" s="35">
        <v>1108.0</v>
      </c>
      <c r="G1258" s="35">
        <v>18.77</v>
      </c>
      <c r="H1258" s="35">
        <v>59.0</v>
      </c>
      <c r="I1258" s="35" t="s">
        <v>62</v>
      </c>
    </row>
    <row r="1259" ht="22.5" customHeight="1">
      <c r="A1259" s="35" t="s">
        <v>2759</v>
      </c>
      <c r="B1259" s="35" t="s">
        <v>2760</v>
      </c>
      <c r="C1259" s="35" t="s">
        <v>7756</v>
      </c>
      <c r="D1259" s="35" t="s">
        <v>146</v>
      </c>
      <c r="E1259" s="35" t="s">
        <v>268</v>
      </c>
      <c r="F1259" s="35">
        <v>3145.0</v>
      </c>
      <c r="G1259" s="35">
        <v>12.22</v>
      </c>
      <c r="H1259" s="35">
        <v>257.4</v>
      </c>
      <c r="I1259" s="35" t="s">
        <v>142</v>
      </c>
    </row>
    <row r="1260" ht="22.5" customHeight="1">
      <c r="A1260" s="35" t="s">
        <v>2761</v>
      </c>
      <c r="B1260" s="35" t="s">
        <v>2762</v>
      </c>
      <c r="C1260" s="35" t="s">
        <v>7756</v>
      </c>
      <c r="D1260" s="35" t="s">
        <v>146</v>
      </c>
      <c r="E1260" s="35" t="s">
        <v>268</v>
      </c>
      <c r="F1260" s="35">
        <v>865.0</v>
      </c>
      <c r="G1260" s="35">
        <v>4.26</v>
      </c>
      <c r="H1260" s="35">
        <v>203.1</v>
      </c>
      <c r="I1260" s="35" t="s">
        <v>62</v>
      </c>
    </row>
    <row r="1261" ht="22.5" customHeight="1">
      <c r="A1261" s="35" t="s">
        <v>2763</v>
      </c>
      <c r="B1261" s="35" t="s">
        <v>2764</v>
      </c>
      <c r="C1261" s="35" t="s">
        <v>7756</v>
      </c>
      <c r="D1261" s="35" t="s">
        <v>192</v>
      </c>
      <c r="E1261" s="35" t="s">
        <v>508</v>
      </c>
      <c r="F1261" s="35">
        <v>4878.0</v>
      </c>
      <c r="G1261" s="35">
        <v>14.22</v>
      </c>
      <c r="H1261" s="35">
        <v>343.0</v>
      </c>
      <c r="I1261" s="35" t="s">
        <v>142</v>
      </c>
    </row>
    <row r="1262" ht="22.5" customHeight="1">
      <c r="A1262" s="35" t="s">
        <v>2765</v>
      </c>
      <c r="B1262" s="35" t="s">
        <v>2766</v>
      </c>
      <c r="C1262" s="35" t="s">
        <v>7756</v>
      </c>
      <c r="D1262" s="35" t="s">
        <v>236</v>
      </c>
      <c r="E1262" s="35" t="s">
        <v>558</v>
      </c>
      <c r="F1262" s="35">
        <v>6805.0</v>
      </c>
      <c r="G1262" s="35">
        <v>14.41</v>
      </c>
      <c r="H1262" s="35">
        <v>472.2</v>
      </c>
      <c r="I1262" s="35" t="s">
        <v>142</v>
      </c>
    </row>
    <row r="1263" ht="22.5" customHeight="1">
      <c r="A1263" s="35" t="s">
        <v>2767</v>
      </c>
      <c r="B1263" s="35" t="s">
        <v>2768</v>
      </c>
      <c r="C1263" s="35" t="s">
        <v>7756</v>
      </c>
      <c r="D1263" s="35" t="s">
        <v>145</v>
      </c>
      <c r="E1263" s="35" t="s">
        <v>255</v>
      </c>
      <c r="F1263" s="35">
        <v>135.0</v>
      </c>
      <c r="G1263" s="35">
        <v>4.36</v>
      </c>
      <c r="H1263" s="35">
        <v>31.0</v>
      </c>
      <c r="I1263" s="35" t="s">
        <v>75</v>
      </c>
    </row>
    <row r="1264" ht="22.5" customHeight="1">
      <c r="A1264" s="35" t="s">
        <v>2769</v>
      </c>
      <c r="B1264" s="35" t="s">
        <v>2770</v>
      </c>
      <c r="C1264" s="35" t="s">
        <v>7756</v>
      </c>
      <c r="D1264" s="35" t="s">
        <v>146</v>
      </c>
      <c r="E1264" s="35" t="s">
        <v>268</v>
      </c>
      <c r="F1264" s="35">
        <v>5949.0</v>
      </c>
      <c r="G1264" s="35">
        <v>4.69</v>
      </c>
      <c r="H1264" s="35">
        <v>1268.4</v>
      </c>
      <c r="I1264" s="35" t="s">
        <v>142</v>
      </c>
    </row>
    <row r="1265" ht="22.5" customHeight="1">
      <c r="A1265" s="35" t="s">
        <v>2771</v>
      </c>
      <c r="B1265" s="35" t="s">
        <v>2772</v>
      </c>
      <c r="C1265" s="35" t="s">
        <v>7756</v>
      </c>
      <c r="D1265" s="35" t="s">
        <v>135</v>
      </c>
      <c r="E1265" s="35" t="s">
        <v>349</v>
      </c>
      <c r="F1265" s="35">
        <v>1803.0</v>
      </c>
      <c r="G1265" s="35">
        <v>6.82</v>
      </c>
      <c r="H1265" s="35">
        <v>264.4</v>
      </c>
      <c r="I1265" s="35" t="s">
        <v>62</v>
      </c>
    </row>
    <row r="1266" ht="22.5" customHeight="1">
      <c r="A1266" s="35" t="s">
        <v>2773</v>
      </c>
      <c r="B1266" s="35" t="s">
        <v>2774</v>
      </c>
      <c r="C1266" s="35" t="s">
        <v>7756</v>
      </c>
      <c r="D1266" s="35" t="s">
        <v>130</v>
      </c>
      <c r="E1266" s="35" t="s">
        <v>180</v>
      </c>
      <c r="F1266" s="35">
        <v>2672.0</v>
      </c>
      <c r="G1266" s="35">
        <v>4.85</v>
      </c>
      <c r="H1266" s="35">
        <v>550.9</v>
      </c>
      <c r="I1266" s="35" t="s">
        <v>142</v>
      </c>
    </row>
    <row r="1267" ht="22.5" customHeight="1">
      <c r="A1267" s="35" t="s">
        <v>2775</v>
      </c>
      <c r="B1267" s="35" t="s">
        <v>2776</v>
      </c>
      <c r="C1267" s="35" t="s">
        <v>7756</v>
      </c>
      <c r="D1267" s="35" t="s">
        <v>236</v>
      </c>
      <c r="E1267" s="35" t="s">
        <v>558</v>
      </c>
      <c r="F1267" s="35">
        <v>1410.0</v>
      </c>
      <c r="G1267" s="35">
        <v>6.83</v>
      </c>
      <c r="H1267" s="35">
        <v>206.4</v>
      </c>
      <c r="I1267" s="35" t="s">
        <v>62</v>
      </c>
    </row>
    <row r="1268" ht="22.5" customHeight="1">
      <c r="A1268" s="35" t="s">
        <v>2777</v>
      </c>
      <c r="B1268" s="35" t="s">
        <v>2778</v>
      </c>
      <c r="C1268" s="35" t="s">
        <v>7756</v>
      </c>
      <c r="D1268" s="35" t="s">
        <v>120</v>
      </c>
      <c r="E1268" s="35" t="s">
        <v>312</v>
      </c>
      <c r="F1268" s="35">
        <v>2127.0</v>
      </c>
      <c r="G1268" s="35">
        <v>7.11</v>
      </c>
      <c r="H1268" s="35">
        <v>299.2</v>
      </c>
      <c r="I1268" s="35" t="s">
        <v>142</v>
      </c>
    </row>
    <row r="1269" ht="22.5" customHeight="1">
      <c r="A1269" s="35" t="s">
        <v>2779</v>
      </c>
      <c r="B1269" s="35" t="s">
        <v>2780</v>
      </c>
      <c r="C1269" s="35" t="s">
        <v>7756</v>
      </c>
      <c r="D1269" s="35" t="s">
        <v>130</v>
      </c>
      <c r="E1269" s="35" t="s">
        <v>180</v>
      </c>
      <c r="F1269" s="35">
        <v>4000.0</v>
      </c>
      <c r="G1269" s="35">
        <v>11.07</v>
      </c>
      <c r="H1269" s="35">
        <v>361.3</v>
      </c>
      <c r="I1269" s="35" t="s">
        <v>142</v>
      </c>
    </row>
    <row r="1270" ht="22.5" customHeight="1">
      <c r="A1270" s="35" t="s">
        <v>2781</v>
      </c>
      <c r="B1270" s="35" t="s">
        <v>2782</v>
      </c>
      <c r="C1270" s="35" t="s">
        <v>7756</v>
      </c>
      <c r="D1270" s="35" t="s">
        <v>149</v>
      </c>
      <c r="E1270" s="35" t="s">
        <v>363</v>
      </c>
      <c r="F1270" s="35">
        <v>197.0</v>
      </c>
      <c r="G1270" s="35">
        <v>6.18</v>
      </c>
      <c r="H1270" s="35">
        <v>31.9</v>
      </c>
      <c r="I1270" s="35" t="s">
        <v>75</v>
      </c>
    </row>
    <row r="1271" ht="22.5" customHeight="1">
      <c r="A1271" s="35" t="s">
        <v>2783</v>
      </c>
      <c r="B1271" s="35" t="s">
        <v>2784</v>
      </c>
      <c r="C1271" s="35" t="s">
        <v>7756</v>
      </c>
      <c r="D1271" s="35" t="s">
        <v>122</v>
      </c>
      <c r="E1271" s="35" t="s">
        <v>328</v>
      </c>
      <c r="F1271" s="35">
        <v>12199.0</v>
      </c>
      <c r="G1271" s="35">
        <v>33.33</v>
      </c>
      <c r="H1271" s="35">
        <v>366.0</v>
      </c>
      <c r="I1271" s="35" t="s">
        <v>571</v>
      </c>
    </row>
    <row r="1272" ht="22.5" customHeight="1">
      <c r="A1272" s="35" t="s">
        <v>2785</v>
      </c>
      <c r="B1272" s="35" t="s">
        <v>2786</v>
      </c>
      <c r="C1272" s="35" t="s">
        <v>7756</v>
      </c>
      <c r="D1272" s="35" t="s">
        <v>120</v>
      </c>
      <c r="E1272" s="35" t="s">
        <v>312</v>
      </c>
      <c r="F1272" s="35">
        <v>579.0</v>
      </c>
      <c r="G1272" s="35">
        <v>5.1</v>
      </c>
      <c r="H1272" s="35">
        <v>113.5</v>
      </c>
      <c r="I1272" s="35" t="s">
        <v>62</v>
      </c>
    </row>
    <row r="1273" ht="22.5" customHeight="1">
      <c r="A1273" s="35" t="s">
        <v>2787</v>
      </c>
      <c r="B1273" s="35" t="s">
        <v>2788</v>
      </c>
      <c r="C1273" s="35" t="s">
        <v>7756</v>
      </c>
      <c r="D1273" s="35" t="s">
        <v>149</v>
      </c>
      <c r="E1273" s="35" t="s">
        <v>363</v>
      </c>
      <c r="F1273" s="35">
        <v>220.0</v>
      </c>
      <c r="G1273" s="35">
        <v>9.54</v>
      </c>
      <c r="H1273" s="35">
        <v>23.1</v>
      </c>
      <c r="I1273" s="35" t="s">
        <v>75</v>
      </c>
    </row>
    <row r="1274" ht="22.5" customHeight="1">
      <c r="A1274" s="35" t="s">
        <v>2789</v>
      </c>
      <c r="B1274" s="35" t="s">
        <v>2790</v>
      </c>
      <c r="C1274" s="35" t="s">
        <v>7756</v>
      </c>
      <c r="D1274" s="35" t="s">
        <v>192</v>
      </c>
      <c r="E1274" s="35" t="s">
        <v>508</v>
      </c>
      <c r="F1274" s="35">
        <v>150.0</v>
      </c>
      <c r="G1274" s="35">
        <v>1.04</v>
      </c>
      <c r="H1274" s="35">
        <v>144.2</v>
      </c>
      <c r="I1274" s="35" t="s">
        <v>75</v>
      </c>
    </row>
    <row r="1275" ht="22.5" customHeight="1">
      <c r="A1275" s="35" t="s">
        <v>2791</v>
      </c>
      <c r="B1275" s="35" t="s">
        <v>2792</v>
      </c>
      <c r="C1275" s="35" t="s">
        <v>7756</v>
      </c>
      <c r="D1275" s="35" t="s">
        <v>145</v>
      </c>
      <c r="E1275" s="35" t="s">
        <v>255</v>
      </c>
      <c r="F1275" s="35">
        <v>2338.0</v>
      </c>
      <c r="G1275" s="35">
        <v>6.14</v>
      </c>
      <c r="H1275" s="35">
        <v>380.8</v>
      </c>
      <c r="I1275" s="35" t="s">
        <v>142</v>
      </c>
    </row>
    <row r="1276" ht="22.5" customHeight="1">
      <c r="A1276" s="35" t="s">
        <v>2793</v>
      </c>
      <c r="B1276" s="35" t="s">
        <v>2794</v>
      </c>
      <c r="C1276" s="35" t="s">
        <v>7756</v>
      </c>
      <c r="D1276" s="35" t="s">
        <v>135</v>
      </c>
      <c r="E1276" s="35" t="s">
        <v>349</v>
      </c>
      <c r="F1276" s="35">
        <v>241.0</v>
      </c>
      <c r="G1276" s="35">
        <v>6.35</v>
      </c>
      <c r="H1276" s="35">
        <v>38.0</v>
      </c>
      <c r="I1276" s="35" t="s">
        <v>75</v>
      </c>
    </row>
    <row r="1277" ht="22.5" customHeight="1">
      <c r="A1277" s="35" t="s">
        <v>2795</v>
      </c>
      <c r="B1277" s="35" t="s">
        <v>2796</v>
      </c>
      <c r="C1277" s="35" t="s">
        <v>7756</v>
      </c>
      <c r="D1277" s="35" t="s">
        <v>99</v>
      </c>
      <c r="E1277" s="35" t="s">
        <v>98</v>
      </c>
      <c r="F1277" s="35">
        <v>2113.0</v>
      </c>
      <c r="G1277" s="35">
        <v>18.95</v>
      </c>
      <c r="H1277" s="35">
        <v>111.5</v>
      </c>
      <c r="I1277" s="35" t="s">
        <v>142</v>
      </c>
    </row>
    <row r="1278" ht="22.5" customHeight="1">
      <c r="A1278" s="35" t="s">
        <v>2797</v>
      </c>
      <c r="B1278" s="35" t="s">
        <v>2798</v>
      </c>
      <c r="C1278" s="35" t="s">
        <v>7756</v>
      </c>
      <c r="D1278" s="35" t="s">
        <v>135</v>
      </c>
      <c r="E1278" s="35" t="s">
        <v>349</v>
      </c>
      <c r="F1278" s="35">
        <v>337.0</v>
      </c>
      <c r="G1278" s="35">
        <v>2.77</v>
      </c>
      <c r="H1278" s="35">
        <v>121.7</v>
      </c>
      <c r="I1278" s="35" t="s">
        <v>75</v>
      </c>
    </row>
    <row r="1279" ht="22.5" customHeight="1">
      <c r="A1279" s="35" t="s">
        <v>2799</v>
      </c>
      <c r="B1279" s="35" t="s">
        <v>2800</v>
      </c>
      <c r="C1279" s="35" t="s">
        <v>7756</v>
      </c>
      <c r="D1279" s="35" t="s">
        <v>171</v>
      </c>
      <c r="E1279" s="35" t="s">
        <v>457</v>
      </c>
      <c r="F1279" s="35">
        <v>1976.0</v>
      </c>
      <c r="G1279" s="35">
        <v>13.36</v>
      </c>
      <c r="H1279" s="35">
        <v>147.9</v>
      </c>
      <c r="I1279" s="35" t="s">
        <v>62</v>
      </c>
    </row>
    <row r="1280" ht="22.5" customHeight="1">
      <c r="A1280" s="35" t="s">
        <v>2801</v>
      </c>
      <c r="B1280" s="35" t="s">
        <v>2802</v>
      </c>
      <c r="C1280" s="35" t="s">
        <v>7756</v>
      </c>
      <c r="D1280" s="35" t="s">
        <v>120</v>
      </c>
      <c r="E1280" s="35" t="s">
        <v>312</v>
      </c>
      <c r="F1280" s="35">
        <v>380.0</v>
      </c>
      <c r="G1280" s="35">
        <v>8.78</v>
      </c>
      <c r="H1280" s="35">
        <v>43.3</v>
      </c>
      <c r="I1280" s="35" t="s">
        <v>75</v>
      </c>
    </row>
    <row r="1281" ht="22.5" customHeight="1">
      <c r="A1281" s="35" t="s">
        <v>2803</v>
      </c>
      <c r="B1281" s="35" t="s">
        <v>2804</v>
      </c>
      <c r="C1281" s="35" t="s">
        <v>7756</v>
      </c>
      <c r="D1281" s="35" t="s">
        <v>72</v>
      </c>
      <c r="E1281" s="35" t="s">
        <v>71</v>
      </c>
      <c r="F1281" s="35">
        <v>1261.0</v>
      </c>
      <c r="G1281" s="35">
        <v>7.35</v>
      </c>
      <c r="H1281" s="35">
        <v>171.6</v>
      </c>
      <c r="I1281" s="35" t="s">
        <v>62</v>
      </c>
    </row>
    <row r="1282" ht="22.5" customHeight="1">
      <c r="A1282" s="35" t="s">
        <v>2805</v>
      </c>
      <c r="B1282" s="35" t="s">
        <v>2806</v>
      </c>
      <c r="C1282" s="35" t="s">
        <v>7756</v>
      </c>
      <c r="D1282" s="35" t="s">
        <v>120</v>
      </c>
      <c r="E1282" s="35" t="s">
        <v>312</v>
      </c>
      <c r="F1282" s="35">
        <v>1425.0</v>
      </c>
      <c r="G1282" s="35">
        <v>7.63</v>
      </c>
      <c r="H1282" s="35">
        <v>186.8</v>
      </c>
      <c r="I1282" s="35" t="s">
        <v>62</v>
      </c>
    </row>
    <row r="1283" ht="22.5" customHeight="1">
      <c r="A1283" s="35" t="s">
        <v>2807</v>
      </c>
      <c r="B1283" s="35" t="s">
        <v>2808</v>
      </c>
      <c r="C1283" s="35" t="s">
        <v>7756</v>
      </c>
      <c r="D1283" s="35" t="s">
        <v>192</v>
      </c>
      <c r="E1283" s="35" t="s">
        <v>508</v>
      </c>
      <c r="F1283" s="35">
        <v>201.0</v>
      </c>
      <c r="G1283" s="35">
        <v>2.32</v>
      </c>
      <c r="H1283" s="35">
        <v>86.6</v>
      </c>
      <c r="I1283" s="35" t="s">
        <v>75</v>
      </c>
    </row>
    <row r="1284" ht="22.5" customHeight="1">
      <c r="A1284" s="35" t="s">
        <v>2809</v>
      </c>
      <c r="B1284" s="35" t="s">
        <v>2810</v>
      </c>
      <c r="C1284" s="35" t="s">
        <v>7756</v>
      </c>
      <c r="D1284" s="35" t="s">
        <v>122</v>
      </c>
      <c r="E1284" s="35" t="s">
        <v>328</v>
      </c>
      <c r="F1284" s="35">
        <v>3743.0</v>
      </c>
      <c r="G1284" s="35">
        <v>4.05</v>
      </c>
      <c r="H1284" s="35">
        <v>924.2</v>
      </c>
      <c r="I1284" s="35" t="s">
        <v>142</v>
      </c>
    </row>
    <row r="1285" ht="22.5" customHeight="1">
      <c r="A1285" s="35" t="s">
        <v>2811</v>
      </c>
      <c r="B1285" s="35" t="s">
        <v>2812</v>
      </c>
      <c r="C1285" s="35" t="s">
        <v>7756</v>
      </c>
      <c r="D1285" s="35" t="s">
        <v>146</v>
      </c>
      <c r="E1285" s="35" t="s">
        <v>268</v>
      </c>
      <c r="F1285" s="35">
        <v>741.0</v>
      </c>
      <c r="G1285" s="35">
        <v>4.79</v>
      </c>
      <c r="H1285" s="35">
        <v>154.7</v>
      </c>
      <c r="I1285" s="35" t="s">
        <v>62</v>
      </c>
    </row>
    <row r="1286" ht="22.5" customHeight="1">
      <c r="A1286" s="35" t="s">
        <v>2813</v>
      </c>
      <c r="B1286" s="35" t="s">
        <v>2814</v>
      </c>
      <c r="C1286" s="35" t="s">
        <v>7756</v>
      </c>
      <c r="D1286" s="35" t="s">
        <v>202</v>
      </c>
      <c r="E1286" s="35" t="s">
        <v>499</v>
      </c>
      <c r="F1286" s="35">
        <v>471.0</v>
      </c>
      <c r="G1286" s="35">
        <v>5.99</v>
      </c>
      <c r="H1286" s="35">
        <v>78.6</v>
      </c>
      <c r="I1286" s="35" t="s">
        <v>75</v>
      </c>
    </row>
    <row r="1287" ht="22.5" customHeight="1">
      <c r="A1287" s="35" t="s">
        <v>2815</v>
      </c>
      <c r="B1287" s="35" t="s">
        <v>2816</v>
      </c>
      <c r="C1287" s="35" t="s">
        <v>7756</v>
      </c>
      <c r="D1287" s="35" t="s">
        <v>236</v>
      </c>
      <c r="E1287" s="35" t="s">
        <v>558</v>
      </c>
      <c r="F1287" s="35">
        <v>19787.0</v>
      </c>
      <c r="G1287" s="35">
        <v>5.43</v>
      </c>
      <c r="H1287" s="35">
        <v>3644.0</v>
      </c>
      <c r="I1287" s="35" t="s">
        <v>571</v>
      </c>
    </row>
    <row r="1288" ht="22.5" customHeight="1">
      <c r="A1288" s="35" t="s">
        <v>2817</v>
      </c>
      <c r="B1288" s="35" t="s">
        <v>2818</v>
      </c>
      <c r="C1288" s="35" t="s">
        <v>7756</v>
      </c>
      <c r="D1288" s="35" t="s">
        <v>236</v>
      </c>
      <c r="E1288" s="35" t="s">
        <v>558</v>
      </c>
      <c r="F1288" s="35">
        <v>14075.0</v>
      </c>
      <c r="G1288" s="35">
        <v>10.56</v>
      </c>
      <c r="H1288" s="35">
        <v>1332.9</v>
      </c>
      <c r="I1288" s="35" t="s">
        <v>571</v>
      </c>
    </row>
    <row r="1289" ht="22.5" customHeight="1">
      <c r="A1289" s="35" t="s">
        <v>2819</v>
      </c>
      <c r="B1289" s="35" t="s">
        <v>2820</v>
      </c>
      <c r="C1289" s="35" t="s">
        <v>7756</v>
      </c>
      <c r="D1289" s="35" t="s">
        <v>130</v>
      </c>
      <c r="E1289" s="35" t="s">
        <v>180</v>
      </c>
      <c r="F1289" s="35">
        <v>5956.0</v>
      </c>
      <c r="G1289" s="35">
        <v>7.15</v>
      </c>
      <c r="H1289" s="35">
        <v>833.0</v>
      </c>
      <c r="I1289" s="35" t="s">
        <v>142</v>
      </c>
    </row>
    <row r="1290" ht="22.5" customHeight="1">
      <c r="A1290" s="35" t="s">
        <v>2821</v>
      </c>
      <c r="B1290" s="35" t="s">
        <v>2822</v>
      </c>
      <c r="C1290" s="35" t="s">
        <v>7756</v>
      </c>
      <c r="D1290" s="35" t="s">
        <v>122</v>
      </c>
      <c r="E1290" s="35" t="s">
        <v>328</v>
      </c>
      <c r="F1290" s="35">
        <v>2022.0</v>
      </c>
      <c r="G1290" s="35">
        <v>8.11</v>
      </c>
      <c r="H1290" s="35">
        <v>249.3</v>
      </c>
      <c r="I1290" s="35" t="s">
        <v>142</v>
      </c>
    </row>
    <row r="1291" ht="22.5" customHeight="1">
      <c r="A1291" s="35" t="s">
        <v>2823</v>
      </c>
      <c r="B1291" s="35" t="s">
        <v>2824</v>
      </c>
      <c r="C1291" s="35" t="s">
        <v>7756</v>
      </c>
      <c r="D1291" s="35" t="s">
        <v>236</v>
      </c>
      <c r="E1291" s="35" t="s">
        <v>558</v>
      </c>
      <c r="F1291" s="35">
        <v>98286.0</v>
      </c>
      <c r="G1291" s="35">
        <v>13.12</v>
      </c>
      <c r="H1291" s="35">
        <v>7491.3</v>
      </c>
      <c r="I1291" s="35" t="s">
        <v>7463</v>
      </c>
    </row>
    <row r="1292" ht="22.5" customHeight="1">
      <c r="A1292" s="35" t="s">
        <v>2825</v>
      </c>
      <c r="B1292" s="35" t="s">
        <v>2826</v>
      </c>
      <c r="C1292" s="35" t="s">
        <v>7756</v>
      </c>
      <c r="D1292" s="35" t="s">
        <v>130</v>
      </c>
      <c r="E1292" s="35" t="s">
        <v>180</v>
      </c>
      <c r="F1292" s="35">
        <v>456.0</v>
      </c>
      <c r="G1292" s="35">
        <v>3.19</v>
      </c>
      <c r="H1292" s="35">
        <v>142.9</v>
      </c>
      <c r="I1292" s="35" t="s">
        <v>75</v>
      </c>
    </row>
    <row r="1293" ht="22.5" customHeight="1">
      <c r="A1293" s="35" t="s">
        <v>2827</v>
      </c>
      <c r="B1293" s="35" t="s">
        <v>2828</v>
      </c>
      <c r="C1293" s="35" t="s">
        <v>7756</v>
      </c>
      <c r="D1293" s="35" t="s">
        <v>145</v>
      </c>
      <c r="E1293" s="35" t="s">
        <v>255</v>
      </c>
      <c r="F1293" s="35">
        <v>3980.0</v>
      </c>
      <c r="G1293" s="35">
        <v>5.78</v>
      </c>
      <c r="H1293" s="35">
        <v>688.6</v>
      </c>
      <c r="I1293" s="35" t="s">
        <v>142</v>
      </c>
    </row>
    <row r="1294" ht="22.5" customHeight="1">
      <c r="A1294" s="35" t="s">
        <v>2829</v>
      </c>
      <c r="B1294" s="35" t="s">
        <v>2830</v>
      </c>
      <c r="C1294" s="35" t="s">
        <v>7756</v>
      </c>
      <c r="D1294" s="35" t="s">
        <v>146</v>
      </c>
      <c r="E1294" s="35" t="s">
        <v>268</v>
      </c>
      <c r="F1294" s="35">
        <v>655.0</v>
      </c>
      <c r="G1294" s="35">
        <v>3.26</v>
      </c>
      <c r="H1294" s="35">
        <v>200.9</v>
      </c>
      <c r="I1294" s="35" t="s">
        <v>62</v>
      </c>
    </row>
    <row r="1295" ht="22.5" customHeight="1">
      <c r="A1295" s="35" t="s">
        <v>2831</v>
      </c>
      <c r="B1295" s="35" t="s">
        <v>2832</v>
      </c>
      <c r="C1295" s="35" t="s">
        <v>7756</v>
      </c>
      <c r="D1295" s="35" t="s">
        <v>99</v>
      </c>
      <c r="E1295" s="35" t="s">
        <v>98</v>
      </c>
      <c r="F1295" s="35">
        <v>899.0</v>
      </c>
      <c r="G1295" s="35">
        <v>14.97</v>
      </c>
      <c r="H1295" s="35">
        <v>60.1</v>
      </c>
      <c r="I1295" s="35" t="s">
        <v>62</v>
      </c>
    </row>
    <row r="1296" ht="22.5" customHeight="1">
      <c r="A1296" s="35" t="s">
        <v>2833</v>
      </c>
      <c r="B1296" s="35" t="s">
        <v>2834</v>
      </c>
      <c r="C1296" s="35" t="s">
        <v>7756</v>
      </c>
      <c r="D1296" s="35" t="s">
        <v>120</v>
      </c>
      <c r="E1296" s="35" t="s">
        <v>312</v>
      </c>
      <c r="F1296" s="35">
        <v>737.0</v>
      </c>
      <c r="G1296" s="35">
        <v>17.7</v>
      </c>
      <c r="H1296" s="35">
        <v>41.6</v>
      </c>
      <c r="I1296" s="35" t="s">
        <v>62</v>
      </c>
    </row>
    <row r="1297" ht="22.5" customHeight="1">
      <c r="A1297" s="35" t="s">
        <v>2835</v>
      </c>
      <c r="B1297" s="35" t="s">
        <v>2836</v>
      </c>
      <c r="C1297" s="35" t="s">
        <v>7756</v>
      </c>
      <c r="D1297" s="35" t="s">
        <v>192</v>
      </c>
      <c r="E1297" s="35" t="s">
        <v>508</v>
      </c>
      <c r="F1297" s="35">
        <v>448.0</v>
      </c>
      <c r="G1297" s="35">
        <v>6.76</v>
      </c>
      <c r="H1297" s="35">
        <v>66.3</v>
      </c>
      <c r="I1297" s="35" t="s">
        <v>75</v>
      </c>
    </row>
    <row r="1298" ht="22.5" customHeight="1">
      <c r="A1298" s="35" t="s">
        <v>2837</v>
      </c>
      <c r="B1298" s="35" t="s">
        <v>2838</v>
      </c>
      <c r="C1298" s="35" t="s">
        <v>7756</v>
      </c>
      <c r="D1298" s="35" t="s">
        <v>122</v>
      </c>
      <c r="E1298" s="35" t="s">
        <v>328</v>
      </c>
      <c r="F1298" s="35">
        <v>1722.0</v>
      </c>
      <c r="G1298" s="35">
        <v>7.66</v>
      </c>
      <c r="H1298" s="35">
        <v>224.8</v>
      </c>
      <c r="I1298" s="35" t="s">
        <v>62</v>
      </c>
    </row>
    <row r="1299" ht="22.5" customHeight="1">
      <c r="A1299" s="35" t="s">
        <v>2839</v>
      </c>
      <c r="B1299" s="35" t="s">
        <v>2840</v>
      </c>
      <c r="C1299" s="35" t="s">
        <v>7756</v>
      </c>
      <c r="D1299" s="35" t="s">
        <v>120</v>
      </c>
      <c r="E1299" s="35" t="s">
        <v>312</v>
      </c>
      <c r="F1299" s="35">
        <v>1431.0</v>
      </c>
      <c r="G1299" s="35">
        <v>6.68</v>
      </c>
      <c r="H1299" s="35">
        <v>214.2</v>
      </c>
      <c r="I1299" s="35" t="s">
        <v>62</v>
      </c>
    </row>
    <row r="1300" ht="22.5" customHeight="1">
      <c r="A1300" s="35" t="s">
        <v>2841</v>
      </c>
      <c r="B1300" s="35" t="s">
        <v>2842</v>
      </c>
      <c r="C1300" s="35" t="s">
        <v>7756</v>
      </c>
      <c r="D1300" s="35" t="s">
        <v>120</v>
      </c>
      <c r="E1300" s="35" t="s">
        <v>312</v>
      </c>
      <c r="F1300" s="35">
        <v>409.0</v>
      </c>
      <c r="G1300" s="35">
        <v>3.27</v>
      </c>
      <c r="H1300" s="35">
        <v>125.1</v>
      </c>
      <c r="I1300" s="35" t="s">
        <v>75</v>
      </c>
    </row>
    <row r="1301" ht="22.5" customHeight="1">
      <c r="A1301" s="35" t="s">
        <v>2843</v>
      </c>
      <c r="B1301" s="35" t="s">
        <v>2844</v>
      </c>
      <c r="C1301" s="35" t="s">
        <v>7756</v>
      </c>
      <c r="D1301" s="35" t="s">
        <v>236</v>
      </c>
      <c r="E1301" s="35" t="s">
        <v>558</v>
      </c>
      <c r="F1301" s="35">
        <v>1923.0</v>
      </c>
      <c r="G1301" s="35">
        <v>4.43</v>
      </c>
      <c r="H1301" s="35">
        <v>434.1</v>
      </c>
      <c r="I1301" s="35" t="s">
        <v>62</v>
      </c>
    </row>
    <row r="1302" ht="22.5" customHeight="1">
      <c r="A1302" s="35" t="s">
        <v>2845</v>
      </c>
      <c r="B1302" s="35" t="s">
        <v>2846</v>
      </c>
      <c r="C1302" s="35" t="s">
        <v>7756</v>
      </c>
      <c r="D1302" s="35" t="s">
        <v>236</v>
      </c>
      <c r="E1302" s="35" t="s">
        <v>558</v>
      </c>
      <c r="F1302" s="35">
        <v>2840.0</v>
      </c>
      <c r="G1302" s="35">
        <v>10.53</v>
      </c>
      <c r="H1302" s="35">
        <v>269.7</v>
      </c>
      <c r="I1302" s="35" t="s">
        <v>142</v>
      </c>
    </row>
    <row r="1303" ht="22.5" customHeight="1">
      <c r="A1303" s="35" t="s">
        <v>2847</v>
      </c>
      <c r="B1303" s="35" t="s">
        <v>2848</v>
      </c>
      <c r="C1303" s="35" t="s">
        <v>7756</v>
      </c>
      <c r="D1303" s="35" t="s">
        <v>236</v>
      </c>
      <c r="E1303" s="35" t="s">
        <v>558</v>
      </c>
      <c r="F1303" s="35">
        <v>5638.0</v>
      </c>
      <c r="G1303" s="35">
        <v>7.8</v>
      </c>
      <c r="H1303" s="35">
        <v>722.8</v>
      </c>
      <c r="I1303" s="35" t="s">
        <v>142</v>
      </c>
    </row>
    <row r="1304" ht="22.5" customHeight="1">
      <c r="A1304" s="35" t="s">
        <v>2849</v>
      </c>
      <c r="B1304" s="35" t="s">
        <v>2850</v>
      </c>
      <c r="C1304" s="35" t="s">
        <v>7756</v>
      </c>
      <c r="D1304" s="35" t="s">
        <v>149</v>
      </c>
      <c r="E1304" s="35" t="s">
        <v>363</v>
      </c>
      <c r="F1304" s="35">
        <v>2755.0</v>
      </c>
      <c r="G1304" s="35">
        <v>16.02</v>
      </c>
      <c r="H1304" s="35">
        <v>172.0</v>
      </c>
      <c r="I1304" s="35" t="s">
        <v>142</v>
      </c>
    </row>
    <row r="1305" ht="22.5" customHeight="1">
      <c r="A1305" s="35" t="s">
        <v>2851</v>
      </c>
      <c r="B1305" s="35" t="s">
        <v>2852</v>
      </c>
      <c r="C1305" s="35" t="s">
        <v>7756</v>
      </c>
      <c r="D1305" s="35" t="s">
        <v>122</v>
      </c>
      <c r="E1305" s="35" t="s">
        <v>328</v>
      </c>
      <c r="F1305" s="35">
        <v>15974.0</v>
      </c>
      <c r="G1305" s="35">
        <v>33.94</v>
      </c>
      <c r="H1305" s="35">
        <v>470.7</v>
      </c>
      <c r="I1305" s="35" t="s">
        <v>571</v>
      </c>
    </row>
    <row r="1306" ht="22.5" customHeight="1">
      <c r="A1306" s="35" t="s">
        <v>2853</v>
      </c>
      <c r="B1306" s="35" t="s">
        <v>2854</v>
      </c>
      <c r="C1306" s="35" t="s">
        <v>7756</v>
      </c>
      <c r="D1306" s="35" t="s">
        <v>236</v>
      </c>
      <c r="E1306" s="35" t="s">
        <v>558</v>
      </c>
      <c r="F1306" s="35">
        <v>13233.0</v>
      </c>
      <c r="G1306" s="35">
        <v>3.16</v>
      </c>
      <c r="H1306" s="35">
        <v>4187.7</v>
      </c>
      <c r="I1306" s="35" t="s">
        <v>571</v>
      </c>
    </row>
    <row r="1307" ht="22.5" customHeight="1">
      <c r="A1307" s="35" t="s">
        <v>2855</v>
      </c>
      <c r="B1307" s="35" t="s">
        <v>2856</v>
      </c>
      <c r="C1307" s="35" t="s">
        <v>7756</v>
      </c>
      <c r="D1307" s="35" t="s">
        <v>135</v>
      </c>
      <c r="E1307" s="35" t="s">
        <v>349</v>
      </c>
      <c r="F1307" s="35">
        <v>1570.0</v>
      </c>
      <c r="G1307" s="35">
        <v>8.1</v>
      </c>
      <c r="H1307" s="35">
        <v>193.8</v>
      </c>
      <c r="I1307" s="35" t="s">
        <v>62</v>
      </c>
    </row>
    <row r="1308" ht="22.5" customHeight="1">
      <c r="A1308" s="35" t="s">
        <v>2857</v>
      </c>
      <c r="B1308" s="35" t="s">
        <v>1531</v>
      </c>
      <c r="C1308" s="35" t="s">
        <v>7756</v>
      </c>
      <c r="D1308" s="35" t="s">
        <v>149</v>
      </c>
      <c r="E1308" s="35" t="s">
        <v>363</v>
      </c>
      <c r="F1308" s="35">
        <v>328.0</v>
      </c>
      <c r="G1308" s="35">
        <v>10.14</v>
      </c>
      <c r="H1308" s="35">
        <v>32.3</v>
      </c>
      <c r="I1308" s="35" t="s">
        <v>75</v>
      </c>
    </row>
    <row r="1309" ht="22.5" customHeight="1">
      <c r="A1309" s="35" t="s">
        <v>2858</v>
      </c>
      <c r="B1309" s="35" t="s">
        <v>2859</v>
      </c>
      <c r="C1309" s="35" t="s">
        <v>7756</v>
      </c>
      <c r="D1309" s="35" t="s">
        <v>146</v>
      </c>
      <c r="E1309" s="35" t="s">
        <v>268</v>
      </c>
      <c r="F1309" s="35">
        <v>328.0</v>
      </c>
      <c r="G1309" s="35">
        <v>4.18</v>
      </c>
      <c r="H1309" s="35">
        <v>78.5</v>
      </c>
      <c r="I1309" s="35" t="s">
        <v>75</v>
      </c>
    </row>
    <row r="1310" ht="22.5" customHeight="1">
      <c r="A1310" s="35" t="s">
        <v>2860</v>
      </c>
      <c r="B1310" s="35" t="s">
        <v>2861</v>
      </c>
      <c r="C1310" s="35" t="s">
        <v>7756</v>
      </c>
      <c r="D1310" s="35" t="s">
        <v>135</v>
      </c>
      <c r="E1310" s="35" t="s">
        <v>349</v>
      </c>
      <c r="F1310" s="35">
        <v>343.0</v>
      </c>
      <c r="G1310" s="35">
        <v>4.66</v>
      </c>
      <c r="H1310" s="35">
        <v>73.6</v>
      </c>
      <c r="I1310" s="35" t="s">
        <v>75</v>
      </c>
    </row>
    <row r="1311" ht="22.5" customHeight="1">
      <c r="A1311" s="35" t="s">
        <v>2862</v>
      </c>
      <c r="B1311" s="35" t="s">
        <v>2863</v>
      </c>
      <c r="C1311" s="35" t="s">
        <v>7756</v>
      </c>
      <c r="D1311" s="35" t="s">
        <v>235</v>
      </c>
      <c r="E1311" s="35" t="s">
        <v>555</v>
      </c>
      <c r="F1311" s="35">
        <v>287.0</v>
      </c>
      <c r="G1311" s="35">
        <v>8.09</v>
      </c>
      <c r="H1311" s="35">
        <v>35.5</v>
      </c>
      <c r="I1311" s="35" t="s">
        <v>75</v>
      </c>
    </row>
    <row r="1312" ht="22.5" customHeight="1">
      <c r="A1312" s="35" t="s">
        <v>2864</v>
      </c>
      <c r="B1312" s="35" t="s">
        <v>2865</v>
      </c>
      <c r="C1312" s="35" t="s">
        <v>7756</v>
      </c>
      <c r="D1312" s="35" t="s">
        <v>135</v>
      </c>
      <c r="E1312" s="35" t="s">
        <v>349</v>
      </c>
      <c r="F1312" s="35">
        <v>1558.0</v>
      </c>
      <c r="G1312" s="35">
        <v>6.52</v>
      </c>
      <c r="H1312" s="35">
        <v>239.0</v>
      </c>
      <c r="I1312" s="35" t="s">
        <v>62</v>
      </c>
    </row>
    <row r="1313" ht="22.5" customHeight="1">
      <c r="A1313" s="35" t="s">
        <v>2866</v>
      </c>
      <c r="B1313" s="35" t="s">
        <v>2867</v>
      </c>
      <c r="C1313" s="35" t="s">
        <v>7756</v>
      </c>
      <c r="D1313" s="35" t="s">
        <v>149</v>
      </c>
      <c r="E1313" s="35" t="s">
        <v>363</v>
      </c>
      <c r="F1313" s="35">
        <v>733.0</v>
      </c>
      <c r="G1313" s="35">
        <v>15.44</v>
      </c>
      <c r="H1313" s="35">
        <v>47.5</v>
      </c>
      <c r="I1313" s="35" t="s">
        <v>62</v>
      </c>
    </row>
    <row r="1314" ht="22.5" customHeight="1">
      <c r="A1314" s="35" t="s">
        <v>2868</v>
      </c>
      <c r="B1314" s="35" t="s">
        <v>2869</v>
      </c>
      <c r="C1314" s="35" t="s">
        <v>7756</v>
      </c>
      <c r="D1314" s="35" t="s">
        <v>99</v>
      </c>
      <c r="E1314" s="35" t="s">
        <v>98</v>
      </c>
      <c r="F1314" s="35">
        <v>1598.0</v>
      </c>
      <c r="G1314" s="35">
        <v>7.96</v>
      </c>
      <c r="H1314" s="35">
        <v>200.8</v>
      </c>
      <c r="I1314" s="35" t="s">
        <v>62</v>
      </c>
    </row>
    <row r="1315" ht="22.5" customHeight="1">
      <c r="A1315" s="35" t="s">
        <v>2870</v>
      </c>
      <c r="B1315" s="35" t="s">
        <v>2871</v>
      </c>
      <c r="C1315" s="35" t="s">
        <v>7756</v>
      </c>
      <c r="D1315" s="35" t="s">
        <v>99</v>
      </c>
      <c r="E1315" s="35" t="s">
        <v>98</v>
      </c>
      <c r="F1315" s="35">
        <v>825.0</v>
      </c>
      <c r="G1315" s="35">
        <v>7.55</v>
      </c>
      <c r="H1315" s="35">
        <v>109.3</v>
      </c>
      <c r="I1315" s="35" t="s">
        <v>62</v>
      </c>
    </row>
    <row r="1316" ht="22.5" customHeight="1">
      <c r="A1316" s="35" t="s">
        <v>2872</v>
      </c>
      <c r="B1316" s="35" t="s">
        <v>2873</v>
      </c>
      <c r="C1316" s="35" t="s">
        <v>7756</v>
      </c>
      <c r="D1316" s="35" t="s">
        <v>202</v>
      </c>
      <c r="E1316" s="35" t="s">
        <v>499</v>
      </c>
      <c r="F1316" s="35">
        <v>483.0</v>
      </c>
      <c r="G1316" s="35">
        <v>5.28</v>
      </c>
      <c r="H1316" s="35">
        <v>91.5</v>
      </c>
      <c r="I1316" s="35" t="s">
        <v>75</v>
      </c>
    </row>
    <row r="1317" ht="22.5" customHeight="1">
      <c r="A1317" s="35" t="s">
        <v>2874</v>
      </c>
      <c r="B1317" s="35" t="s">
        <v>2875</v>
      </c>
      <c r="C1317" s="35" t="s">
        <v>7756</v>
      </c>
      <c r="D1317" s="35" t="s">
        <v>171</v>
      </c>
      <c r="E1317" s="35" t="s">
        <v>457</v>
      </c>
      <c r="F1317" s="35">
        <v>410.0</v>
      </c>
      <c r="G1317" s="35">
        <v>6.0</v>
      </c>
      <c r="H1317" s="35">
        <v>68.3</v>
      </c>
      <c r="I1317" s="35" t="s">
        <v>75</v>
      </c>
    </row>
    <row r="1318" ht="22.5" customHeight="1">
      <c r="A1318" s="35" t="s">
        <v>2876</v>
      </c>
      <c r="B1318" s="35" t="s">
        <v>2877</v>
      </c>
      <c r="C1318" s="35" t="s">
        <v>7756</v>
      </c>
      <c r="D1318" s="35" t="s">
        <v>171</v>
      </c>
      <c r="E1318" s="35" t="s">
        <v>457</v>
      </c>
      <c r="F1318" s="35">
        <v>989.0</v>
      </c>
      <c r="G1318" s="35">
        <v>8.84</v>
      </c>
      <c r="H1318" s="35">
        <v>111.9</v>
      </c>
      <c r="I1318" s="35" t="s">
        <v>62</v>
      </c>
    </row>
    <row r="1319" ht="22.5" customHeight="1">
      <c r="A1319" s="35" t="s">
        <v>2878</v>
      </c>
      <c r="B1319" s="35" t="s">
        <v>2879</v>
      </c>
      <c r="C1319" s="35" t="s">
        <v>7756</v>
      </c>
      <c r="D1319" s="35" t="s">
        <v>202</v>
      </c>
      <c r="E1319" s="35" t="s">
        <v>499</v>
      </c>
      <c r="F1319" s="35">
        <v>978.0</v>
      </c>
      <c r="G1319" s="35">
        <v>7.42</v>
      </c>
      <c r="H1319" s="35">
        <v>131.8</v>
      </c>
      <c r="I1319" s="35" t="s">
        <v>62</v>
      </c>
    </row>
    <row r="1320" ht="22.5" customHeight="1">
      <c r="A1320" s="35" t="s">
        <v>2880</v>
      </c>
      <c r="B1320" s="35" t="s">
        <v>2881</v>
      </c>
      <c r="C1320" s="35" t="s">
        <v>7756</v>
      </c>
      <c r="D1320" s="35" t="s">
        <v>145</v>
      </c>
      <c r="E1320" s="35" t="s">
        <v>255</v>
      </c>
      <c r="F1320" s="35">
        <v>469.0</v>
      </c>
      <c r="G1320" s="35">
        <v>5.18</v>
      </c>
      <c r="H1320" s="35">
        <v>90.5</v>
      </c>
      <c r="I1320" s="35" t="s">
        <v>75</v>
      </c>
    </row>
    <row r="1321" ht="22.5" customHeight="1">
      <c r="A1321" s="35" t="s">
        <v>2882</v>
      </c>
      <c r="B1321" s="35" t="s">
        <v>2883</v>
      </c>
      <c r="C1321" s="35" t="s">
        <v>7756</v>
      </c>
      <c r="D1321" s="35" t="s">
        <v>145</v>
      </c>
      <c r="E1321" s="35" t="s">
        <v>255</v>
      </c>
      <c r="F1321" s="35">
        <v>1054.0</v>
      </c>
      <c r="G1321" s="35">
        <v>5.95</v>
      </c>
      <c r="H1321" s="35">
        <v>177.1</v>
      </c>
      <c r="I1321" s="35" t="s">
        <v>62</v>
      </c>
    </row>
    <row r="1322" ht="22.5" customHeight="1">
      <c r="A1322" s="35" t="s">
        <v>2884</v>
      </c>
      <c r="B1322" s="35" t="s">
        <v>2885</v>
      </c>
      <c r="C1322" s="35" t="s">
        <v>7756</v>
      </c>
      <c r="D1322" s="35" t="s">
        <v>146</v>
      </c>
      <c r="E1322" s="35" t="s">
        <v>268</v>
      </c>
      <c r="F1322" s="35">
        <v>10947.0</v>
      </c>
      <c r="G1322" s="35">
        <v>12.04</v>
      </c>
      <c r="H1322" s="35">
        <v>909.2</v>
      </c>
      <c r="I1322" s="35" t="s">
        <v>571</v>
      </c>
    </row>
    <row r="1323" ht="22.5" customHeight="1">
      <c r="A1323" s="35" t="s">
        <v>2886</v>
      </c>
      <c r="B1323" s="35" t="s">
        <v>2887</v>
      </c>
      <c r="C1323" s="35" t="s">
        <v>7756</v>
      </c>
      <c r="D1323" s="35" t="s">
        <v>135</v>
      </c>
      <c r="E1323" s="35" t="s">
        <v>349</v>
      </c>
      <c r="F1323" s="35">
        <v>1191.0</v>
      </c>
      <c r="G1323" s="35">
        <v>12.66</v>
      </c>
      <c r="H1323" s="35">
        <v>94.1</v>
      </c>
      <c r="I1323" s="35" t="s">
        <v>62</v>
      </c>
    </row>
    <row r="1324" ht="22.5" customHeight="1">
      <c r="A1324" s="35" t="s">
        <v>2888</v>
      </c>
      <c r="B1324" s="35" t="s">
        <v>2889</v>
      </c>
      <c r="C1324" s="35" t="s">
        <v>7756</v>
      </c>
      <c r="D1324" s="35" t="s">
        <v>99</v>
      </c>
      <c r="E1324" s="35" t="s">
        <v>98</v>
      </c>
      <c r="F1324" s="35">
        <v>1144.0</v>
      </c>
      <c r="G1324" s="35">
        <v>8.12</v>
      </c>
      <c r="H1324" s="35">
        <v>140.9</v>
      </c>
      <c r="I1324" s="35" t="s">
        <v>62</v>
      </c>
    </row>
    <row r="1325" ht="22.5" customHeight="1">
      <c r="A1325" s="35" t="s">
        <v>2890</v>
      </c>
      <c r="B1325" s="35" t="s">
        <v>2891</v>
      </c>
      <c r="C1325" s="35" t="s">
        <v>7756</v>
      </c>
      <c r="D1325" s="35" t="s">
        <v>135</v>
      </c>
      <c r="E1325" s="35" t="s">
        <v>349</v>
      </c>
      <c r="F1325" s="35">
        <v>871.0</v>
      </c>
      <c r="G1325" s="35">
        <v>4.38</v>
      </c>
      <c r="H1325" s="35">
        <v>198.9</v>
      </c>
      <c r="I1325" s="35" t="s">
        <v>62</v>
      </c>
    </row>
    <row r="1326" ht="22.5" customHeight="1">
      <c r="A1326" s="35" t="s">
        <v>2892</v>
      </c>
      <c r="B1326" s="35" t="s">
        <v>2893</v>
      </c>
      <c r="C1326" s="35" t="s">
        <v>7756</v>
      </c>
      <c r="D1326" s="35" t="s">
        <v>192</v>
      </c>
      <c r="E1326" s="35" t="s">
        <v>508</v>
      </c>
      <c r="F1326" s="35">
        <v>686.0</v>
      </c>
      <c r="G1326" s="35">
        <v>5.87</v>
      </c>
      <c r="H1326" s="35">
        <v>116.9</v>
      </c>
      <c r="I1326" s="35" t="s">
        <v>62</v>
      </c>
    </row>
    <row r="1327" ht="22.5" customHeight="1">
      <c r="A1327" s="35" t="s">
        <v>2894</v>
      </c>
      <c r="B1327" s="35" t="s">
        <v>2895</v>
      </c>
      <c r="C1327" s="35" t="s">
        <v>7756</v>
      </c>
      <c r="D1327" s="35" t="s">
        <v>192</v>
      </c>
      <c r="E1327" s="35" t="s">
        <v>508</v>
      </c>
      <c r="F1327" s="35">
        <v>327.0</v>
      </c>
      <c r="G1327" s="35">
        <v>4.58</v>
      </c>
      <c r="H1327" s="35">
        <v>71.4</v>
      </c>
      <c r="I1327" s="35" t="s">
        <v>75</v>
      </c>
    </row>
    <row r="1328" ht="22.5" customHeight="1">
      <c r="A1328" s="35" t="s">
        <v>2896</v>
      </c>
      <c r="B1328" s="35" t="s">
        <v>2897</v>
      </c>
      <c r="C1328" s="35" t="s">
        <v>7756</v>
      </c>
      <c r="D1328" s="35" t="s">
        <v>236</v>
      </c>
      <c r="E1328" s="35" t="s">
        <v>558</v>
      </c>
      <c r="F1328" s="35">
        <v>3182.0</v>
      </c>
      <c r="G1328" s="35">
        <v>5.3</v>
      </c>
      <c r="H1328" s="35">
        <v>600.4</v>
      </c>
      <c r="I1328" s="35" t="s">
        <v>142</v>
      </c>
    </row>
    <row r="1329" ht="22.5" customHeight="1">
      <c r="A1329" s="35" t="s">
        <v>2898</v>
      </c>
      <c r="B1329" s="35" t="s">
        <v>2899</v>
      </c>
      <c r="C1329" s="35" t="s">
        <v>7756</v>
      </c>
      <c r="D1329" s="35" t="s">
        <v>224</v>
      </c>
      <c r="E1329" s="35" t="s">
        <v>390</v>
      </c>
      <c r="F1329" s="35">
        <v>1704.0</v>
      </c>
      <c r="G1329" s="35">
        <v>8.83</v>
      </c>
      <c r="H1329" s="35">
        <v>193.0</v>
      </c>
      <c r="I1329" s="35" t="s">
        <v>62</v>
      </c>
    </row>
    <row r="1330" ht="22.5" customHeight="1">
      <c r="A1330" s="35" t="s">
        <v>2900</v>
      </c>
      <c r="B1330" s="35" t="s">
        <v>2901</v>
      </c>
      <c r="C1330" s="35" t="s">
        <v>7756</v>
      </c>
      <c r="D1330" s="35" t="s">
        <v>120</v>
      </c>
      <c r="E1330" s="35" t="s">
        <v>312</v>
      </c>
      <c r="F1330" s="35">
        <v>190.0</v>
      </c>
      <c r="G1330" s="35">
        <v>3.94</v>
      </c>
      <c r="H1330" s="35">
        <v>48.2</v>
      </c>
      <c r="I1330" s="35" t="s">
        <v>75</v>
      </c>
    </row>
    <row r="1331" ht="22.5" customHeight="1">
      <c r="A1331" s="35" t="s">
        <v>2902</v>
      </c>
      <c r="B1331" s="35" t="s">
        <v>2903</v>
      </c>
      <c r="C1331" s="35" t="s">
        <v>7756</v>
      </c>
      <c r="D1331" s="35" t="s">
        <v>236</v>
      </c>
      <c r="E1331" s="35" t="s">
        <v>558</v>
      </c>
      <c r="F1331" s="35">
        <v>5652.0</v>
      </c>
      <c r="G1331" s="35">
        <v>7.54</v>
      </c>
      <c r="H1331" s="35">
        <v>749.6</v>
      </c>
      <c r="I1331" s="35" t="s">
        <v>142</v>
      </c>
    </row>
    <row r="1332" ht="22.5" customHeight="1">
      <c r="A1332" s="35" t="s">
        <v>2904</v>
      </c>
      <c r="B1332" s="35" t="s">
        <v>2905</v>
      </c>
      <c r="C1332" s="35" t="s">
        <v>7756</v>
      </c>
      <c r="D1332" s="35" t="s">
        <v>122</v>
      </c>
      <c r="E1332" s="35" t="s">
        <v>328</v>
      </c>
      <c r="F1332" s="35">
        <v>620.0</v>
      </c>
      <c r="G1332" s="35">
        <v>2.58</v>
      </c>
      <c r="H1332" s="35">
        <v>240.3</v>
      </c>
      <c r="I1332" s="35" t="s">
        <v>62</v>
      </c>
    </row>
    <row r="1333" ht="22.5" customHeight="1">
      <c r="A1333" s="35" t="s">
        <v>2906</v>
      </c>
      <c r="B1333" s="35" t="s">
        <v>2907</v>
      </c>
      <c r="C1333" s="35" t="s">
        <v>7756</v>
      </c>
      <c r="D1333" s="35" t="s">
        <v>149</v>
      </c>
      <c r="E1333" s="35" t="s">
        <v>363</v>
      </c>
      <c r="F1333" s="35">
        <v>1402.0</v>
      </c>
      <c r="G1333" s="35">
        <v>7.83</v>
      </c>
      <c r="H1333" s="35">
        <v>179.1</v>
      </c>
      <c r="I1333" s="35" t="s">
        <v>62</v>
      </c>
    </row>
    <row r="1334" ht="22.5" customHeight="1">
      <c r="A1334" s="35" t="s">
        <v>2908</v>
      </c>
      <c r="B1334" s="35" t="s">
        <v>2909</v>
      </c>
      <c r="C1334" s="35" t="s">
        <v>7756</v>
      </c>
      <c r="D1334" s="35" t="s">
        <v>145</v>
      </c>
      <c r="E1334" s="35" t="s">
        <v>255</v>
      </c>
      <c r="F1334" s="35">
        <v>260.0</v>
      </c>
      <c r="G1334" s="35">
        <v>4.16</v>
      </c>
      <c r="H1334" s="35">
        <v>62.5</v>
      </c>
      <c r="I1334" s="35" t="s">
        <v>75</v>
      </c>
    </row>
    <row r="1335" ht="22.5" customHeight="1">
      <c r="A1335" s="35" t="s">
        <v>2910</v>
      </c>
      <c r="B1335" s="35" t="s">
        <v>2911</v>
      </c>
      <c r="C1335" s="35" t="s">
        <v>7756</v>
      </c>
      <c r="D1335" s="35" t="s">
        <v>146</v>
      </c>
      <c r="E1335" s="35" t="s">
        <v>268</v>
      </c>
      <c r="F1335" s="35">
        <v>2499.0</v>
      </c>
      <c r="G1335" s="35">
        <v>6.44</v>
      </c>
      <c r="H1335" s="35">
        <v>388.0</v>
      </c>
      <c r="I1335" s="35" t="s">
        <v>142</v>
      </c>
    </row>
    <row r="1336" ht="22.5" customHeight="1">
      <c r="A1336" s="35" t="s">
        <v>2912</v>
      </c>
      <c r="B1336" s="35" t="s">
        <v>2913</v>
      </c>
      <c r="C1336" s="35" t="s">
        <v>7756</v>
      </c>
      <c r="D1336" s="35" t="s">
        <v>202</v>
      </c>
      <c r="E1336" s="35" t="s">
        <v>499</v>
      </c>
      <c r="F1336" s="35">
        <v>1672.0</v>
      </c>
      <c r="G1336" s="35">
        <v>10.08</v>
      </c>
      <c r="H1336" s="35">
        <v>165.9</v>
      </c>
      <c r="I1336" s="35" t="s">
        <v>62</v>
      </c>
    </row>
    <row r="1337" ht="22.5" customHeight="1">
      <c r="A1337" s="35" t="s">
        <v>2914</v>
      </c>
      <c r="B1337" s="35" t="s">
        <v>2915</v>
      </c>
      <c r="C1337" s="35" t="s">
        <v>7756</v>
      </c>
      <c r="D1337" s="35" t="s">
        <v>146</v>
      </c>
      <c r="E1337" s="35" t="s">
        <v>268</v>
      </c>
      <c r="F1337" s="35">
        <v>1967.0</v>
      </c>
      <c r="G1337" s="35">
        <v>14.18</v>
      </c>
      <c r="H1337" s="35">
        <v>138.7</v>
      </c>
      <c r="I1337" s="35" t="s">
        <v>62</v>
      </c>
    </row>
    <row r="1338" ht="22.5" customHeight="1">
      <c r="A1338" s="35" t="s">
        <v>2916</v>
      </c>
      <c r="B1338" s="35" t="s">
        <v>2917</v>
      </c>
      <c r="C1338" s="35" t="s">
        <v>7756</v>
      </c>
      <c r="D1338" s="35" t="s">
        <v>236</v>
      </c>
      <c r="E1338" s="35" t="s">
        <v>558</v>
      </c>
      <c r="F1338" s="35">
        <v>13261.0</v>
      </c>
      <c r="G1338" s="35">
        <v>17.42</v>
      </c>
      <c r="H1338" s="35">
        <v>761.3</v>
      </c>
      <c r="I1338" s="35" t="s">
        <v>571</v>
      </c>
    </row>
    <row r="1339" ht="22.5" customHeight="1">
      <c r="A1339" s="35" t="s">
        <v>2918</v>
      </c>
      <c r="B1339" s="35" t="s">
        <v>2919</v>
      </c>
      <c r="C1339" s="35" t="s">
        <v>7756</v>
      </c>
      <c r="D1339" s="35" t="s">
        <v>149</v>
      </c>
      <c r="E1339" s="35" t="s">
        <v>363</v>
      </c>
      <c r="F1339" s="35">
        <v>520.0</v>
      </c>
      <c r="G1339" s="35">
        <v>13.48</v>
      </c>
      <c r="H1339" s="35">
        <v>38.6</v>
      </c>
      <c r="I1339" s="35" t="s">
        <v>62</v>
      </c>
    </row>
    <row r="1340" ht="22.5" customHeight="1">
      <c r="A1340" s="35" t="s">
        <v>2920</v>
      </c>
      <c r="B1340" s="35" t="s">
        <v>2921</v>
      </c>
      <c r="C1340" s="35" t="s">
        <v>7756</v>
      </c>
      <c r="D1340" s="35" t="s">
        <v>149</v>
      </c>
      <c r="E1340" s="35" t="s">
        <v>363</v>
      </c>
      <c r="F1340" s="35">
        <v>227.0</v>
      </c>
      <c r="G1340" s="35">
        <v>3.07</v>
      </c>
      <c r="H1340" s="35">
        <v>73.9</v>
      </c>
      <c r="I1340" s="35" t="s">
        <v>75</v>
      </c>
    </row>
    <row r="1341" ht="22.5" customHeight="1">
      <c r="A1341" s="35" t="s">
        <v>2922</v>
      </c>
      <c r="B1341" s="35" t="s">
        <v>2923</v>
      </c>
      <c r="C1341" s="35" t="s">
        <v>7756</v>
      </c>
      <c r="D1341" s="35" t="s">
        <v>122</v>
      </c>
      <c r="E1341" s="35" t="s">
        <v>328</v>
      </c>
      <c r="F1341" s="35">
        <v>3103.0</v>
      </c>
      <c r="G1341" s="35">
        <v>3.87</v>
      </c>
      <c r="H1341" s="35">
        <v>801.8</v>
      </c>
      <c r="I1341" s="35" t="s">
        <v>142</v>
      </c>
    </row>
    <row r="1342" ht="22.5" customHeight="1">
      <c r="A1342" s="35" t="s">
        <v>2924</v>
      </c>
      <c r="B1342" s="35" t="s">
        <v>2925</v>
      </c>
      <c r="C1342" s="35" t="s">
        <v>7756</v>
      </c>
      <c r="D1342" s="35" t="s">
        <v>192</v>
      </c>
      <c r="E1342" s="35" t="s">
        <v>508</v>
      </c>
      <c r="F1342" s="35">
        <v>640.0</v>
      </c>
      <c r="G1342" s="35">
        <v>5.97</v>
      </c>
      <c r="H1342" s="35">
        <v>107.2</v>
      </c>
      <c r="I1342" s="35" t="s">
        <v>62</v>
      </c>
    </row>
    <row r="1343" ht="22.5" customHeight="1">
      <c r="A1343" s="35" t="s">
        <v>2926</v>
      </c>
      <c r="B1343" s="35" t="s">
        <v>2927</v>
      </c>
      <c r="C1343" s="35" t="s">
        <v>7756</v>
      </c>
      <c r="D1343" s="35" t="s">
        <v>236</v>
      </c>
      <c r="E1343" s="35" t="s">
        <v>558</v>
      </c>
      <c r="F1343" s="35">
        <v>4675.0</v>
      </c>
      <c r="G1343" s="35">
        <v>3.97</v>
      </c>
      <c r="H1343" s="35">
        <v>1177.6</v>
      </c>
      <c r="I1343" s="35" t="s">
        <v>142</v>
      </c>
    </row>
    <row r="1344" ht="22.5" customHeight="1">
      <c r="A1344" s="35" t="s">
        <v>2928</v>
      </c>
      <c r="B1344" s="35" t="s">
        <v>2929</v>
      </c>
      <c r="C1344" s="35" t="s">
        <v>7756</v>
      </c>
      <c r="D1344" s="35" t="s">
        <v>120</v>
      </c>
      <c r="E1344" s="35" t="s">
        <v>312</v>
      </c>
      <c r="F1344" s="35">
        <v>416.0</v>
      </c>
      <c r="G1344" s="35">
        <v>7.28</v>
      </c>
      <c r="H1344" s="35">
        <v>57.1</v>
      </c>
      <c r="I1344" s="35" t="s">
        <v>75</v>
      </c>
    </row>
    <row r="1345" ht="22.5" customHeight="1">
      <c r="A1345" s="35" t="s">
        <v>2930</v>
      </c>
      <c r="B1345" s="35" t="s">
        <v>2931</v>
      </c>
      <c r="C1345" s="35" t="s">
        <v>7756</v>
      </c>
      <c r="D1345" s="35" t="s">
        <v>99</v>
      </c>
      <c r="E1345" s="35" t="s">
        <v>98</v>
      </c>
      <c r="F1345" s="35">
        <v>486.0</v>
      </c>
      <c r="G1345" s="35">
        <v>4.96</v>
      </c>
      <c r="H1345" s="35">
        <v>98.0</v>
      </c>
      <c r="I1345" s="35" t="s">
        <v>75</v>
      </c>
    </row>
    <row r="1346" ht="22.5" customHeight="1">
      <c r="A1346" s="35" t="s">
        <v>2932</v>
      </c>
      <c r="B1346" s="35" t="s">
        <v>2933</v>
      </c>
      <c r="C1346" s="35" t="s">
        <v>7756</v>
      </c>
      <c r="D1346" s="35" t="s">
        <v>130</v>
      </c>
      <c r="E1346" s="35" t="s">
        <v>180</v>
      </c>
      <c r="F1346" s="35">
        <v>16076.0</v>
      </c>
      <c r="G1346" s="35">
        <v>11.51</v>
      </c>
      <c r="H1346" s="35">
        <v>1396.7</v>
      </c>
      <c r="I1346" s="35" t="s">
        <v>571</v>
      </c>
    </row>
    <row r="1347" ht="22.5" customHeight="1">
      <c r="A1347" s="35" t="s">
        <v>2934</v>
      </c>
      <c r="B1347" s="35" t="s">
        <v>2935</v>
      </c>
      <c r="C1347" s="35" t="s">
        <v>7756</v>
      </c>
      <c r="D1347" s="35" t="s">
        <v>171</v>
      </c>
      <c r="E1347" s="35" t="s">
        <v>457</v>
      </c>
      <c r="F1347" s="35">
        <v>869.0</v>
      </c>
      <c r="G1347" s="35">
        <v>8.02</v>
      </c>
      <c r="H1347" s="35">
        <v>108.4</v>
      </c>
      <c r="I1347" s="35" t="s">
        <v>62</v>
      </c>
    </row>
    <row r="1348" ht="22.5" customHeight="1">
      <c r="A1348" s="35" t="s">
        <v>2936</v>
      </c>
      <c r="B1348" s="35" t="s">
        <v>2937</v>
      </c>
      <c r="C1348" s="35" t="s">
        <v>7756</v>
      </c>
      <c r="D1348" s="35" t="s">
        <v>202</v>
      </c>
      <c r="E1348" s="35" t="s">
        <v>499</v>
      </c>
      <c r="F1348" s="35">
        <v>4142.0</v>
      </c>
      <c r="G1348" s="35">
        <v>23.19</v>
      </c>
      <c r="H1348" s="35">
        <v>178.6</v>
      </c>
      <c r="I1348" s="35" t="s">
        <v>142</v>
      </c>
    </row>
    <row r="1349" ht="22.5" customHeight="1">
      <c r="A1349" s="35" t="s">
        <v>2938</v>
      </c>
      <c r="B1349" s="35" t="s">
        <v>2939</v>
      </c>
      <c r="C1349" s="35" t="s">
        <v>7756</v>
      </c>
      <c r="D1349" s="35" t="s">
        <v>149</v>
      </c>
      <c r="E1349" s="35" t="s">
        <v>363</v>
      </c>
      <c r="F1349" s="35">
        <v>1796.0</v>
      </c>
      <c r="G1349" s="35">
        <v>13.74</v>
      </c>
      <c r="H1349" s="35">
        <v>130.7</v>
      </c>
      <c r="I1349" s="35" t="s">
        <v>62</v>
      </c>
    </row>
    <row r="1350" ht="22.5" customHeight="1">
      <c r="A1350" s="35" t="s">
        <v>2940</v>
      </c>
      <c r="B1350" s="35" t="s">
        <v>2941</v>
      </c>
      <c r="C1350" s="35" t="s">
        <v>7756</v>
      </c>
      <c r="D1350" s="35" t="s">
        <v>149</v>
      </c>
      <c r="E1350" s="35" t="s">
        <v>363</v>
      </c>
      <c r="F1350" s="35">
        <v>142.0</v>
      </c>
      <c r="G1350" s="35">
        <v>5.4</v>
      </c>
      <c r="H1350" s="35">
        <v>26.3</v>
      </c>
      <c r="I1350" s="35" t="s">
        <v>75</v>
      </c>
    </row>
    <row r="1351" ht="22.5" customHeight="1">
      <c r="A1351" s="35" t="s">
        <v>2942</v>
      </c>
      <c r="B1351" s="35" t="s">
        <v>2943</v>
      </c>
      <c r="C1351" s="35" t="s">
        <v>7756</v>
      </c>
      <c r="D1351" s="35" t="s">
        <v>72</v>
      </c>
      <c r="E1351" s="35" t="s">
        <v>71</v>
      </c>
      <c r="F1351" s="35">
        <v>11766.0</v>
      </c>
      <c r="G1351" s="35">
        <v>12.28</v>
      </c>
      <c r="H1351" s="35">
        <v>958.1</v>
      </c>
      <c r="I1351" s="35" t="s">
        <v>571</v>
      </c>
    </row>
    <row r="1352" ht="22.5" customHeight="1">
      <c r="A1352" s="35" t="s">
        <v>2944</v>
      </c>
      <c r="B1352" s="35" t="s">
        <v>2945</v>
      </c>
      <c r="C1352" s="35" t="s">
        <v>7756</v>
      </c>
      <c r="D1352" s="35" t="s">
        <v>202</v>
      </c>
      <c r="E1352" s="35" t="s">
        <v>499</v>
      </c>
      <c r="F1352" s="35">
        <v>397.0</v>
      </c>
      <c r="G1352" s="35">
        <v>3.59</v>
      </c>
      <c r="H1352" s="35">
        <v>110.6</v>
      </c>
      <c r="I1352" s="35" t="s">
        <v>75</v>
      </c>
    </row>
    <row r="1353" ht="22.5" customHeight="1">
      <c r="A1353" s="35" t="s">
        <v>2946</v>
      </c>
      <c r="B1353" s="35" t="s">
        <v>2947</v>
      </c>
      <c r="C1353" s="35" t="s">
        <v>7756</v>
      </c>
      <c r="D1353" s="35" t="s">
        <v>235</v>
      </c>
      <c r="E1353" s="35" t="s">
        <v>555</v>
      </c>
      <c r="F1353" s="35">
        <v>1718.0</v>
      </c>
      <c r="G1353" s="35">
        <v>9.46</v>
      </c>
      <c r="H1353" s="35">
        <v>181.6</v>
      </c>
      <c r="I1353" s="35" t="s">
        <v>62</v>
      </c>
    </row>
    <row r="1354" ht="22.5" customHeight="1">
      <c r="A1354" s="35" t="s">
        <v>2948</v>
      </c>
      <c r="B1354" s="35" t="s">
        <v>2949</v>
      </c>
      <c r="C1354" s="35" t="s">
        <v>7756</v>
      </c>
      <c r="D1354" s="35" t="s">
        <v>99</v>
      </c>
      <c r="E1354" s="35" t="s">
        <v>98</v>
      </c>
      <c r="F1354" s="35">
        <v>756.0</v>
      </c>
      <c r="G1354" s="35">
        <v>9.98</v>
      </c>
      <c r="H1354" s="35">
        <v>75.8</v>
      </c>
      <c r="I1354" s="35" t="s">
        <v>62</v>
      </c>
    </row>
    <row r="1355" ht="22.5" customHeight="1">
      <c r="A1355" s="35" t="s">
        <v>2950</v>
      </c>
      <c r="B1355" s="35" t="s">
        <v>2951</v>
      </c>
      <c r="C1355" s="35" t="s">
        <v>7756</v>
      </c>
      <c r="D1355" s="35" t="s">
        <v>99</v>
      </c>
      <c r="E1355" s="35" t="s">
        <v>98</v>
      </c>
      <c r="F1355" s="35">
        <v>1602.0</v>
      </c>
      <c r="G1355" s="35">
        <v>11.97</v>
      </c>
      <c r="H1355" s="35">
        <v>133.8</v>
      </c>
      <c r="I1355" s="35" t="s">
        <v>62</v>
      </c>
    </row>
    <row r="1356" ht="22.5" customHeight="1">
      <c r="A1356" s="35" t="s">
        <v>2952</v>
      </c>
      <c r="B1356" s="35" t="s">
        <v>2953</v>
      </c>
      <c r="C1356" s="35" t="s">
        <v>7756</v>
      </c>
      <c r="D1356" s="35" t="s">
        <v>171</v>
      </c>
      <c r="E1356" s="35" t="s">
        <v>457</v>
      </c>
      <c r="F1356" s="35">
        <v>1405.0</v>
      </c>
      <c r="G1356" s="35">
        <v>10.3</v>
      </c>
      <c r="H1356" s="35">
        <v>136.4</v>
      </c>
      <c r="I1356" s="35" t="s">
        <v>62</v>
      </c>
    </row>
    <row r="1357" ht="22.5" customHeight="1">
      <c r="A1357" s="35" t="s">
        <v>2954</v>
      </c>
      <c r="B1357" s="35" t="s">
        <v>2955</v>
      </c>
      <c r="C1357" s="35" t="s">
        <v>7756</v>
      </c>
      <c r="D1357" s="35" t="s">
        <v>99</v>
      </c>
      <c r="E1357" s="35" t="s">
        <v>98</v>
      </c>
      <c r="F1357" s="35">
        <v>4332.0</v>
      </c>
      <c r="G1357" s="35">
        <v>30.12</v>
      </c>
      <c r="H1357" s="35">
        <v>143.8</v>
      </c>
      <c r="I1357" s="35" t="s">
        <v>142</v>
      </c>
    </row>
    <row r="1358" ht="22.5" customHeight="1">
      <c r="A1358" s="35" t="s">
        <v>2956</v>
      </c>
      <c r="B1358" s="35" t="s">
        <v>2957</v>
      </c>
      <c r="C1358" s="35" t="s">
        <v>7756</v>
      </c>
      <c r="D1358" s="35" t="s">
        <v>99</v>
      </c>
      <c r="E1358" s="35" t="s">
        <v>98</v>
      </c>
      <c r="F1358" s="35">
        <v>3450.0</v>
      </c>
      <c r="G1358" s="35">
        <v>27.48</v>
      </c>
      <c r="H1358" s="35">
        <v>125.5</v>
      </c>
      <c r="I1358" s="35" t="s">
        <v>142</v>
      </c>
    </row>
    <row r="1359" ht="22.5" customHeight="1">
      <c r="A1359" s="35" t="s">
        <v>2958</v>
      </c>
      <c r="B1359" s="35" t="s">
        <v>2959</v>
      </c>
      <c r="C1359" s="35" t="s">
        <v>7756</v>
      </c>
      <c r="D1359" s="35" t="s">
        <v>99</v>
      </c>
      <c r="E1359" s="35" t="s">
        <v>98</v>
      </c>
      <c r="F1359" s="35">
        <v>942.0</v>
      </c>
      <c r="G1359" s="35">
        <v>4.7</v>
      </c>
      <c r="H1359" s="35">
        <v>200.4</v>
      </c>
      <c r="I1359" s="35" t="s">
        <v>62</v>
      </c>
    </row>
    <row r="1360" ht="22.5" customHeight="1">
      <c r="A1360" s="35" t="s">
        <v>2960</v>
      </c>
      <c r="B1360" s="35" t="s">
        <v>2961</v>
      </c>
      <c r="C1360" s="35" t="s">
        <v>7756</v>
      </c>
      <c r="D1360" s="35" t="s">
        <v>149</v>
      </c>
      <c r="E1360" s="35" t="s">
        <v>363</v>
      </c>
      <c r="F1360" s="35">
        <v>475.0</v>
      </c>
      <c r="G1360" s="35">
        <v>8.53</v>
      </c>
      <c r="H1360" s="35">
        <v>55.7</v>
      </c>
      <c r="I1360" s="35" t="s">
        <v>75</v>
      </c>
    </row>
    <row r="1361" ht="22.5" customHeight="1">
      <c r="A1361" s="35" t="s">
        <v>2962</v>
      </c>
      <c r="B1361" s="35" t="s">
        <v>2963</v>
      </c>
      <c r="C1361" s="35" t="s">
        <v>7756</v>
      </c>
      <c r="D1361" s="35" t="s">
        <v>192</v>
      </c>
      <c r="E1361" s="35" t="s">
        <v>508</v>
      </c>
      <c r="F1361" s="35">
        <v>963.0</v>
      </c>
      <c r="G1361" s="35">
        <v>16.18</v>
      </c>
      <c r="H1361" s="35">
        <v>59.5</v>
      </c>
      <c r="I1361" s="35" t="s">
        <v>62</v>
      </c>
    </row>
    <row r="1362" ht="22.5" customHeight="1">
      <c r="A1362" s="35" t="s">
        <v>2964</v>
      </c>
      <c r="B1362" s="35" t="s">
        <v>2965</v>
      </c>
      <c r="C1362" s="35" t="s">
        <v>7756</v>
      </c>
      <c r="D1362" s="35" t="s">
        <v>236</v>
      </c>
      <c r="E1362" s="35" t="s">
        <v>558</v>
      </c>
      <c r="F1362" s="35">
        <v>3669.0</v>
      </c>
      <c r="G1362" s="35">
        <v>4.6</v>
      </c>
      <c r="H1362" s="35">
        <v>797.6</v>
      </c>
      <c r="I1362" s="35" t="s">
        <v>142</v>
      </c>
    </row>
    <row r="1363" ht="22.5" customHeight="1">
      <c r="A1363" s="35" t="s">
        <v>2966</v>
      </c>
      <c r="B1363" s="35" t="s">
        <v>2967</v>
      </c>
      <c r="C1363" s="35" t="s">
        <v>7756</v>
      </c>
      <c r="D1363" s="35" t="s">
        <v>224</v>
      </c>
      <c r="E1363" s="35" t="s">
        <v>390</v>
      </c>
      <c r="F1363" s="35">
        <v>7202.0</v>
      </c>
      <c r="G1363" s="35">
        <v>15.85</v>
      </c>
      <c r="H1363" s="35">
        <v>454.4</v>
      </c>
      <c r="I1363" s="35" t="s">
        <v>142</v>
      </c>
    </row>
    <row r="1364" ht="22.5" customHeight="1">
      <c r="A1364" s="35" t="s">
        <v>2968</v>
      </c>
      <c r="B1364" s="35" t="s">
        <v>2969</v>
      </c>
      <c r="C1364" s="35" t="s">
        <v>7756</v>
      </c>
      <c r="D1364" s="35" t="s">
        <v>99</v>
      </c>
      <c r="E1364" s="35" t="s">
        <v>98</v>
      </c>
      <c r="F1364" s="35">
        <v>519.0</v>
      </c>
      <c r="G1364" s="35">
        <v>8.9</v>
      </c>
      <c r="H1364" s="35">
        <v>58.3</v>
      </c>
      <c r="I1364" s="35" t="s">
        <v>62</v>
      </c>
    </row>
    <row r="1365" ht="22.5" customHeight="1">
      <c r="A1365" s="35" t="s">
        <v>2970</v>
      </c>
      <c r="B1365" s="35" t="s">
        <v>2971</v>
      </c>
      <c r="C1365" s="35" t="s">
        <v>7756</v>
      </c>
      <c r="D1365" s="35" t="s">
        <v>235</v>
      </c>
      <c r="E1365" s="35" t="s">
        <v>555</v>
      </c>
      <c r="F1365" s="35">
        <v>8247.0</v>
      </c>
      <c r="G1365" s="35">
        <v>30.62</v>
      </c>
      <c r="H1365" s="35">
        <v>269.3</v>
      </c>
      <c r="I1365" s="35" t="s">
        <v>142</v>
      </c>
    </row>
    <row r="1366" ht="22.5" customHeight="1">
      <c r="A1366" s="35" t="s">
        <v>2972</v>
      </c>
      <c r="B1366" s="35" t="s">
        <v>2973</v>
      </c>
      <c r="C1366" s="35" t="s">
        <v>7756</v>
      </c>
      <c r="D1366" s="35" t="s">
        <v>122</v>
      </c>
      <c r="E1366" s="35" t="s">
        <v>328</v>
      </c>
      <c r="F1366" s="35">
        <v>2914.0</v>
      </c>
      <c r="G1366" s="35">
        <v>8.38</v>
      </c>
      <c r="H1366" s="35">
        <v>347.7</v>
      </c>
      <c r="I1366" s="35" t="s">
        <v>142</v>
      </c>
    </row>
    <row r="1367" ht="22.5" customHeight="1">
      <c r="A1367" s="35" t="s">
        <v>2974</v>
      </c>
      <c r="B1367" s="35" t="s">
        <v>2975</v>
      </c>
      <c r="C1367" s="35" t="s">
        <v>7756</v>
      </c>
      <c r="D1367" s="35" t="s">
        <v>99</v>
      </c>
      <c r="E1367" s="35" t="s">
        <v>98</v>
      </c>
      <c r="F1367" s="35">
        <v>920.0</v>
      </c>
      <c r="G1367" s="35">
        <v>7.55</v>
      </c>
      <c r="H1367" s="35">
        <v>121.9</v>
      </c>
      <c r="I1367" s="35" t="s">
        <v>62</v>
      </c>
    </row>
    <row r="1368" ht="22.5" customHeight="1">
      <c r="A1368" s="35" t="s">
        <v>2976</v>
      </c>
      <c r="B1368" s="35" t="s">
        <v>2977</v>
      </c>
      <c r="C1368" s="35" t="s">
        <v>7756</v>
      </c>
      <c r="D1368" s="35" t="s">
        <v>146</v>
      </c>
      <c r="E1368" s="35" t="s">
        <v>268</v>
      </c>
      <c r="F1368" s="35">
        <v>817.0</v>
      </c>
      <c r="G1368" s="35">
        <v>4.0</v>
      </c>
      <c r="H1368" s="35">
        <v>204.2</v>
      </c>
      <c r="I1368" s="35" t="s">
        <v>62</v>
      </c>
    </row>
    <row r="1369" ht="22.5" customHeight="1">
      <c r="A1369" s="35" t="s">
        <v>2978</v>
      </c>
      <c r="B1369" s="35" t="s">
        <v>2979</v>
      </c>
      <c r="C1369" s="35" t="s">
        <v>7756</v>
      </c>
      <c r="D1369" s="35" t="s">
        <v>224</v>
      </c>
      <c r="E1369" s="35" t="s">
        <v>390</v>
      </c>
      <c r="F1369" s="35">
        <v>4170.0</v>
      </c>
      <c r="G1369" s="35">
        <v>7.06</v>
      </c>
      <c r="H1369" s="35">
        <v>590.7</v>
      </c>
      <c r="I1369" s="35" t="s">
        <v>142</v>
      </c>
    </row>
    <row r="1370" ht="22.5" customHeight="1">
      <c r="A1370" s="35" t="s">
        <v>2980</v>
      </c>
      <c r="B1370" s="35" t="s">
        <v>2981</v>
      </c>
      <c r="C1370" s="35" t="s">
        <v>7756</v>
      </c>
      <c r="D1370" s="35" t="s">
        <v>120</v>
      </c>
      <c r="E1370" s="35" t="s">
        <v>312</v>
      </c>
      <c r="F1370" s="35">
        <v>788.0</v>
      </c>
      <c r="G1370" s="35">
        <v>5.69</v>
      </c>
      <c r="H1370" s="35">
        <v>138.5</v>
      </c>
      <c r="I1370" s="35" t="s">
        <v>62</v>
      </c>
    </row>
    <row r="1371" ht="22.5" customHeight="1">
      <c r="A1371" s="35" t="s">
        <v>2982</v>
      </c>
      <c r="B1371" s="35" t="s">
        <v>2983</v>
      </c>
      <c r="C1371" s="35" t="s">
        <v>7756</v>
      </c>
      <c r="D1371" s="35" t="s">
        <v>122</v>
      </c>
      <c r="E1371" s="35" t="s">
        <v>328</v>
      </c>
      <c r="F1371" s="35">
        <v>1106.0</v>
      </c>
      <c r="G1371" s="35">
        <v>3.69</v>
      </c>
      <c r="H1371" s="35">
        <v>299.7</v>
      </c>
      <c r="I1371" s="35" t="s">
        <v>62</v>
      </c>
    </row>
    <row r="1372" ht="22.5" customHeight="1">
      <c r="A1372" s="35" t="s">
        <v>2984</v>
      </c>
      <c r="B1372" s="35" t="s">
        <v>2985</v>
      </c>
      <c r="C1372" s="35" t="s">
        <v>7756</v>
      </c>
      <c r="D1372" s="35" t="s">
        <v>120</v>
      </c>
      <c r="E1372" s="35" t="s">
        <v>312</v>
      </c>
      <c r="F1372" s="35">
        <v>543.0</v>
      </c>
      <c r="G1372" s="35">
        <v>6.0</v>
      </c>
      <c r="H1372" s="35">
        <v>90.5</v>
      </c>
      <c r="I1372" s="35" t="s">
        <v>62</v>
      </c>
    </row>
    <row r="1373" ht="22.5" customHeight="1">
      <c r="A1373" s="35" t="s">
        <v>2986</v>
      </c>
      <c r="B1373" s="35" t="s">
        <v>2987</v>
      </c>
      <c r="C1373" s="35" t="s">
        <v>7756</v>
      </c>
      <c r="D1373" s="35" t="s">
        <v>72</v>
      </c>
      <c r="E1373" s="35" t="s">
        <v>71</v>
      </c>
      <c r="F1373" s="35">
        <v>536.0</v>
      </c>
      <c r="G1373" s="35">
        <v>5.5</v>
      </c>
      <c r="H1373" s="35">
        <v>97.5</v>
      </c>
      <c r="I1373" s="35" t="s">
        <v>62</v>
      </c>
    </row>
    <row r="1374" ht="22.5" customHeight="1">
      <c r="A1374" s="35" t="s">
        <v>2988</v>
      </c>
      <c r="B1374" s="35" t="s">
        <v>2989</v>
      </c>
      <c r="C1374" s="35" t="s">
        <v>7756</v>
      </c>
      <c r="D1374" s="35" t="s">
        <v>120</v>
      </c>
      <c r="E1374" s="35" t="s">
        <v>312</v>
      </c>
      <c r="F1374" s="35">
        <v>695.0</v>
      </c>
      <c r="G1374" s="35">
        <v>3.28</v>
      </c>
      <c r="H1374" s="35">
        <v>211.9</v>
      </c>
      <c r="I1374" s="35" t="s">
        <v>62</v>
      </c>
    </row>
    <row r="1375" ht="22.5" customHeight="1">
      <c r="A1375" s="35" t="s">
        <v>2990</v>
      </c>
      <c r="B1375" s="35" t="s">
        <v>2991</v>
      </c>
      <c r="C1375" s="35" t="s">
        <v>7756</v>
      </c>
      <c r="D1375" s="35" t="s">
        <v>236</v>
      </c>
      <c r="E1375" s="35" t="s">
        <v>558</v>
      </c>
      <c r="F1375" s="35">
        <v>3957.0</v>
      </c>
      <c r="G1375" s="35">
        <v>2.39</v>
      </c>
      <c r="H1375" s="35">
        <v>1655.6</v>
      </c>
      <c r="I1375" s="35" t="s">
        <v>142</v>
      </c>
    </row>
    <row r="1376" ht="22.5" customHeight="1">
      <c r="A1376" s="35" t="s">
        <v>2992</v>
      </c>
      <c r="B1376" s="35" t="s">
        <v>2993</v>
      </c>
      <c r="C1376" s="35" t="s">
        <v>7756</v>
      </c>
      <c r="D1376" s="35" t="s">
        <v>236</v>
      </c>
      <c r="E1376" s="35" t="s">
        <v>558</v>
      </c>
      <c r="F1376" s="35">
        <v>98772.0</v>
      </c>
      <c r="G1376" s="35">
        <v>15.13</v>
      </c>
      <c r="H1376" s="35">
        <v>6528.2</v>
      </c>
      <c r="I1376" s="35" t="s">
        <v>7463</v>
      </c>
    </row>
    <row r="1377" ht="22.5" customHeight="1">
      <c r="A1377" s="35" t="s">
        <v>2994</v>
      </c>
      <c r="B1377" s="35" t="s">
        <v>2995</v>
      </c>
      <c r="C1377" s="35" t="s">
        <v>7756</v>
      </c>
      <c r="D1377" s="35" t="s">
        <v>224</v>
      </c>
      <c r="E1377" s="35" t="s">
        <v>390</v>
      </c>
      <c r="F1377" s="35">
        <v>936.0</v>
      </c>
      <c r="G1377" s="35">
        <v>2.06</v>
      </c>
      <c r="H1377" s="35">
        <v>454.4</v>
      </c>
      <c r="I1377" s="35" t="s">
        <v>62</v>
      </c>
    </row>
    <row r="1378" ht="22.5" customHeight="1">
      <c r="A1378" s="35" t="s">
        <v>2996</v>
      </c>
      <c r="B1378" s="35" t="s">
        <v>2997</v>
      </c>
      <c r="C1378" s="35" t="s">
        <v>7756</v>
      </c>
      <c r="D1378" s="35" t="s">
        <v>205</v>
      </c>
      <c r="E1378" s="35" t="s">
        <v>530</v>
      </c>
      <c r="F1378" s="35">
        <v>2604.0</v>
      </c>
      <c r="G1378" s="35">
        <v>39.13</v>
      </c>
      <c r="H1378" s="35">
        <v>66.5</v>
      </c>
      <c r="I1378" s="35" t="s">
        <v>142</v>
      </c>
    </row>
    <row r="1379" ht="22.5" customHeight="1">
      <c r="A1379" s="35" t="s">
        <v>2998</v>
      </c>
      <c r="B1379" s="35" t="s">
        <v>2999</v>
      </c>
      <c r="C1379" s="35" t="s">
        <v>7756</v>
      </c>
      <c r="D1379" s="35" t="s">
        <v>236</v>
      </c>
      <c r="E1379" s="35" t="s">
        <v>558</v>
      </c>
      <c r="F1379" s="35">
        <v>1386.0</v>
      </c>
      <c r="G1379" s="35">
        <v>1.9</v>
      </c>
      <c r="H1379" s="35">
        <v>729.5</v>
      </c>
      <c r="I1379" s="35" t="s">
        <v>62</v>
      </c>
    </row>
    <row r="1380" ht="22.5" customHeight="1">
      <c r="A1380" s="35" t="s">
        <v>3000</v>
      </c>
      <c r="B1380" s="35" t="s">
        <v>3001</v>
      </c>
      <c r="C1380" s="35" t="s">
        <v>7756</v>
      </c>
      <c r="D1380" s="35" t="s">
        <v>122</v>
      </c>
      <c r="E1380" s="35" t="s">
        <v>328</v>
      </c>
      <c r="F1380" s="35">
        <v>6019.0</v>
      </c>
      <c r="G1380" s="35">
        <v>6.87</v>
      </c>
      <c r="H1380" s="35">
        <v>876.1</v>
      </c>
      <c r="I1380" s="35" t="s">
        <v>142</v>
      </c>
    </row>
    <row r="1381" ht="22.5" customHeight="1">
      <c r="A1381" s="35" t="s">
        <v>3002</v>
      </c>
      <c r="B1381" s="35" t="s">
        <v>3003</v>
      </c>
      <c r="C1381" s="35" t="s">
        <v>7756</v>
      </c>
      <c r="D1381" s="35" t="s">
        <v>135</v>
      </c>
      <c r="E1381" s="35" t="s">
        <v>349</v>
      </c>
      <c r="F1381" s="35">
        <v>805.0</v>
      </c>
      <c r="G1381" s="35">
        <v>8.46</v>
      </c>
      <c r="H1381" s="35">
        <v>95.2</v>
      </c>
      <c r="I1381" s="35" t="s">
        <v>62</v>
      </c>
    </row>
    <row r="1382" ht="22.5" customHeight="1">
      <c r="A1382" s="35" t="s">
        <v>3004</v>
      </c>
      <c r="B1382" s="35" t="s">
        <v>3005</v>
      </c>
      <c r="C1382" s="35" t="s">
        <v>7756</v>
      </c>
      <c r="D1382" s="35" t="s">
        <v>171</v>
      </c>
      <c r="E1382" s="35" t="s">
        <v>457</v>
      </c>
      <c r="F1382" s="35">
        <v>1518.0</v>
      </c>
      <c r="G1382" s="35">
        <v>8.03</v>
      </c>
      <c r="H1382" s="35">
        <v>189.0</v>
      </c>
      <c r="I1382" s="35" t="s">
        <v>62</v>
      </c>
    </row>
    <row r="1383" ht="22.5" customHeight="1">
      <c r="A1383" s="35" t="s">
        <v>3006</v>
      </c>
      <c r="B1383" s="35" t="s">
        <v>3007</v>
      </c>
      <c r="C1383" s="35" t="s">
        <v>7756</v>
      </c>
      <c r="D1383" s="35" t="s">
        <v>146</v>
      </c>
      <c r="E1383" s="35" t="s">
        <v>268</v>
      </c>
      <c r="F1383" s="35">
        <v>43468.0</v>
      </c>
      <c r="G1383" s="35">
        <v>13.82</v>
      </c>
      <c r="H1383" s="35">
        <v>3145.3</v>
      </c>
      <c r="I1383" s="35" t="s">
        <v>571</v>
      </c>
    </row>
    <row r="1384" ht="22.5" customHeight="1">
      <c r="A1384" s="35" t="s">
        <v>3008</v>
      </c>
      <c r="B1384" s="35" t="s">
        <v>3009</v>
      </c>
      <c r="C1384" s="35" t="s">
        <v>7756</v>
      </c>
      <c r="D1384" s="35" t="s">
        <v>192</v>
      </c>
      <c r="E1384" s="35" t="s">
        <v>508</v>
      </c>
      <c r="F1384" s="35">
        <v>482.0</v>
      </c>
      <c r="G1384" s="35">
        <v>9.94</v>
      </c>
      <c r="H1384" s="35">
        <v>48.5</v>
      </c>
      <c r="I1384" s="35" t="s">
        <v>75</v>
      </c>
    </row>
    <row r="1385" ht="22.5" customHeight="1">
      <c r="A1385" s="35" t="s">
        <v>3010</v>
      </c>
      <c r="B1385" s="35" t="s">
        <v>3011</v>
      </c>
      <c r="C1385" s="35" t="s">
        <v>7756</v>
      </c>
      <c r="D1385" s="35" t="s">
        <v>202</v>
      </c>
      <c r="E1385" s="35" t="s">
        <v>499</v>
      </c>
      <c r="F1385" s="35">
        <v>1123.0</v>
      </c>
      <c r="G1385" s="35">
        <v>6.55</v>
      </c>
      <c r="H1385" s="35">
        <v>171.5</v>
      </c>
      <c r="I1385" s="35" t="s">
        <v>62</v>
      </c>
    </row>
    <row r="1386" ht="22.5" customHeight="1">
      <c r="A1386" s="35" t="s">
        <v>3012</v>
      </c>
      <c r="B1386" s="35" t="s">
        <v>3013</v>
      </c>
      <c r="C1386" s="35" t="s">
        <v>7756</v>
      </c>
      <c r="D1386" s="35" t="s">
        <v>236</v>
      </c>
      <c r="E1386" s="35" t="s">
        <v>558</v>
      </c>
      <c r="F1386" s="35">
        <v>1654.0</v>
      </c>
      <c r="G1386" s="35">
        <v>2.56</v>
      </c>
      <c r="H1386" s="35">
        <v>646.1</v>
      </c>
      <c r="I1386" s="35" t="s">
        <v>62</v>
      </c>
    </row>
    <row r="1387" ht="22.5" customHeight="1">
      <c r="A1387" s="35" t="s">
        <v>3014</v>
      </c>
      <c r="B1387" s="35" t="s">
        <v>3015</v>
      </c>
      <c r="C1387" s="35" t="s">
        <v>7756</v>
      </c>
      <c r="D1387" s="35" t="s">
        <v>146</v>
      </c>
      <c r="E1387" s="35" t="s">
        <v>268</v>
      </c>
      <c r="F1387" s="35">
        <v>1103.0</v>
      </c>
      <c r="G1387" s="35">
        <v>9.61</v>
      </c>
      <c r="H1387" s="35">
        <v>114.8</v>
      </c>
      <c r="I1387" s="35" t="s">
        <v>62</v>
      </c>
    </row>
    <row r="1388" ht="22.5" customHeight="1">
      <c r="A1388" s="35" t="s">
        <v>3016</v>
      </c>
      <c r="B1388" s="35" t="s">
        <v>3017</v>
      </c>
      <c r="C1388" s="35" t="s">
        <v>7756</v>
      </c>
      <c r="D1388" s="35" t="s">
        <v>236</v>
      </c>
      <c r="E1388" s="35" t="s">
        <v>558</v>
      </c>
      <c r="F1388" s="35">
        <v>2682.0</v>
      </c>
      <c r="G1388" s="35">
        <v>10.08</v>
      </c>
      <c r="H1388" s="35">
        <v>266.1</v>
      </c>
      <c r="I1388" s="35" t="s">
        <v>142</v>
      </c>
    </row>
    <row r="1389" ht="22.5" customHeight="1">
      <c r="A1389" s="35" t="s">
        <v>3018</v>
      </c>
      <c r="B1389" s="35" t="s">
        <v>3019</v>
      </c>
      <c r="C1389" s="35" t="s">
        <v>7756</v>
      </c>
      <c r="D1389" s="35" t="s">
        <v>202</v>
      </c>
      <c r="E1389" s="35" t="s">
        <v>499</v>
      </c>
      <c r="F1389" s="35">
        <v>535.0</v>
      </c>
      <c r="G1389" s="35">
        <v>5.79</v>
      </c>
      <c r="H1389" s="35">
        <v>92.4</v>
      </c>
      <c r="I1389" s="35" t="s">
        <v>62</v>
      </c>
    </row>
    <row r="1390" ht="22.5" customHeight="1">
      <c r="A1390" s="35" t="s">
        <v>3020</v>
      </c>
      <c r="B1390" s="35" t="s">
        <v>3021</v>
      </c>
      <c r="C1390" s="35" t="s">
        <v>7756</v>
      </c>
      <c r="D1390" s="35" t="s">
        <v>146</v>
      </c>
      <c r="E1390" s="35" t="s">
        <v>268</v>
      </c>
      <c r="F1390" s="35">
        <v>1464.0</v>
      </c>
      <c r="G1390" s="35">
        <v>4.0</v>
      </c>
      <c r="H1390" s="35">
        <v>366.0</v>
      </c>
      <c r="I1390" s="35" t="s">
        <v>62</v>
      </c>
    </row>
    <row r="1391" ht="22.5" customHeight="1">
      <c r="A1391" s="35" t="s">
        <v>3022</v>
      </c>
      <c r="B1391" s="35" t="s">
        <v>3023</v>
      </c>
      <c r="C1391" s="35" t="s">
        <v>7756</v>
      </c>
      <c r="D1391" s="35" t="s">
        <v>202</v>
      </c>
      <c r="E1391" s="35" t="s">
        <v>499</v>
      </c>
      <c r="F1391" s="35">
        <v>1364.0</v>
      </c>
      <c r="G1391" s="35">
        <v>10.62</v>
      </c>
      <c r="H1391" s="35">
        <v>128.4</v>
      </c>
      <c r="I1391" s="35" t="s">
        <v>62</v>
      </c>
    </row>
    <row r="1392" ht="22.5" customHeight="1">
      <c r="A1392" s="35" t="s">
        <v>3024</v>
      </c>
      <c r="B1392" s="35" t="s">
        <v>3025</v>
      </c>
      <c r="C1392" s="35" t="s">
        <v>7756</v>
      </c>
      <c r="D1392" s="35" t="s">
        <v>99</v>
      </c>
      <c r="E1392" s="35" t="s">
        <v>98</v>
      </c>
      <c r="F1392" s="35">
        <v>2628.0</v>
      </c>
      <c r="G1392" s="35">
        <v>25.98</v>
      </c>
      <c r="H1392" s="35">
        <v>101.2</v>
      </c>
      <c r="I1392" s="35" t="s">
        <v>142</v>
      </c>
    </row>
    <row r="1393" ht="22.5" customHeight="1">
      <c r="A1393" s="35" t="s">
        <v>3026</v>
      </c>
      <c r="B1393" s="35" t="s">
        <v>3027</v>
      </c>
      <c r="C1393" s="35" t="s">
        <v>7756</v>
      </c>
      <c r="D1393" s="35" t="s">
        <v>146</v>
      </c>
      <c r="E1393" s="35" t="s">
        <v>268</v>
      </c>
      <c r="F1393" s="35">
        <v>10617.0</v>
      </c>
      <c r="G1393" s="35">
        <v>11.02</v>
      </c>
      <c r="H1393" s="35">
        <v>963.4</v>
      </c>
      <c r="I1393" s="35" t="s">
        <v>571</v>
      </c>
    </row>
    <row r="1394" ht="22.5" customHeight="1">
      <c r="A1394" s="35" t="s">
        <v>3028</v>
      </c>
      <c r="B1394" s="35" t="s">
        <v>3029</v>
      </c>
      <c r="C1394" s="35" t="s">
        <v>7756</v>
      </c>
      <c r="D1394" s="35" t="s">
        <v>145</v>
      </c>
      <c r="E1394" s="35" t="s">
        <v>255</v>
      </c>
      <c r="F1394" s="35">
        <v>641.0</v>
      </c>
      <c r="G1394" s="35">
        <v>5.94</v>
      </c>
      <c r="H1394" s="35">
        <v>107.9</v>
      </c>
      <c r="I1394" s="35" t="s">
        <v>62</v>
      </c>
    </row>
    <row r="1395" ht="22.5" customHeight="1">
      <c r="A1395" s="35" t="s">
        <v>3030</v>
      </c>
      <c r="B1395" s="35" t="s">
        <v>3031</v>
      </c>
      <c r="C1395" s="35" t="s">
        <v>7756</v>
      </c>
      <c r="D1395" s="35" t="s">
        <v>145</v>
      </c>
      <c r="E1395" s="35" t="s">
        <v>255</v>
      </c>
      <c r="F1395" s="35">
        <v>938.0</v>
      </c>
      <c r="G1395" s="35">
        <v>11.69</v>
      </c>
      <c r="H1395" s="35">
        <v>80.2</v>
      </c>
      <c r="I1395" s="35" t="s">
        <v>62</v>
      </c>
    </row>
    <row r="1396" ht="22.5" customHeight="1">
      <c r="A1396" s="35" t="s">
        <v>3032</v>
      </c>
      <c r="B1396" s="35" t="s">
        <v>3033</v>
      </c>
      <c r="C1396" s="35" t="s">
        <v>7756</v>
      </c>
      <c r="D1396" s="35" t="s">
        <v>192</v>
      </c>
      <c r="E1396" s="35" t="s">
        <v>508</v>
      </c>
      <c r="F1396" s="35">
        <v>1084.0</v>
      </c>
      <c r="G1396" s="35">
        <v>5.72</v>
      </c>
      <c r="H1396" s="35">
        <v>189.5</v>
      </c>
      <c r="I1396" s="35" t="s">
        <v>62</v>
      </c>
    </row>
    <row r="1397" ht="22.5" customHeight="1">
      <c r="A1397" s="35" t="s">
        <v>3034</v>
      </c>
      <c r="B1397" s="35" t="s">
        <v>3035</v>
      </c>
      <c r="C1397" s="35" t="s">
        <v>7756</v>
      </c>
      <c r="D1397" s="35" t="s">
        <v>130</v>
      </c>
      <c r="E1397" s="35" t="s">
        <v>180</v>
      </c>
      <c r="F1397" s="35">
        <v>670.0</v>
      </c>
      <c r="G1397" s="35">
        <v>4.56</v>
      </c>
      <c r="H1397" s="35">
        <v>146.9</v>
      </c>
      <c r="I1397" s="35" t="s">
        <v>62</v>
      </c>
    </row>
    <row r="1398" ht="22.5" customHeight="1">
      <c r="A1398" s="35" t="s">
        <v>3036</v>
      </c>
      <c r="B1398" s="35" t="s">
        <v>3037</v>
      </c>
      <c r="C1398" s="35" t="s">
        <v>7756</v>
      </c>
      <c r="D1398" s="35" t="s">
        <v>120</v>
      </c>
      <c r="E1398" s="35" t="s">
        <v>312</v>
      </c>
      <c r="F1398" s="35">
        <v>1151.0</v>
      </c>
      <c r="G1398" s="35">
        <v>8.94</v>
      </c>
      <c r="H1398" s="35">
        <v>128.7</v>
      </c>
      <c r="I1398" s="35" t="s">
        <v>62</v>
      </c>
    </row>
    <row r="1399" ht="22.5" customHeight="1">
      <c r="A1399" s="35" t="s">
        <v>3038</v>
      </c>
      <c r="B1399" s="35" t="s">
        <v>3039</v>
      </c>
      <c r="C1399" s="35" t="s">
        <v>7756</v>
      </c>
      <c r="D1399" s="35" t="s">
        <v>120</v>
      </c>
      <c r="E1399" s="35" t="s">
        <v>312</v>
      </c>
      <c r="F1399" s="35">
        <v>684.0</v>
      </c>
      <c r="G1399" s="35">
        <v>11.3</v>
      </c>
      <c r="H1399" s="35">
        <v>60.5</v>
      </c>
      <c r="I1399" s="35" t="s">
        <v>62</v>
      </c>
    </row>
    <row r="1400" ht="22.5" customHeight="1">
      <c r="A1400" s="35" t="s">
        <v>3040</v>
      </c>
      <c r="B1400" s="35" t="s">
        <v>3041</v>
      </c>
      <c r="C1400" s="35" t="s">
        <v>7756</v>
      </c>
      <c r="D1400" s="35" t="s">
        <v>135</v>
      </c>
      <c r="E1400" s="35" t="s">
        <v>349</v>
      </c>
      <c r="F1400" s="35">
        <v>2117.0</v>
      </c>
      <c r="G1400" s="35">
        <v>7.09</v>
      </c>
      <c r="H1400" s="35">
        <v>298.6</v>
      </c>
      <c r="I1400" s="35" t="s">
        <v>142</v>
      </c>
    </row>
    <row r="1401" ht="22.5" customHeight="1">
      <c r="A1401" s="35" t="s">
        <v>3042</v>
      </c>
      <c r="B1401" s="35" t="s">
        <v>3043</v>
      </c>
      <c r="C1401" s="35" t="s">
        <v>7756</v>
      </c>
      <c r="D1401" s="35" t="s">
        <v>120</v>
      </c>
      <c r="E1401" s="35" t="s">
        <v>312</v>
      </c>
      <c r="F1401" s="35">
        <v>390.0</v>
      </c>
      <c r="G1401" s="35">
        <v>11.0</v>
      </c>
      <c r="H1401" s="35">
        <v>35.5</v>
      </c>
      <c r="I1401" s="35" t="s">
        <v>75</v>
      </c>
    </row>
    <row r="1402" ht="22.5" customHeight="1">
      <c r="A1402" s="35" t="s">
        <v>3044</v>
      </c>
      <c r="B1402" s="35" t="s">
        <v>3045</v>
      </c>
      <c r="C1402" s="35" t="s">
        <v>7756</v>
      </c>
      <c r="D1402" s="35" t="s">
        <v>192</v>
      </c>
      <c r="E1402" s="35" t="s">
        <v>508</v>
      </c>
      <c r="F1402" s="35">
        <v>1197.0</v>
      </c>
      <c r="G1402" s="35">
        <v>12.15</v>
      </c>
      <c r="H1402" s="35">
        <v>98.5</v>
      </c>
      <c r="I1402" s="35" t="s">
        <v>62</v>
      </c>
    </row>
    <row r="1403" ht="22.5" customHeight="1">
      <c r="A1403" s="35" t="s">
        <v>3046</v>
      </c>
      <c r="B1403" s="35" t="s">
        <v>3047</v>
      </c>
      <c r="C1403" s="35" t="s">
        <v>7756</v>
      </c>
      <c r="D1403" s="35" t="s">
        <v>145</v>
      </c>
      <c r="E1403" s="35" t="s">
        <v>255</v>
      </c>
      <c r="F1403" s="35">
        <v>1009.0</v>
      </c>
      <c r="G1403" s="35">
        <v>8.5</v>
      </c>
      <c r="H1403" s="35">
        <v>118.7</v>
      </c>
      <c r="I1403" s="35" t="s">
        <v>62</v>
      </c>
    </row>
    <row r="1404" ht="22.5" customHeight="1">
      <c r="A1404" s="35" t="s">
        <v>3048</v>
      </c>
      <c r="B1404" s="35" t="s">
        <v>3049</v>
      </c>
      <c r="C1404" s="35" t="s">
        <v>7756</v>
      </c>
      <c r="D1404" s="35" t="s">
        <v>171</v>
      </c>
      <c r="E1404" s="35" t="s">
        <v>457</v>
      </c>
      <c r="F1404" s="35">
        <v>573.0</v>
      </c>
      <c r="G1404" s="35">
        <v>9.92</v>
      </c>
      <c r="H1404" s="35">
        <v>57.8</v>
      </c>
      <c r="I1404" s="35" t="s">
        <v>62</v>
      </c>
    </row>
    <row r="1405" ht="22.5" customHeight="1">
      <c r="A1405" s="35" t="s">
        <v>3050</v>
      </c>
      <c r="B1405" s="35" t="s">
        <v>3051</v>
      </c>
      <c r="C1405" s="35" t="s">
        <v>7756</v>
      </c>
      <c r="D1405" s="35" t="s">
        <v>72</v>
      </c>
      <c r="E1405" s="35" t="s">
        <v>71</v>
      </c>
      <c r="F1405" s="35">
        <v>1302.0</v>
      </c>
      <c r="G1405" s="35">
        <v>3.43</v>
      </c>
      <c r="H1405" s="35">
        <v>379.6</v>
      </c>
      <c r="I1405" s="35" t="s">
        <v>62</v>
      </c>
    </row>
    <row r="1406" ht="22.5" customHeight="1">
      <c r="A1406" s="35" t="s">
        <v>3052</v>
      </c>
      <c r="B1406" s="35" t="s">
        <v>3053</v>
      </c>
      <c r="C1406" s="35" t="s">
        <v>7756</v>
      </c>
      <c r="D1406" s="35" t="s">
        <v>224</v>
      </c>
      <c r="E1406" s="35" t="s">
        <v>390</v>
      </c>
      <c r="F1406" s="35">
        <v>2613.0</v>
      </c>
      <c r="G1406" s="35">
        <v>5.69</v>
      </c>
      <c r="H1406" s="35">
        <v>459.2</v>
      </c>
      <c r="I1406" s="35" t="s">
        <v>142</v>
      </c>
    </row>
    <row r="1407" ht="22.5" customHeight="1">
      <c r="A1407" s="35" t="s">
        <v>3054</v>
      </c>
      <c r="B1407" s="35" t="s">
        <v>3055</v>
      </c>
      <c r="C1407" s="35" t="s">
        <v>7756</v>
      </c>
      <c r="D1407" s="35" t="s">
        <v>135</v>
      </c>
      <c r="E1407" s="35" t="s">
        <v>349</v>
      </c>
      <c r="F1407" s="35">
        <v>2081.0</v>
      </c>
      <c r="G1407" s="35">
        <v>15.12</v>
      </c>
      <c r="H1407" s="35">
        <v>137.6</v>
      </c>
      <c r="I1407" s="35" t="s">
        <v>142</v>
      </c>
    </row>
    <row r="1408" ht="22.5" customHeight="1">
      <c r="A1408" s="35" t="s">
        <v>3056</v>
      </c>
      <c r="B1408" s="35" t="s">
        <v>3057</v>
      </c>
      <c r="C1408" s="35" t="s">
        <v>7756</v>
      </c>
      <c r="D1408" s="35" t="s">
        <v>122</v>
      </c>
      <c r="E1408" s="35" t="s">
        <v>328</v>
      </c>
      <c r="F1408" s="35">
        <v>5633.0</v>
      </c>
      <c r="G1408" s="35">
        <v>21.0</v>
      </c>
      <c r="H1408" s="35">
        <v>268.2</v>
      </c>
      <c r="I1408" s="35" t="s">
        <v>142</v>
      </c>
    </row>
    <row r="1409" ht="22.5" customHeight="1">
      <c r="A1409" s="35" t="s">
        <v>3058</v>
      </c>
      <c r="B1409" s="35" t="s">
        <v>3059</v>
      </c>
      <c r="C1409" s="35" t="s">
        <v>7756</v>
      </c>
      <c r="D1409" s="35" t="s">
        <v>205</v>
      </c>
      <c r="E1409" s="35" t="s">
        <v>530</v>
      </c>
      <c r="F1409" s="35">
        <v>284.0</v>
      </c>
      <c r="G1409" s="35">
        <v>7.78</v>
      </c>
      <c r="H1409" s="35">
        <v>36.5</v>
      </c>
      <c r="I1409" s="35" t="s">
        <v>75</v>
      </c>
    </row>
    <row r="1410" ht="22.5" customHeight="1">
      <c r="A1410" s="35" t="s">
        <v>3060</v>
      </c>
      <c r="B1410" s="35" t="s">
        <v>3061</v>
      </c>
      <c r="C1410" s="35" t="s">
        <v>7756</v>
      </c>
      <c r="D1410" s="35" t="s">
        <v>99</v>
      </c>
      <c r="E1410" s="35" t="s">
        <v>98</v>
      </c>
      <c r="F1410" s="35">
        <v>808.0</v>
      </c>
      <c r="G1410" s="35">
        <v>5.45</v>
      </c>
      <c r="H1410" s="35">
        <v>148.3</v>
      </c>
      <c r="I1410" s="35" t="s">
        <v>62</v>
      </c>
    </row>
    <row r="1411" ht="22.5" customHeight="1">
      <c r="A1411" s="35" t="s">
        <v>3062</v>
      </c>
      <c r="B1411" s="35" t="s">
        <v>3063</v>
      </c>
      <c r="C1411" s="35" t="s">
        <v>7756</v>
      </c>
      <c r="D1411" s="35" t="s">
        <v>120</v>
      </c>
      <c r="E1411" s="35" t="s">
        <v>312</v>
      </c>
      <c r="F1411" s="35">
        <v>381.0</v>
      </c>
      <c r="G1411" s="35">
        <v>6.23</v>
      </c>
      <c r="H1411" s="35">
        <v>61.2</v>
      </c>
      <c r="I1411" s="35" t="s">
        <v>75</v>
      </c>
    </row>
    <row r="1412" ht="22.5" customHeight="1">
      <c r="A1412" s="35" t="s">
        <v>3064</v>
      </c>
      <c r="B1412" s="35" t="s">
        <v>3065</v>
      </c>
      <c r="C1412" s="35" t="s">
        <v>7756</v>
      </c>
      <c r="D1412" s="35" t="s">
        <v>236</v>
      </c>
      <c r="E1412" s="35" t="s">
        <v>558</v>
      </c>
      <c r="F1412" s="35">
        <v>11012.0</v>
      </c>
      <c r="G1412" s="35">
        <v>15.46</v>
      </c>
      <c r="H1412" s="35">
        <v>712.3</v>
      </c>
      <c r="I1412" s="35" t="s">
        <v>571</v>
      </c>
    </row>
    <row r="1413" ht="22.5" customHeight="1">
      <c r="A1413" s="35" t="s">
        <v>3066</v>
      </c>
      <c r="B1413" s="35" t="s">
        <v>3067</v>
      </c>
      <c r="C1413" s="35" t="s">
        <v>7756</v>
      </c>
      <c r="D1413" s="35" t="s">
        <v>72</v>
      </c>
      <c r="E1413" s="35" t="s">
        <v>71</v>
      </c>
      <c r="F1413" s="35">
        <v>1301.0</v>
      </c>
      <c r="G1413" s="35">
        <v>6.27</v>
      </c>
      <c r="H1413" s="35">
        <v>207.5</v>
      </c>
      <c r="I1413" s="35" t="s">
        <v>62</v>
      </c>
    </row>
    <row r="1414" ht="22.5" customHeight="1">
      <c r="A1414" s="35" t="s">
        <v>3068</v>
      </c>
      <c r="B1414" s="35" t="s">
        <v>3069</v>
      </c>
      <c r="C1414" s="35" t="s">
        <v>7756</v>
      </c>
      <c r="D1414" s="35" t="s">
        <v>224</v>
      </c>
      <c r="E1414" s="35" t="s">
        <v>390</v>
      </c>
      <c r="F1414" s="35">
        <v>1338.0</v>
      </c>
      <c r="G1414" s="35">
        <v>3.72</v>
      </c>
      <c r="H1414" s="35">
        <v>359.7</v>
      </c>
      <c r="I1414" s="35" t="s">
        <v>62</v>
      </c>
    </row>
    <row r="1415" ht="22.5" customHeight="1">
      <c r="A1415" s="35" t="s">
        <v>3070</v>
      </c>
      <c r="B1415" s="35" t="s">
        <v>3071</v>
      </c>
      <c r="C1415" s="35" t="s">
        <v>7756</v>
      </c>
      <c r="D1415" s="35" t="s">
        <v>192</v>
      </c>
      <c r="E1415" s="35" t="s">
        <v>508</v>
      </c>
      <c r="F1415" s="35">
        <v>1125.0</v>
      </c>
      <c r="G1415" s="35">
        <v>5.68</v>
      </c>
      <c r="H1415" s="35">
        <v>198.1</v>
      </c>
      <c r="I1415" s="35" t="s">
        <v>62</v>
      </c>
    </row>
    <row r="1416" ht="22.5" customHeight="1">
      <c r="A1416" s="35" t="s">
        <v>3072</v>
      </c>
      <c r="B1416" s="35" t="s">
        <v>3073</v>
      </c>
      <c r="C1416" s="35" t="s">
        <v>7756</v>
      </c>
      <c r="D1416" s="35" t="s">
        <v>192</v>
      </c>
      <c r="E1416" s="35" t="s">
        <v>508</v>
      </c>
      <c r="F1416" s="35">
        <v>771.0</v>
      </c>
      <c r="G1416" s="35">
        <v>5.21</v>
      </c>
      <c r="H1416" s="35">
        <v>148.0</v>
      </c>
      <c r="I1416" s="35" t="s">
        <v>62</v>
      </c>
    </row>
    <row r="1417" ht="22.5" customHeight="1">
      <c r="A1417" s="35" t="s">
        <v>3074</v>
      </c>
      <c r="B1417" s="35" t="s">
        <v>3075</v>
      </c>
      <c r="C1417" s="35" t="s">
        <v>7756</v>
      </c>
      <c r="D1417" s="35" t="s">
        <v>171</v>
      </c>
      <c r="E1417" s="35" t="s">
        <v>457</v>
      </c>
      <c r="F1417" s="35">
        <v>2020.0</v>
      </c>
      <c r="G1417" s="35">
        <v>27.76</v>
      </c>
      <c r="H1417" s="35">
        <v>72.8</v>
      </c>
      <c r="I1417" s="35" t="s">
        <v>142</v>
      </c>
    </row>
    <row r="1418" ht="22.5" customHeight="1">
      <c r="A1418" s="35" t="s">
        <v>3076</v>
      </c>
      <c r="B1418" s="35" t="s">
        <v>3077</v>
      </c>
      <c r="C1418" s="35" t="s">
        <v>7756</v>
      </c>
      <c r="D1418" s="35" t="s">
        <v>72</v>
      </c>
      <c r="E1418" s="35" t="s">
        <v>71</v>
      </c>
      <c r="F1418" s="35">
        <v>603.0</v>
      </c>
      <c r="G1418" s="35">
        <v>3.94</v>
      </c>
      <c r="H1418" s="35">
        <v>153.0</v>
      </c>
      <c r="I1418" s="35" t="s">
        <v>62</v>
      </c>
    </row>
    <row r="1419" ht="22.5" customHeight="1">
      <c r="A1419" s="35" t="s">
        <v>3078</v>
      </c>
      <c r="B1419" s="35" t="s">
        <v>3079</v>
      </c>
      <c r="C1419" s="35" t="s">
        <v>7756</v>
      </c>
      <c r="D1419" s="35" t="s">
        <v>236</v>
      </c>
      <c r="E1419" s="35" t="s">
        <v>558</v>
      </c>
      <c r="F1419" s="35">
        <v>231.0</v>
      </c>
      <c r="G1419" s="35">
        <v>4.18</v>
      </c>
      <c r="H1419" s="35">
        <v>55.3</v>
      </c>
      <c r="I1419" s="35" t="s">
        <v>75</v>
      </c>
    </row>
    <row r="1420" ht="22.5" customHeight="1">
      <c r="A1420" s="35" t="s">
        <v>3080</v>
      </c>
      <c r="B1420" s="35" t="s">
        <v>3081</v>
      </c>
      <c r="C1420" s="35" t="s">
        <v>7756</v>
      </c>
      <c r="D1420" s="35" t="s">
        <v>122</v>
      </c>
      <c r="E1420" s="35" t="s">
        <v>328</v>
      </c>
      <c r="F1420" s="35">
        <v>604.0</v>
      </c>
      <c r="G1420" s="35">
        <v>5.22</v>
      </c>
      <c r="H1420" s="35">
        <v>115.7</v>
      </c>
      <c r="I1420" s="35" t="s">
        <v>62</v>
      </c>
    </row>
    <row r="1421" ht="22.5" customHeight="1">
      <c r="A1421" s="35" t="s">
        <v>3082</v>
      </c>
      <c r="B1421" s="35" t="s">
        <v>3083</v>
      </c>
      <c r="C1421" s="35" t="s">
        <v>7756</v>
      </c>
      <c r="D1421" s="35" t="s">
        <v>236</v>
      </c>
      <c r="E1421" s="35" t="s">
        <v>558</v>
      </c>
      <c r="F1421" s="35">
        <v>20726.0</v>
      </c>
      <c r="G1421" s="35">
        <v>6.87</v>
      </c>
      <c r="H1421" s="35">
        <v>3016.9</v>
      </c>
      <c r="I1421" s="35" t="s">
        <v>571</v>
      </c>
    </row>
    <row r="1422" ht="22.5" customHeight="1">
      <c r="A1422" s="35" t="s">
        <v>3084</v>
      </c>
      <c r="B1422" s="35" t="s">
        <v>3085</v>
      </c>
      <c r="C1422" s="35" t="s">
        <v>7756</v>
      </c>
      <c r="D1422" s="35" t="s">
        <v>171</v>
      </c>
      <c r="E1422" s="35" t="s">
        <v>457</v>
      </c>
      <c r="F1422" s="35">
        <v>2564.0</v>
      </c>
      <c r="G1422" s="35">
        <v>7.77</v>
      </c>
      <c r="H1422" s="35">
        <v>330.0</v>
      </c>
      <c r="I1422" s="35" t="s">
        <v>142</v>
      </c>
    </row>
    <row r="1423" ht="22.5" customHeight="1">
      <c r="A1423" s="35" t="s">
        <v>3086</v>
      </c>
      <c r="B1423" s="35" t="s">
        <v>3087</v>
      </c>
      <c r="C1423" s="35" t="s">
        <v>7756</v>
      </c>
      <c r="D1423" s="35" t="s">
        <v>236</v>
      </c>
      <c r="E1423" s="35" t="s">
        <v>558</v>
      </c>
      <c r="F1423" s="35">
        <v>15525.0</v>
      </c>
      <c r="G1423" s="35">
        <v>6.3</v>
      </c>
      <c r="H1423" s="35">
        <v>2464.3</v>
      </c>
      <c r="I1423" s="35" t="s">
        <v>571</v>
      </c>
    </row>
    <row r="1424" ht="22.5" customHeight="1">
      <c r="A1424" s="35" t="s">
        <v>3088</v>
      </c>
      <c r="B1424" s="35" t="s">
        <v>3089</v>
      </c>
      <c r="C1424" s="35" t="s">
        <v>7756</v>
      </c>
      <c r="D1424" s="35" t="s">
        <v>149</v>
      </c>
      <c r="E1424" s="35" t="s">
        <v>363</v>
      </c>
      <c r="F1424" s="35">
        <v>240.0</v>
      </c>
      <c r="G1424" s="35">
        <v>6.33</v>
      </c>
      <c r="H1424" s="35">
        <v>37.9</v>
      </c>
      <c r="I1424" s="35" t="s">
        <v>75</v>
      </c>
    </row>
    <row r="1425" ht="22.5" customHeight="1">
      <c r="A1425" s="35" t="s">
        <v>3090</v>
      </c>
      <c r="B1425" s="35" t="s">
        <v>3091</v>
      </c>
      <c r="C1425" s="35" t="s">
        <v>7756</v>
      </c>
      <c r="D1425" s="35" t="s">
        <v>236</v>
      </c>
      <c r="E1425" s="35" t="s">
        <v>558</v>
      </c>
      <c r="F1425" s="35">
        <v>40847.0</v>
      </c>
      <c r="G1425" s="35">
        <v>13.66</v>
      </c>
      <c r="H1425" s="35">
        <v>2990.3</v>
      </c>
      <c r="I1425" s="35" t="s">
        <v>571</v>
      </c>
    </row>
    <row r="1426" ht="22.5" customHeight="1">
      <c r="A1426" s="35" t="s">
        <v>3092</v>
      </c>
      <c r="B1426" s="35" t="s">
        <v>3093</v>
      </c>
      <c r="C1426" s="35" t="s">
        <v>7756</v>
      </c>
      <c r="D1426" s="35" t="s">
        <v>122</v>
      </c>
      <c r="E1426" s="35" t="s">
        <v>328</v>
      </c>
      <c r="F1426" s="35">
        <v>1599.0</v>
      </c>
      <c r="G1426" s="35">
        <v>2.37</v>
      </c>
      <c r="H1426" s="35">
        <v>674.7</v>
      </c>
      <c r="I1426" s="35" t="s">
        <v>62</v>
      </c>
    </row>
    <row r="1427" ht="22.5" customHeight="1">
      <c r="A1427" s="35" t="s">
        <v>3094</v>
      </c>
      <c r="B1427" s="35" t="s">
        <v>3095</v>
      </c>
      <c r="C1427" s="35" t="s">
        <v>7756</v>
      </c>
      <c r="D1427" s="35" t="s">
        <v>122</v>
      </c>
      <c r="E1427" s="35" t="s">
        <v>328</v>
      </c>
      <c r="F1427" s="35">
        <v>440.0</v>
      </c>
      <c r="G1427" s="35">
        <v>3.82</v>
      </c>
      <c r="H1427" s="35">
        <v>115.2</v>
      </c>
      <c r="I1427" s="35" t="s">
        <v>75</v>
      </c>
    </row>
    <row r="1428" ht="22.5" customHeight="1">
      <c r="A1428" s="35" t="s">
        <v>3096</v>
      </c>
      <c r="B1428" s="35" t="s">
        <v>3097</v>
      </c>
      <c r="C1428" s="35" t="s">
        <v>7756</v>
      </c>
      <c r="D1428" s="35" t="s">
        <v>236</v>
      </c>
      <c r="E1428" s="35" t="s">
        <v>558</v>
      </c>
      <c r="F1428" s="35">
        <v>7758.0</v>
      </c>
      <c r="G1428" s="35">
        <v>13.59</v>
      </c>
      <c r="H1428" s="35">
        <v>570.9</v>
      </c>
      <c r="I1428" s="35" t="s">
        <v>142</v>
      </c>
    </row>
    <row r="1429" ht="22.5" customHeight="1">
      <c r="A1429" s="35" t="s">
        <v>3098</v>
      </c>
      <c r="B1429" s="35" t="s">
        <v>3099</v>
      </c>
      <c r="C1429" s="35" t="s">
        <v>7756</v>
      </c>
      <c r="D1429" s="35" t="s">
        <v>130</v>
      </c>
      <c r="E1429" s="35" t="s">
        <v>180</v>
      </c>
      <c r="F1429" s="35">
        <v>7266.0</v>
      </c>
      <c r="G1429" s="35">
        <v>4.33</v>
      </c>
      <c r="H1429" s="35">
        <v>1678.1</v>
      </c>
      <c r="I1429" s="35" t="s">
        <v>142</v>
      </c>
    </row>
    <row r="1430" ht="22.5" customHeight="1">
      <c r="A1430" s="35" t="s">
        <v>3100</v>
      </c>
      <c r="B1430" s="35" t="s">
        <v>3101</v>
      </c>
      <c r="C1430" s="35" t="s">
        <v>7756</v>
      </c>
      <c r="D1430" s="35" t="s">
        <v>99</v>
      </c>
      <c r="E1430" s="35" t="s">
        <v>98</v>
      </c>
      <c r="F1430" s="35">
        <v>225.0</v>
      </c>
      <c r="G1430" s="35">
        <v>4.16</v>
      </c>
      <c r="H1430" s="35">
        <v>54.1</v>
      </c>
      <c r="I1430" s="35" t="s">
        <v>75</v>
      </c>
    </row>
    <row r="1431" ht="22.5" customHeight="1">
      <c r="A1431" s="35" t="s">
        <v>3102</v>
      </c>
      <c r="B1431" s="35" t="s">
        <v>3103</v>
      </c>
      <c r="C1431" s="35" t="s">
        <v>7756</v>
      </c>
      <c r="D1431" s="35" t="s">
        <v>236</v>
      </c>
      <c r="E1431" s="35" t="s">
        <v>558</v>
      </c>
      <c r="F1431" s="35">
        <v>5426.0</v>
      </c>
      <c r="G1431" s="35">
        <v>5.09</v>
      </c>
      <c r="H1431" s="35">
        <v>1066.0</v>
      </c>
      <c r="I1431" s="35" t="s">
        <v>142</v>
      </c>
    </row>
    <row r="1432" ht="22.5" customHeight="1">
      <c r="A1432" s="35" t="s">
        <v>3104</v>
      </c>
      <c r="B1432" s="35" t="s">
        <v>3105</v>
      </c>
      <c r="C1432" s="35" t="s">
        <v>7756</v>
      </c>
      <c r="D1432" s="35" t="s">
        <v>171</v>
      </c>
      <c r="E1432" s="35" t="s">
        <v>457</v>
      </c>
      <c r="F1432" s="35">
        <v>644.0</v>
      </c>
      <c r="G1432" s="35">
        <v>7.63</v>
      </c>
      <c r="H1432" s="35">
        <v>84.4</v>
      </c>
      <c r="I1432" s="35" t="s">
        <v>62</v>
      </c>
    </row>
    <row r="1433" ht="22.5" customHeight="1">
      <c r="A1433" s="35" t="s">
        <v>3106</v>
      </c>
      <c r="B1433" s="35" t="s">
        <v>3107</v>
      </c>
      <c r="C1433" s="35" t="s">
        <v>7756</v>
      </c>
      <c r="D1433" s="35" t="s">
        <v>236</v>
      </c>
      <c r="E1433" s="35" t="s">
        <v>558</v>
      </c>
      <c r="F1433" s="35">
        <v>581.0</v>
      </c>
      <c r="G1433" s="35">
        <v>2.81</v>
      </c>
      <c r="H1433" s="35">
        <v>206.8</v>
      </c>
      <c r="I1433" s="35" t="s">
        <v>62</v>
      </c>
    </row>
    <row r="1434" ht="22.5" customHeight="1">
      <c r="A1434" s="35" t="s">
        <v>3108</v>
      </c>
      <c r="B1434" s="35" t="s">
        <v>3109</v>
      </c>
      <c r="C1434" s="35" t="s">
        <v>7756</v>
      </c>
      <c r="D1434" s="35" t="s">
        <v>205</v>
      </c>
      <c r="E1434" s="35" t="s">
        <v>530</v>
      </c>
      <c r="F1434" s="35">
        <v>2804.0</v>
      </c>
      <c r="G1434" s="35">
        <v>13.89</v>
      </c>
      <c r="H1434" s="35">
        <v>201.9</v>
      </c>
      <c r="I1434" s="35" t="s">
        <v>142</v>
      </c>
    </row>
    <row r="1435" ht="22.5" customHeight="1">
      <c r="A1435" s="35" t="s">
        <v>3110</v>
      </c>
      <c r="B1435" s="35" t="s">
        <v>3111</v>
      </c>
      <c r="C1435" s="35" t="s">
        <v>7756</v>
      </c>
      <c r="D1435" s="35" t="s">
        <v>236</v>
      </c>
      <c r="E1435" s="35" t="s">
        <v>558</v>
      </c>
      <c r="F1435" s="35">
        <v>2941.0</v>
      </c>
      <c r="G1435" s="35">
        <v>5.81</v>
      </c>
      <c r="H1435" s="35">
        <v>506.2</v>
      </c>
      <c r="I1435" s="35" t="s">
        <v>142</v>
      </c>
    </row>
    <row r="1436" ht="22.5" customHeight="1">
      <c r="A1436" s="35" t="s">
        <v>3112</v>
      </c>
      <c r="B1436" s="35" t="s">
        <v>3113</v>
      </c>
      <c r="C1436" s="35" t="s">
        <v>7756</v>
      </c>
      <c r="D1436" s="35" t="s">
        <v>205</v>
      </c>
      <c r="E1436" s="35" t="s">
        <v>530</v>
      </c>
      <c r="F1436" s="35">
        <v>128.0</v>
      </c>
      <c r="G1436" s="35">
        <v>4.12</v>
      </c>
      <c r="H1436" s="35">
        <v>31.1</v>
      </c>
      <c r="I1436" s="35" t="s">
        <v>75</v>
      </c>
    </row>
    <row r="1437" ht="22.5" customHeight="1">
      <c r="A1437" s="35" t="s">
        <v>3114</v>
      </c>
      <c r="B1437" s="35" t="s">
        <v>3115</v>
      </c>
      <c r="C1437" s="35" t="s">
        <v>7756</v>
      </c>
      <c r="D1437" s="35" t="s">
        <v>99</v>
      </c>
      <c r="E1437" s="35" t="s">
        <v>98</v>
      </c>
      <c r="F1437" s="35">
        <v>1261.0</v>
      </c>
      <c r="G1437" s="35">
        <v>15.73</v>
      </c>
      <c r="H1437" s="35">
        <v>80.2</v>
      </c>
      <c r="I1437" s="35" t="s">
        <v>62</v>
      </c>
    </row>
    <row r="1438" ht="22.5" customHeight="1">
      <c r="A1438" s="35" t="s">
        <v>3116</v>
      </c>
      <c r="B1438" s="35" t="s">
        <v>3117</v>
      </c>
      <c r="C1438" s="35" t="s">
        <v>7756</v>
      </c>
      <c r="D1438" s="35" t="s">
        <v>171</v>
      </c>
      <c r="E1438" s="35" t="s">
        <v>457</v>
      </c>
      <c r="F1438" s="35">
        <v>5584.0</v>
      </c>
      <c r="G1438" s="35">
        <v>27.37</v>
      </c>
      <c r="H1438" s="35">
        <v>204.0</v>
      </c>
      <c r="I1438" s="35" t="s">
        <v>142</v>
      </c>
    </row>
    <row r="1439" ht="22.5" customHeight="1">
      <c r="A1439" s="35" t="s">
        <v>3118</v>
      </c>
      <c r="B1439" s="35" t="s">
        <v>3119</v>
      </c>
      <c r="C1439" s="35" t="s">
        <v>7756</v>
      </c>
      <c r="D1439" s="35" t="s">
        <v>171</v>
      </c>
      <c r="E1439" s="35" t="s">
        <v>457</v>
      </c>
      <c r="F1439" s="35">
        <v>334.0</v>
      </c>
      <c r="G1439" s="35">
        <v>2.92</v>
      </c>
      <c r="H1439" s="35">
        <v>114.4</v>
      </c>
      <c r="I1439" s="35" t="s">
        <v>75</v>
      </c>
    </row>
    <row r="1440" ht="22.5" customHeight="1">
      <c r="A1440" s="35" t="s">
        <v>3120</v>
      </c>
      <c r="B1440" s="35" t="s">
        <v>3121</v>
      </c>
      <c r="C1440" s="35" t="s">
        <v>7756</v>
      </c>
      <c r="D1440" s="35" t="s">
        <v>171</v>
      </c>
      <c r="E1440" s="35" t="s">
        <v>457</v>
      </c>
      <c r="F1440" s="35">
        <v>298.0</v>
      </c>
      <c r="G1440" s="35">
        <v>2.56</v>
      </c>
      <c r="H1440" s="35">
        <v>116.4</v>
      </c>
      <c r="I1440" s="35" t="s">
        <v>75</v>
      </c>
    </row>
    <row r="1441" ht="22.5" customHeight="1">
      <c r="A1441" s="35" t="s">
        <v>3122</v>
      </c>
      <c r="B1441" s="35" t="s">
        <v>3123</v>
      </c>
      <c r="C1441" s="35" t="s">
        <v>7756</v>
      </c>
      <c r="D1441" s="35" t="s">
        <v>171</v>
      </c>
      <c r="E1441" s="35" t="s">
        <v>457</v>
      </c>
      <c r="F1441" s="35">
        <v>1562.0</v>
      </c>
      <c r="G1441" s="35">
        <v>17.48</v>
      </c>
      <c r="H1441" s="35">
        <v>89.4</v>
      </c>
      <c r="I1441" s="35" t="s">
        <v>62</v>
      </c>
    </row>
    <row r="1442" ht="22.5" customHeight="1">
      <c r="A1442" s="35" t="s">
        <v>3124</v>
      </c>
      <c r="B1442" s="35" t="s">
        <v>3125</v>
      </c>
      <c r="C1442" s="35" t="s">
        <v>7756</v>
      </c>
      <c r="D1442" s="35" t="s">
        <v>99</v>
      </c>
      <c r="E1442" s="35" t="s">
        <v>98</v>
      </c>
      <c r="F1442" s="35">
        <v>252.0</v>
      </c>
      <c r="G1442" s="35">
        <v>4.93</v>
      </c>
      <c r="H1442" s="35">
        <v>51.1</v>
      </c>
      <c r="I1442" s="35" t="s">
        <v>75</v>
      </c>
    </row>
    <row r="1443" ht="22.5" customHeight="1">
      <c r="A1443" s="35" t="s">
        <v>3126</v>
      </c>
      <c r="B1443" s="35" t="s">
        <v>3127</v>
      </c>
      <c r="C1443" s="35" t="s">
        <v>7756</v>
      </c>
      <c r="D1443" s="35" t="s">
        <v>235</v>
      </c>
      <c r="E1443" s="35" t="s">
        <v>555</v>
      </c>
      <c r="F1443" s="35">
        <v>1630.0</v>
      </c>
      <c r="G1443" s="35">
        <v>2.6</v>
      </c>
      <c r="H1443" s="35">
        <v>626.9</v>
      </c>
      <c r="I1443" s="35" t="s">
        <v>62</v>
      </c>
    </row>
    <row r="1444" ht="22.5" customHeight="1">
      <c r="A1444" s="35" t="s">
        <v>3128</v>
      </c>
      <c r="B1444" s="35" t="s">
        <v>3129</v>
      </c>
      <c r="C1444" s="35" t="s">
        <v>7756</v>
      </c>
      <c r="D1444" s="35" t="s">
        <v>99</v>
      </c>
      <c r="E1444" s="35" t="s">
        <v>98</v>
      </c>
      <c r="F1444" s="35">
        <v>557.0</v>
      </c>
      <c r="G1444" s="35">
        <v>11.86</v>
      </c>
      <c r="H1444" s="35">
        <v>47.0</v>
      </c>
      <c r="I1444" s="35" t="s">
        <v>62</v>
      </c>
    </row>
    <row r="1445" ht="22.5" customHeight="1">
      <c r="A1445" s="35" t="s">
        <v>3130</v>
      </c>
      <c r="B1445" s="35" t="s">
        <v>3131</v>
      </c>
      <c r="C1445" s="35" t="s">
        <v>7756</v>
      </c>
      <c r="D1445" s="35" t="s">
        <v>236</v>
      </c>
      <c r="E1445" s="35" t="s">
        <v>558</v>
      </c>
      <c r="F1445" s="35">
        <v>1387.0</v>
      </c>
      <c r="G1445" s="35">
        <v>2.31</v>
      </c>
      <c r="H1445" s="35">
        <v>600.4</v>
      </c>
      <c r="I1445" s="35" t="s">
        <v>62</v>
      </c>
    </row>
    <row r="1446" ht="22.5" customHeight="1">
      <c r="A1446" s="35" t="s">
        <v>3132</v>
      </c>
      <c r="B1446" s="35" t="s">
        <v>1845</v>
      </c>
      <c r="C1446" s="35" t="s">
        <v>7757</v>
      </c>
      <c r="D1446" s="35" t="s">
        <v>159</v>
      </c>
      <c r="E1446" s="35" t="s">
        <v>430</v>
      </c>
      <c r="F1446" s="35">
        <v>569.0</v>
      </c>
      <c r="G1446" s="35">
        <v>5.98</v>
      </c>
      <c r="H1446" s="35">
        <v>95.2</v>
      </c>
      <c r="I1446" s="35" t="s">
        <v>62</v>
      </c>
    </row>
    <row r="1447" ht="22.5" customHeight="1">
      <c r="A1447" s="35" t="s">
        <v>3133</v>
      </c>
      <c r="B1447" s="35" t="s">
        <v>3134</v>
      </c>
      <c r="C1447" s="35" t="s">
        <v>7757</v>
      </c>
      <c r="D1447" s="35" t="s">
        <v>231</v>
      </c>
      <c r="E1447" s="35" t="s">
        <v>406</v>
      </c>
      <c r="F1447" s="35">
        <v>879.0</v>
      </c>
      <c r="G1447" s="35">
        <v>7.46</v>
      </c>
      <c r="H1447" s="35">
        <v>117.8</v>
      </c>
      <c r="I1447" s="35" t="s">
        <v>62</v>
      </c>
    </row>
    <row r="1448" ht="22.5" customHeight="1">
      <c r="A1448" s="35" t="s">
        <v>3135</v>
      </c>
      <c r="B1448" s="35" t="s">
        <v>3136</v>
      </c>
      <c r="C1448" s="35" t="s">
        <v>7757</v>
      </c>
      <c r="D1448" s="35" t="s">
        <v>155</v>
      </c>
      <c r="E1448" s="35" t="s">
        <v>420</v>
      </c>
      <c r="F1448" s="35">
        <v>499.0</v>
      </c>
      <c r="G1448" s="35">
        <v>5.26</v>
      </c>
      <c r="H1448" s="35">
        <v>94.9</v>
      </c>
      <c r="I1448" s="35" t="s">
        <v>75</v>
      </c>
    </row>
    <row r="1449" ht="22.5" customHeight="1">
      <c r="A1449" s="35" t="s">
        <v>3137</v>
      </c>
      <c r="B1449" s="35" t="s">
        <v>3138</v>
      </c>
      <c r="C1449" s="35" t="s">
        <v>7757</v>
      </c>
      <c r="D1449" s="35" t="s">
        <v>159</v>
      </c>
      <c r="E1449" s="35" t="s">
        <v>430</v>
      </c>
      <c r="F1449" s="35">
        <v>408.0</v>
      </c>
      <c r="G1449" s="35">
        <v>12.73</v>
      </c>
      <c r="H1449" s="35">
        <v>32.1</v>
      </c>
      <c r="I1449" s="35" t="s">
        <v>75</v>
      </c>
    </row>
    <row r="1450" ht="22.5" customHeight="1">
      <c r="A1450" s="35" t="s">
        <v>3139</v>
      </c>
      <c r="B1450" s="35" t="s">
        <v>3140</v>
      </c>
      <c r="C1450" s="35" t="s">
        <v>7757</v>
      </c>
      <c r="D1450" s="35" t="s">
        <v>195</v>
      </c>
      <c r="E1450" s="35" t="s">
        <v>509</v>
      </c>
      <c r="F1450" s="35">
        <v>821.0</v>
      </c>
      <c r="G1450" s="35">
        <v>11.45</v>
      </c>
      <c r="H1450" s="35">
        <v>71.7</v>
      </c>
      <c r="I1450" s="35" t="s">
        <v>62</v>
      </c>
    </row>
    <row r="1451" ht="22.5" customHeight="1">
      <c r="A1451" s="35" t="s">
        <v>3141</v>
      </c>
      <c r="B1451" s="35" t="s">
        <v>3142</v>
      </c>
      <c r="C1451" s="35" t="s">
        <v>7757</v>
      </c>
      <c r="D1451" s="35" t="s">
        <v>175</v>
      </c>
      <c r="E1451" s="35" t="s">
        <v>463</v>
      </c>
      <c r="F1451" s="35">
        <v>1153.0</v>
      </c>
      <c r="G1451" s="35">
        <v>5.1</v>
      </c>
      <c r="H1451" s="35">
        <v>226.1</v>
      </c>
      <c r="I1451" s="35" t="s">
        <v>62</v>
      </c>
    </row>
    <row r="1452" ht="22.5" customHeight="1">
      <c r="A1452" s="35" t="s">
        <v>3143</v>
      </c>
      <c r="B1452" s="35" t="s">
        <v>3144</v>
      </c>
      <c r="C1452" s="35" t="s">
        <v>7757</v>
      </c>
      <c r="D1452" s="35" t="s">
        <v>183</v>
      </c>
      <c r="E1452" s="35" t="s">
        <v>482</v>
      </c>
      <c r="F1452" s="35">
        <v>3058.0</v>
      </c>
      <c r="G1452" s="35">
        <v>13.28</v>
      </c>
      <c r="H1452" s="35">
        <v>230.3</v>
      </c>
      <c r="I1452" s="35" t="s">
        <v>142</v>
      </c>
    </row>
    <row r="1453" ht="22.5" customHeight="1">
      <c r="A1453" s="35" t="s">
        <v>3145</v>
      </c>
      <c r="B1453" s="35" t="s">
        <v>3146</v>
      </c>
      <c r="C1453" s="35" t="s">
        <v>7757</v>
      </c>
      <c r="D1453" s="35" t="s">
        <v>203</v>
      </c>
      <c r="E1453" s="35" t="s">
        <v>524</v>
      </c>
      <c r="F1453" s="35">
        <v>409.0</v>
      </c>
      <c r="G1453" s="35">
        <v>6.82</v>
      </c>
      <c r="H1453" s="35">
        <v>60.0</v>
      </c>
      <c r="I1453" s="35" t="s">
        <v>75</v>
      </c>
    </row>
    <row r="1454" ht="22.5" customHeight="1">
      <c r="A1454" s="35" t="s">
        <v>3147</v>
      </c>
      <c r="B1454" s="35" t="s">
        <v>3148</v>
      </c>
      <c r="C1454" s="35" t="s">
        <v>7757</v>
      </c>
      <c r="D1454" s="35" t="s">
        <v>131</v>
      </c>
      <c r="E1454" s="35" t="s">
        <v>341</v>
      </c>
      <c r="F1454" s="35">
        <v>1767.0</v>
      </c>
      <c r="G1454" s="35">
        <v>15.37</v>
      </c>
      <c r="H1454" s="35">
        <v>115.0</v>
      </c>
      <c r="I1454" s="35" t="s">
        <v>62</v>
      </c>
    </row>
    <row r="1455" ht="22.5" customHeight="1">
      <c r="A1455" s="35" t="s">
        <v>3149</v>
      </c>
      <c r="B1455" s="35" t="s">
        <v>3150</v>
      </c>
      <c r="C1455" s="35" t="s">
        <v>7757</v>
      </c>
      <c r="D1455" s="35" t="s">
        <v>176</v>
      </c>
      <c r="E1455" s="35" t="s">
        <v>470</v>
      </c>
      <c r="F1455" s="35">
        <v>1805.0</v>
      </c>
      <c r="G1455" s="35">
        <v>20.99</v>
      </c>
      <c r="H1455" s="35">
        <v>86.0</v>
      </c>
      <c r="I1455" s="35" t="s">
        <v>62</v>
      </c>
    </row>
    <row r="1456" ht="22.5" customHeight="1">
      <c r="A1456" s="35" t="s">
        <v>3151</v>
      </c>
      <c r="B1456" s="35" t="s">
        <v>3152</v>
      </c>
      <c r="C1456" s="35" t="s">
        <v>7757</v>
      </c>
      <c r="D1456" s="35" t="s">
        <v>196</v>
      </c>
      <c r="E1456" s="35" t="s">
        <v>514</v>
      </c>
      <c r="F1456" s="35">
        <v>419.0</v>
      </c>
      <c r="G1456" s="35">
        <v>12.64</v>
      </c>
      <c r="H1456" s="35">
        <v>33.1</v>
      </c>
      <c r="I1456" s="35" t="s">
        <v>75</v>
      </c>
    </row>
    <row r="1457" ht="22.5" customHeight="1">
      <c r="A1457" s="35" t="s">
        <v>3153</v>
      </c>
      <c r="B1457" s="35" t="s">
        <v>3154</v>
      </c>
      <c r="C1457" s="35" t="s">
        <v>7757</v>
      </c>
      <c r="D1457" s="35" t="s">
        <v>176</v>
      </c>
      <c r="E1457" s="35" t="s">
        <v>470</v>
      </c>
      <c r="F1457" s="35">
        <v>3434.0</v>
      </c>
      <c r="G1457" s="35">
        <v>4.21</v>
      </c>
      <c r="H1457" s="35">
        <v>815.7</v>
      </c>
      <c r="I1457" s="35" t="s">
        <v>142</v>
      </c>
    </row>
    <row r="1458" ht="22.5" customHeight="1">
      <c r="A1458" s="35" t="s">
        <v>3155</v>
      </c>
      <c r="B1458" s="35" t="s">
        <v>3156</v>
      </c>
      <c r="C1458" s="35" t="s">
        <v>7757</v>
      </c>
      <c r="D1458" s="35" t="s">
        <v>175</v>
      </c>
      <c r="E1458" s="35" t="s">
        <v>463</v>
      </c>
      <c r="F1458" s="35">
        <v>1345.0</v>
      </c>
      <c r="G1458" s="35">
        <v>4.96</v>
      </c>
      <c r="H1458" s="35">
        <v>271.2</v>
      </c>
      <c r="I1458" s="35" t="s">
        <v>62</v>
      </c>
    </row>
    <row r="1459" ht="22.5" customHeight="1">
      <c r="A1459" s="35" t="s">
        <v>3157</v>
      </c>
      <c r="B1459" s="35" t="s">
        <v>3158</v>
      </c>
      <c r="C1459" s="35" t="s">
        <v>7757</v>
      </c>
      <c r="D1459" s="35" t="s">
        <v>203</v>
      </c>
      <c r="E1459" s="35" t="s">
        <v>524</v>
      </c>
      <c r="F1459" s="35">
        <v>155.0</v>
      </c>
      <c r="G1459" s="35">
        <v>6.25</v>
      </c>
      <c r="H1459" s="35">
        <v>24.8</v>
      </c>
      <c r="I1459" s="35" t="s">
        <v>75</v>
      </c>
    </row>
    <row r="1460" ht="22.5" customHeight="1">
      <c r="A1460" s="35" t="s">
        <v>3159</v>
      </c>
      <c r="B1460" s="35" t="s">
        <v>3160</v>
      </c>
      <c r="C1460" s="35" t="s">
        <v>7757</v>
      </c>
      <c r="D1460" s="35" t="s">
        <v>231</v>
      </c>
      <c r="E1460" s="35" t="s">
        <v>406</v>
      </c>
      <c r="F1460" s="35">
        <v>1124.0</v>
      </c>
      <c r="G1460" s="35">
        <v>3.58</v>
      </c>
      <c r="H1460" s="35">
        <v>314.0</v>
      </c>
      <c r="I1460" s="35" t="s">
        <v>62</v>
      </c>
    </row>
    <row r="1461" ht="22.5" customHeight="1">
      <c r="A1461" s="35" t="s">
        <v>3161</v>
      </c>
      <c r="B1461" s="35" t="s">
        <v>3162</v>
      </c>
      <c r="C1461" s="35" t="s">
        <v>7757</v>
      </c>
      <c r="D1461" s="35" t="s">
        <v>231</v>
      </c>
      <c r="E1461" s="35" t="s">
        <v>406</v>
      </c>
      <c r="F1461" s="35">
        <v>273.0</v>
      </c>
      <c r="G1461" s="35">
        <v>8.41</v>
      </c>
      <c r="H1461" s="35">
        <v>32.5</v>
      </c>
      <c r="I1461" s="35" t="s">
        <v>75</v>
      </c>
    </row>
    <row r="1462" ht="22.5" customHeight="1">
      <c r="A1462" s="35" t="s">
        <v>3163</v>
      </c>
      <c r="B1462" s="35" t="s">
        <v>3164</v>
      </c>
      <c r="C1462" s="35" t="s">
        <v>7757</v>
      </c>
      <c r="D1462" s="35" t="s">
        <v>155</v>
      </c>
      <c r="E1462" s="35" t="s">
        <v>420</v>
      </c>
      <c r="F1462" s="35">
        <v>1134.0</v>
      </c>
      <c r="G1462" s="35">
        <v>7.05</v>
      </c>
      <c r="H1462" s="35">
        <v>160.9</v>
      </c>
      <c r="I1462" s="35" t="s">
        <v>62</v>
      </c>
    </row>
    <row r="1463" ht="22.5" customHeight="1">
      <c r="A1463" s="35" t="s">
        <v>3165</v>
      </c>
      <c r="B1463" s="35" t="s">
        <v>3166</v>
      </c>
      <c r="C1463" s="35" t="s">
        <v>7757</v>
      </c>
      <c r="D1463" s="35" t="s">
        <v>196</v>
      </c>
      <c r="E1463" s="35" t="s">
        <v>514</v>
      </c>
      <c r="F1463" s="35">
        <v>408.0</v>
      </c>
      <c r="G1463" s="35">
        <v>10.81</v>
      </c>
      <c r="H1463" s="35">
        <v>37.7</v>
      </c>
      <c r="I1463" s="35" t="s">
        <v>75</v>
      </c>
    </row>
    <row r="1464" ht="22.5" customHeight="1">
      <c r="A1464" s="35" t="s">
        <v>3167</v>
      </c>
      <c r="B1464" s="35" t="s">
        <v>3168</v>
      </c>
      <c r="C1464" s="35" t="s">
        <v>7757</v>
      </c>
      <c r="D1464" s="35" t="s">
        <v>195</v>
      </c>
      <c r="E1464" s="35" t="s">
        <v>509</v>
      </c>
      <c r="F1464" s="35">
        <v>273.0</v>
      </c>
      <c r="G1464" s="35">
        <v>3.66</v>
      </c>
      <c r="H1464" s="35">
        <v>74.6</v>
      </c>
      <c r="I1464" s="35" t="s">
        <v>75</v>
      </c>
    </row>
    <row r="1465" ht="22.5" customHeight="1">
      <c r="A1465" s="35" t="s">
        <v>3169</v>
      </c>
      <c r="B1465" s="35" t="s">
        <v>3170</v>
      </c>
      <c r="C1465" s="35" t="s">
        <v>7757</v>
      </c>
      <c r="D1465" s="35" t="s">
        <v>200</v>
      </c>
      <c r="E1465" s="35" t="s">
        <v>494</v>
      </c>
      <c r="F1465" s="35">
        <v>498.0</v>
      </c>
      <c r="G1465" s="35">
        <v>4.47</v>
      </c>
      <c r="H1465" s="35">
        <v>111.4</v>
      </c>
      <c r="I1465" s="35" t="s">
        <v>75</v>
      </c>
    </row>
    <row r="1466" ht="22.5" customHeight="1">
      <c r="A1466" s="35" t="s">
        <v>3171</v>
      </c>
      <c r="B1466" s="35" t="s">
        <v>3172</v>
      </c>
      <c r="C1466" s="35" t="s">
        <v>7757</v>
      </c>
      <c r="D1466" s="35" t="s">
        <v>151</v>
      </c>
      <c r="E1466" s="35" t="s">
        <v>414</v>
      </c>
      <c r="F1466" s="35">
        <v>636.0</v>
      </c>
      <c r="G1466" s="35">
        <v>13.69</v>
      </c>
      <c r="H1466" s="35">
        <v>46.5</v>
      </c>
      <c r="I1466" s="35" t="s">
        <v>62</v>
      </c>
    </row>
    <row r="1467" ht="22.5" customHeight="1">
      <c r="A1467" s="35" t="s">
        <v>3173</v>
      </c>
      <c r="B1467" s="35" t="s">
        <v>3174</v>
      </c>
      <c r="C1467" s="35" t="s">
        <v>7757</v>
      </c>
      <c r="D1467" s="35" t="s">
        <v>124</v>
      </c>
      <c r="E1467" s="35" t="s">
        <v>333</v>
      </c>
      <c r="F1467" s="35">
        <v>548.0</v>
      </c>
      <c r="G1467" s="35">
        <v>2.05</v>
      </c>
      <c r="H1467" s="35">
        <v>267.3</v>
      </c>
      <c r="I1467" s="35" t="s">
        <v>62</v>
      </c>
    </row>
    <row r="1468" ht="22.5" customHeight="1">
      <c r="A1468" s="35" t="s">
        <v>3175</v>
      </c>
      <c r="B1468" s="35" t="s">
        <v>3176</v>
      </c>
      <c r="C1468" s="35" t="s">
        <v>7757</v>
      </c>
      <c r="D1468" s="35" t="s">
        <v>160</v>
      </c>
      <c r="E1468" s="35" t="s">
        <v>435</v>
      </c>
      <c r="F1468" s="35">
        <v>832.0</v>
      </c>
      <c r="G1468" s="35">
        <v>7.35</v>
      </c>
      <c r="H1468" s="35">
        <v>113.2</v>
      </c>
      <c r="I1468" s="35" t="s">
        <v>62</v>
      </c>
    </row>
    <row r="1469" ht="22.5" customHeight="1">
      <c r="A1469" s="35" t="s">
        <v>3177</v>
      </c>
      <c r="B1469" s="35" t="s">
        <v>3178</v>
      </c>
      <c r="C1469" s="35" t="s">
        <v>7757</v>
      </c>
      <c r="D1469" s="35" t="s">
        <v>173</v>
      </c>
      <c r="E1469" s="35" t="s">
        <v>460</v>
      </c>
      <c r="F1469" s="35">
        <v>1857.0</v>
      </c>
      <c r="G1469" s="35">
        <v>14.77</v>
      </c>
      <c r="H1469" s="35">
        <v>125.7</v>
      </c>
      <c r="I1469" s="35" t="s">
        <v>62</v>
      </c>
    </row>
    <row r="1470" ht="22.5" customHeight="1">
      <c r="A1470" s="35" t="s">
        <v>3179</v>
      </c>
      <c r="B1470" s="35" t="s">
        <v>3180</v>
      </c>
      <c r="C1470" s="35" t="s">
        <v>7757</v>
      </c>
      <c r="D1470" s="35" t="s">
        <v>131</v>
      </c>
      <c r="E1470" s="35" t="s">
        <v>341</v>
      </c>
      <c r="F1470" s="35">
        <v>562.0</v>
      </c>
      <c r="G1470" s="35">
        <v>8.04</v>
      </c>
      <c r="H1470" s="35">
        <v>69.9</v>
      </c>
      <c r="I1470" s="35" t="s">
        <v>62</v>
      </c>
    </row>
    <row r="1471" ht="22.5" customHeight="1">
      <c r="A1471" s="35" t="s">
        <v>3181</v>
      </c>
      <c r="B1471" s="35" t="s">
        <v>3182</v>
      </c>
      <c r="C1471" s="35" t="s">
        <v>7757</v>
      </c>
      <c r="D1471" s="35" t="s">
        <v>195</v>
      </c>
      <c r="E1471" s="35" t="s">
        <v>509</v>
      </c>
      <c r="F1471" s="35">
        <v>515.0</v>
      </c>
      <c r="G1471" s="35">
        <v>14.16</v>
      </c>
      <c r="H1471" s="35">
        <v>36.4</v>
      </c>
      <c r="I1471" s="35" t="s">
        <v>62</v>
      </c>
    </row>
    <row r="1472" ht="22.5" customHeight="1">
      <c r="A1472" s="35" t="s">
        <v>3183</v>
      </c>
      <c r="B1472" s="35" t="s">
        <v>3184</v>
      </c>
      <c r="C1472" s="35" t="s">
        <v>7757</v>
      </c>
      <c r="D1472" s="35" t="s">
        <v>228</v>
      </c>
      <c r="E1472" s="35" t="s">
        <v>396</v>
      </c>
      <c r="F1472" s="35">
        <v>567.0</v>
      </c>
      <c r="G1472" s="35">
        <v>6.83</v>
      </c>
      <c r="H1472" s="35">
        <v>83.0</v>
      </c>
      <c r="I1472" s="35" t="s">
        <v>62</v>
      </c>
    </row>
    <row r="1473" ht="22.5" customHeight="1">
      <c r="A1473" s="35" t="s">
        <v>3185</v>
      </c>
      <c r="B1473" s="35" t="s">
        <v>3186</v>
      </c>
      <c r="C1473" s="35" t="s">
        <v>7757</v>
      </c>
      <c r="D1473" s="35" t="s">
        <v>131</v>
      </c>
      <c r="E1473" s="35" t="s">
        <v>341</v>
      </c>
      <c r="F1473" s="35">
        <v>2898.0</v>
      </c>
      <c r="G1473" s="35">
        <v>27.57</v>
      </c>
      <c r="H1473" s="35">
        <v>105.1</v>
      </c>
      <c r="I1473" s="35" t="s">
        <v>142</v>
      </c>
    </row>
    <row r="1474" ht="22.5" customHeight="1">
      <c r="A1474" s="35" t="s">
        <v>3187</v>
      </c>
      <c r="B1474" s="35" t="s">
        <v>3188</v>
      </c>
      <c r="C1474" s="35" t="s">
        <v>7757</v>
      </c>
      <c r="D1474" s="35" t="s">
        <v>131</v>
      </c>
      <c r="E1474" s="35" t="s">
        <v>341</v>
      </c>
      <c r="F1474" s="35">
        <v>554.0</v>
      </c>
      <c r="G1474" s="35">
        <v>12.13</v>
      </c>
      <c r="H1474" s="35">
        <v>45.7</v>
      </c>
      <c r="I1474" s="35" t="s">
        <v>62</v>
      </c>
    </row>
    <row r="1475" ht="22.5" customHeight="1">
      <c r="A1475" s="35" t="s">
        <v>3189</v>
      </c>
      <c r="B1475" s="35" t="s">
        <v>3190</v>
      </c>
      <c r="C1475" s="35" t="s">
        <v>7757</v>
      </c>
      <c r="D1475" s="35" t="s">
        <v>195</v>
      </c>
      <c r="E1475" s="35" t="s">
        <v>509</v>
      </c>
      <c r="F1475" s="35">
        <v>265.0</v>
      </c>
      <c r="G1475" s="35">
        <v>9.29</v>
      </c>
      <c r="H1475" s="35">
        <v>28.5</v>
      </c>
      <c r="I1475" s="35" t="s">
        <v>75</v>
      </c>
    </row>
    <row r="1476" ht="22.5" customHeight="1">
      <c r="A1476" s="35" t="s">
        <v>3191</v>
      </c>
      <c r="B1476" s="35" t="s">
        <v>3192</v>
      </c>
      <c r="C1476" s="35" t="s">
        <v>7757</v>
      </c>
      <c r="D1476" s="35" t="s">
        <v>173</v>
      </c>
      <c r="E1476" s="35" t="s">
        <v>460</v>
      </c>
      <c r="F1476" s="35">
        <v>738.0</v>
      </c>
      <c r="G1476" s="35">
        <v>13.03</v>
      </c>
      <c r="H1476" s="35">
        <v>56.6</v>
      </c>
      <c r="I1476" s="35" t="s">
        <v>62</v>
      </c>
    </row>
    <row r="1477" ht="22.5" customHeight="1">
      <c r="A1477" s="35" t="s">
        <v>3193</v>
      </c>
      <c r="B1477" s="35" t="s">
        <v>3194</v>
      </c>
      <c r="C1477" s="35" t="s">
        <v>7757</v>
      </c>
      <c r="D1477" s="35" t="s">
        <v>151</v>
      </c>
      <c r="E1477" s="35" t="s">
        <v>414</v>
      </c>
      <c r="F1477" s="35">
        <v>852.0</v>
      </c>
      <c r="G1477" s="35">
        <v>12.19</v>
      </c>
      <c r="H1477" s="35">
        <v>69.9</v>
      </c>
      <c r="I1477" s="35" t="s">
        <v>62</v>
      </c>
    </row>
    <row r="1478" ht="22.5" customHeight="1">
      <c r="A1478" s="35" t="s">
        <v>3195</v>
      </c>
      <c r="B1478" s="35" t="s">
        <v>3196</v>
      </c>
      <c r="C1478" s="35" t="s">
        <v>7757</v>
      </c>
      <c r="D1478" s="35" t="s">
        <v>203</v>
      </c>
      <c r="E1478" s="35" t="s">
        <v>524</v>
      </c>
      <c r="F1478" s="35">
        <v>1147.0</v>
      </c>
      <c r="G1478" s="35">
        <v>12.52</v>
      </c>
      <c r="H1478" s="35">
        <v>91.6</v>
      </c>
      <c r="I1478" s="35" t="s">
        <v>62</v>
      </c>
    </row>
    <row r="1479" ht="22.5" customHeight="1">
      <c r="A1479" s="35" t="s">
        <v>3197</v>
      </c>
      <c r="B1479" s="35" t="s">
        <v>3198</v>
      </c>
      <c r="C1479" s="35" t="s">
        <v>7757</v>
      </c>
      <c r="D1479" s="35" t="s">
        <v>196</v>
      </c>
      <c r="E1479" s="35" t="s">
        <v>514</v>
      </c>
      <c r="F1479" s="35">
        <v>232.0</v>
      </c>
      <c r="G1479" s="35">
        <v>7.06</v>
      </c>
      <c r="H1479" s="35">
        <v>32.9</v>
      </c>
      <c r="I1479" s="35" t="s">
        <v>75</v>
      </c>
    </row>
    <row r="1480" ht="22.5" customHeight="1">
      <c r="A1480" s="35" t="s">
        <v>3199</v>
      </c>
      <c r="B1480" s="35" t="s">
        <v>3200</v>
      </c>
      <c r="C1480" s="35" t="s">
        <v>7757</v>
      </c>
      <c r="D1480" s="35" t="s">
        <v>160</v>
      </c>
      <c r="E1480" s="35" t="s">
        <v>435</v>
      </c>
      <c r="F1480" s="35">
        <v>404.0</v>
      </c>
      <c r="G1480" s="35">
        <v>6.09</v>
      </c>
      <c r="H1480" s="35">
        <v>66.3</v>
      </c>
      <c r="I1480" s="35" t="s">
        <v>75</v>
      </c>
    </row>
    <row r="1481" ht="22.5" customHeight="1">
      <c r="A1481" s="35" t="s">
        <v>3201</v>
      </c>
      <c r="B1481" s="35" t="s">
        <v>3202</v>
      </c>
      <c r="C1481" s="35" t="s">
        <v>7757</v>
      </c>
      <c r="D1481" s="35" t="s">
        <v>200</v>
      </c>
      <c r="E1481" s="35" t="s">
        <v>494</v>
      </c>
      <c r="F1481" s="35">
        <v>508.0</v>
      </c>
      <c r="G1481" s="35">
        <v>7.23</v>
      </c>
      <c r="H1481" s="35">
        <v>70.3</v>
      </c>
      <c r="I1481" s="35" t="s">
        <v>62</v>
      </c>
    </row>
    <row r="1482" ht="22.5" customHeight="1">
      <c r="A1482" s="35" t="s">
        <v>3203</v>
      </c>
      <c r="B1482" s="35" t="s">
        <v>3204</v>
      </c>
      <c r="C1482" s="35" t="s">
        <v>7757</v>
      </c>
      <c r="D1482" s="35" t="s">
        <v>155</v>
      </c>
      <c r="E1482" s="35" t="s">
        <v>420</v>
      </c>
      <c r="F1482" s="35">
        <v>477.0</v>
      </c>
      <c r="G1482" s="35">
        <v>5.61</v>
      </c>
      <c r="H1482" s="35">
        <v>85.0</v>
      </c>
      <c r="I1482" s="35" t="s">
        <v>75</v>
      </c>
    </row>
    <row r="1483" ht="22.5" customHeight="1">
      <c r="A1483" s="35" t="s">
        <v>3205</v>
      </c>
      <c r="B1483" s="35" t="s">
        <v>3206</v>
      </c>
      <c r="C1483" s="35" t="s">
        <v>7757</v>
      </c>
      <c r="D1483" s="35" t="s">
        <v>160</v>
      </c>
      <c r="E1483" s="35" t="s">
        <v>435</v>
      </c>
      <c r="F1483" s="35">
        <v>645.0</v>
      </c>
      <c r="G1483" s="35">
        <v>14.38</v>
      </c>
      <c r="H1483" s="35">
        <v>44.9</v>
      </c>
      <c r="I1483" s="35" t="s">
        <v>62</v>
      </c>
    </row>
    <row r="1484" ht="22.5" customHeight="1">
      <c r="A1484" s="35" t="s">
        <v>3207</v>
      </c>
      <c r="B1484" s="35" t="s">
        <v>3208</v>
      </c>
      <c r="C1484" s="35" t="s">
        <v>7757</v>
      </c>
      <c r="D1484" s="35" t="s">
        <v>131</v>
      </c>
      <c r="E1484" s="35" t="s">
        <v>341</v>
      </c>
      <c r="F1484" s="35">
        <v>2330.0</v>
      </c>
      <c r="G1484" s="35">
        <v>9.58</v>
      </c>
      <c r="H1484" s="35">
        <v>243.2</v>
      </c>
      <c r="I1484" s="35" t="s">
        <v>142</v>
      </c>
    </row>
    <row r="1485" ht="22.5" customHeight="1">
      <c r="A1485" s="35" t="s">
        <v>3209</v>
      </c>
      <c r="B1485" s="35" t="s">
        <v>3210</v>
      </c>
      <c r="C1485" s="35" t="s">
        <v>7757</v>
      </c>
      <c r="D1485" s="35" t="s">
        <v>188</v>
      </c>
      <c r="E1485" s="35" t="s">
        <v>491</v>
      </c>
      <c r="F1485" s="35">
        <v>1483.0</v>
      </c>
      <c r="G1485" s="35">
        <v>8.02</v>
      </c>
      <c r="H1485" s="35">
        <v>184.9</v>
      </c>
      <c r="I1485" s="35" t="s">
        <v>62</v>
      </c>
    </row>
    <row r="1486" ht="22.5" customHeight="1">
      <c r="A1486" s="35" t="s">
        <v>3211</v>
      </c>
      <c r="B1486" s="35" t="s">
        <v>3212</v>
      </c>
      <c r="C1486" s="35" t="s">
        <v>7757</v>
      </c>
      <c r="D1486" s="35" t="s">
        <v>170</v>
      </c>
      <c r="E1486" s="35" t="s">
        <v>452</v>
      </c>
      <c r="F1486" s="35">
        <v>599.0</v>
      </c>
      <c r="G1486" s="35">
        <v>4.28</v>
      </c>
      <c r="H1486" s="35">
        <v>140.0</v>
      </c>
      <c r="I1486" s="35" t="s">
        <v>62</v>
      </c>
    </row>
    <row r="1487" ht="22.5" customHeight="1">
      <c r="A1487" s="35" t="s">
        <v>3213</v>
      </c>
      <c r="B1487" s="35" t="s">
        <v>3214</v>
      </c>
      <c r="C1487" s="35" t="s">
        <v>7757</v>
      </c>
      <c r="D1487" s="35" t="s">
        <v>231</v>
      </c>
      <c r="E1487" s="35" t="s">
        <v>406</v>
      </c>
      <c r="F1487" s="35">
        <v>1628.0</v>
      </c>
      <c r="G1487" s="35">
        <v>6.81</v>
      </c>
      <c r="H1487" s="35">
        <v>239.1</v>
      </c>
      <c r="I1487" s="35" t="s">
        <v>62</v>
      </c>
    </row>
    <row r="1488" ht="22.5" customHeight="1">
      <c r="A1488" s="35" t="s">
        <v>3215</v>
      </c>
      <c r="B1488" s="35" t="s">
        <v>3216</v>
      </c>
      <c r="C1488" s="35" t="s">
        <v>7757</v>
      </c>
      <c r="D1488" s="35" t="s">
        <v>228</v>
      </c>
      <c r="E1488" s="35" t="s">
        <v>396</v>
      </c>
      <c r="F1488" s="35">
        <v>528.0</v>
      </c>
      <c r="G1488" s="35">
        <v>7.63</v>
      </c>
      <c r="H1488" s="35">
        <v>69.2</v>
      </c>
      <c r="I1488" s="35" t="s">
        <v>62</v>
      </c>
    </row>
    <row r="1489" ht="22.5" customHeight="1">
      <c r="A1489" s="35" t="s">
        <v>3217</v>
      </c>
      <c r="B1489" s="35" t="s">
        <v>3218</v>
      </c>
      <c r="C1489" s="35" t="s">
        <v>7757</v>
      </c>
      <c r="D1489" s="35" t="s">
        <v>195</v>
      </c>
      <c r="E1489" s="35" t="s">
        <v>509</v>
      </c>
      <c r="F1489" s="35">
        <v>324.0</v>
      </c>
      <c r="G1489" s="35">
        <v>7.6</v>
      </c>
      <c r="H1489" s="35">
        <v>42.6</v>
      </c>
      <c r="I1489" s="35" t="s">
        <v>75</v>
      </c>
    </row>
    <row r="1490" ht="22.5" customHeight="1">
      <c r="A1490" s="35" t="s">
        <v>3219</v>
      </c>
      <c r="B1490" s="35" t="s">
        <v>3220</v>
      </c>
      <c r="C1490" s="35" t="s">
        <v>7757</v>
      </c>
      <c r="D1490" s="35" t="s">
        <v>195</v>
      </c>
      <c r="E1490" s="35" t="s">
        <v>509</v>
      </c>
      <c r="F1490" s="35">
        <v>729.0</v>
      </c>
      <c r="G1490" s="35">
        <v>21.63</v>
      </c>
      <c r="H1490" s="35">
        <v>33.7</v>
      </c>
      <c r="I1490" s="35" t="s">
        <v>62</v>
      </c>
    </row>
    <row r="1491" ht="22.5" customHeight="1">
      <c r="A1491" s="35" t="s">
        <v>3221</v>
      </c>
      <c r="B1491" s="35" t="s">
        <v>3222</v>
      </c>
      <c r="C1491" s="35" t="s">
        <v>7757</v>
      </c>
      <c r="D1491" s="35" t="s">
        <v>196</v>
      </c>
      <c r="E1491" s="35" t="s">
        <v>514</v>
      </c>
      <c r="F1491" s="35">
        <v>286.0</v>
      </c>
      <c r="G1491" s="35">
        <v>7.25</v>
      </c>
      <c r="H1491" s="35">
        <v>39.4</v>
      </c>
      <c r="I1491" s="35" t="s">
        <v>75</v>
      </c>
    </row>
    <row r="1492" ht="22.5" customHeight="1">
      <c r="A1492" s="35" t="s">
        <v>3223</v>
      </c>
      <c r="B1492" s="35" t="s">
        <v>3224</v>
      </c>
      <c r="C1492" s="35" t="s">
        <v>7757</v>
      </c>
      <c r="D1492" s="35" t="s">
        <v>159</v>
      </c>
      <c r="E1492" s="35" t="s">
        <v>430</v>
      </c>
      <c r="F1492" s="35">
        <v>100.0</v>
      </c>
      <c r="G1492" s="35">
        <v>3.19</v>
      </c>
      <c r="H1492" s="35">
        <v>31.3</v>
      </c>
      <c r="I1492" s="35" t="s">
        <v>75</v>
      </c>
    </row>
    <row r="1493" ht="22.5" customHeight="1">
      <c r="A1493" s="35" t="s">
        <v>3225</v>
      </c>
      <c r="B1493" s="35" t="s">
        <v>3226</v>
      </c>
      <c r="C1493" s="35" t="s">
        <v>7757</v>
      </c>
      <c r="D1493" s="35" t="s">
        <v>175</v>
      </c>
      <c r="E1493" s="35" t="s">
        <v>463</v>
      </c>
      <c r="F1493" s="35">
        <v>388.0</v>
      </c>
      <c r="G1493" s="35">
        <v>3.83</v>
      </c>
      <c r="H1493" s="35">
        <v>101.3</v>
      </c>
      <c r="I1493" s="35" t="s">
        <v>75</v>
      </c>
    </row>
    <row r="1494" ht="22.5" customHeight="1">
      <c r="A1494" s="35" t="s">
        <v>3227</v>
      </c>
      <c r="B1494" s="35" t="s">
        <v>3228</v>
      </c>
      <c r="C1494" s="35" t="s">
        <v>7757</v>
      </c>
      <c r="D1494" s="35" t="s">
        <v>159</v>
      </c>
      <c r="E1494" s="35" t="s">
        <v>430</v>
      </c>
      <c r="F1494" s="35">
        <v>173.0</v>
      </c>
      <c r="G1494" s="35">
        <v>3.72</v>
      </c>
      <c r="H1494" s="35">
        <v>46.5</v>
      </c>
      <c r="I1494" s="35" t="s">
        <v>75</v>
      </c>
    </row>
    <row r="1495" ht="22.5" customHeight="1">
      <c r="A1495" s="35" t="s">
        <v>3229</v>
      </c>
      <c r="B1495" s="35" t="s">
        <v>3230</v>
      </c>
      <c r="C1495" s="35" t="s">
        <v>7757</v>
      </c>
      <c r="D1495" s="35" t="s">
        <v>200</v>
      </c>
      <c r="E1495" s="35" t="s">
        <v>494</v>
      </c>
      <c r="F1495" s="35">
        <v>104.0</v>
      </c>
      <c r="G1495" s="35">
        <v>3.9</v>
      </c>
      <c r="H1495" s="35">
        <v>26.7</v>
      </c>
      <c r="I1495" s="35" t="s">
        <v>75</v>
      </c>
    </row>
    <row r="1496" ht="22.5" customHeight="1">
      <c r="A1496" s="35" t="s">
        <v>3231</v>
      </c>
      <c r="B1496" s="35" t="s">
        <v>3232</v>
      </c>
      <c r="C1496" s="35" t="s">
        <v>7757</v>
      </c>
      <c r="D1496" s="35" t="s">
        <v>196</v>
      </c>
      <c r="E1496" s="35" t="s">
        <v>514</v>
      </c>
      <c r="F1496" s="35">
        <v>563.0</v>
      </c>
      <c r="G1496" s="35">
        <v>12.68</v>
      </c>
      <c r="H1496" s="35">
        <v>44.4</v>
      </c>
      <c r="I1496" s="35" t="s">
        <v>62</v>
      </c>
    </row>
    <row r="1497" ht="22.5" customHeight="1">
      <c r="A1497" s="35" t="s">
        <v>3233</v>
      </c>
      <c r="B1497" s="35" t="s">
        <v>3234</v>
      </c>
      <c r="C1497" s="35" t="s">
        <v>7757</v>
      </c>
      <c r="D1497" s="35" t="s">
        <v>176</v>
      </c>
      <c r="E1497" s="35" t="s">
        <v>470</v>
      </c>
      <c r="F1497" s="35">
        <v>339.0</v>
      </c>
      <c r="G1497" s="35">
        <v>9.65</v>
      </c>
      <c r="H1497" s="35">
        <v>35.1</v>
      </c>
      <c r="I1497" s="35" t="s">
        <v>75</v>
      </c>
    </row>
    <row r="1498" ht="22.5" customHeight="1">
      <c r="A1498" s="35" t="s">
        <v>3235</v>
      </c>
      <c r="B1498" s="35" t="s">
        <v>3236</v>
      </c>
      <c r="C1498" s="35" t="s">
        <v>7757</v>
      </c>
      <c r="D1498" s="35" t="s">
        <v>200</v>
      </c>
      <c r="E1498" s="35" t="s">
        <v>494</v>
      </c>
      <c r="F1498" s="35">
        <v>341.0</v>
      </c>
      <c r="G1498" s="35">
        <v>3.82</v>
      </c>
      <c r="H1498" s="35">
        <v>89.3</v>
      </c>
      <c r="I1498" s="35" t="s">
        <v>75</v>
      </c>
    </row>
    <row r="1499" ht="22.5" customHeight="1">
      <c r="A1499" s="35" t="s">
        <v>3237</v>
      </c>
      <c r="B1499" s="35" t="s">
        <v>3238</v>
      </c>
      <c r="C1499" s="35" t="s">
        <v>7757</v>
      </c>
      <c r="D1499" s="35" t="s">
        <v>175</v>
      </c>
      <c r="E1499" s="35" t="s">
        <v>463</v>
      </c>
      <c r="F1499" s="35">
        <v>63.0</v>
      </c>
      <c r="G1499" s="35">
        <v>5.15</v>
      </c>
      <c r="H1499" s="35">
        <v>12.2</v>
      </c>
      <c r="I1499" s="35" t="s">
        <v>75</v>
      </c>
    </row>
    <row r="1500" ht="22.5" customHeight="1">
      <c r="A1500" s="35" t="s">
        <v>3239</v>
      </c>
      <c r="B1500" s="35" t="s">
        <v>3240</v>
      </c>
      <c r="C1500" s="35" t="s">
        <v>7757</v>
      </c>
      <c r="D1500" s="35" t="s">
        <v>131</v>
      </c>
      <c r="E1500" s="35" t="s">
        <v>341</v>
      </c>
      <c r="F1500" s="35">
        <v>55550.0</v>
      </c>
      <c r="G1500" s="35">
        <v>32.94</v>
      </c>
      <c r="H1500" s="35">
        <v>1686.4</v>
      </c>
      <c r="I1500" s="35" t="s">
        <v>7463</v>
      </c>
    </row>
    <row r="1501" ht="22.5" customHeight="1">
      <c r="A1501" s="35" t="s">
        <v>3241</v>
      </c>
      <c r="B1501" s="35" t="s">
        <v>3242</v>
      </c>
      <c r="C1501" s="35" t="s">
        <v>7757</v>
      </c>
      <c r="D1501" s="35" t="s">
        <v>155</v>
      </c>
      <c r="E1501" s="35" t="s">
        <v>420</v>
      </c>
      <c r="F1501" s="35">
        <v>239.0</v>
      </c>
      <c r="G1501" s="35">
        <v>10.28</v>
      </c>
      <c r="H1501" s="35">
        <v>23.2</v>
      </c>
      <c r="I1501" s="35" t="s">
        <v>75</v>
      </c>
    </row>
    <row r="1502" ht="22.5" customHeight="1">
      <c r="A1502" s="35" t="s">
        <v>3243</v>
      </c>
      <c r="B1502" s="35" t="s">
        <v>3244</v>
      </c>
      <c r="C1502" s="35" t="s">
        <v>7757</v>
      </c>
      <c r="D1502" s="35" t="s">
        <v>200</v>
      </c>
      <c r="E1502" s="35" t="s">
        <v>494</v>
      </c>
      <c r="F1502" s="35">
        <v>192.0</v>
      </c>
      <c r="G1502" s="35">
        <v>5.29</v>
      </c>
      <c r="H1502" s="35">
        <v>36.3</v>
      </c>
      <c r="I1502" s="35" t="s">
        <v>75</v>
      </c>
    </row>
    <row r="1503" ht="22.5" customHeight="1">
      <c r="A1503" s="35" t="s">
        <v>3245</v>
      </c>
      <c r="B1503" s="35" t="s">
        <v>3246</v>
      </c>
      <c r="C1503" s="35" t="s">
        <v>7757</v>
      </c>
      <c r="D1503" s="35" t="s">
        <v>231</v>
      </c>
      <c r="E1503" s="35" t="s">
        <v>406</v>
      </c>
      <c r="F1503" s="35">
        <v>730.0</v>
      </c>
      <c r="G1503" s="35">
        <v>7.82</v>
      </c>
      <c r="H1503" s="35">
        <v>93.4</v>
      </c>
      <c r="I1503" s="35" t="s">
        <v>62</v>
      </c>
    </row>
    <row r="1504" ht="22.5" customHeight="1">
      <c r="A1504" s="35" t="s">
        <v>3247</v>
      </c>
      <c r="B1504" s="35" t="s">
        <v>3248</v>
      </c>
      <c r="C1504" s="35" t="s">
        <v>7757</v>
      </c>
      <c r="D1504" s="35" t="s">
        <v>196</v>
      </c>
      <c r="E1504" s="35" t="s">
        <v>514</v>
      </c>
      <c r="F1504" s="35">
        <v>68.0</v>
      </c>
      <c r="G1504" s="35">
        <v>3.01</v>
      </c>
      <c r="H1504" s="35">
        <v>22.6</v>
      </c>
      <c r="I1504" s="35" t="s">
        <v>75</v>
      </c>
    </row>
    <row r="1505" ht="22.5" customHeight="1">
      <c r="A1505" s="35" t="s">
        <v>3249</v>
      </c>
      <c r="B1505" s="35" t="s">
        <v>317</v>
      </c>
      <c r="C1505" s="35" t="s">
        <v>7757</v>
      </c>
      <c r="D1505" s="35" t="s">
        <v>200</v>
      </c>
      <c r="E1505" s="35" t="s">
        <v>494</v>
      </c>
      <c r="F1505" s="35">
        <v>310.0</v>
      </c>
      <c r="G1505" s="35">
        <v>7.13</v>
      </c>
      <c r="H1505" s="35">
        <v>43.5</v>
      </c>
      <c r="I1505" s="35" t="s">
        <v>75</v>
      </c>
    </row>
    <row r="1506" ht="22.5" customHeight="1">
      <c r="A1506" s="35" t="s">
        <v>3250</v>
      </c>
      <c r="B1506" s="35" t="s">
        <v>3251</v>
      </c>
      <c r="C1506" s="35" t="s">
        <v>7757</v>
      </c>
      <c r="D1506" s="35" t="s">
        <v>131</v>
      </c>
      <c r="E1506" s="35" t="s">
        <v>341</v>
      </c>
      <c r="F1506" s="35">
        <v>813.0</v>
      </c>
      <c r="G1506" s="35">
        <v>15.18</v>
      </c>
      <c r="H1506" s="35">
        <v>53.6</v>
      </c>
      <c r="I1506" s="35" t="s">
        <v>62</v>
      </c>
    </row>
    <row r="1507" ht="22.5" customHeight="1">
      <c r="A1507" s="35" t="s">
        <v>3252</v>
      </c>
      <c r="B1507" s="35" t="s">
        <v>3253</v>
      </c>
      <c r="C1507" s="35" t="s">
        <v>7757</v>
      </c>
      <c r="D1507" s="35" t="s">
        <v>173</v>
      </c>
      <c r="E1507" s="35" t="s">
        <v>460</v>
      </c>
      <c r="F1507" s="35">
        <v>912.0</v>
      </c>
      <c r="G1507" s="35">
        <v>10.52</v>
      </c>
      <c r="H1507" s="35">
        <v>86.7</v>
      </c>
      <c r="I1507" s="35" t="s">
        <v>62</v>
      </c>
    </row>
    <row r="1508" ht="22.5" customHeight="1">
      <c r="A1508" s="35" t="s">
        <v>3254</v>
      </c>
      <c r="B1508" s="35" t="s">
        <v>3255</v>
      </c>
      <c r="C1508" s="35" t="s">
        <v>7757</v>
      </c>
      <c r="D1508" s="35" t="s">
        <v>231</v>
      </c>
      <c r="E1508" s="35" t="s">
        <v>406</v>
      </c>
      <c r="F1508" s="35">
        <v>1564.0</v>
      </c>
      <c r="G1508" s="35">
        <v>7.04</v>
      </c>
      <c r="H1508" s="35">
        <v>222.2</v>
      </c>
      <c r="I1508" s="35" t="s">
        <v>62</v>
      </c>
    </row>
    <row r="1509" ht="22.5" customHeight="1">
      <c r="A1509" s="35" t="s">
        <v>3256</v>
      </c>
      <c r="B1509" s="35" t="s">
        <v>3257</v>
      </c>
      <c r="C1509" s="35" t="s">
        <v>7757</v>
      </c>
      <c r="D1509" s="35" t="s">
        <v>195</v>
      </c>
      <c r="E1509" s="35" t="s">
        <v>509</v>
      </c>
      <c r="F1509" s="35">
        <v>214.0</v>
      </c>
      <c r="G1509" s="35">
        <v>4.13</v>
      </c>
      <c r="H1509" s="35">
        <v>51.8</v>
      </c>
      <c r="I1509" s="35" t="s">
        <v>75</v>
      </c>
    </row>
    <row r="1510" ht="22.5" customHeight="1">
      <c r="A1510" s="35" t="s">
        <v>3258</v>
      </c>
      <c r="B1510" s="35" t="s">
        <v>3259</v>
      </c>
      <c r="C1510" s="35" t="s">
        <v>7757</v>
      </c>
      <c r="D1510" s="35" t="s">
        <v>124</v>
      </c>
      <c r="E1510" s="35" t="s">
        <v>333</v>
      </c>
      <c r="F1510" s="35">
        <v>996.0</v>
      </c>
      <c r="G1510" s="35">
        <v>9.82</v>
      </c>
      <c r="H1510" s="35">
        <v>101.4</v>
      </c>
      <c r="I1510" s="35" t="s">
        <v>62</v>
      </c>
    </row>
    <row r="1511" ht="22.5" customHeight="1">
      <c r="A1511" s="35" t="s">
        <v>3260</v>
      </c>
      <c r="B1511" s="35" t="s">
        <v>3261</v>
      </c>
      <c r="C1511" s="35" t="s">
        <v>7757</v>
      </c>
      <c r="D1511" s="35" t="s">
        <v>124</v>
      </c>
      <c r="E1511" s="35" t="s">
        <v>333</v>
      </c>
      <c r="F1511" s="35">
        <v>3111.0</v>
      </c>
      <c r="G1511" s="35">
        <v>6.51</v>
      </c>
      <c r="H1511" s="35">
        <v>477.9</v>
      </c>
      <c r="I1511" s="35" t="s">
        <v>142</v>
      </c>
    </row>
    <row r="1512" ht="22.5" customHeight="1">
      <c r="A1512" s="35" t="s">
        <v>3262</v>
      </c>
      <c r="B1512" s="35" t="s">
        <v>3263</v>
      </c>
      <c r="C1512" s="35" t="s">
        <v>7757</v>
      </c>
      <c r="D1512" s="35" t="s">
        <v>195</v>
      </c>
      <c r="E1512" s="35" t="s">
        <v>509</v>
      </c>
      <c r="F1512" s="35">
        <v>1100.0</v>
      </c>
      <c r="G1512" s="35">
        <v>15.54</v>
      </c>
      <c r="H1512" s="35">
        <v>70.8</v>
      </c>
      <c r="I1512" s="35" t="s">
        <v>62</v>
      </c>
    </row>
    <row r="1513" ht="22.5" customHeight="1">
      <c r="A1513" s="35" t="s">
        <v>3264</v>
      </c>
      <c r="B1513" s="35" t="s">
        <v>3265</v>
      </c>
      <c r="C1513" s="35" t="s">
        <v>7757</v>
      </c>
      <c r="D1513" s="35" t="s">
        <v>124</v>
      </c>
      <c r="E1513" s="35" t="s">
        <v>333</v>
      </c>
      <c r="F1513" s="35">
        <v>495.0</v>
      </c>
      <c r="G1513" s="35">
        <v>3.54</v>
      </c>
      <c r="H1513" s="35">
        <v>139.8</v>
      </c>
      <c r="I1513" s="35" t="s">
        <v>75</v>
      </c>
    </row>
    <row r="1514" ht="22.5" customHeight="1">
      <c r="A1514" s="35" t="s">
        <v>3266</v>
      </c>
      <c r="B1514" s="35" t="s">
        <v>3267</v>
      </c>
      <c r="C1514" s="35" t="s">
        <v>7757</v>
      </c>
      <c r="D1514" s="35" t="s">
        <v>196</v>
      </c>
      <c r="E1514" s="35" t="s">
        <v>514</v>
      </c>
      <c r="F1514" s="35">
        <v>160.0</v>
      </c>
      <c r="G1514" s="35">
        <v>3.96</v>
      </c>
      <c r="H1514" s="35">
        <v>40.4</v>
      </c>
      <c r="I1514" s="35" t="s">
        <v>75</v>
      </c>
    </row>
    <row r="1515" ht="22.5" customHeight="1">
      <c r="A1515" s="35" t="s">
        <v>3268</v>
      </c>
      <c r="B1515" s="35" t="s">
        <v>3269</v>
      </c>
      <c r="C1515" s="35" t="s">
        <v>7757</v>
      </c>
      <c r="D1515" s="35" t="s">
        <v>173</v>
      </c>
      <c r="E1515" s="35" t="s">
        <v>460</v>
      </c>
      <c r="F1515" s="35">
        <v>308.0</v>
      </c>
      <c r="G1515" s="35">
        <v>6.6</v>
      </c>
      <c r="H1515" s="35">
        <v>46.7</v>
      </c>
      <c r="I1515" s="35" t="s">
        <v>75</v>
      </c>
    </row>
    <row r="1516" ht="22.5" customHeight="1">
      <c r="A1516" s="35" t="s">
        <v>3270</v>
      </c>
      <c r="B1516" s="35" t="s">
        <v>3271</v>
      </c>
      <c r="C1516" s="35" t="s">
        <v>7757</v>
      </c>
      <c r="D1516" s="35" t="s">
        <v>190</v>
      </c>
      <c r="E1516" s="35" t="s">
        <v>501</v>
      </c>
      <c r="F1516" s="35">
        <v>592.0</v>
      </c>
      <c r="G1516" s="35">
        <v>11.51</v>
      </c>
      <c r="H1516" s="35">
        <v>51.4</v>
      </c>
      <c r="I1516" s="35" t="s">
        <v>62</v>
      </c>
    </row>
    <row r="1517" ht="22.5" customHeight="1">
      <c r="A1517" s="35" t="s">
        <v>3272</v>
      </c>
      <c r="B1517" s="35" t="s">
        <v>3273</v>
      </c>
      <c r="C1517" s="35" t="s">
        <v>7757</v>
      </c>
      <c r="D1517" s="35" t="s">
        <v>231</v>
      </c>
      <c r="E1517" s="35" t="s">
        <v>406</v>
      </c>
      <c r="F1517" s="35">
        <v>1189.0</v>
      </c>
      <c r="G1517" s="35">
        <v>8.27</v>
      </c>
      <c r="H1517" s="35">
        <v>143.8</v>
      </c>
      <c r="I1517" s="35" t="s">
        <v>62</v>
      </c>
    </row>
    <row r="1518" ht="22.5" customHeight="1">
      <c r="A1518" s="35" t="s">
        <v>3274</v>
      </c>
      <c r="B1518" s="35" t="s">
        <v>3275</v>
      </c>
      <c r="C1518" s="35" t="s">
        <v>7757</v>
      </c>
      <c r="D1518" s="35" t="s">
        <v>155</v>
      </c>
      <c r="E1518" s="35" t="s">
        <v>420</v>
      </c>
      <c r="F1518" s="35">
        <v>143.0</v>
      </c>
      <c r="G1518" s="35">
        <v>5.17</v>
      </c>
      <c r="H1518" s="35">
        <v>27.7</v>
      </c>
      <c r="I1518" s="35" t="s">
        <v>75</v>
      </c>
    </row>
    <row r="1519" ht="22.5" customHeight="1">
      <c r="A1519" s="35" t="s">
        <v>3276</v>
      </c>
      <c r="B1519" s="35" t="s">
        <v>3277</v>
      </c>
      <c r="C1519" s="35" t="s">
        <v>7757</v>
      </c>
      <c r="D1519" s="35" t="s">
        <v>159</v>
      </c>
      <c r="E1519" s="35" t="s">
        <v>430</v>
      </c>
      <c r="F1519" s="35">
        <v>498.0</v>
      </c>
      <c r="G1519" s="35">
        <v>10.04</v>
      </c>
      <c r="H1519" s="35">
        <v>49.6</v>
      </c>
      <c r="I1519" s="35" t="s">
        <v>75</v>
      </c>
    </row>
    <row r="1520" ht="22.5" customHeight="1">
      <c r="A1520" s="35" t="s">
        <v>3278</v>
      </c>
      <c r="B1520" s="35" t="s">
        <v>3279</v>
      </c>
      <c r="C1520" s="35" t="s">
        <v>7757</v>
      </c>
      <c r="D1520" s="35" t="s">
        <v>159</v>
      </c>
      <c r="E1520" s="35" t="s">
        <v>430</v>
      </c>
      <c r="F1520" s="35">
        <v>356.0</v>
      </c>
      <c r="G1520" s="35">
        <v>14.62</v>
      </c>
      <c r="H1520" s="35">
        <v>24.4</v>
      </c>
      <c r="I1520" s="35" t="s">
        <v>75</v>
      </c>
    </row>
    <row r="1521" ht="22.5" customHeight="1">
      <c r="A1521" s="35" t="s">
        <v>3280</v>
      </c>
      <c r="B1521" s="35" t="s">
        <v>3281</v>
      </c>
      <c r="C1521" s="35" t="s">
        <v>7757</v>
      </c>
      <c r="D1521" s="35" t="s">
        <v>160</v>
      </c>
      <c r="E1521" s="35" t="s">
        <v>435</v>
      </c>
      <c r="F1521" s="35">
        <v>125.0</v>
      </c>
      <c r="G1521" s="35">
        <v>2.83</v>
      </c>
      <c r="H1521" s="35">
        <v>44.2</v>
      </c>
      <c r="I1521" s="35" t="s">
        <v>75</v>
      </c>
    </row>
    <row r="1522" ht="22.5" customHeight="1">
      <c r="A1522" s="35" t="s">
        <v>3282</v>
      </c>
      <c r="B1522" s="35" t="s">
        <v>3283</v>
      </c>
      <c r="C1522" s="35" t="s">
        <v>7757</v>
      </c>
      <c r="D1522" s="35" t="s">
        <v>195</v>
      </c>
      <c r="E1522" s="35" t="s">
        <v>509</v>
      </c>
      <c r="F1522" s="35">
        <v>942.0</v>
      </c>
      <c r="G1522" s="35">
        <v>16.0</v>
      </c>
      <c r="H1522" s="35">
        <v>58.9</v>
      </c>
      <c r="I1522" s="35" t="s">
        <v>62</v>
      </c>
    </row>
    <row r="1523" ht="22.5" customHeight="1">
      <c r="A1523" s="35" t="s">
        <v>3284</v>
      </c>
      <c r="B1523" s="35" t="s">
        <v>3285</v>
      </c>
      <c r="C1523" s="35" t="s">
        <v>7757</v>
      </c>
      <c r="D1523" s="35" t="s">
        <v>131</v>
      </c>
      <c r="E1523" s="35" t="s">
        <v>341</v>
      </c>
      <c r="F1523" s="35">
        <v>467.0</v>
      </c>
      <c r="G1523" s="35">
        <v>4.48</v>
      </c>
      <c r="H1523" s="35">
        <v>104.2</v>
      </c>
      <c r="I1523" s="35" t="s">
        <v>75</v>
      </c>
    </row>
    <row r="1524" ht="22.5" customHeight="1">
      <c r="A1524" s="35" t="s">
        <v>3286</v>
      </c>
      <c r="B1524" s="35" t="s">
        <v>3287</v>
      </c>
      <c r="C1524" s="35" t="s">
        <v>7757</v>
      </c>
      <c r="D1524" s="35" t="s">
        <v>155</v>
      </c>
      <c r="E1524" s="35" t="s">
        <v>420</v>
      </c>
      <c r="F1524" s="35">
        <v>787.0</v>
      </c>
      <c r="G1524" s="35">
        <v>18.37</v>
      </c>
      <c r="H1524" s="35">
        <v>42.8</v>
      </c>
      <c r="I1524" s="35" t="s">
        <v>62</v>
      </c>
    </row>
    <row r="1525" ht="22.5" customHeight="1">
      <c r="A1525" s="35" t="s">
        <v>3288</v>
      </c>
      <c r="B1525" s="35" t="s">
        <v>3289</v>
      </c>
      <c r="C1525" s="35" t="s">
        <v>7757</v>
      </c>
      <c r="D1525" s="35" t="s">
        <v>195</v>
      </c>
      <c r="E1525" s="35" t="s">
        <v>509</v>
      </c>
      <c r="F1525" s="35">
        <v>986.0</v>
      </c>
      <c r="G1525" s="35">
        <v>12.94</v>
      </c>
      <c r="H1525" s="35">
        <v>76.2</v>
      </c>
      <c r="I1525" s="35" t="s">
        <v>62</v>
      </c>
    </row>
    <row r="1526" ht="22.5" customHeight="1">
      <c r="A1526" s="35" t="s">
        <v>3290</v>
      </c>
      <c r="B1526" s="35" t="s">
        <v>3291</v>
      </c>
      <c r="C1526" s="35" t="s">
        <v>7757</v>
      </c>
      <c r="D1526" s="35" t="s">
        <v>159</v>
      </c>
      <c r="E1526" s="35" t="s">
        <v>430</v>
      </c>
      <c r="F1526" s="35">
        <v>201.0</v>
      </c>
      <c r="G1526" s="35">
        <v>8.47</v>
      </c>
      <c r="H1526" s="35">
        <v>23.7</v>
      </c>
      <c r="I1526" s="35" t="s">
        <v>75</v>
      </c>
    </row>
    <row r="1527" ht="22.5" customHeight="1">
      <c r="A1527" s="35" t="s">
        <v>3292</v>
      </c>
      <c r="B1527" s="35" t="s">
        <v>3293</v>
      </c>
      <c r="C1527" s="35" t="s">
        <v>7757</v>
      </c>
      <c r="D1527" s="35" t="s">
        <v>155</v>
      </c>
      <c r="E1527" s="35" t="s">
        <v>420</v>
      </c>
      <c r="F1527" s="35">
        <v>189.0</v>
      </c>
      <c r="G1527" s="35">
        <v>5.88</v>
      </c>
      <c r="H1527" s="35">
        <v>32.1</v>
      </c>
      <c r="I1527" s="35" t="s">
        <v>75</v>
      </c>
    </row>
    <row r="1528" ht="22.5" customHeight="1">
      <c r="A1528" s="35" t="s">
        <v>3294</v>
      </c>
      <c r="B1528" s="35" t="s">
        <v>3295</v>
      </c>
      <c r="C1528" s="35" t="s">
        <v>7757</v>
      </c>
      <c r="D1528" s="35" t="s">
        <v>231</v>
      </c>
      <c r="E1528" s="35" t="s">
        <v>406</v>
      </c>
      <c r="F1528" s="35">
        <v>2135.0</v>
      </c>
      <c r="G1528" s="35">
        <v>11.56</v>
      </c>
      <c r="H1528" s="35">
        <v>184.7</v>
      </c>
      <c r="I1528" s="35" t="s">
        <v>142</v>
      </c>
    </row>
    <row r="1529" ht="22.5" customHeight="1">
      <c r="A1529" s="35" t="s">
        <v>3296</v>
      </c>
      <c r="B1529" s="35" t="s">
        <v>3297</v>
      </c>
      <c r="C1529" s="35" t="s">
        <v>7757</v>
      </c>
      <c r="D1529" s="35" t="s">
        <v>228</v>
      </c>
      <c r="E1529" s="35" t="s">
        <v>396</v>
      </c>
      <c r="F1529" s="35">
        <v>367.0</v>
      </c>
      <c r="G1529" s="35">
        <v>12.85</v>
      </c>
      <c r="H1529" s="35">
        <v>28.6</v>
      </c>
      <c r="I1529" s="35" t="s">
        <v>75</v>
      </c>
    </row>
    <row r="1530" ht="22.5" customHeight="1">
      <c r="A1530" s="35" t="s">
        <v>3298</v>
      </c>
      <c r="B1530" s="35" t="s">
        <v>3299</v>
      </c>
      <c r="C1530" s="35" t="s">
        <v>7757</v>
      </c>
      <c r="D1530" s="35" t="s">
        <v>176</v>
      </c>
      <c r="E1530" s="35" t="s">
        <v>470</v>
      </c>
      <c r="F1530" s="35">
        <v>4832.0</v>
      </c>
      <c r="G1530" s="35">
        <v>23.78</v>
      </c>
      <c r="H1530" s="35">
        <v>203.2</v>
      </c>
      <c r="I1530" s="35" t="s">
        <v>142</v>
      </c>
    </row>
    <row r="1531" ht="22.5" customHeight="1">
      <c r="A1531" s="35" t="s">
        <v>3300</v>
      </c>
      <c r="B1531" s="35" t="s">
        <v>3301</v>
      </c>
      <c r="C1531" s="35" t="s">
        <v>7757</v>
      </c>
      <c r="D1531" s="35" t="s">
        <v>211</v>
      </c>
      <c r="E1531" s="35" t="s">
        <v>544</v>
      </c>
      <c r="F1531" s="35">
        <v>382.0</v>
      </c>
      <c r="G1531" s="35">
        <v>10.36</v>
      </c>
      <c r="H1531" s="35">
        <v>36.9</v>
      </c>
      <c r="I1531" s="35" t="s">
        <v>75</v>
      </c>
    </row>
    <row r="1532" ht="22.5" customHeight="1">
      <c r="A1532" s="35" t="s">
        <v>3302</v>
      </c>
      <c r="B1532" s="35" t="s">
        <v>3303</v>
      </c>
      <c r="C1532" s="35" t="s">
        <v>7757</v>
      </c>
      <c r="D1532" s="35" t="s">
        <v>211</v>
      </c>
      <c r="E1532" s="35" t="s">
        <v>544</v>
      </c>
      <c r="F1532" s="35">
        <v>423.0</v>
      </c>
      <c r="G1532" s="35">
        <v>4.8</v>
      </c>
      <c r="H1532" s="35">
        <v>88.1</v>
      </c>
      <c r="I1532" s="35" t="s">
        <v>75</v>
      </c>
    </row>
    <row r="1533" ht="22.5" customHeight="1">
      <c r="A1533" s="35" t="s">
        <v>3304</v>
      </c>
      <c r="B1533" s="35" t="s">
        <v>3305</v>
      </c>
      <c r="C1533" s="35" t="s">
        <v>7757</v>
      </c>
      <c r="D1533" s="35" t="s">
        <v>195</v>
      </c>
      <c r="E1533" s="35" t="s">
        <v>509</v>
      </c>
      <c r="F1533" s="35">
        <v>429.0</v>
      </c>
      <c r="G1533" s="35">
        <v>13.59</v>
      </c>
      <c r="H1533" s="35">
        <v>31.6</v>
      </c>
      <c r="I1533" s="35" t="s">
        <v>75</v>
      </c>
    </row>
    <row r="1534" ht="22.5" customHeight="1">
      <c r="A1534" s="35" t="s">
        <v>3306</v>
      </c>
      <c r="B1534" s="35" t="s">
        <v>3307</v>
      </c>
      <c r="C1534" s="35" t="s">
        <v>7757</v>
      </c>
      <c r="D1534" s="35" t="s">
        <v>195</v>
      </c>
      <c r="E1534" s="35" t="s">
        <v>509</v>
      </c>
      <c r="F1534" s="35">
        <v>194.0</v>
      </c>
      <c r="G1534" s="35">
        <v>7.56</v>
      </c>
      <c r="H1534" s="35">
        <v>25.7</v>
      </c>
      <c r="I1534" s="35" t="s">
        <v>75</v>
      </c>
    </row>
    <row r="1535" ht="22.5" customHeight="1">
      <c r="A1535" s="35" t="s">
        <v>3308</v>
      </c>
      <c r="B1535" s="35" t="s">
        <v>3309</v>
      </c>
      <c r="C1535" s="35" t="s">
        <v>7757</v>
      </c>
      <c r="D1535" s="35" t="s">
        <v>196</v>
      </c>
      <c r="E1535" s="35" t="s">
        <v>514</v>
      </c>
      <c r="F1535" s="35">
        <v>472.0</v>
      </c>
      <c r="G1535" s="35">
        <v>9.45</v>
      </c>
      <c r="H1535" s="35">
        <v>49.9</v>
      </c>
      <c r="I1535" s="35" t="s">
        <v>75</v>
      </c>
    </row>
    <row r="1536" ht="22.5" customHeight="1">
      <c r="A1536" s="35" t="s">
        <v>3310</v>
      </c>
      <c r="B1536" s="35" t="s">
        <v>3311</v>
      </c>
      <c r="C1536" s="35" t="s">
        <v>7757</v>
      </c>
      <c r="D1536" s="35" t="s">
        <v>195</v>
      </c>
      <c r="E1536" s="35" t="s">
        <v>509</v>
      </c>
      <c r="F1536" s="35">
        <v>303.0</v>
      </c>
      <c r="G1536" s="35">
        <v>3.5</v>
      </c>
      <c r="H1536" s="35">
        <v>86.6</v>
      </c>
      <c r="I1536" s="35" t="s">
        <v>75</v>
      </c>
    </row>
    <row r="1537" ht="22.5" customHeight="1">
      <c r="A1537" s="35" t="s">
        <v>3312</v>
      </c>
      <c r="B1537" s="35" t="s">
        <v>3313</v>
      </c>
      <c r="C1537" s="35" t="s">
        <v>7757</v>
      </c>
      <c r="D1537" s="35" t="s">
        <v>211</v>
      </c>
      <c r="E1537" s="35" t="s">
        <v>544</v>
      </c>
      <c r="F1537" s="35">
        <v>343.0</v>
      </c>
      <c r="G1537" s="35">
        <v>11.16</v>
      </c>
      <c r="H1537" s="35">
        <v>30.7</v>
      </c>
      <c r="I1537" s="35" t="s">
        <v>75</v>
      </c>
    </row>
    <row r="1538" ht="22.5" customHeight="1">
      <c r="A1538" s="35" t="s">
        <v>3314</v>
      </c>
      <c r="B1538" s="35" t="s">
        <v>3315</v>
      </c>
      <c r="C1538" s="35" t="s">
        <v>7757</v>
      </c>
      <c r="D1538" s="35" t="s">
        <v>211</v>
      </c>
      <c r="E1538" s="35" t="s">
        <v>544</v>
      </c>
      <c r="F1538" s="35">
        <v>213.0</v>
      </c>
      <c r="G1538" s="35">
        <v>7.57</v>
      </c>
      <c r="H1538" s="35">
        <v>28.1</v>
      </c>
      <c r="I1538" s="35" t="s">
        <v>75</v>
      </c>
    </row>
    <row r="1539" ht="22.5" customHeight="1">
      <c r="A1539" s="35" t="s">
        <v>3316</v>
      </c>
      <c r="B1539" s="35" t="s">
        <v>3317</v>
      </c>
      <c r="C1539" s="35" t="s">
        <v>7757</v>
      </c>
      <c r="D1539" s="35" t="s">
        <v>159</v>
      </c>
      <c r="E1539" s="35" t="s">
        <v>430</v>
      </c>
      <c r="F1539" s="35">
        <v>170.0</v>
      </c>
      <c r="G1539" s="35">
        <v>2.81</v>
      </c>
      <c r="H1539" s="35">
        <v>60.5</v>
      </c>
      <c r="I1539" s="35" t="s">
        <v>75</v>
      </c>
    </row>
    <row r="1540" ht="22.5" customHeight="1">
      <c r="A1540" s="35" t="s">
        <v>3318</v>
      </c>
      <c r="B1540" s="35" t="s">
        <v>3319</v>
      </c>
      <c r="C1540" s="35" t="s">
        <v>7757</v>
      </c>
      <c r="D1540" s="35" t="s">
        <v>196</v>
      </c>
      <c r="E1540" s="35" t="s">
        <v>514</v>
      </c>
      <c r="F1540" s="35">
        <v>174.0</v>
      </c>
      <c r="G1540" s="35">
        <v>2.63</v>
      </c>
      <c r="H1540" s="35">
        <v>66.2</v>
      </c>
      <c r="I1540" s="35" t="s">
        <v>75</v>
      </c>
    </row>
    <row r="1541" ht="22.5" customHeight="1">
      <c r="A1541" s="35" t="s">
        <v>3320</v>
      </c>
      <c r="B1541" s="35" t="s">
        <v>3321</v>
      </c>
      <c r="C1541" s="35" t="s">
        <v>7757</v>
      </c>
      <c r="D1541" s="35" t="s">
        <v>228</v>
      </c>
      <c r="E1541" s="35" t="s">
        <v>396</v>
      </c>
      <c r="F1541" s="35">
        <v>110.0</v>
      </c>
      <c r="G1541" s="35">
        <v>8.32</v>
      </c>
      <c r="H1541" s="35">
        <v>13.2</v>
      </c>
      <c r="I1541" s="35" t="s">
        <v>75</v>
      </c>
    </row>
    <row r="1542" ht="22.5" customHeight="1">
      <c r="A1542" s="35" t="s">
        <v>3322</v>
      </c>
      <c r="B1542" s="35" t="s">
        <v>3323</v>
      </c>
      <c r="C1542" s="35" t="s">
        <v>7757</v>
      </c>
      <c r="D1542" s="35" t="s">
        <v>195</v>
      </c>
      <c r="E1542" s="35" t="s">
        <v>509</v>
      </c>
      <c r="F1542" s="35">
        <v>627.0</v>
      </c>
      <c r="G1542" s="35">
        <v>13.17</v>
      </c>
      <c r="H1542" s="35">
        <v>47.6</v>
      </c>
      <c r="I1542" s="35" t="s">
        <v>62</v>
      </c>
    </row>
    <row r="1543" ht="22.5" customHeight="1">
      <c r="A1543" s="35" t="s">
        <v>3324</v>
      </c>
      <c r="B1543" s="35" t="s">
        <v>3325</v>
      </c>
      <c r="C1543" s="35" t="s">
        <v>7757</v>
      </c>
      <c r="D1543" s="35" t="s">
        <v>175</v>
      </c>
      <c r="E1543" s="35" t="s">
        <v>463</v>
      </c>
      <c r="F1543" s="35">
        <v>2105.0</v>
      </c>
      <c r="G1543" s="35">
        <v>4.31</v>
      </c>
      <c r="H1543" s="35">
        <v>488.4</v>
      </c>
      <c r="I1543" s="35" t="s">
        <v>142</v>
      </c>
    </row>
    <row r="1544" ht="22.5" customHeight="1">
      <c r="A1544" s="35" t="s">
        <v>3326</v>
      </c>
      <c r="B1544" s="35" t="s">
        <v>3327</v>
      </c>
      <c r="C1544" s="35" t="s">
        <v>7757</v>
      </c>
      <c r="D1544" s="35" t="s">
        <v>131</v>
      </c>
      <c r="E1544" s="35" t="s">
        <v>341</v>
      </c>
      <c r="F1544" s="35">
        <v>4029.0</v>
      </c>
      <c r="G1544" s="35">
        <v>21.13</v>
      </c>
      <c r="H1544" s="35">
        <v>190.7</v>
      </c>
      <c r="I1544" s="35" t="s">
        <v>142</v>
      </c>
    </row>
    <row r="1545" ht="22.5" customHeight="1">
      <c r="A1545" s="35" t="s">
        <v>3328</v>
      </c>
      <c r="B1545" s="35" t="s">
        <v>3329</v>
      </c>
      <c r="C1545" s="35" t="s">
        <v>7757</v>
      </c>
      <c r="D1545" s="35" t="s">
        <v>155</v>
      </c>
      <c r="E1545" s="35" t="s">
        <v>420</v>
      </c>
      <c r="F1545" s="35">
        <v>4222.0</v>
      </c>
      <c r="G1545" s="35">
        <v>17.25</v>
      </c>
      <c r="H1545" s="35">
        <v>244.8</v>
      </c>
      <c r="I1545" s="35" t="s">
        <v>142</v>
      </c>
    </row>
    <row r="1546" ht="22.5" customHeight="1">
      <c r="A1546" s="35" t="s">
        <v>3330</v>
      </c>
      <c r="B1546" s="35" t="s">
        <v>3331</v>
      </c>
      <c r="C1546" s="35" t="s">
        <v>7757</v>
      </c>
      <c r="D1546" s="35" t="s">
        <v>200</v>
      </c>
      <c r="E1546" s="35" t="s">
        <v>494</v>
      </c>
      <c r="F1546" s="35">
        <v>435.0</v>
      </c>
      <c r="G1546" s="35">
        <v>5.18</v>
      </c>
      <c r="H1546" s="35">
        <v>84.0</v>
      </c>
      <c r="I1546" s="35" t="s">
        <v>75</v>
      </c>
    </row>
    <row r="1547" ht="22.5" customHeight="1">
      <c r="A1547" s="35" t="s">
        <v>3332</v>
      </c>
      <c r="B1547" s="35" t="s">
        <v>3333</v>
      </c>
      <c r="C1547" s="35" t="s">
        <v>7757</v>
      </c>
      <c r="D1547" s="35" t="s">
        <v>183</v>
      </c>
      <c r="E1547" s="35" t="s">
        <v>482</v>
      </c>
      <c r="F1547" s="35">
        <v>2467.0</v>
      </c>
      <c r="G1547" s="35">
        <v>8.97</v>
      </c>
      <c r="H1547" s="35">
        <v>275.0</v>
      </c>
      <c r="I1547" s="35" t="s">
        <v>142</v>
      </c>
    </row>
    <row r="1548" ht="22.5" customHeight="1">
      <c r="A1548" s="35" t="s">
        <v>3334</v>
      </c>
      <c r="B1548" s="35" t="s">
        <v>3335</v>
      </c>
      <c r="C1548" s="35" t="s">
        <v>7757</v>
      </c>
      <c r="D1548" s="35" t="s">
        <v>183</v>
      </c>
      <c r="E1548" s="35" t="s">
        <v>482</v>
      </c>
      <c r="F1548" s="35">
        <v>3183.0</v>
      </c>
      <c r="G1548" s="35">
        <v>7.36</v>
      </c>
      <c r="H1548" s="35">
        <v>432.5</v>
      </c>
      <c r="I1548" s="35" t="s">
        <v>142</v>
      </c>
    </row>
    <row r="1549" ht="22.5" customHeight="1">
      <c r="A1549" s="35" t="s">
        <v>3336</v>
      </c>
      <c r="B1549" s="35" t="s">
        <v>3337</v>
      </c>
      <c r="C1549" s="35" t="s">
        <v>7757</v>
      </c>
      <c r="D1549" s="35" t="s">
        <v>159</v>
      </c>
      <c r="E1549" s="35" t="s">
        <v>430</v>
      </c>
      <c r="F1549" s="35">
        <v>302.0</v>
      </c>
      <c r="G1549" s="35">
        <v>6.47</v>
      </c>
      <c r="H1549" s="35">
        <v>46.7</v>
      </c>
      <c r="I1549" s="35" t="s">
        <v>75</v>
      </c>
    </row>
    <row r="1550" ht="22.5" customHeight="1">
      <c r="A1550" s="35" t="s">
        <v>3338</v>
      </c>
      <c r="B1550" s="35" t="s">
        <v>3339</v>
      </c>
      <c r="C1550" s="35" t="s">
        <v>7757</v>
      </c>
      <c r="D1550" s="35" t="s">
        <v>159</v>
      </c>
      <c r="E1550" s="35" t="s">
        <v>430</v>
      </c>
      <c r="F1550" s="35">
        <v>244.0</v>
      </c>
      <c r="G1550" s="35">
        <v>6.86</v>
      </c>
      <c r="H1550" s="35">
        <v>35.6</v>
      </c>
      <c r="I1550" s="35" t="s">
        <v>75</v>
      </c>
    </row>
    <row r="1551" ht="22.5" customHeight="1">
      <c r="A1551" s="35" t="s">
        <v>3340</v>
      </c>
      <c r="B1551" s="35" t="s">
        <v>3341</v>
      </c>
      <c r="C1551" s="35" t="s">
        <v>7757</v>
      </c>
      <c r="D1551" s="35" t="s">
        <v>159</v>
      </c>
      <c r="E1551" s="35" t="s">
        <v>430</v>
      </c>
      <c r="F1551" s="35">
        <v>231.0</v>
      </c>
      <c r="G1551" s="35">
        <v>2.92</v>
      </c>
      <c r="H1551" s="35">
        <v>79.1</v>
      </c>
      <c r="I1551" s="35" t="s">
        <v>75</v>
      </c>
    </row>
    <row r="1552" ht="22.5" customHeight="1">
      <c r="A1552" s="35" t="s">
        <v>3342</v>
      </c>
      <c r="B1552" s="35" t="s">
        <v>3343</v>
      </c>
      <c r="C1552" s="35" t="s">
        <v>7757</v>
      </c>
      <c r="D1552" s="35" t="s">
        <v>155</v>
      </c>
      <c r="E1552" s="35" t="s">
        <v>420</v>
      </c>
      <c r="F1552" s="35">
        <v>150.0</v>
      </c>
      <c r="G1552" s="35">
        <v>4.79</v>
      </c>
      <c r="H1552" s="35">
        <v>31.3</v>
      </c>
      <c r="I1552" s="35" t="s">
        <v>75</v>
      </c>
    </row>
    <row r="1553" ht="22.5" customHeight="1">
      <c r="A1553" s="35" t="s">
        <v>3344</v>
      </c>
      <c r="B1553" s="35" t="s">
        <v>3345</v>
      </c>
      <c r="C1553" s="35" t="s">
        <v>7757</v>
      </c>
      <c r="D1553" s="35" t="s">
        <v>203</v>
      </c>
      <c r="E1553" s="35" t="s">
        <v>524</v>
      </c>
      <c r="F1553" s="35">
        <v>335.0</v>
      </c>
      <c r="G1553" s="35">
        <v>6.5</v>
      </c>
      <c r="H1553" s="35">
        <v>51.5</v>
      </c>
      <c r="I1553" s="35" t="s">
        <v>75</v>
      </c>
    </row>
    <row r="1554" ht="22.5" customHeight="1">
      <c r="A1554" s="35" t="s">
        <v>3346</v>
      </c>
      <c r="B1554" s="35" t="s">
        <v>3347</v>
      </c>
      <c r="C1554" s="35" t="s">
        <v>7757</v>
      </c>
      <c r="D1554" s="35" t="s">
        <v>155</v>
      </c>
      <c r="E1554" s="35" t="s">
        <v>420</v>
      </c>
      <c r="F1554" s="35">
        <v>209.0</v>
      </c>
      <c r="G1554" s="35">
        <v>5.85</v>
      </c>
      <c r="H1554" s="35">
        <v>35.7</v>
      </c>
      <c r="I1554" s="35" t="s">
        <v>75</v>
      </c>
    </row>
    <row r="1555" ht="22.5" customHeight="1">
      <c r="A1555" s="35" t="s">
        <v>3348</v>
      </c>
      <c r="B1555" s="35" t="s">
        <v>3349</v>
      </c>
      <c r="C1555" s="35" t="s">
        <v>7757</v>
      </c>
      <c r="D1555" s="35" t="s">
        <v>159</v>
      </c>
      <c r="E1555" s="35" t="s">
        <v>430</v>
      </c>
      <c r="F1555" s="35">
        <v>143.0</v>
      </c>
      <c r="G1555" s="35">
        <v>3.51</v>
      </c>
      <c r="H1555" s="35">
        <v>40.7</v>
      </c>
      <c r="I1555" s="35" t="s">
        <v>75</v>
      </c>
    </row>
    <row r="1556" ht="22.5" customHeight="1">
      <c r="A1556" s="35" t="s">
        <v>3350</v>
      </c>
      <c r="B1556" s="35" t="s">
        <v>3351</v>
      </c>
      <c r="C1556" s="35" t="s">
        <v>7757</v>
      </c>
      <c r="D1556" s="35" t="s">
        <v>203</v>
      </c>
      <c r="E1556" s="35" t="s">
        <v>524</v>
      </c>
      <c r="F1556" s="35">
        <v>830.0</v>
      </c>
      <c r="G1556" s="35">
        <v>16.79</v>
      </c>
      <c r="H1556" s="35">
        <v>49.4</v>
      </c>
      <c r="I1556" s="35" t="s">
        <v>62</v>
      </c>
    </row>
    <row r="1557" ht="22.5" customHeight="1">
      <c r="A1557" s="35" t="s">
        <v>3352</v>
      </c>
      <c r="B1557" s="35" t="s">
        <v>3353</v>
      </c>
      <c r="C1557" s="35" t="s">
        <v>7757</v>
      </c>
      <c r="D1557" s="35" t="s">
        <v>183</v>
      </c>
      <c r="E1557" s="35" t="s">
        <v>482</v>
      </c>
      <c r="F1557" s="35">
        <v>2838.0</v>
      </c>
      <c r="G1557" s="35">
        <v>17.02</v>
      </c>
      <c r="H1557" s="35">
        <v>166.7</v>
      </c>
      <c r="I1557" s="35" t="s">
        <v>142</v>
      </c>
    </row>
    <row r="1558" ht="22.5" customHeight="1">
      <c r="A1558" s="35" t="s">
        <v>3354</v>
      </c>
      <c r="B1558" s="35" t="s">
        <v>3355</v>
      </c>
      <c r="C1558" s="35" t="s">
        <v>7757</v>
      </c>
      <c r="D1558" s="35" t="s">
        <v>200</v>
      </c>
      <c r="E1558" s="35" t="s">
        <v>494</v>
      </c>
      <c r="F1558" s="35">
        <v>305.0</v>
      </c>
      <c r="G1558" s="35">
        <v>3.88</v>
      </c>
      <c r="H1558" s="35">
        <v>78.6</v>
      </c>
      <c r="I1558" s="35" t="s">
        <v>75</v>
      </c>
    </row>
    <row r="1559" ht="22.5" customHeight="1">
      <c r="A1559" s="35" t="s">
        <v>3356</v>
      </c>
      <c r="B1559" s="35" t="s">
        <v>3357</v>
      </c>
      <c r="C1559" s="35" t="s">
        <v>7757</v>
      </c>
      <c r="D1559" s="35" t="s">
        <v>200</v>
      </c>
      <c r="E1559" s="35" t="s">
        <v>494</v>
      </c>
      <c r="F1559" s="35">
        <v>518.0</v>
      </c>
      <c r="G1559" s="35">
        <v>6.22</v>
      </c>
      <c r="H1559" s="35">
        <v>83.3</v>
      </c>
      <c r="I1559" s="35" t="s">
        <v>62</v>
      </c>
    </row>
    <row r="1560" ht="22.5" customHeight="1">
      <c r="A1560" s="35" t="s">
        <v>3358</v>
      </c>
      <c r="B1560" s="35" t="s">
        <v>3359</v>
      </c>
      <c r="C1560" s="35" t="s">
        <v>7757</v>
      </c>
      <c r="D1560" s="35" t="s">
        <v>170</v>
      </c>
      <c r="E1560" s="35" t="s">
        <v>452</v>
      </c>
      <c r="F1560" s="35">
        <v>1831.0</v>
      </c>
      <c r="G1560" s="35">
        <v>6.95</v>
      </c>
      <c r="H1560" s="35">
        <v>263.5</v>
      </c>
      <c r="I1560" s="35" t="s">
        <v>62</v>
      </c>
    </row>
    <row r="1561" ht="22.5" customHeight="1">
      <c r="A1561" s="35" t="s">
        <v>3360</v>
      </c>
      <c r="B1561" s="35" t="s">
        <v>3361</v>
      </c>
      <c r="C1561" s="35" t="s">
        <v>7757</v>
      </c>
      <c r="D1561" s="35" t="s">
        <v>183</v>
      </c>
      <c r="E1561" s="35" t="s">
        <v>482</v>
      </c>
      <c r="F1561" s="35">
        <v>1146.0</v>
      </c>
      <c r="G1561" s="35">
        <v>9.36</v>
      </c>
      <c r="H1561" s="35">
        <v>122.4</v>
      </c>
      <c r="I1561" s="35" t="s">
        <v>62</v>
      </c>
    </row>
    <row r="1562" ht="22.5" customHeight="1">
      <c r="A1562" s="35" t="s">
        <v>3362</v>
      </c>
      <c r="B1562" s="35" t="s">
        <v>3363</v>
      </c>
      <c r="C1562" s="35" t="s">
        <v>7757</v>
      </c>
      <c r="D1562" s="35" t="s">
        <v>200</v>
      </c>
      <c r="E1562" s="35" t="s">
        <v>494</v>
      </c>
      <c r="F1562" s="35">
        <v>160.0</v>
      </c>
      <c r="G1562" s="35">
        <v>4.55</v>
      </c>
      <c r="H1562" s="35">
        <v>35.2</v>
      </c>
      <c r="I1562" s="35" t="s">
        <v>75</v>
      </c>
    </row>
    <row r="1563" ht="22.5" customHeight="1">
      <c r="A1563" s="35" t="s">
        <v>3364</v>
      </c>
      <c r="B1563" s="35" t="s">
        <v>3365</v>
      </c>
      <c r="C1563" s="35" t="s">
        <v>7757</v>
      </c>
      <c r="D1563" s="35" t="s">
        <v>159</v>
      </c>
      <c r="E1563" s="35" t="s">
        <v>430</v>
      </c>
      <c r="F1563" s="35">
        <v>483.0</v>
      </c>
      <c r="G1563" s="35">
        <v>11.42</v>
      </c>
      <c r="H1563" s="35">
        <v>42.3</v>
      </c>
      <c r="I1563" s="35" t="s">
        <v>75</v>
      </c>
    </row>
    <row r="1564" ht="22.5" customHeight="1">
      <c r="A1564" s="35" t="s">
        <v>3366</v>
      </c>
      <c r="B1564" s="35" t="s">
        <v>3367</v>
      </c>
      <c r="C1564" s="35" t="s">
        <v>7757</v>
      </c>
      <c r="D1564" s="35" t="s">
        <v>155</v>
      </c>
      <c r="E1564" s="35" t="s">
        <v>420</v>
      </c>
      <c r="F1564" s="35">
        <v>469.0</v>
      </c>
      <c r="G1564" s="35">
        <v>10.27</v>
      </c>
      <c r="H1564" s="35">
        <v>45.7</v>
      </c>
      <c r="I1564" s="35" t="s">
        <v>75</v>
      </c>
    </row>
    <row r="1565" ht="22.5" customHeight="1">
      <c r="A1565" s="35" t="s">
        <v>3368</v>
      </c>
      <c r="B1565" s="35" t="s">
        <v>3369</v>
      </c>
      <c r="C1565" s="35" t="s">
        <v>7757</v>
      </c>
      <c r="D1565" s="35" t="s">
        <v>196</v>
      </c>
      <c r="E1565" s="35" t="s">
        <v>514</v>
      </c>
      <c r="F1565" s="35">
        <v>321.0</v>
      </c>
      <c r="G1565" s="35">
        <v>9.04</v>
      </c>
      <c r="H1565" s="35">
        <v>35.5</v>
      </c>
      <c r="I1565" s="35" t="s">
        <v>75</v>
      </c>
    </row>
    <row r="1566" ht="22.5" customHeight="1">
      <c r="A1566" s="35" t="s">
        <v>3370</v>
      </c>
      <c r="B1566" s="35" t="s">
        <v>3371</v>
      </c>
      <c r="C1566" s="35" t="s">
        <v>7757</v>
      </c>
      <c r="D1566" s="35" t="s">
        <v>160</v>
      </c>
      <c r="E1566" s="35" t="s">
        <v>435</v>
      </c>
      <c r="F1566" s="35">
        <v>741.0</v>
      </c>
      <c r="G1566" s="35">
        <v>8.11</v>
      </c>
      <c r="H1566" s="35">
        <v>91.4</v>
      </c>
      <c r="I1566" s="35" t="s">
        <v>62</v>
      </c>
    </row>
    <row r="1567" ht="22.5" customHeight="1">
      <c r="A1567" s="35" t="s">
        <v>3372</v>
      </c>
      <c r="B1567" s="35" t="s">
        <v>3373</v>
      </c>
      <c r="C1567" s="35" t="s">
        <v>7757</v>
      </c>
      <c r="D1567" s="35" t="s">
        <v>196</v>
      </c>
      <c r="E1567" s="35" t="s">
        <v>514</v>
      </c>
      <c r="F1567" s="35">
        <v>515.0</v>
      </c>
      <c r="G1567" s="35">
        <v>7.58</v>
      </c>
      <c r="H1567" s="35">
        <v>67.9</v>
      </c>
      <c r="I1567" s="35" t="s">
        <v>62</v>
      </c>
    </row>
    <row r="1568" ht="22.5" customHeight="1">
      <c r="A1568" s="35" t="s">
        <v>3374</v>
      </c>
      <c r="B1568" s="35" t="s">
        <v>3375</v>
      </c>
      <c r="C1568" s="35" t="s">
        <v>7757</v>
      </c>
      <c r="D1568" s="35" t="s">
        <v>196</v>
      </c>
      <c r="E1568" s="35" t="s">
        <v>514</v>
      </c>
      <c r="F1568" s="35">
        <v>415.0</v>
      </c>
      <c r="G1568" s="35">
        <v>6.92</v>
      </c>
      <c r="H1568" s="35">
        <v>60.0</v>
      </c>
      <c r="I1568" s="35" t="s">
        <v>75</v>
      </c>
    </row>
    <row r="1569" ht="22.5" customHeight="1">
      <c r="A1569" s="35" t="s">
        <v>3376</v>
      </c>
      <c r="B1569" s="35" t="s">
        <v>3377</v>
      </c>
      <c r="C1569" s="35" t="s">
        <v>7757</v>
      </c>
      <c r="D1569" s="35" t="s">
        <v>159</v>
      </c>
      <c r="E1569" s="35" t="s">
        <v>430</v>
      </c>
      <c r="F1569" s="35">
        <v>222.0</v>
      </c>
      <c r="G1569" s="35">
        <v>5.96</v>
      </c>
      <c r="H1569" s="35">
        <v>37.2</v>
      </c>
      <c r="I1569" s="35" t="s">
        <v>75</v>
      </c>
    </row>
    <row r="1570" ht="22.5" customHeight="1">
      <c r="A1570" s="35" t="s">
        <v>3378</v>
      </c>
      <c r="B1570" s="35" t="s">
        <v>3379</v>
      </c>
      <c r="C1570" s="35" t="s">
        <v>7757</v>
      </c>
      <c r="D1570" s="35" t="s">
        <v>200</v>
      </c>
      <c r="E1570" s="35" t="s">
        <v>494</v>
      </c>
      <c r="F1570" s="35">
        <v>1393.0</v>
      </c>
      <c r="G1570" s="35">
        <v>19.56</v>
      </c>
      <c r="H1570" s="35">
        <v>71.2</v>
      </c>
      <c r="I1570" s="35" t="s">
        <v>62</v>
      </c>
    </row>
    <row r="1571" ht="22.5" customHeight="1">
      <c r="A1571" s="35" t="s">
        <v>3380</v>
      </c>
      <c r="B1571" s="35" t="s">
        <v>3381</v>
      </c>
      <c r="C1571" s="35" t="s">
        <v>7757</v>
      </c>
      <c r="D1571" s="35" t="s">
        <v>183</v>
      </c>
      <c r="E1571" s="35" t="s">
        <v>482</v>
      </c>
      <c r="F1571" s="35">
        <v>1125.0</v>
      </c>
      <c r="G1571" s="35">
        <v>12.61</v>
      </c>
      <c r="H1571" s="35">
        <v>89.2</v>
      </c>
      <c r="I1571" s="35" t="s">
        <v>62</v>
      </c>
    </row>
    <row r="1572" ht="22.5" customHeight="1">
      <c r="A1572" s="35" t="s">
        <v>3382</v>
      </c>
      <c r="B1572" s="35" t="s">
        <v>3383</v>
      </c>
      <c r="C1572" s="35" t="s">
        <v>7757</v>
      </c>
      <c r="D1572" s="35" t="s">
        <v>155</v>
      </c>
      <c r="E1572" s="35" t="s">
        <v>420</v>
      </c>
      <c r="F1572" s="35">
        <v>100.0</v>
      </c>
      <c r="G1572" s="35">
        <v>11.85</v>
      </c>
      <c r="H1572" s="35">
        <v>8.4</v>
      </c>
      <c r="I1572" s="35" t="s">
        <v>75</v>
      </c>
    </row>
    <row r="1573" ht="22.5" customHeight="1">
      <c r="A1573" s="35" t="s">
        <v>3384</v>
      </c>
      <c r="B1573" s="35" t="s">
        <v>3385</v>
      </c>
      <c r="C1573" s="35" t="s">
        <v>7757</v>
      </c>
      <c r="D1573" s="35" t="s">
        <v>200</v>
      </c>
      <c r="E1573" s="35" t="s">
        <v>494</v>
      </c>
      <c r="F1573" s="35">
        <v>176.0</v>
      </c>
      <c r="G1573" s="35">
        <v>6.67</v>
      </c>
      <c r="H1573" s="35">
        <v>26.4</v>
      </c>
      <c r="I1573" s="35" t="s">
        <v>75</v>
      </c>
    </row>
    <row r="1574" ht="22.5" customHeight="1">
      <c r="A1574" s="35" t="s">
        <v>3386</v>
      </c>
      <c r="B1574" s="35" t="s">
        <v>3387</v>
      </c>
      <c r="C1574" s="35" t="s">
        <v>7757</v>
      </c>
      <c r="D1574" s="35" t="s">
        <v>203</v>
      </c>
      <c r="E1574" s="35" t="s">
        <v>524</v>
      </c>
      <c r="F1574" s="35">
        <v>542.0</v>
      </c>
      <c r="G1574" s="35">
        <v>13.3</v>
      </c>
      <c r="H1574" s="35">
        <v>40.8</v>
      </c>
      <c r="I1574" s="35" t="s">
        <v>62</v>
      </c>
    </row>
    <row r="1575" ht="22.5" customHeight="1">
      <c r="A1575" s="35" t="s">
        <v>3388</v>
      </c>
      <c r="B1575" s="35" t="s">
        <v>3389</v>
      </c>
      <c r="C1575" s="35" t="s">
        <v>7757</v>
      </c>
      <c r="D1575" s="35" t="s">
        <v>188</v>
      </c>
      <c r="E1575" s="35" t="s">
        <v>491</v>
      </c>
      <c r="F1575" s="35">
        <v>2649.0</v>
      </c>
      <c r="G1575" s="35">
        <v>4.74</v>
      </c>
      <c r="H1575" s="35">
        <v>558.9</v>
      </c>
      <c r="I1575" s="35" t="s">
        <v>142</v>
      </c>
    </row>
    <row r="1576" ht="22.5" customHeight="1">
      <c r="A1576" s="35" t="s">
        <v>3390</v>
      </c>
      <c r="B1576" s="35" t="s">
        <v>3391</v>
      </c>
      <c r="C1576" s="35" t="s">
        <v>7757</v>
      </c>
      <c r="D1576" s="35" t="s">
        <v>231</v>
      </c>
      <c r="E1576" s="35" t="s">
        <v>406</v>
      </c>
      <c r="F1576" s="35">
        <v>1669.0</v>
      </c>
      <c r="G1576" s="35">
        <v>17.5</v>
      </c>
      <c r="H1576" s="35">
        <v>95.4</v>
      </c>
      <c r="I1576" s="35" t="s">
        <v>62</v>
      </c>
    </row>
    <row r="1577" ht="22.5" customHeight="1">
      <c r="A1577" s="35" t="s">
        <v>3392</v>
      </c>
      <c r="B1577" s="35" t="s">
        <v>3393</v>
      </c>
      <c r="C1577" s="35" t="s">
        <v>7757</v>
      </c>
      <c r="D1577" s="35" t="s">
        <v>159</v>
      </c>
      <c r="E1577" s="35" t="s">
        <v>430</v>
      </c>
      <c r="F1577" s="35">
        <v>467.0</v>
      </c>
      <c r="G1577" s="35">
        <v>9.39</v>
      </c>
      <c r="H1577" s="35">
        <v>49.7</v>
      </c>
      <c r="I1577" s="35" t="s">
        <v>75</v>
      </c>
    </row>
    <row r="1578" ht="22.5" customHeight="1">
      <c r="A1578" s="35" t="s">
        <v>3394</v>
      </c>
      <c r="B1578" s="35" t="s">
        <v>3395</v>
      </c>
      <c r="C1578" s="35" t="s">
        <v>7757</v>
      </c>
      <c r="D1578" s="35" t="s">
        <v>203</v>
      </c>
      <c r="E1578" s="35" t="s">
        <v>524</v>
      </c>
      <c r="F1578" s="35">
        <v>288.0</v>
      </c>
      <c r="G1578" s="35">
        <v>4.95</v>
      </c>
      <c r="H1578" s="35">
        <v>58.2</v>
      </c>
      <c r="I1578" s="35" t="s">
        <v>75</v>
      </c>
    </row>
    <row r="1579" ht="22.5" customHeight="1">
      <c r="A1579" s="35" t="s">
        <v>3396</v>
      </c>
      <c r="B1579" s="35" t="s">
        <v>3397</v>
      </c>
      <c r="C1579" s="35" t="s">
        <v>7757</v>
      </c>
      <c r="D1579" s="35" t="s">
        <v>228</v>
      </c>
      <c r="E1579" s="35" t="s">
        <v>396</v>
      </c>
      <c r="F1579" s="35">
        <v>1043.0</v>
      </c>
      <c r="G1579" s="35">
        <v>12.08</v>
      </c>
      <c r="H1579" s="35">
        <v>86.3</v>
      </c>
      <c r="I1579" s="35" t="s">
        <v>62</v>
      </c>
    </row>
    <row r="1580" ht="22.5" customHeight="1">
      <c r="A1580" s="35" t="s">
        <v>3398</v>
      </c>
      <c r="B1580" s="35" t="s">
        <v>3399</v>
      </c>
      <c r="C1580" s="35" t="s">
        <v>7757</v>
      </c>
      <c r="D1580" s="35" t="s">
        <v>231</v>
      </c>
      <c r="E1580" s="35" t="s">
        <v>406</v>
      </c>
      <c r="F1580" s="35">
        <v>9959.0</v>
      </c>
      <c r="G1580" s="35">
        <v>12.89</v>
      </c>
      <c r="H1580" s="35">
        <v>772.6</v>
      </c>
      <c r="I1580" s="35" t="s">
        <v>142</v>
      </c>
    </row>
    <row r="1581" ht="22.5" customHeight="1">
      <c r="A1581" s="35" t="s">
        <v>3400</v>
      </c>
      <c r="B1581" s="35" t="s">
        <v>3401</v>
      </c>
      <c r="C1581" s="35" t="s">
        <v>7757</v>
      </c>
      <c r="D1581" s="35" t="s">
        <v>211</v>
      </c>
      <c r="E1581" s="35" t="s">
        <v>544</v>
      </c>
      <c r="F1581" s="35">
        <v>300.0</v>
      </c>
      <c r="G1581" s="35">
        <v>6.7</v>
      </c>
      <c r="H1581" s="35">
        <v>44.8</v>
      </c>
      <c r="I1581" s="35" t="s">
        <v>75</v>
      </c>
    </row>
    <row r="1582" ht="22.5" customHeight="1">
      <c r="A1582" s="35" t="s">
        <v>3402</v>
      </c>
      <c r="B1582" s="35" t="s">
        <v>3403</v>
      </c>
      <c r="C1582" s="35" t="s">
        <v>7757</v>
      </c>
      <c r="D1582" s="35" t="s">
        <v>151</v>
      </c>
      <c r="E1582" s="35" t="s">
        <v>414</v>
      </c>
      <c r="F1582" s="35">
        <v>10591.0</v>
      </c>
      <c r="G1582" s="35">
        <v>16.04</v>
      </c>
      <c r="H1582" s="35">
        <v>660.3</v>
      </c>
      <c r="I1582" s="35" t="s">
        <v>571</v>
      </c>
    </row>
    <row r="1583" ht="22.5" customHeight="1">
      <c r="A1583" s="35" t="s">
        <v>3404</v>
      </c>
      <c r="B1583" s="35" t="s">
        <v>3405</v>
      </c>
      <c r="C1583" s="35" t="s">
        <v>7757</v>
      </c>
      <c r="D1583" s="35" t="s">
        <v>151</v>
      </c>
      <c r="E1583" s="35" t="s">
        <v>414</v>
      </c>
      <c r="F1583" s="35">
        <v>3084.0</v>
      </c>
      <c r="G1583" s="35">
        <v>10.82</v>
      </c>
      <c r="H1583" s="35">
        <v>285.0</v>
      </c>
      <c r="I1583" s="35" t="s">
        <v>142</v>
      </c>
    </row>
    <row r="1584" ht="22.5" customHeight="1">
      <c r="A1584" s="35" t="s">
        <v>3406</v>
      </c>
      <c r="B1584" s="35" t="s">
        <v>3407</v>
      </c>
      <c r="C1584" s="35" t="s">
        <v>7757</v>
      </c>
      <c r="D1584" s="35" t="s">
        <v>211</v>
      </c>
      <c r="E1584" s="35" t="s">
        <v>544</v>
      </c>
      <c r="F1584" s="35">
        <v>3338.0</v>
      </c>
      <c r="G1584" s="35">
        <v>18.54</v>
      </c>
      <c r="H1584" s="35">
        <v>180.0</v>
      </c>
      <c r="I1584" s="35" t="s">
        <v>142</v>
      </c>
    </row>
    <row r="1585" ht="22.5" customHeight="1">
      <c r="A1585" s="35" t="s">
        <v>3408</v>
      </c>
      <c r="B1585" s="35" t="s">
        <v>3409</v>
      </c>
      <c r="C1585" s="35" t="s">
        <v>7757</v>
      </c>
      <c r="D1585" s="35" t="s">
        <v>176</v>
      </c>
      <c r="E1585" s="35" t="s">
        <v>470</v>
      </c>
      <c r="F1585" s="35">
        <v>159.0</v>
      </c>
      <c r="G1585" s="35">
        <v>5.78</v>
      </c>
      <c r="H1585" s="35">
        <v>27.5</v>
      </c>
      <c r="I1585" s="35" t="s">
        <v>75</v>
      </c>
    </row>
    <row r="1586" ht="22.5" customHeight="1">
      <c r="A1586" s="35" t="s">
        <v>3410</v>
      </c>
      <c r="B1586" s="35" t="s">
        <v>3411</v>
      </c>
      <c r="C1586" s="35" t="s">
        <v>7757</v>
      </c>
      <c r="D1586" s="35" t="s">
        <v>173</v>
      </c>
      <c r="E1586" s="35" t="s">
        <v>460</v>
      </c>
      <c r="F1586" s="35">
        <v>471.0</v>
      </c>
      <c r="G1586" s="35">
        <v>9.09</v>
      </c>
      <c r="H1586" s="35">
        <v>51.8</v>
      </c>
      <c r="I1586" s="35" t="s">
        <v>75</v>
      </c>
    </row>
    <row r="1587" ht="22.5" customHeight="1">
      <c r="A1587" s="35" t="s">
        <v>3412</v>
      </c>
      <c r="B1587" s="35" t="s">
        <v>3413</v>
      </c>
      <c r="C1587" s="35" t="s">
        <v>7757</v>
      </c>
      <c r="D1587" s="35" t="s">
        <v>155</v>
      </c>
      <c r="E1587" s="35" t="s">
        <v>420</v>
      </c>
      <c r="F1587" s="35">
        <v>442.0</v>
      </c>
      <c r="G1587" s="35">
        <v>8.97</v>
      </c>
      <c r="H1587" s="35">
        <v>49.3</v>
      </c>
      <c r="I1587" s="35" t="s">
        <v>75</v>
      </c>
    </row>
    <row r="1588" ht="22.5" customHeight="1">
      <c r="A1588" s="35" t="s">
        <v>3414</v>
      </c>
      <c r="B1588" s="35" t="s">
        <v>3415</v>
      </c>
      <c r="C1588" s="35" t="s">
        <v>7757</v>
      </c>
      <c r="D1588" s="35" t="s">
        <v>170</v>
      </c>
      <c r="E1588" s="35" t="s">
        <v>452</v>
      </c>
      <c r="F1588" s="35">
        <v>772.0</v>
      </c>
      <c r="G1588" s="35">
        <v>8.12</v>
      </c>
      <c r="H1588" s="35">
        <v>95.1</v>
      </c>
      <c r="I1588" s="35" t="s">
        <v>62</v>
      </c>
    </row>
    <row r="1589" ht="22.5" customHeight="1">
      <c r="A1589" s="35" t="s">
        <v>3416</v>
      </c>
      <c r="B1589" s="35" t="s">
        <v>3417</v>
      </c>
      <c r="C1589" s="35" t="s">
        <v>7757</v>
      </c>
      <c r="D1589" s="35" t="s">
        <v>195</v>
      </c>
      <c r="E1589" s="35" t="s">
        <v>509</v>
      </c>
      <c r="F1589" s="35">
        <v>399.0</v>
      </c>
      <c r="G1589" s="35">
        <v>10.47</v>
      </c>
      <c r="H1589" s="35">
        <v>38.1</v>
      </c>
      <c r="I1589" s="35" t="s">
        <v>75</v>
      </c>
    </row>
    <row r="1590" ht="22.5" customHeight="1">
      <c r="A1590" s="35" t="s">
        <v>3418</v>
      </c>
      <c r="B1590" s="35" t="s">
        <v>3419</v>
      </c>
      <c r="C1590" s="35" t="s">
        <v>7757</v>
      </c>
      <c r="D1590" s="35" t="s">
        <v>160</v>
      </c>
      <c r="E1590" s="35" t="s">
        <v>435</v>
      </c>
      <c r="F1590" s="35">
        <v>2036.0</v>
      </c>
      <c r="G1590" s="35">
        <v>12.65</v>
      </c>
      <c r="H1590" s="35">
        <v>160.9</v>
      </c>
      <c r="I1590" s="35" t="s">
        <v>142</v>
      </c>
    </row>
    <row r="1591" ht="22.5" customHeight="1">
      <c r="A1591" s="35" t="s">
        <v>3420</v>
      </c>
      <c r="B1591" s="35" t="s">
        <v>3421</v>
      </c>
      <c r="C1591" s="35" t="s">
        <v>7757</v>
      </c>
      <c r="D1591" s="35" t="s">
        <v>170</v>
      </c>
      <c r="E1591" s="35" t="s">
        <v>452</v>
      </c>
      <c r="F1591" s="35">
        <v>1093.0</v>
      </c>
      <c r="G1591" s="35">
        <v>13.36</v>
      </c>
      <c r="H1591" s="35">
        <v>81.8</v>
      </c>
      <c r="I1591" s="35" t="s">
        <v>62</v>
      </c>
    </row>
    <row r="1592" ht="22.5" customHeight="1">
      <c r="A1592" s="35" t="s">
        <v>3422</v>
      </c>
      <c r="B1592" s="35" t="s">
        <v>3423</v>
      </c>
      <c r="C1592" s="35" t="s">
        <v>7757</v>
      </c>
      <c r="D1592" s="35" t="s">
        <v>124</v>
      </c>
      <c r="E1592" s="35" t="s">
        <v>333</v>
      </c>
      <c r="F1592" s="35">
        <v>3449.0</v>
      </c>
      <c r="G1592" s="35">
        <v>15.94</v>
      </c>
      <c r="H1592" s="35">
        <v>216.4</v>
      </c>
      <c r="I1592" s="35" t="s">
        <v>142</v>
      </c>
    </row>
    <row r="1593" ht="22.5" customHeight="1">
      <c r="A1593" s="35" t="s">
        <v>3424</v>
      </c>
      <c r="B1593" s="35" t="s">
        <v>3425</v>
      </c>
      <c r="C1593" s="35" t="s">
        <v>7757</v>
      </c>
      <c r="D1593" s="35" t="s">
        <v>160</v>
      </c>
      <c r="E1593" s="35" t="s">
        <v>435</v>
      </c>
      <c r="F1593" s="35">
        <v>252.0</v>
      </c>
      <c r="G1593" s="35">
        <v>10.11</v>
      </c>
      <c r="H1593" s="35">
        <v>24.9</v>
      </c>
      <c r="I1593" s="35" t="s">
        <v>75</v>
      </c>
    </row>
    <row r="1594" ht="22.5" customHeight="1">
      <c r="A1594" s="35" t="s">
        <v>3426</v>
      </c>
      <c r="B1594" s="35" t="s">
        <v>3427</v>
      </c>
      <c r="C1594" s="35" t="s">
        <v>7757</v>
      </c>
      <c r="D1594" s="35" t="s">
        <v>155</v>
      </c>
      <c r="E1594" s="35" t="s">
        <v>420</v>
      </c>
      <c r="F1594" s="35">
        <v>98.0</v>
      </c>
      <c r="G1594" s="35">
        <v>4.17</v>
      </c>
      <c r="H1594" s="35">
        <v>23.5</v>
      </c>
      <c r="I1594" s="35" t="s">
        <v>75</v>
      </c>
    </row>
    <row r="1595" ht="22.5" customHeight="1">
      <c r="A1595" s="35" t="s">
        <v>3428</v>
      </c>
      <c r="B1595" s="35" t="s">
        <v>3429</v>
      </c>
      <c r="C1595" s="35" t="s">
        <v>7757</v>
      </c>
      <c r="D1595" s="35" t="s">
        <v>175</v>
      </c>
      <c r="E1595" s="35" t="s">
        <v>463</v>
      </c>
      <c r="F1595" s="35">
        <v>1630.0</v>
      </c>
      <c r="G1595" s="35">
        <v>6.79</v>
      </c>
      <c r="H1595" s="35">
        <v>240.1</v>
      </c>
      <c r="I1595" s="35" t="s">
        <v>62</v>
      </c>
    </row>
    <row r="1596" ht="22.5" customHeight="1">
      <c r="A1596" s="35" t="s">
        <v>3430</v>
      </c>
      <c r="B1596" s="35" t="s">
        <v>3431</v>
      </c>
      <c r="C1596" s="35" t="s">
        <v>7757</v>
      </c>
      <c r="D1596" s="35" t="s">
        <v>231</v>
      </c>
      <c r="E1596" s="35" t="s">
        <v>406</v>
      </c>
      <c r="F1596" s="35">
        <v>3978.0</v>
      </c>
      <c r="G1596" s="35">
        <v>16.78</v>
      </c>
      <c r="H1596" s="35">
        <v>237.1</v>
      </c>
      <c r="I1596" s="35" t="s">
        <v>142</v>
      </c>
    </row>
    <row r="1597" ht="22.5" customHeight="1">
      <c r="A1597" s="35" t="s">
        <v>3432</v>
      </c>
      <c r="B1597" s="35" t="s">
        <v>3433</v>
      </c>
      <c r="C1597" s="35" t="s">
        <v>7757</v>
      </c>
      <c r="D1597" s="35" t="s">
        <v>124</v>
      </c>
      <c r="E1597" s="35" t="s">
        <v>333</v>
      </c>
      <c r="F1597" s="35">
        <v>2208.0</v>
      </c>
      <c r="G1597" s="35">
        <v>4.74</v>
      </c>
      <c r="H1597" s="35">
        <v>465.8</v>
      </c>
      <c r="I1597" s="35" t="s">
        <v>142</v>
      </c>
    </row>
    <row r="1598" ht="22.5" customHeight="1">
      <c r="A1598" s="35" t="s">
        <v>3434</v>
      </c>
      <c r="B1598" s="35" t="s">
        <v>3435</v>
      </c>
      <c r="C1598" s="35" t="s">
        <v>7757</v>
      </c>
      <c r="D1598" s="35" t="s">
        <v>183</v>
      </c>
      <c r="E1598" s="35" t="s">
        <v>482</v>
      </c>
      <c r="F1598" s="35">
        <v>10564.0</v>
      </c>
      <c r="G1598" s="35">
        <v>5.81</v>
      </c>
      <c r="H1598" s="35">
        <v>1818.2</v>
      </c>
      <c r="I1598" s="35" t="s">
        <v>571</v>
      </c>
    </row>
    <row r="1599" ht="22.5" customHeight="1">
      <c r="A1599" s="35" t="s">
        <v>3436</v>
      </c>
      <c r="B1599" s="35" t="s">
        <v>3437</v>
      </c>
      <c r="C1599" s="35" t="s">
        <v>7757</v>
      </c>
      <c r="D1599" s="35" t="s">
        <v>203</v>
      </c>
      <c r="E1599" s="35" t="s">
        <v>524</v>
      </c>
      <c r="F1599" s="35">
        <v>249.0</v>
      </c>
      <c r="G1599" s="35">
        <v>6.15</v>
      </c>
      <c r="H1599" s="35">
        <v>40.5</v>
      </c>
      <c r="I1599" s="35" t="s">
        <v>75</v>
      </c>
    </row>
    <row r="1600" ht="22.5" customHeight="1">
      <c r="A1600" s="35" t="s">
        <v>3438</v>
      </c>
      <c r="B1600" s="35" t="s">
        <v>3439</v>
      </c>
      <c r="C1600" s="35" t="s">
        <v>7757</v>
      </c>
      <c r="D1600" s="35" t="s">
        <v>124</v>
      </c>
      <c r="E1600" s="35" t="s">
        <v>333</v>
      </c>
      <c r="F1600" s="35">
        <v>40761.0</v>
      </c>
      <c r="G1600" s="35">
        <v>53.09</v>
      </c>
      <c r="H1600" s="35">
        <v>767.8</v>
      </c>
      <c r="I1600" s="35" t="s">
        <v>571</v>
      </c>
    </row>
    <row r="1601" ht="22.5" customHeight="1">
      <c r="A1601" s="35" t="s">
        <v>3440</v>
      </c>
      <c r="B1601" s="35" t="s">
        <v>3441</v>
      </c>
      <c r="C1601" s="35" t="s">
        <v>7757</v>
      </c>
      <c r="D1601" s="35" t="s">
        <v>196</v>
      </c>
      <c r="E1601" s="35" t="s">
        <v>514</v>
      </c>
      <c r="F1601" s="35">
        <v>734.0</v>
      </c>
      <c r="G1601" s="35">
        <v>9.73</v>
      </c>
      <c r="H1601" s="35">
        <v>75.4</v>
      </c>
      <c r="I1601" s="35" t="s">
        <v>62</v>
      </c>
    </row>
    <row r="1602" ht="22.5" customHeight="1">
      <c r="A1602" s="35" t="s">
        <v>3442</v>
      </c>
      <c r="B1602" s="35" t="s">
        <v>3443</v>
      </c>
      <c r="C1602" s="35" t="s">
        <v>7757</v>
      </c>
      <c r="D1602" s="35" t="s">
        <v>155</v>
      </c>
      <c r="E1602" s="35" t="s">
        <v>420</v>
      </c>
      <c r="F1602" s="35">
        <v>71.0</v>
      </c>
      <c r="G1602" s="35">
        <v>3.65</v>
      </c>
      <c r="H1602" s="35">
        <v>19.5</v>
      </c>
      <c r="I1602" s="35" t="s">
        <v>75</v>
      </c>
    </row>
    <row r="1603" ht="22.5" customHeight="1">
      <c r="A1603" s="35" t="s">
        <v>3444</v>
      </c>
      <c r="B1603" s="35" t="s">
        <v>3445</v>
      </c>
      <c r="C1603" s="35" t="s">
        <v>7757</v>
      </c>
      <c r="D1603" s="35" t="s">
        <v>176</v>
      </c>
      <c r="E1603" s="35" t="s">
        <v>470</v>
      </c>
      <c r="F1603" s="35">
        <v>357.0</v>
      </c>
      <c r="G1603" s="35">
        <v>3.94</v>
      </c>
      <c r="H1603" s="35">
        <v>90.6</v>
      </c>
      <c r="I1603" s="35" t="s">
        <v>75</v>
      </c>
    </row>
    <row r="1604" ht="22.5" customHeight="1">
      <c r="A1604" s="35" t="s">
        <v>3446</v>
      </c>
      <c r="B1604" s="35" t="s">
        <v>3447</v>
      </c>
      <c r="C1604" s="35" t="s">
        <v>7757</v>
      </c>
      <c r="D1604" s="35" t="s">
        <v>155</v>
      </c>
      <c r="E1604" s="35" t="s">
        <v>420</v>
      </c>
      <c r="F1604" s="35">
        <v>392.0</v>
      </c>
      <c r="G1604" s="35">
        <v>7.21</v>
      </c>
      <c r="H1604" s="35">
        <v>54.4</v>
      </c>
      <c r="I1604" s="35" t="s">
        <v>75</v>
      </c>
    </row>
    <row r="1605" ht="22.5" customHeight="1">
      <c r="A1605" s="35" t="s">
        <v>3448</v>
      </c>
      <c r="B1605" s="35" t="s">
        <v>3449</v>
      </c>
      <c r="C1605" s="35" t="s">
        <v>7757</v>
      </c>
      <c r="D1605" s="35" t="s">
        <v>190</v>
      </c>
      <c r="E1605" s="35" t="s">
        <v>501</v>
      </c>
      <c r="F1605" s="35">
        <v>870.0</v>
      </c>
      <c r="G1605" s="35">
        <v>13.57</v>
      </c>
      <c r="H1605" s="35">
        <v>64.1</v>
      </c>
      <c r="I1605" s="35" t="s">
        <v>62</v>
      </c>
    </row>
    <row r="1606" ht="22.5" customHeight="1">
      <c r="A1606" s="35" t="s">
        <v>3450</v>
      </c>
      <c r="B1606" s="35" t="s">
        <v>3451</v>
      </c>
      <c r="C1606" s="35" t="s">
        <v>7757</v>
      </c>
      <c r="D1606" s="35" t="s">
        <v>231</v>
      </c>
      <c r="E1606" s="35" t="s">
        <v>406</v>
      </c>
      <c r="F1606" s="35">
        <v>554.0</v>
      </c>
      <c r="G1606" s="35">
        <v>3.78</v>
      </c>
      <c r="H1606" s="35">
        <v>146.6</v>
      </c>
      <c r="I1606" s="35" t="s">
        <v>62</v>
      </c>
    </row>
    <row r="1607" ht="22.5" customHeight="1">
      <c r="A1607" s="35" t="s">
        <v>3452</v>
      </c>
      <c r="B1607" s="35" t="s">
        <v>3453</v>
      </c>
      <c r="C1607" s="35" t="s">
        <v>7757</v>
      </c>
      <c r="D1607" s="35" t="s">
        <v>196</v>
      </c>
      <c r="E1607" s="35" t="s">
        <v>514</v>
      </c>
      <c r="F1607" s="35">
        <v>1050.0</v>
      </c>
      <c r="G1607" s="35">
        <v>10.52</v>
      </c>
      <c r="H1607" s="35">
        <v>99.8</v>
      </c>
      <c r="I1607" s="35" t="s">
        <v>62</v>
      </c>
    </row>
    <row r="1608" ht="22.5" customHeight="1">
      <c r="A1608" s="35" t="s">
        <v>3454</v>
      </c>
      <c r="B1608" s="35" t="s">
        <v>3455</v>
      </c>
      <c r="C1608" s="35" t="s">
        <v>7757</v>
      </c>
      <c r="D1608" s="35" t="s">
        <v>173</v>
      </c>
      <c r="E1608" s="35" t="s">
        <v>460</v>
      </c>
      <c r="F1608" s="35">
        <v>592.0</v>
      </c>
      <c r="G1608" s="35">
        <v>3.77</v>
      </c>
      <c r="H1608" s="35">
        <v>157.0</v>
      </c>
      <c r="I1608" s="35" t="s">
        <v>62</v>
      </c>
    </row>
    <row r="1609" ht="22.5" customHeight="1">
      <c r="A1609" s="35" t="s">
        <v>3456</v>
      </c>
      <c r="B1609" s="35" t="s">
        <v>3457</v>
      </c>
      <c r="C1609" s="35" t="s">
        <v>7757</v>
      </c>
      <c r="D1609" s="35" t="s">
        <v>203</v>
      </c>
      <c r="E1609" s="35" t="s">
        <v>524</v>
      </c>
      <c r="F1609" s="35">
        <v>210.0</v>
      </c>
      <c r="G1609" s="35">
        <v>6.43</v>
      </c>
      <c r="H1609" s="35">
        <v>32.7</v>
      </c>
      <c r="I1609" s="35" t="s">
        <v>75</v>
      </c>
    </row>
    <row r="1610" ht="22.5" customHeight="1">
      <c r="A1610" s="35" t="s">
        <v>3458</v>
      </c>
      <c r="B1610" s="35" t="s">
        <v>3459</v>
      </c>
      <c r="C1610" s="35" t="s">
        <v>7757</v>
      </c>
      <c r="D1610" s="35" t="s">
        <v>211</v>
      </c>
      <c r="E1610" s="35" t="s">
        <v>544</v>
      </c>
      <c r="F1610" s="35">
        <v>809.0</v>
      </c>
      <c r="G1610" s="35">
        <v>6.92</v>
      </c>
      <c r="H1610" s="35">
        <v>116.9</v>
      </c>
      <c r="I1610" s="35" t="s">
        <v>62</v>
      </c>
    </row>
    <row r="1611" ht="22.5" customHeight="1">
      <c r="A1611" s="35" t="s">
        <v>3460</v>
      </c>
      <c r="B1611" s="35" t="s">
        <v>3461</v>
      </c>
      <c r="C1611" s="35" t="s">
        <v>7757</v>
      </c>
      <c r="D1611" s="35" t="s">
        <v>228</v>
      </c>
      <c r="E1611" s="35" t="s">
        <v>396</v>
      </c>
      <c r="F1611" s="35">
        <v>581.0</v>
      </c>
      <c r="G1611" s="35">
        <v>5.34</v>
      </c>
      <c r="H1611" s="35">
        <v>108.8</v>
      </c>
      <c r="I1611" s="35" t="s">
        <v>62</v>
      </c>
    </row>
    <row r="1612" ht="22.5" customHeight="1">
      <c r="A1612" s="35" t="s">
        <v>3462</v>
      </c>
      <c r="B1612" s="35" t="s">
        <v>3463</v>
      </c>
      <c r="C1612" s="35" t="s">
        <v>7757</v>
      </c>
      <c r="D1612" s="35" t="s">
        <v>173</v>
      </c>
      <c r="E1612" s="35" t="s">
        <v>460</v>
      </c>
      <c r="F1612" s="35">
        <v>171.0</v>
      </c>
      <c r="G1612" s="35">
        <v>2.62</v>
      </c>
      <c r="H1612" s="35">
        <v>65.3</v>
      </c>
      <c r="I1612" s="35" t="s">
        <v>75</v>
      </c>
    </row>
    <row r="1613" ht="22.5" customHeight="1">
      <c r="A1613" s="35" t="s">
        <v>3464</v>
      </c>
      <c r="B1613" s="35" t="s">
        <v>3465</v>
      </c>
      <c r="C1613" s="35" t="s">
        <v>7757</v>
      </c>
      <c r="D1613" s="35" t="s">
        <v>151</v>
      </c>
      <c r="E1613" s="35" t="s">
        <v>414</v>
      </c>
      <c r="F1613" s="35">
        <v>3915.0</v>
      </c>
      <c r="G1613" s="35">
        <v>7.04</v>
      </c>
      <c r="H1613" s="35">
        <v>556.1</v>
      </c>
      <c r="I1613" s="35" t="s">
        <v>142</v>
      </c>
    </row>
    <row r="1614" ht="22.5" customHeight="1">
      <c r="A1614" s="35" t="s">
        <v>3466</v>
      </c>
      <c r="B1614" s="35" t="s">
        <v>3467</v>
      </c>
      <c r="C1614" s="35" t="s">
        <v>7757</v>
      </c>
      <c r="D1614" s="35" t="s">
        <v>115</v>
      </c>
      <c r="E1614" s="35" t="s">
        <v>129</v>
      </c>
      <c r="F1614" s="35">
        <v>803.0</v>
      </c>
      <c r="G1614" s="35">
        <v>6.35</v>
      </c>
      <c r="H1614" s="35">
        <v>126.5</v>
      </c>
      <c r="I1614" s="35" t="s">
        <v>62</v>
      </c>
    </row>
    <row r="1615" ht="22.5" customHeight="1">
      <c r="A1615" s="35" t="s">
        <v>3468</v>
      </c>
      <c r="B1615" s="35" t="s">
        <v>3469</v>
      </c>
      <c r="C1615" s="35" t="s">
        <v>7757</v>
      </c>
      <c r="D1615" s="35" t="s">
        <v>196</v>
      </c>
      <c r="E1615" s="35" t="s">
        <v>514</v>
      </c>
      <c r="F1615" s="35">
        <v>225.0</v>
      </c>
      <c r="G1615" s="35">
        <v>4.85</v>
      </c>
      <c r="H1615" s="35">
        <v>46.4</v>
      </c>
      <c r="I1615" s="35" t="s">
        <v>75</v>
      </c>
    </row>
    <row r="1616" ht="22.5" customHeight="1">
      <c r="A1616" s="35" t="s">
        <v>3470</v>
      </c>
      <c r="B1616" s="35" t="s">
        <v>3471</v>
      </c>
      <c r="C1616" s="35" t="s">
        <v>7757</v>
      </c>
      <c r="D1616" s="35" t="s">
        <v>115</v>
      </c>
      <c r="E1616" s="35" t="s">
        <v>129</v>
      </c>
      <c r="F1616" s="35">
        <v>36301.0</v>
      </c>
      <c r="G1616" s="35">
        <v>11.07</v>
      </c>
      <c r="H1616" s="35">
        <v>3279.2</v>
      </c>
      <c r="I1616" s="35" t="s">
        <v>571</v>
      </c>
    </row>
    <row r="1617" ht="22.5" customHeight="1">
      <c r="A1617" s="35" t="s">
        <v>3472</v>
      </c>
      <c r="B1617" s="35" t="s">
        <v>3473</v>
      </c>
      <c r="C1617" s="35" t="s">
        <v>7757</v>
      </c>
      <c r="D1617" s="35" t="s">
        <v>195</v>
      </c>
      <c r="E1617" s="35" t="s">
        <v>509</v>
      </c>
      <c r="F1617" s="35">
        <v>14351.0</v>
      </c>
      <c r="G1617" s="35">
        <v>16.46</v>
      </c>
      <c r="H1617" s="35">
        <v>871.9</v>
      </c>
      <c r="I1617" s="35" t="s">
        <v>571</v>
      </c>
    </row>
    <row r="1618" ht="22.5" customHeight="1">
      <c r="A1618" s="35" t="s">
        <v>3474</v>
      </c>
      <c r="B1618" s="35" t="s">
        <v>3475</v>
      </c>
      <c r="C1618" s="35" t="s">
        <v>7757</v>
      </c>
      <c r="D1618" s="35" t="s">
        <v>203</v>
      </c>
      <c r="E1618" s="35" t="s">
        <v>524</v>
      </c>
      <c r="F1618" s="35">
        <v>435.0</v>
      </c>
      <c r="G1618" s="35">
        <v>6.55</v>
      </c>
      <c r="H1618" s="35">
        <v>66.4</v>
      </c>
      <c r="I1618" s="35" t="s">
        <v>75</v>
      </c>
    </row>
    <row r="1619" ht="22.5" customHeight="1">
      <c r="A1619" s="35" t="s">
        <v>3476</v>
      </c>
      <c r="B1619" s="35" t="s">
        <v>3477</v>
      </c>
      <c r="C1619" s="35" t="s">
        <v>7757</v>
      </c>
      <c r="D1619" s="35" t="s">
        <v>131</v>
      </c>
      <c r="E1619" s="35" t="s">
        <v>341</v>
      </c>
      <c r="F1619" s="35">
        <v>3462.0</v>
      </c>
      <c r="G1619" s="35">
        <v>12.33</v>
      </c>
      <c r="H1619" s="35">
        <v>280.8</v>
      </c>
      <c r="I1619" s="35" t="s">
        <v>142</v>
      </c>
    </row>
    <row r="1620" ht="22.5" customHeight="1">
      <c r="A1620" s="35" t="s">
        <v>3478</v>
      </c>
      <c r="B1620" s="35" t="s">
        <v>3479</v>
      </c>
      <c r="C1620" s="35" t="s">
        <v>7757</v>
      </c>
      <c r="D1620" s="35" t="s">
        <v>203</v>
      </c>
      <c r="E1620" s="35" t="s">
        <v>524</v>
      </c>
      <c r="F1620" s="35">
        <v>159.0</v>
      </c>
      <c r="G1620" s="35">
        <v>3.32</v>
      </c>
      <c r="H1620" s="35">
        <v>47.9</v>
      </c>
      <c r="I1620" s="35" t="s">
        <v>75</v>
      </c>
    </row>
    <row r="1621" ht="22.5" customHeight="1">
      <c r="A1621" s="35" t="s">
        <v>3480</v>
      </c>
      <c r="B1621" s="35" t="s">
        <v>3481</v>
      </c>
      <c r="C1621" s="35" t="s">
        <v>7757</v>
      </c>
      <c r="D1621" s="35" t="s">
        <v>159</v>
      </c>
      <c r="E1621" s="35" t="s">
        <v>430</v>
      </c>
      <c r="F1621" s="35">
        <v>488.0</v>
      </c>
      <c r="G1621" s="35">
        <v>8.62</v>
      </c>
      <c r="H1621" s="35">
        <v>56.6</v>
      </c>
      <c r="I1621" s="35" t="s">
        <v>75</v>
      </c>
    </row>
    <row r="1622" ht="22.5" customHeight="1">
      <c r="A1622" s="35" t="s">
        <v>3482</v>
      </c>
      <c r="B1622" s="35" t="s">
        <v>3483</v>
      </c>
      <c r="C1622" s="35" t="s">
        <v>7757</v>
      </c>
      <c r="D1622" s="35" t="s">
        <v>200</v>
      </c>
      <c r="E1622" s="35" t="s">
        <v>494</v>
      </c>
      <c r="F1622" s="35">
        <v>917.0</v>
      </c>
      <c r="G1622" s="35">
        <v>10.67</v>
      </c>
      <c r="H1622" s="35">
        <v>85.9</v>
      </c>
      <c r="I1622" s="35" t="s">
        <v>62</v>
      </c>
    </row>
    <row r="1623" ht="22.5" customHeight="1">
      <c r="A1623" s="35" t="s">
        <v>3484</v>
      </c>
      <c r="B1623" s="35" t="s">
        <v>3485</v>
      </c>
      <c r="C1623" s="35" t="s">
        <v>7757</v>
      </c>
      <c r="D1623" s="35" t="s">
        <v>155</v>
      </c>
      <c r="E1623" s="35" t="s">
        <v>420</v>
      </c>
      <c r="F1623" s="35">
        <v>178.0</v>
      </c>
      <c r="G1623" s="35">
        <v>3.11</v>
      </c>
      <c r="H1623" s="35">
        <v>57.2</v>
      </c>
      <c r="I1623" s="35" t="s">
        <v>75</v>
      </c>
    </row>
    <row r="1624" ht="22.5" customHeight="1">
      <c r="A1624" s="35" t="s">
        <v>3486</v>
      </c>
      <c r="B1624" s="35" t="s">
        <v>3487</v>
      </c>
      <c r="C1624" s="35" t="s">
        <v>7757</v>
      </c>
      <c r="D1624" s="35" t="s">
        <v>155</v>
      </c>
      <c r="E1624" s="35" t="s">
        <v>420</v>
      </c>
      <c r="F1624" s="35">
        <v>231.0</v>
      </c>
      <c r="G1624" s="35">
        <v>11.06</v>
      </c>
      <c r="H1624" s="35">
        <v>20.9</v>
      </c>
      <c r="I1624" s="35" t="s">
        <v>75</v>
      </c>
    </row>
    <row r="1625" ht="22.5" customHeight="1">
      <c r="A1625" s="35" t="s">
        <v>3488</v>
      </c>
      <c r="B1625" s="35" t="s">
        <v>3489</v>
      </c>
      <c r="C1625" s="35" t="s">
        <v>7757</v>
      </c>
      <c r="D1625" s="35" t="s">
        <v>173</v>
      </c>
      <c r="E1625" s="35" t="s">
        <v>460</v>
      </c>
      <c r="F1625" s="35">
        <v>203.0</v>
      </c>
      <c r="G1625" s="35">
        <v>3.28</v>
      </c>
      <c r="H1625" s="35">
        <v>61.9</v>
      </c>
      <c r="I1625" s="35" t="s">
        <v>75</v>
      </c>
    </row>
    <row r="1626" ht="22.5" customHeight="1">
      <c r="A1626" s="35" t="s">
        <v>3490</v>
      </c>
      <c r="B1626" s="35" t="s">
        <v>3491</v>
      </c>
      <c r="C1626" s="35" t="s">
        <v>7757</v>
      </c>
      <c r="D1626" s="35" t="s">
        <v>231</v>
      </c>
      <c r="E1626" s="35" t="s">
        <v>406</v>
      </c>
      <c r="F1626" s="35">
        <v>1092.0</v>
      </c>
      <c r="G1626" s="35">
        <v>5.88</v>
      </c>
      <c r="H1626" s="35">
        <v>185.7</v>
      </c>
      <c r="I1626" s="35" t="s">
        <v>62</v>
      </c>
    </row>
    <row r="1627" ht="22.5" customHeight="1">
      <c r="A1627" s="35" t="s">
        <v>3492</v>
      </c>
      <c r="B1627" s="35" t="s">
        <v>3493</v>
      </c>
      <c r="C1627" s="35" t="s">
        <v>7757</v>
      </c>
      <c r="D1627" s="35" t="s">
        <v>203</v>
      </c>
      <c r="E1627" s="35" t="s">
        <v>524</v>
      </c>
      <c r="F1627" s="35">
        <v>274.0</v>
      </c>
      <c r="G1627" s="35">
        <v>6.29</v>
      </c>
      <c r="H1627" s="35">
        <v>43.6</v>
      </c>
      <c r="I1627" s="35" t="s">
        <v>75</v>
      </c>
    </row>
    <row r="1628" ht="22.5" customHeight="1">
      <c r="A1628" s="35" t="s">
        <v>3494</v>
      </c>
      <c r="B1628" s="35" t="s">
        <v>3495</v>
      </c>
      <c r="C1628" s="35" t="s">
        <v>7757</v>
      </c>
      <c r="D1628" s="35" t="s">
        <v>190</v>
      </c>
      <c r="E1628" s="35" t="s">
        <v>501</v>
      </c>
      <c r="F1628" s="35">
        <v>987.0</v>
      </c>
      <c r="G1628" s="35">
        <v>9.83</v>
      </c>
      <c r="H1628" s="35">
        <v>100.4</v>
      </c>
      <c r="I1628" s="35" t="s">
        <v>62</v>
      </c>
    </row>
    <row r="1629" ht="22.5" customHeight="1">
      <c r="A1629" s="35" t="s">
        <v>3496</v>
      </c>
      <c r="B1629" s="35" t="s">
        <v>3497</v>
      </c>
      <c r="C1629" s="35" t="s">
        <v>7757</v>
      </c>
      <c r="D1629" s="35" t="s">
        <v>173</v>
      </c>
      <c r="E1629" s="35" t="s">
        <v>460</v>
      </c>
      <c r="F1629" s="35">
        <v>2042.0</v>
      </c>
      <c r="G1629" s="35">
        <v>10.08</v>
      </c>
      <c r="H1629" s="35">
        <v>202.6</v>
      </c>
      <c r="I1629" s="35" t="s">
        <v>142</v>
      </c>
    </row>
    <row r="1630" ht="22.5" customHeight="1">
      <c r="A1630" s="35" t="s">
        <v>3498</v>
      </c>
      <c r="B1630" s="35" t="s">
        <v>3499</v>
      </c>
      <c r="C1630" s="35" t="s">
        <v>7757</v>
      </c>
      <c r="D1630" s="35" t="s">
        <v>200</v>
      </c>
      <c r="E1630" s="35" t="s">
        <v>494</v>
      </c>
      <c r="F1630" s="35">
        <v>949.0</v>
      </c>
      <c r="G1630" s="35">
        <v>10.84</v>
      </c>
      <c r="H1630" s="35">
        <v>87.5</v>
      </c>
      <c r="I1630" s="35" t="s">
        <v>62</v>
      </c>
    </row>
    <row r="1631" ht="22.5" customHeight="1">
      <c r="A1631" s="35" t="s">
        <v>3500</v>
      </c>
      <c r="B1631" s="35" t="s">
        <v>3501</v>
      </c>
      <c r="C1631" s="35" t="s">
        <v>7757</v>
      </c>
      <c r="D1631" s="35" t="s">
        <v>195</v>
      </c>
      <c r="E1631" s="35" t="s">
        <v>509</v>
      </c>
      <c r="F1631" s="35">
        <v>323.0</v>
      </c>
      <c r="G1631" s="35">
        <v>7.34</v>
      </c>
      <c r="H1631" s="35">
        <v>44.0</v>
      </c>
      <c r="I1631" s="35" t="s">
        <v>75</v>
      </c>
    </row>
    <row r="1632" ht="22.5" customHeight="1">
      <c r="A1632" s="35" t="s">
        <v>3502</v>
      </c>
      <c r="B1632" s="35" t="s">
        <v>3503</v>
      </c>
      <c r="C1632" s="35" t="s">
        <v>7757</v>
      </c>
      <c r="D1632" s="35" t="s">
        <v>196</v>
      </c>
      <c r="E1632" s="35" t="s">
        <v>514</v>
      </c>
      <c r="F1632" s="35">
        <v>620.0</v>
      </c>
      <c r="G1632" s="35">
        <v>8.59</v>
      </c>
      <c r="H1632" s="35">
        <v>72.2</v>
      </c>
      <c r="I1632" s="35" t="s">
        <v>62</v>
      </c>
    </row>
    <row r="1633" ht="22.5" customHeight="1">
      <c r="A1633" s="35" t="s">
        <v>3504</v>
      </c>
      <c r="B1633" s="35" t="s">
        <v>3505</v>
      </c>
      <c r="C1633" s="35" t="s">
        <v>7757</v>
      </c>
      <c r="D1633" s="35" t="s">
        <v>196</v>
      </c>
      <c r="E1633" s="35" t="s">
        <v>514</v>
      </c>
      <c r="F1633" s="35">
        <v>215.0</v>
      </c>
      <c r="G1633" s="35">
        <v>4.33</v>
      </c>
      <c r="H1633" s="35">
        <v>49.7</v>
      </c>
      <c r="I1633" s="35" t="s">
        <v>75</v>
      </c>
    </row>
    <row r="1634" ht="22.5" customHeight="1">
      <c r="A1634" s="35" t="s">
        <v>3506</v>
      </c>
      <c r="B1634" s="35" t="s">
        <v>3507</v>
      </c>
      <c r="C1634" s="35" t="s">
        <v>7757</v>
      </c>
      <c r="D1634" s="35" t="s">
        <v>159</v>
      </c>
      <c r="E1634" s="35" t="s">
        <v>430</v>
      </c>
      <c r="F1634" s="35">
        <v>198.0</v>
      </c>
      <c r="G1634" s="35">
        <v>8.55</v>
      </c>
      <c r="H1634" s="35">
        <v>23.2</v>
      </c>
      <c r="I1634" s="35" t="s">
        <v>75</v>
      </c>
    </row>
    <row r="1635" ht="22.5" customHeight="1">
      <c r="A1635" s="35" t="s">
        <v>3508</v>
      </c>
      <c r="B1635" s="35" t="s">
        <v>3509</v>
      </c>
      <c r="C1635" s="35" t="s">
        <v>7757</v>
      </c>
      <c r="D1635" s="35" t="s">
        <v>159</v>
      </c>
      <c r="E1635" s="35" t="s">
        <v>430</v>
      </c>
      <c r="F1635" s="35">
        <v>239.0</v>
      </c>
      <c r="G1635" s="35">
        <v>14.44</v>
      </c>
      <c r="H1635" s="35">
        <v>16.6</v>
      </c>
      <c r="I1635" s="35" t="s">
        <v>75</v>
      </c>
    </row>
    <row r="1636" ht="22.5" customHeight="1">
      <c r="A1636" s="35" t="s">
        <v>3510</v>
      </c>
      <c r="B1636" s="35" t="s">
        <v>3511</v>
      </c>
      <c r="C1636" s="35" t="s">
        <v>7757</v>
      </c>
      <c r="D1636" s="35" t="s">
        <v>211</v>
      </c>
      <c r="E1636" s="35" t="s">
        <v>544</v>
      </c>
      <c r="F1636" s="35">
        <v>537.0</v>
      </c>
      <c r="G1636" s="35">
        <v>8.02</v>
      </c>
      <c r="H1636" s="35">
        <v>67.0</v>
      </c>
      <c r="I1636" s="35" t="s">
        <v>62</v>
      </c>
    </row>
    <row r="1637" ht="22.5" customHeight="1">
      <c r="A1637" s="35" t="s">
        <v>3512</v>
      </c>
      <c r="B1637" s="35" t="s">
        <v>3513</v>
      </c>
      <c r="C1637" s="35" t="s">
        <v>7757</v>
      </c>
      <c r="D1637" s="35" t="s">
        <v>176</v>
      </c>
      <c r="E1637" s="35" t="s">
        <v>470</v>
      </c>
      <c r="F1637" s="35">
        <v>1080.0</v>
      </c>
      <c r="G1637" s="35">
        <v>13.97</v>
      </c>
      <c r="H1637" s="35">
        <v>77.3</v>
      </c>
      <c r="I1637" s="35" t="s">
        <v>62</v>
      </c>
    </row>
    <row r="1638" ht="22.5" customHeight="1">
      <c r="A1638" s="35" t="s">
        <v>3514</v>
      </c>
      <c r="B1638" s="35" t="s">
        <v>3515</v>
      </c>
      <c r="C1638" s="35" t="s">
        <v>7757</v>
      </c>
      <c r="D1638" s="35" t="s">
        <v>231</v>
      </c>
      <c r="E1638" s="35" t="s">
        <v>406</v>
      </c>
      <c r="F1638" s="35">
        <v>987.0</v>
      </c>
      <c r="G1638" s="35">
        <v>10.42</v>
      </c>
      <c r="H1638" s="35">
        <v>94.7</v>
      </c>
      <c r="I1638" s="35" t="s">
        <v>62</v>
      </c>
    </row>
    <row r="1639" ht="22.5" customHeight="1">
      <c r="A1639" s="35" t="s">
        <v>3516</v>
      </c>
      <c r="B1639" s="35" t="s">
        <v>3517</v>
      </c>
      <c r="C1639" s="35" t="s">
        <v>7757</v>
      </c>
      <c r="D1639" s="35" t="s">
        <v>196</v>
      </c>
      <c r="E1639" s="35" t="s">
        <v>514</v>
      </c>
      <c r="F1639" s="35">
        <v>376.0</v>
      </c>
      <c r="G1639" s="35">
        <v>8.31</v>
      </c>
      <c r="H1639" s="35">
        <v>45.2</v>
      </c>
      <c r="I1639" s="35" t="s">
        <v>75</v>
      </c>
    </row>
    <row r="1640" ht="22.5" customHeight="1">
      <c r="A1640" s="35" t="s">
        <v>3518</v>
      </c>
      <c r="B1640" s="35" t="s">
        <v>3519</v>
      </c>
      <c r="C1640" s="35" t="s">
        <v>7757</v>
      </c>
      <c r="D1640" s="35" t="s">
        <v>155</v>
      </c>
      <c r="E1640" s="35" t="s">
        <v>420</v>
      </c>
      <c r="F1640" s="35">
        <v>250.0</v>
      </c>
      <c r="G1640" s="35">
        <v>6.12</v>
      </c>
      <c r="H1640" s="35">
        <v>40.8</v>
      </c>
      <c r="I1640" s="35" t="s">
        <v>75</v>
      </c>
    </row>
    <row r="1641" ht="22.5" customHeight="1">
      <c r="A1641" s="35" t="s">
        <v>3520</v>
      </c>
      <c r="B1641" s="35" t="s">
        <v>3521</v>
      </c>
      <c r="C1641" s="35" t="s">
        <v>7757</v>
      </c>
      <c r="D1641" s="35" t="s">
        <v>203</v>
      </c>
      <c r="E1641" s="35" t="s">
        <v>524</v>
      </c>
      <c r="F1641" s="35">
        <v>310.0</v>
      </c>
      <c r="G1641" s="35">
        <v>2.74</v>
      </c>
      <c r="H1641" s="35">
        <v>113.1</v>
      </c>
      <c r="I1641" s="35" t="s">
        <v>75</v>
      </c>
    </row>
    <row r="1642" ht="22.5" customHeight="1">
      <c r="A1642" s="35" t="s">
        <v>3522</v>
      </c>
      <c r="B1642" s="35" t="s">
        <v>3523</v>
      </c>
      <c r="C1642" s="35" t="s">
        <v>7757</v>
      </c>
      <c r="D1642" s="35" t="s">
        <v>203</v>
      </c>
      <c r="E1642" s="35" t="s">
        <v>524</v>
      </c>
      <c r="F1642" s="35">
        <v>248.0</v>
      </c>
      <c r="G1642" s="35">
        <v>2.76</v>
      </c>
      <c r="H1642" s="35">
        <v>89.9</v>
      </c>
      <c r="I1642" s="35" t="s">
        <v>75</v>
      </c>
    </row>
    <row r="1643" ht="22.5" customHeight="1">
      <c r="A1643" s="35" t="s">
        <v>3524</v>
      </c>
      <c r="B1643" s="35" t="s">
        <v>3525</v>
      </c>
      <c r="C1643" s="35" t="s">
        <v>7757</v>
      </c>
      <c r="D1643" s="35" t="s">
        <v>195</v>
      </c>
      <c r="E1643" s="35" t="s">
        <v>509</v>
      </c>
      <c r="F1643" s="35">
        <v>412.0</v>
      </c>
      <c r="G1643" s="35">
        <v>8.58</v>
      </c>
      <c r="H1643" s="35">
        <v>48.0</v>
      </c>
      <c r="I1643" s="35" t="s">
        <v>75</v>
      </c>
    </row>
    <row r="1644" ht="22.5" customHeight="1">
      <c r="A1644" s="35" t="s">
        <v>3526</v>
      </c>
      <c r="B1644" s="35" t="s">
        <v>3527</v>
      </c>
      <c r="C1644" s="35" t="s">
        <v>7757</v>
      </c>
      <c r="D1644" s="35" t="s">
        <v>196</v>
      </c>
      <c r="E1644" s="35" t="s">
        <v>514</v>
      </c>
      <c r="F1644" s="35">
        <v>297.0</v>
      </c>
      <c r="G1644" s="35">
        <v>5.77</v>
      </c>
      <c r="H1644" s="35">
        <v>51.5</v>
      </c>
      <c r="I1644" s="35" t="s">
        <v>75</v>
      </c>
    </row>
    <row r="1645" ht="22.5" customHeight="1">
      <c r="A1645" s="35" t="s">
        <v>3528</v>
      </c>
      <c r="B1645" s="35" t="s">
        <v>3529</v>
      </c>
      <c r="C1645" s="35" t="s">
        <v>7757</v>
      </c>
      <c r="D1645" s="35" t="s">
        <v>159</v>
      </c>
      <c r="E1645" s="35" t="s">
        <v>430</v>
      </c>
      <c r="F1645" s="35">
        <v>48.0</v>
      </c>
      <c r="G1645" s="35">
        <v>1.33</v>
      </c>
      <c r="H1645" s="35">
        <v>36.1</v>
      </c>
      <c r="I1645" s="35" t="s">
        <v>75</v>
      </c>
    </row>
    <row r="1646" ht="22.5" customHeight="1">
      <c r="A1646" s="35" t="s">
        <v>3530</v>
      </c>
      <c r="B1646" s="35" t="s">
        <v>3531</v>
      </c>
      <c r="C1646" s="35" t="s">
        <v>7757</v>
      </c>
      <c r="D1646" s="35" t="s">
        <v>196</v>
      </c>
      <c r="E1646" s="35" t="s">
        <v>514</v>
      </c>
      <c r="F1646" s="35">
        <v>922.0</v>
      </c>
      <c r="G1646" s="35">
        <v>10.97</v>
      </c>
      <c r="H1646" s="35">
        <v>84.0</v>
      </c>
      <c r="I1646" s="35" t="s">
        <v>62</v>
      </c>
    </row>
    <row r="1647" ht="22.5" customHeight="1">
      <c r="A1647" s="35" t="s">
        <v>3532</v>
      </c>
      <c r="B1647" s="35" t="s">
        <v>3533</v>
      </c>
      <c r="C1647" s="35" t="s">
        <v>7757</v>
      </c>
      <c r="D1647" s="35" t="s">
        <v>195</v>
      </c>
      <c r="E1647" s="35" t="s">
        <v>509</v>
      </c>
      <c r="F1647" s="35">
        <v>283.0</v>
      </c>
      <c r="G1647" s="35">
        <v>1.85</v>
      </c>
      <c r="H1647" s="35">
        <v>153.0</v>
      </c>
      <c r="I1647" s="35" t="s">
        <v>75</v>
      </c>
    </row>
    <row r="1648" ht="22.5" customHeight="1">
      <c r="A1648" s="35" t="s">
        <v>3534</v>
      </c>
      <c r="B1648" s="35" t="s">
        <v>3535</v>
      </c>
      <c r="C1648" s="35" t="s">
        <v>7757</v>
      </c>
      <c r="D1648" s="35" t="s">
        <v>211</v>
      </c>
      <c r="E1648" s="35" t="s">
        <v>544</v>
      </c>
      <c r="F1648" s="35">
        <v>121.0</v>
      </c>
      <c r="G1648" s="35">
        <v>4.51</v>
      </c>
      <c r="H1648" s="35">
        <v>26.8</v>
      </c>
      <c r="I1648" s="35" t="s">
        <v>75</v>
      </c>
    </row>
    <row r="1649" ht="22.5" customHeight="1">
      <c r="A1649" s="35" t="s">
        <v>3536</v>
      </c>
      <c r="B1649" s="35" t="s">
        <v>3537</v>
      </c>
      <c r="C1649" s="35" t="s">
        <v>7757</v>
      </c>
      <c r="D1649" s="35" t="s">
        <v>211</v>
      </c>
      <c r="E1649" s="35" t="s">
        <v>544</v>
      </c>
      <c r="F1649" s="35">
        <v>544.0</v>
      </c>
      <c r="G1649" s="35">
        <v>16.99</v>
      </c>
      <c r="H1649" s="35">
        <v>32.0</v>
      </c>
      <c r="I1649" s="35" t="s">
        <v>62</v>
      </c>
    </row>
    <row r="1650" ht="22.5" customHeight="1">
      <c r="A1650" s="35" t="s">
        <v>3538</v>
      </c>
      <c r="B1650" s="35" t="s">
        <v>3539</v>
      </c>
      <c r="C1650" s="35" t="s">
        <v>7757</v>
      </c>
      <c r="D1650" s="35" t="s">
        <v>160</v>
      </c>
      <c r="E1650" s="35" t="s">
        <v>435</v>
      </c>
      <c r="F1650" s="35">
        <v>281.0</v>
      </c>
      <c r="G1650" s="35">
        <v>7.22</v>
      </c>
      <c r="H1650" s="35">
        <v>38.9</v>
      </c>
      <c r="I1650" s="35" t="s">
        <v>75</v>
      </c>
    </row>
    <row r="1651" ht="22.5" customHeight="1">
      <c r="A1651" s="35" t="s">
        <v>3540</v>
      </c>
      <c r="B1651" s="35" t="s">
        <v>3541</v>
      </c>
      <c r="C1651" s="35" t="s">
        <v>7757</v>
      </c>
      <c r="D1651" s="35" t="s">
        <v>211</v>
      </c>
      <c r="E1651" s="35" t="s">
        <v>544</v>
      </c>
      <c r="F1651" s="35">
        <v>598.0</v>
      </c>
      <c r="G1651" s="35">
        <v>8.62</v>
      </c>
      <c r="H1651" s="35">
        <v>69.4</v>
      </c>
      <c r="I1651" s="35" t="s">
        <v>62</v>
      </c>
    </row>
    <row r="1652" ht="22.5" customHeight="1">
      <c r="A1652" s="35" t="s">
        <v>3542</v>
      </c>
      <c r="B1652" s="35" t="s">
        <v>3543</v>
      </c>
      <c r="C1652" s="35" t="s">
        <v>7757</v>
      </c>
      <c r="D1652" s="35" t="s">
        <v>231</v>
      </c>
      <c r="E1652" s="35" t="s">
        <v>406</v>
      </c>
      <c r="F1652" s="35">
        <v>1603.0</v>
      </c>
      <c r="G1652" s="35">
        <v>4.38</v>
      </c>
      <c r="H1652" s="35">
        <v>366.0</v>
      </c>
      <c r="I1652" s="35" t="s">
        <v>62</v>
      </c>
    </row>
    <row r="1653" ht="22.5" customHeight="1">
      <c r="A1653" s="35" t="s">
        <v>3544</v>
      </c>
      <c r="B1653" s="35" t="s">
        <v>3545</v>
      </c>
      <c r="C1653" s="35" t="s">
        <v>7757</v>
      </c>
      <c r="D1653" s="35" t="s">
        <v>195</v>
      </c>
      <c r="E1653" s="35" t="s">
        <v>509</v>
      </c>
      <c r="F1653" s="35">
        <v>906.0</v>
      </c>
      <c r="G1653" s="35">
        <v>16.69</v>
      </c>
      <c r="H1653" s="35">
        <v>54.3</v>
      </c>
      <c r="I1653" s="35" t="s">
        <v>62</v>
      </c>
    </row>
    <row r="1654" ht="22.5" customHeight="1">
      <c r="A1654" s="35" t="s">
        <v>3546</v>
      </c>
      <c r="B1654" s="35" t="s">
        <v>3547</v>
      </c>
      <c r="C1654" s="35" t="s">
        <v>7757</v>
      </c>
      <c r="D1654" s="35" t="s">
        <v>159</v>
      </c>
      <c r="E1654" s="35" t="s">
        <v>430</v>
      </c>
      <c r="F1654" s="35">
        <v>172.0</v>
      </c>
      <c r="G1654" s="35">
        <v>9.03</v>
      </c>
      <c r="H1654" s="35">
        <v>19.0</v>
      </c>
      <c r="I1654" s="35" t="s">
        <v>75</v>
      </c>
    </row>
    <row r="1655" ht="22.5" customHeight="1">
      <c r="A1655" s="35" t="s">
        <v>3548</v>
      </c>
      <c r="B1655" s="35" t="s">
        <v>3549</v>
      </c>
      <c r="C1655" s="35" t="s">
        <v>7757</v>
      </c>
      <c r="D1655" s="35" t="s">
        <v>183</v>
      </c>
      <c r="E1655" s="35" t="s">
        <v>482</v>
      </c>
      <c r="F1655" s="35">
        <v>589.0</v>
      </c>
      <c r="G1655" s="35">
        <v>5.92</v>
      </c>
      <c r="H1655" s="35">
        <v>99.5</v>
      </c>
      <c r="I1655" s="35" t="s">
        <v>62</v>
      </c>
    </row>
    <row r="1656" ht="22.5" customHeight="1">
      <c r="A1656" s="35" t="s">
        <v>3550</v>
      </c>
      <c r="B1656" s="35" t="s">
        <v>3551</v>
      </c>
      <c r="C1656" s="35" t="s">
        <v>7757</v>
      </c>
      <c r="D1656" s="35" t="s">
        <v>203</v>
      </c>
      <c r="E1656" s="35" t="s">
        <v>524</v>
      </c>
      <c r="F1656" s="35">
        <v>185.0</v>
      </c>
      <c r="G1656" s="35">
        <v>3.79</v>
      </c>
      <c r="H1656" s="35">
        <v>48.8</v>
      </c>
      <c r="I1656" s="35" t="s">
        <v>75</v>
      </c>
    </row>
    <row r="1657" ht="22.5" customHeight="1">
      <c r="A1657" s="35" t="s">
        <v>3552</v>
      </c>
      <c r="B1657" s="35" t="s">
        <v>3553</v>
      </c>
      <c r="C1657" s="35" t="s">
        <v>7757</v>
      </c>
      <c r="D1657" s="35" t="s">
        <v>159</v>
      </c>
      <c r="E1657" s="35" t="s">
        <v>430</v>
      </c>
      <c r="F1657" s="35">
        <v>226.0</v>
      </c>
      <c r="G1657" s="35">
        <v>11.76</v>
      </c>
      <c r="H1657" s="35">
        <v>19.2</v>
      </c>
      <c r="I1657" s="35" t="s">
        <v>75</v>
      </c>
    </row>
    <row r="1658" ht="22.5" customHeight="1">
      <c r="A1658" s="35" t="s">
        <v>3554</v>
      </c>
      <c r="B1658" s="35" t="s">
        <v>3555</v>
      </c>
      <c r="C1658" s="35" t="s">
        <v>7757</v>
      </c>
      <c r="D1658" s="35" t="s">
        <v>176</v>
      </c>
      <c r="E1658" s="35" t="s">
        <v>470</v>
      </c>
      <c r="F1658" s="35">
        <v>1623.0</v>
      </c>
      <c r="G1658" s="35">
        <v>7.73</v>
      </c>
      <c r="H1658" s="35">
        <v>210.0</v>
      </c>
      <c r="I1658" s="35" t="s">
        <v>62</v>
      </c>
    </row>
    <row r="1659" ht="22.5" customHeight="1">
      <c r="A1659" s="35" t="s">
        <v>3556</v>
      </c>
      <c r="B1659" s="35" t="s">
        <v>3557</v>
      </c>
      <c r="C1659" s="35" t="s">
        <v>7757</v>
      </c>
      <c r="D1659" s="35" t="s">
        <v>159</v>
      </c>
      <c r="E1659" s="35" t="s">
        <v>430</v>
      </c>
      <c r="F1659" s="35">
        <v>176.0</v>
      </c>
      <c r="G1659" s="35">
        <v>3.36</v>
      </c>
      <c r="H1659" s="35">
        <v>52.4</v>
      </c>
      <c r="I1659" s="35" t="s">
        <v>75</v>
      </c>
    </row>
    <row r="1660" ht="22.5" customHeight="1">
      <c r="A1660" s="35" t="s">
        <v>3558</v>
      </c>
      <c r="B1660" s="35" t="s">
        <v>3559</v>
      </c>
      <c r="C1660" s="35" t="s">
        <v>7757</v>
      </c>
      <c r="D1660" s="35" t="s">
        <v>190</v>
      </c>
      <c r="E1660" s="35" t="s">
        <v>501</v>
      </c>
      <c r="F1660" s="35">
        <v>507.0</v>
      </c>
      <c r="G1660" s="35">
        <v>6.05</v>
      </c>
      <c r="H1660" s="35">
        <v>83.8</v>
      </c>
      <c r="I1660" s="35" t="s">
        <v>62</v>
      </c>
    </row>
    <row r="1661" ht="22.5" customHeight="1">
      <c r="A1661" s="35" t="s">
        <v>3560</v>
      </c>
      <c r="B1661" s="35" t="s">
        <v>3561</v>
      </c>
      <c r="C1661" s="35" t="s">
        <v>7757</v>
      </c>
      <c r="D1661" s="35" t="s">
        <v>155</v>
      </c>
      <c r="E1661" s="35" t="s">
        <v>420</v>
      </c>
      <c r="F1661" s="35">
        <v>732.0</v>
      </c>
      <c r="G1661" s="35">
        <v>9.87</v>
      </c>
      <c r="H1661" s="35">
        <v>74.2</v>
      </c>
      <c r="I1661" s="35" t="s">
        <v>62</v>
      </c>
    </row>
    <row r="1662" ht="22.5" customHeight="1">
      <c r="A1662" s="35" t="s">
        <v>3562</v>
      </c>
      <c r="B1662" s="35" t="s">
        <v>3563</v>
      </c>
      <c r="C1662" s="35" t="s">
        <v>7757</v>
      </c>
      <c r="D1662" s="35" t="s">
        <v>203</v>
      </c>
      <c r="E1662" s="35" t="s">
        <v>524</v>
      </c>
      <c r="F1662" s="35">
        <v>505.0</v>
      </c>
      <c r="G1662" s="35">
        <v>13.64</v>
      </c>
      <c r="H1662" s="35">
        <v>37.0</v>
      </c>
      <c r="I1662" s="35" t="s">
        <v>62</v>
      </c>
    </row>
    <row r="1663" ht="22.5" customHeight="1">
      <c r="A1663" s="35" t="s">
        <v>3564</v>
      </c>
      <c r="B1663" s="35" t="s">
        <v>3565</v>
      </c>
      <c r="C1663" s="35" t="s">
        <v>7757</v>
      </c>
      <c r="D1663" s="35" t="s">
        <v>160</v>
      </c>
      <c r="E1663" s="35" t="s">
        <v>435</v>
      </c>
      <c r="F1663" s="35">
        <v>3664.0</v>
      </c>
      <c r="G1663" s="35">
        <v>8.11</v>
      </c>
      <c r="H1663" s="35">
        <v>451.8</v>
      </c>
      <c r="I1663" s="35" t="s">
        <v>142</v>
      </c>
    </row>
    <row r="1664" ht="22.5" customHeight="1">
      <c r="A1664" s="35" t="s">
        <v>3566</v>
      </c>
      <c r="B1664" s="35" t="s">
        <v>3567</v>
      </c>
      <c r="C1664" s="35" t="s">
        <v>7757</v>
      </c>
      <c r="D1664" s="35" t="s">
        <v>195</v>
      </c>
      <c r="E1664" s="35" t="s">
        <v>509</v>
      </c>
      <c r="F1664" s="35">
        <v>180.0</v>
      </c>
      <c r="G1664" s="35">
        <v>7.19</v>
      </c>
      <c r="H1664" s="35">
        <v>25.0</v>
      </c>
      <c r="I1664" s="35" t="s">
        <v>75</v>
      </c>
    </row>
    <row r="1665" ht="22.5" customHeight="1">
      <c r="A1665" s="35" t="s">
        <v>3568</v>
      </c>
      <c r="B1665" s="35" t="s">
        <v>3569</v>
      </c>
      <c r="C1665" s="35" t="s">
        <v>7757</v>
      </c>
      <c r="D1665" s="35" t="s">
        <v>183</v>
      </c>
      <c r="E1665" s="35" t="s">
        <v>482</v>
      </c>
      <c r="F1665" s="35">
        <v>844.0</v>
      </c>
      <c r="G1665" s="35">
        <v>9.58</v>
      </c>
      <c r="H1665" s="35">
        <v>88.1</v>
      </c>
      <c r="I1665" s="35" t="s">
        <v>62</v>
      </c>
    </row>
    <row r="1666" ht="22.5" customHeight="1">
      <c r="A1666" s="35" t="s">
        <v>3570</v>
      </c>
      <c r="B1666" s="35" t="s">
        <v>3571</v>
      </c>
      <c r="C1666" s="35" t="s">
        <v>7757</v>
      </c>
      <c r="D1666" s="35" t="s">
        <v>195</v>
      </c>
      <c r="E1666" s="35" t="s">
        <v>509</v>
      </c>
      <c r="F1666" s="35">
        <v>411.0</v>
      </c>
      <c r="G1666" s="35">
        <v>10.5</v>
      </c>
      <c r="H1666" s="35">
        <v>39.1</v>
      </c>
      <c r="I1666" s="35" t="s">
        <v>75</v>
      </c>
    </row>
    <row r="1667" ht="22.5" customHeight="1">
      <c r="A1667" s="35" t="s">
        <v>3572</v>
      </c>
      <c r="B1667" s="35" t="s">
        <v>3573</v>
      </c>
      <c r="C1667" s="35" t="s">
        <v>7757</v>
      </c>
      <c r="D1667" s="35" t="s">
        <v>196</v>
      </c>
      <c r="E1667" s="35" t="s">
        <v>514</v>
      </c>
      <c r="F1667" s="35">
        <v>209.0</v>
      </c>
      <c r="G1667" s="35">
        <v>3.03</v>
      </c>
      <c r="H1667" s="35">
        <v>69.0</v>
      </c>
      <c r="I1667" s="35" t="s">
        <v>75</v>
      </c>
    </row>
    <row r="1668" ht="22.5" customHeight="1">
      <c r="A1668" s="35" t="s">
        <v>3574</v>
      </c>
      <c r="B1668" s="35" t="s">
        <v>3575</v>
      </c>
      <c r="C1668" s="35" t="s">
        <v>7757</v>
      </c>
      <c r="D1668" s="35" t="s">
        <v>211</v>
      </c>
      <c r="E1668" s="35" t="s">
        <v>544</v>
      </c>
      <c r="F1668" s="35">
        <v>473.0</v>
      </c>
      <c r="G1668" s="35">
        <v>8.6</v>
      </c>
      <c r="H1668" s="35">
        <v>55.0</v>
      </c>
      <c r="I1668" s="35" t="s">
        <v>75</v>
      </c>
    </row>
    <row r="1669" ht="22.5" customHeight="1">
      <c r="A1669" s="35" t="s">
        <v>3576</v>
      </c>
      <c r="B1669" s="35" t="s">
        <v>3577</v>
      </c>
      <c r="C1669" s="35" t="s">
        <v>7757</v>
      </c>
      <c r="D1669" s="35" t="s">
        <v>160</v>
      </c>
      <c r="E1669" s="35" t="s">
        <v>435</v>
      </c>
      <c r="F1669" s="35">
        <v>233.0</v>
      </c>
      <c r="G1669" s="35">
        <v>2.6</v>
      </c>
      <c r="H1669" s="35">
        <v>89.6</v>
      </c>
      <c r="I1669" s="35" t="s">
        <v>75</v>
      </c>
    </row>
    <row r="1670" ht="22.5" customHeight="1">
      <c r="A1670" s="35" t="s">
        <v>3578</v>
      </c>
      <c r="B1670" s="35" t="s">
        <v>3579</v>
      </c>
      <c r="C1670" s="35" t="s">
        <v>7757</v>
      </c>
      <c r="D1670" s="35" t="s">
        <v>131</v>
      </c>
      <c r="E1670" s="35" t="s">
        <v>341</v>
      </c>
      <c r="F1670" s="35">
        <v>531.0</v>
      </c>
      <c r="G1670" s="35">
        <v>7.24</v>
      </c>
      <c r="H1670" s="35">
        <v>73.3</v>
      </c>
      <c r="I1670" s="35" t="s">
        <v>62</v>
      </c>
    </row>
    <row r="1671" ht="22.5" customHeight="1">
      <c r="A1671" s="35" t="s">
        <v>3580</v>
      </c>
      <c r="B1671" s="35" t="s">
        <v>3581</v>
      </c>
      <c r="C1671" s="35" t="s">
        <v>7757</v>
      </c>
      <c r="D1671" s="35" t="s">
        <v>195</v>
      </c>
      <c r="E1671" s="35" t="s">
        <v>509</v>
      </c>
      <c r="F1671" s="35">
        <v>465.0</v>
      </c>
      <c r="G1671" s="35">
        <v>11.54</v>
      </c>
      <c r="H1671" s="35">
        <v>40.3</v>
      </c>
      <c r="I1671" s="35" t="s">
        <v>75</v>
      </c>
    </row>
    <row r="1672" ht="22.5" customHeight="1">
      <c r="A1672" s="35" t="s">
        <v>3582</v>
      </c>
      <c r="B1672" s="35" t="s">
        <v>3583</v>
      </c>
      <c r="C1672" s="35" t="s">
        <v>7757</v>
      </c>
      <c r="D1672" s="35" t="s">
        <v>203</v>
      </c>
      <c r="E1672" s="35" t="s">
        <v>524</v>
      </c>
      <c r="F1672" s="35">
        <v>435.0</v>
      </c>
      <c r="G1672" s="35">
        <v>4.83</v>
      </c>
      <c r="H1672" s="35">
        <v>90.1</v>
      </c>
      <c r="I1672" s="35" t="s">
        <v>75</v>
      </c>
    </row>
    <row r="1673" ht="22.5" customHeight="1">
      <c r="A1673" s="35" t="s">
        <v>3584</v>
      </c>
      <c r="B1673" s="35" t="s">
        <v>3585</v>
      </c>
      <c r="C1673" s="35" t="s">
        <v>7757</v>
      </c>
      <c r="D1673" s="35" t="s">
        <v>159</v>
      </c>
      <c r="E1673" s="35" t="s">
        <v>430</v>
      </c>
      <c r="F1673" s="35">
        <v>1437.0</v>
      </c>
      <c r="G1673" s="35">
        <v>12.23</v>
      </c>
      <c r="H1673" s="35">
        <v>117.5</v>
      </c>
      <c r="I1673" s="35" t="s">
        <v>62</v>
      </c>
    </row>
    <row r="1674" ht="22.5" customHeight="1">
      <c r="A1674" s="35" t="s">
        <v>3586</v>
      </c>
      <c r="B1674" s="35" t="s">
        <v>3587</v>
      </c>
      <c r="C1674" s="35" t="s">
        <v>7757</v>
      </c>
      <c r="D1674" s="35" t="s">
        <v>183</v>
      </c>
      <c r="E1674" s="35" t="s">
        <v>482</v>
      </c>
      <c r="F1674" s="35">
        <v>2514.0</v>
      </c>
      <c r="G1674" s="35">
        <v>9.84</v>
      </c>
      <c r="H1674" s="35">
        <v>255.5</v>
      </c>
      <c r="I1674" s="35" t="s">
        <v>142</v>
      </c>
    </row>
    <row r="1675" ht="22.5" customHeight="1">
      <c r="A1675" s="35" t="s">
        <v>3588</v>
      </c>
      <c r="B1675" s="35" t="s">
        <v>3589</v>
      </c>
      <c r="C1675" s="35" t="s">
        <v>7757</v>
      </c>
      <c r="D1675" s="35" t="s">
        <v>190</v>
      </c>
      <c r="E1675" s="35" t="s">
        <v>501</v>
      </c>
      <c r="F1675" s="35">
        <v>684.0</v>
      </c>
      <c r="G1675" s="35">
        <v>18.57</v>
      </c>
      <c r="H1675" s="35">
        <v>36.8</v>
      </c>
      <c r="I1675" s="35" t="s">
        <v>62</v>
      </c>
    </row>
    <row r="1676" ht="22.5" customHeight="1">
      <c r="A1676" s="35" t="s">
        <v>3590</v>
      </c>
      <c r="B1676" s="35" t="s">
        <v>3591</v>
      </c>
      <c r="C1676" s="35" t="s">
        <v>7757</v>
      </c>
      <c r="D1676" s="35" t="s">
        <v>200</v>
      </c>
      <c r="E1676" s="35" t="s">
        <v>494</v>
      </c>
      <c r="F1676" s="35">
        <v>225.0</v>
      </c>
      <c r="G1676" s="35">
        <v>3.17</v>
      </c>
      <c r="H1676" s="35">
        <v>71.0</v>
      </c>
      <c r="I1676" s="35" t="s">
        <v>75</v>
      </c>
    </row>
    <row r="1677" ht="22.5" customHeight="1">
      <c r="A1677" s="35" t="s">
        <v>3592</v>
      </c>
      <c r="B1677" s="35" t="s">
        <v>3593</v>
      </c>
      <c r="C1677" s="35" t="s">
        <v>7757</v>
      </c>
      <c r="D1677" s="35" t="s">
        <v>155</v>
      </c>
      <c r="E1677" s="35" t="s">
        <v>420</v>
      </c>
      <c r="F1677" s="35">
        <v>84.0</v>
      </c>
      <c r="G1677" s="35">
        <v>4.8</v>
      </c>
      <c r="H1677" s="35">
        <v>17.5</v>
      </c>
      <c r="I1677" s="35" t="s">
        <v>75</v>
      </c>
    </row>
    <row r="1678" ht="22.5" customHeight="1">
      <c r="A1678" s="35" t="s">
        <v>3594</v>
      </c>
      <c r="B1678" s="35" t="s">
        <v>3595</v>
      </c>
      <c r="C1678" s="35" t="s">
        <v>7757</v>
      </c>
      <c r="D1678" s="35" t="s">
        <v>228</v>
      </c>
      <c r="E1678" s="35" t="s">
        <v>396</v>
      </c>
      <c r="F1678" s="35">
        <v>1910.0</v>
      </c>
      <c r="G1678" s="35">
        <v>12.02</v>
      </c>
      <c r="H1678" s="35">
        <v>158.9</v>
      </c>
      <c r="I1678" s="35" t="s">
        <v>62</v>
      </c>
    </row>
    <row r="1679" ht="22.5" customHeight="1">
      <c r="A1679" s="35" t="s">
        <v>3596</v>
      </c>
      <c r="B1679" s="35" t="s">
        <v>853</v>
      </c>
      <c r="C1679" s="35" t="s">
        <v>7757</v>
      </c>
      <c r="D1679" s="35" t="s">
        <v>211</v>
      </c>
      <c r="E1679" s="35" t="s">
        <v>544</v>
      </c>
      <c r="F1679" s="35">
        <v>592.0</v>
      </c>
      <c r="G1679" s="35">
        <v>6.31</v>
      </c>
      <c r="H1679" s="35">
        <v>93.8</v>
      </c>
      <c r="I1679" s="35" t="s">
        <v>62</v>
      </c>
    </row>
    <row r="1680" ht="22.5" customHeight="1">
      <c r="A1680" s="35" t="s">
        <v>3597</v>
      </c>
      <c r="B1680" s="35" t="s">
        <v>3598</v>
      </c>
      <c r="C1680" s="35" t="s">
        <v>7757</v>
      </c>
      <c r="D1680" s="35" t="s">
        <v>155</v>
      </c>
      <c r="E1680" s="35" t="s">
        <v>420</v>
      </c>
      <c r="F1680" s="35">
        <v>236.0</v>
      </c>
      <c r="G1680" s="35">
        <v>16.36</v>
      </c>
      <c r="H1680" s="35">
        <v>14.4</v>
      </c>
      <c r="I1680" s="35" t="s">
        <v>75</v>
      </c>
    </row>
    <row r="1681" ht="22.5" customHeight="1">
      <c r="A1681" s="35" t="s">
        <v>3599</v>
      </c>
      <c r="B1681" s="35" t="s">
        <v>3600</v>
      </c>
      <c r="C1681" s="35" t="s">
        <v>7757</v>
      </c>
      <c r="D1681" s="35" t="s">
        <v>228</v>
      </c>
      <c r="E1681" s="35" t="s">
        <v>396</v>
      </c>
      <c r="F1681" s="35">
        <v>318.0</v>
      </c>
      <c r="G1681" s="35">
        <v>33.36</v>
      </c>
      <c r="H1681" s="35">
        <v>9.5</v>
      </c>
      <c r="I1681" s="35" t="s">
        <v>75</v>
      </c>
    </row>
    <row r="1682" ht="22.5" customHeight="1">
      <c r="A1682" s="35" t="s">
        <v>3601</v>
      </c>
      <c r="B1682" s="35" t="s">
        <v>3602</v>
      </c>
      <c r="C1682" s="35" t="s">
        <v>7757</v>
      </c>
      <c r="D1682" s="35" t="s">
        <v>159</v>
      </c>
      <c r="E1682" s="35" t="s">
        <v>430</v>
      </c>
      <c r="F1682" s="35">
        <v>502.0</v>
      </c>
      <c r="G1682" s="35">
        <v>6.74</v>
      </c>
      <c r="H1682" s="35">
        <v>74.5</v>
      </c>
      <c r="I1682" s="35" t="s">
        <v>62</v>
      </c>
    </row>
    <row r="1683" ht="22.5" customHeight="1">
      <c r="A1683" s="35" t="s">
        <v>3603</v>
      </c>
      <c r="B1683" s="35" t="s">
        <v>3604</v>
      </c>
      <c r="C1683" s="35" t="s">
        <v>7757</v>
      </c>
      <c r="D1683" s="35" t="s">
        <v>131</v>
      </c>
      <c r="E1683" s="35" t="s">
        <v>341</v>
      </c>
      <c r="F1683" s="35">
        <v>176.0</v>
      </c>
      <c r="G1683" s="35">
        <v>7.28</v>
      </c>
      <c r="H1683" s="35">
        <v>24.2</v>
      </c>
      <c r="I1683" s="35" t="s">
        <v>75</v>
      </c>
    </row>
    <row r="1684" ht="22.5" customHeight="1">
      <c r="A1684" s="35" t="s">
        <v>3605</v>
      </c>
      <c r="B1684" s="35" t="s">
        <v>3606</v>
      </c>
      <c r="C1684" s="35" t="s">
        <v>7757</v>
      </c>
      <c r="D1684" s="35" t="s">
        <v>159</v>
      </c>
      <c r="E1684" s="35" t="s">
        <v>430</v>
      </c>
      <c r="F1684" s="35">
        <v>143.0</v>
      </c>
      <c r="G1684" s="35">
        <v>5.97</v>
      </c>
      <c r="H1684" s="35">
        <v>24.0</v>
      </c>
      <c r="I1684" s="35" t="s">
        <v>75</v>
      </c>
    </row>
    <row r="1685" ht="22.5" customHeight="1">
      <c r="A1685" s="35" t="s">
        <v>3607</v>
      </c>
      <c r="B1685" s="35" t="s">
        <v>3608</v>
      </c>
      <c r="C1685" s="35" t="s">
        <v>7757</v>
      </c>
      <c r="D1685" s="35" t="s">
        <v>159</v>
      </c>
      <c r="E1685" s="35" t="s">
        <v>430</v>
      </c>
      <c r="F1685" s="35">
        <v>2097.0</v>
      </c>
      <c r="G1685" s="35">
        <v>12.73</v>
      </c>
      <c r="H1685" s="35">
        <v>164.7</v>
      </c>
      <c r="I1685" s="35" t="s">
        <v>142</v>
      </c>
    </row>
    <row r="1686" ht="22.5" customHeight="1">
      <c r="A1686" s="35" t="s">
        <v>3609</v>
      </c>
      <c r="B1686" s="35" t="s">
        <v>3610</v>
      </c>
      <c r="C1686" s="35" t="s">
        <v>7757</v>
      </c>
      <c r="D1686" s="35" t="s">
        <v>183</v>
      </c>
      <c r="E1686" s="35" t="s">
        <v>482</v>
      </c>
      <c r="F1686" s="35">
        <v>143.0</v>
      </c>
      <c r="G1686" s="35">
        <v>2.98</v>
      </c>
      <c r="H1686" s="35">
        <v>48.0</v>
      </c>
      <c r="I1686" s="35" t="s">
        <v>75</v>
      </c>
    </row>
    <row r="1687" ht="22.5" customHeight="1">
      <c r="A1687" s="35" t="s">
        <v>3611</v>
      </c>
      <c r="B1687" s="35" t="s">
        <v>3612</v>
      </c>
      <c r="C1687" s="35" t="s">
        <v>7757</v>
      </c>
      <c r="D1687" s="35" t="s">
        <v>159</v>
      </c>
      <c r="E1687" s="35" t="s">
        <v>430</v>
      </c>
      <c r="F1687" s="35">
        <v>210.0</v>
      </c>
      <c r="G1687" s="35">
        <v>4.64</v>
      </c>
      <c r="H1687" s="35">
        <v>45.3</v>
      </c>
      <c r="I1687" s="35" t="s">
        <v>75</v>
      </c>
    </row>
    <row r="1688" ht="22.5" customHeight="1">
      <c r="A1688" s="35" t="s">
        <v>3613</v>
      </c>
      <c r="B1688" s="35" t="s">
        <v>3614</v>
      </c>
      <c r="C1688" s="35" t="s">
        <v>7757</v>
      </c>
      <c r="D1688" s="35" t="s">
        <v>231</v>
      </c>
      <c r="E1688" s="35" t="s">
        <v>406</v>
      </c>
      <c r="F1688" s="35">
        <v>193.0</v>
      </c>
      <c r="G1688" s="35">
        <v>5.18</v>
      </c>
      <c r="H1688" s="35">
        <v>37.3</v>
      </c>
      <c r="I1688" s="35" t="s">
        <v>75</v>
      </c>
    </row>
    <row r="1689" ht="22.5" customHeight="1">
      <c r="A1689" s="35" t="s">
        <v>3615</v>
      </c>
      <c r="B1689" s="35" t="s">
        <v>3616</v>
      </c>
      <c r="C1689" s="35" t="s">
        <v>7757</v>
      </c>
      <c r="D1689" s="35" t="s">
        <v>131</v>
      </c>
      <c r="E1689" s="35" t="s">
        <v>341</v>
      </c>
      <c r="F1689" s="35">
        <v>406.0</v>
      </c>
      <c r="G1689" s="35">
        <v>6.36</v>
      </c>
      <c r="H1689" s="35">
        <v>63.8</v>
      </c>
      <c r="I1689" s="35" t="s">
        <v>75</v>
      </c>
    </row>
    <row r="1690" ht="22.5" customHeight="1">
      <c r="A1690" s="35" t="s">
        <v>3617</v>
      </c>
      <c r="B1690" s="35" t="s">
        <v>3618</v>
      </c>
      <c r="C1690" s="35" t="s">
        <v>7757</v>
      </c>
      <c r="D1690" s="35" t="s">
        <v>131</v>
      </c>
      <c r="E1690" s="35" t="s">
        <v>341</v>
      </c>
      <c r="F1690" s="35">
        <v>305.0</v>
      </c>
      <c r="G1690" s="35">
        <v>10.31</v>
      </c>
      <c r="H1690" s="35">
        <v>29.6</v>
      </c>
      <c r="I1690" s="35" t="s">
        <v>75</v>
      </c>
    </row>
    <row r="1691" ht="22.5" customHeight="1">
      <c r="A1691" s="35" t="s">
        <v>3619</v>
      </c>
      <c r="B1691" s="35" t="s">
        <v>3620</v>
      </c>
      <c r="C1691" s="35" t="s">
        <v>7757</v>
      </c>
      <c r="D1691" s="35" t="s">
        <v>203</v>
      </c>
      <c r="E1691" s="35" t="s">
        <v>524</v>
      </c>
      <c r="F1691" s="35">
        <v>519.0</v>
      </c>
      <c r="G1691" s="35">
        <v>10.93</v>
      </c>
      <c r="H1691" s="35">
        <v>47.5</v>
      </c>
      <c r="I1691" s="35" t="s">
        <v>62</v>
      </c>
    </row>
    <row r="1692" ht="22.5" customHeight="1">
      <c r="A1692" s="35" t="s">
        <v>3621</v>
      </c>
      <c r="B1692" s="35" t="s">
        <v>3622</v>
      </c>
      <c r="C1692" s="35" t="s">
        <v>7757</v>
      </c>
      <c r="D1692" s="35" t="s">
        <v>131</v>
      </c>
      <c r="E1692" s="35" t="s">
        <v>341</v>
      </c>
      <c r="F1692" s="35">
        <v>497.0</v>
      </c>
      <c r="G1692" s="35">
        <v>12.59</v>
      </c>
      <c r="H1692" s="35">
        <v>39.5</v>
      </c>
      <c r="I1692" s="35" t="s">
        <v>75</v>
      </c>
    </row>
    <row r="1693" ht="22.5" customHeight="1">
      <c r="A1693" s="35" t="s">
        <v>3623</v>
      </c>
      <c r="B1693" s="35" t="s">
        <v>3624</v>
      </c>
      <c r="C1693" s="35" t="s">
        <v>7757</v>
      </c>
      <c r="D1693" s="35" t="s">
        <v>160</v>
      </c>
      <c r="E1693" s="35" t="s">
        <v>435</v>
      </c>
      <c r="F1693" s="35">
        <v>543.0</v>
      </c>
      <c r="G1693" s="35">
        <v>8.46</v>
      </c>
      <c r="H1693" s="35">
        <v>64.2</v>
      </c>
      <c r="I1693" s="35" t="s">
        <v>62</v>
      </c>
    </row>
    <row r="1694" ht="22.5" customHeight="1">
      <c r="A1694" s="35" t="s">
        <v>3625</v>
      </c>
      <c r="B1694" s="35" t="s">
        <v>3626</v>
      </c>
      <c r="C1694" s="35" t="s">
        <v>7757</v>
      </c>
      <c r="D1694" s="35" t="s">
        <v>200</v>
      </c>
      <c r="E1694" s="35" t="s">
        <v>494</v>
      </c>
      <c r="F1694" s="35">
        <v>323.0</v>
      </c>
      <c r="G1694" s="35">
        <v>5.98</v>
      </c>
      <c r="H1694" s="35">
        <v>54.0</v>
      </c>
      <c r="I1694" s="35" t="s">
        <v>75</v>
      </c>
    </row>
    <row r="1695" ht="22.5" customHeight="1">
      <c r="A1695" s="35" t="s">
        <v>3627</v>
      </c>
      <c r="B1695" s="35" t="s">
        <v>3628</v>
      </c>
      <c r="C1695" s="35" t="s">
        <v>7757</v>
      </c>
      <c r="D1695" s="35" t="s">
        <v>176</v>
      </c>
      <c r="E1695" s="35" t="s">
        <v>470</v>
      </c>
      <c r="F1695" s="35">
        <v>1326.0</v>
      </c>
      <c r="G1695" s="35">
        <v>17.18</v>
      </c>
      <c r="H1695" s="35">
        <v>77.2</v>
      </c>
      <c r="I1695" s="35" t="s">
        <v>62</v>
      </c>
    </row>
    <row r="1696" ht="22.5" customHeight="1">
      <c r="A1696" s="35" t="s">
        <v>3629</v>
      </c>
      <c r="B1696" s="35" t="s">
        <v>3630</v>
      </c>
      <c r="C1696" s="35" t="s">
        <v>7757</v>
      </c>
      <c r="D1696" s="35" t="s">
        <v>211</v>
      </c>
      <c r="E1696" s="35" t="s">
        <v>544</v>
      </c>
      <c r="F1696" s="35">
        <v>440.0</v>
      </c>
      <c r="G1696" s="35">
        <v>7.38</v>
      </c>
      <c r="H1696" s="35">
        <v>59.6</v>
      </c>
      <c r="I1696" s="35" t="s">
        <v>75</v>
      </c>
    </row>
    <row r="1697" ht="22.5" customHeight="1">
      <c r="A1697" s="35" t="s">
        <v>3631</v>
      </c>
      <c r="B1697" s="35" t="s">
        <v>3632</v>
      </c>
      <c r="C1697" s="35" t="s">
        <v>7757</v>
      </c>
      <c r="D1697" s="35" t="s">
        <v>196</v>
      </c>
      <c r="E1697" s="35" t="s">
        <v>514</v>
      </c>
      <c r="F1697" s="35">
        <v>154.0</v>
      </c>
      <c r="G1697" s="35">
        <v>3.0</v>
      </c>
      <c r="H1697" s="35">
        <v>51.3</v>
      </c>
      <c r="I1697" s="35" t="s">
        <v>75</v>
      </c>
    </row>
    <row r="1698" ht="22.5" customHeight="1">
      <c r="A1698" s="35" t="s">
        <v>3633</v>
      </c>
      <c r="B1698" s="35" t="s">
        <v>3634</v>
      </c>
      <c r="C1698" s="35" t="s">
        <v>7757</v>
      </c>
      <c r="D1698" s="35" t="s">
        <v>231</v>
      </c>
      <c r="E1698" s="35" t="s">
        <v>406</v>
      </c>
      <c r="F1698" s="35">
        <v>871.0</v>
      </c>
      <c r="G1698" s="35">
        <v>6.3</v>
      </c>
      <c r="H1698" s="35">
        <v>138.3</v>
      </c>
      <c r="I1698" s="35" t="s">
        <v>62</v>
      </c>
    </row>
    <row r="1699" ht="22.5" customHeight="1">
      <c r="A1699" s="35" t="s">
        <v>3635</v>
      </c>
      <c r="B1699" s="35" t="s">
        <v>3636</v>
      </c>
      <c r="C1699" s="35" t="s">
        <v>7757</v>
      </c>
      <c r="D1699" s="35" t="s">
        <v>195</v>
      </c>
      <c r="E1699" s="35" t="s">
        <v>509</v>
      </c>
      <c r="F1699" s="35">
        <v>670.0</v>
      </c>
      <c r="G1699" s="35">
        <v>6.82</v>
      </c>
      <c r="H1699" s="35">
        <v>98.2</v>
      </c>
      <c r="I1699" s="35" t="s">
        <v>62</v>
      </c>
    </row>
    <row r="1700" ht="22.5" customHeight="1">
      <c r="A1700" s="35" t="s">
        <v>3637</v>
      </c>
      <c r="B1700" s="35" t="s">
        <v>3638</v>
      </c>
      <c r="C1700" s="35" t="s">
        <v>7757</v>
      </c>
      <c r="D1700" s="35" t="s">
        <v>195</v>
      </c>
      <c r="E1700" s="35" t="s">
        <v>509</v>
      </c>
      <c r="F1700" s="35">
        <v>551.0</v>
      </c>
      <c r="G1700" s="35">
        <v>11.59</v>
      </c>
      <c r="H1700" s="35">
        <v>47.5</v>
      </c>
      <c r="I1700" s="35" t="s">
        <v>62</v>
      </c>
    </row>
    <row r="1701" ht="22.5" customHeight="1">
      <c r="A1701" s="35" t="s">
        <v>3639</v>
      </c>
      <c r="B1701" s="35" t="s">
        <v>3640</v>
      </c>
      <c r="C1701" s="35" t="s">
        <v>7757</v>
      </c>
      <c r="D1701" s="35" t="s">
        <v>203</v>
      </c>
      <c r="E1701" s="35" t="s">
        <v>524</v>
      </c>
      <c r="F1701" s="35">
        <v>224.0</v>
      </c>
      <c r="G1701" s="35">
        <v>8.78</v>
      </c>
      <c r="H1701" s="35">
        <v>25.5</v>
      </c>
      <c r="I1701" s="35" t="s">
        <v>75</v>
      </c>
    </row>
    <row r="1702" ht="22.5" customHeight="1">
      <c r="A1702" s="35" t="s">
        <v>3641</v>
      </c>
      <c r="B1702" s="35" t="s">
        <v>3642</v>
      </c>
      <c r="C1702" s="35" t="s">
        <v>7757</v>
      </c>
      <c r="D1702" s="35" t="s">
        <v>200</v>
      </c>
      <c r="E1702" s="35" t="s">
        <v>494</v>
      </c>
      <c r="F1702" s="35">
        <v>264.0</v>
      </c>
      <c r="G1702" s="35">
        <v>4.99</v>
      </c>
      <c r="H1702" s="35">
        <v>52.9</v>
      </c>
      <c r="I1702" s="35" t="s">
        <v>75</v>
      </c>
    </row>
    <row r="1703" ht="22.5" customHeight="1">
      <c r="A1703" s="35" t="s">
        <v>3643</v>
      </c>
      <c r="B1703" s="35" t="s">
        <v>3644</v>
      </c>
      <c r="C1703" s="35" t="s">
        <v>7757</v>
      </c>
      <c r="D1703" s="35" t="s">
        <v>131</v>
      </c>
      <c r="E1703" s="35" t="s">
        <v>341</v>
      </c>
      <c r="F1703" s="35">
        <v>528.0</v>
      </c>
      <c r="G1703" s="35">
        <v>6.46</v>
      </c>
      <c r="H1703" s="35">
        <v>81.7</v>
      </c>
      <c r="I1703" s="35" t="s">
        <v>62</v>
      </c>
    </row>
    <row r="1704" ht="22.5" customHeight="1">
      <c r="A1704" s="35" t="s">
        <v>3645</v>
      </c>
      <c r="B1704" s="35" t="s">
        <v>3646</v>
      </c>
      <c r="C1704" s="35" t="s">
        <v>7757</v>
      </c>
      <c r="D1704" s="35" t="s">
        <v>155</v>
      </c>
      <c r="E1704" s="35" t="s">
        <v>420</v>
      </c>
      <c r="F1704" s="35">
        <v>962.0</v>
      </c>
      <c r="G1704" s="35">
        <v>6.63</v>
      </c>
      <c r="H1704" s="35">
        <v>145.1</v>
      </c>
      <c r="I1704" s="35" t="s">
        <v>62</v>
      </c>
    </row>
    <row r="1705" ht="22.5" customHeight="1">
      <c r="A1705" s="35" t="s">
        <v>3647</v>
      </c>
      <c r="B1705" s="35" t="s">
        <v>3648</v>
      </c>
      <c r="C1705" s="35" t="s">
        <v>7757</v>
      </c>
      <c r="D1705" s="35" t="s">
        <v>155</v>
      </c>
      <c r="E1705" s="35" t="s">
        <v>420</v>
      </c>
      <c r="F1705" s="35">
        <v>154.0</v>
      </c>
      <c r="G1705" s="35">
        <v>3.49</v>
      </c>
      <c r="H1705" s="35">
        <v>44.1</v>
      </c>
      <c r="I1705" s="35" t="s">
        <v>75</v>
      </c>
    </row>
    <row r="1706" ht="22.5" customHeight="1">
      <c r="A1706" s="35" t="s">
        <v>3649</v>
      </c>
      <c r="B1706" s="35" t="s">
        <v>3650</v>
      </c>
      <c r="C1706" s="35" t="s">
        <v>7757</v>
      </c>
      <c r="D1706" s="35" t="s">
        <v>203</v>
      </c>
      <c r="E1706" s="35" t="s">
        <v>524</v>
      </c>
      <c r="F1706" s="35">
        <v>365.0</v>
      </c>
      <c r="G1706" s="35">
        <v>8.55</v>
      </c>
      <c r="H1706" s="35">
        <v>42.7</v>
      </c>
      <c r="I1706" s="35" t="s">
        <v>75</v>
      </c>
    </row>
    <row r="1707" ht="22.5" customHeight="1">
      <c r="A1707" s="35" t="s">
        <v>3651</v>
      </c>
      <c r="B1707" s="35" t="s">
        <v>3652</v>
      </c>
      <c r="C1707" s="35" t="s">
        <v>7757</v>
      </c>
      <c r="D1707" s="35" t="s">
        <v>159</v>
      </c>
      <c r="E1707" s="35" t="s">
        <v>430</v>
      </c>
      <c r="F1707" s="35">
        <v>347.0</v>
      </c>
      <c r="G1707" s="35">
        <v>5.74</v>
      </c>
      <c r="H1707" s="35">
        <v>60.5</v>
      </c>
      <c r="I1707" s="35" t="s">
        <v>75</v>
      </c>
    </row>
    <row r="1708" ht="22.5" customHeight="1">
      <c r="A1708" s="35" t="s">
        <v>3653</v>
      </c>
      <c r="B1708" s="35" t="s">
        <v>3654</v>
      </c>
      <c r="C1708" s="35" t="s">
        <v>7757</v>
      </c>
      <c r="D1708" s="35" t="s">
        <v>200</v>
      </c>
      <c r="E1708" s="35" t="s">
        <v>494</v>
      </c>
      <c r="F1708" s="35">
        <v>317.0</v>
      </c>
      <c r="G1708" s="35">
        <v>5.16</v>
      </c>
      <c r="H1708" s="35">
        <v>61.4</v>
      </c>
      <c r="I1708" s="35" t="s">
        <v>75</v>
      </c>
    </row>
    <row r="1709" ht="22.5" customHeight="1">
      <c r="A1709" s="35" t="s">
        <v>3655</v>
      </c>
      <c r="B1709" s="35" t="s">
        <v>3656</v>
      </c>
      <c r="C1709" s="35" t="s">
        <v>7757</v>
      </c>
      <c r="D1709" s="35" t="s">
        <v>159</v>
      </c>
      <c r="E1709" s="35" t="s">
        <v>430</v>
      </c>
      <c r="F1709" s="35">
        <v>82.0</v>
      </c>
      <c r="G1709" s="35">
        <v>4.53</v>
      </c>
      <c r="H1709" s="35">
        <v>18.1</v>
      </c>
      <c r="I1709" s="35" t="s">
        <v>75</v>
      </c>
    </row>
    <row r="1710" ht="22.5" customHeight="1">
      <c r="A1710" s="35" t="s">
        <v>3657</v>
      </c>
      <c r="B1710" s="35" t="s">
        <v>3658</v>
      </c>
      <c r="C1710" s="35" t="s">
        <v>7757</v>
      </c>
      <c r="D1710" s="35" t="s">
        <v>195</v>
      </c>
      <c r="E1710" s="35" t="s">
        <v>509</v>
      </c>
      <c r="F1710" s="35">
        <v>626.0</v>
      </c>
      <c r="G1710" s="35">
        <v>6.97</v>
      </c>
      <c r="H1710" s="35">
        <v>89.8</v>
      </c>
      <c r="I1710" s="35" t="s">
        <v>62</v>
      </c>
    </row>
    <row r="1711" ht="22.5" customHeight="1">
      <c r="A1711" s="35" t="s">
        <v>3659</v>
      </c>
      <c r="B1711" s="35" t="s">
        <v>3660</v>
      </c>
      <c r="C1711" s="35" t="s">
        <v>7757</v>
      </c>
      <c r="D1711" s="35" t="s">
        <v>196</v>
      </c>
      <c r="E1711" s="35" t="s">
        <v>514</v>
      </c>
      <c r="F1711" s="35">
        <v>518.0</v>
      </c>
      <c r="G1711" s="35">
        <v>3.58</v>
      </c>
      <c r="H1711" s="35">
        <v>144.7</v>
      </c>
      <c r="I1711" s="35" t="s">
        <v>62</v>
      </c>
    </row>
    <row r="1712" ht="22.5" customHeight="1">
      <c r="A1712" s="35" t="s">
        <v>3661</v>
      </c>
      <c r="B1712" s="35" t="s">
        <v>3662</v>
      </c>
      <c r="C1712" s="35" t="s">
        <v>7757</v>
      </c>
      <c r="D1712" s="35" t="s">
        <v>195</v>
      </c>
      <c r="E1712" s="35" t="s">
        <v>509</v>
      </c>
      <c r="F1712" s="35">
        <v>356.0</v>
      </c>
      <c r="G1712" s="35">
        <v>5.42</v>
      </c>
      <c r="H1712" s="35">
        <v>65.7</v>
      </c>
      <c r="I1712" s="35" t="s">
        <v>75</v>
      </c>
    </row>
    <row r="1713" ht="22.5" customHeight="1">
      <c r="A1713" s="35" t="s">
        <v>3663</v>
      </c>
      <c r="B1713" s="35" t="s">
        <v>3664</v>
      </c>
      <c r="C1713" s="35" t="s">
        <v>7757</v>
      </c>
      <c r="D1713" s="35" t="s">
        <v>159</v>
      </c>
      <c r="E1713" s="35" t="s">
        <v>430</v>
      </c>
      <c r="F1713" s="35">
        <v>216.0</v>
      </c>
      <c r="G1713" s="35">
        <v>3.64</v>
      </c>
      <c r="H1713" s="35">
        <v>59.3</v>
      </c>
      <c r="I1713" s="35" t="s">
        <v>75</v>
      </c>
    </row>
    <row r="1714" ht="22.5" customHeight="1">
      <c r="A1714" s="35" t="s">
        <v>3665</v>
      </c>
      <c r="B1714" s="35" t="s">
        <v>3666</v>
      </c>
      <c r="C1714" s="35" t="s">
        <v>7757</v>
      </c>
      <c r="D1714" s="35" t="s">
        <v>203</v>
      </c>
      <c r="E1714" s="35" t="s">
        <v>524</v>
      </c>
      <c r="F1714" s="35">
        <v>196.0</v>
      </c>
      <c r="G1714" s="35">
        <v>5.17</v>
      </c>
      <c r="H1714" s="35">
        <v>37.9</v>
      </c>
      <c r="I1714" s="35" t="s">
        <v>75</v>
      </c>
    </row>
    <row r="1715" ht="22.5" customHeight="1">
      <c r="A1715" s="35" t="s">
        <v>3667</v>
      </c>
      <c r="B1715" s="35" t="s">
        <v>3668</v>
      </c>
      <c r="C1715" s="35" t="s">
        <v>7757</v>
      </c>
      <c r="D1715" s="35" t="s">
        <v>131</v>
      </c>
      <c r="E1715" s="35" t="s">
        <v>341</v>
      </c>
      <c r="F1715" s="35">
        <v>1552.0</v>
      </c>
      <c r="G1715" s="35">
        <v>6.55</v>
      </c>
      <c r="H1715" s="35">
        <v>236.9</v>
      </c>
      <c r="I1715" s="35" t="s">
        <v>62</v>
      </c>
    </row>
    <row r="1716" ht="22.5" customHeight="1">
      <c r="A1716" s="35" t="s">
        <v>3669</v>
      </c>
      <c r="B1716" s="35" t="s">
        <v>3670</v>
      </c>
      <c r="C1716" s="35" t="s">
        <v>7757</v>
      </c>
      <c r="D1716" s="35" t="s">
        <v>200</v>
      </c>
      <c r="E1716" s="35" t="s">
        <v>494</v>
      </c>
      <c r="F1716" s="35">
        <v>409.0</v>
      </c>
      <c r="G1716" s="35">
        <v>4.13</v>
      </c>
      <c r="H1716" s="35">
        <v>99.0</v>
      </c>
      <c r="I1716" s="35" t="s">
        <v>75</v>
      </c>
    </row>
    <row r="1717" ht="22.5" customHeight="1">
      <c r="A1717" s="35" t="s">
        <v>3671</v>
      </c>
      <c r="B1717" s="35" t="s">
        <v>3672</v>
      </c>
      <c r="C1717" s="35" t="s">
        <v>7757</v>
      </c>
      <c r="D1717" s="35" t="s">
        <v>195</v>
      </c>
      <c r="E1717" s="35" t="s">
        <v>509</v>
      </c>
      <c r="F1717" s="35">
        <v>233.0</v>
      </c>
      <c r="G1717" s="35">
        <v>7.09</v>
      </c>
      <c r="H1717" s="35">
        <v>32.9</v>
      </c>
      <c r="I1717" s="35" t="s">
        <v>75</v>
      </c>
    </row>
    <row r="1718" ht="22.5" customHeight="1">
      <c r="A1718" s="35" t="s">
        <v>3673</v>
      </c>
      <c r="B1718" s="35" t="s">
        <v>3674</v>
      </c>
      <c r="C1718" s="35" t="s">
        <v>7757</v>
      </c>
      <c r="D1718" s="35" t="s">
        <v>159</v>
      </c>
      <c r="E1718" s="35" t="s">
        <v>430</v>
      </c>
      <c r="F1718" s="35">
        <v>102.0</v>
      </c>
      <c r="G1718" s="35">
        <v>2.22</v>
      </c>
      <c r="H1718" s="35">
        <v>45.9</v>
      </c>
      <c r="I1718" s="35" t="s">
        <v>75</v>
      </c>
    </row>
    <row r="1719" ht="22.5" customHeight="1">
      <c r="A1719" s="35" t="s">
        <v>3675</v>
      </c>
      <c r="B1719" s="35" t="s">
        <v>3676</v>
      </c>
      <c r="C1719" s="35" t="s">
        <v>7757</v>
      </c>
      <c r="D1719" s="35" t="s">
        <v>196</v>
      </c>
      <c r="E1719" s="35" t="s">
        <v>514</v>
      </c>
      <c r="F1719" s="35">
        <v>515.0</v>
      </c>
      <c r="G1719" s="35">
        <v>14.87</v>
      </c>
      <c r="H1719" s="35">
        <v>34.6</v>
      </c>
      <c r="I1719" s="35" t="s">
        <v>62</v>
      </c>
    </row>
    <row r="1720" ht="22.5" customHeight="1">
      <c r="A1720" s="35" t="s">
        <v>3677</v>
      </c>
      <c r="B1720" s="35" t="s">
        <v>3678</v>
      </c>
      <c r="C1720" s="35" t="s">
        <v>7757</v>
      </c>
      <c r="D1720" s="35" t="s">
        <v>151</v>
      </c>
      <c r="E1720" s="35" t="s">
        <v>414</v>
      </c>
      <c r="F1720" s="35">
        <v>8867.0</v>
      </c>
      <c r="G1720" s="35">
        <v>23.35</v>
      </c>
      <c r="H1720" s="35">
        <v>379.7</v>
      </c>
      <c r="I1720" s="35" t="s">
        <v>142</v>
      </c>
    </row>
    <row r="1721" ht="22.5" customHeight="1">
      <c r="A1721" s="35" t="s">
        <v>3679</v>
      </c>
      <c r="B1721" s="35" t="s">
        <v>3680</v>
      </c>
      <c r="C1721" s="35" t="s">
        <v>7757</v>
      </c>
      <c r="D1721" s="35" t="s">
        <v>155</v>
      </c>
      <c r="E1721" s="35" t="s">
        <v>420</v>
      </c>
      <c r="F1721" s="35">
        <v>15.0</v>
      </c>
      <c r="G1721" s="35">
        <v>3.05</v>
      </c>
      <c r="H1721" s="35">
        <v>4.9</v>
      </c>
      <c r="I1721" s="35" t="s">
        <v>75</v>
      </c>
    </row>
    <row r="1722" ht="22.5" customHeight="1">
      <c r="A1722" s="35" t="s">
        <v>3681</v>
      </c>
      <c r="B1722" s="35" t="s">
        <v>3682</v>
      </c>
      <c r="C1722" s="35" t="s">
        <v>7757</v>
      </c>
      <c r="D1722" s="35" t="s">
        <v>160</v>
      </c>
      <c r="E1722" s="35" t="s">
        <v>435</v>
      </c>
      <c r="F1722" s="35">
        <v>1829.0</v>
      </c>
      <c r="G1722" s="35">
        <v>10.73</v>
      </c>
      <c r="H1722" s="35">
        <v>170.5</v>
      </c>
      <c r="I1722" s="35" t="s">
        <v>62</v>
      </c>
    </row>
    <row r="1723" ht="22.5" customHeight="1">
      <c r="A1723" s="35" t="s">
        <v>3683</v>
      </c>
      <c r="B1723" s="35" t="s">
        <v>3684</v>
      </c>
      <c r="C1723" s="35" t="s">
        <v>7757</v>
      </c>
      <c r="D1723" s="35" t="s">
        <v>203</v>
      </c>
      <c r="E1723" s="35" t="s">
        <v>524</v>
      </c>
      <c r="F1723" s="35">
        <v>297.0</v>
      </c>
      <c r="G1723" s="35">
        <v>6.65</v>
      </c>
      <c r="H1723" s="35">
        <v>44.7</v>
      </c>
      <c r="I1723" s="35" t="s">
        <v>75</v>
      </c>
    </row>
    <row r="1724" ht="22.5" customHeight="1">
      <c r="A1724" s="35" t="s">
        <v>3685</v>
      </c>
      <c r="B1724" s="35" t="s">
        <v>3686</v>
      </c>
      <c r="C1724" s="35" t="s">
        <v>7757</v>
      </c>
      <c r="D1724" s="35" t="s">
        <v>159</v>
      </c>
      <c r="E1724" s="35" t="s">
        <v>430</v>
      </c>
      <c r="F1724" s="35">
        <v>2786.0</v>
      </c>
      <c r="G1724" s="35">
        <v>6.63</v>
      </c>
      <c r="H1724" s="35">
        <v>420.2</v>
      </c>
      <c r="I1724" s="35" t="s">
        <v>142</v>
      </c>
    </row>
    <row r="1725" ht="22.5" customHeight="1">
      <c r="A1725" s="35" t="s">
        <v>3687</v>
      </c>
      <c r="B1725" s="35" t="s">
        <v>3688</v>
      </c>
      <c r="C1725" s="35" t="s">
        <v>7757</v>
      </c>
      <c r="D1725" s="35" t="s">
        <v>200</v>
      </c>
      <c r="E1725" s="35" t="s">
        <v>494</v>
      </c>
      <c r="F1725" s="35">
        <v>371.0</v>
      </c>
      <c r="G1725" s="35">
        <v>7.39</v>
      </c>
      <c r="H1725" s="35">
        <v>50.2</v>
      </c>
      <c r="I1725" s="35" t="s">
        <v>75</v>
      </c>
    </row>
    <row r="1726" ht="22.5" customHeight="1">
      <c r="A1726" s="35" t="s">
        <v>3689</v>
      </c>
      <c r="B1726" s="35" t="s">
        <v>3690</v>
      </c>
      <c r="C1726" s="35" t="s">
        <v>7757</v>
      </c>
      <c r="D1726" s="35" t="s">
        <v>159</v>
      </c>
      <c r="E1726" s="35" t="s">
        <v>430</v>
      </c>
      <c r="F1726" s="35">
        <v>478.0</v>
      </c>
      <c r="G1726" s="35">
        <v>6.86</v>
      </c>
      <c r="H1726" s="35">
        <v>69.7</v>
      </c>
      <c r="I1726" s="35" t="s">
        <v>75</v>
      </c>
    </row>
    <row r="1727" ht="22.5" customHeight="1">
      <c r="A1727" s="35" t="s">
        <v>3691</v>
      </c>
      <c r="B1727" s="35" t="s">
        <v>3692</v>
      </c>
      <c r="C1727" s="35" t="s">
        <v>7757</v>
      </c>
      <c r="D1727" s="35" t="s">
        <v>159</v>
      </c>
      <c r="E1727" s="35" t="s">
        <v>430</v>
      </c>
      <c r="F1727" s="35">
        <v>272.0</v>
      </c>
      <c r="G1727" s="35">
        <v>5.88</v>
      </c>
      <c r="H1727" s="35">
        <v>46.3</v>
      </c>
      <c r="I1727" s="35" t="s">
        <v>75</v>
      </c>
    </row>
    <row r="1728" ht="22.5" customHeight="1">
      <c r="A1728" s="35" t="s">
        <v>3693</v>
      </c>
      <c r="B1728" s="35" t="s">
        <v>3694</v>
      </c>
      <c r="C1728" s="35" t="s">
        <v>7757</v>
      </c>
      <c r="D1728" s="35" t="s">
        <v>131</v>
      </c>
      <c r="E1728" s="35" t="s">
        <v>341</v>
      </c>
      <c r="F1728" s="35">
        <v>385.0</v>
      </c>
      <c r="G1728" s="35">
        <v>4.6</v>
      </c>
      <c r="H1728" s="35">
        <v>83.7</v>
      </c>
      <c r="I1728" s="35" t="s">
        <v>75</v>
      </c>
    </row>
    <row r="1729" ht="22.5" customHeight="1">
      <c r="A1729" s="35" t="s">
        <v>3695</v>
      </c>
      <c r="B1729" s="35" t="s">
        <v>3696</v>
      </c>
      <c r="C1729" s="35" t="s">
        <v>7757</v>
      </c>
      <c r="D1729" s="35" t="s">
        <v>200</v>
      </c>
      <c r="E1729" s="35" t="s">
        <v>494</v>
      </c>
      <c r="F1729" s="35">
        <v>1749.0</v>
      </c>
      <c r="G1729" s="35">
        <v>20.52</v>
      </c>
      <c r="H1729" s="35">
        <v>85.2</v>
      </c>
      <c r="I1729" s="35" t="s">
        <v>62</v>
      </c>
    </row>
    <row r="1730" ht="22.5" customHeight="1">
      <c r="A1730" s="35" t="s">
        <v>3697</v>
      </c>
      <c r="B1730" s="35" t="s">
        <v>3698</v>
      </c>
      <c r="C1730" s="35" t="s">
        <v>7757</v>
      </c>
      <c r="D1730" s="35" t="s">
        <v>196</v>
      </c>
      <c r="E1730" s="35" t="s">
        <v>514</v>
      </c>
      <c r="F1730" s="35">
        <v>232.0</v>
      </c>
      <c r="G1730" s="35">
        <v>5.03</v>
      </c>
      <c r="H1730" s="35">
        <v>46.1</v>
      </c>
      <c r="I1730" s="35" t="s">
        <v>75</v>
      </c>
    </row>
    <row r="1731" ht="22.5" customHeight="1">
      <c r="A1731" s="35" t="s">
        <v>3699</v>
      </c>
      <c r="B1731" s="35" t="s">
        <v>3700</v>
      </c>
      <c r="C1731" s="35" t="s">
        <v>7757</v>
      </c>
      <c r="D1731" s="35" t="s">
        <v>211</v>
      </c>
      <c r="E1731" s="35" t="s">
        <v>544</v>
      </c>
      <c r="F1731" s="35">
        <v>376.0</v>
      </c>
      <c r="G1731" s="35">
        <v>8.63</v>
      </c>
      <c r="H1731" s="35">
        <v>43.6</v>
      </c>
      <c r="I1731" s="35" t="s">
        <v>75</v>
      </c>
    </row>
    <row r="1732" ht="22.5" customHeight="1">
      <c r="A1732" s="35" t="s">
        <v>3701</v>
      </c>
      <c r="B1732" s="35" t="s">
        <v>3702</v>
      </c>
      <c r="C1732" s="35" t="s">
        <v>7757</v>
      </c>
      <c r="D1732" s="35" t="s">
        <v>196</v>
      </c>
      <c r="E1732" s="35" t="s">
        <v>514</v>
      </c>
      <c r="F1732" s="35">
        <v>82.0</v>
      </c>
      <c r="G1732" s="35">
        <v>3.0</v>
      </c>
      <c r="H1732" s="35">
        <v>27.3</v>
      </c>
      <c r="I1732" s="35" t="s">
        <v>75</v>
      </c>
    </row>
    <row r="1733" ht="22.5" customHeight="1">
      <c r="A1733" s="35" t="s">
        <v>3703</v>
      </c>
      <c r="B1733" s="35" t="s">
        <v>3704</v>
      </c>
      <c r="C1733" s="35" t="s">
        <v>7757</v>
      </c>
      <c r="D1733" s="35" t="s">
        <v>159</v>
      </c>
      <c r="E1733" s="35" t="s">
        <v>430</v>
      </c>
      <c r="F1733" s="35">
        <v>438.0</v>
      </c>
      <c r="G1733" s="35">
        <v>3.83</v>
      </c>
      <c r="H1733" s="35">
        <v>114.4</v>
      </c>
      <c r="I1733" s="35" t="s">
        <v>75</v>
      </c>
    </row>
    <row r="1734" ht="22.5" customHeight="1">
      <c r="A1734" s="35" t="s">
        <v>3705</v>
      </c>
      <c r="B1734" s="35" t="s">
        <v>3706</v>
      </c>
      <c r="C1734" s="35" t="s">
        <v>7757</v>
      </c>
      <c r="D1734" s="35" t="s">
        <v>159</v>
      </c>
      <c r="E1734" s="35" t="s">
        <v>430</v>
      </c>
      <c r="F1734" s="35">
        <v>132.0</v>
      </c>
      <c r="G1734" s="35">
        <v>9.55</v>
      </c>
      <c r="H1734" s="35">
        <v>13.8</v>
      </c>
      <c r="I1734" s="35" t="s">
        <v>75</v>
      </c>
    </row>
    <row r="1735" ht="22.5" customHeight="1">
      <c r="A1735" s="35" t="s">
        <v>3707</v>
      </c>
      <c r="B1735" s="35" t="s">
        <v>3708</v>
      </c>
      <c r="C1735" s="35" t="s">
        <v>7757</v>
      </c>
      <c r="D1735" s="35" t="s">
        <v>159</v>
      </c>
      <c r="E1735" s="35" t="s">
        <v>430</v>
      </c>
      <c r="F1735" s="35">
        <v>180.0</v>
      </c>
      <c r="G1735" s="35">
        <v>7.85</v>
      </c>
      <c r="H1735" s="35">
        <v>22.9</v>
      </c>
      <c r="I1735" s="35" t="s">
        <v>75</v>
      </c>
    </row>
    <row r="1736" ht="22.5" customHeight="1">
      <c r="A1736" s="35" t="s">
        <v>3709</v>
      </c>
      <c r="B1736" s="35" t="s">
        <v>3710</v>
      </c>
      <c r="C1736" s="35" t="s">
        <v>7757</v>
      </c>
      <c r="D1736" s="35" t="s">
        <v>159</v>
      </c>
      <c r="E1736" s="35" t="s">
        <v>430</v>
      </c>
      <c r="F1736" s="35">
        <v>654.0</v>
      </c>
      <c r="G1736" s="35">
        <v>5.87</v>
      </c>
      <c r="H1736" s="35">
        <v>111.4</v>
      </c>
      <c r="I1736" s="35" t="s">
        <v>62</v>
      </c>
    </row>
    <row r="1737" ht="22.5" customHeight="1">
      <c r="A1737" s="35" t="s">
        <v>3711</v>
      </c>
      <c r="B1737" s="35" t="s">
        <v>3712</v>
      </c>
      <c r="C1737" s="35" t="s">
        <v>7757</v>
      </c>
      <c r="D1737" s="35" t="s">
        <v>155</v>
      </c>
      <c r="E1737" s="35" t="s">
        <v>420</v>
      </c>
      <c r="F1737" s="35">
        <v>548.0</v>
      </c>
      <c r="G1737" s="35">
        <v>9.69</v>
      </c>
      <c r="H1737" s="35">
        <v>56.6</v>
      </c>
      <c r="I1737" s="35" t="s">
        <v>62</v>
      </c>
    </row>
    <row r="1738" ht="22.5" customHeight="1">
      <c r="A1738" s="35" t="s">
        <v>3713</v>
      </c>
      <c r="B1738" s="35" t="s">
        <v>3714</v>
      </c>
      <c r="C1738" s="35" t="s">
        <v>7757</v>
      </c>
      <c r="D1738" s="35" t="s">
        <v>159</v>
      </c>
      <c r="E1738" s="35" t="s">
        <v>430</v>
      </c>
      <c r="F1738" s="35">
        <v>133.0</v>
      </c>
      <c r="G1738" s="35">
        <v>3.91</v>
      </c>
      <c r="H1738" s="35">
        <v>34.0</v>
      </c>
      <c r="I1738" s="35" t="s">
        <v>75</v>
      </c>
    </row>
    <row r="1739" ht="22.5" customHeight="1">
      <c r="A1739" s="35" t="s">
        <v>3715</v>
      </c>
      <c r="B1739" s="35" t="s">
        <v>3716</v>
      </c>
      <c r="C1739" s="35" t="s">
        <v>7757</v>
      </c>
      <c r="D1739" s="35" t="s">
        <v>131</v>
      </c>
      <c r="E1739" s="35" t="s">
        <v>341</v>
      </c>
      <c r="F1739" s="35">
        <v>773.0</v>
      </c>
      <c r="G1739" s="35">
        <v>9.85</v>
      </c>
      <c r="H1739" s="35">
        <v>78.5</v>
      </c>
      <c r="I1739" s="35" t="s">
        <v>62</v>
      </c>
    </row>
    <row r="1740" ht="22.5" customHeight="1">
      <c r="A1740" s="35" t="s">
        <v>3717</v>
      </c>
      <c r="B1740" s="35" t="s">
        <v>3718</v>
      </c>
      <c r="C1740" s="35" t="s">
        <v>7757</v>
      </c>
      <c r="D1740" s="35" t="s">
        <v>159</v>
      </c>
      <c r="E1740" s="35" t="s">
        <v>430</v>
      </c>
      <c r="F1740" s="35">
        <v>187.0</v>
      </c>
      <c r="G1740" s="35">
        <v>4.29</v>
      </c>
      <c r="H1740" s="35">
        <v>43.6</v>
      </c>
      <c r="I1740" s="35" t="s">
        <v>75</v>
      </c>
    </row>
    <row r="1741" ht="22.5" customHeight="1">
      <c r="A1741" s="35" t="s">
        <v>3719</v>
      </c>
      <c r="B1741" s="35" t="s">
        <v>3720</v>
      </c>
      <c r="C1741" s="35" t="s">
        <v>7757</v>
      </c>
      <c r="D1741" s="35" t="s">
        <v>159</v>
      </c>
      <c r="E1741" s="35" t="s">
        <v>430</v>
      </c>
      <c r="F1741" s="35">
        <v>253.0</v>
      </c>
      <c r="G1741" s="35">
        <v>6.79</v>
      </c>
      <c r="H1741" s="35">
        <v>37.3</v>
      </c>
      <c r="I1741" s="35" t="s">
        <v>75</v>
      </c>
    </row>
    <row r="1742" ht="22.5" customHeight="1">
      <c r="A1742" s="35" t="s">
        <v>3721</v>
      </c>
      <c r="B1742" s="35" t="s">
        <v>3722</v>
      </c>
      <c r="C1742" s="35" t="s">
        <v>7757</v>
      </c>
      <c r="D1742" s="35" t="s">
        <v>173</v>
      </c>
      <c r="E1742" s="35" t="s">
        <v>460</v>
      </c>
      <c r="F1742" s="35">
        <v>345.0</v>
      </c>
      <c r="G1742" s="35">
        <v>5.56</v>
      </c>
      <c r="H1742" s="35">
        <v>62.1</v>
      </c>
      <c r="I1742" s="35" t="s">
        <v>75</v>
      </c>
    </row>
    <row r="1743" ht="22.5" customHeight="1">
      <c r="A1743" s="35" t="s">
        <v>3723</v>
      </c>
      <c r="B1743" s="35" t="s">
        <v>3724</v>
      </c>
      <c r="C1743" s="35" t="s">
        <v>7757</v>
      </c>
      <c r="D1743" s="35" t="s">
        <v>159</v>
      </c>
      <c r="E1743" s="35" t="s">
        <v>430</v>
      </c>
      <c r="F1743" s="35">
        <v>149.0</v>
      </c>
      <c r="G1743" s="35">
        <v>7.5</v>
      </c>
      <c r="H1743" s="35">
        <v>19.9</v>
      </c>
      <c r="I1743" s="35" t="s">
        <v>75</v>
      </c>
    </row>
    <row r="1744" ht="22.5" customHeight="1">
      <c r="A1744" s="35" t="s">
        <v>3725</v>
      </c>
      <c r="B1744" s="35" t="s">
        <v>3726</v>
      </c>
      <c r="C1744" s="35" t="s">
        <v>7757</v>
      </c>
      <c r="D1744" s="35" t="s">
        <v>231</v>
      </c>
      <c r="E1744" s="35" t="s">
        <v>406</v>
      </c>
      <c r="F1744" s="35">
        <v>644.0</v>
      </c>
      <c r="G1744" s="35">
        <v>6.03</v>
      </c>
      <c r="H1744" s="35">
        <v>106.8</v>
      </c>
      <c r="I1744" s="35" t="s">
        <v>62</v>
      </c>
    </row>
    <row r="1745" ht="22.5" customHeight="1">
      <c r="A1745" s="35" t="s">
        <v>3727</v>
      </c>
      <c r="B1745" s="35" t="s">
        <v>3728</v>
      </c>
      <c r="C1745" s="35" t="s">
        <v>7757</v>
      </c>
      <c r="D1745" s="35" t="s">
        <v>160</v>
      </c>
      <c r="E1745" s="35" t="s">
        <v>435</v>
      </c>
      <c r="F1745" s="35">
        <v>463.0</v>
      </c>
      <c r="G1745" s="35">
        <v>6.98</v>
      </c>
      <c r="H1745" s="35">
        <v>66.3</v>
      </c>
      <c r="I1745" s="35" t="s">
        <v>75</v>
      </c>
    </row>
    <row r="1746" ht="22.5" customHeight="1">
      <c r="A1746" s="35" t="s">
        <v>3729</v>
      </c>
      <c r="B1746" s="35" t="s">
        <v>3730</v>
      </c>
      <c r="C1746" s="35" t="s">
        <v>7757</v>
      </c>
      <c r="D1746" s="35" t="s">
        <v>176</v>
      </c>
      <c r="E1746" s="35" t="s">
        <v>470</v>
      </c>
      <c r="F1746" s="35">
        <v>925.0</v>
      </c>
      <c r="G1746" s="35">
        <v>6.9</v>
      </c>
      <c r="H1746" s="35">
        <v>134.1</v>
      </c>
      <c r="I1746" s="35" t="s">
        <v>62</v>
      </c>
    </row>
    <row r="1747" ht="22.5" customHeight="1">
      <c r="A1747" s="35" t="s">
        <v>3731</v>
      </c>
      <c r="B1747" s="35" t="s">
        <v>3732</v>
      </c>
      <c r="C1747" s="35" t="s">
        <v>7757</v>
      </c>
      <c r="D1747" s="35" t="s">
        <v>131</v>
      </c>
      <c r="E1747" s="35" t="s">
        <v>341</v>
      </c>
      <c r="F1747" s="35">
        <v>582.0</v>
      </c>
      <c r="G1747" s="35">
        <v>4.4</v>
      </c>
      <c r="H1747" s="35">
        <v>132.3</v>
      </c>
      <c r="I1747" s="35" t="s">
        <v>62</v>
      </c>
    </row>
    <row r="1748" ht="22.5" customHeight="1">
      <c r="A1748" s="35" t="s">
        <v>3733</v>
      </c>
      <c r="B1748" s="35" t="s">
        <v>3734</v>
      </c>
      <c r="C1748" s="35" t="s">
        <v>7757</v>
      </c>
      <c r="D1748" s="35" t="s">
        <v>155</v>
      </c>
      <c r="E1748" s="35" t="s">
        <v>420</v>
      </c>
      <c r="F1748" s="35">
        <v>237.0</v>
      </c>
      <c r="G1748" s="35">
        <v>5.15</v>
      </c>
      <c r="H1748" s="35">
        <v>46.0</v>
      </c>
      <c r="I1748" s="35" t="s">
        <v>75</v>
      </c>
    </row>
    <row r="1749" ht="22.5" customHeight="1">
      <c r="A1749" s="35" t="s">
        <v>3735</v>
      </c>
      <c r="B1749" s="35" t="s">
        <v>3736</v>
      </c>
      <c r="C1749" s="35" t="s">
        <v>7757</v>
      </c>
      <c r="D1749" s="35" t="s">
        <v>159</v>
      </c>
      <c r="E1749" s="35" t="s">
        <v>430</v>
      </c>
      <c r="F1749" s="35">
        <v>113.0</v>
      </c>
      <c r="G1749" s="35">
        <v>4.33</v>
      </c>
      <c r="H1749" s="35">
        <v>26.1</v>
      </c>
      <c r="I1749" s="35" t="s">
        <v>75</v>
      </c>
    </row>
    <row r="1750" ht="22.5" customHeight="1">
      <c r="A1750" s="35" t="s">
        <v>3737</v>
      </c>
      <c r="B1750" s="35" t="s">
        <v>3738</v>
      </c>
      <c r="C1750" s="35" t="s">
        <v>7757</v>
      </c>
      <c r="D1750" s="35" t="s">
        <v>131</v>
      </c>
      <c r="E1750" s="35" t="s">
        <v>341</v>
      </c>
      <c r="F1750" s="35">
        <v>2466.0</v>
      </c>
      <c r="G1750" s="35">
        <v>11.84</v>
      </c>
      <c r="H1750" s="35">
        <v>208.3</v>
      </c>
      <c r="I1750" s="35" t="s">
        <v>142</v>
      </c>
    </row>
    <row r="1751" ht="22.5" customHeight="1">
      <c r="A1751" s="35" t="s">
        <v>3739</v>
      </c>
      <c r="B1751" s="35" t="s">
        <v>3740</v>
      </c>
      <c r="C1751" s="35" t="s">
        <v>7757</v>
      </c>
      <c r="D1751" s="35" t="s">
        <v>159</v>
      </c>
      <c r="E1751" s="35" t="s">
        <v>430</v>
      </c>
      <c r="F1751" s="35">
        <v>309.0</v>
      </c>
      <c r="G1751" s="35">
        <v>7.81</v>
      </c>
      <c r="H1751" s="35">
        <v>39.6</v>
      </c>
      <c r="I1751" s="35" t="s">
        <v>75</v>
      </c>
    </row>
    <row r="1752" ht="22.5" customHeight="1">
      <c r="A1752" s="35" t="s">
        <v>3741</v>
      </c>
      <c r="B1752" s="35" t="s">
        <v>3742</v>
      </c>
      <c r="C1752" s="35" t="s">
        <v>7757</v>
      </c>
      <c r="D1752" s="35" t="s">
        <v>190</v>
      </c>
      <c r="E1752" s="35" t="s">
        <v>501</v>
      </c>
      <c r="F1752" s="35">
        <v>478.0</v>
      </c>
      <c r="G1752" s="35">
        <v>9.96</v>
      </c>
      <c r="H1752" s="35">
        <v>48.0</v>
      </c>
      <c r="I1752" s="35" t="s">
        <v>75</v>
      </c>
    </row>
    <row r="1753" ht="22.5" customHeight="1">
      <c r="A1753" s="35" t="s">
        <v>3743</v>
      </c>
      <c r="B1753" s="35" t="s">
        <v>3744</v>
      </c>
      <c r="C1753" s="35" t="s">
        <v>7757</v>
      </c>
      <c r="D1753" s="35" t="s">
        <v>231</v>
      </c>
      <c r="E1753" s="35" t="s">
        <v>406</v>
      </c>
      <c r="F1753" s="35">
        <v>238.0</v>
      </c>
      <c r="G1753" s="35">
        <v>3.47</v>
      </c>
      <c r="H1753" s="35">
        <v>68.6</v>
      </c>
      <c r="I1753" s="35" t="s">
        <v>75</v>
      </c>
    </row>
    <row r="1754" ht="22.5" customHeight="1">
      <c r="A1754" s="35" t="s">
        <v>3745</v>
      </c>
      <c r="B1754" s="35" t="s">
        <v>3746</v>
      </c>
      <c r="C1754" s="35" t="s">
        <v>7757</v>
      </c>
      <c r="D1754" s="35" t="s">
        <v>231</v>
      </c>
      <c r="E1754" s="35" t="s">
        <v>406</v>
      </c>
      <c r="F1754" s="35">
        <v>704.0</v>
      </c>
      <c r="G1754" s="35">
        <v>6.14</v>
      </c>
      <c r="H1754" s="35">
        <v>114.7</v>
      </c>
      <c r="I1754" s="35" t="s">
        <v>62</v>
      </c>
    </row>
    <row r="1755" ht="22.5" customHeight="1">
      <c r="A1755" s="35" t="s">
        <v>3747</v>
      </c>
      <c r="B1755" s="35" t="s">
        <v>3748</v>
      </c>
      <c r="C1755" s="35" t="s">
        <v>7757</v>
      </c>
      <c r="D1755" s="35" t="s">
        <v>160</v>
      </c>
      <c r="E1755" s="35" t="s">
        <v>435</v>
      </c>
      <c r="F1755" s="35">
        <v>680.0</v>
      </c>
      <c r="G1755" s="35">
        <v>6.81</v>
      </c>
      <c r="H1755" s="35">
        <v>99.9</v>
      </c>
      <c r="I1755" s="35" t="s">
        <v>62</v>
      </c>
    </row>
    <row r="1756" ht="22.5" customHeight="1">
      <c r="A1756" s="35" t="s">
        <v>3749</v>
      </c>
      <c r="B1756" s="35" t="s">
        <v>3750</v>
      </c>
      <c r="C1756" s="35" t="s">
        <v>7757</v>
      </c>
      <c r="D1756" s="35" t="s">
        <v>211</v>
      </c>
      <c r="E1756" s="35" t="s">
        <v>544</v>
      </c>
      <c r="F1756" s="35">
        <v>591.0</v>
      </c>
      <c r="G1756" s="35">
        <v>6.6</v>
      </c>
      <c r="H1756" s="35">
        <v>89.5</v>
      </c>
      <c r="I1756" s="35" t="s">
        <v>62</v>
      </c>
    </row>
    <row r="1757" ht="22.5" customHeight="1">
      <c r="A1757" s="35" t="s">
        <v>3751</v>
      </c>
      <c r="B1757" s="35" t="s">
        <v>3752</v>
      </c>
      <c r="C1757" s="35" t="s">
        <v>7757</v>
      </c>
      <c r="D1757" s="35" t="s">
        <v>195</v>
      </c>
      <c r="E1757" s="35" t="s">
        <v>509</v>
      </c>
      <c r="F1757" s="35">
        <v>250.0</v>
      </c>
      <c r="G1757" s="35">
        <v>8.34</v>
      </c>
      <c r="H1757" s="35">
        <v>30.0</v>
      </c>
      <c r="I1757" s="35" t="s">
        <v>75</v>
      </c>
    </row>
    <row r="1758" ht="22.5" customHeight="1">
      <c r="A1758" s="35" t="s">
        <v>3753</v>
      </c>
      <c r="B1758" s="35" t="s">
        <v>3754</v>
      </c>
      <c r="C1758" s="35" t="s">
        <v>7757</v>
      </c>
      <c r="D1758" s="35" t="s">
        <v>176</v>
      </c>
      <c r="E1758" s="35" t="s">
        <v>470</v>
      </c>
      <c r="F1758" s="35">
        <v>878.0</v>
      </c>
      <c r="G1758" s="35">
        <v>12.53</v>
      </c>
      <c r="H1758" s="35">
        <v>70.1</v>
      </c>
      <c r="I1758" s="35" t="s">
        <v>62</v>
      </c>
    </row>
    <row r="1759" ht="22.5" customHeight="1">
      <c r="A1759" s="35" t="s">
        <v>3755</v>
      </c>
      <c r="B1759" s="35" t="s">
        <v>3756</v>
      </c>
      <c r="C1759" s="35" t="s">
        <v>7757</v>
      </c>
      <c r="D1759" s="35" t="s">
        <v>211</v>
      </c>
      <c r="E1759" s="35" t="s">
        <v>544</v>
      </c>
      <c r="F1759" s="35">
        <v>302.0</v>
      </c>
      <c r="G1759" s="35">
        <v>4.28</v>
      </c>
      <c r="H1759" s="35">
        <v>70.6</v>
      </c>
      <c r="I1759" s="35" t="s">
        <v>75</v>
      </c>
    </row>
    <row r="1760" ht="22.5" customHeight="1">
      <c r="A1760" s="35" t="s">
        <v>3757</v>
      </c>
      <c r="B1760" s="35" t="s">
        <v>3758</v>
      </c>
      <c r="C1760" s="35" t="s">
        <v>7757</v>
      </c>
      <c r="D1760" s="35" t="s">
        <v>124</v>
      </c>
      <c r="E1760" s="35" t="s">
        <v>333</v>
      </c>
      <c r="F1760" s="35">
        <v>640.0</v>
      </c>
      <c r="G1760" s="35">
        <v>0.95</v>
      </c>
      <c r="H1760" s="35">
        <v>673.7</v>
      </c>
      <c r="I1760" s="35" t="s">
        <v>62</v>
      </c>
    </row>
    <row r="1761" ht="22.5" customHeight="1">
      <c r="A1761" s="35" t="s">
        <v>3759</v>
      </c>
      <c r="B1761" s="35" t="s">
        <v>3760</v>
      </c>
      <c r="C1761" s="35" t="s">
        <v>7757</v>
      </c>
      <c r="D1761" s="35" t="s">
        <v>173</v>
      </c>
      <c r="E1761" s="35" t="s">
        <v>460</v>
      </c>
      <c r="F1761" s="35">
        <v>851.0</v>
      </c>
      <c r="G1761" s="35">
        <v>7.59</v>
      </c>
      <c r="H1761" s="35">
        <v>112.1</v>
      </c>
      <c r="I1761" s="35" t="s">
        <v>62</v>
      </c>
    </row>
    <row r="1762" ht="22.5" customHeight="1">
      <c r="A1762" s="35" t="s">
        <v>3761</v>
      </c>
      <c r="B1762" s="35" t="s">
        <v>3762</v>
      </c>
      <c r="C1762" s="35" t="s">
        <v>7757</v>
      </c>
      <c r="D1762" s="35" t="s">
        <v>124</v>
      </c>
      <c r="E1762" s="35" t="s">
        <v>333</v>
      </c>
      <c r="F1762" s="35">
        <v>2243.0</v>
      </c>
      <c r="G1762" s="35">
        <v>8.67</v>
      </c>
      <c r="H1762" s="35">
        <v>258.7</v>
      </c>
      <c r="I1762" s="35" t="s">
        <v>142</v>
      </c>
    </row>
    <row r="1763" ht="22.5" customHeight="1">
      <c r="A1763" s="35" t="s">
        <v>3763</v>
      </c>
      <c r="B1763" s="35" t="s">
        <v>3764</v>
      </c>
      <c r="C1763" s="35" t="s">
        <v>7757</v>
      </c>
      <c r="D1763" s="35" t="s">
        <v>124</v>
      </c>
      <c r="E1763" s="35" t="s">
        <v>333</v>
      </c>
      <c r="F1763" s="35">
        <v>588.0</v>
      </c>
      <c r="G1763" s="35">
        <v>7.36</v>
      </c>
      <c r="H1763" s="35">
        <v>79.9</v>
      </c>
      <c r="I1763" s="35" t="s">
        <v>62</v>
      </c>
    </row>
    <row r="1764" ht="22.5" customHeight="1">
      <c r="A1764" s="35" t="s">
        <v>3765</v>
      </c>
      <c r="B1764" s="35" t="s">
        <v>3766</v>
      </c>
      <c r="C1764" s="35" t="s">
        <v>7757</v>
      </c>
      <c r="D1764" s="35" t="s">
        <v>211</v>
      </c>
      <c r="E1764" s="35" t="s">
        <v>544</v>
      </c>
      <c r="F1764" s="35">
        <v>1071.0</v>
      </c>
      <c r="G1764" s="35">
        <v>13.0</v>
      </c>
      <c r="H1764" s="35">
        <v>82.4</v>
      </c>
      <c r="I1764" s="35" t="s">
        <v>62</v>
      </c>
    </row>
    <row r="1765" ht="22.5" customHeight="1">
      <c r="A1765" s="35" t="s">
        <v>3767</v>
      </c>
      <c r="B1765" s="35" t="s">
        <v>3768</v>
      </c>
      <c r="C1765" s="35" t="s">
        <v>7757</v>
      </c>
      <c r="D1765" s="35" t="s">
        <v>131</v>
      </c>
      <c r="E1765" s="35" t="s">
        <v>341</v>
      </c>
      <c r="F1765" s="35">
        <v>294.0</v>
      </c>
      <c r="G1765" s="35">
        <v>8.12</v>
      </c>
      <c r="H1765" s="35">
        <v>36.2</v>
      </c>
      <c r="I1765" s="35" t="s">
        <v>75</v>
      </c>
    </row>
    <row r="1766" ht="22.5" customHeight="1">
      <c r="A1766" s="35" t="s">
        <v>3769</v>
      </c>
      <c r="B1766" s="35" t="s">
        <v>3770</v>
      </c>
      <c r="C1766" s="35" t="s">
        <v>7757</v>
      </c>
      <c r="D1766" s="35" t="s">
        <v>196</v>
      </c>
      <c r="E1766" s="35" t="s">
        <v>514</v>
      </c>
      <c r="F1766" s="35">
        <v>196.0</v>
      </c>
      <c r="G1766" s="35">
        <v>3.5</v>
      </c>
      <c r="H1766" s="35">
        <v>56.0</v>
      </c>
      <c r="I1766" s="35" t="s">
        <v>75</v>
      </c>
    </row>
    <row r="1767" ht="22.5" customHeight="1">
      <c r="A1767" s="35" t="s">
        <v>3771</v>
      </c>
      <c r="B1767" s="35" t="s">
        <v>3772</v>
      </c>
      <c r="C1767" s="35" t="s">
        <v>7757</v>
      </c>
      <c r="D1767" s="35" t="s">
        <v>176</v>
      </c>
      <c r="E1767" s="35" t="s">
        <v>470</v>
      </c>
      <c r="F1767" s="35">
        <v>1326.0</v>
      </c>
      <c r="G1767" s="35">
        <v>9.68</v>
      </c>
      <c r="H1767" s="35">
        <v>137.0</v>
      </c>
      <c r="I1767" s="35" t="s">
        <v>62</v>
      </c>
    </row>
    <row r="1768" ht="22.5" customHeight="1">
      <c r="A1768" s="35" t="s">
        <v>3773</v>
      </c>
      <c r="B1768" s="35" t="s">
        <v>3774</v>
      </c>
      <c r="C1768" s="35" t="s">
        <v>7757</v>
      </c>
      <c r="D1768" s="35" t="s">
        <v>190</v>
      </c>
      <c r="E1768" s="35" t="s">
        <v>501</v>
      </c>
      <c r="F1768" s="35">
        <v>456.0</v>
      </c>
      <c r="G1768" s="35">
        <v>14.32</v>
      </c>
      <c r="H1768" s="35">
        <v>31.8</v>
      </c>
      <c r="I1768" s="35" t="s">
        <v>75</v>
      </c>
    </row>
    <row r="1769" ht="22.5" customHeight="1">
      <c r="A1769" s="35" t="s">
        <v>3775</v>
      </c>
      <c r="B1769" s="35" t="s">
        <v>3776</v>
      </c>
      <c r="C1769" s="35" t="s">
        <v>7757</v>
      </c>
      <c r="D1769" s="35" t="s">
        <v>188</v>
      </c>
      <c r="E1769" s="35" t="s">
        <v>491</v>
      </c>
      <c r="F1769" s="35">
        <v>687.0</v>
      </c>
      <c r="G1769" s="35">
        <v>2.43</v>
      </c>
      <c r="H1769" s="35">
        <v>282.7</v>
      </c>
      <c r="I1769" s="35" t="s">
        <v>62</v>
      </c>
    </row>
    <row r="1770" ht="22.5" customHeight="1">
      <c r="A1770" s="35" t="s">
        <v>3777</v>
      </c>
      <c r="B1770" s="35" t="s">
        <v>3778</v>
      </c>
      <c r="C1770" s="35" t="s">
        <v>7757</v>
      </c>
      <c r="D1770" s="35" t="s">
        <v>190</v>
      </c>
      <c r="E1770" s="35" t="s">
        <v>501</v>
      </c>
      <c r="F1770" s="35">
        <v>1512.0</v>
      </c>
      <c r="G1770" s="35">
        <v>9.93</v>
      </c>
      <c r="H1770" s="35">
        <v>152.3</v>
      </c>
      <c r="I1770" s="35" t="s">
        <v>62</v>
      </c>
    </row>
    <row r="1771" ht="22.5" customHeight="1">
      <c r="A1771" s="35" t="s">
        <v>3779</v>
      </c>
      <c r="B1771" s="35" t="s">
        <v>3780</v>
      </c>
      <c r="C1771" s="35" t="s">
        <v>7757</v>
      </c>
      <c r="D1771" s="35" t="s">
        <v>231</v>
      </c>
      <c r="E1771" s="35" t="s">
        <v>406</v>
      </c>
      <c r="F1771" s="35">
        <v>827.0</v>
      </c>
      <c r="G1771" s="35">
        <v>4.24</v>
      </c>
      <c r="H1771" s="35">
        <v>195.0</v>
      </c>
      <c r="I1771" s="35" t="s">
        <v>62</v>
      </c>
    </row>
    <row r="1772" ht="22.5" customHeight="1">
      <c r="A1772" s="35" t="s">
        <v>3781</v>
      </c>
      <c r="B1772" s="35" t="s">
        <v>3782</v>
      </c>
      <c r="C1772" s="35" t="s">
        <v>7757</v>
      </c>
      <c r="D1772" s="35" t="s">
        <v>159</v>
      </c>
      <c r="E1772" s="35" t="s">
        <v>430</v>
      </c>
      <c r="F1772" s="35">
        <v>165.0</v>
      </c>
      <c r="G1772" s="35">
        <v>4.96</v>
      </c>
      <c r="H1772" s="35">
        <v>33.3</v>
      </c>
      <c r="I1772" s="35" t="s">
        <v>75</v>
      </c>
    </row>
    <row r="1773" ht="22.5" customHeight="1">
      <c r="A1773" s="35" t="s">
        <v>3783</v>
      </c>
      <c r="B1773" s="35" t="s">
        <v>3784</v>
      </c>
      <c r="C1773" s="35" t="s">
        <v>7757</v>
      </c>
      <c r="D1773" s="35" t="s">
        <v>131</v>
      </c>
      <c r="E1773" s="35" t="s">
        <v>341</v>
      </c>
      <c r="F1773" s="35">
        <v>182.0</v>
      </c>
      <c r="G1773" s="35">
        <v>5.93</v>
      </c>
      <c r="H1773" s="35">
        <v>30.7</v>
      </c>
      <c r="I1773" s="35" t="s">
        <v>75</v>
      </c>
    </row>
    <row r="1774" ht="22.5" customHeight="1">
      <c r="A1774" s="35" t="s">
        <v>3785</v>
      </c>
      <c r="B1774" s="35" t="s">
        <v>3786</v>
      </c>
      <c r="C1774" s="35" t="s">
        <v>7757</v>
      </c>
      <c r="D1774" s="35" t="s">
        <v>124</v>
      </c>
      <c r="E1774" s="35" t="s">
        <v>333</v>
      </c>
      <c r="F1774" s="35">
        <v>805.0</v>
      </c>
      <c r="G1774" s="35">
        <v>9.19</v>
      </c>
      <c r="H1774" s="35">
        <v>87.6</v>
      </c>
      <c r="I1774" s="35" t="s">
        <v>62</v>
      </c>
    </row>
    <row r="1775" ht="22.5" customHeight="1">
      <c r="A1775" s="35" t="s">
        <v>3787</v>
      </c>
      <c r="B1775" s="35" t="s">
        <v>3788</v>
      </c>
      <c r="C1775" s="35" t="s">
        <v>7757</v>
      </c>
      <c r="D1775" s="35" t="s">
        <v>124</v>
      </c>
      <c r="E1775" s="35" t="s">
        <v>333</v>
      </c>
      <c r="F1775" s="35">
        <v>5415.0</v>
      </c>
      <c r="G1775" s="35">
        <v>20.84</v>
      </c>
      <c r="H1775" s="35">
        <v>259.8</v>
      </c>
      <c r="I1775" s="35" t="s">
        <v>142</v>
      </c>
    </row>
    <row r="1776" ht="22.5" customHeight="1">
      <c r="A1776" s="35" t="s">
        <v>3789</v>
      </c>
      <c r="B1776" s="35" t="s">
        <v>3790</v>
      </c>
      <c r="C1776" s="35" t="s">
        <v>7757</v>
      </c>
      <c r="D1776" s="35" t="s">
        <v>131</v>
      </c>
      <c r="E1776" s="35" t="s">
        <v>341</v>
      </c>
      <c r="F1776" s="35">
        <v>342.0</v>
      </c>
      <c r="G1776" s="35">
        <v>5.57</v>
      </c>
      <c r="H1776" s="35">
        <v>61.4</v>
      </c>
      <c r="I1776" s="35" t="s">
        <v>75</v>
      </c>
    </row>
    <row r="1777" ht="22.5" customHeight="1">
      <c r="A1777" s="35" t="s">
        <v>3791</v>
      </c>
      <c r="B1777" s="35" t="s">
        <v>3792</v>
      </c>
      <c r="C1777" s="35" t="s">
        <v>7757</v>
      </c>
      <c r="D1777" s="35" t="s">
        <v>196</v>
      </c>
      <c r="E1777" s="35" t="s">
        <v>514</v>
      </c>
      <c r="F1777" s="35">
        <v>524.0</v>
      </c>
      <c r="G1777" s="35">
        <v>10.77</v>
      </c>
      <c r="H1777" s="35">
        <v>48.7</v>
      </c>
      <c r="I1777" s="35" t="s">
        <v>62</v>
      </c>
    </row>
    <row r="1778" ht="22.5" customHeight="1">
      <c r="A1778" s="35" t="s">
        <v>3793</v>
      </c>
      <c r="B1778" s="35" t="s">
        <v>3794</v>
      </c>
      <c r="C1778" s="35" t="s">
        <v>7757</v>
      </c>
      <c r="D1778" s="35" t="s">
        <v>195</v>
      </c>
      <c r="E1778" s="35" t="s">
        <v>509</v>
      </c>
      <c r="F1778" s="35">
        <v>2043.0</v>
      </c>
      <c r="G1778" s="35">
        <v>11.3</v>
      </c>
      <c r="H1778" s="35">
        <v>180.8</v>
      </c>
      <c r="I1778" s="35" t="s">
        <v>142</v>
      </c>
    </row>
    <row r="1779" ht="22.5" customHeight="1">
      <c r="A1779" s="35" t="s">
        <v>3795</v>
      </c>
      <c r="B1779" s="35" t="s">
        <v>3796</v>
      </c>
      <c r="C1779" s="35" t="s">
        <v>7757</v>
      </c>
      <c r="D1779" s="35" t="s">
        <v>188</v>
      </c>
      <c r="E1779" s="35" t="s">
        <v>491</v>
      </c>
      <c r="F1779" s="35">
        <v>4926.0</v>
      </c>
      <c r="G1779" s="35">
        <v>8.55</v>
      </c>
      <c r="H1779" s="35">
        <v>576.1</v>
      </c>
      <c r="I1779" s="35" t="s">
        <v>142</v>
      </c>
    </row>
    <row r="1780" ht="22.5" customHeight="1">
      <c r="A1780" s="35" t="s">
        <v>3797</v>
      </c>
      <c r="B1780" s="35" t="s">
        <v>3798</v>
      </c>
      <c r="C1780" s="35" t="s">
        <v>7757</v>
      </c>
      <c r="D1780" s="35" t="s">
        <v>190</v>
      </c>
      <c r="E1780" s="35" t="s">
        <v>501</v>
      </c>
      <c r="F1780" s="35">
        <v>606.0</v>
      </c>
      <c r="G1780" s="35">
        <v>6.04</v>
      </c>
      <c r="H1780" s="35">
        <v>100.3</v>
      </c>
      <c r="I1780" s="35" t="s">
        <v>62</v>
      </c>
    </row>
    <row r="1781" ht="22.5" customHeight="1">
      <c r="A1781" s="35" t="s">
        <v>3799</v>
      </c>
      <c r="B1781" s="35" t="s">
        <v>3800</v>
      </c>
      <c r="C1781" s="35" t="s">
        <v>7757</v>
      </c>
      <c r="D1781" s="35" t="s">
        <v>190</v>
      </c>
      <c r="E1781" s="35" t="s">
        <v>501</v>
      </c>
      <c r="F1781" s="35">
        <v>504.0</v>
      </c>
      <c r="G1781" s="35">
        <v>11.29</v>
      </c>
      <c r="H1781" s="35">
        <v>44.6</v>
      </c>
      <c r="I1781" s="35" t="s">
        <v>62</v>
      </c>
    </row>
    <row r="1782" ht="22.5" customHeight="1">
      <c r="A1782" s="35" t="s">
        <v>3801</v>
      </c>
      <c r="B1782" s="35" t="s">
        <v>3802</v>
      </c>
      <c r="C1782" s="35" t="s">
        <v>7757</v>
      </c>
      <c r="D1782" s="35" t="s">
        <v>183</v>
      </c>
      <c r="E1782" s="35" t="s">
        <v>482</v>
      </c>
      <c r="F1782" s="35">
        <v>196.0</v>
      </c>
      <c r="G1782" s="35">
        <v>3.43</v>
      </c>
      <c r="H1782" s="35">
        <v>57.1</v>
      </c>
      <c r="I1782" s="35" t="s">
        <v>75</v>
      </c>
    </row>
    <row r="1783" ht="22.5" customHeight="1">
      <c r="A1783" s="35" t="s">
        <v>3803</v>
      </c>
      <c r="B1783" s="35" t="s">
        <v>3804</v>
      </c>
      <c r="C1783" s="35" t="s">
        <v>7757</v>
      </c>
      <c r="D1783" s="35" t="s">
        <v>151</v>
      </c>
      <c r="E1783" s="35" t="s">
        <v>414</v>
      </c>
      <c r="F1783" s="35">
        <v>9082.0</v>
      </c>
      <c r="G1783" s="35">
        <v>15.19</v>
      </c>
      <c r="H1783" s="35">
        <v>597.9</v>
      </c>
      <c r="I1783" s="35" t="s">
        <v>142</v>
      </c>
    </row>
    <row r="1784" ht="22.5" customHeight="1">
      <c r="A1784" s="35" t="s">
        <v>3805</v>
      </c>
      <c r="B1784" s="35" t="s">
        <v>3806</v>
      </c>
      <c r="C1784" s="35" t="s">
        <v>7757</v>
      </c>
      <c r="D1784" s="35" t="s">
        <v>159</v>
      </c>
      <c r="E1784" s="35" t="s">
        <v>430</v>
      </c>
      <c r="F1784" s="35">
        <v>278.0</v>
      </c>
      <c r="G1784" s="35">
        <v>14.96</v>
      </c>
      <c r="H1784" s="35">
        <v>18.6</v>
      </c>
      <c r="I1784" s="35" t="s">
        <v>75</v>
      </c>
    </row>
    <row r="1785" ht="22.5" customHeight="1">
      <c r="A1785" s="35" t="s">
        <v>3807</v>
      </c>
      <c r="B1785" s="35" t="s">
        <v>3808</v>
      </c>
      <c r="C1785" s="35" t="s">
        <v>7757</v>
      </c>
      <c r="D1785" s="35" t="s">
        <v>200</v>
      </c>
      <c r="E1785" s="35" t="s">
        <v>494</v>
      </c>
      <c r="F1785" s="35">
        <v>505.0</v>
      </c>
      <c r="G1785" s="35">
        <v>2.19</v>
      </c>
      <c r="H1785" s="35">
        <v>230.6</v>
      </c>
      <c r="I1785" s="35" t="s">
        <v>62</v>
      </c>
    </row>
    <row r="1786" ht="22.5" customHeight="1">
      <c r="A1786" s="35" t="s">
        <v>3809</v>
      </c>
      <c r="B1786" s="35" t="s">
        <v>3810</v>
      </c>
      <c r="C1786" s="35" t="s">
        <v>7757</v>
      </c>
      <c r="D1786" s="35" t="s">
        <v>196</v>
      </c>
      <c r="E1786" s="35" t="s">
        <v>514</v>
      </c>
      <c r="F1786" s="35">
        <v>1469.0</v>
      </c>
      <c r="G1786" s="35">
        <v>16.75</v>
      </c>
      <c r="H1786" s="35">
        <v>87.7</v>
      </c>
      <c r="I1786" s="35" t="s">
        <v>62</v>
      </c>
    </row>
    <row r="1787" ht="22.5" customHeight="1">
      <c r="A1787" s="35" t="s">
        <v>3811</v>
      </c>
      <c r="B1787" s="35" t="s">
        <v>3812</v>
      </c>
      <c r="C1787" s="35" t="s">
        <v>7757</v>
      </c>
      <c r="D1787" s="35" t="s">
        <v>196</v>
      </c>
      <c r="E1787" s="35" t="s">
        <v>514</v>
      </c>
      <c r="F1787" s="35">
        <v>115.0</v>
      </c>
      <c r="G1787" s="35">
        <v>7.38</v>
      </c>
      <c r="H1787" s="35">
        <v>15.6</v>
      </c>
      <c r="I1787" s="35" t="s">
        <v>75</v>
      </c>
    </row>
    <row r="1788" ht="22.5" customHeight="1">
      <c r="A1788" s="35" t="s">
        <v>3813</v>
      </c>
      <c r="B1788" s="35" t="s">
        <v>3814</v>
      </c>
      <c r="C1788" s="35" t="s">
        <v>7757</v>
      </c>
      <c r="D1788" s="35" t="s">
        <v>211</v>
      </c>
      <c r="E1788" s="35" t="s">
        <v>544</v>
      </c>
      <c r="F1788" s="35">
        <v>180.0</v>
      </c>
      <c r="G1788" s="35">
        <v>3.44</v>
      </c>
      <c r="H1788" s="35">
        <v>52.3</v>
      </c>
      <c r="I1788" s="35" t="s">
        <v>75</v>
      </c>
    </row>
    <row r="1789" ht="22.5" customHeight="1">
      <c r="A1789" s="35" t="s">
        <v>3815</v>
      </c>
      <c r="B1789" s="35" t="s">
        <v>3816</v>
      </c>
      <c r="C1789" s="35" t="s">
        <v>7757</v>
      </c>
      <c r="D1789" s="35" t="s">
        <v>159</v>
      </c>
      <c r="E1789" s="35" t="s">
        <v>430</v>
      </c>
      <c r="F1789" s="35">
        <v>182.0</v>
      </c>
      <c r="G1789" s="35">
        <v>8.26</v>
      </c>
      <c r="H1789" s="35">
        <v>22.0</v>
      </c>
      <c r="I1789" s="35" t="s">
        <v>75</v>
      </c>
    </row>
    <row r="1790" ht="22.5" customHeight="1">
      <c r="A1790" s="35" t="s">
        <v>3817</v>
      </c>
      <c r="B1790" s="35" t="s">
        <v>3818</v>
      </c>
      <c r="C1790" s="35" t="s">
        <v>7757</v>
      </c>
      <c r="D1790" s="35" t="s">
        <v>159</v>
      </c>
      <c r="E1790" s="35" t="s">
        <v>430</v>
      </c>
      <c r="F1790" s="35">
        <v>32.0</v>
      </c>
      <c r="G1790" s="35">
        <v>3.75</v>
      </c>
      <c r="H1790" s="35">
        <v>8.5</v>
      </c>
      <c r="I1790" s="35" t="s">
        <v>75</v>
      </c>
    </row>
    <row r="1791" ht="22.5" customHeight="1">
      <c r="A1791" s="35" t="s">
        <v>3819</v>
      </c>
      <c r="B1791" s="35" t="s">
        <v>3820</v>
      </c>
      <c r="C1791" s="35" t="s">
        <v>7757</v>
      </c>
      <c r="D1791" s="35" t="s">
        <v>131</v>
      </c>
      <c r="E1791" s="35" t="s">
        <v>341</v>
      </c>
      <c r="F1791" s="35">
        <v>1116.0</v>
      </c>
      <c r="G1791" s="35">
        <v>13.94</v>
      </c>
      <c r="H1791" s="35">
        <v>80.1</v>
      </c>
      <c r="I1791" s="35" t="s">
        <v>62</v>
      </c>
    </row>
    <row r="1792" ht="22.5" customHeight="1">
      <c r="A1792" s="35" t="s">
        <v>3821</v>
      </c>
      <c r="B1792" s="35" t="s">
        <v>3822</v>
      </c>
      <c r="C1792" s="35" t="s">
        <v>7757</v>
      </c>
      <c r="D1792" s="35" t="s">
        <v>211</v>
      </c>
      <c r="E1792" s="35" t="s">
        <v>544</v>
      </c>
      <c r="F1792" s="35">
        <v>631.0</v>
      </c>
      <c r="G1792" s="35">
        <v>16.35</v>
      </c>
      <c r="H1792" s="35">
        <v>38.6</v>
      </c>
      <c r="I1792" s="35" t="s">
        <v>62</v>
      </c>
    </row>
    <row r="1793" ht="22.5" customHeight="1">
      <c r="A1793" s="35" t="s">
        <v>3823</v>
      </c>
      <c r="B1793" s="35" t="s">
        <v>3824</v>
      </c>
      <c r="C1793" s="35" t="s">
        <v>7757</v>
      </c>
      <c r="D1793" s="35" t="s">
        <v>203</v>
      </c>
      <c r="E1793" s="35" t="s">
        <v>524</v>
      </c>
      <c r="F1793" s="35">
        <v>548.0</v>
      </c>
      <c r="G1793" s="35">
        <v>7.78</v>
      </c>
      <c r="H1793" s="35">
        <v>70.4</v>
      </c>
      <c r="I1793" s="35" t="s">
        <v>62</v>
      </c>
    </row>
    <row r="1794" ht="22.5" customHeight="1">
      <c r="A1794" s="35" t="s">
        <v>3825</v>
      </c>
      <c r="B1794" s="35" t="s">
        <v>3826</v>
      </c>
      <c r="C1794" s="35" t="s">
        <v>7757</v>
      </c>
      <c r="D1794" s="35" t="s">
        <v>195</v>
      </c>
      <c r="E1794" s="35" t="s">
        <v>509</v>
      </c>
      <c r="F1794" s="35">
        <v>1014.0</v>
      </c>
      <c r="G1794" s="35">
        <v>13.92</v>
      </c>
      <c r="H1794" s="35">
        <v>72.8</v>
      </c>
      <c r="I1794" s="35" t="s">
        <v>62</v>
      </c>
    </row>
    <row r="1795" ht="22.5" customHeight="1">
      <c r="A1795" s="35" t="s">
        <v>3827</v>
      </c>
      <c r="B1795" s="35" t="s">
        <v>3828</v>
      </c>
      <c r="C1795" s="35" t="s">
        <v>7757</v>
      </c>
      <c r="D1795" s="35" t="s">
        <v>190</v>
      </c>
      <c r="E1795" s="35" t="s">
        <v>501</v>
      </c>
      <c r="F1795" s="35">
        <v>203.0</v>
      </c>
      <c r="G1795" s="35">
        <v>2.76</v>
      </c>
      <c r="H1795" s="35">
        <v>73.6</v>
      </c>
      <c r="I1795" s="35" t="s">
        <v>75</v>
      </c>
    </row>
    <row r="1796" ht="22.5" customHeight="1">
      <c r="A1796" s="35" t="s">
        <v>3829</v>
      </c>
      <c r="B1796" s="35" t="s">
        <v>3830</v>
      </c>
      <c r="C1796" s="35" t="s">
        <v>7757</v>
      </c>
      <c r="D1796" s="35" t="s">
        <v>188</v>
      </c>
      <c r="E1796" s="35" t="s">
        <v>491</v>
      </c>
      <c r="F1796" s="35">
        <v>6785.0</v>
      </c>
      <c r="G1796" s="35">
        <v>4.73</v>
      </c>
      <c r="H1796" s="35">
        <v>1434.5</v>
      </c>
      <c r="I1796" s="35" t="s">
        <v>142</v>
      </c>
    </row>
    <row r="1797" ht="22.5" customHeight="1">
      <c r="A1797" s="35" t="s">
        <v>3831</v>
      </c>
      <c r="B1797" s="35" t="s">
        <v>3832</v>
      </c>
      <c r="C1797" s="35" t="s">
        <v>7757</v>
      </c>
      <c r="D1797" s="35" t="s">
        <v>211</v>
      </c>
      <c r="E1797" s="35" t="s">
        <v>544</v>
      </c>
      <c r="F1797" s="35">
        <v>573.0</v>
      </c>
      <c r="G1797" s="35">
        <v>12.64</v>
      </c>
      <c r="H1797" s="35">
        <v>45.3</v>
      </c>
      <c r="I1797" s="35" t="s">
        <v>62</v>
      </c>
    </row>
    <row r="1798" ht="22.5" customHeight="1">
      <c r="A1798" s="35" t="s">
        <v>3833</v>
      </c>
      <c r="B1798" s="35" t="s">
        <v>3834</v>
      </c>
      <c r="C1798" s="35" t="s">
        <v>7757</v>
      </c>
      <c r="D1798" s="35" t="s">
        <v>200</v>
      </c>
      <c r="E1798" s="35" t="s">
        <v>494</v>
      </c>
      <c r="F1798" s="35">
        <v>181.0</v>
      </c>
      <c r="G1798" s="35">
        <v>11.41</v>
      </c>
      <c r="H1798" s="35">
        <v>15.9</v>
      </c>
      <c r="I1798" s="35" t="s">
        <v>75</v>
      </c>
    </row>
    <row r="1799" ht="22.5" customHeight="1">
      <c r="A1799" s="35" t="s">
        <v>3835</v>
      </c>
      <c r="B1799" s="35" t="s">
        <v>3836</v>
      </c>
      <c r="C1799" s="35" t="s">
        <v>7757</v>
      </c>
      <c r="D1799" s="35" t="s">
        <v>211</v>
      </c>
      <c r="E1799" s="35" t="s">
        <v>544</v>
      </c>
      <c r="F1799" s="35">
        <v>224.0</v>
      </c>
      <c r="G1799" s="35">
        <v>7.79</v>
      </c>
      <c r="H1799" s="35">
        <v>28.8</v>
      </c>
      <c r="I1799" s="35" t="s">
        <v>75</v>
      </c>
    </row>
    <row r="1800" ht="22.5" customHeight="1">
      <c r="A1800" s="35" t="s">
        <v>3837</v>
      </c>
      <c r="B1800" s="35" t="s">
        <v>3838</v>
      </c>
      <c r="C1800" s="35" t="s">
        <v>7757</v>
      </c>
      <c r="D1800" s="35" t="s">
        <v>203</v>
      </c>
      <c r="E1800" s="35" t="s">
        <v>524</v>
      </c>
      <c r="F1800" s="35">
        <v>718.0</v>
      </c>
      <c r="G1800" s="35">
        <v>9.48</v>
      </c>
      <c r="H1800" s="35">
        <v>75.7</v>
      </c>
      <c r="I1800" s="35" t="s">
        <v>62</v>
      </c>
    </row>
    <row r="1801" ht="22.5" customHeight="1">
      <c r="A1801" s="35" t="s">
        <v>3839</v>
      </c>
      <c r="B1801" s="35" t="s">
        <v>3840</v>
      </c>
      <c r="C1801" s="35" t="s">
        <v>7757</v>
      </c>
      <c r="D1801" s="35" t="s">
        <v>159</v>
      </c>
      <c r="E1801" s="35" t="s">
        <v>430</v>
      </c>
      <c r="F1801" s="35">
        <v>423.0</v>
      </c>
      <c r="G1801" s="35">
        <v>15.96</v>
      </c>
      <c r="H1801" s="35">
        <v>26.5</v>
      </c>
      <c r="I1801" s="35" t="s">
        <v>75</v>
      </c>
    </row>
    <row r="1802" ht="22.5" customHeight="1">
      <c r="A1802" s="35" t="s">
        <v>3841</v>
      </c>
      <c r="B1802" s="35" t="s">
        <v>3842</v>
      </c>
      <c r="C1802" s="35" t="s">
        <v>7757</v>
      </c>
      <c r="D1802" s="35" t="s">
        <v>131</v>
      </c>
      <c r="E1802" s="35" t="s">
        <v>341</v>
      </c>
      <c r="F1802" s="35">
        <v>359.0</v>
      </c>
      <c r="G1802" s="35">
        <v>10.13</v>
      </c>
      <c r="H1802" s="35">
        <v>35.4</v>
      </c>
      <c r="I1802" s="35" t="s">
        <v>75</v>
      </c>
    </row>
    <row r="1803" ht="22.5" customHeight="1">
      <c r="A1803" s="35" t="s">
        <v>3843</v>
      </c>
      <c r="B1803" s="35" t="s">
        <v>3844</v>
      </c>
      <c r="C1803" s="35" t="s">
        <v>7757</v>
      </c>
      <c r="D1803" s="35" t="s">
        <v>211</v>
      </c>
      <c r="E1803" s="35" t="s">
        <v>544</v>
      </c>
      <c r="F1803" s="35">
        <v>329.0</v>
      </c>
      <c r="G1803" s="35">
        <v>5.54</v>
      </c>
      <c r="H1803" s="35">
        <v>59.4</v>
      </c>
      <c r="I1803" s="35" t="s">
        <v>75</v>
      </c>
    </row>
    <row r="1804" ht="22.5" customHeight="1">
      <c r="A1804" s="35" t="s">
        <v>3845</v>
      </c>
      <c r="B1804" s="35" t="s">
        <v>3846</v>
      </c>
      <c r="C1804" s="35" t="s">
        <v>7757</v>
      </c>
      <c r="D1804" s="35" t="s">
        <v>170</v>
      </c>
      <c r="E1804" s="35" t="s">
        <v>452</v>
      </c>
      <c r="F1804" s="35">
        <v>2586.0</v>
      </c>
      <c r="G1804" s="35">
        <v>5.96</v>
      </c>
      <c r="H1804" s="35">
        <v>433.9</v>
      </c>
      <c r="I1804" s="35" t="s">
        <v>142</v>
      </c>
    </row>
    <row r="1805" ht="22.5" customHeight="1">
      <c r="A1805" s="35" t="s">
        <v>3847</v>
      </c>
      <c r="B1805" s="35" t="s">
        <v>3848</v>
      </c>
      <c r="C1805" s="35" t="s">
        <v>7757</v>
      </c>
      <c r="D1805" s="35" t="s">
        <v>160</v>
      </c>
      <c r="E1805" s="35" t="s">
        <v>435</v>
      </c>
      <c r="F1805" s="35">
        <v>1895.0</v>
      </c>
      <c r="G1805" s="35">
        <v>17.24</v>
      </c>
      <c r="H1805" s="35">
        <v>109.9</v>
      </c>
      <c r="I1805" s="35" t="s">
        <v>62</v>
      </c>
    </row>
    <row r="1806" ht="22.5" customHeight="1">
      <c r="A1806" s="35" t="s">
        <v>3849</v>
      </c>
      <c r="B1806" s="35" t="s">
        <v>3850</v>
      </c>
      <c r="C1806" s="35" t="s">
        <v>7757</v>
      </c>
      <c r="D1806" s="35" t="s">
        <v>176</v>
      </c>
      <c r="E1806" s="35" t="s">
        <v>470</v>
      </c>
      <c r="F1806" s="35">
        <v>1247.0</v>
      </c>
      <c r="G1806" s="35">
        <v>5.04</v>
      </c>
      <c r="H1806" s="35">
        <v>247.4</v>
      </c>
      <c r="I1806" s="35" t="s">
        <v>62</v>
      </c>
    </row>
    <row r="1807" ht="22.5" customHeight="1">
      <c r="A1807" s="35" t="s">
        <v>3851</v>
      </c>
      <c r="B1807" s="35" t="s">
        <v>3852</v>
      </c>
      <c r="C1807" s="35" t="s">
        <v>7757</v>
      </c>
      <c r="D1807" s="35" t="s">
        <v>159</v>
      </c>
      <c r="E1807" s="35" t="s">
        <v>430</v>
      </c>
      <c r="F1807" s="35">
        <v>151.0</v>
      </c>
      <c r="G1807" s="35">
        <v>7.41</v>
      </c>
      <c r="H1807" s="35">
        <v>20.4</v>
      </c>
      <c r="I1807" s="35" t="s">
        <v>75</v>
      </c>
    </row>
    <row r="1808" ht="22.5" customHeight="1">
      <c r="A1808" s="35" t="s">
        <v>3853</v>
      </c>
      <c r="B1808" s="35" t="s">
        <v>3854</v>
      </c>
      <c r="C1808" s="35" t="s">
        <v>7757</v>
      </c>
      <c r="D1808" s="35" t="s">
        <v>131</v>
      </c>
      <c r="E1808" s="35" t="s">
        <v>341</v>
      </c>
      <c r="F1808" s="35">
        <v>682.0</v>
      </c>
      <c r="G1808" s="35">
        <v>10.79</v>
      </c>
      <c r="H1808" s="35">
        <v>63.2</v>
      </c>
      <c r="I1808" s="35" t="s">
        <v>62</v>
      </c>
    </row>
    <row r="1809" ht="22.5" customHeight="1">
      <c r="A1809" s="35" t="s">
        <v>3855</v>
      </c>
      <c r="B1809" s="35" t="s">
        <v>3856</v>
      </c>
      <c r="C1809" s="35" t="s">
        <v>7757</v>
      </c>
      <c r="D1809" s="35" t="s">
        <v>170</v>
      </c>
      <c r="E1809" s="35" t="s">
        <v>452</v>
      </c>
      <c r="F1809" s="35">
        <v>830.0</v>
      </c>
      <c r="G1809" s="35">
        <v>6.3</v>
      </c>
      <c r="H1809" s="35">
        <v>131.7</v>
      </c>
      <c r="I1809" s="35" t="s">
        <v>62</v>
      </c>
    </row>
    <row r="1810" ht="22.5" customHeight="1">
      <c r="A1810" s="35" t="s">
        <v>3857</v>
      </c>
      <c r="B1810" s="35" t="s">
        <v>3858</v>
      </c>
      <c r="C1810" s="35" t="s">
        <v>7757</v>
      </c>
      <c r="D1810" s="35" t="s">
        <v>203</v>
      </c>
      <c r="E1810" s="35" t="s">
        <v>524</v>
      </c>
      <c r="F1810" s="35">
        <v>2473.0</v>
      </c>
      <c r="G1810" s="35">
        <v>18.74</v>
      </c>
      <c r="H1810" s="35">
        <v>132.0</v>
      </c>
      <c r="I1810" s="35" t="s">
        <v>142</v>
      </c>
    </row>
    <row r="1811" ht="22.5" customHeight="1">
      <c r="A1811" s="35" t="s">
        <v>3859</v>
      </c>
      <c r="B1811" s="35" t="s">
        <v>3860</v>
      </c>
      <c r="C1811" s="35" t="s">
        <v>7757</v>
      </c>
      <c r="D1811" s="35" t="s">
        <v>183</v>
      </c>
      <c r="E1811" s="35" t="s">
        <v>482</v>
      </c>
      <c r="F1811" s="35">
        <v>381.0</v>
      </c>
      <c r="G1811" s="35">
        <v>5.82</v>
      </c>
      <c r="H1811" s="35">
        <v>65.5</v>
      </c>
      <c r="I1811" s="35" t="s">
        <v>75</v>
      </c>
    </row>
    <row r="1812" ht="22.5" customHeight="1">
      <c r="A1812" s="35" t="s">
        <v>3861</v>
      </c>
      <c r="B1812" s="35" t="s">
        <v>3862</v>
      </c>
      <c r="C1812" s="35" t="s">
        <v>7757</v>
      </c>
      <c r="D1812" s="35" t="s">
        <v>131</v>
      </c>
      <c r="E1812" s="35" t="s">
        <v>341</v>
      </c>
      <c r="F1812" s="35">
        <v>178.0</v>
      </c>
      <c r="G1812" s="35">
        <v>4.22</v>
      </c>
      <c r="H1812" s="35">
        <v>42.2</v>
      </c>
      <c r="I1812" s="35" t="s">
        <v>75</v>
      </c>
    </row>
    <row r="1813" ht="22.5" customHeight="1">
      <c r="A1813" s="35" t="s">
        <v>3863</v>
      </c>
      <c r="B1813" s="35" t="s">
        <v>3864</v>
      </c>
      <c r="C1813" s="35" t="s">
        <v>7757</v>
      </c>
      <c r="D1813" s="35" t="s">
        <v>155</v>
      </c>
      <c r="E1813" s="35" t="s">
        <v>420</v>
      </c>
      <c r="F1813" s="35">
        <v>285.0</v>
      </c>
      <c r="G1813" s="35">
        <v>7.73</v>
      </c>
      <c r="H1813" s="35">
        <v>36.9</v>
      </c>
      <c r="I1813" s="35" t="s">
        <v>75</v>
      </c>
    </row>
    <row r="1814" ht="22.5" customHeight="1">
      <c r="A1814" s="35" t="s">
        <v>3865</v>
      </c>
      <c r="B1814" s="35" t="s">
        <v>3866</v>
      </c>
      <c r="C1814" s="35" t="s">
        <v>7757</v>
      </c>
      <c r="D1814" s="35" t="s">
        <v>170</v>
      </c>
      <c r="E1814" s="35" t="s">
        <v>452</v>
      </c>
      <c r="F1814" s="35">
        <v>375.0</v>
      </c>
      <c r="G1814" s="35">
        <v>3.24</v>
      </c>
      <c r="H1814" s="35">
        <v>115.7</v>
      </c>
      <c r="I1814" s="35" t="s">
        <v>75</v>
      </c>
    </row>
    <row r="1815" ht="22.5" customHeight="1">
      <c r="A1815" s="35" t="s">
        <v>3867</v>
      </c>
      <c r="B1815" s="35" t="s">
        <v>3868</v>
      </c>
      <c r="C1815" s="35" t="s">
        <v>7757</v>
      </c>
      <c r="D1815" s="35" t="s">
        <v>196</v>
      </c>
      <c r="E1815" s="35" t="s">
        <v>514</v>
      </c>
      <c r="F1815" s="35">
        <v>616.0</v>
      </c>
      <c r="G1815" s="35">
        <v>9.15</v>
      </c>
      <c r="H1815" s="35">
        <v>67.3</v>
      </c>
      <c r="I1815" s="35" t="s">
        <v>62</v>
      </c>
    </row>
    <row r="1816" ht="22.5" customHeight="1">
      <c r="A1816" s="35" t="s">
        <v>3869</v>
      </c>
      <c r="B1816" s="35" t="s">
        <v>3870</v>
      </c>
      <c r="C1816" s="35" t="s">
        <v>7757</v>
      </c>
      <c r="D1816" s="35" t="s">
        <v>195</v>
      </c>
      <c r="E1816" s="35" t="s">
        <v>509</v>
      </c>
      <c r="F1816" s="35">
        <v>1581.0</v>
      </c>
      <c r="G1816" s="35">
        <v>10.3</v>
      </c>
      <c r="H1816" s="35">
        <v>153.5</v>
      </c>
      <c r="I1816" s="35" t="s">
        <v>62</v>
      </c>
    </row>
    <row r="1817" ht="22.5" customHeight="1">
      <c r="A1817" s="35" t="s">
        <v>3871</v>
      </c>
      <c r="B1817" s="35" t="s">
        <v>3872</v>
      </c>
      <c r="C1817" s="35" t="s">
        <v>7757</v>
      </c>
      <c r="D1817" s="35" t="s">
        <v>196</v>
      </c>
      <c r="E1817" s="35" t="s">
        <v>514</v>
      </c>
      <c r="F1817" s="35">
        <v>258.0</v>
      </c>
      <c r="G1817" s="35">
        <v>4.57</v>
      </c>
      <c r="H1817" s="35">
        <v>56.5</v>
      </c>
      <c r="I1817" s="35" t="s">
        <v>75</v>
      </c>
    </row>
    <row r="1818" ht="22.5" customHeight="1">
      <c r="A1818" s="35" t="s">
        <v>3873</v>
      </c>
      <c r="B1818" s="35" t="s">
        <v>3874</v>
      </c>
      <c r="C1818" s="35" t="s">
        <v>7757</v>
      </c>
      <c r="D1818" s="35" t="s">
        <v>124</v>
      </c>
      <c r="E1818" s="35" t="s">
        <v>333</v>
      </c>
      <c r="F1818" s="35">
        <v>8677.0</v>
      </c>
      <c r="G1818" s="35">
        <v>6.68</v>
      </c>
      <c r="H1818" s="35">
        <v>1299.0</v>
      </c>
      <c r="I1818" s="35" t="s">
        <v>142</v>
      </c>
    </row>
    <row r="1819" ht="22.5" customHeight="1">
      <c r="A1819" s="35" t="s">
        <v>3875</v>
      </c>
      <c r="B1819" s="35" t="s">
        <v>3876</v>
      </c>
      <c r="C1819" s="35" t="s">
        <v>7757</v>
      </c>
      <c r="D1819" s="35" t="s">
        <v>196</v>
      </c>
      <c r="E1819" s="35" t="s">
        <v>514</v>
      </c>
      <c r="F1819" s="35">
        <v>531.0</v>
      </c>
      <c r="G1819" s="35">
        <v>7.27</v>
      </c>
      <c r="H1819" s="35">
        <v>73.0</v>
      </c>
      <c r="I1819" s="35" t="s">
        <v>62</v>
      </c>
    </row>
    <row r="1820" ht="22.5" customHeight="1">
      <c r="A1820" s="35" t="s">
        <v>3877</v>
      </c>
      <c r="B1820" s="35" t="s">
        <v>3878</v>
      </c>
      <c r="C1820" s="35" t="s">
        <v>7757</v>
      </c>
      <c r="D1820" s="35" t="s">
        <v>195</v>
      </c>
      <c r="E1820" s="35" t="s">
        <v>509</v>
      </c>
      <c r="F1820" s="35">
        <v>641.0</v>
      </c>
      <c r="G1820" s="35">
        <v>13.29</v>
      </c>
      <c r="H1820" s="35">
        <v>48.2</v>
      </c>
      <c r="I1820" s="35" t="s">
        <v>62</v>
      </c>
    </row>
    <row r="1821" ht="22.5" customHeight="1">
      <c r="A1821" s="35" t="s">
        <v>3879</v>
      </c>
      <c r="B1821" s="35" t="s">
        <v>3880</v>
      </c>
      <c r="C1821" s="35" t="s">
        <v>7757</v>
      </c>
      <c r="D1821" s="35" t="s">
        <v>196</v>
      </c>
      <c r="E1821" s="35" t="s">
        <v>514</v>
      </c>
      <c r="F1821" s="35">
        <v>484.0</v>
      </c>
      <c r="G1821" s="35">
        <v>6.85</v>
      </c>
      <c r="H1821" s="35">
        <v>70.7</v>
      </c>
      <c r="I1821" s="35" t="s">
        <v>75</v>
      </c>
    </row>
    <row r="1822" ht="22.5" customHeight="1">
      <c r="A1822" s="35" t="s">
        <v>3881</v>
      </c>
      <c r="B1822" s="35" t="s">
        <v>3882</v>
      </c>
      <c r="C1822" s="35" t="s">
        <v>7757</v>
      </c>
      <c r="D1822" s="35" t="s">
        <v>159</v>
      </c>
      <c r="E1822" s="35" t="s">
        <v>430</v>
      </c>
      <c r="F1822" s="35">
        <v>1409.0</v>
      </c>
      <c r="G1822" s="35">
        <v>8.14</v>
      </c>
      <c r="H1822" s="35">
        <v>173.1</v>
      </c>
      <c r="I1822" s="35" t="s">
        <v>62</v>
      </c>
    </row>
    <row r="1823" ht="22.5" customHeight="1">
      <c r="A1823" s="35" t="s">
        <v>3883</v>
      </c>
      <c r="B1823" s="35" t="s">
        <v>3884</v>
      </c>
      <c r="C1823" s="35" t="s">
        <v>7757</v>
      </c>
      <c r="D1823" s="35" t="s">
        <v>159</v>
      </c>
      <c r="E1823" s="35" t="s">
        <v>430</v>
      </c>
      <c r="F1823" s="35">
        <v>136.0</v>
      </c>
      <c r="G1823" s="35">
        <v>5.11</v>
      </c>
      <c r="H1823" s="35">
        <v>26.6</v>
      </c>
      <c r="I1823" s="35" t="s">
        <v>75</v>
      </c>
    </row>
    <row r="1824" ht="22.5" customHeight="1">
      <c r="A1824" s="35" t="s">
        <v>3885</v>
      </c>
      <c r="B1824" s="35" t="s">
        <v>3886</v>
      </c>
      <c r="C1824" s="35" t="s">
        <v>7757</v>
      </c>
      <c r="D1824" s="35" t="s">
        <v>200</v>
      </c>
      <c r="E1824" s="35" t="s">
        <v>494</v>
      </c>
      <c r="F1824" s="35">
        <v>221.0</v>
      </c>
      <c r="G1824" s="35">
        <v>3.15</v>
      </c>
      <c r="H1824" s="35">
        <v>70.2</v>
      </c>
      <c r="I1824" s="35" t="s">
        <v>75</v>
      </c>
    </row>
    <row r="1825" ht="22.5" customHeight="1">
      <c r="A1825" s="35" t="s">
        <v>3887</v>
      </c>
      <c r="B1825" s="35" t="s">
        <v>3888</v>
      </c>
      <c r="C1825" s="35" t="s">
        <v>7757</v>
      </c>
      <c r="D1825" s="35" t="s">
        <v>131</v>
      </c>
      <c r="E1825" s="35" t="s">
        <v>341</v>
      </c>
      <c r="F1825" s="35">
        <v>344.0</v>
      </c>
      <c r="G1825" s="35">
        <v>7.63</v>
      </c>
      <c r="H1825" s="35">
        <v>45.1</v>
      </c>
      <c r="I1825" s="35" t="s">
        <v>75</v>
      </c>
    </row>
    <row r="1826" ht="22.5" customHeight="1">
      <c r="A1826" s="35" t="s">
        <v>3889</v>
      </c>
      <c r="B1826" s="35" t="s">
        <v>3890</v>
      </c>
      <c r="C1826" s="35" t="s">
        <v>7757</v>
      </c>
      <c r="D1826" s="35" t="s">
        <v>115</v>
      </c>
      <c r="E1826" s="35" t="s">
        <v>129</v>
      </c>
      <c r="F1826" s="35">
        <v>211.0</v>
      </c>
      <c r="G1826" s="35">
        <v>3.74</v>
      </c>
      <c r="H1826" s="35">
        <v>56.4</v>
      </c>
      <c r="I1826" s="35" t="s">
        <v>75</v>
      </c>
    </row>
    <row r="1827" ht="22.5" customHeight="1">
      <c r="A1827" s="35" t="s">
        <v>3891</v>
      </c>
      <c r="B1827" s="35" t="s">
        <v>3892</v>
      </c>
      <c r="C1827" s="35" t="s">
        <v>7757</v>
      </c>
      <c r="D1827" s="35" t="s">
        <v>170</v>
      </c>
      <c r="E1827" s="35" t="s">
        <v>452</v>
      </c>
      <c r="F1827" s="35">
        <v>789.0</v>
      </c>
      <c r="G1827" s="35">
        <v>6.57</v>
      </c>
      <c r="H1827" s="35">
        <v>120.1</v>
      </c>
      <c r="I1827" s="35" t="s">
        <v>62</v>
      </c>
    </row>
    <row r="1828" ht="22.5" customHeight="1">
      <c r="A1828" s="35" t="s">
        <v>3893</v>
      </c>
      <c r="B1828" s="35" t="s">
        <v>3894</v>
      </c>
      <c r="C1828" s="35" t="s">
        <v>7757</v>
      </c>
      <c r="D1828" s="35" t="s">
        <v>231</v>
      </c>
      <c r="E1828" s="35" t="s">
        <v>406</v>
      </c>
      <c r="F1828" s="35">
        <v>600.0</v>
      </c>
      <c r="G1828" s="35">
        <v>3.36</v>
      </c>
      <c r="H1828" s="35">
        <v>178.6</v>
      </c>
      <c r="I1828" s="35" t="s">
        <v>62</v>
      </c>
    </row>
    <row r="1829" ht="22.5" customHeight="1">
      <c r="A1829" s="35" t="s">
        <v>3895</v>
      </c>
      <c r="B1829" s="35" t="s">
        <v>3896</v>
      </c>
      <c r="C1829" s="35" t="s">
        <v>7757</v>
      </c>
      <c r="D1829" s="35" t="s">
        <v>203</v>
      </c>
      <c r="E1829" s="35" t="s">
        <v>524</v>
      </c>
      <c r="F1829" s="35">
        <v>103.0</v>
      </c>
      <c r="G1829" s="35">
        <v>4.89</v>
      </c>
      <c r="H1829" s="35">
        <v>21.1</v>
      </c>
      <c r="I1829" s="35" t="s">
        <v>75</v>
      </c>
    </row>
    <row r="1830" ht="22.5" customHeight="1">
      <c r="A1830" s="35" t="s">
        <v>3897</v>
      </c>
      <c r="B1830" s="35" t="s">
        <v>3898</v>
      </c>
      <c r="C1830" s="35" t="s">
        <v>7757</v>
      </c>
      <c r="D1830" s="35" t="s">
        <v>176</v>
      </c>
      <c r="E1830" s="35" t="s">
        <v>470</v>
      </c>
      <c r="F1830" s="35">
        <v>13897.0</v>
      </c>
      <c r="G1830" s="35">
        <v>23.06</v>
      </c>
      <c r="H1830" s="35">
        <v>602.6</v>
      </c>
      <c r="I1830" s="35" t="s">
        <v>571</v>
      </c>
    </row>
    <row r="1831" ht="22.5" customHeight="1">
      <c r="A1831" s="35" t="s">
        <v>3899</v>
      </c>
      <c r="B1831" s="35" t="s">
        <v>3900</v>
      </c>
      <c r="C1831" s="35" t="s">
        <v>7757</v>
      </c>
      <c r="D1831" s="35" t="s">
        <v>203</v>
      </c>
      <c r="E1831" s="35" t="s">
        <v>524</v>
      </c>
      <c r="F1831" s="35">
        <v>604.0</v>
      </c>
      <c r="G1831" s="35">
        <v>11.31</v>
      </c>
      <c r="H1831" s="35">
        <v>53.4</v>
      </c>
      <c r="I1831" s="35" t="s">
        <v>62</v>
      </c>
    </row>
    <row r="1832" ht="22.5" customHeight="1">
      <c r="A1832" s="35" t="s">
        <v>3901</v>
      </c>
      <c r="B1832" s="35" t="s">
        <v>3902</v>
      </c>
      <c r="C1832" s="35" t="s">
        <v>7757</v>
      </c>
      <c r="D1832" s="35" t="s">
        <v>159</v>
      </c>
      <c r="E1832" s="35" t="s">
        <v>430</v>
      </c>
      <c r="F1832" s="35">
        <v>66.0</v>
      </c>
      <c r="G1832" s="35">
        <v>3.46</v>
      </c>
      <c r="H1832" s="35">
        <v>19.1</v>
      </c>
      <c r="I1832" s="35" t="s">
        <v>75</v>
      </c>
    </row>
    <row r="1833" ht="22.5" customHeight="1">
      <c r="A1833" s="35" t="s">
        <v>3903</v>
      </c>
      <c r="B1833" s="35" t="s">
        <v>3904</v>
      </c>
      <c r="C1833" s="35" t="s">
        <v>7757</v>
      </c>
      <c r="D1833" s="35" t="s">
        <v>231</v>
      </c>
      <c r="E1833" s="35" t="s">
        <v>406</v>
      </c>
      <c r="F1833" s="35">
        <v>2439.0</v>
      </c>
      <c r="G1833" s="35">
        <v>6.05</v>
      </c>
      <c r="H1833" s="35">
        <v>403.1</v>
      </c>
      <c r="I1833" s="35" t="s">
        <v>142</v>
      </c>
    </row>
    <row r="1834" ht="22.5" customHeight="1">
      <c r="A1834" s="35" t="s">
        <v>3905</v>
      </c>
      <c r="B1834" s="35" t="s">
        <v>3906</v>
      </c>
      <c r="C1834" s="35" t="s">
        <v>7757</v>
      </c>
      <c r="D1834" s="35" t="s">
        <v>155</v>
      </c>
      <c r="E1834" s="35" t="s">
        <v>420</v>
      </c>
      <c r="F1834" s="35">
        <v>248.0</v>
      </c>
      <c r="G1834" s="35">
        <v>4.12</v>
      </c>
      <c r="H1834" s="35">
        <v>60.2</v>
      </c>
      <c r="I1834" s="35" t="s">
        <v>75</v>
      </c>
    </row>
    <row r="1835" ht="22.5" customHeight="1">
      <c r="A1835" s="35" t="s">
        <v>3907</v>
      </c>
      <c r="B1835" s="35" t="s">
        <v>3908</v>
      </c>
      <c r="C1835" s="35" t="s">
        <v>7757</v>
      </c>
      <c r="D1835" s="35" t="s">
        <v>203</v>
      </c>
      <c r="E1835" s="35" t="s">
        <v>524</v>
      </c>
      <c r="F1835" s="35">
        <v>265.0</v>
      </c>
      <c r="G1835" s="35">
        <v>6.3</v>
      </c>
      <c r="H1835" s="35">
        <v>42.1</v>
      </c>
      <c r="I1835" s="35" t="s">
        <v>75</v>
      </c>
    </row>
    <row r="1836" ht="22.5" customHeight="1">
      <c r="A1836" s="35" t="s">
        <v>3909</v>
      </c>
      <c r="B1836" s="35" t="s">
        <v>3910</v>
      </c>
      <c r="C1836" s="35" t="s">
        <v>7757</v>
      </c>
      <c r="D1836" s="35" t="s">
        <v>211</v>
      </c>
      <c r="E1836" s="35" t="s">
        <v>544</v>
      </c>
      <c r="F1836" s="35">
        <v>770.0</v>
      </c>
      <c r="G1836" s="35">
        <v>6.64</v>
      </c>
      <c r="H1836" s="35">
        <v>116.0</v>
      </c>
      <c r="I1836" s="35" t="s">
        <v>62</v>
      </c>
    </row>
    <row r="1837" ht="22.5" customHeight="1">
      <c r="A1837" s="35" t="s">
        <v>3911</v>
      </c>
      <c r="B1837" s="35" t="s">
        <v>3912</v>
      </c>
      <c r="C1837" s="35" t="s">
        <v>7757</v>
      </c>
      <c r="D1837" s="35" t="s">
        <v>124</v>
      </c>
      <c r="E1837" s="35" t="s">
        <v>333</v>
      </c>
      <c r="F1837" s="35">
        <v>2327.0</v>
      </c>
      <c r="G1837" s="35">
        <v>7.72</v>
      </c>
      <c r="H1837" s="35">
        <v>301.4</v>
      </c>
      <c r="I1837" s="35" t="s">
        <v>142</v>
      </c>
    </row>
    <row r="1838" ht="22.5" customHeight="1">
      <c r="A1838" s="35" t="s">
        <v>3913</v>
      </c>
      <c r="B1838" s="35" t="s">
        <v>3914</v>
      </c>
      <c r="C1838" s="35" t="s">
        <v>7757</v>
      </c>
      <c r="D1838" s="35" t="s">
        <v>131</v>
      </c>
      <c r="E1838" s="35" t="s">
        <v>341</v>
      </c>
      <c r="F1838" s="35">
        <v>1922.0</v>
      </c>
      <c r="G1838" s="35">
        <v>19.28</v>
      </c>
      <c r="H1838" s="35">
        <v>99.7</v>
      </c>
      <c r="I1838" s="35" t="s">
        <v>62</v>
      </c>
    </row>
    <row r="1839" ht="22.5" customHeight="1">
      <c r="A1839" s="35" t="s">
        <v>3915</v>
      </c>
      <c r="B1839" s="35" t="s">
        <v>3916</v>
      </c>
      <c r="C1839" s="35" t="s">
        <v>7757</v>
      </c>
      <c r="D1839" s="35" t="s">
        <v>188</v>
      </c>
      <c r="E1839" s="35" t="s">
        <v>491</v>
      </c>
      <c r="F1839" s="35">
        <v>1487.0</v>
      </c>
      <c r="G1839" s="35">
        <v>3.94</v>
      </c>
      <c r="H1839" s="35">
        <v>377.4</v>
      </c>
      <c r="I1839" s="35" t="s">
        <v>62</v>
      </c>
    </row>
    <row r="1840" ht="22.5" customHeight="1">
      <c r="A1840" s="35" t="s">
        <v>3917</v>
      </c>
      <c r="B1840" s="35" t="s">
        <v>3918</v>
      </c>
      <c r="C1840" s="35" t="s">
        <v>7757</v>
      </c>
      <c r="D1840" s="35" t="s">
        <v>159</v>
      </c>
      <c r="E1840" s="35" t="s">
        <v>430</v>
      </c>
      <c r="F1840" s="35">
        <v>1117.0</v>
      </c>
      <c r="G1840" s="35">
        <v>9.39</v>
      </c>
      <c r="H1840" s="35">
        <v>119.0</v>
      </c>
      <c r="I1840" s="35" t="s">
        <v>62</v>
      </c>
    </row>
    <row r="1841" ht="22.5" customHeight="1">
      <c r="A1841" s="35" t="s">
        <v>3919</v>
      </c>
      <c r="B1841" s="35" t="s">
        <v>3920</v>
      </c>
      <c r="C1841" s="35" t="s">
        <v>7757</v>
      </c>
      <c r="D1841" s="35" t="s">
        <v>175</v>
      </c>
      <c r="E1841" s="35" t="s">
        <v>463</v>
      </c>
      <c r="F1841" s="35">
        <v>947.0</v>
      </c>
      <c r="G1841" s="35">
        <v>6.61</v>
      </c>
      <c r="H1841" s="35">
        <v>143.3</v>
      </c>
      <c r="I1841" s="35" t="s">
        <v>62</v>
      </c>
    </row>
    <row r="1842" ht="22.5" customHeight="1">
      <c r="A1842" s="35" t="s">
        <v>3921</v>
      </c>
      <c r="B1842" s="35" t="s">
        <v>3922</v>
      </c>
      <c r="C1842" s="35" t="s">
        <v>7757</v>
      </c>
      <c r="D1842" s="35" t="s">
        <v>159</v>
      </c>
      <c r="E1842" s="35" t="s">
        <v>430</v>
      </c>
      <c r="F1842" s="35">
        <v>211.0</v>
      </c>
      <c r="G1842" s="35">
        <v>4.55</v>
      </c>
      <c r="H1842" s="35">
        <v>46.4</v>
      </c>
      <c r="I1842" s="35" t="s">
        <v>75</v>
      </c>
    </row>
    <row r="1843" ht="22.5" customHeight="1">
      <c r="A1843" s="35" t="s">
        <v>3923</v>
      </c>
      <c r="B1843" s="35" t="s">
        <v>3924</v>
      </c>
      <c r="C1843" s="35" t="s">
        <v>7757</v>
      </c>
      <c r="D1843" s="35" t="s">
        <v>196</v>
      </c>
      <c r="E1843" s="35" t="s">
        <v>514</v>
      </c>
      <c r="F1843" s="35">
        <v>772.0</v>
      </c>
      <c r="G1843" s="35">
        <v>7.99</v>
      </c>
      <c r="H1843" s="35">
        <v>96.6</v>
      </c>
      <c r="I1843" s="35" t="s">
        <v>62</v>
      </c>
    </row>
    <row r="1844" ht="22.5" customHeight="1">
      <c r="A1844" s="35" t="s">
        <v>3925</v>
      </c>
      <c r="B1844" s="35" t="s">
        <v>3926</v>
      </c>
      <c r="C1844" s="35" t="s">
        <v>7757</v>
      </c>
      <c r="D1844" s="35" t="s">
        <v>188</v>
      </c>
      <c r="E1844" s="35" t="s">
        <v>491</v>
      </c>
      <c r="F1844" s="35">
        <v>2155.0</v>
      </c>
      <c r="G1844" s="35">
        <v>3.94</v>
      </c>
      <c r="H1844" s="35">
        <v>547.0</v>
      </c>
      <c r="I1844" s="35" t="s">
        <v>142</v>
      </c>
    </row>
    <row r="1845" ht="22.5" customHeight="1">
      <c r="A1845" s="35" t="s">
        <v>3927</v>
      </c>
      <c r="B1845" s="35" t="s">
        <v>3928</v>
      </c>
      <c r="C1845" s="35" t="s">
        <v>7757</v>
      </c>
      <c r="D1845" s="35" t="s">
        <v>200</v>
      </c>
      <c r="E1845" s="35" t="s">
        <v>494</v>
      </c>
      <c r="F1845" s="35">
        <v>247.0</v>
      </c>
      <c r="G1845" s="35">
        <v>3.2</v>
      </c>
      <c r="H1845" s="35">
        <v>77.2</v>
      </c>
      <c r="I1845" s="35" t="s">
        <v>75</v>
      </c>
    </row>
    <row r="1846" ht="22.5" customHeight="1">
      <c r="A1846" s="35" t="s">
        <v>3929</v>
      </c>
      <c r="B1846" s="35" t="s">
        <v>3930</v>
      </c>
      <c r="C1846" s="35" t="s">
        <v>7757</v>
      </c>
      <c r="D1846" s="35" t="s">
        <v>211</v>
      </c>
      <c r="E1846" s="35" t="s">
        <v>544</v>
      </c>
      <c r="F1846" s="35">
        <v>765.0</v>
      </c>
      <c r="G1846" s="35">
        <v>9.21</v>
      </c>
      <c r="H1846" s="35">
        <v>83.1</v>
      </c>
      <c r="I1846" s="35" t="s">
        <v>62</v>
      </c>
    </row>
    <row r="1847" ht="22.5" customHeight="1">
      <c r="A1847" s="35" t="s">
        <v>3931</v>
      </c>
      <c r="B1847" s="35" t="s">
        <v>3932</v>
      </c>
      <c r="C1847" s="35" t="s">
        <v>7757</v>
      </c>
      <c r="D1847" s="35" t="s">
        <v>211</v>
      </c>
      <c r="E1847" s="35" t="s">
        <v>544</v>
      </c>
      <c r="F1847" s="35">
        <v>672.0</v>
      </c>
      <c r="G1847" s="35">
        <v>4.07</v>
      </c>
      <c r="H1847" s="35">
        <v>165.1</v>
      </c>
      <c r="I1847" s="35" t="s">
        <v>62</v>
      </c>
    </row>
    <row r="1848" ht="22.5" customHeight="1">
      <c r="A1848" s="35" t="s">
        <v>3933</v>
      </c>
      <c r="B1848" s="35" t="s">
        <v>3934</v>
      </c>
      <c r="C1848" s="35" t="s">
        <v>7757</v>
      </c>
      <c r="D1848" s="35" t="s">
        <v>195</v>
      </c>
      <c r="E1848" s="35" t="s">
        <v>509</v>
      </c>
      <c r="F1848" s="35">
        <v>425.0</v>
      </c>
      <c r="G1848" s="35">
        <v>5.58</v>
      </c>
      <c r="H1848" s="35">
        <v>76.2</v>
      </c>
      <c r="I1848" s="35" t="s">
        <v>75</v>
      </c>
    </row>
    <row r="1849" ht="22.5" customHeight="1">
      <c r="A1849" s="35" t="s">
        <v>3935</v>
      </c>
      <c r="B1849" s="35" t="s">
        <v>3936</v>
      </c>
      <c r="C1849" s="35" t="s">
        <v>7757</v>
      </c>
      <c r="D1849" s="35" t="s">
        <v>115</v>
      </c>
      <c r="E1849" s="35" t="s">
        <v>129</v>
      </c>
      <c r="F1849" s="35">
        <v>14257.0</v>
      </c>
      <c r="G1849" s="35">
        <v>10.63</v>
      </c>
      <c r="H1849" s="35">
        <v>1341.2</v>
      </c>
      <c r="I1849" s="35" t="s">
        <v>571</v>
      </c>
    </row>
    <row r="1850" ht="22.5" customHeight="1">
      <c r="A1850" s="35" t="s">
        <v>3937</v>
      </c>
      <c r="B1850" s="35" t="s">
        <v>3938</v>
      </c>
      <c r="C1850" s="35" t="s">
        <v>7757</v>
      </c>
      <c r="D1850" s="35" t="s">
        <v>228</v>
      </c>
      <c r="E1850" s="35" t="s">
        <v>396</v>
      </c>
      <c r="F1850" s="35">
        <v>159.0</v>
      </c>
      <c r="G1850" s="35">
        <v>5.91</v>
      </c>
      <c r="H1850" s="35">
        <v>26.9</v>
      </c>
      <c r="I1850" s="35" t="s">
        <v>75</v>
      </c>
    </row>
    <row r="1851" ht="22.5" customHeight="1">
      <c r="A1851" s="35" t="s">
        <v>3939</v>
      </c>
      <c r="B1851" s="35" t="s">
        <v>3940</v>
      </c>
      <c r="C1851" s="35" t="s">
        <v>7757</v>
      </c>
      <c r="D1851" s="35" t="s">
        <v>203</v>
      </c>
      <c r="E1851" s="35" t="s">
        <v>524</v>
      </c>
      <c r="F1851" s="35">
        <v>166.0</v>
      </c>
      <c r="G1851" s="35">
        <v>4.92</v>
      </c>
      <c r="H1851" s="35">
        <v>33.7</v>
      </c>
      <c r="I1851" s="35" t="s">
        <v>75</v>
      </c>
    </row>
    <row r="1852" ht="22.5" customHeight="1">
      <c r="A1852" s="35" t="s">
        <v>3941</v>
      </c>
      <c r="B1852" s="35" t="s">
        <v>3942</v>
      </c>
      <c r="C1852" s="35" t="s">
        <v>7757</v>
      </c>
      <c r="D1852" s="35" t="s">
        <v>203</v>
      </c>
      <c r="E1852" s="35" t="s">
        <v>524</v>
      </c>
      <c r="F1852" s="35">
        <v>392.0</v>
      </c>
      <c r="G1852" s="35">
        <v>7.91</v>
      </c>
      <c r="H1852" s="35">
        <v>49.6</v>
      </c>
      <c r="I1852" s="35" t="s">
        <v>75</v>
      </c>
    </row>
    <row r="1853" ht="22.5" customHeight="1">
      <c r="A1853" s="35" t="s">
        <v>3943</v>
      </c>
      <c r="B1853" s="35" t="s">
        <v>3944</v>
      </c>
      <c r="C1853" s="35" t="s">
        <v>7757</v>
      </c>
      <c r="D1853" s="35" t="s">
        <v>211</v>
      </c>
      <c r="E1853" s="35" t="s">
        <v>544</v>
      </c>
      <c r="F1853" s="35">
        <v>530.0</v>
      </c>
      <c r="G1853" s="35">
        <v>16.76</v>
      </c>
      <c r="H1853" s="35">
        <v>31.6</v>
      </c>
      <c r="I1853" s="35" t="s">
        <v>62</v>
      </c>
    </row>
    <row r="1854" ht="22.5" customHeight="1">
      <c r="A1854" s="35" t="s">
        <v>3945</v>
      </c>
      <c r="B1854" s="35" t="s">
        <v>3946</v>
      </c>
      <c r="C1854" s="35" t="s">
        <v>7757</v>
      </c>
      <c r="D1854" s="35" t="s">
        <v>228</v>
      </c>
      <c r="E1854" s="35" t="s">
        <v>396</v>
      </c>
      <c r="F1854" s="35">
        <v>416.0</v>
      </c>
      <c r="G1854" s="35">
        <v>14.36</v>
      </c>
      <c r="H1854" s="35">
        <v>29.0</v>
      </c>
      <c r="I1854" s="35" t="s">
        <v>75</v>
      </c>
    </row>
    <row r="1855" ht="22.5" customHeight="1">
      <c r="A1855" s="35" t="s">
        <v>3947</v>
      </c>
      <c r="B1855" s="35" t="s">
        <v>3948</v>
      </c>
      <c r="C1855" s="35" t="s">
        <v>7757</v>
      </c>
      <c r="D1855" s="35" t="s">
        <v>228</v>
      </c>
      <c r="E1855" s="35" t="s">
        <v>396</v>
      </c>
      <c r="F1855" s="35">
        <v>207.0</v>
      </c>
      <c r="G1855" s="35">
        <v>5.19</v>
      </c>
      <c r="H1855" s="35">
        <v>39.9</v>
      </c>
      <c r="I1855" s="35" t="s">
        <v>75</v>
      </c>
    </row>
    <row r="1856" ht="22.5" customHeight="1">
      <c r="A1856" s="35" t="s">
        <v>3949</v>
      </c>
      <c r="B1856" s="35" t="s">
        <v>3950</v>
      </c>
      <c r="C1856" s="35" t="s">
        <v>7757</v>
      </c>
      <c r="D1856" s="35" t="s">
        <v>170</v>
      </c>
      <c r="E1856" s="35" t="s">
        <v>452</v>
      </c>
      <c r="F1856" s="35">
        <v>1142.0</v>
      </c>
      <c r="G1856" s="35">
        <v>7.28</v>
      </c>
      <c r="H1856" s="35">
        <v>156.9</v>
      </c>
      <c r="I1856" s="35" t="s">
        <v>62</v>
      </c>
    </row>
    <row r="1857" ht="22.5" customHeight="1">
      <c r="A1857" s="35" t="s">
        <v>3951</v>
      </c>
      <c r="B1857" s="35" t="s">
        <v>3952</v>
      </c>
      <c r="C1857" s="35" t="s">
        <v>7757</v>
      </c>
      <c r="D1857" s="35" t="s">
        <v>160</v>
      </c>
      <c r="E1857" s="35" t="s">
        <v>435</v>
      </c>
      <c r="F1857" s="35">
        <v>294.0</v>
      </c>
      <c r="G1857" s="35">
        <v>3.39</v>
      </c>
      <c r="H1857" s="35">
        <v>86.7</v>
      </c>
      <c r="I1857" s="35" t="s">
        <v>75</v>
      </c>
    </row>
    <row r="1858" ht="22.5" customHeight="1">
      <c r="A1858" s="35" t="s">
        <v>3953</v>
      </c>
      <c r="B1858" s="35" t="s">
        <v>3954</v>
      </c>
      <c r="C1858" s="35" t="s">
        <v>7757</v>
      </c>
      <c r="D1858" s="35" t="s">
        <v>155</v>
      </c>
      <c r="E1858" s="35" t="s">
        <v>420</v>
      </c>
      <c r="F1858" s="35">
        <v>497.0</v>
      </c>
      <c r="G1858" s="35">
        <v>10.6</v>
      </c>
      <c r="H1858" s="35">
        <v>46.9</v>
      </c>
      <c r="I1858" s="35" t="s">
        <v>75</v>
      </c>
    </row>
    <row r="1859" ht="22.5" customHeight="1">
      <c r="A1859" s="35" t="s">
        <v>3955</v>
      </c>
      <c r="B1859" s="35" t="s">
        <v>3956</v>
      </c>
      <c r="C1859" s="35" t="s">
        <v>7757</v>
      </c>
      <c r="D1859" s="35" t="s">
        <v>231</v>
      </c>
      <c r="E1859" s="35" t="s">
        <v>406</v>
      </c>
      <c r="F1859" s="35">
        <v>239.0</v>
      </c>
      <c r="G1859" s="35">
        <v>1.49</v>
      </c>
      <c r="H1859" s="35">
        <v>160.4</v>
      </c>
      <c r="I1859" s="35" t="s">
        <v>75</v>
      </c>
    </row>
    <row r="1860" ht="22.5" customHeight="1">
      <c r="A1860" s="35" t="s">
        <v>3957</v>
      </c>
      <c r="B1860" s="35" t="s">
        <v>3958</v>
      </c>
      <c r="C1860" s="35" t="s">
        <v>7757</v>
      </c>
      <c r="D1860" s="35" t="s">
        <v>176</v>
      </c>
      <c r="E1860" s="35" t="s">
        <v>470</v>
      </c>
      <c r="F1860" s="35">
        <v>187.0</v>
      </c>
      <c r="G1860" s="35">
        <v>3.67</v>
      </c>
      <c r="H1860" s="35">
        <v>51.0</v>
      </c>
      <c r="I1860" s="35" t="s">
        <v>75</v>
      </c>
    </row>
    <row r="1861" ht="22.5" customHeight="1">
      <c r="A1861" s="35" t="s">
        <v>3959</v>
      </c>
      <c r="B1861" s="35" t="s">
        <v>3960</v>
      </c>
      <c r="C1861" s="35" t="s">
        <v>7757</v>
      </c>
      <c r="D1861" s="35" t="s">
        <v>131</v>
      </c>
      <c r="E1861" s="35" t="s">
        <v>341</v>
      </c>
      <c r="F1861" s="35">
        <v>652.0</v>
      </c>
      <c r="G1861" s="35">
        <v>7.73</v>
      </c>
      <c r="H1861" s="35">
        <v>84.3</v>
      </c>
      <c r="I1861" s="35" t="s">
        <v>62</v>
      </c>
    </row>
    <row r="1862" ht="22.5" customHeight="1">
      <c r="A1862" s="35" t="s">
        <v>3961</v>
      </c>
      <c r="B1862" s="35" t="s">
        <v>3962</v>
      </c>
      <c r="C1862" s="35" t="s">
        <v>7757</v>
      </c>
      <c r="D1862" s="35" t="s">
        <v>231</v>
      </c>
      <c r="E1862" s="35" t="s">
        <v>406</v>
      </c>
      <c r="F1862" s="35">
        <v>412.0</v>
      </c>
      <c r="G1862" s="35">
        <v>5.97</v>
      </c>
      <c r="H1862" s="35">
        <v>69.0</v>
      </c>
      <c r="I1862" s="35" t="s">
        <v>75</v>
      </c>
    </row>
    <row r="1863" ht="22.5" customHeight="1">
      <c r="A1863" s="35" t="s">
        <v>3963</v>
      </c>
      <c r="B1863" s="35" t="s">
        <v>3964</v>
      </c>
      <c r="C1863" s="35" t="s">
        <v>7757</v>
      </c>
      <c r="D1863" s="35" t="s">
        <v>195</v>
      </c>
      <c r="E1863" s="35" t="s">
        <v>509</v>
      </c>
      <c r="F1863" s="35">
        <v>1035.0</v>
      </c>
      <c r="G1863" s="35">
        <v>25.94</v>
      </c>
      <c r="H1863" s="35">
        <v>39.9</v>
      </c>
      <c r="I1863" s="35" t="s">
        <v>62</v>
      </c>
    </row>
    <row r="1864" ht="22.5" customHeight="1">
      <c r="A1864" s="35" t="s">
        <v>3965</v>
      </c>
      <c r="B1864" s="35" t="s">
        <v>3966</v>
      </c>
      <c r="C1864" s="35" t="s">
        <v>7757</v>
      </c>
      <c r="D1864" s="35" t="s">
        <v>200</v>
      </c>
      <c r="E1864" s="35" t="s">
        <v>494</v>
      </c>
      <c r="F1864" s="35">
        <v>500.0</v>
      </c>
      <c r="G1864" s="35">
        <v>3.31</v>
      </c>
      <c r="H1864" s="35">
        <v>151.1</v>
      </c>
      <c r="I1864" s="35" t="s">
        <v>62</v>
      </c>
    </row>
    <row r="1865" ht="22.5" customHeight="1">
      <c r="A1865" s="35" t="s">
        <v>3967</v>
      </c>
      <c r="B1865" s="35" t="s">
        <v>1257</v>
      </c>
      <c r="C1865" s="35" t="s">
        <v>7757</v>
      </c>
      <c r="D1865" s="35" t="s">
        <v>151</v>
      </c>
      <c r="E1865" s="35" t="s">
        <v>414</v>
      </c>
      <c r="F1865" s="35">
        <v>834.0</v>
      </c>
      <c r="G1865" s="35">
        <v>15.35</v>
      </c>
      <c r="H1865" s="35">
        <v>54.3</v>
      </c>
      <c r="I1865" s="35" t="s">
        <v>62</v>
      </c>
    </row>
    <row r="1866" ht="22.5" customHeight="1">
      <c r="A1866" s="35" t="s">
        <v>3968</v>
      </c>
      <c r="B1866" s="35" t="s">
        <v>3969</v>
      </c>
      <c r="C1866" s="35" t="s">
        <v>7757</v>
      </c>
      <c r="D1866" s="35" t="s">
        <v>231</v>
      </c>
      <c r="E1866" s="35" t="s">
        <v>406</v>
      </c>
      <c r="F1866" s="35">
        <v>958.0</v>
      </c>
      <c r="G1866" s="35">
        <v>6.02</v>
      </c>
      <c r="H1866" s="35">
        <v>159.1</v>
      </c>
      <c r="I1866" s="35" t="s">
        <v>62</v>
      </c>
    </row>
    <row r="1867" ht="22.5" customHeight="1">
      <c r="A1867" s="35" t="s">
        <v>3970</v>
      </c>
      <c r="B1867" s="35" t="s">
        <v>3971</v>
      </c>
      <c r="C1867" s="35" t="s">
        <v>7757</v>
      </c>
      <c r="D1867" s="35" t="s">
        <v>196</v>
      </c>
      <c r="E1867" s="35" t="s">
        <v>514</v>
      </c>
      <c r="F1867" s="35">
        <v>220.0</v>
      </c>
      <c r="G1867" s="35">
        <v>6.6</v>
      </c>
      <c r="H1867" s="35">
        <v>33.3</v>
      </c>
      <c r="I1867" s="35" t="s">
        <v>75</v>
      </c>
    </row>
    <row r="1868" ht="22.5" customHeight="1">
      <c r="A1868" s="35" t="s">
        <v>3972</v>
      </c>
      <c r="B1868" s="35" t="s">
        <v>3973</v>
      </c>
      <c r="C1868" s="35" t="s">
        <v>7757</v>
      </c>
      <c r="D1868" s="35" t="s">
        <v>159</v>
      </c>
      <c r="E1868" s="35" t="s">
        <v>430</v>
      </c>
      <c r="F1868" s="35">
        <v>506.0</v>
      </c>
      <c r="G1868" s="35">
        <v>5.16</v>
      </c>
      <c r="H1868" s="35">
        <v>98.1</v>
      </c>
      <c r="I1868" s="35" t="s">
        <v>62</v>
      </c>
    </row>
    <row r="1869" ht="22.5" customHeight="1">
      <c r="A1869" s="35" t="s">
        <v>3974</v>
      </c>
      <c r="B1869" s="35" t="s">
        <v>3975</v>
      </c>
      <c r="C1869" s="35" t="s">
        <v>7757</v>
      </c>
      <c r="D1869" s="35" t="s">
        <v>155</v>
      </c>
      <c r="E1869" s="35" t="s">
        <v>420</v>
      </c>
      <c r="F1869" s="35">
        <v>84.0</v>
      </c>
      <c r="G1869" s="35">
        <v>4.64</v>
      </c>
      <c r="H1869" s="35">
        <v>18.1</v>
      </c>
      <c r="I1869" s="35" t="s">
        <v>75</v>
      </c>
    </row>
    <row r="1870" ht="22.5" customHeight="1">
      <c r="A1870" s="35" t="s">
        <v>3976</v>
      </c>
      <c r="B1870" s="35" t="s">
        <v>3977</v>
      </c>
      <c r="C1870" s="35" t="s">
        <v>7757</v>
      </c>
      <c r="D1870" s="35" t="s">
        <v>231</v>
      </c>
      <c r="E1870" s="35" t="s">
        <v>406</v>
      </c>
      <c r="F1870" s="35">
        <v>72.0</v>
      </c>
      <c r="G1870" s="35">
        <v>3.23</v>
      </c>
      <c r="H1870" s="35">
        <v>22.3</v>
      </c>
      <c r="I1870" s="35" t="s">
        <v>75</v>
      </c>
    </row>
    <row r="1871" ht="22.5" customHeight="1">
      <c r="A1871" s="35" t="s">
        <v>3978</v>
      </c>
      <c r="B1871" s="35" t="s">
        <v>3979</v>
      </c>
      <c r="C1871" s="35" t="s">
        <v>7757</v>
      </c>
      <c r="D1871" s="35" t="s">
        <v>173</v>
      </c>
      <c r="E1871" s="35" t="s">
        <v>460</v>
      </c>
      <c r="F1871" s="35">
        <v>185.0</v>
      </c>
      <c r="G1871" s="35">
        <v>18.18</v>
      </c>
      <c r="H1871" s="35">
        <v>10.2</v>
      </c>
      <c r="I1871" s="35" t="s">
        <v>75</v>
      </c>
    </row>
    <row r="1872" ht="22.5" customHeight="1">
      <c r="A1872" s="35" t="s">
        <v>3980</v>
      </c>
      <c r="B1872" s="35" t="s">
        <v>3981</v>
      </c>
      <c r="C1872" s="35" t="s">
        <v>7757</v>
      </c>
      <c r="D1872" s="35" t="s">
        <v>183</v>
      </c>
      <c r="E1872" s="35" t="s">
        <v>482</v>
      </c>
      <c r="F1872" s="35">
        <v>5319.0</v>
      </c>
      <c r="G1872" s="35">
        <v>10.21</v>
      </c>
      <c r="H1872" s="35">
        <v>521.0</v>
      </c>
      <c r="I1872" s="35" t="s">
        <v>142</v>
      </c>
    </row>
    <row r="1873" ht="22.5" customHeight="1">
      <c r="A1873" s="35" t="s">
        <v>3982</v>
      </c>
      <c r="B1873" s="35" t="s">
        <v>3983</v>
      </c>
      <c r="C1873" s="35" t="s">
        <v>7757</v>
      </c>
      <c r="D1873" s="35" t="s">
        <v>203</v>
      </c>
      <c r="E1873" s="35" t="s">
        <v>524</v>
      </c>
      <c r="F1873" s="35">
        <v>575.0</v>
      </c>
      <c r="G1873" s="35">
        <v>7.22</v>
      </c>
      <c r="H1873" s="35">
        <v>79.6</v>
      </c>
      <c r="I1873" s="35" t="s">
        <v>62</v>
      </c>
    </row>
    <row r="1874" ht="22.5" customHeight="1">
      <c r="A1874" s="35" t="s">
        <v>3984</v>
      </c>
      <c r="B1874" s="35" t="s">
        <v>3985</v>
      </c>
      <c r="C1874" s="35" t="s">
        <v>7757</v>
      </c>
      <c r="D1874" s="35" t="s">
        <v>160</v>
      </c>
      <c r="E1874" s="35" t="s">
        <v>435</v>
      </c>
      <c r="F1874" s="35">
        <v>647.0</v>
      </c>
      <c r="G1874" s="35">
        <v>9.21</v>
      </c>
      <c r="H1874" s="35">
        <v>70.2</v>
      </c>
      <c r="I1874" s="35" t="s">
        <v>62</v>
      </c>
    </row>
    <row r="1875" ht="22.5" customHeight="1">
      <c r="A1875" s="35" t="s">
        <v>3986</v>
      </c>
      <c r="B1875" s="35" t="s">
        <v>3987</v>
      </c>
      <c r="C1875" s="35" t="s">
        <v>7757</v>
      </c>
      <c r="D1875" s="35" t="s">
        <v>131</v>
      </c>
      <c r="E1875" s="35" t="s">
        <v>341</v>
      </c>
      <c r="F1875" s="35">
        <v>133.0</v>
      </c>
      <c r="G1875" s="35">
        <v>5.39</v>
      </c>
      <c r="H1875" s="35">
        <v>24.7</v>
      </c>
      <c r="I1875" s="35" t="s">
        <v>75</v>
      </c>
    </row>
    <row r="1876" ht="22.5" customHeight="1">
      <c r="A1876" s="35" t="s">
        <v>3988</v>
      </c>
      <c r="B1876" s="35" t="s">
        <v>3989</v>
      </c>
      <c r="C1876" s="35" t="s">
        <v>7757</v>
      </c>
      <c r="D1876" s="35" t="s">
        <v>200</v>
      </c>
      <c r="E1876" s="35" t="s">
        <v>494</v>
      </c>
      <c r="F1876" s="35">
        <v>587.0</v>
      </c>
      <c r="G1876" s="35">
        <v>5.67</v>
      </c>
      <c r="H1876" s="35">
        <v>103.5</v>
      </c>
      <c r="I1876" s="35" t="s">
        <v>62</v>
      </c>
    </row>
    <row r="1877" ht="22.5" customHeight="1">
      <c r="A1877" s="35" t="s">
        <v>3990</v>
      </c>
      <c r="B1877" s="35" t="s">
        <v>3991</v>
      </c>
      <c r="C1877" s="35" t="s">
        <v>7757</v>
      </c>
      <c r="D1877" s="35" t="s">
        <v>159</v>
      </c>
      <c r="E1877" s="35" t="s">
        <v>430</v>
      </c>
      <c r="F1877" s="35">
        <v>141.0</v>
      </c>
      <c r="G1877" s="35">
        <v>4.76</v>
      </c>
      <c r="H1877" s="35">
        <v>29.6</v>
      </c>
      <c r="I1877" s="35" t="s">
        <v>75</v>
      </c>
    </row>
    <row r="1878" ht="22.5" customHeight="1">
      <c r="A1878" s="35" t="s">
        <v>3992</v>
      </c>
      <c r="B1878" s="35" t="s">
        <v>3993</v>
      </c>
      <c r="C1878" s="35" t="s">
        <v>7757</v>
      </c>
      <c r="D1878" s="35" t="s">
        <v>173</v>
      </c>
      <c r="E1878" s="35" t="s">
        <v>460</v>
      </c>
      <c r="F1878" s="35">
        <v>293.0</v>
      </c>
      <c r="G1878" s="35">
        <v>16.69</v>
      </c>
      <c r="H1878" s="35">
        <v>17.6</v>
      </c>
      <c r="I1878" s="35" t="s">
        <v>75</v>
      </c>
    </row>
    <row r="1879" ht="22.5" customHeight="1">
      <c r="A1879" s="35" t="s">
        <v>3994</v>
      </c>
      <c r="B1879" s="35" t="s">
        <v>3995</v>
      </c>
      <c r="C1879" s="35" t="s">
        <v>7757</v>
      </c>
      <c r="D1879" s="35" t="s">
        <v>195</v>
      </c>
      <c r="E1879" s="35" t="s">
        <v>509</v>
      </c>
      <c r="F1879" s="35">
        <v>4258.0</v>
      </c>
      <c r="G1879" s="35">
        <v>20.93</v>
      </c>
      <c r="H1879" s="35">
        <v>203.4</v>
      </c>
      <c r="I1879" s="35" t="s">
        <v>142</v>
      </c>
    </row>
    <row r="1880" ht="22.5" customHeight="1">
      <c r="A1880" s="35" t="s">
        <v>3996</v>
      </c>
      <c r="B1880" s="35" t="s">
        <v>3997</v>
      </c>
      <c r="C1880" s="35" t="s">
        <v>7757</v>
      </c>
      <c r="D1880" s="35" t="s">
        <v>124</v>
      </c>
      <c r="E1880" s="35" t="s">
        <v>333</v>
      </c>
      <c r="F1880" s="35">
        <v>670.0</v>
      </c>
      <c r="G1880" s="35">
        <v>16.44</v>
      </c>
      <c r="H1880" s="35">
        <v>40.8</v>
      </c>
      <c r="I1880" s="35" t="s">
        <v>62</v>
      </c>
    </row>
    <row r="1881" ht="22.5" customHeight="1">
      <c r="A1881" s="35" t="s">
        <v>3998</v>
      </c>
      <c r="B1881" s="35" t="s">
        <v>3999</v>
      </c>
      <c r="C1881" s="35" t="s">
        <v>7757</v>
      </c>
      <c r="D1881" s="35" t="s">
        <v>195</v>
      </c>
      <c r="E1881" s="35" t="s">
        <v>509</v>
      </c>
      <c r="F1881" s="35">
        <v>386.0</v>
      </c>
      <c r="G1881" s="35">
        <v>6.46</v>
      </c>
      <c r="H1881" s="35">
        <v>59.8</v>
      </c>
      <c r="I1881" s="35" t="s">
        <v>75</v>
      </c>
    </row>
    <row r="1882" ht="22.5" customHeight="1">
      <c r="A1882" s="35" t="s">
        <v>4000</v>
      </c>
      <c r="B1882" s="35" t="s">
        <v>4001</v>
      </c>
      <c r="C1882" s="35" t="s">
        <v>7757</v>
      </c>
      <c r="D1882" s="35" t="s">
        <v>196</v>
      </c>
      <c r="E1882" s="35" t="s">
        <v>514</v>
      </c>
      <c r="F1882" s="35">
        <v>280.0</v>
      </c>
      <c r="G1882" s="35">
        <v>7.48</v>
      </c>
      <c r="H1882" s="35">
        <v>37.4</v>
      </c>
      <c r="I1882" s="35" t="s">
        <v>75</v>
      </c>
    </row>
    <row r="1883" ht="22.5" customHeight="1">
      <c r="A1883" s="35" t="s">
        <v>4002</v>
      </c>
      <c r="B1883" s="35" t="s">
        <v>4003</v>
      </c>
      <c r="C1883" s="35" t="s">
        <v>7757</v>
      </c>
      <c r="D1883" s="35" t="s">
        <v>231</v>
      </c>
      <c r="E1883" s="35" t="s">
        <v>406</v>
      </c>
      <c r="F1883" s="35">
        <v>4127.0</v>
      </c>
      <c r="G1883" s="35">
        <v>15.79</v>
      </c>
      <c r="H1883" s="35">
        <v>261.4</v>
      </c>
      <c r="I1883" s="35" t="s">
        <v>142</v>
      </c>
    </row>
    <row r="1884" ht="22.5" customHeight="1">
      <c r="A1884" s="35" t="s">
        <v>4004</v>
      </c>
      <c r="B1884" s="35" t="s">
        <v>4005</v>
      </c>
      <c r="C1884" s="35" t="s">
        <v>7757</v>
      </c>
      <c r="D1884" s="35" t="s">
        <v>183</v>
      </c>
      <c r="E1884" s="35" t="s">
        <v>482</v>
      </c>
      <c r="F1884" s="35">
        <v>1571.0</v>
      </c>
      <c r="G1884" s="35">
        <v>7.76</v>
      </c>
      <c r="H1884" s="35">
        <v>202.4</v>
      </c>
      <c r="I1884" s="35" t="s">
        <v>62</v>
      </c>
    </row>
    <row r="1885" ht="22.5" customHeight="1">
      <c r="A1885" s="35" t="s">
        <v>4006</v>
      </c>
      <c r="B1885" s="35" t="s">
        <v>4007</v>
      </c>
      <c r="C1885" s="35" t="s">
        <v>7757</v>
      </c>
      <c r="D1885" s="35" t="s">
        <v>176</v>
      </c>
      <c r="E1885" s="35" t="s">
        <v>470</v>
      </c>
      <c r="F1885" s="35">
        <v>472.0</v>
      </c>
      <c r="G1885" s="35">
        <v>8.94</v>
      </c>
      <c r="H1885" s="35">
        <v>52.8</v>
      </c>
      <c r="I1885" s="35" t="s">
        <v>75</v>
      </c>
    </row>
    <row r="1886" ht="22.5" customHeight="1">
      <c r="A1886" s="35" t="s">
        <v>4008</v>
      </c>
      <c r="B1886" s="35" t="s">
        <v>4009</v>
      </c>
      <c r="C1886" s="35" t="s">
        <v>7757</v>
      </c>
      <c r="D1886" s="35" t="s">
        <v>131</v>
      </c>
      <c r="E1886" s="35" t="s">
        <v>341</v>
      </c>
      <c r="F1886" s="35">
        <v>961.0</v>
      </c>
      <c r="G1886" s="35">
        <v>28.64</v>
      </c>
      <c r="H1886" s="35">
        <v>33.6</v>
      </c>
      <c r="I1886" s="35" t="s">
        <v>62</v>
      </c>
    </row>
    <row r="1887" ht="22.5" customHeight="1">
      <c r="A1887" s="35" t="s">
        <v>4010</v>
      </c>
      <c r="B1887" s="35" t="s">
        <v>4011</v>
      </c>
      <c r="C1887" s="35" t="s">
        <v>7757</v>
      </c>
      <c r="D1887" s="35" t="s">
        <v>203</v>
      </c>
      <c r="E1887" s="35" t="s">
        <v>524</v>
      </c>
      <c r="F1887" s="35">
        <v>897.0</v>
      </c>
      <c r="G1887" s="35">
        <v>12.6</v>
      </c>
      <c r="H1887" s="35">
        <v>71.2</v>
      </c>
      <c r="I1887" s="35" t="s">
        <v>62</v>
      </c>
    </row>
    <row r="1888" ht="22.5" customHeight="1">
      <c r="A1888" s="35" t="s">
        <v>4012</v>
      </c>
      <c r="B1888" s="35" t="s">
        <v>4013</v>
      </c>
      <c r="C1888" s="35" t="s">
        <v>7757</v>
      </c>
      <c r="D1888" s="35" t="s">
        <v>155</v>
      </c>
      <c r="E1888" s="35" t="s">
        <v>420</v>
      </c>
      <c r="F1888" s="35">
        <v>162.0</v>
      </c>
      <c r="G1888" s="35">
        <v>4.16</v>
      </c>
      <c r="H1888" s="35">
        <v>38.9</v>
      </c>
      <c r="I1888" s="35" t="s">
        <v>75</v>
      </c>
    </row>
    <row r="1889" ht="22.5" customHeight="1">
      <c r="A1889" s="35" t="s">
        <v>4014</v>
      </c>
      <c r="B1889" s="35" t="s">
        <v>4015</v>
      </c>
      <c r="C1889" s="35" t="s">
        <v>7757</v>
      </c>
      <c r="D1889" s="35" t="s">
        <v>159</v>
      </c>
      <c r="E1889" s="35" t="s">
        <v>430</v>
      </c>
      <c r="F1889" s="35">
        <v>301.0</v>
      </c>
      <c r="G1889" s="35">
        <v>3.71</v>
      </c>
      <c r="H1889" s="35">
        <v>81.1</v>
      </c>
      <c r="I1889" s="35" t="s">
        <v>75</v>
      </c>
    </row>
    <row r="1890" ht="22.5" customHeight="1">
      <c r="A1890" s="35" t="s">
        <v>4016</v>
      </c>
      <c r="B1890" s="35" t="s">
        <v>4017</v>
      </c>
      <c r="C1890" s="35" t="s">
        <v>7757</v>
      </c>
      <c r="D1890" s="35" t="s">
        <v>196</v>
      </c>
      <c r="E1890" s="35" t="s">
        <v>514</v>
      </c>
      <c r="F1890" s="35">
        <v>200.0</v>
      </c>
      <c r="G1890" s="35">
        <v>2.73</v>
      </c>
      <c r="H1890" s="35">
        <v>73.3</v>
      </c>
      <c r="I1890" s="35" t="s">
        <v>75</v>
      </c>
    </row>
    <row r="1891" ht="22.5" customHeight="1">
      <c r="A1891" s="35" t="s">
        <v>4018</v>
      </c>
      <c r="B1891" s="35" t="s">
        <v>4019</v>
      </c>
      <c r="C1891" s="35" t="s">
        <v>7757</v>
      </c>
      <c r="D1891" s="35" t="s">
        <v>159</v>
      </c>
      <c r="E1891" s="35" t="s">
        <v>430</v>
      </c>
      <c r="F1891" s="35">
        <v>213.0</v>
      </c>
      <c r="G1891" s="35">
        <v>4.54</v>
      </c>
      <c r="H1891" s="35">
        <v>46.9</v>
      </c>
      <c r="I1891" s="35" t="s">
        <v>75</v>
      </c>
    </row>
    <row r="1892" ht="22.5" customHeight="1">
      <c r="A1892" s="35" t="s">
        <v>4020</v>
      </c>
      <c r="B1892" s="35" t="s">
        <v>4021</v>
      </c>
      <c r="C1892" s="35" t="s">
        <v>7757</v>
      </c>
      <c r="D1892" s="35" t="s">
        <v>131</v>
      </c>
      <c r="E1892" s="35" t="s">
        <v>341</v>
      </c>
      <c r="F1892" s="35">
        <v>213.0</v>
      </c>
      <c r="G1892" s="35">
        <v>7.76</v>
      </c>
      <c r="H1892" s="35">
        <v>27.4</v>
      </c>
      <c r="I1892" s="35" t="s">
        <v>75</v>
      </c>
    </row>
    <row r="1893" ht="22.5" customHeight="1">
      <c r="A1893" s="35" t="s">
        <v>4022</v>
      </c>
      <c r="B1893" s="35" t="s">
        <v>4023</v>
      </c>
      <c r="C1893" s="35" t="s">
        <v>7757</v>
      </c>
      <c r="D1893" s="35" t="s">
        <v>231</v>
      </c>
      <c r="E1893" s="35" t="s">
        <v>406</v>
      </c>
      <c r="F1893" s="35">
        <v>2877.0</v>
      </c>
      <c r="G1893" s="35">
        <v>10.09</v>
      </c>
      <c r="H1893" s="35">
        <v>285.1</v>
      </c>
      <c r="I1893" s="35" t="s">
        <v>142</v>
      </c>
    </row>
    <row r="1894" ht="22.5" customHeight="1">
      <c r="A1894" s="35" t="s">
        <v>4024</v>
      </c>
      <c r="B1894" s="35" t="s">
        <v>4025</v>
      </c>
      <c r="C1894" s="35" t="s">
        <v>7757</v>
      </c>
      <c r="D1894" s="35" t="s">
        <v>115</v>
      </c>
      <c r="E1894" s="35" t="s">
        <v>129</v>
      </c>
      <c r="F1894" s="35">
        <v>21907.0</v>
      </c>
      <c r="G1894" s="35">
        <v>7.4</v>
      </c>
      <c r="H1894" s="35">
        <v>2960.4</v>
      </c>
      <c r="I1894" s="35" t="s">
        <v>571</v>
      </c>
    </row>
    <row r="1895" ht="22.5" customHeight="1">
      <c r="A1895" s="35" t="s">
        <v>4026</v>
      </c>
      <c r="B1895" s="35" t="s">
        <v>4027</v>
      </c>
      <c r="C1895" s="35" t="s">
        <v>7757</v>
      </c>
      <c r="D1895" s="35" t="s">
        <v>183</v>
      </c>
      <c r="E1895" s="35" t="s">
        <v>482</v>
      </c>
      <c r="F1895" s="35">
        <v>1170.0</v>
      </c>
      <c r="G1895" s="35">
        <v>9.37</v>
      </c>
      <c r="H1895" s="35">
        <v>124.9</v>
      </c>
      <c r="I1895" s="35" t="s">
        <v>62</v>
      </c>
    </row>
    <row r="1896" ht="22.5" customHeight="1">
      <c r="A1896" s="35" t="s">
        <v>4028</v>
      </c>
      <c r="B1896" s="35" t="s">
        <v>4029</v>
      </c>
      <c r="C1896" s="35" t="s">
        <v>7757</v>
      </c>
      <c r="D1896" s="35" t="s">
        <v>155</v>
      </c>
      <c r="E1896" s="35" t="s">
        <v>420</v>
      </c>
      <c r="F1896" s="35">
        <v>194.0</v>
      </c>
      <c r="G1896" s="35">
        <v>6.41</v>
      </c>
      <c r="H1896" s="35">
        <v>30.3</v>
      </c>
      <c r="I1896" s="35" t="s">
        <v>75</v>
      </c>
    </row>
    <row r="1897" ht="22.5" customHeight="1">
      <c r="A1897" s="35" t="s">
        <v>4030</v>
      </c>
      <c r="B1897" s="35" t="s">
        <v>4031</v>
      </c>
      <c r="C1897" s="35" t="s">
        <v>7757</v>
      </c>
      <c r="D1897" s="35" t="s">
        <v>203</v>
      </c>
      <c r="E1897" s="35" t="s">
        <v>524</v>
      </c>
      <c r="F1897" s="35">
        <v>247.0</v>
      </c>
      <c r="G1897" s="35">
        <v>5.5</v>
      </c>
      <c r="H1897" s="35">
        <v>44.9</v>
      </c>
      <c r="I1897" s="35" t="s">
        <v>75</v>
      </c>
    </row>
    <row r="1898" ht="22.5" customHeight="1">
      <c r="A1898" s="35" t="s">
        <v>4032</v>
      </c>
      <c r="B1898" s="35" t="s">
        <v>4033</v>
      </c>
      <c r="C1898" s="35" t="s">
        <v>7757</v>
      </c>
      <c r="D1898" s="35" t="s">
        <v>203</v>
      </c>
      <c r="E1898" s="35" t="s">
        <v>524</v>
      </c>
      <c r="F1898" s="35">
        <v>301.0</v>
      </c>
      <c r="G1898" s="35">
        <v>11.44</v>
      </c>
      <c r="H1898" s="35">
        <v>26.3</v>
      </c>
      <c r="I1898" s="35" t="s">
        <v>75</v>
      </c>
    </row>
    <row r="1899" ht="22.5" customHeight="1">
      <c r="A1899" s="35" t="s">
        <v>4034</v>
      </c>
      <c r="B1899" s="35" t="s">
        <v>4035</v>
      </c>
      <c r="C1899" s="35" t="s">
        <v>7757</v>
      </c>
      <c r="D1899" s="35" t="s">
        <v>231</v>
      </c>
      <c r="E1899" s="35" t="s">
        <v>406</v>
      </c>
      <c r="F1899" s="35">
        <v>392.0</v>
      </c>
      <c r="G1899" s="35">
        <v>4.79</v>
      </c>
      <c r="H1899" s="35">
        <v>81.8</v>
      </c>
      <c r="I1899" s="35" t="s">
        <v>75</v>
      </c>
    </row>
    <row r="1900" ht="22.5" customHeight="1">
      <c r="A1900" s="35" t="s">
        <v>4036</v>
      </c>
      <c r="B1900" s="35" t="s">
        <v>4037</v>
      </c>
      <c r="C1900" s="35" t="s">
        <v>7757</v>
      </c>
      <c r="D1900" s="35" t="s">
        <v>155</v>
      </c>
      <c r="E1900" s="35" t="s">
        <v>420</v>
      </c>
      <c r="F1900" s="35">
        <v>887.0</v>
      </c>
      <c r="G1900" s="35">
        <v>13.29</v>
      </c>
      <c r="H1900" s="35">
        <v>66.7</v>
      </c>
      <c r="I1900" s="35" t="s">
        <v>62</v>
      </c>
    </row>
    <row r="1901" ht="22.5" customHeight="1">
      <c r="A1901" s="35" t="s">
        <v>4038</v>
      </c>
      <c r="B1901" s="35" t="s">
        <v>4039</v>
      </c>
      <c r="C1901" s="35" t="s">
        <v>7757</v>
      </c>
      <c r="D1901" s="35" t="s">
        <v>200</v>
      </c>
      <c r="E1901" s="35" t="s">
        <v>494</v>
      </c>
      <c r="F1901" s="35">
        <v>12971.0</v>
      </c>
      <c r="G1901" s="35">
        <v>18.07</v>
      </c>
      <c r="H1901" s="35">
        <v>717.8</v>
      </c>
      <c r="I1901" s="35" t="s">
        <v>571</v>
      </c>
    </row>
    <row r="1902" ht="22.5" customHeight="1">
      <c r="A1902" s="35" t="s">
        <v>4040</v>
      </c>
      <c r="B1902" s="35" t="s">
        <v>4041</v>
      </c>
      <c r="C1902" s="35" t="s">
        <v>7757</v>
      </c>
      <c r="D1902" s="35" t="s">
        <v>159</v>
      </c>
      <c r="E1902" s="35" t="s">
        <v>430</v>
      </c>
      <c r="F1902" s="35">
        <v>109.0</v>
      </c>
      <c r="G1902" s="35">
        <v>4.21</v>
      </c>
      <c r="H1902" s="35">
        <v>25.9</v>
      </c>
      <c r="I1902" s="35" t="s">
        <v>75</v>
      </c>
    </row>
    <row r="1903" ht="22.5" customHeight="1">
      <c r="A1903" s="35" t="s">
        <v>4042</v>
      </c>
      <c r="B1903" s="35" t="s">
        <v>1333</v>
      </c>
      <c r="C1903" s="35" t="s">
        <v>7757</v>
      </c>
      <c r="D1903" s="35" t="s">
        <v>195</v>
      </c>
      <c r="E1903" s="35" t="s">
        <v>509</v>
      </c>
      <c r="F1903" s="35">
        <v>346.0</v>
      </c>
      <c r="G1903" s="35">
        <v>6.82</v>
      </c>
      <c r="H1903" s="35">
        <v>50.7</v>
      </c>
      <c r="I1903" s="35" t="s">
        <v>75</v>
      </c>
    </row>
    <row r="1904" ht="22.5" customHeight="1">
      <c r="A1904" s="35" t="s">
        <v>4043</v>
      </c>
      <c r="B1904" s="35" t="s">
        <v>4044</v>
      </c>
      <c r="C1904" s="35" t="s">
        <v>7757</v>
      </c>
      <c r="D1904" s="35" t="s">
        <v>196</v>
      </c>
      <c r="E1904" s="35" t="s">
        <v>514</v>
      </c>
      <c r="F1904" s="35">
        <v>285.0</v>
      </c>
      <c r="G1904" s="35">
        <v>6.58</v>
      </c>
      <c r="H1904" s="35">
        <v>43.3</v>
      </c>
      <c r="I1904" s="35" t="s">
        <v>75</v>
      </c>
    </row>
    <row r="1905" ht="22.5" customHeight="1">
      <c r="A1905" s="35" t="s">
        <v>4045</v>
      </c>
      <c r="B1905" s="35" t="s">
        <v>4046</v>
      </c>
      <c r="C1905" s="35" t="s">
        <v>7757</v>
      </c>
      <c r="D1905" s="35" t="s">
        <v>159</v>
      </c>
      <c r="E1905" s="35" t="s">
        <v>430</v>
      </c>
      <c r="F1905" s="35">
        <v>201.0</v>
      </c>
      <c r="G1905" s="35">
        <v>8.67</v>
      </c>
      <c r="H1905" s="35">
        <v>23.2</v>
      </c>
      <c r="I1905" s="35" t="s">
        <v>75</v>
      </c>
    </row>
    <row r="1906" ht="22.5" customHeight="1">
      <c r="A1906" s="35" t="s">
        <v>4047</v>
      </c>
      <c r="B1906" s="35" t="s">
        <v>4048</v>
      </c>
      <c r="C1906" s="35" t="s">
        <v>7757</v>
      </c>
      <c r="D1906" s="35" t="s">
        <v>190</v>
      </c>
      <c r="E1906" s="35" t="s">
        <v>501</v>
      </c>
      <c r="F1906" s="35">
        <v>1367.0</v>
      </c>
      <c r="G1906" s="35">
        <v>14.03</v>
      </c>
      <c r="H1906" s="35">
        <v>97.4</v>
      </c>
      <c r="I1906" s="35" t="s">
        <v>62</v>
      </c>
    </row>
    <row r="1907" ht="22.5" customHeight="1">
      <c r="A1907" s="35" t="s">
        <v>4049</v>
      </c>
      <c r="B1907" s="35" t="s">
        <v>4050</v>
      </c>
      <c r="C1907" s="35" t="s">
        <v>7757</v>
      </c>
      <c r="D1907" s="35" t="s">
        <v>195</v>
      </c>
      <c r="E1907" s="35" t="s">
        <v>509</v>
      </c>
      <c r="F1907" s="35">
        <v>375.0</v>
      </c>
      <c r="G1907" s="35">
        <v>3.97</v>
      </c>
      <c r="H1907" s="35">
        <v>94.5</v>
      </c>
      <c r="I1907" s="35" t="s">
        <v>75</v>
      </c>
    </row>
    <row r="1908" ht="22.5" customHeight="1">
      <c r="A1908" s="35" t="s">
        <v>4051</v>
      </c>
      <c r="B1908" s="35" t="s">
        <v>4052</v>
      </c>
      <c r="C1908" s="35" t="s">
        <v>7757</v>
      </c>
      <c r="D1908" s="35" t="s">
        <v>195</v>
      </c>
      <c r="E1908" s="35" t="s">
        <v>509</v>
      </c>
      <c r="F1908" s="35">
        <v>805.0</v>
      </c>
      <c r="G1908" s="35">
        <v>10.46</v>
      </c>
      <c r="H1908" s="35">
        <v>77.0</v>
      </c>
      <c r="I1908" s="35" t="s">
        <v>62</v>
      </c>
    </row>
    <row r="1909" ht="22.5" customHeight="1">
      <c r="A1909" s="35" t="s">
        <v>4053</v>
      </c>
      <c r="B1909" s="35" t="s">
        <v>4054</v>
      </c>
      <c r="C1909" s="35" t="s">
        <v>7757</v>
      </c>
      <c r="D1909" s="35" t="s">
        <v>155</v>
      </c>
      <c r="E1909" s="35" t="s">
        <v>420</v>
      </c>
      <c r="F1909" s="35">
        <v>537.0</v>
      </c>
      <c r="G1909" s="35">
        <v>9.12</v>
      </c>
      <c r="H1909" s="35">
        <v>58.9</v>
      </c>
      <c r="I1909" s="35" t="s">
        <v>62</v>
      </c>
    </row>
    <row r="1910" ht="22.5" customHeight="1">
      <c r="A1910" s="35" t="s">
        <v>4055</v>
      </c>
      <c r="B1910" s="35" t="s">
        <v>4056</v>
      </c>
      <c r="C1910" s="35" t="s">
        <v>7757</v>
      </c>
      <c r="D1910" s="35" t="s">
        <v>195</v>
      </c>
      <c r="E1910" s="35" t="s">
        <v>509</v>
      </c>
      <c r="F1910" s="35">
        <v>572.0</v>
      </c>
      <c r="G1910" s="35">
        <v>16.36</v>
      </c>
      <c r="H1910" s="35">
        <v>35.0</v>
      </c>
      <c r="I1910" s="35" t="s">
        <v>62</v>
      </c>
    </row>
    <row r="1911" ht="22.5" customHeight="1">
      <c r="A1911" s="35" t="s">
        <v>4057</v>
      </c>
      <c r="B1911" s="35" t="s">
        <v>4058</v>
      </c>
      <c r="C1911" s="35" t="s">
        <v>7757</v>
      </c>
      <c r="D1911" s="35" t="s">
        <v>151</v>
      </c>
      <c r="E1911" s="35" t="s">
        <v>414</v>
      </c>
      <c r="F1911" s="35">
        <v>3583.0</v>
      </c>
      <c r="G1911" s="35">
        <v>11.99</v>
      </c>
      <c r="H1911" s="35">
        <v>298.8</v>
      </c>
      <c r="I1911" s="35" t="s">
        <v>142</v>
      </c>
    </row>
    <row r="1912" ht="22.5" customHeight="1">
      <c r="A1912" s="35" t="s">
        <v>4059</v>
      </c>
      <c r="B1912" s="35" t="s">
        <v>4060</v>
      </c>
      <c r="C1912" s="35" t="s">
        <v>7757</v>
      </c>
      <c r="D1912" s="35" t="s">
        <v>196</v>
      </c>
      <c r="E1912" s="35" t="s">
        <v>514</v>
      </c>
      <c r="F1912" s="35">
        <v>513.0</v>
      </c>
      <c r="G1912" s="35">
        <v>8.53</v>
      </c>
      <c r="H1912" s="35">
        <v>60.1</v>
      </c>
      <c r="I1912" s="35" t="s">
        <v>62</v>
      </c>
    </row>
    <row r="1913" ht="22.5" customHeight="1">
      <c r="A1913" s="35" t="s">
        <v>4061</v>
      </c>
      <c r="B1913" s="35" t="s">
        <v>4062</v>
      </c>
      <c r="C1913" s="35" t="s">
        <v>7757</v>
      </c>
      <c r="D1913" s="35" t="s">
        <v>159</v>
      </c>
      <c r="E1913" s="35" t="s">
        <v>430</v>
      </c>
      <c r="F1913" s="35">
        <v>293.0</v>
      </c>
      <c r="G1913" s="35">
        <v>6.12</v>
      </c>
      <c r="H1913" s="35">
        <v>47.9</v>
      </c>
      <c r="I1913" s="35" t="s">
        <v>75</v>
      </c>
    </row>
    <row r="1914" ht="22.5" customHeight="1">
      <c r="A1914" s="35" t="s">
        <v>4063</v>
      </c>
      <c r="B1914" s="35" t="s">
        <v>4064</v>
      </c>
      <c r="C1914" s="35" t="s">
        <v>7757</v>
      </c>
      <c r="D1914" s="35" t="s">
        <v>155</v>
      </c>
      <c r="E1914" s="35" t="s">
        <v>420</v>
      </c>
      <c r="F1914" s="35">
        <v>248.0</v>
      </c>
      <c r="G1914" s="35">
        <v>7.03</v>
      </c>
      <c r="H1914" s="35">
        <v>35.3</v>
      </c>
      <c r="I1914" s="35" t="s">
        <v>75</v>
      </c>
    </row>
    <row r="1915" ht="22.5" customHeight="1">
      <c r="A1915" s="35" t="s">
        <v>4065</v>
      </c>
      <c r="B1915" s="35" t="s">
        <v>4066</v>
      </c>
      <c r="C1915" s="35" t="s">
        <v>7757</v>
      </c>
      <c r="D1915" s="35" t="s">
        <v>155</v>
      </c>
      <c r="E1915" s="35" t="s">
        <v>420</v>
      </c>
      <c r="F1915" s="35">
        <v>576.0</v>
      </c>
      <c r="G1915" s="35">
        <v>14.34</v>
      </c>
      <c r="H1915" s="35">
        <v>40.2</v>
      </c>
      <c r="I1915" s="35" t="s">
        <v>62</v>
      </c>
    </row>
    <row r="1916" ht="22.5" customHeight="1">
      <c r="A1916" s="35" t="s">
        <v>4067</v>
      </c>
      <c r="B1916" s="35" t="s">
        <v>4068</v>
      </c>
      <c r="C1916" s="35" t="s">
        <v>7757</v>
      </c>
      <c r="D1916" s="35" t="s">
        <v>211</v>
      </c>
      <c r="E1916" s="35" t="s">
        <v>544</v>
      </c>
      <c r="F1916" s="35">
        <v>313.0</v>
      </c>
      <c r="G1916" s="35">
        <v>12.72</v>
      </c>
      <c r="H1916" s="35">
        <v>24.6</v>
      </c>
      <c r="I1916" s="35" t="s">
        <v>75</v>
      </c>
    </row>
    <row r="1917" ht="22.5" customHeight="1">
      <c r="A1917" s="35" t="s">
        <v>4069</v>
      </c>
      <c r="B1917" s="35" t="s">
        <v>4070</v>
      </c>
      <c r="C1917" s="35" t="s">
        <v>7757</v>
      </c>
      <c r="D1917" s="35" t="s">
        <v>200</v>
      </c>
      <c r="E1917" s="35" t="s">
        <v>494</v>
      </c>
      <c r="F1917" s="35">
        <v>271.0</v>
      </c>
      <c r="G1917" s="35">
        <v>3.67</v>
      </c>
      <c r="H1917" s="35">
        <v>73.8</v>
      </c>
      <c r="I1917" s="35" t="s">
        <v>75</v>
      </c>
    </row>
    <row r="1918" ht="22.5" customHeight="1">
      <c r="A1918" s="35" t="s">
        <v>4071</v>
      </c>
      <c r="B1918" s="35" t="s">
        <v>4072</v>
      </c>
      <c r="C1918" s="35" t="s">
        <v>7757</v>
      </c>
      <c r="D1918" s="35" t="s">
        <v>195</v>
      </c>
      <c r="E1918" s="35" t="s">
        <v>509</v>
      </c>
      <c r="F1918" s="35">
        <v>1224.0</v>
      </c>
      <c r="G1918" s="35">
        <v>11.19</v>
      </c>
      <c r="H1918" s="35">
        <v>109.4</v>
      </c>
      <c r="I1918" s="35" t="s">
        <v>62</v>
      </c>
    </row>
    <row r="1919" ht="22.5" customHeight="1">
      <c r="A1919" s="35" t="s">
        <v>4073</v>
      </c>
      <c r="B1919" s="35" t="s">
        <v>4074</v>
      </c>
      <c r="C1919" s="35" t="s">
        <v>7757</v>
      </c>
      <c r="D1919" s="35" t="s">
        <v>131</v>
      </c>
      <c r="E1919" s="35" t="s">
        <v>341</v>
      </c>
      <c r="F1919" s="35">
        <v>365.0</v>
      </c>
      <c r="G1919" s="35">
        <v>5.67</v>
      </c>
      <c r="H1919" s="35">
        <v>64.4</v>
      </c>
      <c r="I1919" s="35" t="s">
        <v>75</v>
      </c>
    </row>
    <row r="1920" ht="22.5" customHeight="1">
      <c r="A1920" s="35" t="s">
        <v>4075</v>
      </c>
      <c r="B1920" s="35" t="s">
        <v>4076</v>
      </c>
      <c r="C1920" s="35" t="s">
        <v>7757</v>
      </c>
      <c r="D1920" s="35" t="s">
        <v>173</v>
      </c>
      <c r="E1920" s="35" t="s">
        <v>460</v>
      </c>
      <c r="F1920" s="35">
        <v>1877.0</v>
      </c>
      <c r="G1920" s="35">
        <v>22.39</v>
      </c>
      <c r="H1920" s="35">
        <v>83.8</v>
      </c>
      <c r="I1920" s="35" t="s">
        <v>62</v>
      </c>
    </row>
    <row r="1921" ht="22.5" customHeight="1">
      <c r="A1921" s="35" t="s">
        <v>4077</v>
      </c>
      <c r="B1921" s="35" t="s">
        <v>4078</v>
      </c>
      <c r="C1921" s="35" t="s">
        <v>7757</v>
      </c>
      <c r="D1921" s="35" t="s">
        <v>170</v>
      </c>
      <c r="E1921" s="35" t="s">
        <v>452</v>
      </c>
      <c r="F1921" s="35">
        <v>848.0</v>
      </c>
      <c r="G1921" s="35">
        <v>9.49</v>
      </c>
      <c r="H1921" s="35">
        <v>89.4</v>
      </c>
      <c r="I1921" s="35" t="s">
        <v>62</v>
      </c>
    </row>
    <row r="1922" ht="22.5" customHeight="1">
      <c r="A1922" s="35" t="s">
        <v>4079</v>
      </c>
      <c r="B1922" s="35" t="s">
        <v>4080</v>
      </c>
      <c r="C1922" s="35" t="s">
        <v>7757</v>
      </c>
      <c r="D1922" s="35" t="s">
        <v>159</v>
      </c>
      <c r="E1922" s="35" t="s">
        <v>430</v>
      </c>
      <c r="F1922" s="35">
        <v>519.0</v>
      </c>
      <c r="G1922" s="35">
        <v>2.89</v>
      </c>
      <c r="H1922" s="35">
        <v>179.6</v>
      </c>
      <c r="I1922" s="35" t="s">
        <v>62</v>
      </c>
    </row>
    <row r="1923" ht="22.5" customHeight="1">
      <c r="A1923" s="35" t="s">
        <v>4081</v>
      </c>
      <c r="B1923" s="35" t="s">
        <v>4082</v>
      </c>
      <c r="C1923" s="35" t="s">
        <v>7757</v>
      </c>
      <c r="D1923" s="35" t="s">
        <v>151</v>
      </c>
      <c r="E1923" s="35" t="s">
        <v>414</v>
      </c>
      <c r="F1923" s="35">
        <v>1786.0</v>
      </c>
      <c r="G1923" s="35">
        <v>16.36</v>
      </c>
      <c r="H1923" s="35">
        <v>109.2</v>
      </c>
      <c r="I1923" s="35" t="s">
        <v>62</v>
      </c>
    </row>
    <row r="1924" ht="22.5" customHeight="1">
      <c r="A1924" s="35" t="s">
        <v>4083</v>
      </c>
      <c r="B1924" s="35" t="s">
        <v>4084</v>
      </c>
      <c r="C1924" s="35" t="s">
        <v>7757</v>
      </c>
      <c r="D1924" s="35" t="s">
        <v>203</v>
      </c>
      <c r="E1924" s="35" t="s">
        <v>524</v>
      </c>
      <c r="F1924" s="35">
        <v>422.0</v>
      </c>
      <c r="G1924" s="35">
        <v>9.13</v>
      </c>
      <c r="H1924" s="35">
        <v>46.2</v>
      </c>
      <c r="I1924" s="35" t="s">
        <v>75</v>
      </c>
    </row>
    <row r="1925" ht="22.5" customHeight="1">
      <c r="A1925" s="35" t="s">
        <v>4085</v>
      </c>
      <c r="B1925" s="35" t="s">
        <v>4086</v>
      </c>
      <c r="C1925" s="35" t="s">
        <v>7757</v>
      </c>
      <c r="D1925" s="35" t="s">
        <v>155</v>
      </c>
      <c r="E1925" s="35" t="s">
        <v>420</v>
      </c>
      <c r="F1925" s="35">
        <v>159.0</v>
      </c>
      <c r="G1925" s="35">
        <v>4.31</v>
      </c>
      <c r="H1925" s="35">
        <v>36.9</v>
      </c>
      <c r="I1925" s="35" t="s">
        <v>75</v>
      </c>
    </row>
    <row r="1926" ht="22.5" customHeight="1">
      <c r="A1926" s="35" t="s">
        <v>4087</v>
      </c>
      <c r="B1926" s="35" t="s">
        <v>4088</v>
      </c>
      <c r="C1926" s="35" t="s">
        <v>7757</v>
      </c>
      <c r="D1926" s="35" t="s">
        <v>203</v>
      </c>
      <c r="E1926" s="35" t="s">
        <v>524</v>
      </c>
      <c r="F1926" s="35">
        <v>213.0</v>
      </c>
      <c r="G1926" s="35">
        <v>3.96</v>
      </c>
      <c r="H1926" s="35">
        <v>53.8</v>
      </c>
      <c r="I1926" s="35" t="s">
        <v>75</v>
      </c>
    </row>
    <row r="1927" ht="22.5" customHeight="1">
      <c r="A1927" s="35" t="s">
        <v>4089</v>
      </c>
      <c r="B1927" s="35" t="s">
        <v>4090</v>
      </c>
      <c r="C1927" s="35" t="s">
        <v>7757</v>
      </c>
      <c r="D1927" s="35" t="s">
        <v>203</v>
      </c>
      <c r="E1927" s="35" t="s">
        <v>524</v>
      </c>
      <c r="F1927" s="35">
        <v>521.0</v>
      </c>
      <c r="G1927" s="35">
        <v>7.71</v>
      </c>
      <c r="H1927" s="35">
        <v>67.6</v>
      </c>
      <c r="I1927" s="35" t="s">
        <v>62</v>
      </c>
    </row>
    <row r="1928" ht="22.5" customHeight="1">
      <c r="A1928" s="35" t="s">
        <v>4091</v>
      </c>
      <c r="B1928" s="35" t="s">
        <v>4092</v>
      </c>
      <c r="C1928" s="35" t="s">
        <v>7757</v>
      </c>
      <c r="D1928" s="35" t="s">
        <v>196</v>
      </c>
      <c r="E1928" s="35" t="s">
        <v>514</v>
      </c>
      <c r="F1928" s="35">
        <v>245.0</v>
      </c>
      <c r="G1928" s="35">
        <v>6.23</v>
      </c>
      <c r="H1928" s="35">
        <v>39.3</v>
      </c>
      <c r="I1928" s="35" t="s">
        <v>75</v>
      </c>
    </row>
    <row r="1929" ht="22.5" customHeight="1">
      <c r="A1929" s="35" t="s">
        <v>4093</v>
      </c>
      <c r="B1929" s="35" t="s">
        <v>4094</v>
      </c>
      <c r="C1929" s="35" t="s">
        <v>7757</v>
      </c>
      <c r="D1929" s="35" t="s">
        <v>195</v>
      </c>
      <c r="E1929" s="35" t="s">
        <v>509</v>
      </c>
      <c r="F1929" s="35">
        <v>4009.0</v>
      </c>
      <c r="G1929" s="35">
        <v>6.92</v>
      </c>
      <c r="H1929" s="35">
        <v>579.3</v>
      </c>
      <c r="I1929" s="35" t="s">
        <v>142</v>
      </c>
    </row>
    <row r="1930" ht="22.5" customHeight="1">
      <c r="A1930" s="35" t="s">
        <v>4095</v>
      </c>
      <c r="B1930" s="35" t="s">
        <v>4096</v>
      </c>
      <c r="C1930" s="35" t="s">
        <v>7757</v>
      </c>
      <c r="D1930" s="35" t="s">
        <v>170</v>
      </c>
      <c r="E1930" s="35" t="s">
        <v>452</v>
      </c>
      <c r="F1930" s="35">
        <v>1298.0</v>
      </c>
      <c r="G1930" s="35">
        <v>7.5</v>
      </c>
      <c r="H1930" s="35">
        <v>173.1</v>
      </c>
      <c r="I1930" s="35" t="s">
        <v>62</v>
      </c>
    </row>
    <row r="1931" ht="22.5" customHeight="1">
      <c r="A1931" s="35" t="s">
        <v>4097</v>
      </c>
      <c r="B1931" s="35" t="s">
        <v>4098</v>
      </c>
      <c r="C1931" s="35" t="s">
        <v>7757</v>
      </c>
      <c r="D1931" s="35" t="s">
        <v>200</v>
      </c>
      <c r="E1931" s="35" t="s">
        <v>494</v>
      </c>
      <c r="F1931" s="35">
        <v>113.0</v>
      </c>
      <c r="G1931" s="35">
        <v>2.81</v>
      </c>
      <c r="H1931" s="35">
        <v>40.2</v>
      </c>
      <c r="I1931" s="35" t="s">
        <v>75</v>
      </c>
    </row>
    <row r="1932" ht="22.5" customHeight="1">
      <c r="A1932" s="35" t="s">
        <v>4099</v>
      </c>
      <c r="B1932" s="35" t="s">
        <v>4100</v>
      </c>
      <c r="C1932" s="35" t="s">
        <v>7757</v>
      </c>
      <c r="D1932" s="35" t="s">
        <v>203</v>
      </c>
      <c r="E1932" s="35" t="s">
        <v>524</v>
      </c>
      <c r="F1932" s="35">
        <v>112.0</v>
      </c>
      <c r="G1932" s="35">
        <v>4.21</v>
      </c>
      <c r="H1932" s="35">
        <v>26.6</v>
      </c>
      <c r="I1932" s="35" t="s">
        <v>75</v>
      </c>
    </row>
    <row r="1933" ht="22.5" customHeight="1">
      <c r="A1933" s="35" t="s">
        <v>4101</v>
      </c>
      <c r="B1933" s="35" t="s">
        <v>4102</v>
      </c>
      <c r="C1933" s="35" t="s">
        <v>7757</v>
      </c>
      <c r="D1933" s="35" t="s">
        <v>231</v>
      </c>
      <c r="E1933" s="35" t="s">
        <v>406</v>
      </c>
      <c r="F1933" s="35">
        <v>1163.0</v>
      </c>
      <c r="G1933" s="35">
        <v>9.83</v>
      </c>
      <c r="H1933" s="35">
        <v>118.3</v>
      </c>
      <c r="I1933" s="35" t="s">
        <v>62</v>
      </c>
    </row>
    <row r="1934" ht="22.5" customHeight="1">
      <c r="A1934" s="35" t="s">
        <v>4103</v>
      </c>
      <c r="B1934" s="35" t="s">
        <v>4104</v>
      </c>
      <c r="C1934" s="35" t="s">
        <v>7757</v>
      </c>
      <c r="D1934" s="35" t="s">
        <v>228</v>
      </c>
      <c r="E1934" s="35" t="s">
        <v>396</v>
      </c>
      <c r="F1934" s="35">
        <v>905.0</v>
      </c>
      <c r="G1934" s="35">
        <v>13.26</v>
      </c>
      <c r="H1934" s="35">
        <v>68.3</v>
      </c>
      <c r="I1934" s="35" t="s">
        <v>62</v>
      </c>
    </row>
    <row r="1935" ht="22.5" customHeight="1">
      <c r="A1935" s="35" t="s">
        <v>4105</v>
      </c>
      <c r="B1935" s="35" t="s">
        <v>4106</v>
      </c>
      <c r="C1935" s="35" t="s">
        <v>7757</v>
      </c>
      <c r="D1935" s="35" t="s">
        <v>200</v>
      </c>
      <c r="E1935" s="35" t="s">
        <v>494</v>
      </c>
      <c r="F1935" s="35">
        <v>648.0</v>
      </c>
      <c r="G1935" s="35">
        <v>1.14</v>
      </c>
      <c r="H1935" s="35">
        <v>568.4</v>
      </c>
      <c r="I1935" s="35" t="s">
        <v>62</v>
      </c>
    </row>
    <row r="1936" ht="22.5" customHeight="1">
      <c r="A1936" s="35" t="s">
        <v>4107</v>
      </c>
      <c r="B1936" s="35" t="s">
        <v>4108</v>
      </c>
      <c r="C1936" s="35" t="s">
        <v>7757</v>
      </c>
      <c r="D1936" s="35" t="s">
        <v>200</v>
      </c>
      <c r="E1936" s="35" t="s">
        <v>494</v>
      </c>
      <c r="F1936" s="35">
        <v>427.0</v>
      </c>
      <c r="G1936" s="35">
        <v>6.61</v>
      </c>
      <c r="H1936" s="35">
        <v>64.6</v>
      </c>
      <c r="I1936" s="35" t="s">
        <v>75</v>
      </c>
    </row>
    <row r="1937" ht="22.5" customHeight="1">
      <c r="A1937" s="35" t="s">
        <v>4109</v>
      </c>
      <c r="B1937" s="35" t="s">
        <v>4110</v>
      </c>
      <c r="C1937" s="35" t="s">
        <v>7757</v>
      </c>
      <c r="D1937" s="35" t="s">
        <v>175</v>
      </c>
      <c r="E1937" s="35" t="s">
        <v>463</v>
      </c>
      <c r="F1937" s="35">
        <v>3275.0</v>
      </c>
      <c r="G1937" s="35">
        <v>19.2</v>
      </c>
      <c r="H1937" s="35">
        <v>170.6</v>
      </c>
      <c r="I1937" s="35" t="s">
        <v>142</v>
      </c>
    </row>
    <row r="1938" ht="22.5" customHeight="1">
      <c r="A1938" s="35" t="s">
        <v>4111</v>
      </c>
      <c r="B1938" s="35" t="s">
        <v>4112</v>
      </c>
      <c r="C1938" s="35" t="s">
        <v>7757</v>
      </c>
      <c r="D1938" s="35" t="s">
        <v>175</v>
      </c>
      <c r="E1938" s="35" t="s">
        <v>463</v>
      </c>
      <c r="F1938" s="35">
        <v>12361.0</v>
      </c>
      <c r="G1938" s="35">
        <v>14.79</v>
      </c>
      <c r="H1938" s="35">
        <v>835.8</v>
      </c>
      <c r="I1938" s="35" t="s">
        <v>571</v>
      </c>
    </row>
    <row r="1939" ht="22.5" customHeight="1">
      <c r="A1939" s="35" t="s">
        <v>4113</v>
      </c>
      <c r="B1939" s="35" t="s">
        <v>4114</v>
      </c>
      <c r="C1939" s="35" t="s">
        <v>7757</v>
      </c>
      <c r="D1939" s="35" t="s">
        <v>211</v>
      </c>
      <c r="E1939" s="35" t="s">
        <v>544</v>
      </c>
      <c r="F1939" s="35">
        <v>677.0</v>
      </c>
      <c r="G1939" s="35">
        <v>4.72</v>
      </c>
      <c r="H1939" s="35">
        <v>143.4</v>
      </c>
      <c r="I1939" s="35" t="s">
        <v>62</v>
      </c>
    </row>
    <row r="1940" ht="22.5" customHeight="1">
      <c r="A1940" s="35" t="s">
        <v>4115</v>
      </c>
      <c r="B1940" s="35" t="s">
        <v>4116</v>
      </c>
      <c r="C1940" s="35" t="s">
        <v>7757</v>
      </c>
      <c r="D1940" s="35" t="s">
        <v>200</v>
      </c>
      <c r="E1940" s="35" t="s">
        <v>494</v>
      </c>
      <c r="F1940" s="35">
        <v>416.0</v>
      </c>
      <c r="G1940" s="35">
        <v>3.77</v>
      </c>
      <c r="H1940" s="35">
        <v>110.3</v>
      </c>
      <c r="I1940" s="35" t="s">
        <v>75</v>
      </c>
    </row>
    <row r="1941" ht="22.5" customHeight="1">
      <c r="A1941" s="35" t="s">
        <v>4117</v>
      </c>
      <c r="B1941" s="35" t="s">
        <v>4118</v>
      </c>
      <c r="C1941" s="35" t="s">
        <v>7757</v>
      </c>
      <c r="D1941" s="35" t="s">
        <v>176</v>
      </c>
      <c r="E1941" s="35" t="s">
        <v>470</v>
      </c>
      <c r="F1941" s="35">
        <v>148.0</v>
      </c>
      <c r="G1941" s="35">
        <v>3.83</v>
      </c>
      <c r="H1941" s="35">
        <v>38.6</v>
      </c>
      <c r="I1941" s="35" t="s">
        <v>75</v>
      </c>
    </row>
    <row r="1942" ht="22.5" customHeight="1">
      <c r="A1942" s="35" t="s">
        <v>4119</v>
      </c>
      <c r="B1942" s="35" t="s">
        <v>4120</v>
      </c>
      <c r="C1942" s="35" t="s">
        <v>7757</v>
      </c>
      <c r="D1942" s="35" t="s">
        <v>231</v>
      </c>
      <c r="E1942" s="35" t="s">
        <v>406</v>
      </c>
      <c r="F1942" s="35">
        <v>3332.0</v>
      </c>
      <c r="G1942" s="35">
        <v>9.81</v>
      </c>
      <c r="H1942" s="35">
        <v>339.7</v>
      </c>
      <c r="I1942" s="35" t="s">
        <v>142</v>
      </c>
    </row>
    <row r="1943" ht="22.5" customHeight="1">
      <c r="A1943" s="35" t="s">
        <v>4121</v>
      </c>
      <c r="B1943" s="35" t="s">
        <v>4122</v>
      </c>
      <c r="C1943" s="35" t="s">
        <v>7757</v>
      </c>
      <c r="D1943" s="35" t="s">
        <v>159</v>
      </c>
      <c r="E1943" s="35" t="s">
        <v>430</v>
      </c>
      <c r="F1943" s="35">
        <v>251.0</v>
      </c>
      <c r="G1943" s="35">
        <v>5.21</v>
      </c>
      <c r="H1943" s="35">
        <v>48.2</v>
      </c>
      <c r="I1943" s="35" t="s">
        <v>75</v>
      </c>
    </row>
    <row r="1944" ht="22.5" customHeight="1">
      <c r="A1944" s="35" t="s">
        <v>4123</v>
      </c>
      <c r="B1944" s="35" t="s">
        <v>4124</v>
      </c>
      <c r="C1944" s="35" t="s">
        <v>7757</v>
      </c>
      <c r="D1944" s="35" t="s">
        <v>203</v>
      </c>
      <c r="E1944" s="35" t="s">
        <v>524</v>
      </c>
      <c r="F1944" s="35">
        <v>365.0</v>
      </c>
      <c r="G1944" s="35">
        <v>9.07</v>
      </c>
      <c r="H1944" s="35">
        <v>40.2</v>
      </c>
      <c r="I1944" s="35" t="s">
        <v>75</v>
      </c>
    </row>
    <row r="1945" ht="22.5" customHeight="1">
      <c r="A1945" s="35" t="s">
        <v>4125</v>
      </c>
      <c r="B1945" s="35" t="s">
        <v>4126</v>
      </c>
      <c r="C1945" s="35" t="s">
        <v>7757</v>
      </c>
      <c r="D1945" s="35" t="s">
        <v>190</v>
      </c>
      <c r="E1945" s="35" t="s">
        <v>501</v>
      </c>
      <c r="F1945" s="35">
        <v>398.0</v>
      </c>
      <c r="G1945" s="35">
        <v>8.04</v>
      </c>
      <c r="H1945" s="35">
        <v>49.5</v>
      </c>
      <c r="I1945" s="35" t="s">
        <v>75</v>
      </c>
    </row>
    <row r="1946" ht="22.5" customHeight="1">
      <c r="A1946" s="35" t="s">
        <v>4127</v>
      </c>
      <c r="B1946" s="35" t="s">
        <v>4128</v>
      </c>
      <c r="C1946" s="35" t="s">
        <v>7757</v>
      </c>
      <c r="D1946" s="35" t="s">
        <v>231</v>
      </c>
      <c r="E1946" s="35" t="s">
        <v>406</v>
      </c>
      <c r="F1946" s="35">
        <v>877.0</v>
      </c>
      <c r="G1946" s="35">
        <v>5.4</v>
      </c>
      <c r="H1946" s="35">
        <v>162.4</v>
      </c>
      <c r="I1946" s="35" t="s">
        <v>62</v>
      </c>
    </row>
    <row r="1947" ht="22.5" customHeight="1">
      <c r="A1947" s="35" t="s">
        <v>4129</v>
      </c>
      <c r="B1947" s="35" t="s">
        <v>4130</v>
      </c>
      <c r="C1947" s="35" t="s">
        <v>7757</v>
      </c>
      <c r="D1947" s="35" t="s">
        <v>155</v>
      </c>
      <c r="E1947" s="35" t="s">
        <v>420</v>
      </c>
      <c r="F1947" s="35">
        <v>203.0</v>
      </c>
      <c r="G1947" s="35">
        <v>4.32</v>
      </c>
      <c r="H1947" s="35">
        <v>47.0</v>
      </c>
      <c r="I1947" s="35" t="s">
        <v>75</v>
      </c>
    </row>
    <row r="1948" ht="22.5" customHeight="1">
      <c r="A1948" s="35" t="s">
        <v>4131</v>
      </c>
      <c r="B1948" s="35" t="s">
        <v>4132</v>
      </c>
      <c r="C1948" s="35" t="s">
        <v>7757</v>
      </c>
      <c r="D1948" s="35" t="s">
        <v>200</v>
      </c>
      <c r="E1948" s="35" t="s">
        <v>494</v>
      </c>
      <c r="F1948" s="35">
        <v>171.0</v>
      </c>
      <c r="G1948" s="35">
        <v>4.85</v>
      </c>
      <c r="H1948" s="35">
        <v>35.3</v>
      </c>
      <c r="I1948" s="35" t="s">
        <v>75</v>
      </c>
    </row>
    <row r="1949" ht="22.5" customHeight="1">
      <c r="A1949" s="35" t="s">
        <v>4133</v>
      </c>
      <c r="B1949" s="35" t="s">
        <v>4134</v>
      </c>
      <c r="C1949" s="35" t="s">
        <v>7757</v>
      </c>
      <c r="D1949" s="35" t="s">
        <v>155</v>
      </c>
      <c r="E1949" s="35" t="s">
        <v>420</v>
      </c>
      <c r="F1949" s="35">
        <v>217.0</v>
      </c>
      <c r="G1949" s="35">
        <v>4.74</v>
      </c>
      <c r="H1949" s="35">
        <v>45.8</v>
      </c>
      <c r="I1949" s="35" t="s">
        <v>75</v>
      </c>
    </row>
    <row r="1950" ht="22.5" customHeight="1">
      <c r="A1950" s="35" t="s">
        <v>4135</v>
      </c>
      <c r="B1950" s="35" t="s">
        <v>4136</v>
      </c>
      <c r="C1950" s="35" t="s">
        <v>7757</v>
      </c>
      <c r="D1950" s="35" t="s">
        <v>159</v>
      </c>
      <c r="E1950" s="35" t="s">
        <v>430</v>
      </c>
      <c r="F1950" s="35">
        <v>410.0</v>
      </c>
      <c r="G1950" s="35">
        <v>9.26</v>
      </c>
      <c r="H1950" s="35">
        <v>44.3</v>
      </c>
      <c r="I1950" s="35" t="s">
        <v>75</v>
      </c>
    </row>
    <row r="1951" ht="22.5" customHeight="1">
      <c r="A1951" s="35" t="s">
        <v>4137</v>
      </c>
      <c r="B1951" s="35" t="s">
        <v>4138</v>
      </c>
      <c r="C1951" s="35" t="s">
        <v>7757</v>
      </c>
      <c r="D1951" s="35" t="s">
        <v>203</v>
      </c>
      <c r="E1951" s="35" t="s">
        <v>524</v>
      </c>
      <c r="F1951" s="35">
        <v>320.0</v>
      </c>
      <c r="G1951" s="35">
        <v>5.89</v>
      </c>
      <c r="H1951" s="35">
        <v>54.3</v>
      </c>
      <c r="I1951" s="35" t="s">
        <v>75</v>
      </c>
    </row>
    <row r="1952" ht="22.5" customHeight="1">
      <c r="A1952" s="35" t="s">
        <v>4139</v>
      </c>
      <c r="B1952" s="35" t="s">
        <v>4140</v>
      </c>
      <c r="C1952" s="35" t="s">
        <v>7757</v>
      </c>
      <c r="D1952" s="35" t="s">
        <v>131</v>
      </c>
      <c r="E1952" s="35" t="s">
        <v>341</v>
      </c>
      <c r="F1952" s="35">
        <v>895.0</v>
      </c>
      <c r="G1952" s="35">
        <v>6.6</v>
      </c>
      <c r="H1952" s="35">
        <v>135.6</v>
      </c>
      <c r="I1952" s="35" t="s">
        <v>62</v>
      </c>
    </row>
    <row r="1953" ht="22.5" customHeight="1">
      <c r="A1953" s="35" t="s">
        <v>4141</v>
      </c>
      <c r="B1953" s="35" t="s">
        <v>4142</v>
      </c>
      <c r="C1953" s="35" t="s">
        <v>7757</v>
      </c>
      <c r="D1953" s="35" t="s">
        <v>188</v>
      </c>
      <c r="E1953" s="35" t="s">
        <v>491</v>
      </c>
      <c r="F1953" s="35">
        <v>2524.0</v>
      </c>
      <c r="G1953" s="35">
        <v>4.2</v>
      </c>
      <c r="H1953" s="35">
        <v>601.0</v>
      </c>
      <c r="I1953" s="35" t="s">
        <v>142</v>
      </c>
    </row>
    <row r="1954" ht="22.5" customHeight="1">
      <c r="A1954" s="35" t="s">
        <v>4143</v>
      </c>
      <c r="B1954" s="35" t="s">
        <v>4144</v>
      </c>
      <c r="C1954" s="35" t="s">
        <v>7757</v>
      </c>
      <c r="D1954" s="35" t="s">
        <v>228</v>
      </c>
      <c r="E1954" s="35" t="s">
        <v>396</v>
      </c>
      <c r="F1954" s="35">
        <v>127.0</v>
      </c>
      <c r="G1954" s="35">
        <v>6.75</v>
      </c>
      <c r="H1954" s="35">
        <v>18.8</v>
      </c>
      <c r="I1954" s="35" t="s">
        <v>75</v>
      </c>
    </row>
    <row r="1955" ht="22.5" customHeight="1">
      <c r="A1955" s="35" t="s">
        <v>4145</v>
      </c>
      <c r="B1955" s="35" t="s">
        <v>4146</v>
      </c>
      <c r="C1955" s="35" t="s">
        <v>7757</v>
      </c>
      <c r="D1955" s="35" t="s">
        <v>203</v>
      </c>
      <c r="E1955" s="35" t="s">
        <v>524</v>
      </c>
      <c r="F1955" s="35">
        <v>1041.0</v>
      </c>
      <c r="G1955" s="35">
        <v>11.62</v>
      </c>
      <c r="H1955" s="35">
        <v>89.6</v>
      </c>
      <c r="I1955" s="35" t="s">
        <v>62</v>
      </c>
    </row>
    <row r="1956" ht="22.5" customHeight="1">
      <c r="A1956" s="35" t="s">
        <v>4147</v>
      </c>
      <c r="B1956" s="35" t="s">
        <v>4148</v>
      </c>
      <c r="C1956" s="35" t="s">
        <v>7757</v>
      </c>
      <c r="D1956" s="35" t="s">
        <v>195</v>
      </c>
      <c r="E1956" s="35" t="s">
        <v>509</v>
      </c>
      <c r="F1956" s="35">
        <v>140.0</v>
      </c>
      <c r="G1956" s="35">
        <v>7.15</v>
      </c>
      <c r="H1956" s="35">
        <v>19.6</v>
      </c>
      <c r="I1956" s="35" t="s">
        <v>75</v>
      </c>
    </row>
    <row r="1957" ht="22.5" customHeight="1">
      <c r="A1957" s="35" t="s">
        <v>4149</v>
      </c>
      <c r="B1957" s="35" t="s">
        <v>4150</v>
      </c>
      <c r="C1957" s="35" t="s">
        <v>7757</v>
      </c>
      <c r="D1957" s="35" t="s">
        <v>211</v>
      </c>
      <c r="E1957" s="35" t="s">
        <v>544</v>
      </c>
      <c r="F1957" s="35">
        <v>115.0</v>
      </c>
      <c r="G1957" s="35">
        <v>8.26</v>
      </c>
      <c r="H1957" s="35">
        <v>13.9</v>
      </c>
      <c r="I1957" s="35" t="s">
        <v>75</v>
      </c>
    </row>
    <row r="1958" ht="22.5" customHeight="1">
      <c r="A1958" s="35" t="s">
        <v>4151</v>
      </c>
      <c r="B1958" s="35" t="s">
        <v>4152</v>
      </c>
      <c r="C1958" s="35" t="s">
        <v>7757</v>
      </c>
      <c r="D1958" s="35" t="s">
        <v>183</v>
      </c>
      <c r="E1958" s="35" t="s">
        <v>482</v>
      </c>
      <c r="F1958" s="35">
        <v>78.0</v>
      </c>
      <c r="G1958" s="35">
        <v>2.8</v>
      </c>
      <c r="H1958" s="35">
        <v>27.9</v>
      </c>
      <c r="I1958" s="35" t="s">
        <v>75</v>
      </c>
    </row>
    <row r="1959" ht="22.5" customHeight="1">
      <c r="A1959" s="35" t="s">
        <v>4153</v>
      </c>
      <c r="B1959" s="35" t="s">
        <v>4154</v>
      </c>
      <c r="C1959" s="35" t="s">
        <v>7757</v>
      </c>
      <c r="D1959" s="35" t="s">
        <v>131</v>
      </c>
      <c r="E1959" s="35" t="s">
        <v>341</v>
      </c>
      <c r="F1959" s="35">
        <v>210.0</v>
      </c>
      <c r="G1959" s="35">
        <v>8.64</v>
      </c>
      <c r="H1959" s="35">
        <v>24.3</v>
      </c>
      <c r="I1959" s="35" t="s">
        <v>75</v>
      </c>
    </row>
    <row r="1960" ht="22.5" customHeight="1">
      <c r="A1960" s="35" t="s">
        <v>4155</v>
      </c>
      <c r="B1960" s="35" t="s">
        <v>4156</v>
      </c>
      <c r="C1960" s="35" t="s">
        <v>7757</v>
      </c>
      <c r="D1960" s="35" t="s">
        <v>160</v>
      </c>
      <c r="E1960" s="35" t="s">
        <v>435</v>
      </c>
      <c r="F1960" s="35">
        <v>1928.0</v>
      </c>
      <c r="G1960" s="35">
        <v>20.46</v>
      </c>
      <c r="H1960" s="35">
        <v>94.2</v>
      </c>
      <c r="I1960" s="35" t="s">
        <v>62</v>
      </c>
    </row>
    <row r="1961" ht="22.5" customHeight="1">
      <c r="A1961" s="35" t="s">
        <v>4157</v>
      </c>
      <c r="B1961" s="35" t="s">
        <v>4158</v>
      </c>
      <c r="C1961" s="35" t="s">
        <v>7757</v>
      </c>
      <c r="D1961" s="35" t="s">
        <v>196</v>
      </c>
      <c r="E1961" s="35" t="s">
        <v>514</v>
      </c>
      <c r="F1961" s="35">
        <v>1727.0</v>
      </c>
      <c r="G1961" s="35">
        <v>9.32</v>
      </c>
      <c r="H1961" s="35">
        <v>185.3</v>
      </c>
      <c r="I1961" s="35" t="s">
        <v>62</v>
      </c>
    </row>
    <row r="1962" ht="22.5" customHeight="1">
      <c r="A1962" s="35" t="s">
        <v>4159</v>
      </c>
      <c r="B1962" s="35" t="s">
        <v>4160</v>
      </c>
      <c r="C1962" s="35" t="s">
        <v>7757</v>
      </c>
      <c r="D1962" s="35" t="s">
        <v>173</v>
      </c>
      <c r="E1962" s="35" t="s">
        <v>460</v>
      </c>
      <c r="F1962" s="35">
        <v>647.0</v>
      </c>
      <c r="G1962" s="35">
        <v>9.48</v>
      </c>
      <c r="H1962" s="35">
        <v>68.2</v>
      </c>
      <c r="I1962" s="35" t="s">
        <v>62</v>
      </c>
    </row>
    <row r="1963" ht="22.5" customHeight="1">
      <c r="A1963" s="35" t="s">
        <v>4161</v>
      </c>
      <c r="B1963" s="35" t="s">
        <v>4162</v>
      </c>
      <c r="C1963" s="35" t="s">
        <v>7757</v>
      </c>
      <c r="D1963" s="35" t="s">
        <v>155</v>
      </c>
      <c r="E1963" s="35" t="s">
        <v>420</v>
      </c>
      <c r="F1963" s="35">
        <v>329.0</v>
      </c>
      <c r="G1963" s="35">
        <v>12.71</v>
      </c>
      <c r="H1963" s="35">
        <v>25.9</v>
      </c>
      <c r="I1963" s="35" t="s">
        <v>75</v>
      </c>
    </row>
    <row r="1964" ht="22.5" customHeight="1">
      <c r="A1964" s="35" t="s">
        <v>4163</v>
      </c>
      <c r="B1964" s="35" t="s">
        <v>4164</v>
      </c>
      <c r="C1964" s="35" t="s">
        <v>7757</v>
      </c>
      <c r="D1964" s="35" t="s">
        <v>175</v>
      </c>
      <c r="E1964" s="35" t="s">
        <v>463</v>
      </c>
      <c r="F1964" s="35">
        <v>134.0</v>
      </c>
      <c r="G1964" s="35">
        <v>2.71</v>
      </c>
      <c r="H1964" s="35">
        <v>49.4</v>
      </c>
      <c r="I1964" s="35" t="s">
        <v>75</v>
      </c>
    </row>
    <row r="1965" ht="22.5" customHeight="1">
      <c r="A1965" s="35" t="s">
        <v>4165</v>
      </c>
      <c r="B1965" s="35" t="s">
        <v>4166</v>
      </c>
      <c r="C1965" s="35" t="s">
        <v>7757</v>
      </c>
      <c r="D1965" s="35" t="s">
        <v>170</v>
      </c>
      <c r="E1965" s="35" t="s">
        <v>452</v>
      </c>
      <c r="F1965" s="35">
        <v>3871.0</v>
      </c>
      <c r="G1965" s="35">
        <v>13.02</v>
      </c>
      <c r="H1965" s="35">
        <v>297.3</v>
      </c>
      <c r="I1965" s="35" t="s">
        <v>142</v>
      </c>
    </row>
    <row r="1966" ht="22.5" customHeight="1">
      <c r="A1966" s="35" t="s">
        <v>4167</v>
      </c>
      <c r="B1966" s="35" t="s">
        <v>4168</v>
      </c>
      <c r="C1966" s="35" t="s">
        <v>7757</v>
      </c>
      <c r="D1966" s="35" t="s">
        <v>196</v>
      </c>
      <c r="E1966" s="35" t="s">
        <v>514</v>
      </c>
      <c r="F1966" s="35">
        <v>298.0</v>
      </c>
      <c r="G1966" s="35">
        <v>5.13</v>
      </c>
      <c r="H1966" s="35">
        <v>58.1</v>
      </c>
      <c r="I1966" s="35" t="s">
        <v>75</v>
      </c>
    </row>
    <row r="1967" ht="22.5" customHeight="1">
      <c r="A1967" s="35" t="s">
        <v>4169</v>
      </c>
      <c r="B1967" s="35" t="s">
        <v>4170</v>
      </c>
      <c r="C1967" s="35" t="s">
        <v>7757</v>
      </c>
      <c r="D1967" s="35" t="s">
        <v>175</v>
      </c>
      <c r="E1967" s="35" t="s">
        <v>463</v>
      </c>
      <c r="F1967" s="35">
        <v>1559.0</v>
      </c>
      <c r="G1967" s="35">
        <v>2.34</v>
      </c>
      <c r="H1967" s="35">
        <v>666.2</v>
      </c>
      <c r="I1967" s="35" t="s">
        <v>62</v>
      </c>
    </row>
    <row r="1968" ht="22.5" customHeight="1">
      <c r="A1968" s="35" t="s">
        <v>4171</v>
      </c>
      <c r="B1968" s="35" t="s">
        <v>4172</v>
      </c>
      <c r="C1968" s="35" t="s">
        <v>7757</v>
      </c>
      <c r="D1968" s="35" t="s">
        <v>160</v>
      </c>
      <c r="E1968" s="35" t="s">
        <v>435</v>
      </c>
      <c r="F1968" s="35">
        <v>639.0</v>
      </c>
      <c r="G1968" s="35">
        <v>3.99</v>
      </c>
      <c r="H1968" s="35">
        <v>160.2</v>
      </c>
      <c r="I1968" s="35" t="s">
        <v>62</v>
      </c>
    </row>
    <row r="1969" ht="22.5" customHeight="1">
      <c r="A1969" s="35" t="s">
        <v>4173</v>
      </c>
      <c r="B1969" s="35" t="s">
        <v>4174</v>
      </c>
      <c r="C1969" s="35" t="s">
        <v>7757</v>
      </c>
      <c r="D1969" s="35" t="s">
        <v>175</v>
      </c>
      <c r="E1969" s="35" t="s">
        <v>463</v>
      </c>
      <c r="F1969" s="35">
        <v>350.0</v>
      </c>
      <c r="G1969" s="35">
        <v>4.85</v>
      </c>
      <c r="H1969" s="35">
        <v>72.2</v>
      </c>
      <c r="I1969" s="35" t="s">
        <v>75</v>
      </c>
    </row>
    <row r="1970" ht="22.5" customHeight="1">
      <c r="A1970" s="35" t="s">
        <v>4175</v>
      </c>
      <c r="B1970" s="35" t="s">
        <v>4176</v>
      </c>
      <c r="C1970" s="35" t="s">
        <v>7757</v>
      </c>
      <c r="D1970" s="35" t="s">
        <v>131</v>
      </c>
      <c r="E1970" s="35" t="s">
        <v>341</v>
      </c>
      <c r="F1970" s="35">
        <v>995.0</v>
      </c>
      <c r="G1970" s="35">
        <v>6.41</v>
      </c>
      <c r="H1970" s="35">
        <v>155.2</v>
      </c>
      <c r="I1970" s="35" t="s">
        <v>62</v>
      </c>
    </row>
    <row r="1971" ht="22.5" customHeight="1">
      <c r="A1971" s="35" t="s">
        <v>4177</v>
      </c>
      <c r="B1971" s="35" t="s">
        <v>4178</v>
      </c>
      <c r="C1971" s="35" t="s">
        <v>7757</v>
      </c>
      <c r="D1971" s="35" t="s">
        <v>195</v>
      </c>
      <c r="E1971" s="35" t="s">
        <v>509</v>
      </c>
      <c r="F1971" s="35">
        <v>117.0</v>
      </c>
      <c r="G1971" s="35">
        <v>6.29</v>
      </c>
      <c r="H1971" s="35">
        <v>18.6</v>
      </c>
      <c r="I1971" s="35" t="s">
        <v>75</v>
      </c>
    </row>
    <row r="1972" ht="22.5" customHeight="1">
      <c r="A1972" s="35" t="s">
        <v>4179</v>
      </c>
      <c r="B1972" s="35" t="s">
        <v>4180</v>
      </c>
      <c r="C1972" s="35" t="s">
        <v>7757</v>
      </c>
      <c r="D1972" s="35" t="s">
        <v>155</v>
      </c>
      <c r="E1972" s="35" t="s">
        <v>420</v>
      </c>
      <c r="F1972" s="35">
        <v>184.0</v>
      </c>
      <c r="G1972" s="35">
        <v>9.82</v>
      </c>
      <c r="H1972" s="35">
        <v>18.7</v>
      </c>
      <c r="I1972" s="35" t="s">
        <v>75</v>
      </c>
    </row>
    <row r="1973" ht="22.5" customHeight="1">
      <c r="A1973" s="35" t="s">
        <v>4181</v>
      </c>
      <c r="B1973" s="35" t="s">
        <v>4182</v>
      </c>
      <c r="C1973" s="35" t="s">
        <v>7757</v>
      </c>
      <c r="D1973" s="35" t="s">
        <v>159</v>
      </c>
      <c r="E1973" s="35" t="s">
        <v>430</v>
      </c>
      <c r="F1973" s="35">
        <v>560.0</v>
      </c>
      <c r="G1973" s="35">
        <v>10.52</v>
      </c>
      <c r="H1973" s="35">
        <v>53.2</v>
      </c>
      <c r="I1973" s="35" t="s">
        <v>62</v>
      </c>
    </row>
    <row r="1974" ht="22.5" customHeight="1">
      <c r="A1974" s="35" t="s">
        <v>4183</v>
      </c>
      <c r="B1974" s="35" t="s">
        <v>4184</v>
      </c>
      <c r="C1974" s="35" t="s">
        <v>7757</v>
      </c>
      <c r="D1974" s="35" t="s">
        <v>195</v>
      </c>
      <c r="E1974" s="35" t="s">
        <v>509</v>
      </c>
      <c r="F1974" s="35">
        <v>139.0</v>
      </c>
      <c r="G1974" s="35">
        <v>9.34</v>
      </c>
      <c r="H1974" s="35">
        <v>14.9</v>
      </c>
      <c r="I1974" s="35" t="s">
        <v>75</v>
      </c>
    </row>
    <row r="1975" ht="22.5" customHeight="1">
      <c r="A1975" s="35" t="s">
        <v>4185</v>
      </c>
      <c r="B1975" s="35" t="s">
        <v>4186</v>
      </c>
      <c r="C1975" s="35" t="s">
        <v>7757</v>
      </c>
      <c r="D1975" s="35" t="s">
        <v>188</v>
      </c>
      <c r="E1975" s="35" t="s">
        <v>491</v>
      </c>
      <c r="F1975" s="35">
        <v>622.0</v>
      </c>
      <c r="G1975" s="35">
        <v>4.95</v>
      </c>
      <c r="H1975" s="35">
        <v>125.7</v>
      </c>
      <c r="I1975" s="35" t="s">
        <v>62</v>
      </c>
    </row>
    <row r="1976" ht="22.5" customHeight="1">
      <c r="A1976" s="35" t="s">
        <v>4187</v>
      </c>
      <c r="B1976" s="35" t="s">
        <v>4188</v>
      </c>
      <c r="C1976" s="35" t="s">
        <v>7757</v>
      </c>
      <c r="D1976" s="35" t="s">
        <v>195</v>
      </c>
      <c r="E1976" s="35" t="s">
        <v>509</v>
      </c>
      <c r="F1976" s="35">
        <v>604.0</v>
      </c>
      <c r="G1976" s="35">
        <v>8.53</v>
      </c>
      <c r="H1976" s="35">
        <v>70.8</v>
      </c>
      <c r="I1976" s="35" t="s">
        <v>62</v>
      </c>
    </row>
    <row r="1977" ht="22.5" customHeight="1">
      <c r="A1977" s="35" t="s">
        <v>4189</v>
      </c>
      <c r="B1977" s="35" t="s">
        <v>4190</v>
      </c>
      <c r="C1977" s="35" t="s">
        <v>7757</v>
      </c>
      <c r="D1977" s="35" t="s">
        <v>131</v>
      </c>
      <c r="E1977" s="35" t="s">
        <v>341</v>
      </c>
      <c r="F1977" s="35">
        <v>235.0</v>
      </c>
      <c r="G1977" s="35">
        <v>9.82</v>
      </c>
      <c r="H1977" s="35">
        <v>23.9</v>
      </c>
      <c r="I1977" s="35" t="s">
        <v>75</v>
      </c>
    </row>
    <row r="1978" ht="22.5" customHeight="1">
      <c r="A1978" s="35" t="s">
        <v>4191</v>
      </c>
      <c r="B1978" s="35" t="s">
        <v>4192</v>
      </c>
      <c r="C1978" s="35" t="s">
        <v>7757</v>
      </c>
      <c r="D1978" s="35" t="s">
        <v>159</v>
      </c>
      <c r="E1978" s="35" t="s">
        <v>430</v>
      </c>
      <c r="F1978" s="35">
        <v>227.0</v>
      </c>
      <c r="G1978" s="35">
        <v>3.18</v>
      </c>
      <c r="H1978" s="35">
        <v>71.4</v>
      </c>
      <c r="I1978" s="35" t="s">
        <v>75</v>
      </c>
    </row>
    <row r="1979" ht="22.5" customHeight="1">
      <c r="A1979" s="35" t="s">
        <v>4193</v>
      </c>
      <c r="B1979" s="35" t="s">
        <v>4194</v>
      </c>
      <c r="C1979" s="35" t="s">
        <v>7757</v>
      </c>
      <c r="D1979" s="35" t="s">
        <v>115</v>
      </c>
      <c r="E1979" s="35" t="s">
        <v>129</v>
      </c>
      <c r="F1979" s="35">
        <v>277.0</v>
      </c>
      <c r="G1979" s="35">
        <v>3.89</v>
      </c>
      <c r="H1979" s="35">
        <v>71.2</v>
      </c>
      <c r="I1979" s="35" t="s">
        <v>75</v>
      </c>
    </row>
    <row r="1980" ht="22.5" customHeight="1">
      <c r="A1980" s="35" t="s">
        <v>4195</v>
      </c>
      <c r="B1980" s="35" t="s">
        <v>4196</v>
      </c>
      <c r="C1980" s="35" t="s">
        <v>7757</v>
      </c>
      <c r="D1980" s="35" t="s">
        <v>195</v>
      </c>
      <c r="E1980" s="35" t="s">
        <v>509</v>
      </c>
      <c r="F1980" s="35">
        <v>254.0</v>
      </c>
      <c r="G1980" s="35">
        <v>7.01</v>
      </c>
      <c r="H1980" s="35">
        <v>36.2</v>
      </c>
      <c r="I1980" s="35" t="s">
        <v>75</v>
      </c>
    </row>
    <row r="1981" ht="22.5" customHeight="1">
      <c r="A1981" s="35" t="s">
        <v>4197</v>
      </c>
      <c r="B1981" s="35" t="s">
        <v>4198</v>
      </c>
      <c r="C1981" s="35" t="s">
        <v>7757</v>
      </c>
      <c r="D1981" s="35" t="s">
        <v>203</v>
      </c>
      <c r="E1981" s="35" t="s">
        <v>524</v>
      </c>
      <c r="F1981" s="35">
        <v>277.0</v>
      </c>
      <c r="G1981" s="35">
        <v>12.04</v>
      </c>
      <c r="H1981" s="35">
        <v>23.0</v>
      </c>
      <c r="I1981" s="35" t="s">
        <v>75</v>
      </c>
    </row>
    <row r="1982" ht="22.5" customHeight="1">
      <c r="A1982" s="35" t="s">
        <v>4199</v>
      </c>
      <c r="B1982" s="35" t="s">
        <v>4200</v>
      </c>
      <c r="C1982" s="35" t="s">
        <v>7757</v>
      </c>
      <c r="D1982" s="35" t="s">
        <v>195</v>
      </c>
      <c r="E1982" s="35" t="s">
        <v>509</v>
      </c>
      <c r="F1982" s="35">
        <v>471.0</v>
      </c>
      <c r="G1982" s="35">
        <v>8.14</v>
      </c>
      <c r="H1982" s="35">
        <v>57.9</v>
      </c>
      <c r="I1982" s="35" t="s">
        <v>75</v>
      </c>
    </row>
    <row r="1983" ht="22.5" customHeight="1">
      <c r="A1983" s="35" t="s">
        <v>4201</v>
      </c>
      <c r="B1983" s="35" t="s">
        <v>4202</v>
      </c>
      <c r="C1983" s="35" t="s">
        <v>7757</v>
      </c>
      <c r="D1983" s="35" t="s">
        <v>155</v>
      </c>
      <c r="E1983" s="35" t="s">
        <v>420</v>
      </c>
      <c r="F1983" s="35">
        <v>71.0</v>
      </c>
      <c r="G1983" s="35">
        <v>4.07</v>
      </c>
      <c r="H1983" s="35">
        <v>17.4</v>
      </c>
      <c r="I1983" s="35" t="s">
        <v>75</v>
      </c>
    </row>
    <row r="1984" ht="22.5" customHeight="1">
      <c r="A1984" s="35" t="s">
        <v>4203</v>
      </c>
      <c r="B1984" s="35" t="s">
        <v>4204</v>
      </c>
      <c r="C1984" s="35" t="s">
        <v>7757</v>
      </c>
      <c r="D1984" s="35" t="s">
        <v>203</v>
      </c>
      <c r="E1984" s="35" t="s">
        <v>524</v>
      </c>
      <c r="F1984" s="35">
        <v>215.0</v>
      </c>
      <c r="G1984" s="35">
        <v>9.47</v>
      </c>
      <c r="H1984" s="35">
        <v>22.7</v>
      </c>
      <c r="I1984" s="35" t="s">
        <v>75</v>
      </c>
    </row>
    <row r="1985" ht="22.5" customHeight="1">
      <c r="A1985" s="35" t="s">
        <v>4205</v>
      </c>
      <c r="B1985" s="35" t="s">
        <v>4206</v>
      </c>
      <c r="C1985" s="35" t="s">
        <v>7757</v>
      </c>
      <c r="D1985" s="35" t="s">
        <v>159</v>
      </c>
      <c r="E1985" s="35" t="s">
        <v>430</v>
      </c>
      <c r="F1985" s="35">
        <v>328.0</v>
      </c>
      <c r="G1985" s="35">
        <v>10.99</v>
      </c>
      <c r="H1985" s="35">
        <v>29.8</v>
      </c>
      <c r="I1985" s="35" t="s">
        <v>75</v>
      </c>
    </row>
    <row r="1986" ht="22.5" customHeight="1">
      <c r="A1986" s="35" t="s">
        <v>4207</v>
      </c>
      <c r="B1986" s="35" t="s">
        <v>4208</v>
      </c>
      <c r="C1986" s="35" t="s">
        <v>7757</v>
      </c>
      <c r="D1986" s="35" t="s">
        <v>196</v>
      </c>
      <c r="E1986" s="35" t="s">
        <v>514</v>
      </c>
      <c r="F1986" s="35">
        <v>448.0</v>
      </c>
      <c r="G1986" s="35">
        <v>10.85</v>
      </c>
      <c r="H1986" s="35">
        <v>41.3</v>
      </c>
      <c r="I1986" s="35" t="s">
        <v>75</v>
      </c>
    </row>
    <row r="1987" ht="22.5" customHeight="1">
      <c r="A1987" s="35" t="s">
        <v>4209</v>
      </c>
      <c r="B1987" s="35" t="s">
        <v>4210</v>
      </c>
      <c r="C1987" s="35" t="s">
        <v>7757</v>
      </c>
      <c r="D1987" s="35" t="s">
        <v>131</v>
      </c>
      <c r="E1987" s="35" t="s">
        <v>341</v>
      </c>
      <c r="F1987" s="35">
        <v>855.0</v>
      </c>
      <c r="G1987" s="35">
        <v>8.13</v>
      </c>
      <c r="H1987" s="35">
        <v>105.2</v>
      </c>
      <c r="I1987" s="35" t="s">
        <v>62</v>
      </c>
    </row>
    <row r="1988" ht="22.5" customHeight="1">
      <c r="A1988" s="35" t="s">
        <v>4211</v>
      </c>
      <c r="B1988" s="35" t="s">
        <v>4212</v>
      </c>
      <c r="C1988" s="35" t="s">
        <v>7757</v>
      </c>
      <c r="D1988" s="35" t="s">
        <v>228</v>
      </c>
      <c r="E1988" s="35" t="s">
        <v>396</v>
      </c>
      <c r="F1988" s="35">
        <v>757.0</v>
      </c>
      <c r="G1988" s="35">
        <v>15.59</v>
      </c>
      <c r="H1988" s="35">
        <v>48.6</v>
      </c>
      <c r="I1988" s="35" t="s">
        <v>62</v>
      </c>
    </row>
    <row r="1989" ht="22.5" customHeight="1">
      <c r="A1989" s="35" t="s">
        <v>4213</v>
      </c>
      <c r="B1989" s="35" t="s">
        <v>4214</v>
      </c>
      <c r="C1989" s="35" t="s">
        <v>7757</v>
      </c>
      <c r="D1989" s="35" t="s">
        <v>195</v>
      </c>
      <c r="E1989" s="35" t="s">
        <v>509</v>
      </c>
      <c r="F1989" s="35">
        <v>247.0</v>
      </c>
      <c r="G1989" s="35">
        <v>9.88</v>
      </c>
      <c r="H1989" s="35">
        <v>25.0</v>
      </c>
      <c r="I1989" s="35" t="s">
        <v>75</v>
      </c>
    </row>
    <row r="1990" ht="22.5" customHeight="1">
      <c r="A1990" s="35" t="s">
        <v>4215</v>
      </c>
      <c r="B1990" s="35" t="s">
        <v>4216</v>
      </c>
      <c r="C1990" s="35" t="s">
        <v>7757</v>
      </c>
      <c r="D1990" s="35" t="s">
        <v>175</v>
      </c>
      <c r="E1990" s="35" t="s">
        <v>463</v>
      </c>
      <c r="F1990" s="35">
        <v>1573.0</v>
      </c>
      <c r="G1990" s="35">
        <v>17.63</v>
      </c>
      <c r="H1990" s="35">
        <v>89.2</v>
      </c>
      <c r="I1990" s="35" t="s">
        <v>62</v>
      </c>
    </row>
    <row r="1991" ht="22.5" customHeight="1">
      <c r="A1991" s="35" t="s">
        <v>4217</v>
      </c>
      <c r="B1991" s="35" t="s">
        <v>4218</v>
      </c>
      <c r="C1991" s="35" t="s">
        <v>7757</v>
      </c>
      <c r="D1991" s="35" t="s">
        <v>175</v>
      </c>
      <c r="E1991" s="35" t="s">
        <v>463</v>
      </c>
      <c r="F1991" s="35">
        <v>638.0</v>
      </c>
      <c r="G1991" s="35">
        <v>7.46</v>
      </c>
      <c r="H1991" s="35">
        <v>85.5</v>
      </c>
      <c r="I1991" s="35" t="s">
        <v>62</v>
      </c>
    </row>
    <row r="1992" ht="22.5" customHeight="1">
      <c r="A1992" s="35" t="s">
        <v>4219</v>
      </c>
      <c r="B1992" s="35" t="s">
        <v>4220</v>
      </c>
      <c r="C1992" s="35" t="s">
        <v>7757</v>
      </c>
      <c r="D1992" s="35" t="s">
        <v>203</v>
      </c>
      <c r="E1992" s="35" t="s">
        <v>524</v>
      </c>
      <c r="F1992" s="35">
        <v>272.0</v>
      </c>
      <c r="G1992" s="35">
        <v>12.38</v>
      </c>
      <c r="H1992" s="35">
        <v>22.0</v>
      </c>
      <c r="I1992" s="35" t="s">
        <v>75</v>
      </c>
    </row>
    <row r="1993" ht="22.5" customHeight="1">
      <c r="A1993" s="35" t="s">
        <v>4221</v>
      </c>
      <c r="B1993" s="35" t="s">
        <v>4222</v>
      </c>
      <c r="C1993" s="35" t="s">
        <v>7757</v>
      </c>
      <c r="D1993" s="35" t="s">
        <v>155</v>
      </c>
      <c r="E1993" s="35" t="s">
        <v>420</v>
      </c>
      <c r="F1993" s="35">
        <v>514.0</v>
      </c>
      <c r="G1993" s="35">
        <v>11.45</v>
      </c>
      <c r="H1993" s="35">
        <v>44.9</v>
      </c>
      <c r="I1993" s="35" t="s">
        <v>62</v>
      </c>
    </row>
    <row r="1994" ht="22.5" customHeight="1">
      <c r="A1994" s="35" t="s">
        <v>4223</v>
      </c>
      <c r="B1994" s="35" t="s">
        <v>4224</v>
      </c>
      <c r="C1994" s="35" t="s">
        <v>7757</v>
      </c>
      <c r="D1994" s="35" t="s">
        <v>159</v>
      </c>
      <c r="E1994" s="35" t="s">
        <v>430</v>
      </c>
      <c r="F1994" s="35">
        <v>202.0</v>
      </c>
      <c r="G1994" s="35">
        <v>7.91</v>
      </c>
      <c r="H1994" s="35">
        <v>25.5</v>
      </c>
      <c r="I1994" s="35" t="s">
        <v>75</v>
      </c>
    </row>
    <row r="1995" ht="22.5" customHeight="1">
      <c r="A1995" s="35" t="s">
        <v>4225</v>
      </c>
      <c r="B1995" s="35" t="s">
        <v>4226</v>
      </c>
      <c r="C1995" s="35" t="s">
        <v>7757</v>
      </c>
      <c r="D1995" s="35" t="s">
        <v>190</v>
      </c>
      <c r="E1995" s="35" t="s">
        <v>501</v>
      </c>
      <c r="F1995" s="35">
        <v>1174.0</v>
      </c>
      <c r="G1995" s="35">
        <v>6.32</v>
      </c>
      <c r="H1995" s="35">
        <v>185.8</v>
      </c>
      <c r="I1995" s="35" t="s">
        <v>62</v>
      </c>
    </row>
    <row r="1996" ht="22.5" customHeight="1">
      <c r="A1996" s="35" t="s">
        <v>4227</v>
      </c>
      <c r="B1996" s="35" t="s">
        <v>4228</v>
      </c>
      <c r="C1996" s="35" t="s">
        <v>7757</v>
      </c>
      <c r="D1996" s="35" t="s">
        <v>183</v>
      </c>
      <c r="E1996" s="35" t="s">
        <v>482</v>
      </c>
      <c r="F1996" s="35">
        <v>349.0</v>
      </c>
      <c r="G1996" s="35">
        <v>6.36</v>
      </c>
      <c r="H1996" s="35">
        <v>54.9</v>
      </c>
      <c r="I1996" s="35" t="s">
        <v>75</v>
      </c>
    </row>
    <row r="1997" ht="22.5" customHeight="1">
      <c r="A1997" s="35" t="s">
        <v>4229</v>
      </c>
      <c r="B1997" s="35" t="s">
        <v>4230</v>
      </c>
      <c r="C1997" s="35" t="s">
        <v>7757</v>
      </c>
      <c r="D1997" s="35" t="s">
        <v>173</v>
      </c>
      <c r="E1997" s="35" t="s">
        <v>460</v>
      </c>
      <c r="F1997" s="35">
        <v>189.0</v>
      </c>
      <c r="G1997" s="35">
        <v>16.33</v>
      </c>
      <c r="H1997" s="35">
        <v>11.6</v>
      </c>
      <c r="I1997" s="35" t="s">
        <v>75</v>
      </c>
    </row>
    <row r="1998" ht="22.5" customHeight="1">
      <c r="A1998" s="35" t="s">
        <v>4231</v>
      </c>
      <c r="B1998" s="35" t="s">
        <v>4232</v>
      </c>
      <c r="C1998" s="35" t="s">
        <v>7757</v>
      </c>
      <c r="D1998" s="35" t="s">
        <v>176</v>
      </c>
      <c r="E1998" s="35" t="s">
        <v>470</v>
      </c>
      <c r="F1998" s="35">
        <v>1637.0</v>
      </c>
      <c r="G1998" s="35">
        <v>19.61</v>
      </c>
      <c r="H1998" s="35">
        <v>83.5</v>
      </c>
      <c r="I1998" s="35" t="s">
        <v>62</v>
      </c>
    </row>
    <row r="1999" ht="22.5" customHeight="1">
      <c r="A1999" s="35" t="s">
        <v>4233</v>
      </c>
      <c r="B1999" s="35" t="s">
        <v>4234</v>
      </c>
      <c r="C1999" s="35" t="s">
        <v>7757</v>
      </c>
      <c r="D1999" s="35" t="s">
        <v>159</v>
      </c>
      <c r="E1999" s="35" t="s">
        <v>430</v>
      </c>
      <c r="F1999" s="35">
        <v>80.0</v>
      </c>
      <c r="G1999" s="35">
        <v>4.75</v>
      </c>
      <c r="H1999" s="35">
        <v>16.8</v>
      </c>
      <c r="I1999" s="35" t="s">
        <v>75</v>
      </c>
    </row>
    <row r="2000" ht="22.5" customHeight="1">
      <c r="A2000" s="35" t="s">
        <v>4235</v>
      </c>
      <c r="B2000" s="35" t="s">
        <v>4236</v>
      </c>
      <c r="C2000" s="35" t="s">
        <v>7757</v>
      </c>
      <c r="D2000" s="35" t="s">
        <v>173</v>
      </c>
      <c r="E2000" s="35" t="s">
        <v>460</v>
      </c>
      <c r="F2000" s="35">
        <v>301.0</v>
      </c>
      <c r="G2000" s="35">
        <v>7.98</v>
      </c>
      <c r="H2000" s="35">
        <v>37.7</v>
      </c>
      <c r="I2000" s="35" t="s">
        <v>75</v>
      </c>
    </row>
    <row r="2001" ht="22.5" customHeight="1">
      <c r="A2001" s="35" t="s">
        <v>4237</v>
      </c>
      <c r="B2001" s="35" t="s">
        <v>4238</v>
      </c>
      <c r="C2001" s="35" t="s">
        <v>7757</v>
      </c>
      <c r="D2001" s="35" t="s">
        <v>155</v>
      </c>
      <c r="E2001" s="35" t="s">
        <v>420</v>
      </c>
      <c r="F2001" s="35">
        <v>331.0</v>
      </c>
      <c r="G2001" s="35">
        <v>8.5</v>
      </c>
      <c r="H2001" s="35">
        <v>38.9</v>
      </c>
      <c r="I2001" s="35" t="s">
        <v>75</v>
      </c>
    </row>
    <row r="2002" ht="22.5" customHeight="1">
      <c r="A2002" s="35" t="s">
        <v>4239</v>
      </c>
      <c r="B2002" s="35" t="s">
        <v>4240</v>
      </c>
      <c r="C2002" s="35" t="s">
        <v>7757</v>
      </c>
      <c r="D2002" s="35" t="s">
        <v>231</v>
      </c>
      <c r="E2002" s="35" t="s">
        <v>406</v>
      </c>
      <c r="F2002" s="35">
        <v>618.0</v>
      </c>
      <c r="G2002" s="35">
        <v>5.09</v>
      </c>
      <c r="H2002" s="35">
        <v>121.4</v>
      </c>
      <c r="I2002" s="35" t="s">
        <v>62</v>
      </c>
    </row>
    <row r="2003" ht="22.5" customHeight="1">
      <c r="A2003" s="35" t="s">
        <v>4241</v>
      </c>
      <c r="B2003" s="35" t="s">
        <v>1545</v>
      </c>
      <c r="C2003" s="35" t="s">
        <v>7757</v>
      </c>
      <c r="D2003" s="35" t="s">
        <v>231</v>
      </c>
      <c r="E2003" s="35" t="s">
        <v>406</v>
      </c>
      <c r="F2003" s="35">
        <v>3505.0</v>
      </c>
      <c r="G2003" s="35">
        <v>7.99</v>
      </c>
      <c r="H2003" s="35">
        <v>438.7</v>
      </c>
      <c r="I2003" s="35" t="s">
        <v>142</v>
      </c>
    </row>
    <row r="2004" ht="22.5" customHeight="1">
      <c r="A2004" s="35" t="s">
        <v>4242</v>
      </c>
      <c r="B2004" s="35" t="s">
        <v>4243</v>
      </c>
      <c r="C2004" s="35" t="s">
        <v>7757</v>
      </c>
      <c r="D2004" s="35" t="s">
        <v>131</v>
      </c>
      <c r="E2004" s="35" t="s">
        <v>341</v>
      </c>
      <c r="F2004" s="35">
        <v>439.0</v>
      </c>
      <c r="G2004" s="35">
        <v>6.02</v>
      </c>
      <c r="H2004" s="35">
        <v>72.9</v>
      </c>
      <c r="I2004" s="35" t="s">
        <v>75</v>
      </c>
    </row>
    <row r="2005" ht="22.5" customHeight="1">
      <c r="A2005" s="35" t="s">
        <v>4244</v>
      </c>
      <c r="B2005" s="35" t="s">
        <v>4245</v>
      </c>
      <c r="C2005" s="35" t="s">
        <v>7757</v>
      </c>
      <c r="D2005" s="35" t="s">
        <v>190</v>
      </c>
      <c r="E2005" s="35" t="s">
        <v>501</v>
      </c>
      <c r="F2005" s="35">
        <v>1662.0</v>
      </c>
      <c r="G2005" s="35">
        <v>20.01</v>
      </c>
      <c r="H2005" s="35">
        <v>83.1</v>
      </c>
      <c r="I2005" s="35" t="s">
        <v>62</v>
      </c>
    </row>
    <row r="2006" ht="22.5" customHeight="1">
      <c r="A2006" s="35" t="s">
        <v>4246</v>
      </c>
      <c r="B2006" s="35" t="s">
        <v>4247</v>
      </c>
      <c r="C2006" s="35" t="s">
        <v>7757</v>
      </c>
      <c r="D2006" s="35" t="s">
        <v>124</v>
      </c>
      <c r="E2006" s="35" t="s">
        <v>333</v>
      </c>
      <c r="F2006" s="35">
        <v>1060.0</v>
      </c>
      <c r="G2006" s="35">
        <v>2.89</v>
      </c>
      <c r="H2006" s="35">
        <v>366.8</v>
      </c>
      <c r="I2006" s="35" t="s">
        <v>62</v>
      </c>
    </row>
    <row r="2007" ht="22.5" customHeight="1">
      <c r="A2007" s="35" t="s">
        <v>4248</v>
      </c>
      <c r="B2007" s="35" t="s">
        <v>4249</v>
      </c>
      <c r="C2007" s="35" t="s">
        <v>7757</v>
      </c>
      <c r="D2007" s="35" t="s">
        <v>124</v>
      </c>
      <c r="E2007" s="35" t="s">
        <v>333</v>
      </c>
      <c r="F2007" s="35">
        <v>345.0</v>
      </c>
      <c r="G2007" s="35">
        <v>25.29</v>
      </c>
      <c r="H2007" s="35">
        <v>13.6</v>
      </c>
      <c r="I2007" s="35" t="s">
        <v>75</v>
      </c>
    </row>
    <row r="2008" ht="22.5" customHeight="1">
      <c r="A2008" s="35" t="s">
        <v>4250</v>
      </c>
      <c r="B2008" s="35" t="s">
        <v>4251</v>
      </c>
      <c r="C2008" s="35" t="s">
        <v>7757</v>
      </c>
      <c r="D2008" s="35" t="s">
        <v>203</v>
      </c>
      <c r="E2008" s="35" t="s">
        <v>524</v>
      </c>
      <c r="F2008" s="35">
        <v>5810.0</v>
      </c>
      <c r="G2008" s="35">
        <v>14.64</v>
      </c>
      <c r="H2008" s="35">
        <v>396.9</v>
      </c>
      <c r="I2008" s="35" t="s">
        <v>142</v>
      </c>
    </row>
    <row r="2009" ht="22.5" customHeight="1">
      <c r="A2009" s="35" t="s">
        <v>4252</v>
      </c>
      <c r="B2009" s="35" t="s">
        <v>4253</v>
      </c>
      <c r="C2009" s="35" t="s">
        <v>7757</v>
      </c>
      <c r="D2009" s="35" t="s">
        <v>170</v>
      </c>
      <c r="E2009" s="35" t="s">
        <v>452</v>
      </c>
      <c r="F2009" s="35">
        <v>735.0</v>
      </c>
      <c r="G2009" s="35">
        <v>8.3</v>
      </c>
      <c r="H2009" s="35">
        <v>88.6</v>
      </c>
      <c r="I2009" s="35" t="s">
        <v>62</v>
      </c>
    </row>
    <row r="2010" ht="22.5" customHeight="1">
      <c r="A2010" s="35" t="s">
        <v>4254</v>
      </c>
      <c r="B2010" s="35" t="s">
        <v>4255</v>
      </c>
      <c r="C2010" s="35" t="s">
        <v>7757</v>
      </c>
      <c r="D2010" s="35" t="s">
        <v>131</v>
      </c>
      <c r="E2010" s="35" t="s">
        <v>341</v>
      </c>
      <c r="F2010" s="35">
        <v>378.0</v>
      </c>
      <c r="G2010" s="35">
        <v>4.43</v>
      </c>
      <c r="H2010" s="35">
        <v>85.3</v>
      </c>
      <c r="I2010" s="35" t="s">
        <v>75</v>
      </c>
    </row>
    <row r="2011" ht="22.5" customHeight="1">
      <c r="A2011" s="35" t="s">
        <v>4256</v>
      </c>
      <c r="B2011" s="35" t="s">
        <v>4257</v>
      </c>
      <c r="C2011" s="35" t="s">
        <v>7757</v>
      </c>
      <c r="D2011" s="35" t="s">
        <v>115</v>
      </c>
      <c r="E2011" s="35" t="s">
        <v>129</v>
      </c>
      <c r="F2011" s="35">
        <v>4638.0</v>
      </c>
      <c r="G2011" s="35">
        <v>13.25</v>
      </c>
      <c r="H2011" s="35">
        <v>350.0</v>
      </c>
      <c r="I2011" s="35" t="s">
        <v>142</v>
      </c>
    </row>
    <row r="2012" ht="22.5" customHeight="1">
      <c r="A2012" s="35" t="s">
        <v>4258</v>
      </c>
      <c r="B2012" s="35" t="s">
        <v>4259</v>
      </c>
      <c r="C2012" s="35" t="s">
        <v>7757</v>
      </c>
      <c r="D2012" s="35" t="s">
        <v>203</v>
      </c>
      <c r="E2012" s="35" t="s">
        <v>524</v>
      </c>
      <c r="F2012" s="35">
        <v>263.0</v>
      </c>
      <c r="G2012" s="35">
        <v>9.38</v>
      </c>
      <c r="H2012" s="35">
        <v>28.0</v>
      </c>
      <c r="I2012" s="35" t="s">
        <v>75</v>
      </c>
    </row>
    <row r="2013" ht="22.5" customHeight="1">
      <c r="A2013" s="35" t="s">
        <v>4260</v>
      </c>
      <c r="B2013" s="35" t="s">
        <v>4261</v>
      </c>
      <c r="C2013" s="35" t="s">
        <v>7757</v>
      </c>
      <c r="D2013" s="35" t="s">
        <v>131</v>
      </c>
      <c r="E2013" s="35" t="s">
        <v>341</v>
      </c>
      <c r="F2013" s="35">
        <v>1108.0</v>
      </c>
      <c r="G2013" s="35">
        <v>5.5</v>
      </c>
      <c r="H2013" s="35">
        <v>201.5</v>
      </c>
      <c r="I2013" s="35" t="s">
        <v>62</v>
      </c>
    </row>
    <row r="2014" ht="22.5" customHeight="1">
      <c r="A2014" s="35" t="s">
        <v>4262</v>
      </c>
      <c r="B2014" s="35" t="s">
        <v>4263</v>
      </c>
      <c r="C2014" s="35" t="s">
        <v>7757</v>
      </c>
      <c r="D2014" s="35" t="s">
        <v>175</v>
      </c>
      <c r="E2014" s="35" t="s">
        <v>463</v>
      </c>
      <c r="F2014" s="35">
        <v>1449.0</v>
      </c>
      <c r="G2014" s="35">
        <v>3.65</v>
      </c>
      <c r="H2014" s="35">
        <v>397.0</v>
      </c>
      <c r="I2014" s="35" t="s">
        <v>62</v>
      </c>
    </row>
    <row r="2015" ht="22.5" customHeight="1">
      <c r="A2015" s="35" t="s">
        <v>4264</v>
      </c>
      <c r="B2015" s="35" t="s">
        <v>4265</v>
      </c>
      <c r="C2015" s="35" t="s">
        <v>7757</v>
      </c>
      <c r="D2015" s="35" t="s">
        <v>159</v>
      </c>
      <c r="E2015" s="35" t="s">
        <v>430</v>
      </c>
      <c r="F2015" s="35">
        <v>397.0</v>
      </c>
      <c r="G2015" s="35">
        <v>7.79</v>
      </c>
      <c r="H2015" s="35">
        <v>51.0</v>
      </c>
      <c r="I2015" s="35" t="s">
        <v>75</v>
      </c>
    </row>
    <row r="2016" ht="22.5" customHeight="1">
      <c r="A2016" s="35" t="s">
        <v>4266</v>
      </c>
      <c r="B2016" s="35" t="s">
        <v>4267</v>
      </c>
      <c r="C2016" s="35" t="s">
        <v>7757</v>
      </c>
      <c r="D2016" s="35" t="s">
        <v>115</v>
      </c>
      <c r="E2016" s="35" t="s">
        <v>129</v>
      </c>
      <c r="F2016" s="35">
        <v>3335.0</v>
      </c>
      <c r="G2016" s="35">
        <v>12.31</v>
      </c>
      <c r="H2016" s="35">
        <v>270.9</v>
      </c>
      <c r="I2016" s="35" t="s">
        <v>142</v>
      </c>
    </row>
    <row r="2017" ht="22.5" customHeight="1">
      <c r="A2017" s="35" t="s">
        <v>4268</v>
      </c>
      <c r="B2017" s="35" t="s">
        <v>4269</v>
      </c>
      <c r="C2017" s="35" t="s">
        <v>7757</v>
      </c>
      <c r="D2017" s="35" t="s">
        <v>159</v>
      </c>
      <c r="E2017" s="35" t="s">
        <v>430</v>
      </c>
      <c r="F2017" s="35">
        <v>1172.0</v>
      </c>
      <c r="G2017" s="35">
        <v>10.37</v>
      </c>
      <c r="H2017" s="35">
        <v>113.0</v>
      </c>
      <c r="I2017" s="35" t="s">
        <v>62</v>
      </c>
    </row>
    <row r="2018" ht="22.5" customHeight="1">
      <c r="A2018" s="35" t="s">
        <v>4270</v>
      </c>
      <c r="B2018" s="35" t="s">
        <v>4271</v>
      </c>
      <c r="C2018" s="35" t="s">
        <v>7757</v>
      </c>
      <c r="D2018" s="35" t="s">
        <v>131</v>
      </c>
      <c r="E2018" s="35" t="s">
        <v>341</v>
      </c>
      <c r="F2018" s="35">
        <v>1633.0</v>
      </c>
      <c r="G2018" s="35">
        <v>9.66</v>
      </c>
      <c r="H2018" s="35">
        <v>169.0</v>
      </c>
      <c r="I2018" s="35" t="s">
        <v>62</v>
      </c>
    </row>
    <row r="2019" ht="22.5" customHeight="1">
      <c r="A2019" s="35" t="s">
        <v>4272</v>
      </c>
      <c r="B2019" s="35" t="s">
        <v>4273</v>
      </c>
      <c r="C2019" s="35" t="s">
        <v>7757</v>
      </c>
      <c r="D2019" s="35" t="s">
        <v>190</v>
      </c>
      <c r="E2019" s="35" t="s">
        <v>501</v>
      </c>
      <c r="F2019" s="35">
        <v>672.0</v>
      </c>
      <c r="G2019" s="35">
        <v>10.89</v>
      </c>
      <c r="H2019" s="35">
        <v>61.7</v>
      </c>
      <c r="I2019" s="35" t="s">
        <v>62</v>
      </c>
    </row>
    <row r="2020" ht="22.5" customHeight="1">
      <c r="A2020" s="35" t="s">
        <v>4274</v>
      </c>
      <c r="B2020" s="35" t="s">
        <v>4275</v>
      </c>
      <c r="C2020" s="35" t="s">
        <v>7757</v>
      </c>
      <c r="D2020" s="35" t="s">
        <v>173</v>
      </c>
      <c r="E2020" s="35" t="s">
        <v>460</v>
      </c>
      <c r="F2020" s="35">
        <v>153.0</v>
      </c>
      <c r="G2020" s="35">
        <v>3.43</v>
      </c>
      <c r="H2020" s="35">
        <v>44.6</v>
      </c>
      <c r="I2020" s="35" t="s">
        <v>75</v>
      </c>
    </row>
    <row r="2021" ht="22.5" customHeight="1">
      <c r="A2021" s="35" t="s">
        <v>4276</v>
      </c>
      <c r="B2021" s="35" t="s">
        <v>4277</v>
      </c>
      <c r="C2021" s="35" t="s">
        <v>7757</v>
      </c>
      <c r="D2021" s="35" t="s">
        <v>159</v>
      </c>
      <c r="E2021" s="35" t="s">
        <v>430</v>
      </c>
      <c r="F2021" s="35">
        <v>285.0</v>
      </c>
      <c r="G2021" s="35">
        <v>10.85</v>
      </c>
      <c r="H2021" s="35">
        <v>26.3</v>
      </c>
      <c r="I2021" s="35" t="s">
        <v>75</v>
      </c>
    </row>
    <row r="2022" ht="22.5" customHeight="1">
      <c r="A2022" s="35" t="s">
        <v>4278</v>
      </c>
      <c r="B2022" s="35" t="s">
        <v>4279</v>
      </c>
      <c r="C2022" s="35" t="s">
        <v>7757</v>
      </c>
      <c r="D2022" s="35" t="s">
        <v>203</v>
      </c>
      <c r="E2022" s="35" t="s">
        <v>524</v>
      </c>
      <c r="F2022" s="35">
        <v>431.0</v>
      </c>
      <c r="G2022" s="35">
        <v>10.17</v>
      </c>
      <c r="H2022" s="35">
        <v>42.4</v>
      </c>
      <c r="I2022" s="35" t="s">
        <v>75</v>
      </c>
    </row>
    <row r="2023" ht="22.5" customHeight="1">
      <c r="A2023" s="35" t="s">
        <v>4280</v>
      </c>
      <c r="B2023" s="35" t="s">
        <v>4281</v>
      </c>
      <c r="C2023" s="35" t="s">
        <v>7757</v>
      </c>
      <c r="D2023" s="35" t="s">
        <v>159</v>
      </c>
      <c r="E2023" s="35" t="s">
        <v>430</v>
      </c>
      <c r="F2023" s="35">
        <v>225.0</v>
      </c>
      <c r="G2023" s="35">
        <v>4.32</v>
      </c>
      <c r="H2023" s="35">
        <v>52.1</v>
      </c>
      <c r="I2023" s="35" t="s">
        <v>75</v>
      </c>
    </row>
    <row r="2024" ht="22.5" customHeight="1">
      <c r="A2024" s="35" t="s">
        <v>4282</v>
      </c>
      <c r="B2024" s="35" t="s">
        <v>4283</v>
      </c>
      <c r="C2024" s="35" t="s">
        <v>7757</v>
      </c>
      <c r="D2024" s="35" t="s">
        <v>124</v>
      </c>
      <c r="E2024" s="35" t="s">
        <v>333</v>
      </c>
      <c r="F2024" s="35">
        <v>1751.0</v>
      </c>
      <c r="G2024" s="35">
        <v>16.56</v>
      </c>
      <c r="H2024" s="35">
        <v>105.7</v>
      </c>
      <c r="I2024" s="35" t="s">
        <v>62</v>
      </c>
    </row>
    <row r="2025" ht="22.5" customHeight="1">
      <c r="A2025" s="35" t="s">
        <v>4284</v>
      </c>
      <c r="B2025" s="35" t="s">
        <v>4285</v>
      </c>
      <c r="C2025" s="35" t="s">
        <v>7757</v>
      </c>
      <c r="D2025" s="35" t="s">
        <v>231</v>
      </c>
      <c r="E2025" s="35" t="s">
        <v>406</v>
      </c>
      <c r="F2025" s="35">
        <v>1079.0</v>
      </c>
      <c r="G2025" s="35">
        <v>8.9</v>
      </c>
      <c r="H2025" s="35">
        <v>121.2</v>
      </c>
      <c r="I2025" s="35" t="s">
        <v>62</v>
      </c>
    </row>
    <row r="2026" ht="22.5" customHeight="1">
      <c r="A2026" s="35" t="s">
        <v>4286</v>
      </c>
      <c r="B2026" s="35" t="s">
        <v>4287</v>
      </c>
      <c r="C2026" s="35" t="s">
        <v>7757</v>
      </c>
      <c r="D2026" s="35" t="s">
        <v>159</v>
      </c>
      <c r="E2026" s="35" t="s">
        <v>430</v>
      </c>
      <c r="F2026" s="35">
        <v>281.0</v>
      </c>
      <c r="G2026" s="35">
        <v>10.6</v>
      </c>
      <c r="H2026" s="35">
        <v>26.5</v>
      </c>
      <c r="I2026" s="35" t="s">
        <v>75</v>
      </c>
    </row>
    <row r="2027" ht="22.5" customHeight="1">
      <c r="A2027" s="35" t="s">
        <v>4288</v>
      </c>
      <c r="B2027" s="35" t="s">
        <v>4289</v>
      </c>
      <c r="C2027" s="35" t="s">
        <v>7757</v>
      </c>
      <c r="D2027" s="35" t="s">
        <v>124</v>
      </c>
      <c r="E2027" s="35" t="s">
        <v>333</v>
      </c>
      <c r="F2027" s="35">
        <v>654.0</v>
      </c>
      <c r="G2027" s="35">
        <v>4.9</v>
      </c>
      <c r="H2027" s="35">
        <v>133.5</v>
      </c>
      <c r="I2027" s="35" t="s">
        <v>62</v>
      </c>
    </row>
    <row r="2028" ht="22.5" customHeight="1">
      <c r="A2028" s="35" t="s">
        <v>4290</v>
      </c>
      <c r="B2028" s="35" t="s">
        <v>4291</v>
      </c>
      <c r="C2028" s="35" t="s">
        <v>7757</v>
      </c>
      <c r="D2028" s="35" t="s">
        <v>115</v>
      </c>
      <c r="E2028" s="35" t="s">
        <v>129</v>
      </c>
      <c r="F2028" s="35">
        <v>984.0</v>
      </c>
      <c r="G2028" s="35">
        <v>7.94</v>
      </c>
      <c r="H2028" s="35">
        <v>123.9</v>
      </c>
      <c r="I2028" s="35" t="s">
        <v>62</v>
      </c>
    </row>
    <row r="2029" ht="22.5" customHeight="1">
      <c r="A2029" s="35" t="s">
        <v>4292</v>
      </c>
      <c r="B2029" s="35" t="s">
        <v>4293</v>
      </c>
      <c r="C2029" s="35" t="s">
        <v>7757</v>
      </c>
      <c r="D2029" s="35" t="s">
        <v>159</v>
      </c>
      <c r="E2029" s="35" t="s">
        <v>430</v>
      </c>
      <c r="F2029" s="35">
        <v>53.0</v>
      </c>
      <c r="G2029" s="35">
        <v>4.51</v>
      </c>
      <c r="H2029" s="35">
        <v>11.8</v>
      </c>
      <c r="I2029" s="35" t="s">
        <v>75</v>
      </c>
    </row>
    <row r="2030" ht="22.5" customHeight="1">
      <c r="A2030" s="35" t="s">
        <v>4294</v>
      </c>
      <c r="B2030" s="35" t="s">
        <v>4295</v>
      </c>
      <c r="C2030" s="35" t="s">
        <v>7757</v>
      </c>
      <c r="D2030" s="35" t="s">
        <v>200</v>
      </c>
      <c r="E2030" s="35" t="s">
        <v>494</v>
      </c>
      <c r="F2030" s="35">
        <v>897.0</v>
      </c>
      <c r="G2030" s="35">
        <v>7.77</v>
      </c>
      <c r="H2030" s="35">
        <v>115.4</v>
      </c>
      <c r="I2030" s="35" t="s">
        <v>62</v>
      </c>
    </row>
    <row r="2031" ht="22.5" customHeight="1">
      <c r="A2031" s="35" t="s">
        <v>4296</v>
      </c>
      <c r="B2031" s="35" t="s">
        <v>4297</v>
      </c>
      <c r="C2031" s="35" t="s">
        <v>7757</v>
      </c>
      <c r="D2031" s="35" t="s">
        <v>159</v>
      </c>
      <c r="E2031" s="35" t="s">
        <v>430</v>
      </c>
      <c r="F2031" s="35">
        <v>262.0</v>
      </c>
      <c r="G2031" s="35">
        <v>13.01</v>
      </c>
      <c r="H2031" s="35">
        <v>20.1</v>
      </c>
      <c r="I2031" s="35" t="s">
        <v>75</v>
      </c>
    </row>
    <row r="2032" ht="22.5" customHeight="1">
      <c r="A2032" s="35" t="s">
        <v>4298</v>
      </c>
      <c r="B2032" s="35" t="s">
        <v>4299</v>
      </c>
      <c r="C2032" s="35" t="s">
        <v>7757</v>
      </c>
      <c r="D2032" s="35" t="s">
        <v>159</v>
      </c>
      <c r="E2032" s="35" t="s">
        <v>430</v>
      </c>
      <c r="F2032" s="35">
        <v>351.0</v>
      </c>
      <c r="G2032" s="35">
        <v>5.57</v>
      </c>
      <c r="H2032" s="35">
        <v>63.0</v>
      </c>
      <c r="I2032" s="35" t="s">
        <v>75</v>
      </c>
    </row>
    <row r="2033" ht="22.5" customHeight="1">
      <c r="A2033" s="35" t="s">
        <v>4300</v>
      </c>
      <c r="B2033" s="35" t="s">
        <v>4301</v>
      </c>
      <c r="C2033" s="35" t="s">
        <v>7757</v>
      </c>
      <c r="D2033" s="35" t="s">
        <v>131</v>
      </c>
      <c r="E2033" s="35" t="s">
        <v>341</v>
      </c>
      <c r="F2033" s="35">
        <v>105.0</v>
      </c>
      <c r="G2033" s="35">
        <v>4.96</v>
      </c>
      <c r="H2033" s="35">
        <v>21.2</v>
      </c>
      <c r="I2033" s="35" t="s">
        <v>75</v>
      </c>
    </row>
    <row r="2034" ht="22.5" customHeight="1">
      <c r="A2034" s="35" t="s">
        <v>4302</v>
      </c>
      <c r="B2034" s="35" t="s">
        <v>4303</v>
      </c>
      <c r="C2034" s="35" t="s">
        <v>7757</v>
      </c>
      <c r="D2034" s="35" t="s">
        <v>131</v>
      </c>
      <c r="E2034" s="35" t="s">
        <v>341</v>
      </c>
      <c r="F2034" s="35">
        <v>933.0</v>
      </c>
      <c r="G2034" s="35">
        <v>9.84</v>
      </c>
      <c r="H2034" s="35">
        <v>94.8</v>
      </c>
      <c r="I2034" s="35" t="s">
        <v>62</v>
      </c>
    </row>
    <row r="2035" ht="22.5" customHeight="1">
      <c r="A2035" s="35" t="s">
        <v>4304</v>
      </c>
      <c r="B2035" s="35" t="s">
        <v>4305</v>
      </c>
      <c r="C2035" s="35" t="s">
        <v>7757</v>
      </c>
      <c r="D2035" s="35" t="s">
        <v>200</v>
      </c>
      <c r="E2035" s="35" t="s">
        <v>494</v>
      </c>
      <c r="F2035" s="35">
        <v>760.0</v>
      </c>
      <c r="G2035" s="35">
        <v>4.45</v>
      </c>
      <c r="H2035" s="35">
        <v>170.8</v>
      </c>
      <c r="I2035" s="35" t="s">
        <v>62</v>
      </c>
    </row>
    <row r="2036" ht="22.5" customHeight="1">
      <c r="A2036" s="35" t="s">
        <v>4306</v>
      </c>
      <c r="B2036" s="35" t="s">
        <v>4307</v>
      </c>
      <c r="C2036" s="35" t="s">
        <v>7757</v>
      </c>
      <c r="D2036" s="35" t="s">
        <v>159</v>
      </c>
      <c r="E2036" s="35" t="s">
        <v>430</v>
      </c>
      <c r="F2036" s="35">
        <v>577.0</v>
      </c>
      <c r="G2036" s="35">
        <v>20.04</v>
      </c>
      <c r="H2036" s="35">
        <v>28.8</v>
      </c>
      <c r="I2036" s="35" t="s">
        <v>62</v>
      </c>
    </row>
    <row r="2037" ht="22.5" customHeight="1">
      <c r="A2037" s="35" t="s">
        <v>4308</v>
      </c>
      <c r="B2037" s="35" t="s">
        <v>4309</v>
      </c>
      <c r="C2037" s="35" t="s">
        <v>7757</v>
      </c>
      <c r="D2037" s="35" t="s">
        <v>228</v>
      </c>
      <c r="E2037" s="35" t="s">
        <v>396</v>
      </c>
      <c r="F2037" s="35">
        <v>15157.0</v>
      </c>
      <c r="G2037" s="35">
        <v>24.1</v>
      </c>
      <c r="H2037" s="35">
        <v>628.9</v>
      </c>
      <c r="I2037" s="35" t="s">
        <v>571</v>
      </c>
    </row>
    <row r="2038" ht="22.5" customHeight="1">
      <c r="A2038" s="35" t="s">
        <v>4310</v>
      </c>
      <c r="B2038" s="35" t="s">
        <v>4311</v>
      </c>
      <c r="C2038" s="35" t="s">
        <v>7757</v>
      </c>
      <c r="D2038" s="35" t="s">
        <v>211</v>
      </c>
      <c r="E2038" s="35" t="s">
        <v>544</v>
      </c>
      <c r="F2038" s="35">
        <v>331.0</v>
      </c>
      <c r="G2038" s="35">
        <v>6.34</v>
      </c>
      <c r="H2038" s="35">
        <v>52.2</v>
      </c>
      <c r="I2038" s="35" t="s">
        <v>75</v>
      </c>
    </row>
    <row r="2039" ht="22.5" customHeight="1">
      <c r="A2039" s="35" t="s">
        <v>4312</v>
      </c>
      <c r="B2039" s="35" t="s">
        <v>4313</v>
      </c>
      <c r="C2039" s="35" t="s">
        <v>7757</v>
      </c>
      <c r="D2039" s="35" t="s">
        <v>211</v>
      </c>
      <c r="E2039" s="35" t="s">
        <v>544</v>
      </c>
      <c r="F2039" s="35">
        <v>184.0</v>
      </c>
      <c r="G2039" s="35">
        <v>8.74</v>
      </c>
      <c r="H2039" s="35">
        <v>21.1</v>
      </c>
      <c r="I2039" s="35" t="s">
        <v>75</v>
      </c>
    </row>
    <row r="2040" ht="22.5" customHeight="1">
      <c r="A2040" s="35" t="s">
        <v>4314</v>
      </c>
      <c r="B2040" s="35" t="s">
        <v>4315</v>
      </c>
      <c r="C2040" s="35" t="s">
        <v>7757</v>
      </c>
      <c r="D2040" s="35" t="s">
        <v>155</v>
      </c>
      <c r="E2040" s="35" t="s">
        <v>420</v>
      </c>
      <c r="F2040" s="35">
        <v>132.0</v>
      </c>
      <c r="G2040" s="35">
        <v>3.3</v>
      </c>
      <c r="H2040" s="35">
        <v>40.0</v>
      </c>
      <c r="I2040" s="35" t="s">
        <v>75</v>
      </c>
    </row>
    <row r="2041" ht="22.5" customHeight="1">
      <c r="A2041" s="35" t="s">
        <v>4316</v>
      </c>
      <c r="B2041" s="35" t="s">
        <v>4317</v>
      </c>
      <c r="C2041" s="35" t="s">
        <v>7757</v>
      </c>
      <c r="D2041" s="35" t="s">
        <v>190</v>
      </c>
      <c r="E2041" s="35" t="s">
        <v>501</v>
      </c>
      <c r="F2041" s="35">
        <v>2784.0</v>
      </c>
      <c r="G2041" s="35">
        <v>20.66</v>
      </c>
      <c r="H2041" s="35">
        <v>134.8</v>
      </c>
      <c r="I2041" s="35" t="s">
        <v>142</v>
      </c>
    </row>
    <row r="2042" ht="22.5" customHeight="1">
      <c r="A2042" s="35" t="s">
        <v>4318</v>
      </c>
      <c r="B2042" s="35" t="s">
        <v>4319</v>
      </c>
      <c r="C2042" s="35" t="s">
        <v>7757</v>
      </c>
      <c r="D2042" s="35" t="s">
        <v>200</v>
      </c>
      <c r="E2042" s="35" t="s">
        <v>494</v>
      </c>
      <c r="F2042" s="35">
        <v>271.0</v>
      </c>
      <c r="G2042" s="35">
        <v>5.05</v>
      </c>
      <c r="H2042" s="35">
        <v>53.7</v>
      </c>
      <c r="I2042" s="35" t="s">
        <v>75</v>
      </c>
    </row>
    <row r="2043" ht="22.5" customHeight="1">
      <c r="A2043" s="35" t="s">
        <v>4320</v>
      </c>
      <c r="B2043" s="35" t="s">
        <v>4321</v>
      </c>
      <c r="C2043" s="35" t="s">
        <v>7757</v>
      </c>
      <c r="D2043" s="35" t="s">
        <v>195</v>
      </c>
      <c r="E2043" s="35" t="s">
        <v>509</v>
      </c>
      <c r="F2043" s="35">
        <v>269.0</v>
      </c>
      <c r="G2043" s="35">
        <v>6.01</v>
      </c>
      <c r="H2043" s="35">
        <v>44.8</v>
      </c>
      <c r="I2043" s="35" t="s">
        <v>75</v>
      </c>
    </row>
    <row r="2044" ht="22.5" customHeight="1">
      <c r="A2044" s="35" t="s">
        <v>4322</v>
      </c>
      <c r="B2044" s="35" t="s">
        <v>4323</v>
      </c>
      <c r="C2044" s="35" t="s">
        <v>7757</v>
      </c>
      <c r="D2044" s="35" t="s">
        <v>195</v>
      </c>
      <c r="E2044" s="35" t="s">
        <v>509</v>
      </c>
      <c r="F2044" s="35">
        <v>1217.0</v>
      </c>
      <c r="G2044" s="35">
        <v>11.44</v>
      </c>
      <c r="H2044" s="35">
        <v>106.4</v>
      </c>
      <c r="I2044" s="35" t="s">
        <v>62</v>
      </c>
    </row>
    <row r="2045" ht="22.5" customHeight="1">
      <c r="A2045" s="35" t="s">
        <v>4324</v>
      </c>
      <c r="B2045" s="35" t="s">
        <v>4325</v>
      </c>
      <c r="C2045" s="35" t="s">
        <v>7757</v>
      </c>
      <c r="D2045" s="35" t="s">
        <v>231</v>
      </c>
      <c r="E2045" s="35" t="s">
        <v>406</v>
      </c>
      <c r="F2045" s="35">
        <v>450.0</v>
      </c>
      <c r="G2045" s="35">
        <v>11.22</v>
      </c>
      <c r="H2045" s="35">
        <v>40.1</v>
      </c>
      <c r="I2045" s="35" t="s">
        <v>75</v>
      </c>
    </row>
    <row r="2046" ht="22.5" customHeight="1">
      <c r="A2046" s="35" t="s">
        <v>4326</v>
      </c>
      <c r="B2046" s="35" t="s">
        <v>4327</v>
      </c>
      <c r="C2046" s="35" t="s">
        <v>7757</v>
      </c>
      <c r="D2046" s="35" t="s">
        <v>196</v>
      </c>
      <c r="E2046" s="35" t="s">
        <v>514</v>
      </c>
      <c r="F2046" s="35">
        <v>130.0</v>
      </c>
      <c r="G2046" s="35">
        <v>3.07</v>
      </c>
      <c r="H2046" s="35">
        <v>42.3</v>
      </c>
      <c r="I2046" s="35" t="s">
        <v>75</v>
      </c>
    </row>
    <row r="2047" ht="22.5" customHeight="1">
      <c r="A2047" s="35" t="s">
        <v>4328</v>
      </c>
      <c r="B2047" s="35" t="s">
        <v>4329</v>
      </c>
      <c r="C2047" s="35" t="s">
        <v>7757</v>
      </c>
      <c r="D2047" s="35" t="s">
        <v>159</v>
      </c>
      <c r="E2047" s="35" t="s">
        <v>430</v>
      </c>
      <c r="F2047" s="35">
        <v>481.0</v>
      </c>
      <c r="G2047" s="35">
        <v>12.95</v>
      </c>
      <c r="H2047" s="35">
        <v>37.1</v>
      </c>
      <c r="I2047" s="35" t="s">
        <v>75</v>
      </c>
    </row>
    <row r="2048" ht="22.5" customHeight="1">
      <c r="A2048" s="35" t="s">
        <v>4330</v>
      </c>
      <c r="B2048" s="35" t="s">
        <v>4331</v>
      </c>
      <c r="C2048" s="35" t="s">
        <v>7757</v>
      </c>
      <c r="D2048" s="35" t="s">
        <v>159</v>
      </c>
      <c r="E2048" s="35" t="s">
        <v>430</v>
      </c>
      <c r="F2048" s="35">
        <v>926.0</v>
      </c>
      <c r="G2048" s="35">
        <v>13.71</v>
      </c>
      <c r="H2048" s="35">
        <v>67.5</v>
      </c>
      <c r="I2048" s="35" t="s">
        <v>62</v>
      </c>
    </row>
    <row r="2049" ht="22.5" customHeight="1">
      <c r="A2049" s="35" t="s">
        <v>4332</v>
      </c>
      <c r="B2049" s="35" t="s">
        <v>4333</v>
      </c>
      <c r="C2049" s="35" t="s">
        <v>7757</v>
      </c>
      <c r="D2049" s="35" t="s">
        <v>159</v>
      </c>
      <c r="E2049" s="35" t="s">
        <v>430</v>
      </c>
      <c r="F2049" s="35">
        <v>165.0</v>
      </c>
      <c r="G2049" s="35">
        <v>4.86</v>
      </c>
      <c r="H2049" s="35">
        <v>34.0</v>
      </c>
      <c r="I2049" s="35" t="s">
        <v>75</v>
      </c>
    </row>
    <row r="2050" ht="22.5" customHeight="1">
      <c r="A2050" s="35" t="s">
        <v>4334</v>
      </c>
      <c r="B2050" s="35" t="s">
        <v>4335</v>
      </c>
      <c r="C2050" s="35" t="s">
        <v>7757</v>
      </c>
      <c r="D2050" s="35" t="s">
        <v>200</v>
      </c>
      <c r="E2050" s="35" t="s">
        <v>494</v>
      </c>
      <c r="F2050" s="35">
        <v>518.0</v>
      </c>
      <c r="G2050" s="35">
        <v>5.18</v>
      </c>
      <c r="H2050" s="35">
        <v>100.0</v>
      </c>
      <c r="I2050" s="35" t="s">
        <v>62</v>
      </c>
    </row>
    <row r="2051" ht="22.5" customHeight="1">
      <c r="A2051" s="35" t="s">
        <v>4336</v>
      </c>
      <c r="B2051" s="35" t="s">
        <v>4337</v>
      </c>
      <c r="C2051" s="35" t="s">
        <v>7757</v>
      </c>
      <c r="D2051" s="35" t="s">
        <v>190</v>
      </c>
      <c r="E2051" s="35" t="s">
        <v>501</v>
      </c>
      <c r="F2051" s="35">
        <v>643.0</v>
      </c>
      <c r="G2051" s="35">
        <v>9.32</v>
      </c>
      <c r="H2051" s="35">
        <v>69.0</v>
      </c>
      <c r="I2051" s="35" t="s">
        <v>62</v>
      </c>
    </row>
    <row r="2052" ht="22.5" customHeight="1">
      <c r="A2052" s="35" t="s">
        <v>4338</v>
      </c>
      <c r="B2052" s="35" t="s">
        <v>4339</v>
      </c>
      <c r="C2052" s="35" t="s">
        <v>7757</v>
      </c>
      <c r="D2052" s="35" t="s">
        <v>155</v>
      </c>
      <c r="E2052" s="35" t="s">
        <v>420</v>
      </c>
      <c r="F2052" s="35">
        <v>250.0</v>
      </c>
      <c r="G2052" s="35">
        <v>6.97</v>
      </c>
      <c r="H2052" s="35">
        <v>35.9</v>
      </c>
      <c r="I2052" s="35" t="s">
        <v>75</v>
      </c>
    </row>
    <row r="2053" ht="22.5" customHeight="1">
      <c r="A2053" s="35" t="s">
        <v>4340</v>
      </c>
      <c r="B2053" s="35" t="s">
        <v>4341</v>
      </c>
      <c r="C2053" s="35" t="s">
        <v>7757</v>
      </c>
      <c r="D2053" s="35" t="s">
        <v>131</v>
      </c>
      <c r="E2053" s="35" t="s">
        <v>341</v>
      </c>
      <c r="F2053" s="35">
        <v>1225.0</v>
      </c>
      <c r="G2053" s="35">
        <v>9.03</v>
      </c>
      <c r="H2053" s="35">
        <v>135.7</v>
      </c>
      <c r="I2053" s="35" t="s">
        <v>62</v>
      </c>
    </row>
    <row r="2054" ht="22.5" customHeight="1">
      <c r="A2054" s="35" t="s">
        <v>4342</v>
      </c>
      <c r="B2054" s="35" t="s">
        <v>4343</v>
      </c>
      <c r="C2054" s="35" t="s">
        <v>7757</v>
      </c>
      <c r="D2054" s="35" t="s">
        <v>159</v>
      </c>
      <c r="E2054" s="35" t="s">
        <v>430</v>
      </c>
      <c r="F2054" s="35">
        <v>196.0</v>
      </c>
      <c r="G2054" s="35">
        <v>9.72</v>
      </c>
      <c r="H2054" s="35">
        <v>20.2</v>
      </c>
      <c r="I2054" s="35" t="s">
        <v>75</v>
      </c>
    </row>
    <row r="2055" ht="22.5" customHeight="1">
      <c r="A2055" s="35" t="s">
        <v>4344</v>
      </c>
      <c r="B2055" s="35" t="s">
        <v>4345</v>
      </c>
      <c r="C2055" s="35" t="s">
        <v>7757</v>
      </c>
      <c r="D2055" s="35" t="s">
        <v>211</v>
      </c>
      <c r="E2055" s="35" t="s">
        <v>544</v>
      </c>
      <c r="F2055" s="35">
        <v>217.0</v>
      </c>
      <c r="G2055" s="35">
        <v>6.42</v>
      </c>
      <c r="H2055" s="35">
        <v>33.8</v>
      </c>
      <c r="I2055" s="35" t="s">
        <v>75</v>
      </c>
    </row>
    <row r="2056" ht="22.5" customHeight="1">
      <c r="A2056" s="35" t="s">
        <v>4346</v>
      </c>
      <c r="B2056" s="35" t="s">
        <v>4347</v>
      </c>
      <c r="C2056" s="35" t="s">
        <v>7757</v>
      </c>
      <c r="D2056" s="35" t="s">
        <v>228</v>
      </c>
      <c r="E2056" s="35" t="s">
        <v>396</v>
      </c>
      <c r="F2056" s="35">
        <v>1090.0</v>
      </c>
      <c r="G2056" s="35">
        <v>6.22</v>
      </c>
      <c r="H2056" s="35">
        <v>175.2</v>
      </c>
      <c r="I2056" s="35" t="s">
        <v>62</v>
      </c>
    </row>
    <row r="2057" ht="22.5" customHeight="1">
      <c r="A2057" s="35" t="s">
        <v>4348</v>
      </c>
      <c r="B2057" s="35" t="s">
        <v>4349</v>
      </c>
      <c r="C2057" s="35" t="s">
        <v>7757</v>
      </c>
      <c r="D2057" s="35" t="s">
        <v>196</v>
      </c>
      <c r="E2057" s="35" t="s">
        <v>514</v>
      </c>
      <c r="F2057" s="35">
        <v>750.0</v>
      </c>
      <c r="G2057" s="35">
        <v>13.05</v>
      </c>
      <c r="H2057" s="35">
        <v>57.5</v>
      </c>
      <c r="I2057" s="35" t="s">
        <v>62</v>
      </c>
    </row>
    <row r="2058" ht="22.5" customHeight="1">
      <c r="A2058" s="35" t="s">
        <v>4350</v>
      </c>
      <c r="B2058" s="35" t="s">
        <v>4351</v>
      </c>
      <c r="C2058" s="35" t="s">
        <v>7757</v>
      </c>
      <c r="D2058" s="35" t="s">
        <v>159</v>
      </c>
      <c r="E2058" s="35" t="s">
        <v>430</v>
      </c>
      <c r="F2058" s="35">
        <v>379.0</v>
      </c>
      <c r="G2058" s="35">
        <v>2.5</v>
      </c>
      <c r="H2058" s="35">
        <v>151.6</v>
      </c>
      <c r="I2058" s="35" t="s">
        <v>75</v>
      </c>
    </row>
    <row r="2059" ht="22.5" customHeight="1">
      <c r="A2059" s="35" t="s">
        <v>4352</v>
      </c>
      <c r="B2059" s="35" t="s">
        <v>4353</v>
      </c>
      <c r="C2059" s="35" t="s">
        <v>7757</v>
      </c>
      <c r="D2059" s="35" t="s">
        <v>155</v>
      </c>
      <c r="E2059" s="35" t="s">
        <v>420</v>
      </c>
      <c r="F2059" s="35">
        <v>438.0</v>
      </c>
      <c r="G2059" s="35">
        <v>9.19</v>
      </c>
      <c r="H2059" s="35">
        <v>47.7</v>
      </c>
      <c r="I2059" s="35" t="s">
        <v>75</v>
      </c>
    </row>
    <row r="2060" ht="22.5" customHeight="1">
      <c r="A2060" s="35" t="s">
        <v>4354</v>
      </c>
      <c r="B2060" s="35" t="s">
        <v>4355</v>
      </c>
      <c r="C2060" s="35" t="s">
        <v>7757</v>
      </c>
      <c r="D2060" s="35" t="s">
        <v>115</v>
      </c>
      <c r="E2060" s="35" t="s">
        <v>129</v>
      </c>
      <c r="F2060" s="35">
        <v>1041.0</v>
      </c>
      <c r="G2060" s="35">
        <v>2.07</v>
      </c>
      <c r="H2060" s="35">
        <v>502.9</v>
      </c>
      <c r="I2060" s="35" t="s">
        <v>62</v>
      </c>
    </row>
    <row r="2061" ht="22.5" customHeight="1">
      <c r="A2061" s="35" t="s">
        <v>4356</v>
      </c>
      <c r="B2061" s="35" t="s">
        <v>4357</v>
      </c>
      <c r="C2061" s="35" t="s">
        <v>7757</v>
      </c>
      <c r="D2061" s="35" t="s">
        <v>170</v>
      </c>
      <c r="E2061" s="35" t="s">
        <v>452</v>
      </c>
      <c r="F2061" s="35">
        <v>4463.0</v>
      </c>
      <c r="G2061" s="35">
        <v>4.38</v>
      </c>
      <c r="H2061" s="35">
        <v>1018.9</v>
      </c>
      <c r="I2061" s="35" t="s">
        <v>142</v>
      </c>
    </row>
    <row r="2062" ht="22.5" customHeight="1">
      <c r="A2062" s="35" t="s">
        <v>4358</v>
      </c>
      <c r="B2062" s="35" t="s">
        <v>4359</v>
      </c>
      <c r="C2062" s="35" t="s">
        <v>7757</v>
      </c>
      <c r="D2062" s="35" t="s">
        <v>195</v>
      </c>
      <c r="E2062" s="35" t="s">
        <v>509</v>
      </c>
      <c r="F2062" s="35">
        <v>462.0</v>
      </c>
      <c r="G2062" s="35">
        <v>11.29</v>
      </c>
      <c r="H2062" s="35">
        <v>40.9</v>
      </c>
      <c r="I2062" s="35" t="s">
        <v>75</v>
      </c>
    </row>
    <row r="2063" ht="22.5" customHeight="1">
      <c r="A2063" s="35" t="s">
        <v>4360</v>
      </c>
      <c r="B2063" s="35" t="s">
        <v>4361</v>
      </c>
      <c r="C2063" s="35" t="s">
        <v>7757</v>
      </c>
      <c r="D2063" s="35" t="s">
        <v>231</v>
      </c>
      <c r="E2063" s="35" t="s">
        <v>406</v>
      </c>
      <c r="F2063" s="35">
        <v>667.0</v>
      </c>
      <c r="G2063" s="35">
        <v>5.46</v>
      </c>
      <c r="H2063" s="35">
        <v>122.2</v>
      </c>
      <c r="I2063" s="35" t="s">
        <v>62</v>
      </c>
    </row>
    <row r="2064" ht="22.5" customHeight="1">
      <c r="A2064" s="35" t="s">
        <v>4362</v>
      </c>
      <c r="B2064" s="35" t="s">
        <v>4363</v>
      </c>
      <c r="C2064" s="35" t="s">
        <v>7757</v>
      </c>
      <c r="D2064" s="35" t="s">
        <v>131</v>
      </c>
      <c r="E2064" s="35" t="s">
        <v>341</v>
      </c>
      <c r="F2064" s="35">
        <v>1258.0</v>
      </c>
      <c r="G2064" s="35">
        <v>14.84</v>
      </c>
      <c r="H2064" s="35">
        <v>84.8</v>
      </c>
      <c r="I2064" s="35" t="s">
        <v>62</v>
      </c>
    </row>
    <row r="2065" ht="22.5" customHeight="1">
      <c r="A2065" s="35" t="s">
        <v>4364</v>
      </c>
      <c r="B2065" s="35" t="s">
        <v>4365</v>
      </c>
      <c r="C2065" s="35" t="s">
        <v>7757</v>
      </c>
      <c r="D2065" s="35" t="s">
        <v>211</v>
      </c>
      <c r="E2065" s="35" t="s">
        <v>544</v>
      </c>
      <c r="F2065" s="35">
        <v>161.0</v>
      </c>
      <c r="G2065" s="35">
        <v>3.32</v>
      </c>
      <c r="H2065" s="35">
        <v>48.5</v>
      </c>
      <c r="I2065" s="35" t="s">
        <v>75</v>
      </c>
    </row>
    <row r="2066" ht="22.5" customHeight="1">
      <c r="A2066" s="35" t="s">
        <v>4366</v>
      </c>
      <c r="B2066" s="35" t="s">
        <v>4367</v>
      </c>
      <c r="C2066" s="35" t="s">
        <v>7757</v>
      </c>
      <c r="D2066" s="35" t="s">
        <v>173</v>
      </c>
      <c r="E2066" s="35" t="s">
        <v>460</v>
      </c>
      <c r="F2066" s="35">
        <v>1686.0</v>
      </c>
      <c r="G2066" s="35">
        <v>18.67</v>
      </c>
      <c r="H2066" s="35">
        <v>90.3</v>
      </c>
      <c r="I2066" s="35" t="s">
        <v>62</v>
      </c>
    </row>
    <row r="2067" ht="22.5" customHeight="1">
      <c r="A2067" s="35" t="s">
        <v>4368</v>
      </c>
      <c r="B2067" s="35" t="s">
        <v>4369</v>
      </c>
      <c r="C2067" s="35" t="s">
        <v>7757</v>
      </c>
      <c r="D2067" s="35" t="s">
        <v>170</v>
      </c>
      <c r="E2067" s="35" t="s">
        <v>452</v>
      </c>
      <c r="F2067" s="35">
        <v>1037.0</v>
      </c>
      <c r="G2067" s="35">
        <v>4.69</v>
      </c>
      <c r="H2067" s="35">
        <v>221.1</v>
      </c>
      <c r="I2067" s="35" t="s">
        <v>62</v>
      </c>
    </row>
    <row r="2068" ht="22.5" customHeight="1">
      <c r="A2068" s="35" t="s">
        <v>4370</v>
      </c>
      <c r="B2068" s="35" t="s">
        <v>4371</v>
      </c>
      <c r="C2068" s="35" t="s">
        <v>7757</v>
      </c>
      <c r="D2068" s="35" t="s">
        <v>203</v>
      </c>
      <c r="E2068" s="35" t="s">
        <v>524</v>
      </c>
      <c r="F2068" s="35">
        <v>1392.0</v>
      </c>
      <c r="G2068" s="35">
        <v>12.0</v>
      </c>
      <c r="H2068" s="35">
        <v>116.0</v>
      </c>
      <c r="I2068" s="35" t="s">
        <v>62</v>
      </c>
    </row>
    <row r="2069" ht="22.5" customHeight="1">
      <c r="A2069" s="35" t="s">
        <v>4372</v>
      </c>
      <c r="B2069" s="35" t="s">
        <v>4373</v>
      </c>
      <c r="C2069" s="35" t="s">
        <v>7757</v>
      </c>
      <c r="D2069" s="35" t="s">
        <v>211</v>
      </c>
      <c r="E2069" s="35" t="s">
        <v>544</v>
      </c>
      <c r="F2069" s="35">
        <v>1875.0</v>
      </c>
      <c r="G2069" s="35">
        <v>13.52</v>
      </c>
      <c r="H2069" s="35">
        <v>138.7</v>
      </c>
      <c r="I2069" s="35" t="s">
        <v>62</v>
      </c>
    </row>
    <row r="2070" ht="22.5" customHeight="1">
      <c r="A2070" s="35" t="s">
        <v>4374</v>
      </c>
      <c r="B2070" s="35" t="s">
        <v>4375</v>
      </c>
      <c r="C2070" s="35" t="s">
        <v>7757</v>
      </c>
      <c r="D2070" s="35" t="s">
        <v>211</v>
      </c>
      <c r="E2070" s="35" t="s">
        <v>544</v>
      </c>
      <c r="F2070" s="35">
        <v>303.0</v>
      </c>
      <c r="G2070" s="35">
        <v>4.56</v>
      </c>
      <c r="H2070" s="35">
        <v>66.4</v>
      </c>
      <c r="I2070" s="35" t="s">
        <v>75</v>
      </c>
    </row>
    <row r="2071" ht="22.5" customHeight="1">
      <c r="A2071" s="35" t="s">
        <v>4376</v>
      </c>
      <c r="B2071" s="35" t="s">
        <v>4377</v>
      </c>
      <c r="C2071" s="35" t="s">
        <v>7757</v>
      </c>
      <c r="D2071" s="35" t="s">
        <v>131</v>
      </c>
      <c r="E2071" s="35" t="s">
        <v>341</v>
      </c>
      <c r="F2071" s="35">
        <v>1374.0</v>
      </c>
      <c r="G2071" s="35">
        <v>14.03</v>
      </c>
      <c r="H2071" s="35">
        <v>97.9</v>
      </c>
      <c r="I2071" s="35" t="s">
        <v>62</v>
      </c>
    </row>
    <row r="2072" ht="22.5" customHeight="1">
      <c r="A2072" s="35" t="s">
        <v>4378</v>
      </c>
      <c r="B2072" s="35" t="s">
        <v>4379</v>
      </c>
      <c r="C2072" s="35" t="s">
        <v>7757</v>
      </c>
      <c r="D2072" s="35" t="s">
        <v>173</v>
      </c>
      <c r="E2072" s="35" t="s">
        <v>460</v>
      </c>
      <c r="F2072" s="35">
        <v>2077.0</v>
      </c>
      <c r="G2072" s="35">
        <v>11.09</v>
      </c>
      <c r="H2072" s="35">
        <v>187.3</v>
      </c>
      <c r="I2072" s="35" t="s">
        <v>142</v>
      </c>
    </row>
    <row r="2073" ht="22.5" customHeight="1">
      <c r="A2073" s="35" t="s">
        <v>4380</v>
      </c>
      <c r="B2073" s="35" t="s">
        <v>4381</v>
      </c>
      <c r="C2073" s="35" t="s">
        <v>7757</v>
      </c>
      <c r="D2073" s="35" t="s">
        <v>155</v>
      </c>
      <c r="E2073" s="35" t="s">
        <v>420</v>
      </c>
      <c r="F2073" s="35">
        <v>314.0</v>
      </c>
      <c r="G2073" s="35">
        <v>5.36</v>
      </c>
      <c r="H2073" s="35">
        <v>58.6</v>
      </c>
      <c r="I2073" s="35" t="s">
        <v>75</v>
      </c>
    </row>
    <row r="2074" ht="22.5" customHeight="1">
      <c r="A2074" s="35" t="s">
        <v>4382</v>
      </c>
      <c r="B2074" s="35" t="s">
        <v>4383</v>
      </c>
      <c r="C2074" s="35" t="s">
        <v>7757</v>
      </c>
      <c r="D2074" s="35" t="s">
        <v>195</v>
      </c>
      <c r="E2074" s="35" t="s">
        <v>509</v>
      </c>
      <c r="F2074" s="35">
        <v>522.0</v>
      </c>
      <c r="G2074" s="35">
        <v>13.03</v>
      </c>
      <c r="H2074" s="35">
        <v>40.1</v>
      </c>
      <c r="I2074" s="35" t="s">
        <v>62</v>
      </c>
    </row>
    <row r="2075" ht="22.5" customHeight="1">
      <c r="A2075" s="35" t="s">
        <v>4384</v>
      </c>
      <c r="B2075" s="35" t="s">
        <v>4385</v>
      </c>
      <c r="C2075" s="35" t="s">
        <v>7757</v>
      </c>
      <c r="D2075" s="35" t="s">
        <v>231</v>
      </c>
      <c r="E2075" s="35" t="s">
        <v>406</v>
      </c>
      <c r="F2075" s="35">
        <v>1941.0</v>
      </c>
      <c r="G2075" s="35">
        <v>18.77</v>
      </c>
      <c r="H2075" s="35">
        <v>103.4</v>
      </c>
      <c r="I2075" s="35" t="s">
        <v>62</v>
      </c>
    </row>
    <row r="2076" ht="22.5" customHeight="1">
      <c r="A2076" s="35" t="s">
        <v>4386</v>
      </c>
      <c r="B2076" s="35" t="s">
        <v>4387</v>
      </c>
      <c r="C2076" s="35" t="s">
        <v>7757</v>
      </c>
      <c r="D2076" s="35" t="s">
        <v>176</v>
      </c>
      <c r="E2076" s="35" t="s">
        <v>470</v>
      </c>
      <c r="F2076" s="35">
        <v>941.0</v>
      </c>
      <c r="G2076" s="35">
        <v>8.76</v>
      </c>
      <c r="H2076" s="35">
        <v>107.4</v>
      </c>
      <c r="I2076" s="35" t="s">
        <v>62</v>
      </c>
    </row>
    <row r="2077" ht="22.5" customHeight="1">
      <c r="A2077" s="35" t="s">
        <v>4388</v>
      </c>
      <c r="B2077" s="35" t="s">
        <v>4389</v>
      </c>
      <c r="C2077" s="35" t="s">
        <v>7757</v>
      </c>
      <c r="D2077" s="35" t="s">
        <v>203</v>
      </c>
      <c r="E2077" s="35" t="s">
        <v>524</v>
      </c>
      <c r="F2077" s="35">
        <v>295.0</v>
      </c>
      <c r="G2077" s="35">
        <v>6.94</v>
      </c>
      <c r="H2077" s="35">
        <v>42.5</v>
      </c>
      <c r="I2077" s="35" t="s">
        <v>75</v>
      </c>
    </row>
    <row r="2078" ht="22.5" customHeight="1">
      <c r="A2078" s="35" t="s">
        <v>4390</v>
      </c>
      <c r="B2078" s="35" t="s">
        <v>4391</v>
      </c>
      <c r="C2078" s="35" t="s">
        <v>7757</v>
      </c>
      <c r="D2078" s="35" t="s">
        <v>170</v>
      </c>
      <c r="E2078" s="35" t="s">
        <v>452</v>
      </c>
      <c r="F2078" s="35">
        <v>254.0</v>
      </c>
      <c r="G2078" s="35">
        <v>4.7</v>
      </c>
      <c r="H2078" s="35">
        <v>54.0</v>
      </c>
      <c r="I2078" s="35" t="s">
        <v>75</v>
      </c>
    </row>
    <row r="2079" ht="22.5" customHeight="1">
      <c r="A2079" s="35" t="s">
        <v>4392</v>
      </c>
      <c r="B2079" s="35" t="s">
        <v>4393</v>
      </c>
      <c r="C2079" s="35" t="s">
        <v>7757</v>
      </c>
      <c r="D2079" s="35" t="s">
        <v>200</v>
      </c>
      <c r="E2079" s="35" t="s">
        <v>494</v>
      </c>
      <c r="F2079" s="35">
        <v>367.0</v>
      </c>
      <c r="G2079" s="35">
        <v>9.15</v>
      </c>
      <c r="H2079" s="35">
        <v>40.1</v>
      </c>
      <c r="I2079" s="35" t="s">
        <v>75</v>
      </c>
    </row>
    <row r="2080" ht="22.5" customHeight="1">
      <c r="A2080" s="35" t="s">
        <v>4394</v>
      </c>
      <c r="B2080" s="35" t="s">
        <v>4395</v>
      </c>
      <c r="C2080" s="35" t="s">
        <v>7757</v>
      </c>
      <c r="D2080" s="35" t="s">
        <v>195</v>
      </c>
      <c r="E2080" s="35" t="s">
        <v>509</v>
      </c>
      <c r="F2080" s="35">
        <v>265.0</v>
      </c>
      <c r="G2080" s="35">
        <v>2.93</v>
      </c>
      <c r="H2080" s="35">
        <v>90.4</v>
      </c>
      <c r="I2080" s="35" t="s">
        <v>75</v>
      </c>
    </row>
    <row r="2081" ht="22.5" customHeight="1">
      <c r="A2081" s="35" t="s">
        <v>4396</v>
      </c>
      <c r="B2081" s="35" t="s">
        <v>4397</v>
      </c>
      <c r="C2081" s="35" t="s">
        <v>7757</v>
      </c>
      <c r="D2081" s="35" t="s">
        <v>200</v>
      </c>
      <c r="E2081" s="35" t="s">
        <v>494</v>
      </c>
      <c r="F2081" s="35">
        <v>246.0</v>
      </c>
      <c r="G2081" s="35">
        <v>2.35</v>
      </c>
      <c r="H2081" s="35">
        <v>104.7</v>
      </c>
      <c r="I2081" s="35" t="s">
        <v>75</v>
      </c>
    </row>
    <row r="2082" ht="22.5" customHeight="1">
      <c r="A2082" s="35" t="s">
        <v>4398</v>
      </c>
      <c r="B2082" s="35" t="s">
        <v>4399</v>
      </c>
      <c r="C2082" s="35" t="s">
        <v>7757</v>
      </c>
      <c r="D2082" s="35" t="s">
        <v>195</v>
      </c>
      <c r="E2082" s="35" t="s">
        <v>509</v>
      </c>
      <c r="F2082" s="35">
        <v>701.0</v>
      </c>
      <c r="G2082" s="35">
        <v>6.33</v>
      </c>
      <c r="H2082" s="35">
        <v>110.7</v>
      </c>
      <c r="I2082" s="35" t="s">
        <v>62</v>
      </c>
    </row>
    <row r="2083" ht="22.5" customHeight="1">
      <c r="A2083" s="35" t="s">
        <v>4400</v>
      </c>
      <c r="B2083" s="35" t="s">
        <v>4401</v>
      </c>
      <c r="C2083" s="35" t="s">
        <v>7757</v>
      </c>
      <c r="D2083" s="35" t="s">
        <v>211</v>
      </c>
      <c r="E2083" s="35" t="s">
        <v>544</v>
      </c>
      <c r="F2083" s="35">
        <v>159.0</v>
      </c>
      <c r="G2083" s="35">
        <v>4.66</v>
      </c>
      <c r="H2083" s="35">
        <v>34.1</v>
      </c>
      <c r="I2083" s="35" t="s">
        <v>75</v>
      </c>
    </row>
    <row r="2084" ht="22.5" customHeight="1">
      <c r="A2084" s="35" t="s">
        <v>4402</v>
      </c>
      <c r="B2084" s="35" t="s">
        <v>4403</v>
      </c>
      <c r="C2084" s="35" t="s">
        <v>7757</v>
      </c>
      <c r="D2084" s="35" t="s">
        <v>190</v>
      </c>
      <c r="E2084" s="35" t="s">
        <v>501</v>
      </c>
      <c r="F2084" s="35">
        <v>401.0</v>
      </c>
      <c r="G2084" s="35">
        <v>8.14</v>
      </c>
      <c r="H2084" s="35">
        <v>49.3</v>
      </c>
      <c r="I2084" s="35" t="s">
        <v>75</v>
      </c>
    </row>
    <row r="2085" ht="22.5" customHeight="1">
      <c r="A2085" s="35" t="s">
        <v>4404</v>
      </c>
      <c r="B2085" s="35" t="s">
        <v>4405</v>
      </c>
      <c r="C2085" s="35" t="s">
        <v>7757</v>
      </c>
      <c r="D2085" s="35" t="s">
        <v>195</v>
      </c>
      <c r="E2085" s="35" t="s">
        <v>509</v>
      </c>
      <c r="F2085" s="35">
        <v>998.0</v>
      </c>
      <c r="G2085" s="35">
        <v>3.17</v>
      </c>
      <c r="H2085" s="35">
        <v>314.8</v>
      </c>
      <c r="I2085" s="35" t="s">
        <v>62</v>
      </c>
    </row>
    <row r="2086" ht="22.5" customHeight="1">
      <c r="A2086" s="35" t="s">
        <v>4406</v>
      </c>
      <c r="B2086" s="35" t="s">
        <v>4407</v>
      </c>
      <c r="C2086" s="35" t="s">
        <v>7757</v>
      </c>
      <c r="D2086" s="35" t="s">
        <v>190</v>
      </c>
      <c r="E2086" s="35" t="s">
        <v>501</v>
      </c>
      <c r="F2086" s="35">
        <v>495.0</v>
      </c>
      <c r="G2086" s="35">
        <v>9.84</v>
      </c>
      <c r="H2086" s="35">
        <v>50.3</v>
      </c>
      <c r="I2086" s="35" t="s">
        <v>75</v>
      </c>
    </row>
    <row r="2087" ht="22.5" customHeight="1">
      <c r="A2087" s="35" t="s">
        <v>4408</v>
      </c>
      <c r="B2087" s="35" t="s">
        <v>4409</v>
      </c>
      <c r="C2087" s="35" t="s">
        <v>7757</v>
      </c>
      <c r="D2087" s="35" t="s">
        <v>131</v>
      </c>
      <c r="E2087" s="35" t="s">
        <v>341</v>
      </c>
      <c r="F2087" s="35">
        <v>227.0</v>
      </c>
      <c r="G2087" s="35">
        <v>6.17</v>
      </c>
      <c r="H2087" s="35">
        <v>36.8</v>
      </c>
      <c r="I2087" s="35" t="s">
        <v>75</v>
      </c>
    </row>
    <row r="2088" ht="22.5" customHeight="1">
      <c r="A2088" s="35" t="s">
        <v>4410</v>
      </c>
      <c r="B2088" s="35" t="s">
        <v>4411</v>
      </c>
      <c r="C2088" s="35" t="s">
        <v>7757</v>
      </c>
      <c r="D2088" s="35" t="s">
        <v>155</v>
      </c>
      <c r="E2088" s="35" t="s">
        <v>420</v>
      </c>
      <c r="F2088" s="35">
        <v>447.0</v>
      </c>
      <c r="G2088" s="35">
        <v>10.93</v>
      </c>
      <c r="H2088" s="35">
        <v>40.9</v>
      </c>
      <c r="I2088" s="35" t="s">
        <v>75</v>
      </c>
    </row>
    <row r="2089" ht="22.5" customHeight="1">
      <c r="A2089" s="35" t="s">
        <v>4412</v>
      </c>
      <c r="B2089" s="35" t="s">
        <v>4413</v>
      </c>
      <c r="C2089" s="35" t="s">
        <v>7757</v>
      </c>
      <c r="D2089" s="35" t="s">
        <v>124</v>
      </c>
      <c r="E2089" s="35" t="s">
        <v>333</v>
      </c>
      <c r="F2089" s="35">
        <v>2758.0</v>
      </c>
      <c r="G2089" s="35">
        <v>8.51</v>
      </c>
      <c r="H2089" s="35">
        <v>324.1</v>
      </c>
      <c r="I2089" s="35" t="s">
        <v>142</v>
      </c>
    </row>
    <row r="2090" ht="22.5" customHeight="1">
      <c r="A2090" s="35" t="s">
        <v>4414</v>
      </c>
      <c r="B2090" s="35" t="s">
        <v>4415</v>
      </c>
      <c r="C2090" s="35" t="s">
        <v>7757</v>
      </c>
      <c r="D2090" s="35" t="s">
        <v>195</v>
      </c>
      <c r="E2090" s="35" t="s">
        <v>509</v>
      </c>
      <c r="F2090" s="35">
        <v>1130.0</v>
      </c>
      <c r="G2090" s="35">
        <v>13.26</v>
      </c>
      <c r="H2090" s="35">
        <v>85.2</v>
      </c>
      <c r="I2090" s="35" t="s">
        <v>62</v>
      </c>
    </row>
    <row r="2091" ht="22.5" customHeight="1">
      <c r="A2091" s="35" t="s">
        <v>4416</v>
      </c>
      <c r="B2091" s="35" t="s">
        <v>4417</v>
      </c>
      <c r="C2091" s="35" t="s">
        <v>7757</v>
      </c>
      <c r="D2091" s="35" t="s">
        <v>124</v>
      </c>
      <c r="E2091" s="35" t="s">
        <v>333</v>
      </c>
      <c r="F2091" s="35">
        <v>3898.0</v>
      </c>
      <c r="G2091" s="35">
        <v>15.16</v>
      </c>
      <c r="H2091" s="35">
        <v>257.1</v>
      </c>
      <c r="I2091" s="35" t="s">
        <v>142</v>
      </c>
    </row>
    <row r="2092" ht="22.5" customHeight="1">
      <c r="A2092" s="35" t="s">
        <v>4418</v>
      </c>
      <c r="B2092" s="35" t="s">
        <v>4419</v>
      </c>
      <c r="C2092" s="35" t="s">
        <v>7757</v>
      </c>
      <c r="D2092" s="35" t="s">
        <v>131</v>
      </c>
      <c r="E2092" s="35" t="s">
        <v>341</v>
      </c>
      <c r="F2092" s="35">
        <v>721.0</v>
      </c>
      <c r="G2092" s="35">
        <v>12.57</v>
      </c>
      <c r="H2092" s="35">
        <v>57.4</v>
      </c>
      <c r="I2092" s="35" t="s">
        <v>62</v>
      </c>
    </row>
    <row r="2093" ht="22.5" customHeight="1">
      <c r="A2093" s="35" t="s">
        <v>4420</v>
      </c>
      <c r="B2093" s="35" t="s">
        <v>4421</v>
      </c>
      <c r="C2093" s="35" t="s">
        <v>7757</v>
      </c>
      <c r="D2093" s="35" t="s">
        <v>188</v>
      </c>
      <c r="E2093" s="35" t="s">
        <v>491</v>
      </c>
      <c r="F2093" s="35">
        <v>483.0</v>
      </c>
      <c r="G2093" s="35">
        <v>3.33</v>
      </c>
      <c r="H2093" s="35">
        <v>145.0</v>
      </c>
      <c r="I2093" s="35" t="s">
        <v>75</v>
      </c>
    </row>
    <row r="2094" ht="22.5" customHeight="1">
      <c r="A2094" s="35" t="s">
        <v>4422</v>
      </c>
      <c r="B2094" s="35" t="s">
        <v>4423</v>
      </c>
      <c r="C2094" s="35" t="s">
        <v>7757</v>
      </c>
      <c r="D2094" s="35" t="s">
        <v>175</v>
      </c>
      <c r="E2094" s="35" t="s">
        <v>463</v>
      </c>
      <c r="F2094" s="35">
        <v>4775.0</v>
      </c>
      <c r="G2094" s="35">
        <v>22.31</v>
      </c>
      <c r="H2094" s="35">
        <v>214.0</v>
      </c>
      <c r="I2094" s="35" t="s">
        <v>142</v>
      </c>
    </row>
    <row r="2095" ht="22.5" customHeight="1">
      <c r="A2095" s="35" t="s">
        <v>4424</v>
      </c>
      <c r="B2095" s="35" t="s">
        <v>1755</v>
      </c>
      <c r="C2095" s="35" t="s">
        <v>7757</v>
      </c>
      <c r="D2095" s="35" t="s">
        <v>195</v>
      </c>
      <c r="E2095" s="35" t="s">
        <v>509</v>
      </c>
      <c r="F2095" s="35">
        <v>349.0</v>
      </c>
      <c r="G2095" s="35">
        <v>14.75</v>
      </c>
      <c r="H2095" s="35">
        <v>23.7</v>
      </c>
      <c r="I2095" s="35" t="s">
        <v>75</v>
      </c>
    </row>
    <row r="2096" ht="22.5" customHeight="1">
      <c r="A2096" s="35" t="s">
        <v>4425</v>
      </c>
      <c r="B2096" s="35" t="s">
        <v>4426</v>
      </c>
      <c r="C2096" s="35" t="s">
        <v>7757</v>
      </c>
      <c r="D2096" s="35" t="s">
        <v>195</v>
      </c>
      <c r="E2096" s="35" t="s">
        <v>509</v>
      </c>
      <c r="F2096" s="35">
        <v>285.0</v>
      </c>
      <c r="G2096" s="35">
        <v>10.91</v>
      </c>
      <c r="H2096" s="35">
        <v>26.1</v>
      </c>
      <c r="I2096" s="35" t="s">
        <v>75</v>
      </c>
    </row>
    <row r="2097" ht="22.5" customHeight="1">
      <c r="A2097" s="35" t="s">
        <v>4427</v>
      </c>
      <c r="B2097" s="35" t="s">
        <v>4428</v>
      </c>
      <c r="C2097" s="35" t="s">
        <v>7757</v>
      </c>
      <c r="D2097" s="35" t="s">
        <v>155</v>
      </c>
      <c r="E2097" s="35" t="s">
        <v>420</v>
      </c>
      <c r="F2097" s="35">
        <v>211.0</v>
      </c>
      <c r="G2097" s="35">
        <v>4.0</v>
      </c>
      <c r="H2097" s="35">
        <v>52.8</v>
      </c>
      <c r="I2097" s="35" t="s">
        <v>75</v>
      </c>
    </row>
    <row r="2098" ht="22.5" customHeight="1">
      <c r="A2098" s="35" t="s">
        <v>4429</v>
      </c>
      <c r="B2098" s="35" t="s">
        <v>4430</v>
      </c>
      <c r="C2098" s="35" t="s">
        <v>7757</v>
      </c>
      <c r="D2098" s="35" t="s">
        <v>124</v>
      </c>
      <c r="E2098" s="35" t="s">
        <v>333</v>
      </c>
      <c r="F2098" s="35">
        <v>593.0</v>
      </c>
      <c r="G2098" s="35">
        <v>17.79</v>
      </c>
      <c r="H2098" s="35">
        <v>33.3</v>
      </c>
      <c r="I2098" s="35" t="s">
        <v>62</v>
      </c>
    </row>
    <row r="2099" ht="22.5" customHeight="1">
      <c r="A2099" s="35" t="s">
        <v>4431</v>
      </c>
      <c r="B2099" s="35" t="s">
        <v>4432</v>
      </c>
      <c r="C2099" s="35" t="s">
        <v>7757</v>
      </c>
      <c r="D2099" s="35" t="s">
        <v>196</v>
      </c>
      <c r="E2099" s="35" t="s">
        <v>514</v>
      </c>
      <c r="F2099" s="35">
        <v>417.0</v>
      </c>
      <c r="G2099" s="35">
        <v>4.31</v>
      </c>
      <c r="H2099" s="35">
        <v>96.8</v>
      </c>
      <c r="I2099" s="35" t="s">
        <v>75</v>
      </c>
    </row>
    <row r="2100" ht="22.5" customHeight="1">
      <c r="A2100" s="35" t="s">
        <v>4433</v>
      </c>
      <c r="B2100" s="35" t="s">
        <v>4434</v>
      </c>
      <c r="C2100" s="35" t="s">
        <v>7757</v>
      </c>
      <c r="D2100" s="35" t="s">
        <v>200</v>
      </c>
      <c r="E2100" s="35" t="s">
        <v>494</v>
      </c>
      <c r="F2100" s="35">
        <v>741.0</v>
      </c>
      <c r="G2100" s="35">
        <v>6.03</v>
      </c>
      <c r="H2100" s="35">
        <v>122.9</v>
      </c>
      <c r="I2100" s="35" t="s">
        <v>62</v>
      </c>
    </row>
    <row r="2101" ht="22.5" customHeight="1">
      <c r="A2101" s="35" t="s">
        <v>4435</v>
      </c>
      <c r="B2101" s="35" t="s">
        <v>4436</v>
      </c>
      <c r="C2101" s="35" t="s">
        <v>7757</v>
      </c>
      <c r="D2101" s="35" t="s">
        <v>190</v>
      </c>
      <c r="E2101" s="35" t="s">
        <v>501</v>
      </c>
      <c r="F2101" s="35">
        <v>247.0</v>
      </c>
      <c r="G2101" s="35">
        <v>6.6</v>
      </c>
      <c r="H2101" s="35">
        <v>37.4</v>
      </c>
      <c r="I2101" s="35" t="s">
        <v>75</v>
      </c>
    </row>
    <row r="2102" ht="22.5" customHeight="1">
      <c r="A2102" s="35" t="s">
        <v>4437</v>
      </c>
      <c r="B2102" s="35" t="s">
        <v>4438</v>
      </c>
      <c r="C2102" s="35" t="s">
        <v>7757</v>
      </c>
      <c r="D2102" s="35" t="s">
        <v>176</v>
      </c>
      <c r="E2102" s="35" t="s">
        <v>470</v>
      </c>
      <c r="F2102" s="35">
        <v>1196.0</v>
      </c>
      <c r="G2102" s="35">
        <v>4.48</v>
      </c>
      <c r="H2102" s="35">
        <v>267.0</v>
      </c>
      <c r="I2102" s="35" t="s">
        <v>62</v>
      </c>
    </row>
    <row r="2103" ht="22.5" customHeight="1">
      <c r="A2103" s="35" t="s">
        <v>4439</v>
      </c>
      <c r="B2103" s="35" t="s">
        <v>4440</v>
      </c>
      <c r="C2103" s="35" t="s">
        <v>7757</v>
      </c>
      <c r="D2103" s="35" t="s">
        <v>195</v>
      </c>
      <c r="E2103" s="35" t="s">
        <v>509</v>
      </c>
      <c r="F2103" s="35">
        <v>140.0</v>
      </c>
      <c r="G2103" s="35">
        <v>4.35</v>
      </c>
      <c r="H2103" s="35">
        <v>32.2</v>
      </c>
      <c r="I2103" s="35" t="s">
        <v>75</v>
      </c>
    </row>
    <row r="2104" ht="22.5" customHeight="1">
      <c r="A2104" s="35" t="s">
        <v>4441</v>
      </c>
      <c r="B2104" s="35" t="s">
        <v>4442</v>
      </c>
      <c r="C2104" s="35" t="s">
        <v>7757</v>
      </c>
      <c r="D2104" s="35" t="s">
        <v>175</v>
      </c>
      <c r="E2104" s="35" t="s">
        <v>463</v>
      </c>
      <c r="F2104" s="35">
        <v>724.0</v>
      </c>
      <c r="G2104" s="35">
        <v>8.26</v>
      </c>
      <c r="H2104" s="35">
        <v>87.7</v>
      </c>
      <c r="I2104" s="35" t="s">
        <v>62</v>
      </c>
    </row>
    <row r="2105" ht="22.5" customHeight="1">
      <c r="A2105" s="35" t="s">
        <v>4443</v>
      </c>
      <c r="B2105" s="35" t="s">
        <v>4444</v>
      </c>
      <c r="C2105" s="35" t="s">
        <v>7757</v>
      </c>
      <c r="D2105" s="35" t="s">
        <v>190</v>
      </c>
      <c r="E2105" s="35" t="s">
        <v>501</v>
      </c>
      <c r="F2105" s="35">
        <v>474.0</v>
      </c>
      <c r="G2105" s="35">
        <v>9.96</v>
      </c>
      <c r="H2105" s="35">
        <v>47.6</v>
      </c>
      <c r="I2105" s="35" t="s">
        <v>75</v>
      </c>
    </row>
    <row r="2106" ht="22.5" customHeight="1">
      <c r="A2106" s="35" t="s">
        <v>4445</v>
      </c>
      <c r="B2106" s="35" t="s">
        <v>4446</v>
      </c>
      <c r="C2106" s="35" t="s">
        <v>7757</v>
      </c>
      <c r="D2106" s="35" t="s">
        <v>228</v>
      </c>
      <c r="E2106" s="35" t="s">
        <v>396</v>
      </c>
      <c r="F2106" s="35">
        <v>726.0</v>
      </c>
      <c r="G2106" s="35">
        <v>14.57</v>
      </c>
      <c r="H2106" s="35">
        <v>49.8</v>
      </c>
      <c r="I2106" s="35" t="s">
        <v>62</v>
      </c>
    </row>
    <row r="2107" ht="22.5" customHeight="1">
      <c r="A2107" s="35" t="s">
        <v>4447</v>
      </c>
      <c r="B2107" s="35" t="s">
        <v>4448</v>
      </c>
      <c r="C2107" s="35" t="s">
        <v>7757</v>
      </c>
      <c r="D2107" s="35" t="s">
        <v>195</v>
      </c>
      <c r="E2107" s="35" t="s">
        <v>509</v>
      </c>
      <c r="F2107" s="35">
        <v>386.0</v>
      </c>
      <c r="G2107" s="35">
        <v>9.64</v>
      </c>
      <c r="H2107" s="35">
        <v>40.0</v>
      </c>
      <c r="I2107" s="35" t="s">
        <v>75</v>
      </c>
    </row>
    <row r="2108" ht="22.5" customHeight="1">
      <c r="A2108" s="35" t="s">
        <v>4449</v>
      </c>
      <c r="B2108" s="35" t="s">
        <v>4450</v>
      </c>
      <c r="C2108" s="35" t="s">
        <v>7757</v>
      </c>
      <c r="D2108" s="35" t="s">
        <v>115</v>
      </c>
      <c r="E2108" s="35" t="s">
        <v>129</v>
      </c>
      <c r="F2108" s="35">
        <v>6480.0</v>
      </c>
      <c r="G2108" s="35">
        <v>4.96</v>
      </c>
      <c r="H2108" s="35">
        <v>1306.5</v>
      </c>
      <c r="I2108" s="35" t="s">
        <v>142</v>
      </c>
    </row>
    <row r="2109" ht="22.5" customHeight="1">
      <c r="A2109" s="35" t="s">
        <v>4451</v>
      </c>
      <c r="B2109" s="35" t="s">
        <v>4452</v>
      </c>
      <c r="C2109" s="35" t="s">
        <v>7757</v>
      </c>
      <c r="D2109" s="35" t="s">
        <v>231</v>
      </c>
      <c r="E2109" s="35" t="s">
        <v>406</v>
      </c>
      <c r="F2109" s="35">
        <v>951.0</v>
      </c>
      <c r="G2109" s="35">
        <v>7.34</v>
      </c>
      <c r="H2109" s="35">
        <v>129.6</v>
      </c>
      <c r="I2109" s="35" t="s">
        <v>62</v>
      </c>
    </row>
    <row r="2110" ht="22.5" customHeight="1">
      <c r="A2110" s="35" t="s">
        <v>4453</v>
      </c>
      <c r="B2110" s="35" t="s">
        <v>4454</v>
      </c>
      <c r="C2110" s="35" t="s">
        <v>7757</v>
      </c>
      <c r="D2110" s="35" t="s">
        <v>231</v>
      </c>
      <c r="E2110" s="35" t="s">
        <v>406</v>
      </c>
      <c r="F2110" s="35">
        <v>2284.0</v>
      </c>
      <c r="G2110" s="35">
        <v>4.6</v>
      </c>
      <c r="H2110" s="35">
        <v>496.5</v>
      </c>
      <c r="I2110" s="35" t="s">
        <v>142</v>
      </c>
    </row>
    <row r="2111" ht="22.5" customHeight="1">
      <c r="A2111" s="35" t="s">
        <v>4455</v>
      </c>
      <c r="B2111" s="35" t="s">
        <v>4456</v>
      </c>
      <c r="C2111" s="35" t="s">
        <v>7757</v>
      </c>
      <c r="D2111" s="35" t="s">
        <v>190</v>
      </c>
      <c r="E2111" s="35" t="s">
        <v>501</v>
      </c>
      <c r="F2111" s="35">
        <v>370.0</v>
      </c>
      <c r="G2111" s="35">
        <v>8.77</v>
      </c>
      <c r="H2111" s="35">
        <v>42.2</v>
      </c>
      <c r="I2111" s="35" t="s">
        <v>75</v>
      </c>
    </row>
    <row r="2112" ht="22.5" customHeight="1">
      <c r="A2112" s="35" t="s">
        <v>4457</v>
      </c>
      <c r="B2112" s="35" t="s">
        <v>4458</v>
      </c>
      <c r="C2112" s="35" t="s">
        <v>7757</v>
      </c>
      <c r="D2112" s="35" t="s">
        <v>159</v>
      </c>
      <c r="E2112" s="35" t="s">
        <v>430</v>
      </c>
      <c r="F2112" s="35">
        <v>130.0</v>
      </c>
      <c r="G2112" s="35">
        <v>4.04</v>
      </c>
      <c r="H2112" s="35">
        <v>32.2</v>
      </c>
      <c r="I2112" s="35" t="s">
        <v>75</v>
      </c>
    </row>
    <row r="2113" ht="22.5" customHeight="1">
      <c r="A2113" s="35" t="s">
        <v>4459</v>
      </c>
      <c r="B2113" s="35" t="s">
        <v>4460</v>
      </c>
      <c r="C2113" s="35" t="s">
        <v>7757</v>
      </c>
      <c r="D2113" s="35" t="s">
        <v>196</v>
      </c>
      <c r="E2113" s="35" t="s">
        <v>514</v>
      </c>
      <c r="F2113" s="35">
        <v>1421.0</v>
      </c>
      <c r="G2113" s="35">
        <v>6.46</v>
      </c>
      <c r="H2113" s="35">
        <v>220.0</v>
      </c>
      <c r="I2113" s="35" t="s">
        <v>62</v>
      </c>
    </row>
    <row r="2114" ht="22.5" customHeight="1">
      <c r="A2114" s="35" t="s">
        <v>4461</v>
      </c>
      <c r="B2114" s="35" t="s">
        <v>4462</v>
      </c>
      <c r="C2114" s="35" t="s">
        <v>7757</v>
      </c>
      <c r="D2114" s="35" t="s">
        <v>159</v>
      </c>
      <c r="E2114" s="35" t="s">
        <v>430</v>
      </c>
      <c r="F2114" s="35">
        <v>123.0</v>
      </c>
      <c r="G2114" s="35">
        <v>6.61</v>
      </c>
      <c r="H2114" s="35">
        <v>18.6</v>
      </c>
      <c r="I2114" s="35" t="s">
        <v>75</v>
      </c>
    </row>
    <row r="2115" ht="22.5" customHeight="1">
      <c r="A2115" s="35" t="s">
        <v>4463</v>
      </c>
      <c r="B2115" s="35" t="s">
        <v>4464</v>
      </c>
      <c r="C2115" s="35" t="s">
        <v>7757</v>
      </c>
      <c r="D2115" s="35" t="s">
        <v>155</v>
      </c>
      <c r="E2115" s="35" t="s">
        <v>420</v>
      </c>
      <c r="F2115" s="35">
        <v>162.0</v>
      </c>
      <c r="G2115" s="35">
        <v>5.2</v>
      </c>
      <c r="H2115" s="35">
        <v>31.2</v>
      </c>
      <c r="I2115" s="35" t="s">
        <v>75</v>
      </c>
    </row>
    <row r="2116" ht="22.5" customHeight="1">
      <c r="A2116" s="35" t="s">
        <v>4465</v>
      </c>
      <c r="B2116" s="35" t="s">
        <v>4466</v>
      </c>
      <c r="C2116" s="35" t="s">
        <v>7757</v>
      </c>
      <c r="D2116" s="35" t="s">
        <v>200</v>
      </c>
      <c r="E2116" s="35" t="s">
        <v>494</v>
      </c>
      <c r="F2116" s="35">
        <v>379.0</v>
      </c>
      <c r="G2116" s="35">
        <v>6.95</v>
      </c>
      <c r="H2116" s="35">
        <v>54.5</v>
      </c>
      <c r="I2116" s="35" t="s">
        <v>75</v>
      </c>
    </row>
    <row r="2117" ht="22.5" customHeight="1">
      <c r="A2117" s="35" t="s">
        <v>4467</v>
      </c>
      <c r="B2117" s="35" t="s">
        <v>4468</v>
      </c>
      <c r="C2117" s="35" t="s">
        <v>7757</v>
      </c>
      <c r="D2117" s="35" t="s">
        <v>176</v>
      </c>
      <c r="E2117" s="35" t="s">
        <v>470</v>
      </c>
      <c r="F2117" s="35">
        <v>542.0</v>
      </c>
      <c r="G2117" s="35">
        <v>13.19</v>
      </c>
      <c r="H2117" s="35">
        <v>41.1</v>
      </c>
      <c r="I2117" s="35" t="s">
        <v>62</v>
      </c>
    </row>
    <row r="2118" ht="22.5" customHeight="1">
      <c r="A2118" s="35" t="s">
        <v>4469</v>
      </c>
      <c r="B2118" s="35" t="s">
        <v>4470</v>
      </c>
      <c r="C2118" s="35" t="s">
        <v>7757</v>
      </c>
      <c r="D2118" s="35" t="s">
        <v>151</v>
      </c>
      <c r="E2118" s="35" t="s">
        <v>414</v>
      </c>
      <c r="F2118" s="35">
        <v>1380.0</v>
      </c>
      <c r="G2118" s="35">
        <v>7.88</v>
      </c>
      <c r="H2118" s="35">
        <v>175.1</v>
      </c>
      <c r="I2118" s="35" t="s">
        <v>62</v>
      </c>
    </row>
    <row r="2119" ht="22.5" customHeight="1">
      <c r="A2119" s="35" t="s">
        <v>4471</v>
      </c>
      <c r="B2119" s="35" t="s">
        <v>4472</v>
      </c>
      <c r="C2119" s="35" t="s">
        <v>7757</v>
      </c>
      <c r="D2119" s="35" t="s">
        <v>159</v>
      </c>
      <c r="E2119" s="35" t="s">
        <v>430</v>
      </c>
      <c r="F2119" s="35">
        <v>33.0</v>
      </c>
      <c r="G2119" s="35">
        <v>4.39</v>
      </c>
      <c r="H2119" s="35">
        <v>7.5</v>
      </c>
      <c r="I2119" s="35" t="s">
        <v>75</v>
      </c>
    </row>
    <row r="2120" ht="22.5" customHeight="1">
      <c r="A2120" s="35" t="s">
        <v>4473</v>
      </c>
      <c r="B2120" s="35" t="s">
        <v>4474</v>
      </c>
      <c r="C2120" s="35" t="s">
        <v>7757</v>
      </c>
      <c r="D2120" s="35" t="s">
        <v>203</v>
      </c>
      <c r="E2120" s="35" t="s">
        <v>524</v>
      </c>
      <c r="F2120" s="35">
        <v>283.0</v>
      </c>
      <c r="G2120" s="35">
        <v>6.66</v>
      </c>
      <c r="H2120" s="35">
        <v>42.5</v>
      </c>
      <c r="I2120" s="35" t="s">
        <v>75</v>
      </c>
    </row>
    <row r="2121" ht="22.5" customHeight="1">
      <c r="A2121" s="35" t="s">
        <v>4475</v>
      </c>
      <c r="B2121" s="35" t="s">
        <v>4476</v>
      </c>
      <c r="C2121" s="35" t="s">
        <v>7757</v>
      </c>
      <c r="D2121" s="35" t="s">
        <v>159</v>
      </c>
      <c r="E2121" s="35" t="s">
        <v>430</v>
      </c>
      <c r="F2121" s="35">
        <v>158.0</v>
      </c>
      <c r="G2121" s="35">
        <v>4.59</v>
      </c>
      <c r="H2121" s="35">
        <v>34.4</v>
      </c>
      <c r="I2121" s="35" t="s">
        <v>75</v>
      </c>
    </row>
    <row r="2122" ht="22.5" customHeight="1">
      <c r="A2122" s="35" t="s">
        <v>4477</v>
      </c>
      <c r="B2122" s="35" t="s">
        <v>4478</v>
      </c>
      <c r="C2122" s="35" t="s">
        <v>7757</v>
      </c>
      <c r="D2122" s="35" t="s">
        <v>131</v>
      </c>
      <c r="E2122" s="35" t="s">
        <v>341</v>
      </c>
      <c r="F2122" s="35">
        <v>1218.0</v>
      </c>
      <c r="G2122" s="35">
        <v>11.49</v>
      </c>
      <c r="H2122" s="35">
        <v>106.0</v>
      </c>
      <c r="I2122" s="35" t="s">
        <v>62</v>
      </c>
    </row>
    <row r="2123" ht="22.5" customHeight="1">
      <c r="A2123" s="35" t="s">
        <v>4479</v>
      </c>
      <c r="B2123" s="35" t="s">
        <v>4480</v>
      </c>
      <c r="C2123" s="35" t="s">
        <v>7757</v>
      </c>
      <c r="D2123" s="35" t="s">
        <v>203</v>
      </c>
      <c r="E2123" s="35" t="s">
        <v>524</v>
      </c>
      <c r="F2123" s="35">
        <v>1341.0</v>
      </c>
      <c r="G2123" s="35">
        <v>9.9</v>
      </c>
      <c r="H2123" s="35">
        <v>135.5</v>
      </c>
      <c r="I2123" s="35" t="s">
        <v>62</v>
      </c>
    </row>
    <row r="2124" ht="22.5" customHeight="1">
      <c r="A2124" s="35" t="s">
        <v>4481</v>
      </c>
      <c r="B2124" s="35" t="s">
        <v>4482</v>
      </c>
      <c r="C2124" s="35" t="s">
        <v>7757</v>
      </c>
      <c r="D2124" s="35" t="s">
        <v>203</v>
      </c>
      <c r="E2124" s="35" t="s">
        <v>524</v>
      </c>
      <c r="F2124" s="35">
        <v>233.0</v>
      </c>
      <c r="G2124" s="35">
        <v>13.44</v>
      </c>
      <c r="H2124" s="35">
        <v>17.3</v>
      </c>
      <c r="I2124" s="35" t="s">
        <v>75</v>
      </c>
    </row>
    <row r="2125" ht="22.5" customHeight="1">
      <c r="A2125" s="35" t="s">
        <v>4483</v>
      </c>
      <c r="B2125" s="35" t="s">
        <v>4484</v>
      </c>
      <c r="C2125" s="35" t="s">
        <v>7757</v>
      </c>
      <c r="D2125" s="35" t="s">
        <v>131</v>
      </c>
      <c r="E2125" s="35" t="s">
        <v>341</v>
      </c>
      <c r="F2125" s="35">
        <v>921.0</v>
      </c>
      <c r="G2125" s="35">
        <v>5.69</v>
      </c>
      <c r="H2125" s="35">
        <v>161.9</v>
      </c>
      <c r="I2125" s="35" t="s">
        <v>62</v>
      </c>
    </row>
    <row r="2126" ht="22.5" customHeight="1">
      <c r="A2126" s="35" t="s">
        <v>4485</v>
      </c>
      <c r="B2126" s="35" t="s">
        <v>4486</v>
      </c>
      <c r="C2126" s="35" t="s">
        <v>7758</v>
      </c>
      <c r="D2126" s="35" t="s">
        <v>127</v>
      </c>
      <c r="E2126" s="35" t="s">
        <v>323</v>
      </c>
      <c r="F2126" s="35">
        <v>1994.0</v>
      </c>
      <c r="G2126" s="35">
        <v>9.95</v>
      </c>
      <c r="H2126" s="35">
        <v>200.4</v>
      </c>
      <c r="I2126" s="35" t="s">
        <v>62</v>
      </c>
    </row>
    <row r="2127" ht="22.5" customHeight="1">
      <c r="A2127" s="35" t="s">
        <v>4487</v>
      </c>
      <c r="B2127" s="35" t="s">
        <v>4488</v>
      </c>
      <c r="C2127" s="35" t="s">
        <v>7758</v>
      </c>
      <c r="D2127" s="35" t="s">
        <v>204</v>
      </c>
      <c r="E2127" s="35" t="s">
        <v>527</v>
      </c>
      <c r="F2127" s="35">
        <v>208.0</v>
      </c>
      <c r="G2127" s="35">
        <v>4.28</v>
      </c>
      <c r="H2127" s="35">
        <v>48.6</v>
      </c>
      <c r="I2127" s="35" t="s">
        <v>75</v>
      </c>
    </row>
    <row r="2128" ht="22.5" customHeight="1">
      <c r="A2128" s="35" t="s">
        <v>4489</v>
      </c>
      <c r="B2128" s="35" t="s">
        <v>4490</v>
      </c>
      <c r="C2128" s="35" t="s">
        <v>7758</v>
      </c>
      <c r="D2128" s="35" t="s">
        <v>127</v>
      </c>
      <c r="E2128" s="35" t="s">
        <v>323</v>
      </c>
      <c r="F2128" s="35">
        <v>576.0</v>
      </c>
      <c r="G2128" s="35">
        <v>3.07</v>
      </c>
      <c r="H2128" s="35">
        <v>187.6</v>
      </c>
      <c r="I2128" s="35" t="s">
        <v>62</v>
      </c>
    </row>
    <row r="2129" ht="22.5" customHeight="1">
      <c r="A2129" s="35" t="s">
        <v>4491</v>
      </c>
      <c r="B2129" s="35" t="s">
        <v>4492</v>
      </c>
      <c r="C2129" s="35" t="s">
        <v>7758</v>
      </c>
      <c r="D2129" s="35" t="s">
        <v>234</v>
      </c>
      <c r="E2129" s="35" t="s">
        <v>552</v>
      </c>
      <c r="F2129" s="35">
        <v>7873.0</v>
      </c>
      <c r="G2129" s="35">
        <v>5.82</v>
      </c>
      <c r="H2129" s="35">
        <v>1352.7</v>
      </c>
      <c r="I2129" s="35" t="s">
        <v>142</v>
      </c>
    </row>
    <row r="2130" ht="22.5" customHeight="1">
      <c r="A2130" s="35" t="s">
        <v>4493</v>
      </c>
      <c r="B2130" s="35" t="s">
        <v>4494</v>
      </c>
      <c r="C2130" s="35" t="s">
        <v>7758</v>
      </c>
      <c r="D2130" s="35" t="s">
        <v>204</v>
      </c>
      <c r="E2130" s="35" t="s">
        <v>527</v>
      </c>
      <c r="F2130" s="35">
        <v>974.0</v>
      </c>
      <c r="G2130" s="35">
        <v>5.08</v>
      </c>
      <c r="H2130" s="35">
        <v>191.7</v>
      </c>
      <c r="I2130" s="35" t="s">
        <v>62</v>
      </c>
    </row>
    <row r="2131" ht="22.5" customHeight="1">
      <c r="A2131" s="35" t="s">
        <v>4495</v>
      </c>
      <c r="B2131" s="35" t="s">
        <v>4496</v>
      </c>
      <c r="C2131" s="35" t="s">
        <v>7758</v>
      </c>
      <c r="D2131" s="35" t="s">
        <v>204</v>
      </c>
      <c r="E2131" s="35" t="s">
        <v>527</v>
      </c>
      <c r="F2131" s="35">
        <v>320.0</v>
      </c>
      <c r="G2131" s="35">
        <v>7.29</v>
      </c>
      <c r="H2131" s="35">
        <v>43.9</v>
      </c>
      <c r="I2131" s="35" t="s">
        <v>75</v>
      </c>
    </row>
    <row r="2132" ht="22.5" customHeight="1">
      <c r="A2132" s="35" t="s">
        <v>4497</v>
      </c>
      <c r="B2132" s="35" t="s">
        <v>4498</v>
      </c>
      <c r="C2132" s="35" t="s">
        <v>7758</v>
      </c>
      <c r="D2132" s="35" t="s">
        <v>234</v>
      </c>
      <c r="E2132" s="35" t="s">
        <v>552</v>
      </c>
      <c r="F2132" s="35">
        <v>783.0</v>
      </c>
      <c r="G2132" s="35">
        <v>4.87</v>
      </c>
      <c r="H2132" s="35">
        <v>160.8</v>
      </c>
      <c r="I2132" s="35" t="s">
        <v>62</v>
      </c>
    </row>
    <row r="2133" ht="22.5" customHeight="1">
      <c r="A2133" s="35" t="s">
        <v>4499</v>
      </c>
      <c r="B2133" s="35" t="s">
        <v>4500</v>
      </c>
      <c r="C2133" s="35" t="s">
        <v>7758</v>
      </c>
      <c r="D2133" s="35" t="s">
        <v>191</v>
      </c>
      <c r="E2133" s="35" t="s">
        <v>504</v>
      </c>
      <c r="F2133" s="35">
        <v>802.0</v>
      </c>
      <c r="G2133" s="35">
        <v>14.45</v>
      </c>
      <c r="H2133" s="35">
        <v>55.5</v>
      </c>
      <c r="I2133" s="35" t="s">
        <v>62</v>
      </c>
    </row>
    <row r="2134" ht="22.5" customHeight="1">
      <c r="A2134" s="35" t="s">
        <v>4501</v>
      </c>
      <c r="B2134" s="35" t="s">
        <v>4502</v>
      </c>
      <c r="C2134" s="35" t="s">
        <v>7758</v>
      </c>
      <c r="D2134" s="35" t="s">
        <v>169</v>
      </c>
      <c r="E2134" s="35" t="s">
        <v>449</v>
      </c>
      <c r="F2134" s="35">
        <v>287.0</v>
      </c>
      <c r="G2134" s="35">
        <v>6.27</v>
      </c>
      <c r="H2134" s="35">
        <v>45.8</v>
      </c>
      <c r="I2134" s="35" t="s">
        <v>75</v>
      </c>
    </row>
    <row r="2135" ht="22.5" customHeight="1">
      <c r="A2135" s="35" t="s">
        <v>4503</v>
      </c>
      <c r="B2135" s="35" t="s">
        <v>4504</v>
      </c>
      <c r="C2135" s="35" t="s">
        <v>7758</v>
      </c>
      <c r="D2135" s="35" t="s">
        <v>191</v>
      </c>
      <c r="E2135" s="35" t="s">
        <v>504</v>
      </c>
      <c r="F2135" s="35">
        <v>254.0</v>
      </c>
      <c r="G2135" s="35">
        <v>2.97</v>
      </c>
      <c r="H2135" s="35">
        <v>85.5</v>
      </c>
      <c r="I2135" s="35" t="s">
        <v>75</v>
      </c>
    </row>
    <row r="2136" ht="22.5" customHeight="1">
      <c r="A2136" s="35" t="s">
        <v>4505</v>
      </c>
      <c r="B2136" s="35" t="s">
        <v>4506</v>
      </c>
      <c r="C2136" s="35" t="s">
        <v>7758</v>
      </c>
      <c r="D2136" s="35" t="s">
        <v>169</v>
      </c>
      <c r="E2136" s="35" t="s">
        <v>449</v>
      </c>
      <c r="F2136" s="35">
        <v>621.0</v>
      </c>
      <c r="G2136" s="35">
        <v>7.4</v>
      </c>
      <c r="H2136" s="35">
        <v>83.9</v>
      </c>
      <c r="I2136" s="35" t="s">
        <v>62</v>
      </c>
    </row>
    <row r="2137" ht="22.5" customHeight="1">
      <c r="A2137" s="35" t="s">
        <v>4507</v>
      </c>
      <c r="B2137" s="35" t="s">
        <v>4508</v>
      </c>
      <c r="C2137" s="35" t="s">
        <v>7758</v>
      </c>
      <c r="D2137" s="35" t="s">
        <v>169</v>
      </c>
      <c r="E2137" s="35" t="s">
        <v>449</v>
      </c>
      <c r="F2137" s="35">
        <v>255.0</v>
      </c>
      <c r="G2137" s="35">
        <v>3.27</v>
      </c>
      <c r="H2137" s="35">
        <v>78.0</v>
      </c>
      <c r="I2137" s="35" t="s">
        <v>75</v>
      </c>
    </row>
    <row r="2138" ht="22.5" customHeight="1">
      <c r="A2138" s="35" t="s">
        <v>4509</v>
      </c>
      <c r="B2138" s="35" t="s">
        <v>4510</v>
      </c>
      <c r="C2138" s="35" t="s">
        <v>7758</v>
      </c>
      <c r="D2138" s="35" t="s">
        <v>234</v>
      </c>
      <c r="E2138" s="35" t="s">
        <v>552</v>
      </c>
      <c r="F2138" s="35">
        <v>1871.0</v>
      </c>
      <c r="G2138" s="35">
        <v>6.11</v>
      </c>
      <c r="H2138" s="35">
        <v>306.2</v>
      </c>
      <c r="I2138" s="35" t="s">
        <v>62</v>
      </c>
    </row>
    <row r="2139" ht="22.5" customHeight="1">
      <c r="A2139" s="35" t="s">
        <v>4511</v>
      </c>
      <c r="B2139" s="35" t="s">
        <v>4512</v>
      </c>
      <c r="C2139" s="35" t="s">
        <v>7758</v>
      </c>
      <c r="D2139" s="35" t="s">
        <v>139</v>
      </c>
      <c r="E2139" s="35" t="s">
        <v>354</v>
      </c>
      <c r="F2139" s="35">
        <v>9598.0</v>
      </c>
      <c r="G2139" s="35">
        <v>33.2</v>
      </c>
      <c r="H2139" s="35">
        <v>289.1</v>
      </c>
      <c r="I2139" s="35" t="s">
        <v>142</v>
      </c>
    </row>
    <row r="2140" ht="22.5" customHeight="1">
      <c r="A2140" s="35" t="s">
        <v>4513</v>
      </c>
      <c r="B2140" s="35" t="s">
        <v>4514</v>
      </c>
      <c r="C2140" s="35" t="s">
        <v>7758</v>
      </c>
      <c r="D2140" s="35" t="s">
        <v>128</v>
      </c>
      <c r="E2140" s="35" t="s">
        <v>338</v>
      </c>
      <c r="F2140" s="35">
        <v>261.0</v>
      </c>
      <c r="G2140" s="35">
        <v>5.1</v>
      </c>
      <c r="H2140" s="35">
        <v>51.2</v>
      </c>
      <c r="I2140" s="35" t="s">
        <v>75</v>
      </c>
    </row>
    <row r="2141" ht="22.5" customHeight="1">
      <c r="A2141" s="35" t="s">
        <v>4515</v>
      </c>
      <c r="B2141" s="35" t="s">
        <v>4516</v>
      </c>
      <c r="C2141" s="35" t="s">
        <v>7758</v>
      </c>
      <c r="D2141" s="35" t="s">
        <v>128</v>
      </c>
      <c r="E2141" s="35" t="s">
        <v>338</v>
      </c>
      <c r="F2141" s="35">
        <v>185.0</v>
      </c>
      <c r="G2141" s="35">
        <v>5.89</v>
      </c>
      <c r="H2141" s="35">
        <v>31.4</v>
      </c>
      <c r="I2141" s="35" t="s">
        <v>75</v>
      </c>
    </row>
    <row r="2142" ht="22.5" customHeight="1">
      <c r="A2142" s="35" t="s">
        <v>4517</v>
      </c>
      <c r="B2142" s="35" t="s">
        <v>4518</v>
      </c>
      <c r="C2142" s="35" t="s">
        <v>7758</v>
      </c>
      <c r="D2142" s="35" t="s">
        <v>187</v>
      </c>
      <c r="E2142" s="35" t="s">
        <v>488</v>
      </c>
      <c r="F2142" s="35">
        <v>194.0</v>
      </c>
      <c r="G2142" s="35">
        <v>4.86</v>
      </c>
      <c r="H2142" s="35">
        <v>39.9</v>
      </c>
      <c r="I2142" s="35" t="s">
        <v>75</v>
      </c>
    </row>
    <row r="2143" ht="22.5" customHeight="1">
      <c r="A2143" s="35" t="s">
        <v>4519</v>
      </c>
      <c r="B2143" s="35" t="s">
        <v>4520</v>
      </c>
      <c r="C2143" s="35" t="s">
        <v>7758</v>
      </c>
      <c r="D2143" s="35" t="s">
        <v>167</v>
      </c>
      <c r="E2143" s="35" t="s">
        <v>447</v>
      </c>
      <c r="F2143" s="35">
        <v>264.0</v>
      </c>
      <c r="G2143" s="35">
        <v>10.24</v>
      </c>
      <c r="H2143" s="35">
        <v>25.8</v>
      </c>
      <c r="I2143" s="35" t="s">
        <v>75</v>
      </c>
    </row>
    <row r="2144" ht="22.5" customHeight="1">
      <c r="A2144" s="35" t="s">
        <v>4521</v>
      </c>
      <c r="B2144" s="35" t="s">
        <v>4522</v>
      </c>
      <c r="C2144" s="35" t="s">
        <v>7758</v>
      </c>
      <c r="D2144" s="35" t="s">
        <v>127</v>
      </c>
      <c r="E2144" s="35" t="s">
        <v>323</v>
      </c>
      <c r="F2144" s="35">
        <v>3902.0</v>
      </c>
      <c r="G2144" s="35">
        <v>10.44</v>
      </c>
      <c r="H2144" s="35">
        <v>373.8</v>
      </c>
      <c r="I2144" s="35" t="s">
        <v>142</v>
      </c>
    </row>
    <row r="2145" ht="22.5" customHeight="1">
      <c r="A2145" s="35" t="s">
        <v>4523</v>
      </c>
      <c r="B2145" s="35" t="s">
        <v>4524</v>
      </c>
      <c r="C2145" s="35" t="s">
        <v>7758</v>
      </c>
      <c r="D2145" s="35" t="s">
        <v>223</v>
      </c>
      <c r="E2145" s="35" t="s">
        <v>380</v>
      </c>
      <c r="F2145" s="35">
        <v>624.0</v>
      </c>
      <c r="G2145" s="35">
        <v>9.23</v>
      </c>
      <c r="H2145" s="35">
        <v>67.6</v>
      </c>
      <c r="I2145" s="35" t="s">
        <v>62</v>
      </c>
    </row>
    <row r="2146" ht="22.5" customHeight="1">
      <c r="A2146" s="35" t="s">
        <v>4525</v>
      </c>
      <c r="B2146" s="35" t="s">
        <v>4526</v>
      </c>
      <c r="C2146" s="35" t="s">
        <v>7758</v>
      </c>
      <c r="D2146" s="35" t="s">
        <v>187</v>
      </c>
      <c r="E2146" s="35" t="s">
        <v>488</v>
      </c>
      <c r="F2146" s="35">
        <v>365.0</v>
      </c>
      <c r="G2146" s="35">
        <v>13.97</v>
      </c>
      <c r="H2146" s="35">
        <v>26.1</v>
      </c>
      <c r="I2146" s="35" t="s">
        <v>75</v>
      </c>
    </row>
    <row r="2147" ht="22.5" customHeight="1">
      <c r="A2147" s="35" t="s">
        <v>4527</v>
      </c>
      <c r="B2147" s="35" t="s">
        <v>4528</v>
      </c>
      <c r="C2147" s="35" t="s">
        <v>7758</v>
      </c>
      <c r="D2147" s="35" t="s">
        <v>150</v>
      </c>
      <c r="E2147" s="35" t="s">
        <v>411</v>
      </c>
      <c r="F2147" s="35">
        <v>291.0</v>
      </c>
      <c r="G2147" s="35">
        <v>9.99</v>
      </c>
      <c r="H2147" s="35">
        <v>29.1</v>
      </c>
      <c r="I2147" s="35" t="s">
        <v>75</v>
      </c>
    </row>
    <row r="2148" ht="22.5" customHeight="1">
      <c r="A2148" s="35" t="s">
        <v>4529</v>
      </c>
      <c r="B2148" s="35" t="s">
        <v>4530</v>
      </c>
      <c r="C2148" s="35" t="s">
        <v>7758</v>
      </c>
      <c r="D2148" s="35" t="s">
        <v>118</v>
      </c>
      <c r="E2148" s="35" t="s">
        <v>300</v>
      </c>
      <c r="F2148" s="35">
        <v>2823.0</v>
      </c>
      <c r="G2148" s="35">
        <v>7.82</v>
      </c>
      <c r="H2148" s="35">
        <v>361.0</v>
      </c>
      <c r="I2148" s="35" t="s">
        <v>142</v>
      </c>
    </row>
    <row r="2149" ht="22.5" customHeight="1">
      <c r="A2149" s="35" t="s">
        <v>4531</v>
      </c>
      <c r="B2149" s="35" t="s">
        <v>4532</v>
      </c>
      <c r="C2149" s="35" t="s">
        <v>7758</v>
      </c>
      <c r="D2149" s="35" t="s">
        <v>191</v>
      </c>
      <c r="E2149" s="35" t="s">
        <v>504</v>
      </c>
      <c r="F2149" s="35">
        <v>973.0</v>
      </c>
      <c r="G2149" s="35">
        <v>10.54</v>
      </c>
      <c r="H2149" s="35">
        <v>92.3</v>
      </c>
      <c r="I2149" s="35" t="s">
        <v>62</v>
      </c>
    </row>
    <row r="2150" ht="22.5" customHeight="1">
      <c r="A2150" s="35" t="s">
        <v>4533</v>
      </c>
      <c r="B2150" s="35" t="s">
        <v>4534</v>
      </c>
      <c r="C2150" s="35" t="s">
        <v>7758</v>
      </c>
      <c r="D2150" s="35" t="s">
        <v>163</v>
      </c>
      <c r="E2150" s="35" t="s">
        <v>441</v>
      </c>
      <c r="F2150" s="35">
        <v>2033.0</v>
      </c>
      <c r="G2150" s="35">
        <v>5.64</v>
      </c>
      <c r="H2150" s="35">
        <v>360.5</v>
      </c>
      <c r="I2150" s="35" t="s">
        <v>142</v>
      </c>
    </row>
    <row r="2151" ht="22.5" customHeight="1">
      <c r="A2151" s="35" t="s">
        <v>4535</v>
      </c>
      <c r="B2151" s="35" t="s">
        <v>4536</v>
      </c>
      <c r="C2151" s="35" t="s">
        <v>7758</v>
      </c>
      <c r="D2151" s="35" t="s">
        <v>187</v>
      </c>
      <c r="E2151" s="35" t="s">
        <v>488</v>
      </c>
      <c r="F2151" s="35">
        <v>118.0</v>
      </c>
      <c r="G2151" s="35">
        <v>3.4</v>
      </c>
      <c r="H2151" s="35">
        <v>34.7</v>
      </c>
      <c r="I2151" s="35" t="s">
        <v>75</v>
      </c>
    </row>
    <row r="2152" ht="22.5" customHeight="1">
      <c r="A2152" s="35" t="s">
        <v>4537</v>
      </c>
      <c r="B2152" s="35" t="s">
        <v>4538</v>
      </c>
      <c r="C2152" s="35" t="s">
        <v>7758</v>
      </c>
      <c r="D2152" s="35" t="s">
        <v>169</v>
      </c>
      <c r="E2152" s="35" t="s">
        <v>449</v>
      </c>
      <c r="F2152" s="35">
        <v>211.0</v>
      </c>
      <c r="G2152" s="35">
        <v>4.57</v>
      </c>
      <c r="H2152" s="35">
        <v>46.2</v>
      </c>
      <c r="I2152" s="35" t="s">
        <v>75</v>
      </c>
    </row>
    <row r="2153" ht="22.5" customHeight="1">
      <c r="A2153" s="35" t="s">
        <v>4539</v>
      </c>
      <c r="B2153" s="35" t="s">
        <v>4540</v>
      </c>
      <c r="C2153" s="35" t="s">
        <v>7758</v>
      </c>
      <c r="D2153" s="35" t="s">
        <v>118</v>
      </c>
      <c r="E2153" s="35" t="s">
        <v>300</v>
      </c>
      <c r="F2153" s="35">
        <v>676.0</v>
      </c>
      <c r="G2153" s="35">
        <v>3.65</v>
      </c>
      <c r="H2153" s="35">
        <v>185.2</v>
      </c>
      <c r="I2153" s="35" t="s">
        <v>62</v>
      </c>
    </row>
    <row r="2154" ht="22.5" customHeight="1">
      <c r="A2154" s="35" t="s">
        <v>4541</v>
      </c>
      <c r="B2154" s="35" t="s">
        <v>4542</v>
      </c>
      <c r="C2154" s="35" t="s">
        <v>7758</v>
      </c>
      <c r="D2154" s="35" t="s">
        <v>118</v>
      </c>
      <c r="E2154" s="35" t="s">
        <v>300</v>
      </c>
      <c r="F2154" s="35">
        <v>469.0</v>
      </c>
      <c r="G2154" s="35">
        <v>6.87</v>
      </c>
      <c r="H2154" s="35">
        <v>68.3</v>
      </c>
      <c r="I2154" s="35" t="s">
        <v>75</v>
      </c>
    </row>
    <row r="2155" ht="22.5" customHeight="1">
      <c r="A2155" s="35" t="s">
        <v>4543</v>
      </c>
      <c r="B2155" s="35" t="s">
        <v>4544</v>
      </c>
      <c r="C2155" s="35" t="s">
        <v>7758</v>
      </c>
      <c r="D2155" s="35" t="s">
        <v>169</v>
      </c>
      <c r="E2155" s="35" t="s">
        <v>449</v>
      </c>
      <c r="F2155" s="35">
        <v>297.0</v>
      </c>
      <c r="G2155" s="35">
        <v>8.67</v>
      </c>
      <c r="H2155" s="35">
        <v>34.3</v>
      </c>
      <c r="I2155" s="35" t="s">
        <v>75</v>
      </c>
    </row>
    <row r="2156" ht="22.5" customHeight="1">
      <c r="A2156" s="35" t="s">
        <v>4545</v>
      </c>
      <c r="B2156" s="35" t="s">
        <v>4546</v>
      </c>
      <c r="C2156" s="35" t="s">
        <v>7758</v>
      </c>
      <c r="D2156" s="35" t="s">
        <v>223</v>
      </c>
      <c r="E2156" s="35" t="s">
        <v>380</v>
      </c>
      <c r="F2156" s="35">
        <v>1523.0</v>
      </c>
      <c r="G2156" s="35">
        <v>7.25</v>
      </c>
      <c r="H2156" s="35">
        <v>210.1</v>
      </c>
      <c r="I2156" s="35" t="s">
        <v>62</v>
      </c>
    </row>
    <row r="2157" ht="22.5" customHeight="1">
      <c r="A2157" s="35" t="s">
        <v>4547</v>
      </c>
      <c r="B2157" s="35" t="s">
        <v>4548</v>
      </c>
      <c r="C2157" s="35" t="s">
        <v>7758</v>
      </c>
      <c r="D2157" s="35" t="s">
        <v>127</v>
      </c>
      <c r="E2157" s="35" t="s">
        <v>323</v>
      </c>
      <c r="F2157" s="35">
        <v>4641.0</v>
      </c>
      <c r="G2157" s="35">
        <v>4.83</v>
      </c>
      <c r="H2157" s="35">
        <v>960.9</v>
      </c>
      <c r="I2157" s="35" t="s">
        <v>142</v>
      </c>
    </row>
    <row r="2158" ht="22.5" customHeight="1">
      <c r="A2158" s="35" t="s">
        <v>4549</v>
      </c>
      <c r="B2158" s="35" t="s">
        <v>4550</v>
      </c>
      <c r="C2158" s="35" t="s">
        <v>7758</v>
      </c>
      <c r="D2158" s="35" t="s">
        <v>127</v>
      </c>
      <c r="E2158" s="35" t="s">
        <v>323</v>
      </c>
      <c r="F2158" s="35">
        <v>4571.0</v>
      </c>
      <c r="G2158" s="35">
        <v>4.32</v>
      </c>
      <c r="H2158" s="35">
        <v>1058.1</v>
      </c>
      <c r="I2158" s="35" t="s">
        <v>142</v>
      </c>
    </row>
    <row r="2159" ht="22.5" customHeight="1">
      <c r="A2159" s="35" t="s">
        <v>4551</v>
      </c>
      <c r="B2159" s="35" t="s">
        <v>4552</v>
      </c>
      <c r="C2159" s="35" t="s">
        <v>7758</v>
      </c>
      <c r="D2159" s="35" t="s">
        <v>118</v>
      </c>
      <c r="E2159" s="35" t="s">
        <v>300</v>
      </c>
      <c r="F2159" s="35">
        <v>2133.0</v>
      </c>
      <c r="G2159" s="35">
        <v>3.97</v>
      </c>
      <c r="H2159" s="35">
        <v>537.3</v>
      </c>
      <c r="I2159" s="35" t="s">
        <v>142</v>
      </c>
    </row>
    <row r="2160" ht="22.5" customHeight="1">
      <c r="A2160" s="35" t="s">
        <v>4553</v>
      </c>
      <c r="B2160" s="35" t="s">
        <v>4554</v>
      </c>
      <c r="C2160" s="35" t="s">
        <v>7758</v>
      </c>
      <c r="D2160" s="35" t="s">
        <v>118</v>
      </c>
      <c r="E2160" s="35" t="s">
        <v>300</v>
      </c>
      <c r="F2160" s="35">
        <v>5825.0</v>
      </c>
      <c r="G2160" s="35">
        <v>6.04</v>
      </c>
      <c r="H2160" s="35">
        <v>964.4</v>
      </c>
      <c r="I2160" s="35" t="s">
        <v>142</v>
      </c>
    </row>
    <row r="2161" ht="22.5" customHeight="1">
      <c r="A2161" s="35" t="s">
        <v>4555</v>
      </c>
      <c r="B2161" s="35" t="s">
        <v>4556</v>
      </c>
      <c r="C2161" s="35" t="s">
        <v>7758</v>
      </c>
      <c r="D2161" s="35" t="s">
        <v>206</v>
      </c>
      <c r="E2161" s="35" t="s">
        <v>533</v>
      </c>
      <c r="F2161" s="35">
        <v>700.0</v>
      </c>
      <c r="G2161" s="35">
        <v>7.89</v>
      </c>
      <c r="H2161" s="35">
        <v>88.7</v>
      </c>
      <c r="I2161" s="35" t="s">
        <v>62</v>
      </c>
    </row>
    <row r="2162" ht="22.5" customHeight="1">
      <c r="A2162" s="35" t="s">
        <v>4557</v>
      </c>
      <c r="B2162" s="35" t="s">
        <v>4558</v>
      </c>
      <c r="C2162" s="35" t="s">
        <v>7758</v>
      </c>
      <c r="D2162" s="35" t="s">
        <v>234</v>
      </c>
      <c r="E2162" s="35" t="s">
        <v>552</v>
      </c>
      <c r="F2162" s="35">
        <v>2833.0</v>
      </c>
      <c r="G2162" s="35">
        <v>5.12</v>
      </c>
      <c r="H2162" s="35">
        <v>553.3</v>
      </c>
      <c r="I2162" s="35" t="s">
        <v>142</v>
      </c>
    </row>
    <row r="2163" ht="22.5" customHeight="1">
      <c r="A2163" s="35" t="s">
        <v>4559</v>
      </c>
      <c r="B2163" s="35" t="s">
        <v>4560</v>
      </c>
      <c r="C2163" s="35" t="s">
        <v>7758</v>
      </c>
      <c r="D2163" s="35" t="s">
        <v>223</v>
      </c>
      <c r="E2163" s="35" t="s">
        <v>380</v>
      </c>
      <c r="F2163" s="35">
        <v>4389.0</v>
      </c>
      <c r="G2163" s="35">
        <v>13.63</v>
      </c>
      <c r="H2163" s="35">
        <v>322.0</v>
      </c>
      <c r="I2163" s="35" t="s">
        <v>142</v>
      </c>
    </row>
    <row r="2164" ht="22.5" customHeight="1">
      <c r="A2164" s="35" t="s">
        <v>4561</v>
      </c>
      <c r="B2164" s="35" t="s">
        <v>4562</v>
      </c>
      <c r="C2164" s="35" t="s">
        <v>7758</v>
      </c>
      <c r="D2164" s="35" t="s">
        <v>219</v>
      </c>
      <c r="E2164" s="35" t="s">
        <v>377</v>
      </c>
      <c r="F2164" s="35">
        <v>960.0</v>
      </c>
      <c r="G2164" s="35">
        <v>6.29</v>
      </c>
      <c r="H2164" s="35">
        <v>152.6</v>
      </c>
      <c r="I2164" s="35" t="s">
        <v>62</v>
      </c>
    </row>
    <row r="2165" ht="22.5" customHeight="1">
      <c r="A2165" s="35" t="s">
        <v>4563</v>
      </c>
      <c r="B2165" s="35" t="s">
        <v>4564</v>
      </c>
      <c r="C2165" s="35" t="s">
        <v>7758</v>
      </c>
      <c r="D2165" s="35" t="s">
        <v>139</v>
      </c>
      <c r="E2165" s="35" t="s">
        <v>354</v>
      </c>
      <c r="F2165" s="35">
        <v>9431.0</v>
      </c>
      <c r="G2165" s="35">
        <v>22.37</v>
      </c>
      <c r="H2165" s="35">
        <v>421.6</v>
      </c>
      <c r="I2165" s="35" t="s">
        <v>142</v>
      </c>
    </row>
    <row r="2166" ht="22.5" customHeight="1">
      <c r="A2166" s="35" t="s">
        <v>4565</v>
      </c>
      <c r="B2166" s="35" t="s">
        <v>4566</v>
      </c>
      <c r="C2166" s="35" t="s">
        <v>7758</v>
      </c>
      <c r="D2166" s="35" t="s">
        <v>234</v>
      </c>
      <c r="E2166" s="35" t="s">
        <v>552</v>
      </c>
      <c r="F2166" s="35">
        <v>42875.0</v>
      </c>
      <c r="G2166" s="35">
        <v>11.88</v>
      </c>
      <c r="H2166" s="35">
        <v>3609.0</v>
      </c>
      <c r="I2166" s="35" t="s">
        <v>571</v>
      </c>
    </row>
    <row r="2167" ht="22.5" customHeight="1">
      <c r="A2167" s="35" t="s">
        <v>4567</v>
      </c>
      <c r="B2167" s="35" t="s">
        <v>4568</v>
      </c>
      <c r="C2167" s="35" t="s">
        <v>7758</v>
      </c>
      <c r="D2167" s="35" t="s">
        <v>234</v>
      </c>
      <c r="E2167" s="35" t="s">
        <v>552</v>
      </c>
      <c r="F2167" s="35">
        <v>1038.0</v>
      </c>
      <c r="G2167" s="35">
        <v>4.33</v>
      </c>
      <c r="H2167" s="35">
        <v>239.7</v>
      </c>
      <c r="I2167" s="35" t="s">
        <v>62</v>
      </c>
    </row>
    <row r="2168" ht="22.5" customHeight="1">
      <c r="A2168" s="35" t="s">
        <v>4569</v>
      </c>
      <c r="B2168" s="35" t="s">
        <v>4570</v>
      </c>
      <c r="C2168" s="35" t="s">
        <v>7758</v>
      </c>
      <c r="D2168" s="35" t="s">
        <v>141</v>
      </c>
      <c r="E2168" s="35" t="s">
        <v>220</v>
      </c>
      <c r="F2168" s="35">
        <v>2064.0</v>
      </c>
      <c r="G2168" s="35">
        <v>20.66</v>
      </c>
      <c r="H2168" s="35">
        <v>99.9</v>
      </c>
      <c r="I2168" s="35" t="s">
        <v>142</v>
      </c>
    </row>
    <row r="2169" ht="22.5" customHeight="1">
      <c r="A2169" s="35" t="s">
        <v>4571</v>
      </c>
      <c r="B2169" s="35" t="s">
        <v>4572</v>
      </c>
      <c r="C2169" s="35" t="s">
        <v>7758</v>
      </c>
      <c r="D2169" s="35" t="s">
        <v>128</v>
      </c>
      <c r="E2169" s="35" t="s">
        <v>338</v>
      </c>
      <c r="F2169" s="35">
        <v>885.0</v>
      </c>
      <c r="G2169" s="35">
        <v>6.59</v>
      </c>
      <c r="H2169" s="35">
        <v>134.3</v>
      </c>
      <c r="I2169" s="35" t="s">
        <v>62</v>
      </c>
    </row>
    <row r="2170" ht="22.5" customHeight="1">
      <c r="A2170" s="35" t="s">
        <v>4573</v>
      </c>
      <c r="B2170" s="35" t="s">
        <v>4574</v>
      </c>
      <c r="C2170" s="35" t="s">
        <v>7758</v>
      </c>
      <c r="D2170" s="35" t="s">
        <v>169</v>
      </c>
      <c r="E2170" s="35" t="s">
        <v>449</v>
      </c>
      <c r="F2170" s="35">
        <v>1489.0</v>
      </c>
      <c r="G2170" s="35">
        <v>6.26</v>
      </c>
      <c r="H2170" s="35">
        <v>237.9</v>
      </c>
      <c r="I2170" s="35" t="s">
        <v>62</v>
      </c>
    </row>
    <row r="2171" ht="22.5" customHeight="1">
      <c r="A2171" s="35" t="s">
        <v>4575</v>
      </c>
      <c r="B2171" s="35" t="s">
        <v>4576</v>
      </c>
      <c r="C2171" s="35" t="s">
        <v>7758</v>
      </c>
      <c r="D2171" s="35" t="s">
        <v>167</v>
      </c>
      <c r="E2171" s="35" t="s">
        <v>447</v>
      </c>
      <c r="F2171" s="35">
        <v>733.0</v>
      </c>
      <c r="G2171" s="35">
        <v>6.69</v>
      </c>
      <c r="H2171" s="35">
        <v>109.6</v>
      </c>
      <c r="I2171" s="35" t="s">
        <v>62</v>
      </c>
    </row>
    <row r="2172" ht="22.5" customHeight="1">
      <c r="A2172" s="35" t="s">
        <v>4577</v>
      </c>
      <c r="B2172" s="35" t="s">
        <v>4578</v>
      </c>
      <c r="C2172" s="35" t="s">
        <v>7758</v>
      </c>
      <c r="D2172" s="35" t="s">
        <v>206</v>
      </c>
      <c r="E2172" s="35" t="s">
        <v>533</v>
      </c>
      <c r="F2172" s="35">
        <v>141.0</v>
      </c>
      <c r="G2172" s="35">
        <v>2.72</v>
      </c>
      <c r="H2172" s="35">
        <v>51.8</v>
      </c>
      <c r="I2172" s="35" t="s">
        <v>75</v>
      </c>
    </row>
    <row r="2173" ht="22.5" customHeight="1">
      <c r="A2173" s="35" t="s">
        <v>4579</v>
      </c>
      <c r="B2173" s="35" t="s">
        <v>4580</v>
      </c>
      <c r="C2173" s="35" t="s">
        <v>7758</v>
      </c>
      <c r="D2173" s="35" t="s">
        <v>118</v>
      </c>
      <c r="E2173" s="35" t="s">
        <v>300</v>
      </c>
      <c r="F2173" s="35">
        <v>10051.0</v>
      </c>
      <c r="G2173" s="35">
        <v>5.97</v>
      </c>
      <c r="H2173" s="35">
        <v>1683.6</v>
      </c>
      <c r="I2173" s="35" t="s">
        <v>571</v>
      </c>
    </row>
    <row r="2174" ht="22.5" customHeight="1">
      <c r="A2174" s="35" t="s">
        <v>4581</v>
      </c>
      <c r="B2174" s="35" t="s">
        <v>4582</v>
      </c>
      <c r="C2174" s="35" t="s">
        <v>7758</v>
      </c>
      <c r="D2174" s="35" t="s">
        <v>118</v>
      </c>
      <c r="E2174" s="35" t="s">
        <v>300</v>
      </c>
      <c r="F2174" s="35">
        <v>548.0</v>
      </c>
      <c r="G2174" s="35">
        <v>4.29</v>
      </c>
      <c r="H2174" s="35">
        <v>127.7</v>
      </c>
      <c r="I2174" s="35" t="s">
        <v>62</v>
      </c>
    </row>
    <row r="2175" ht="22.5" customHeight="1">
      <c r="A2175" s="35" t="s">
        <v>4583</v>
      </c>
      <c r="B2175" s="35" t="s">
        <v>4584</v>
      </c>
      <c r="C2175" s="35" t="s">
        <v>7758</v>
      </c>
      <c r="D2175" s="35" t="s">
        <v>167</v>
      </c>
      <c r="E2175" s="35" t="s">
        <v>447</v>
      </c>
      <c r="F2175" s="35">
        <v>1513.0</v>
      </c>
      <c r="G2175" s="35">
        <v>9.75</v>
      </c>
      <c r="H2175" s="35">
        <v>155.2</v>
      </c>
      <c r="I2175" s="35" t="s">
        <v>62</v>
      </c>
    </row>
    <row r="2176" ht="22.5" customHeight="1">
      <c r="A2176" s="35" t="s">
        <v>4585</v>
      </c>
      <c r="B2176" s="35" t="s">
        <v>4586</v>
      </c>
      <c r="C2176" s="35" t="s">
        <v>7758</v>
      </c>
      <c r="D2176" s="35" t="s">
        <v>118</v>
      </c>
      <c r="E2176" s="35" t="s">
        <v>300</v>
      </c>
      <c r="F2176" s="35">
        <v>4625.0</v>
      </c>
      <c r="G2176" s="35">
        <v>5.09</v>
      </c>
      <c r="H2176" s="35">
        <v>908.6</v>
      </c>
      <c r="I2176" s="35" t="s">
        <v>142</v>
      </c>
    </row>
    <row r="2177" ht="22.5" customHeight="1">
      <c r="A2177" s="35" t="s">
        <v>4587</v>
      </c>
      <c r="B2177" s="35" t="s">
        <v>4588</v>
      </c>
      <c r="C2177" s="35" t="s">
        <v>7758</v>
      </c>
      <c r="D2177" s="35" t="s">
        <v>163</v>
      </c>
      <c r="E2177" s="35" t="s">
        <v>441</v>
      </c>
      <c r="F2177" s="35">
        <v>424.0</v>
      </c>
      <c r="G2177" s="35">
        <v>7.55</v>
      </c>
      <c r="H2177" s="35">
        <v>56.2</v>
      </c>
      <c r="I2177" s="35" t="s">
        <v>75</v>
      </c>
    </row>
    <row r="2178" ht="22.5" customHeight="1">
      <c r="A2178" s="35" t="s">
        <v>4589</v>
      </c>
      <c r="B2178" s="35" t="s">
        <v>4590</v>
      </c>
      <c r="C2178" s="35" t="s">
        <v>7758</v>
      </c>
      <c r="D2178" s="35" t="s">
        <v>139</v>
      </c>
      <c r="E2178" s="35" t="s">
        <v>354</v>
      </c>
      <c r="F2178" s="35">
        <v>684.0</v>
      </c>
      <c r="G2178" s="35">
        <v>15.22</v>
      </c>
      <c r="H2178" s="35">
        <v>44.9</v>
      </c>
      <c r="I2178" s="35" t="s">
        <v>62</v>
      </c>
    </row>
    <row r="2179" ht="22.5" customHeight="1">
      <c r="A2179" s="35" t="s">
        <v>4591</v>
      </c>
      <c r="B2179" s="35" t="s">
        <v>4592</v>
      </c>
      <c r="C2179" s="35" t="s">
        <v>7758</v>
      </c>
      <c r="D2179" s="35" t="s">
        <v>163</v>
      </c>
      <c r="E2179" s="35" t="s">
        <v>441</v>
      </c>
      <c r="F2179" s="35">
        <v>617.0</v>
      </c>
      <c r="G2179" s="35">
        <v>13.36</v>
      </c>
      <c r="H2179" s="35">
        <v>46.2</v>
      </c>
      <c r="I2179" s="35" t="s">
        <v>62</v>
      </c>
    </row>
    <row r="2180" ht="22.5" customHeight="1">
      <c r="A2180" s="35" t="s">
        <v>4593</v>
      </c>
      <c r="B2180" s="35" t="s">
        <v>4594</v>
      </c>
      <c r="C2180" s="35" t="s">
        <v>7758</v>
      </c>
      <c r="D2180" s="35" t="s">
        <v>191</v>
      </c>
      <c r="E2180" s="35" t="s">
        <v>504</v>
      </c>
      <c r="F2180" s="35">
        <v>521.0</v>
      </c>
      <c r="G2180" s="35">
        <v>9.27</v>
      </c>
      <c r="H2180" s="35">
        <v>56.2</v>
      </c>
      <c r="I2180" s="35" t="s">
        <v>62</v>
      </c>
    </row>
    <row r="2181" ht="22.5" customHeight="1">
      <c r="A2181" s="35" t="s">
        <v>4595</v>
      </c>
      <c r="B2181" s="35" t="s">
        <v>4596</v>
      </c>
      <c r="C2181" s="35" t="s">
        <v>7758</v>
      </c>
      <c r="D2181" s="35" t="s">
        <v>163</v>
      </c>
      <c r="E2181" s="35" t="s">
        <v>441</v>
      </c>
      <c r="F2181" s="35">
        <v>608.0</v>
      </c>
      <c r="G2181" s="35">
        <v>5.76</v>
      </c>
      <c r="H2181" s="35">
        <v>105.6</v>
      </c>
      <c r="I2181" s="35" t="s">
        <v>62</v>
      </c>
    </row>
    <row r="2182" ht="22.5" customHeight="1">
      <c r="A2182" s="35" t="s">
        <v>4597</v>
      </c>
      <c r="B2182" s="35" t="s">
        <v>4598</v>
      </c>
      <c r="C2182" s="35" t="s">
        <v>7758</v>
      </c>
      <c r="D2182" s="35" t="s">
        <v>161</v>
      </c>
      <c r="E2182" s="35" t="s">
        <v>438</v>
      </c>
      <c r="F2182" s="35">
        <v>5309.0</v>
      </c>
      <c r="G2182" s="35">
        <v>14.43</v>
      </c>
      <c r="H2182" s="35">
        <v>367.9</v>
      </c>
      <c r="I2182" s="35" t="s">
        <v>142</v>
      </c>
    </row>
    <row r="2183" ht="22.5" customHeight="1">
      <c r="A2183" s="35" t="s">
        <v>4599</v>
      </c>
      <c r="B2183" s="35" t="s">
        <v>4600</v>
      </c>
      <c r="C2183" s="35" t="s">
        <v>7758</v>
      </c>
      <c r="D2183" s="35" t="s">
        <v>206</v>
      </c>
      <c r="E2183" s="35" t="s">
        <v>533</v>
      </c>
      <c r="F2183" s="35">
        <v>189.0</v>
      </c>
      <c r="G2183" s="35">
        <v>3.42</v>
      </c>
      <c r="H2183" s="35">
        <v>55.3</v>
      </c>
      <c r="I2183" s="35" t="s">
        <v>75</v>
      </c>
    </row>
    <row r="2184" ht="22.5" customHeight="1">
      <c r="A2184" s="35" t="s">
        <v>4601</v>
      </c>
      <c r="B2184" s="35" t="s">
        <v>4602</v>
      </c>
      <c r="C2184" s="35" t="s">
        <v>7758</v>
      </c>
      <c r="D2184" s="35" t="s">
        <v>223</v>
      </c>
      <c r="E2184" s="35" t="s">
        <v>380</v>
      </c>
      <c r="F2184" s="35">
        <v>293.0</v>
      </c>
      <c r="G2184" s="35">
        <v>2.98</v>
      </c>
      <c r="H2184" s="35">
        <v>98.3</v>
      </c>
      <c r="I2184" s="35" t="s">
        <v>75</v>
      </c>
    </row>
    <row r="2185" ht="22.5" customHeight="1">
      <c r="A2185" s="35" t="s">
        <v>4603</v>
      </c>
      <c r="B2185" s="35" t="s">
        <v>4604</v>
      </c>
      <c r="C2185" s="35" t="s">
        <v>7758</v>
      </c>
      <c r="D2185" s="35" t="s">
        <v>206</v>
      </c>
      <c r="E2185" s="35" t="s">
        <v>533</v>
      </c>
      <c r="F2185" s="35">
        <v>2547.0</v>
      </c>
      <c r="G2185" s="35">
        <v>27.28</v>
      </c>
      <c r="H2185" s="35">
        <v>93.4</v>
      </c>
      <c r="I2185" s="35" t="s">
        <v>142</v>
      </c>
    </row>
    <row r="2186" ht="22.5" customHeight="1">
      <c r="A2186" s="35" t="s">
        <v>4605</v>
      </c>
      <c r="B2186" s="35" t="s">
        <v>4606</v>
      </c>
      <c r="C2186" s="35" t="s">
        <v>7758</v>
      </c>
      <c r="D2186" s="35" t="s">
        <v>206</v>
      </c>
      <c r="E2186" s="35" t="s">
        <v>533</v>
      </c>
      <c r="F2186" s="35">
        <v>295.0</v>
      </c>
      <c r="G2186" s="35">
        <v>8.56</v>
      </c>
      <c r="H2186" s="35">
        <v>34.5</v>
      </c>
      <c r="I2186" s="35" t="s">
        <v>75</v>
      </c>
    </row>
    <row r="2187" ht="22.5" customHeight="1">
      <c r="A2187" s="35" t="s">
        <v>4607</v>
      </c>
      <c r="B2187" s="35" t="s">
        <v>4608</v>
      </c>
      <c r="C2187" s="35" t="s">
        <v>7758</v>
      </c>
      <c r="D2187" s="35" t="s">
        <v>187</v>
      </c>
      <c r="E2187" s="35" t="s">
        <v>488</v>
      </c>
      <c r="F2187" s="35">
        <v>46.0</v>
      </c>
      <c r="G2187" s="35">
        <v>3.02</v>
      </c>
      <c r="H2187" s="35">
        <v>15.2</v>
      </c>
      <c r="I2187" s="35" t="s">
        <v>75</v>
      </c>
    </row>
    <row r="2188" ht="22.5" customHeight="1">
      <c r="A2188" s="35" t="s">
        <v>4609</v>
      </c>
      <c r="B2188" s="35" t="s">
        <v>4610</v>
      </c>
      <c r="C2188" s="35" t="s">
        <v>7758</v>
      </c>
      <c r="D2188" s="35" t="s">
        <v>169</v>
      </c>
      <c r="E2188" s="35" t="s">
        <v>449</v>
      </c>
      <c r="F2188" s="35">
        <v>1840.0</v>
      </c>
      <c r="G2188" s="35">
        <v>9.3</v>
      </c>
      <c r="H2188" s="35">
        <v>197.8</v>
      </c>
      <c r="I2188" s="35" t="s">
        <v>62</v>
      </c>
    </row>
    <row r="2189" ht="22.5" customHeight="1">
      <c r="A2189" s="35" t="s">
        <v>4611</v>
      </c>
      <c r="B2189" s="35" t="s">
        <v>4612</v>
      </c>
      <c r="C2189" s="35" t="s">
        <v>7758</v>
      </c>
      <c r="D2189" s="35" t="s">
        <v>204</v>
      </c>
      <c r="E2189" s="35" t="s">
        <v>527</v>
      </c>
      <c r="F2189" s="35">
        <v>174.0</v>
      </c>
      <c r="G2189" s="35">
        <v>3.1</v>
      </c>
      <c r="H2189" s="35">
        <v>56.1</v>
      </c>
      <c r="I2189" s="35" t="s">
        <v>75</v>
      </c>
    </row>
    <row r="2190" ht="22.5" customHeight="1">
      <c r="A2190" s="35" t="s">
        <v>4613</v>
      </c>
      <c r="B2190" s="35" t="s">
        <v>4614</v>
      </c>
      <c r="C2190" s="35" t="s">
        <v>7758</v>
      </c>
      <c r="D2190" s="35" t="s">
        <v>127</v>
      </c>
      <c r="E2190" s="35" t="s">
        <v>323</v>
      </c>
      <c r="F2190" s="35">
        <v>17435.0</v>
      </c>
      <c r="G2190" s="35">
        <v>13.01</v>
      </c>
      <c r="H2190" s="35">
        <v>1340.1</v>
      </c>
      <c r="I2190" s="35" t="s">
        <v>571</v>
      </c>
    </row>
    <row r="2191" ht="22.5" customHeight="1">
      <c r="A2191" s="35" t="s">
        <v>4615</v>
      </c>
      <c r="B2191" s="35" t="s">
        <v>4616</v>
      </c>
      <c r="C2191" s="35" t="s">
        <v>7758</v>
      </c>
      <c r="D2191" s="35" t="s">
        <v>187</v>
      </c>
      <c r="E2191" s="35" t="s">
        <v>488</v>
      </c>
      <c r="F2191" s="35">
        <v>33.0</v>
      </c>
      <c r="G2191" s="35">
        <v>2.23</v>
      </c>
      <c r="H2191" s="35">
        <v>14.8</v>
      </c>
      <c r="I2191" s="35" t="s">
        <v>75</v>
      </c>
    </row>
    <row r="2192" ht="22.5" customHeight="1">
      <c r="A2192" s="35" t="s">
        <v>4617</v>
      </c>
      <c r="B2192" s="35" t="s">
        <v>4618</v>
      </c>
      <c r="C2192" s="35" t="s">
        <v>7758</v>
      </c>
      <c r="D2192" s="35" t="s">
        <v>139</v>
      </c>
      <c r="E2192" s="35" t="s">
        <v>354</v>
      </c>
      <c r="F2192" s="35">
        <v>536.0</v>
      </c>
      <c r="G2192" s="35">
        <v>4.77</v>
      </c>
      <c r="H2192" s="35">
        <v>112.4</v>
      </c>
      <c r="I2192" s="35" t="s">
        <v>62</v>
      </c>
    </row>
    <row r="2193" ht="22.5" customHeight="1">
      <c r="A2193" s="35" t="s">
        <v>4619</v>
      </c>
      <c r="B2193" s="35" t="s">
        <v>4620</v>
      </c>
      <c r="C2193" s="35" t="s">
        <v>7758</v>
      </c>
      <c r="D2193" s="35" t="s">
        <v>204</v>
      </c>
      <c r="E2193" s="35" t="s">
        <v>527</v>
      </c>
      <c r="F2193" s="35">
        <v>330.0</v>
      </c>
      <c r="G2193" s="35">
        <v>5.16</v>
      </c>
      <c r="H2193" s="35">
        <v>64.0</v>
      </c>
      <c r="I2193" s="35" t="s">
        <v>75</v>
      </c>
    </row>
    <row r="2194" ht="22.5" customHeight="1">
      <c r="A2194" s="35" t="s">
        <v>4621</v>
      </c>
      <c r="B2194" s="35" t="s">
        <v>4622</v>
      </c>
      <c r="C2194" s="35" t="s">
        <v>7758</v>
      </c>
      <c r="D2194" s="35" t="s">
        <v>167</v>
      </c>
      <c r="E2194" s="35" t="s">
        <v>447</v>
      </c>
      <c r="F2194" s="35">
        <v>302.0</v>
      </c>
      <c r="G2194" s="35">
        <v>8.59</v>
      </c>
      <c r="H2194" s="35">
        <v>35.2</v>
      </c>
      <c r="I2194" s="35" t="s">
        <v>75</v>
      </c>
    </row>
    <row r="2195" ht="22.5" customHeight="1">
      <c r="A2195" s="35" t="s">
        <v>4623</v>
      </c>
      <c r="B2195" s="35" t="s">
        <v>4624</v>
      </c>
      <c r="C2195" s="35" t="s">
        <v>7758</v>
      </c>
      <c r="D2195" s="35" t="s">
        <v>169</v>
      </c>
      <c r="E2195" s="35" t="s">
        <v>449</v>
      </c>
      <c r="F2195" s="35">
        <v>264.0</v>
      </c>
      <c r="G2195" s="35">
        <v>6.78</v>
      </c>
      <c r="H2195" s="35">
        <v>38.9</v>
      </c>
      <c r="I2195" s="35" t="s">
        <v>75</v>
      </c>
    </row>
    <row r="2196" ht="22.5" customHeight="1">
      <c r="A2196" s="35" t="s">
        <v>4625</v>
      </c>
      <c r="B2196" s="35" t="s">
        <v>4626</v>
      </c>
      <c r="C2196" s="35" t="s">
        <v>7758</v>
      </c>
      <c r="D2196" s="35" t="s">
        <v>206</v>
      </c>
      <c r="E2196" s="35" t="s">
        <v>533</v>
      </c>
      <c r="F2196" s="35">
        <v>408.0</v>
      </c>
      <c r="G2196" s="35">
        <v>3.54</v>
      </c>
      <c r="H2196" s="35">
        <v>115.3</v>
      </c>
      <c r="I2196" s="35" t="s">
        <v>75</v>
      </c>
    </row>
    <row r="2197" ht="22.5" customHeight="1">
      <c r="A2197" s="35" t="s">
        <v>4627</v>
      </c>
      <c r="B2197" s="35" t="s">
        <v>4628</v>
      </c>
      <c r="C2197" s="35" t="s">
        <v>7758</v>
      </c>
      <c r="D2197" s="35" t="s">
        <v>169</v>
      </c>
      <c r="E2197" s="35" t="s">
        <v>449</v>
      </c>
      <c r="F2197" s="35">
        <v>213.0</v>
      </c>
      <c r="G2197" s="35">
        <v>5.31</v>
      </c>
      <c r="H2197" s="35">
        <v>40.1</v>
      </c>
      <c r="I2197" s="35" t="s">
        <v>75</v>
      </c>
    </row>
    <row r="2198" ht="22.5" customHeight="1">
      <c r="A2198" s="35" t="s">
        <v>4629</v>
      </c>
      <c r="B2198" s="35" t="s">
        <v>4630</v>
      </c>
      <c r="C2198" s="35" t="s">
        <v>7758</v>
      </c>
      <c r="D2198" s="35" t="s">
        <v>234</v>
      </c>
      <c r="E2198" s="35" t="s">
        <v>552</v>
      </c>
      <c r="F2198" s="35">
        <v>1429.0</v>
      </c>
      <c r="G2198" s="35">
        <v>9.32</v>
      </c>
      <c r="H2198" s="35">
        <v>153.3</v>
      </c>
      <c r="I2198" s="35" t="s">
        <v>62</v>
      </c>
    </row>
    <row r="2199" ht="22.5" customHeight="1">
      <c r="A2199" s="35" t="s">
        <v>4631</v>
      </c>
      <c r="B2199" s="35" t="s">
        <v>4632</v>
      </c>
      <c r="C2199" s="35" t="s">
        <v>7758</v>
      </c>
      <c r="D2199" s="35" t="s">
        <v>169</v>
      </c>
      <c r="E2199" s="35" t="s">
        <v>449</v>
      </c>
      <c r="F2199" s="35">
        <v>237.0</v>
      </c>
      <c r="G2199" s="35">
        <v>3.95</v>
      </c>
      <c r="H2199" s="35">
        <v>60.0</v>
      </c>
      <c r="I2199" s="35" t="s">
        <v>75</v>
      </c>
    </row>
    <row r="2200" ht="22.5" customHeight="1">
      <c r="A2200" s="35" t="s">
        <v>4633</v>
      </c>
      <c r="B2200" s="35" t="s">
        <v>4634</v>
      </c>
      <c r="C2200" s="35" t="s">
        <v>7758</v>
      </c>
      <c r="D2200" s="35" t="s">
        <v>132</v>
      </c>
      <c r="E2200" s="35" t="s">
        <v>346</v>
      </c>
      <c r="F2200" s="35">
        <v>1324.0</v>
      </c>
      <c r="G2200" s="35">
        <v>26.83</v>
      </c>
      <c r="H2200" s="35">
        <v>49.3</v>
      </c>
      <c r="I2200" s="35" t="s">
        <v>62</v>
      </c>
    </row>
    <row r="2201" ht="22.5" customHeight="1">
      <c r="A2201" s="35" t="s">
        <v>4635</v>
      </c>
      <c r="B2201" s="35" t="s">
        <v>4636</v>
      </c>
      <c r="C2201" s="35" t="s">
        <v>7758</v>
      </c>
      <c r="D2201" s="35" t="s">
        <v>223</v>
      </c>
      <c r="E2201" s="35" t="s">
        <v>380</v>
      </c>
      <c r="F2201" s="35">
        <v>208.0</v>
      </c>
      <c r="G2201" s="35">
        <v>6.81</v>
      </c>
      <c r="H2201" s="35">
        <v>30.5</v>
      </c>
      <c r="I2201" s="35" t="s">
        <v>75</v>
      </c>
    </row>
    <row r="2202" ht="22.5" customHeight="1">
      <c r="A2202" s="35" t="s">
        <v>4637</v>
      </c>
      <c r="B2202" s="35" t="s">
        <v>4638</v>
      </c>
      <c r="C2202" s="35" t="s">
        <v>7758</v>
      </c>
      <c r="D2202" s="35" t="s">
        <v>118</v>
      </c>
      <c r="E2202" s="35" t="s">
        <v>300</v>
      </c>
      <c r="F2202" s="35">
        <v>355.0</v>
      </c>
      <c r="G2202" s="35">
        <v>2.98</v>
      </c>
      <c r="H2202" s="35">
        <v>119.1</v>
      </c>
      <c r="I2202" s="35" t="s">
        <v>75</v>
      </c>
    </row>
    <row r="2203" ht="22.5" customHeight="1">
      <c r="A2203" s="35" t="s">
        <v>4639</v>
      </c>
      <c r="B2203" s="35" t="s">
        <v>4640</v>
      </c>
      <c r="C2203" s="35" t="s">
        <v>7758</v>
      </c>
      <c r="D2203" s="35" t="s">
        <v>223</v>
      </c>
      <c r="E2203" s="35" t="s">
        <v>380</v>
      </c>
      <c r="F2203" s="35">
        <v>1220.0</v>
      </c>
      <c r="G2203" s="35">
        <v>5.79</v>
      </c>
      <c r="H2203" s="35">
        <v>210.7</v>
      </c>
      <c r="I2203" s="35" t="s">
        <v>62</v>
      </c>
    </row>
    <row r="2204" ht="22.5" customHeight="1">
      <c r="A2204" s="35" t="s">
        <v>4641</v>
      </c>
      <c r="B2204" s="35" t="s">
        <v>4642</v>
      </c>
      <c r="C2204" s="35" t="s">
        <v>7758</v>
      </c>
      <c r="D2204" s="35" t="s">
        <v>204</v>
      </c>
      <c r="E2204" s="35" t="s">
        <v>527</v>
      </c>
      <c r="F2204" s="35">
        <v>83.0</v>
      </c>
      <c r="G2204" s="35">
        <v>4.57</v>
      </c>
      <c r="H2204" s="35">
        <v>18.2</v>
      </c>
      <c r="I2204" s="35" t="s">
        <v>75</v>
      </c>
    </row>
    <row r="2205" ht="22.5" customHeight="1">
      <c r="A2205" s="35" t="s">
        <v>4643</v>
      </c>
      <c r="B2205" s="35" t="s">
        <v>4644</v>
      </c>
      <c r="C2205" s="35" t="s">
        <v>7758</v>
      </c>
      <c r="D2205" s="35" t="s">
        <v>204</v>
      </c>
      <c r="E2205" s="35" t="s">
        <v>527</v>
      </c>
      <c r="F2205" s="35">
        <v>3779.0</v>
      </c>
      <c r="G2205" s="35">
        <v>5.78</v>
      </c>
      <c r="H2205" s="35">
        <v>653.8</v>
      </c>
      <c r="I2205" s="35" t="s">
        <v>142</v>
      </c>
    </row>
    <row r="2206" ht="22.5" customHeight="1">
      <c r="A2206" s="35" t="s">
        <v>4645</v>
      </c>
      <c r="B2206" s="35" t="s">
        <v>4646</v>
      </c>
      <c r="C2206" s="35" t="s">
        <v>7758</v>
      </c>
      <c r="D2206" s="35" t="s">
        <v>219</v>
      </c>
      <c r="E2206" s="35" t="s">
        <v>377</v>
      </c>
      <c r="F2206" s="35">
        <v>434.0</v>
      </c>
      <c r="G2206" s="35">
        <v>7.97</v>
      </c>
      <c r="H2206" s="35">
        <v>54.5</v>
      </c>
      <c r="I2206" s="35" t="s">
        <v>75</v>
      </c>
    </row>
    <row r="2207" ht="22.5" customHeight="1">
      <c r="A2207" s="35" t="s">
        <v>4647</v>
      </c>
      <c r="B2207" s="35" t="s">
        <v>4648</v>
      </c>
      <c r="C2207" s="35" t="s">
        <v>7758</v>
      </c>
      <c r="D2207" s="35" t="s">
        <v>204</v>
      </c>
      <c r="E2207" s="35" t="s">
        <v>527</v>
      </c>
      <c r="F2207" s="35">
        <v>308.0</v>
      </c>
      <c r="G2207" s="35">
        <v>7.63</v>
      </c>
      <c r="H2207" s="35">
        <v>40.4</v>
      </c>
      <c r="I2207" s="35" t="s">
        <v>75</v>
      </c>
    </row>
    <row r="2208" ht="22.5" customHeight="1">
      <c r="A2208" s="35" t="s">
        <v>4649</v>
      </c>
      <c r="B2208" s="35" t="s">
        <v>4650</v>
      </c>
      <c r="C2208" s="35" t="s">
        <v>7758</v>
      </c>
      <c r="D2208" s="35" t="s">
        <v>118</v>
      </c>
      <c r="E2208" s="35" t="s">
        <v>300</v>
      </c>
      <c r="F2208" s="35">
        <v>7331.0</v>
      </c>
      <c r="G2208" s="35">
        <v>6.29</v>
      </c>
      <c r="H2208" s="35">
        <v>1165.5</v>
      </c>
      <c r="I2208" s="35" t="s">
        <v>142</v>
      </c>
    </row>
    <row r="2209" ht="22.5" customHeight="1">
      <c r="A2209" s="35" t="s">
        <v>4651</v>
      </c>
      <c r="B2209" s="35" t="s">
        <v>4652</v>
      </c>
      <c r="C2209" s="35" t="s">
        <v>7758</v>
      </c>
      <c r="D2209" s="35" t="s">
        <v>169</v>
      </c>
      <c r="E2209" s="35" t="s">
        <v>449</v>
      </c>
      <c r="F2209" s="35">
        <v>199.0</v>
      </c>
      <c r="G2209" s="35">
        <v>6.14</v>
      </c>
      <c r="H2209" s="35">
        <v>32.4</v>
      </c>
      <c r="I2209" s="35" t="s">
        <v>75</v>
      </c>
    </row>
    <row r="2210" ht="22.5" customHeight="1">
      <c r="A2210" s="35" t="s">
        <v>4653</v>
      </c>
      <c r="B2210" s="35" t="s">
        <v>4654</v>
      </c>
      <c r="C2210" s="35" t="s">
        <v>7758</v>
      </c>
      <c r="D2210" s="35" t="s">
        <v>234</v>
      </c>
      <c r="E2210" s="35" t="s">
        <v>552</v>
      </c>
      <c r="F2210" s="35">
        <v>129.0</v>
      </c>
      <c r="G2210" s="35">
        <v>3.39</v>
      </c>
      <c r="H2210" s="35">
        <v>38.1</v>
      </c>
      <c r="I2210" s="35" t="s">
        <v>75</v>
      </c>
    </row>
    <row r="2211" ht="22.5" customHeight="1">
      <c r="A2211" s="35" t="s">
        <v>4655</v>
      </c>
      <c r="B2211" s="35" t="s">
        <v>4656</v>
      </c>
      <c r="C2211" s="35" t="s">
        <v>7758</v>
      </c>
      <c r="D2211" s="35" t="s">
        <v>169</v>
      </c>
      <c r="E2211" s="35" t="s">
        <v>449</v>
      </c>
      <c r="F2211" s="35">
        <v>417.0</v>
      </c>
      <c r="G2211" s="35">
        <v>7.64</v>
      </c>
      <c r="H2211" s="35">
        <v>54.6</v>
      </c>
      <c r="I2211" s="35" t="s">
        <v>75</v>
      </c>
    </row>
    <row r="2212" ht="22.5" customHeight="1">
      <c r="A2212" s="35" t="s">
        <v>4657</v>
      </c>
      <c r="B2212" s="35" t="s">
        <v>4658</v>
      </c>
      <c r="C2212" s="35" t="s">
        <v>7758</v>
      </c>
      <c r="D2212" s="35" t="s">
        <v>139</v>
      </c>
      <c r="E2212" s="35" t="s">
        <v>354</v>
      </c>
      <c r="F2212" s="35">
        <v>1018.0</v>
      </c>
      <c r="G2212" s="35">
        <v>4.54</v>
      </c>
      <c r="H2212" s="35">
        <v>224.2</v>
      </c>
      <c r="I2212" s="35" t="s">
        <v>62</v>
      </c>
    </row>
    <row r="2213" ht="22.5" customHeight="1">
      <c r="A2213" s="35" t="s">
        <v>4659</v>
      </c>
      <c r="B2213" s="35" t="s">
        <v>4660</v>
      </c>
      <c r="C2213" s="35" t="s">
        <v>7758</v>
      </c>
      <c r="D2213" s="35" t="s">
        <v>191</v>
      </c>
      <c r="E2213" s="35" t="s">
        <v>504</v>
      </c>
      <c r="F2213" s="35">
        <v>354.0</v>
      </c>
      <c r="G2213" s="35">
        <v>3.27</v>
      </c>
      <c r="H2213" s="35">
        <v>108.3</v>
      </c>
      <c r="I2213" s="35" t="s">
        <v>75</v>
      </c>
    </row>
    <row r="2214" ht="22.5" customHeight="1">
      <c r="A2214" s="35" t="s">
        <v>4661</v>
      </c>
      <c r="B2214" s="35" t="s">
        <v>4662</v>
      </c>
      <c r="C2214" s="35" t="s">
        <v>7758</v>
      </c>
      <c r="D2214" s="35" t="s">
        <v>163</v>
      </c>
      <c r="E2214" s="35" t="s">
        <v>441</v>
      </c>
      <c r="F2214" s="35">
        <v>410.0</v>
      </c>
      <c r="G2214" s="35">
        <v>13.28</v>
      </c>
      <c r="H2214" s="35">
        <v>30.9</v>
      </c>
      <c r="I2214" s="35" t="s">
        <v>75</v>
      </c>
    </row>
    <row r="2215" ht="22.5" customHeight="1">
      <c r="A2215" s="35" t="s">
        <v>4663</v>
      </c>
      <c r="B2215" s="35" t="s">
        <v>4664</v>
      </c>
      <c r="C2215" s="35" t="s">
        <v>7758</v>
      </c>
      <c r="D2215" s="35" t="s">
        <v>167</v>
      </c>
      <c r="E2215" s="35" t="s">
        <v>447</v>
      </c>
      <c r="F2215" s="35">
        <v>139.0</v>
      </c>
      <c r="G2215" s="35">
        <v>7.4</v>
      </c>
      <c r="H2215" s="35">
        <v>18.8</v>
      </c>
      <c r="I2215" s="35" t="s">
        <v>75</v>
      </c>
    </row>
    <row r="2216" ht="22.5" customHeight="1">
      <c r="A2216" s="35" t="s">
        <v>4665</v>
      </c>
      <c r="B2216" s="35" t="s">
        <v>4666</v>
      </c>
      <c r="C2216" s="35" t="s">
        <v>7758</v>
      </c>
      <c r="D2216" s="35" t="s">
        <v>169</v>
      </c>
      <c r="E2216" s="35" t="s">
        <v>449</v>
      </c>
      <c r="F2216" s="35">
        <v>98.0</v>
      </c>
      <c r="G2216" s="35">
        <v>4.57</v>
      </c>
      <c r="H2216" s="35">
        <v>21.4</v>
      </c>
      <c r="I2216" s="35" t="s">
        <v>75</v>
      </c>
    </row>
    <row r="2217" ht="22.5" customHeight="1">
      <c r="A2217" s="35" t="s">
        <v>4667</v>
      </c>
      <c r="B2217" s="35" t="s">
        <v>4668</v>
      </c>
      <c r="C2217" s="35" t="s">
        <v>7758</v>
      </c>
      <c r="D2217" s="35" t="s">
        <v>169</v>
      </c>
      <c r="E2217" s="35" t="s">
        <v>449</v>
      </c>
      <c r="F2217" s="35">
        <v>403.0</v>
      </c>
      <c r="G2217" s="35">
        <v>8.13</v>
      </c>
      <c r="H2217" s="35">
        <v>49.6</v>
      </c>
      <c r="I2217" s="35" t="s">
        <v>75</v>
      </c>
    </row>
    <row r="2218" ht="22.5" customHeight="1">
      <c r="A2218" s="35" t="s">
        <v>4669</v>
      </c>
      <c r="B2218" s="35" t="s">
        <v>4670</v>
      </c>
      <c r="C2218" s="35" t="s">
        <v>7758</v>
      </c>
      <c r="D2218" s="35" t="s">
        <v>204</v>
      </c>
      <c r="E2218" s="35" t="s">
        <v>527</v>
      </c>
      <c r="F2218" s="35">
        <v>241.0</v>
      </c>
      <c r="G2218" s="35">
        <v>4.91</v>
      </c>
      <c r="H2218" s="35">
        <v>49.1</v>
      </c>
      <c r="I2218" s="35" t="s">
        <v>75</v>
      </c>
    </row>
    <row r="2219" ht="22.5" customHeight="1">
      <c r="A2219" s="35" t="s">
        <v>4671</v>
      </c>
      <c r="B2219" s="35" t="s">
        <v>4672</v>
      </c>
      <c r="C2219" s="35" t="s">
        <v>7758</v>
      </c>
      <c r="D2219" s="35" t="s">
        <v>128</v>
      </c>
      <c r="E2219" s="35" t="s">
        <v>338</v>
      </c>
      <c r="F2219" s="35">
        <v>379.0</v>
      </c>
      <c r="G2219" s="35">
        <v>9.29</v>
      </c>
      <c r="H2219" s="35">
        <v>40.8</v>
      </c>
      <c r="I2219" s="35" t="s">
        <v>75</v>
      </c>
    </row>
    <row r="2220" ht="22.5" customHeight="1">
      <c r="A2220" s="35" t="s">
        <v>4673</v>
      </c>
      <c r="B2220" s="35" t="s">
        <v>4674</v>
      </c>
      <c r="C2220" s="35" t="s">
        <v>7758</v>
      </c>
      <c r="D2220" s="35" t="s">
        <v>139</v>
      </c>
      <c r="E2220" s="35" t="s">
        <v>354</v>
      </c>
      <c r="F2220" s="35">
        <v>222.0</v>
      </c>
      <c r="G2220" s="35">
        <v>4.21</v>
      </c>
      <c r="H2220" s="35">
        <v>52.7</v>
      </c>
      <c r="I2220" s="35" t="s">
        <v>75</v>
      </c>
    </row>
    <row r="2221" ht="22.5" customHeight="1">
      <c r="A2221" s="35" t="s">
        <v>4675</v>
      </c>
      <c r="B2221" s="35" t="s">
        <v>4676</v>
      </c>
      <c r="C2221" s="35" t="s">
        <v>7758</v>
      </c>
      <c r="D2221" s="35" t="s">
        <v>204</v>
      </c>
      <c r="E2221" s="35" t="s">
        <v>527</v>
      </c>
      <c r="F2221" s="35">
        <v>528.0</v>
      </c>
      <c r="G2221" s="35">
        <v>9.95</v>
      </c>
      <c r="H2221" s="35">
        <v>53.1</v>
      </c>
      <c r="I2221" s="35" t="s">
        <v>62</v>
      </c>
    </row>
    <row r="2222" ht="22.5" customHeight="1">
      <c r="A2222" s="35" t="s">
        <v>4677</v>
      </c>
      <c r="B2222" s="35" t="s">
        <v>4678</v>
      </c>
      <c r="C2222" s="35" t="s">
        <v>7758</v>
      </c>
      <c r="D2222" s="35" t="s">
        <v>234</v>
      </c>
      <c r="E2222" s="35" t="s">
        <v>552</v>
      </c>
      <c r="F2222" s="35">
        <v>1003.0</v>
      </c>
      <c r="G2222" s="35">
        <v>5.04</v>
      </c>
      <c r="H2222" s="35">
        <v>199.0</v>
      </c>
      <c r="I2222" s="35" t="s">
        <v>62</v>
      </c>
    </row>
    <row r="2223" ht="22.5" customHeight="1">
      <c r="A2223" s="35" t="s">
        <v>4679</v>
      </c>
      <c r="B2223" s="35" t="s">
        <v>4680</v>
      </c>
      <c r="C2223" s="35" t="s">
        <v>7758</v>
      </c>
      <c r="D2223" s="35" t="s">
        <v>234</v>
      </c>
      <c r="E2223" s="35" t="s">
        <v>552</v>
      </c>
      <c r="F2223" s="35">
        <v>5559.0</v>
      </c>
      <c r="G2223" s="35">
        <v>5.94</v>
      </c>
      <c r="H2223" s="35">
        <v>935.9</v>
      </c>
      <c r="I2223" s="35" t="s">
        <v>142</v>
      </c>
    </row>
    <row r="2224" ht="22.5" customHeight="1">
      <c r="A2224" s="35" t="s">
        <v>4681</v>
      </c>
      <c r="B2224" s="35" t="s">
        <v>4682</v>
      </c>
      <c r="C2224" s="35" t="s">
        <v>7758</v>
      </c>
      <c r="D2224" s="35" t="s">
        <v>167</v>
      </c>
      <c r="E2224" s="35" t="s">
        <v>447</v>
      </c>
      <c r="F2224" s="35">
        <v>2014.0</v>
      </c>
      <c r="G2224" s="35">
        <v>13.16</v>
      </c>
      <c r="H2224" s="35">
        <v>153.0</v>
      </c>
      <c r="I2224" s="35" t="s">
        <v>142</v>
      </c>
    </row>
    <row r="2225" ht="22.5" customHeight="1">
      <c r="A2225" s="35" t="s">
        <v>4683</v>
      </c>
      <c r="B2225" s="35" t="s">
        <v>4684</v>
      </c>
      <c r="C2225" s="35" t="s">
        <v>7758</v>
      </c>
      <c r="D2225" s="35" t="s">
        <v>206</v>
      </c>
      <c r="E2225" s="35" t="s">
        <v>533</v>
      </c>
      <c r="F2225" s="35">
        <v>133.0</v>
      </c>
      <c r="G2225" s="35">
        <v>2.63</v>
      </c>
      <c r="H2225" s="35">
        <v>50.6</v>
      </c>
      <c r="I2225" s="35" t="s">
        <v>75</v>
      </c>
    </row>
    <row r="2226" ht="22.5" customHeight="1">
      <c r="A2226" s="35" t="s">
        <v>4685</v>
      </c>
      <c r="B2226" s="35" t="s">
        <v>4686</v>
      </c>
      <c r="C2226" s="35" t="s">
        <v>7758</v>
      </c>
      <c r="D2226" s="35" t="s">
        <v>187</v>
      </c>
      <c r="E2226" s="35" t="s">
        <v>488</v>
      </c>
      <c r="F2226" s="35">
        <v>280.0</v>
      </c>
      <c r="G2226" s="35">
        <v>6.07</v>
      </c>
      <c r="H2226" s="35">
        <v>46.1</v>
      </c>
      <c r="I2226" s="35" t="s">
        <v>75</v>
      </c>
    </row>
    <row r="2227" ht="22.5" customHeight="1">
      <c r="A2227" s="35" t="s">
        <v>4687</v>
      </c>
      <c r="B2227" s="35" t="s">
        <v>4688</v>
      </c>
      <c r="C2227" s="35" t="s">
        <v>7758</v>
      </c>
      <c r="D2227" s="35" t="s">
        <v>204</v>
      </c>
      <c r="E2227" s="35" t="s">
        <v>527</v>
      </c>
      <c r="F2227" s="35">
        <v>114.0</v>
      </c>
      <c r="G2227" s="35">
        <v>3.08</v>
      </c>
      <c r="H2227" s="35">
        <v>37.0</v>
      </c>
      <c r="I2227" s="35" t="s">
        <v>75</v>
      </c>
    </row>
    <row r="2228" ht="22.5" customHeight="1">
      <c r="A2228" s="35" t="s">
        <v>4689</v>
      </c>
      <c r="B2228" s="35" t="s">
        <v>4690</v>
      </c>
      <c r="C2228" s="35" t="s">
        <v>7758</v>
      </c>
      <c r="D2228" s="35" t="s">
        <v>150</v>
      </c>
      <c r="E2228" s="35" t="s">
        <v>411</v>
      </c>
      <c r="F2228" s="35">
        <v>427.0</v>
      </c>
      <c r="G2228" s="35">
        <v>5.45</v>
      </c>
      <c r="H2228" s="35">
        <v>78.3</v>
      </c>
      <c r="I2228" s="35" t="s">
        <v>75</v>
      </c>
    </row>
    <row r="2229" ht="22.5" customHeight="1">
      <c r="A2229" s="35" t="s">
        <v>4691</v>
      </c>
      <c r="B2229" s="35" t="s">
        <v>4692</v>
      </c>
      <c r="C2229" s="35" t="s">
        <v>7758</v>
      </c>
      <c r="D2229" s="35" t="s">
        <v>150</v>
      </c>
      <c r="E2229" s="35" t="s">
        <v>411</v>
      </c>
      <c r="F2229" s="35">
        <v>503.0</v>
      </c>
      <c r="G2229" s="35">
        <v>9.26</v>
      </c>
      <c r="H2229" s="35">
        <v>54.3</v>
      </c>
      <c r="I2229" s="35" t="s">
        <v>62</v>
      </c>
    </row>
    <row r="2230" ht="22.5" customHeight="1">
      <c r="A2230" s="35" t="s">
        <v>4693</v>
      </c>
      <c r="B2230" s="35" t="s">
        <v>4694</v>
      </c>
      <c r="C2230" s="35" t="s">
        <v>7758</v>
      </c>
      <c r="D2230" s="35" t="s">
        <v>219</v>
      </c>
      <c r="E2230" s="35" t="s">
        <v>377</v>
      </c>
      <c r="F2230" s="35">
        <v>212.0</v>
      </c>
      <c r="G2230" s="35">
        <v>2.04</v>
      </c>
      <c r="H2230" s="35">
        <v>103.9</v>
      </c>
      <c r="I2230" s="35" t="s">
        <v>75</v>
      </c>
    </row>
    <row r="2231" ht="22.5" customHeight="1">
      <c r="A2231" s="35" t="s">
        <v>4695</v>
      </c>
      <c r="B2231" s="35" t="s">
        <v>4696</v>
      </c>
      <c r="C2231" s="35" t="s">
        <v>7758</v>
      </c>
      <c r="D2231" s="35" t="s">
        <v>127</v>
      </c>
      <c r="E2231" s="35" t="s">
        <v>323</v>
      </c>
      <c r="F2231" s="35">
        <v>330.0</v>
      </c>
      <c r="G2231" s="35">
        <v>4.16</v>
      </c>
      <c r="H2231" s="35">
        <v>79.3</v>
      </c>
      <c r="I2231" s="35" t="s">
        <v>75</v>
      </c>
    </row>
    <row r="2232" ht="22.5" customHeight="1">
      <c r="A2232" s="35" t="s">
        <v>4697</v>
      </c>
      <c r="B2232" s="35" t="s">
        <v>4698</v>
      </c>
      <c r="C2232" s="35" t="s">
        <v>7758</v>
      </c>
      <c r="D2232" s="35" t="s">
        <v>128</v>
      </c>
      <c r="E2232" s="35" t="s">
        <v>338</v>
      </c>
      <c r="F2232" s="35">
        <v>12951.0</v>
      </c>
      <c r="G2232" s="35">
        <v>14.49</v>
      </c>
      <c r="H2232" s="35">
        <v>893.8</v>
      </c>
      <c r="I2232" s="35" t="s">
        <v>571</v>
      </c>
    </row>
    <row r="2233" ht="22.5" customHeight="1">
      <c r="A2233" s="35" t="s">
        <v>4699</v>
      </c>
      <c r="B2233" s="35" t="s">
        <v>4700</v>
      </c>
      <c r="C2233" s="35" t="s">
        <v>7758</v>
      </c>
      <c r="D2233" s="35" t="s">
        <v>206</v>
      </c>
      <c r="E2233" s="35" t="s">
        <v>533</v>
      </c>
      <c r="F2233" s="35">
        <v>213.0</v>
      </c>
      <c r="G2233" s="35">
        <v>2.8</v>
      </c>
      <c r="H2233" s="35">
        <v>76.1</v>
      </c>
      <c r="I2233" s="35" t="s">
        <v>75</v>
      </c>
    </row>
    <row r="2234" ht="22.5" customHeight="1">
      <c r="A2234" s="35" t="s">
        <v>4701</v>
      </c>
      <c r="B2234" s="35" t="s">
        <v>4702</v>
      </c>
      <c r="C2234" s="35" t="s">
        <v>7758</v>
      </c>
      <c r="D2234" s="35" t="s">
        <v>169</v>
      </c>
      <c r="E2234" s="35" t="s">
        <v>449</v>
      </c>
      <c r="F2234" s="35">
        <v>277.0</v>
      </c>
      <c r="G2234" s="35">
        <v>7.63</v>
      </c>
      <c r="H2234" s="35">
        <v>36.3</v>
      </c>
      <c r="I2234" s="35" t="s">
        <v>75</v>
      </c>
    </row>
    <row r="2235" ht="22.5" customHeight="1">
      <c r="A2235" s="35" t="s">
        <v>4703</v>
      </c>
      <c r="B2235" s="35" t="s">
        <v>4704</v>
      </c>
      <c r="C2235" s="35" t="s">
        <v>7758</v>
      </c>
      <c r="D2235" s="35" t="s">
        <v>169</v>
      </c>
      <c r="E2235" s="35" t="s">
        <v>449</v>
      </c>
      <c r="F2235" s="35">
        <v>553.0</v>
      </c>
      <c r="G2235" s="35">
        <v>8.88</v>
      </c>
      <c r="H2235" s="35">
        <v>62.3</v>
      </c>
      <c r="I2235" s="35" t="s">
        <v>62</v>
      </c>
    </row>
    <row r="2236" ht="22.5" customHeight="1">
      <c r="A2236" s="35" t="s">
        <v>4705</v>
      </c>
      <c r="B2236" s="35" t="s">
        <v>4706</v>
      </c>
      <c r="C2236" s="35" t="s">
        <v>7758</v>
      </c>
      <c r="D2236" s="35" t="s">
        <v>169</v>
      </c>
      <c r="E2236" s="35" t="s">
        <v>449</v>
      </c>
      <c r="F2236" s="35">
        <v>482.0</v>
      </c>
      <c r="G2236" s="35">
        <v>8.48</v>
      </c>
      <c r="H2236" s="35">
        <v>56.8</v>
      </c>
      <c r="I2236" s="35" t="s">
        <v>75</v>
      </c>
    </row>
    <row r="2237" ht="22.5" customHeight="1">
      <c r="A2237" s="35" t="s">
        <v>4707</v>
      </c>
      <c r="B2237" s="35" t="s">
        <v>4708</v>
      </c>
      <c r="C2237" s="35" t="s">
        <v>7758</v>
      </c>
      <c r="D2237" s="35" t="s">
        <v>206</v>
      </c>
      <c r="E2237" s="35" t="s">
        <v>533</v>
      </c>
      <c r="F2237" s="35">
        <v>164.0</v>
      </c>
      <c r="G2237" s="35">
        <v>5.54</v>
      </c>
      <c r="H2237" s="35">
        <v>29.6</v>
      </c>
      <c r="I2237" s="35" t="s">
        <v>75</v>
      </c>
    </row>
    <row r="2238" ht="22.5" customHeight="1">
      <c r="A2238" s="35" t="s">
        <v>4709</v>
      </c>
      <c r="B2238" s="35" t="s">
        <v>4710</v>
      </c>
      <c r="C2238" s="35" t="s">
        <v>7758</v>
      </c>
      <c r="D2238" s="35" t="s">
        <v>169</v>
      </c>
      <c r="E2238" s="35" t="s">
        <v>449</v>
      </c>
      <c r="F2238" s="35">
        <v>485.0</v>
      </c>
      <c r="G2238" s="35">
        <v>5.68</v>
      </c>
      <c r="H2238" s="35">
        <v>85.4</v>
      </c>
      <c r="I2238" s="35" t="s">
        <v>75</v>
      </c>
    </row>
    <row r="2239" ht="22.5" customHeight="1">
      <c r="A2239" s="35" t="s">
        <v>4711</v>
      </c>
      <c r="B2239" s="35" t="s">
        <v>4712</v>
      </c>
      <c r="C2239" s="35" t="s">
        <v>7758</v>
      </c>
      <c r="D2239" s="35" t="s">
        <v>128</v>
      </c>
      <c r="E2239" s="35" t="s">
        <v>338</v>
      </c>
      <c r="F2239" s="35">
        <v>162.0</v>
      </c>
      <c r="G2239" s="35">
        <v>5.85</v>
      </c>
      <c r="H2239" s="35">
        <v>27.7</v>
      </c>
      <c r="I2239" s="35" t="s">
        <v>75</v>
      </c>
    </row>
    <row r="2240" ht="22.5" customHeight="1">
      <c r="A2240" s="35" t="s">
        <v>4713</v>
      </c>
      <c r="B2240" s="35" t="s">
        <v>4714</v>
      </c>
      <c r="C2240" s="35" t="s">
        <v>7758</v>
      </c>
      <c r="D2240" s="35" t="s">
        <v>204</v>
      </c>
      <c r="E2240" s="35" t="s">
        <v>527</v>
      </c>
      <c r="F2240" s="35">
        <v>920.0</v>
      </c>
      <c r="G2240" s="35">
        <v>7.51</v>
      </c>
      <c r="H2240" s="35">
        <v>122.5</v>
      </c>
      <c r="I2240" s="35" t="s">
        <v>62</v>
      </c>
    </row>
    <row r="2241" ht="22.5" customHeight="1">
      <c r="A2241" s="35" t="s">
        <v>4715</v>
      </c>
      <c r="B2241" s="35" t="s">
        <v>4716</v>
      </c>
      <c r="C2241" s="35" t="s">
        <v>7758</v>
      </c>
      <c r="D2241" s="35" t="s">
        <v>169</v>
      </c>
      <c r="E2241" s="35" t="s">
        <v>449</v>
      </c>
      <c r="F2241" s="35">
        <v>155.0</v>
      </c>
      <c r="G2241" s="35">
        <v>4.24</v>
      </c>
      <c r="H2241" s="35">
        <v>36.6</v>
      </c>
      <c r="I2241" s="35" t="s">
        <v>75</v>
      </c>
    </row>
    <row r="2242" ht="22.5" customHeight="1">
      <c r="A2242" s="35" t="s">
        <v>4717</v>
      </c>
      <c r="B2242" s="35" t="s">
        <v>4718</v>
      </c>
      <c r="C2242" s="35" t="s">
        <v>7758</v>
      </c>
      <c r="D2242" s="35" t="s">
        <v>118</v>
      </c>
      <c r="E2242" s="35" t="s">
        <v>300</v>
      </c>
      <c r="F2242" s="35">
        <v>25224.0</v>
      </c>
      <c r="G2242" s="35">
        <v>9.46</v>
      </c>
      <c r="H2242" s="35">
        <v>2666.4</v>
      </c>
      <c r="I2242" s="35" t="s">
        <v>571</v>
      </c>
    </row>
    <row r="2243" ht="22.5" customHeight="1">
      <c r="A2243" s="35" t="s">
        <v>4719</v>
      </c>
      <c r="B2243" s="35" t="s">
        <v>4720</v>
      </c>
      <c r="C2243" s="35" t="s">
        <v>7758</v>
      </c>
      <c r="D2243" s="35" t="s">
        <v>118</v>
      </c>
      <c r="E2243" s="35" t="s">
        <v>300</v>
      </c>
      <c r="F2243" s="35">
        <v>460.0</v>
      </c>
      <c r="G2243" s="35">
        <v>5.04</v>
      </c>
      <c r="H2243" s="35">
        <v>91.3</v>
      </c>
      <c r="I2243" s="35" t="s">
        <v>75</v>
      </c>
    </row>
    <row r="2244" ht="22.5" customHeight="1">
      <c r="A2244" s="35" t="s">
        <v>4721</v>
      </c>
      <c r="B2244" s="35" t="s">
        <v>4722</v>
      </c>
      <c r="C2244" s="35" t="s">
        <v>7758</v>
      </c>
      <c r="D2244" s="35" t="s">
        <v>204</v>
      </c>
      <c r="E2244" s="35" t="s">
        <v>527</v>
      </c>
      <c r="F2244" s="35">
        <v>180.0</v>
      </c>
      <c r="G2244" s="35">
        <v>3.97</v>
      </c>
      <c r="H2244" s="35">
        <v>45.3</v>
      </c>
      <c r="I2244" s="35" t="s">
        <v>75</v>
      </c>
    </row>
    <row r="2245" ht="22.5" customHeight="1">
      <c r="A2245" s="35" t="s">
        <v>4723</v>
      </c>
      <c r="B2245" s="35" t="s">
        <v>4724</v>
      </c>
      <c r="C2245" s="35" t="s">
        <v>7758</v>
      </c>
      <c r="D2245" s="35" t="s">
        <v>204</v>
      </c>
      <c r="E2245" s="35" t="s">
        <v>527</v>
      </c>
      <c r="F2245" s="35">
        <v>351.0</v>
      </c>
      <c r="G2245" s="35">
        <v>5.76</v>
      </c>
      <c r="H2245" s="35">
        <v>60.9</v>
      </c>
      <c r="I2245" s="35" t="s">
        <v>75</v>
      </c>
    </row>
    <row r="2246" ht="22.5" customHeight="1">
      <c r="A2246" s="35" t="s">
        <v>4725</v>
      </c>
      <c r="B2246" s="35" t="s">
        <v>4726</v>
      </c>
      <c r="C2246" s="35" t="s">
        <v>7758</v>
      </c>
      <c r="D2246" s="35" t="s">
        <v>187</v>
      </c>
      <c r="E2246" s="35" t="s">
        <v>488</v>
      </c>
      <c r="F2246" s="35">
        <v>546.0</v>
      </c>
      <c r="G2246" s="35">
        <v>15.99</v>
      </c>
      <c r="H2246" s="35">
        <v>34.1</v>
      </c>
      <c r="I2246" s="35" t="s">
        <v>62</v>
      </c>
    </row>
    <row r="2247" ht="22.5" customHeight="1">
      <c r="A2247" s="35" t="s">
        <v>4727</v>
      </c>
      <c r="B2247" s="35" t="s">
        <v>4728</v>
      </c>
      <c r="C2247" s="35" t="s">
        <v>7758</v>
      </c>
      <c r="D2247" s="35" t="s">
        <v>128</v>
      </c>
      <c r="E2247" s="35" t="s">
        <v>338</v>
      </c>
      <c r="F2247" s="35">
        <v>436.0</v>
      </c>
      <c r="G2247" s="35">
        <v>2.96</v>
      </c>
      <c r="H2247" s="35">
        <v>147.3</v>
      </c>
      <c r="I2247" s="35" t="s">
        <v>75</v>
      </c>
    </row>
    <row r="2248" ht="22.5" customHeight="1">
      <c r="A2248" s="35" t="s">
        <v>4729</v>
      </c>
      <c r="B2248" s="35" t="s">
        <v>4730</v>
      </c>
      <c r="C2248" s="35" t="s">
        <v>7758</v>
      </c>
      <c r="D2248" s="35" t="s">
        <v>163</v>
      </c>
      <c r="E2248" s="35" t="s">
        <v>441</v>
      </c>
      <c r="F2248" s="35">
        <v>458.0</v>
      </c>
      <c r="G2248" s="35">
        <v>4.73</v>
      </c>
      <c r="H2248" s="35">
        <v>96.8</v>
      </c>
      <c r="I2248" s="35" t="s">
        <v>75</v>
      </c>
    </row>
    <row r="2249" ht="22.5" customHeight="1">
      <c r="A2249" s="35" t="s">
        <v>4731</v>
      </c>
      <c r="B2249" s="35" t="s">
        <v>4732</v>
      </c>
      <c r="C2249" s="35" t="s">
        <v>7758</v>
      </c>
      <c r="D2249" s="35" t="s">
        <v>118</v>
      </c>
      <c r="E2249" s="35" t="s">
        <v>300</v>
      </c>
      <c r="F2249" s="35">
        <v>9189.0</v>
      </c>
      <c r="G2249" s="35">
        <v>16.82</v>
      </c>
      <c r="H2249" s="35">
        <v>546.3</v>
      </c>
      <c r="I2249" s="35" t="s">
        <v>142</v>
      </c>
    </row>
    <row r="2250" ht="22.5" customHeight="1">
      <c r="A2250" s="35" t="s">
        <v>4733</v>
      </c>
      <c r="B2250" s="35" t="s">
        <v>4734</v>
      </c>
      <c r="C2250" s="35" t="s">
        <v>7758</v>
      </c>
      <c r="D2250" s="35" t="s">
        <v>187</v>
      </c>
      <c r="E2250" s="35" t="s">
        <v>488</v>
      </c>
      <c r="F2250" s="35">
        <v>367.0</v>
      </c>
      <c r="G2250" s="35">
        <v>13.23</v>
      </c>
      <c r="H2250" s="35">
        <v>27.7</v>
      </c>
      <c r="I2250" s="35" t="s">
        <v>75</v>
      </c>
    </row>
    <row r="2251" ht="22.5" customHeight="1">
      <c r="A2251" s="35" t="s">
        <v>4735</v>
      </c>
      <c r="B2251" s="35" t="s">
        <v>4736</v>
      </c>
      <c r="C2251" s="35" t="s">
        <v>7758</v>
      </c>
      <c r="D2251" s="35" t="s">
        <v>219</v>
      </c>
      <c r="E2251" s="35" t="s">
        <v>377</v>
      </c>
      <c r="F2251" s="35">
        <v>4568.0</v>
      </c>
      <c r="G2251" s="35">
        <v>9.29</v>
      </c>
      <c r="H2251" s="35">
        <v>491.7</v>
      </c>
      <c r="I2251" s="35" t="s">
        <v>142</v>
      </c>
    </row>
    <row r="2252" ht="22.5" customHeight="1">
      <c r="A2252" s="35" t="s">
        <v>4737</v>
      </c>
      <c r="B2252" s="35" t="s">
        <v>4738</v>
      </c>
      <c r="C2252" s="35" t="s">
        <v>7758</v>
      </c>
      <c r="D2252" s="35" t="s">
        <v>204</v>
      </c>
      <c r="E2252" s="35" t="s">
        <v>527</v>
      </c>
      <c r="F2252" s="35">
        <v>93.0</v>
      </c>
      <c r="G2252" s="35">
        <v>4.08</v>
      </c>
      <c r="H2252" s="35">
        <v>22.8</v>
      </c>
      <c r="I2252" s="35" t="s">
        <v>75</v>
      </c>
    </row>
    <row r="2253" ht="22.5" customHeight="1">
      <c r="A2253" s="35" t="s">
        <v>4739</v>
      </c>
      <c r="B2253" s="35" t="s">
        <v>4740</v>
      </c>
      <c r="C2253" s="35" t="s">
        <v>7758</v>
      </c>
      <c r="D2253" s="35" t="s">
        <v>169</v>
      </c>
      <c r="E2253" s="35" t="s">
        <v>449</v>
      </c>
      <c r="F2253" s="35">
        <v>671.0</v>
      </c>
      <c r="G2253" s="35">
        <v>7.38</v>
      </c>
      <c r="H2253" s="35">
        <v>90.9</v>
      </c>
      <c r="I2253" s="35" t="s">
        <v>62</v>
      </c>
    </row>
    <row r="2254" ht="22.5" customHeight="1">
      <c r="A2254" s="35" t="s">
        <v>4741</v>
      </c>
      <c r="B2254" s="35" t="s">
        <v>4742</v>
      </c>
      <c r="C2254" s="35" t="s">
        <v>7758</v>
      </c>
      <c r="D2254" s="35" t="s">
        <v>204</v>
      </c>
      <c r="E2254" s="35" t="s">
        <v>527</v>
      </c>
      <c r="F2254" s="35">
        <v>286.0</v>
      </c>
      <c r="G2254" s="35">
        <v>4.7</v>
      </c>
      <c r="H2254" s="35">
        <v>60.9</v>
      </c>
      <c r="I2254" s="35" t="s">
        <v>75</v>
      </c>
    </row>
    <row r="2255" ht="22.5" customHeight="1">
      <c r="A2255" s="35" t="s">
        <v>4743</v>
      </c>
      <c r="B2255" s="35" t="s">
        <v>4744</v>
      </c>
      <c r="C2255" s="35" t="s">
        <v>7758</v>
      </c>
      <c r="D2255" s="35" t="s">
        <v>118</v>
      </c>
      <c r="E2255" s="35" t="s">
        <v>300</v>
      </c>
      <c r="F2255" s="35">
        <v>5093.0</v>
      </c>
      <c r="G2255" s="35">
        <v>7.35</v>
      </c>
      <c r="H2255" s="35">
        <v>692.9</v>
      </c>
      <c r="I2255" s="35" t="s">
        <v>142</v>
      </c>
    </row>
    <row r="2256" ht="22.5" customHeight="1">
      <c r="A2256" s="35" t="s">
        <v>4745</v>
      </c>
      <c r="B2256" s="35" t="s">
        <v>4746</v>
      </c>
      <c r="C2256" s="35" t="s">
        <v>7758</v>
      </c>
      <c r="D2256" s="35" t="s">
        <v>127</v>
      </c>
      <c r="E2256" s="35" t="s">
        <v>323</v>
      </c>
      <c r="F2256" s="35">
        <v>7937.0</v>
      </c>
      <c r="G2256" s="35">
        <v>2.72</v>
      </c>
      <c r="H2256" s="35">
        <v>2918.0</v>
      </c>
      <c r="I2256" s="35" t="s">
        <v>142</v>
      </c>
    </row>
    <row r="2257" ht="22.5" customHeight="1">
      <c r="A2257" s="35" t="s">
        <v>4747</v>
      </c>
      <c r="B2257" s="35" t="s">
        <v>4748</v>
      </c>
      <c r="C2257" s="35" t="s">
        <v>7758</v>
      </c>
      <c r="D2257" s="35" t="s">
        <v>187</v>
      </c>
      <c r="E2257" s="35" t="s">
        <v>488</v>
      </c>
      <c r="F2257" s="35">
        <v>112.0</v>
      </c>
      <c r="G2257" s="35">
        <v>6.82</v>
      </c>
      <c r="H2257" s="35">
        <v>16.4</v>
      </c>
      <c r="I2257" s="35" t="s">
        <v>75</v>
      </c>
    </row>
    <row r="2258" ht="22.5" customHeight="1">
      <c r="A2258" s="35" t="s">
        <v>4749</v>
      </c>
      <c r="B2258" s="35" t="s">
        <v>4750</v>
      </c>
      <c r="C2258" s="35" t="s">
        <v>7758</v>
      </c>
      <c r="D2258" s="35" t="s">
        <v>169</v>
      </c>
      <c r="E2258" s="35" t="s">
        <v>449</v>
      </c>
      <c r="F2258" s="35">
        <v>304.0</v>
      </c>
      <c r="G2258" s="35">
        <v>4.6</v>
      </c>
      <c r="H2258" s="35">
        <v>66.1</v>
      </c>
      <c r="I2258" s="35" t="s">
        <v>75</v>
      </c>
    </row>
    <row r="2259" ht="22.5" customHeight="1">
      <c r="A2259" s="35" t="s">
        <v>4751</v>
      </c>
      <c r="B2259" s="35" t="s">
        <v>4752</v>
      </c>
      <c r="C2259" s="35" t="s">
        <v>7758</v>
      </c>
      <c r="D2259" s="35" t="s">
        <v>206</v>
      </c>
      <c r="E2259" s="35" t="s">
        <v>533</v>
      </c>
      <c r="F2259" s="35">
        <v>95.0</v>
      </c>
      <c r="G2259" s="35">
        <v>4.64</v>
      </c>
      <c r="H2259" s="35">
        <v>20.5</v>
      </c>
      <c r="I2259" s="35" t="s">
        <v>75</v>
      </c>
    </row>
    <row r="2260" ht="22.5" customHeight="1">
      <c r="A2260" s="35" t="s">
        <v>4753</v>
      </c>
      <c r="B2260" s="35" t="s">
        <v>4754</v>
      </c>
      <c r="C2260" s="35" t="s">
        <v>7758</v>
      </c>
      <c r="D2260" s="35" t="s">
        <v>167</v>
      </c>
      <c r="E2260" s="35" t="s">
        <v>447</v>
      </c>
      <c r="F2260" s="35">
        <v>715.0</v>
      </c>
      <c r="G2260" s="35">
        <v>11.6</v>
      </c>
      <c r="H2260" s="35">
        <v>61.6</v>
      </c>
      <c r="I2260" s="35" t="s">
        <v>62</v>
      </c>
    </row>
    <row r="2261" ht="22.5" customHeight="1">
      <c r="A2261" s="35" t="s">
        <v>4755</v>
      </c>
      <c r="B2261" s="35" t="s">
        <v>4756</v>
      </c>
      <c r="C2261" s="35" t="s">
        <v>7758</v>
      </c>
      <c r="D2261" s="35" t="s">
        <v>139</v>
      </c>
      <c r="E2261" s="35" t="s">
        <v>354</v>
      </c>
      <c r="F2261" s="35">
        <v>4859.0</v>
      </c>
      <c r="G2261" s="35">
        <v>9.59</v>
      </c>
      <c r="H2261" s="35">
        <v>506.7</v>
      </c>
      <c r="I2261" s="35" t="s">
        <v>142</v>
      </c>
    </row>
    <row r="2262" ht="22.5" customHeight="1">
      <c r="A2262" s="35" t="s">
        <v>4757</v>
      </c>
      <c r="B2262" s="35" t="s">
        <v>4758</v>
      </c>
      <c r="C2262" s="35" t="s">
        <v>7758</v>
      </c>
      <c r="D2262" s="35" t="s">
        <v>191</v>
      </c>
      <c r="E2262" s="35" t="s">
        <v>504</v>
      </c>
      <c r="F2262" s="35">
        <v>490.0</v>
      </c>
      <c r="G2262" s="35">
        <v>8.66</v>
      </c>
      <c r="H2262" s="35">
        <v>56.6</v>
      </c>
      <c r="I2262" s="35" t="s">
        <v>75</v>
      </c>
    </row>
    <row r="2263" ht="22.5" customHeight="1">
      <c r="A2263" s="35" t="s">
        <v>4759</v>
      </c>
      <c r="B2263" s="35" t="s">
        <v>4760</v>
      </c>
      <c r="C2263" s="35" t="s">
        <v>7758</v>
      </c>
      <c r="D2263" s="35" t="s">
        <v>118</v>
      </c>
      <c r="E2263" s="35" t="s">
        <v>300</v>
      </c>
      <c r="F2263" s="35">
        <v>907.0</v>
      </c>
      <c r="G2263" s="35">
        <v>5.36</v>
      </c>
      <c r="H2263" s="35">
        <v>169.2</v>
      </c>
      <c r="I2263" s="35" t="s">
        <v>62</v>
      </c>
    </row>
    <row r="2264" ht="22.5" customHeight="1">
      <c r="A2264" s="35" t="s">
        <v>4761</v>
      </c>
      <c r="B2264" s="35" t="s">
        <v>4762</v>
      </c>
      <c r="C2264" s="35" t="s">
        <v>7758</v>
      </c>
      <c r="D2264" s="35" t="s">
        <v>167</v>
      </c>
      <c r="E2264" s="35" t="s">
        <v>447</v>
      </c>
      <c r="F2264" s="35">
        <v>160.0</v>
      </c>
      <c r="G2264" s="35">
        <v>3.21</v>
      </c>
      <c r="H2264" s="35">
        <v>49.8</v>
      </c>
      <c r="I2264" s="35" t="s">
        <v>75</v>
      </c>
    </row>
    <row r="2265" ht="22.5" customHeight="1">
      <c r="A2265" s="35" t="s">
        <v>4763</v>
      </c>
      <c r="B2265" s="35" t="s">
        <v>4764</v>
      </c>
      <c r="C2265" s="35" t="s">
        <v>7758</v>
      </c>
      <c r="D2265" s="35" t="s">
        <v>206</v>
      </c>
      <c r="E2265" s="35" t="s">
        <v>533</v>
      </c>
      <c r="F2265" s="35">
        <v>46.0</v>
      </c>
      <c r="G2265" s="35">
        <v>3.46</v>
      </c>
      <c r="H2265" s="35">
        <v>13.3</v>
      </c>
      <c r="I2265" s="35" t="s">
        <v>75</v>
      </c>
    </row>
    <row r="2266" ht="22.5" customHeight="1">
      <c r="A2266" s="35" t="s">
        <v>4765</v>
      </c>
      <c r="B2266" s="35" t="s">
        <v>4766</v>
      </c>
      <c r="C2266" s="35" t="s">
        <v>7758</v>
      </c>
      <c r="D2266" s="35" t="s">
        <v>234</v>
      </c>
      <c r="E2266" s="35" t="s">
        <v>552</v>
      </c>
      <c r="F2266" s="35">
        <v>478.0</v>
      </c>
      <c r="G2266" s="35">
        <v>4.6</v>
      </c>
      <c r="H2266" s="35">
        <v>103.9</v>
      </c>
      <c r="I2266" s="35" t="s">
        <v>75</v>
      </c>
    </row>
    <row r="2267" ht="22.5" customHeight="1">
      <c r="A2267" s="35" t="s">
        <v>4767</v>
      </c>
      <c r="B2267" s="35" t="s">
        <v>4768</v>
      </c>
      <c r="C2267" s="35" t="s">
        <v>7758</v>
      </c>
      <c r="D2267" s="35" t="s">
        <v>219</v>
      </c>
      <c r="E2267" s="35" t="s">
        <v>377</v>
      </c>
      <c r="F2267" s="35">
        <v>450.0</v>
      </c>
      <c r="G2267" s="35">
        <v>6.2</v>
      </c>
      <c r="H2267" s="35">
        <v>72.6</v>
      </c>
      <c r="I2267" s="35" t="s">
        <v>75</v>
      </c>
    </row>
    <row r="2268" ht="22.5" customHeight="1">
      <c r="A2268" s="35" t="s">
        <v>4769</v>
      </c>
      <c r="B2268" s="35" t="s">
        <v>4770</v>
      </c>
      <c r="C2268" s="35" t="s">
        <v>7758</v>
      </c>
      <c r="D2268" s="35" t="s">
        <v>234</v>
      </c>
      <c r="E2268" s="35" t="s">
        <v>552</v>
      </c>
      <c r="F2268" s="35">
        <v>255.0</v>
      </c>
      <c r="G2268" s="35">
        <v>3.51</v>
      </c>
      <c r="H2268" s="35">
        <v>72.6</v>
      </c>
      <c r="I2268" s="35" t="s">
        <v>75</v>
      </c>
    </row>
    <row r="2269" ht="22.5" customHeight="1">
      <c r="A2269" s="35" t="s">
        <v>4771</v>
      </c>
      <c r="B2269" s="35" t="s">
        <v>4772</v>
      </c>
      <c r="C2269" s="35" t="s">
        <v>7758</v>
      </c>
      <c r="D2269" s="35" t="s">
        <v>234</v>
      </c>
      <c r="E2269" s="35" t="s">
        <v>552</v>
      </c>
      <c r="F2269" s="35">
        <v>389.0</v>
      </c>
      <c r="G2269" s="35">
        <v>5.87</v>
      </c>
      <c r="H2269" s="35">
        <v>66.3</v>
      </c>
      <c r="I2269" s="35" t="s">
        <v>75</v>
      </c>
    </row>
    <row r="2270" ht="22.5" customHeight="1">
      <c r="A2270" s="35" t="s">
        <v>4773</v>
      </c>
      <c r="B2270" s="35" t="s">
        <v>4774</v>
      </c>
      <c r="C2270" s="35" t="s">
        <v>7758</v>
      </c>
      <c r="D2270" s="35" t="s">
        <v>116</v>
      </c>
      <c r="E2270" s="35" t="s">
        <v>285</v>
      </c>
      <c r="F2270" s="35">
        <v>839.0</v>
      </c>
      <c r="G2270" s="35">
        <v>3.96</v>
      </c>
      <c r="H2270" s="35">
        <v>211.9</v>
      </c>
      <c r="I2270" s="35" t="s">
        <v>62</v>
      </c>
    </row>
    <row r="2271" ht="22.5" customHeight="1">
      <c r="A2271" s="35" t="s">
        <v>4775</v>
      </c>
      <c r="B2271" s="35" t="s">
        <v>4776</v>
      </c>
      <c r="C2271" s="35" t="s">
        <v>7758</v>
      </c>
      <c r="D2271" s="35" t="s">
        <v>191</v>
      </c>
      <c r="E2271" s="35" t="s">
        <v>504</v>
      </c>
      <c r="F2271" s="35">
        <v>260.0</v>
      </c>
      <c r="G2271" s="35">
        <v>3.16</v>
      </c>
      <c r="H2271" s="35">
        <v>82.3</v>
      </c>
      <c r="I2271" s="35" t="s">
        <v>75</v>
      </c>
    </row>
    <row r="2272" ht="22.5" customHeight="1">
      <c r="A2272" s="35" t="s">
        <v>4777</v>
      </c>
      <c r="B2272" s="35" t="s">
        <v>4778</v>
      </c>
      <c r="C2272" s="35" t="s">
        <v>7758</v>
      </c>
      <c r="D2272" s="35" t="s">
        <v>167</v>
      </c>
      <c r="E2272" s="35" t="s">
        <v>447</v>
      </c>
      <c r="F2272" s="35">
        <v>529.0</v>
      </c>
      <c r="G2272" s="35">
        <v>12.72</v>
      </c>
      <c r="H2272" s="35">
        <v>41.6</v>
      </c>
      <c r="I2272" s="35" t="s">
        <v>62</v>
      </c>
    </row>
    <row r="2273" ht="22.5" customHeight="1">
      <c r="A2273" s="35" t="s">
        <v>4779</v>
      </c>
      <c r="B2273" s="35" t="s">
        <v>4780</v>
      </c>
      <c r="C2273" s="35" t="s">
        <v>7758</v>
      </c>
      <c r="D2273" s="35" t="s">
        <v>234</v>
      </c>
      <c r="E2273" s="35" t="s">
        <v>552</v>
      </c>
      <c r="F2273" s="35">
        <v>514.0</v>
      </c>
      <c r="G2273" s="35">
        <v>4.72</v>
      </c>
      <c r="H2273" s="35">
        <v>108.9</v>
      </c>
      <c r="I2273" s="35" t="s">
        <v>62</v>
      </c>
    </row>
    <row r="2274" ht="22.5" customHeight="1">
      <c r="A2274" s="35" t="s">
        <v>4781</v>
      </c>
      <c r="B2274" s="35" t="s">
        <v>4782</v>
      </c>
      <c r="C2274" s="35" t="s">
        <v>7758</v>
      </c>
      <c r="D2274" s="35" t="s">
        <v>234</v>
      </c>
      <c r="E2274" s="35" t="s">
        <v>552</v>
      </c>
      <c r="F2274" s="35">
        <v>254.0</v>
      </c>
      <c r="G2274" s="35">
        <v>3.4</v>
      </c>
      <c r="H2274" s="35">
        <v>74.7</v>
      </c>
      <c r="I2274" s="35" t="s">
        <v>75</v>
      </c>
    </row>
    <row r="2275" ht="22.5" customHeight="1">
      <c r="A2275" s="35" t="s">
        <v>4783</v>
      </c>
      <c r="B2275" s="35" t="s">
        <v>4784</v>
      </c>
      <c r="C2275" s="35" t="s">
        <v>7758</v>
      </c>
      <c r="D2275" s="35" t="s">
        <v>139</v>
      </c>
      <c r="E2275" s="35" t="s">
        <v>354</v>
      </c>
      <c r="F2275" s="35">
        <v>615.0</v>
      </c>
      <c r="G2275" s="35">
        <v>14.53</v>
      </c>
      <c r="H2275" s="35">
        <v>42.3</v>
      </c>
      <c r="I2275" s="35" t="s">
        <v>62</v>
      </c>
    </row>
    <row r="2276" ht="22.5" customHeight="1">
      <c r="A2276" s="35" t="s">
        <v>4785</v>
      </c>
      <c r="B2276" s="35" t="s">
        <v>3291</v>
      </c>
      <c r="C2276" s="35" t="s">
        <v>7758</v>
      </c>
      <c r="D2276" s="35" t="s">
        <v>206</v>
      </c>
      <c r="E2276" s="35" t="s">
        <v>533</v>
      </c>
      <c r="F2276" s="35">
        <v>659.0</v>
      </c>
      <c r="G2276" s="35">
        <v>27.09</v>
      </c>
      <c r="H2276" s="35">
        <v>24.3</v>
      </c>
      <c r="I2276" s="35" t="s">
        <v>62</v>
      </c>
    </row>
    <row r="2277" ht="22.5" customHeight="1">
      <c r="A2277" s="35" t="s">
        <v>4786</v>
      </c>
      <c r="B2277" s="35" t="s">
        <v>4787</v>
      </c>
      <c r="C2277" s="35" t="s">
        <v>7758</v>
      </c>
      <c r="D2277" s="35" t="s">
        <v>191</v>
      </c>
      <c r="E2277" s="35" t="s">
        <v>504</v>
      </c>
      <c r="F2277" s="35">
        <v>637.0</v>
      </c>
      <c r="G2277" s="35">
        <v>10.67</v>
      </c>
      <c r="H2277" s="35">
        <v>59.7</v>
      </c>
      <c r="I2277" s="35" t="s">
        <v>62</v>
      </c>
    </row>
    <row r="2278" ht="22.5" customHeight="1">
      <c r="A2278" s="35" t="s">
        <v>4788</v>
      </c>
      <c r="B2278" s="35" t="s">
        <v>4789</v>
      </c>
      <c r="C2278" s="35" t="s">
        <v>7758</v>
      </c>
      <c r="D2278" s="35" t="s">
        <v>141</v>
      </c>
      <c r="E2278" s="35" t="s">
        <v>220</v>
      </c>
      <c r="F2278" s="35">
        <v>597.0</v>
      </c>
      <c r="G2278" s="35">
        <v>8.56</v>
      </c>
      <c r="H2278" s="35">
        <v>69.7</v>
      </c>
      <c r="I2278" s="35" t="s">
        <v>62</v>
      </c>
    </row>
    <row r="2279" ht="22.5" customHeight="1">
      <c r="A2279" s="35" t="s">
        <v>4790</v>
      </c>
      <c r="B2279" s="35" t="s">
        <v>4791</v>
      </c>
      <c r="C2279" s="35" t="s">
        <v>7758</v>
      </c>
      <c r="D2279" s="35" t="s">
        <v>167</v>
      </c>
      <c r="E2279" s="35" t="s">
        <v>447</v>
      </c>
      <c r="F2279" s="35">
        <v>68.0</v>
      </c>
      <c r="G2279" s="35">
        <v>1.74</v>
      </c>
      <c r="H2279" s="35">
        <v>39.1</v>
      </c>
      <c r="I2279" s="35" t="s">
        <v>75</v>
      </c>
    </row>
    <row r="2280" ht="22.5" customHeight="1">
      <c r="A2280" s="35" t="s">
        <v>4792</v>
      </c>
      <c r="B2280" s="35" t="s">
        <v>4793</v>
      </c>
      <c r="C2280" s="35" t="s">
        <v>7758</v>
      </c>
      <c r="D2280" s="35" t="s">
        <v>206</v>
      </c>
      <c r="E2280" s="35" t="s">
        <v>533</v>
      </c>
      <c r="F2280" s="35">
        <v>578.0</v>
      </c>
      <c r="G2280" s="35">
        <v>9.22</v>
      </c>
      <c r="H2280" s="35">
        <v>62.7</v>
      </c>
      <c r="I2280" s="35" t="s">
        <v>62</v>
      </c>
    </row>
    <row r="2281" ht="22.5" customHeight="1">
      <c r="A2281" s="35" t="s">
        <v>4794</v>
      </c>
      <c r="B2281" s="35" t="s">
        <v>4795</v>
      </c>
      <c r="C2281" s="35" t="s">
        <v>7758</v>
      </c>
      <c r="D2281" s="35" t="s">
        <v>132</v>
      </c>
      <c r="E2281" s="35" t="s">
        <v>346</v>
      </c>
      <c r="F2281" s="35">
        <v>40539.0</v>
      </c>
      <c r="G2281" s="35">
        <v>7.79</v>
      </c>
      <c r="H2281" s="35">
        <v>5204.0</v>
      </c>
      <c r="I2281" s="35" t="s">
        <v>571</v>
      </c>
    </row>
    <row r="2282" ht="22.5" customHeight="1">
      <c r="A2282" s="35" t="s">
        <v>4796</v>
      </c>
      <c r="B2282" s="35" t="s">
        <v>4797</v>
      </c>
      <c r="C2282" s="35" t="s">
        <v>7758</v>
      </c>
      <c r="D2282" s="35" t="s">
        <v>223</v>
      </c>
      <c r="E2282" s="35" t="s">
        <v>380</v>
      </c>
      <c r="F2282" s="35">
        <v>788.0</v>
      </c>
      <c r="G2282" s="35">
        <v>8.1</v>
      </c>
      <c r="H2282" s="35">
        <v>97.3</v>
      </c>
      <c r="I2282" s="35" t="s">
        <v>62</v>
      </c>
    </row>
    <row r="2283" ht="22.5" customHeight="1">
      <c r="A2283" s="35" t="s">
        <v>4798</v>
      </c>
      <c r="B2283" s="35" t="s">
        <v>4799</v>
      </c>
      <c r="C2283" s="35" t="s">
        <v>7758</v>
      </c>
      <c r="D2283" s="35" t="s">
        <v>118</v>
      </c>
      <c r="E2283" s="35" t="s">
        <v>300</v>
      </c>
      <c r="F2283" s="35">
        <v>568.0</v>
      </c>
      <c r="G2283" s="35">
        <v>4.03</v>
      </c>
      <c r="H2283" s="35">
        <v>140.9</v>
      </c>
      <c r="I2283" s="35" t="s">
        <v>62</v>
      </c>
    </row>
    <row r="2284" ht="22.5" customHeight="1">
      <c r="A2284" s="35" t="s">
        <v>4800</v>
      </c>
      <c r="B2284" s="35" t="s">
        <v>4801</v>
      </c>
      <c r="C2284" s="35" t="s">
        <v>7758</v>
      </c>
      <c r="D2284" s="35" t="s">
        <v>206</v>
      </c>
      <c r="E2284" s="35" t="s">
        <v>533</v>
      </c>
      <c r="F2284" s="35">
        <v>239.0</v>
      </c>
      <c r="G2284" s="35">
        <v>5.0</v>
      </c>
      <c r="H2284" s="35">
        <v>47.8</v>
      </c>
      <c r="I2284" s="35" t="s">
        <v>75</v>
      </c>
    </row>
    <row r="2285" ht="22.5" customHeight="1">
      <c r="A2285" s="35" t="s">
        <v>4802</v>
      </c>
      <c r="B2285" s="35" t="s">
        <v>4803</v>
      </c>
      <c r="C2285" s="35" t="s">
        <v>7758</v>
      </c>
      <c r="D2285" s="35" t="s">
        <v>219</v>
      </c>
      <c r="E2285" s="35" t="s">
        <v>377</v>
      </c>
      <c r="F2285" s="35">
        <v>1156.0</v>
      </c>
      <c r="G2285" s="35">
        <v>12.2</v>
      </c>
      <c r="H2285" s="35">
        <v>94.8</v>
      </c>
      <c r="I2285" s="35" t="s">
        <v>62</v>
      </c>
    </row>
    <row r="2286" ht="22.5" customHeight="1">
      <c r="A2286" s="35" t="s">
        <v>4804</v>
      </c>
      <c r="B2286" s="35" t="s">
        <v>4805</v>
      </c>
      <c r="C2286" s="35" t="s">
        <v>7758</v>
      </c>
      <c r="D2286" s="35" t="s">
        <v>150</v>
      </c>
      <c r="E2286" s="35" t="s">
        <v>411</v>
      </c>
      <c r="F2286" s="35">
        <v>223.0</v>
      </c>
      <c r="G2286" s="35">
        <v>8.78</v>
      </c>
      <c r="H2286" s="35">
        <v>25.4</v>
      </c>
      <c r="I2286" s="35" t="s">
        <v>75</v>
      </c>
    </row>
    <row r="2287" ht="22.5" customHeight="1">
      <c r="A2287" s="35" t="s">
        <v>4806</v>
      </c>
      <c r="B2287" s="35" t="s">
        <v>4807</v>
      </c>
      <c r="C2287" s="35" t="s">
        <v>7758</v>
      </c>
      <c r="D2287" s="35" t="s">
        <v>206</v>
      </c>
      <c r="E2287" s="35" t="s">
        <v>533</v>
      </c>
      <c r="F2287" s="35">
        <v>582.0</v>
      </c>
      <c r="G2287" s="35">
        <v>12.02</v>
      </c>
      <c r="H2287" s="35">
        <v>48.4</v>
      </c>
      <c r="I2287" s="35" t="s">
        <v>62</v>
      </c>
    </row>
    <row r="2288" ht="22.5" customHeight="1">
      <c r="A2288" s="35" t="s">
        <v>4808</v>
      </c>
      <c r="B2288" s="35" t="s">
        <v>4809</v>
      </c>
      <c r="C2288" s="35" t="s">
        <v>7758</v>
      </c>
      <c r="D2288" s="35" t="s">
        <v>223</v>
      </c>
      <c r="E2288" s="35" t="s">
        <v>380</v>
      </c>
      <c r="F2288" s="35">
        <v>236.0</v>
      </c>
      <c r="G2288" s="35">
        <v>7.65</v>
      </c>
      <c r="H2288" s="35">
        <v>30.8</v>
      </c>
      <c r="I2288" s="35" t="s">
        <v>75</v>
      </c>
    </row>
    <row r="2289" ht="22.5" customHeight="1">
      <c r="A2289" s="35" t="s">
        <v>4810</v>
      </c>
      <c r="B2289" s="35" t="s">
        <v>4811</v>
      </c>
      <c r="C2289" s="35" t="s">
        <v>7758</v>
      </c>
      <c r="D2289" s="35" t="s">
        <v>187</v>
      </c>
      <c r="E2289" s="35" t="s">
        <v>488</v>
      </c>
      <c r="F2289" s="35">
        <v>860.0</v>
      </c>
      <c r="G2289" s="35">
        <v>22.36</v>
      </c>
      <c r="H2289" s="35">
        <v>38.5</v>
      </c>
      <c r="I2289" s="35" t="s">
        <v>62</v>
      </c>
    </row>
    <row r="2290" ht="22.5" customHeight="1">
      <c r="A2290" s="35" t="s">
        <v>4812</v>
      </c>
      <c r="B2290" s="35" t="s">
        <v>4813</v>
      </c>
      <c r="C2290" s="35" t="s">
        <v>7758</v>
      </c>
      <c r="D2290" s="35" t="s">
        <v>191</v>
      </c>
      <c r="E2290" s="35" t="s">
        <v>504</v>
      </c>
      <c r="F2290" s="35">
        <v>260.0</v>
      </c>
      <c r="G2290" s="35">
        <v>6.39</v>
      </c>
      <c r="H2290" s="35">
        <v>40.7</v>
      </c>
      <c r="I2290" s="35" t="s">
        <v>75</v>
      </c>
    </row>
    <row r="2291" ht="22.5" customHeight="1">
      <c r="A2291" s="35" t="s">
        <v>4814</v>
      </c>
      <c r="B2291" s="35" t="s">
        <v>4815</v>
      </c>
      <c r="C2291" s="35" t="s">
        <v>7758</v>
      </c>
      <c r="D2291" s="35" t="s">
        <v>127</v>
      </c>
      <c r="E2291" s="35" t="s">
        <v>323</v>
      </c>
      <c r="F2291" s="35">
        <v>2398.0</v>
      </c>
      <c r="G2291" s="35">
        <v>9.12</v>
      </c>
      <c r="H2291" s="35">
        <v>262.9</v>
      </c>
      <c r="I2291" s="35" t="s">
        <v>142</v>
      </c>
    </row>
    <row r="2292" ht="22.5" customHeight="1">
      <c r="A2292" s="35" t="s">
        <v>4816</v>
      </c>
      <c r="B2292" s="35" t="s">
        <v>4817</v>
      </c>
      <c r="C2292" s="35" t="s">
        <v>7758</v>
      </c>
      <c r="D2292" s="35" t="s">
        <v>206</v>
      </c>
      <c r="E2292" s="35" t="s">
        <v>533</v>
      </c>
      <c r="F2292" s="35">
        <v>147.0</v>
      </c>
      <c r="G2292" s="35">
        <v>5.45</v>
      </c>
      <c r="H2292" s="35">
        <v>27.0</v>
      </c>
      <c r="I2292" s="35" t="s">
        <v>75</v>
      </c>
    </row>
    <row r="2293" ht="22.5" customHeight="1">
      <c r="A2293" s="35" t="s">
        <v>4818</v>
      </c>
      <c r="B2293" s="35" t="s">
        <v>4819</v>
      </c>
      <c r="C2293" s="35" t="s">
        <v>7758</v>
      </c>
      <c r="D2293" s="35" t="s">
        <v>234</v>
      </c>
      <c r="E2293" s="35" t="s">
        <v>552</v>
      </c>
      <c r="F2293" s="35">
        <v>366.0</v>
      </c>
      <c r="G2293" s="35">
        <v>4.12</v>
      </c>
      <c r="H2293" s="35">
        <v>88.8</v>
      </c>
      <c r="I2293" s="35" t="s">
        <v>75</v>
      </c>
    </row>
    <row r="2294" ht="22.5" customHeight="1">
      <c r="A2294" s="35" t="s">
        <v>4820</v>
      </c>
      <c r="B2294" s="35" t="s">
        <v>4821</v>
      </c>
      <c r="C2294" s="35" t="s">
        <v>7758</v>
      </c>
      <c r="D2294" s="35" t="s">
        <v>219</v>
      </c>
      <c r="E2294" s="35" t="s">
        <v>377</v>
      </c>
      <c r="F2294" s="35">
        <v>5283.0</v>
      </c>
      <c r="G2294" s="35">
        <v>10.76</v>
      </c>
      <c r="H2294" s="35">
        <v>491.0</v>
      </c>
      <c r="I2294" s="35" t="s">
        <v>142</v>
      </c>
    </row>
    <row r="2295" ht="22.5" customHeight="1">
      <c r="A2295" s="35" t="s">
        <v>4822</v>
      </c>
      <c r="B2295" s="35" t="s">
        <v>4823</v>
      </c>
      <c r="C2295" s="35" t="s">
        <v>7758</v>
      </c>
      <c r="D2295" s="35" t="s">
        <v>223</v>
      </c>
      <c r="E2295" s="35" t="s">
        <v>380</v>
      </c>
      <c r="F2295" s="35">
        <v>1324.0</v>
      </c>
      <c r="G2295" s="35">
        <v>7.3</v>
      </c>
      <c r="H2295" s="35">
        <v>181.4</v>
      </c>
      <c r="I2295" s="35" t="s">
        <v>62</v>
      </c>
    </row>
    <row r="2296" ht="22.5" customHeight="1">
      <c r="A2296" s="35" t="s">
        <v>4824</v>
      </c>
      <c r="B2296" s="35" t="s">
        <v>4825</v>
      </c>
      <c r="C2296" s="35" t="s">
        <v>7758</v>
      </c>
      <c r="D2296" s="35" t="s">
        <v>167</v>
      </c>
      <c r="E2296" s="35" t="s">
        <v>447</v>
      </c>
      <c r="F2296" s="35">
        <v>156.0</v>
      </c>
      <c r="G2296" s="35">
        <v>3.05</v>
      </c>
      <c r="H2296" s="35">
        <v>51.1</v>
      </c>
      <c r="I2296" s="35" t="s">
        <v>75</v>
      </c>
    </row>
    <row r="2297" ht="22.5" customHeight="1">
      <c r="A2297" s="35" t="s">
        <v>4826</v>
      </c>
      <c r="B2297" s="35" t="s">
        <v>4827</v>
      </c>
      <c r="C2297" s="35" t="s">
        <v>7758</v>
      </c>
      <c r="D2297" s="35" t="s">
        <v>128</v>
      </c>
      <c r="E2297" s="35" t="s">
        <v>338</v>
      </c>
      <c r="F2297" s="35">
        <v>634.0</v>
      </c>
      <c r="G2297" s="35">
        <v>7.27</v>
      </c>
      <c r="H2297" s="35">
        <v>87.2</v>
      </c>
      <c r="I2297" s="35" t="s">
        <v>62</v>
      </c>
    </row>
    <row r="2298" ht="22.5" customHeight="1">
      <c r="A2298" s="35" t="s">
        <v>4828</v>
      </c>
      <c r="B2298" s="35" t="s">
        <v>4829</v>
      </c>
      <c r="C2298" s="35" t="s">
        <v>7758</v>
      </c>
      <c r="D2298" s="35" t="s">
        <v>167</v>
      </c>
      <c r="E2298" s="35" t="s">
        <v>447</v>
      </c>
      <c r="F2298" s="35">
        <v>868.0</v>
      </c>
      <c r="G2298" s="35">
        <v>10.68</v>
      </c>
      <c r="H2298" s="35">
        <v>81.3</v>
      </c>
      <c r="I2298" s="35" t="s">
        <v>62</v>
      </c>
    </row>
    <row r="2299" ht="22.5" customHeight="1">
      <c r="A2299" s="35" t="s">
        <v>4830</v>
      </c>
      <c r="B2299" s="35" t="s">
        <v>4831</v>
      </c>
      <c r="C2299" s="35" t="s">
        <v>7758</v>
      </c>
      <c r="D2299" s="35" t="s">
        <v>118</v>
      </c>
      <c r="E2299" s="35" t="s">
        <v>300</v>
      </c>
      <c r="F2299" s="35">
        <v>21424.0</v>
      </c>
      <c r="G2299" s="35">
        <v>16.43</v>
      </c>
      <c r="H2299" s="35">
        <v>1304.0</v>
      </c>
      <c r="I2299" s="35" t="s">
        <v>571</v>
      </c>
    </row>
    <row r="2300" ht="22.5" customHeight="1">
      <c r="A2300" s="35" t="s">
        <v>4832</v>
      </c>
      <c r="B2300" s="35" t="s">
        <v>4833</v>
      </c>
      <c r="C2300" s="35" t="s">
        <v>7758</v>
      </c>
      <c r="D2300" s="35" t="s">
        <v>150</v>
      </c>
      <c r="E2300" s="35" t="s">
        <v>411</v>
      </c>
      <c r="F2300" s="35">
        <v>387.0</v>
      </c>
      <c r="G2300" s="35">
        <v>6.19</v>
      </c>
      <c r="H2300" s="35">
        <v>62.5</v>
      </c>
      <c r="I2300" s="35" t="s">
        <v>75</v>
      </c>
    </row>
    <row r="2301" ht="22.5" customHeight="1">
      <c r="A2301" s="35" t="s">
        <v>4834</v>
      </c>
      <c r="B2301" s="35" t="s">
        <v>4835</v>
      </c>
      <c r="C2301" s="35" t="s">
        <v>7758</v>
      </c>
      <c r="D2301" s="35" t="s">
        <v>206</v>
      </c>
      <c r="E2301" s="35" t="s">
        <v>533</v>
      </c>
      <c r="F2301" s="35">
        <v>295.0</v>
      </c>
      <c r="G2301" s="35">
        <v>7.75</v>
      </c>
      <c r="H2301" s="35">
        <v>38.1</v>
      </c>
      <c r="I2301" s="35" t="s">
        <v>75</v>
      </c>
    </row>
    <row r="2302" ht="22.5" customHeight="1">
      <c r="A2302" s="35" t="s">
        <v>4836</v>
      </c>
      <c r="B2302" s="35" t="s">
        <v>4837</v>
      </c>
      <c r="C2302" s="35" t="s">
        <v>7758</v>
      </c>
      <c r="D2302" s="35" t="s">
        <v>204</v>
      </c>
      <c r="E2302" s="35" t="s">
        <v>527</v>
      </c>
      <c r="F2302" s="35">
        <v>1503.0</v>
      </c>
      <c r="G2302" s="35">
        <v>20.76</v>
      </c>
      <c r="H2302" s="35">
        <v>72.4</v>
      </c>
      <c r="I2302" s="35" t="s">
        <v>62</v>
      </c>
    </row>
    <row r="2303" ht="22.5" customHeight="1">
      <c r="A2303" s="35" t="s">
        <v>4838</v>
      </c>
      <c r="B2303" s="35" t="s">
        <v>4839</v>
      </c>
      <c r="C2303" s="35" t="s">
        <v>7758</v>
      </c>
      <c r="D2303" s="35" t="s">
        <v>206</v>
      </c>
      <c r="E2303" s="35" t="s">
        <v>533</v>
      </c>
      <c r="F2303" s="35">
        <v>237.0</v>
      </c>
      <c r="G2303" s="35">
        <v>11.57</v>
      </c>
      <c r="H2303" s="35">
        <v>20.5</v>
      </c>
      <c r="I2303" s="35" t="s">
        <v>75</v>
      </c>
    </row>
    <row r="2304" ht="22.5" customHeight="1">
      <c r="A2304" s="35" t="s">
        <v>4840</v>
      </c>
      <c r="B2304" s="35" t="s">
        <v>4841</v>
      </c>
      <c r="C2304" s="35" t="s">
        <v>7758</v>
      </c>
      <c r="D2304" s="35" t="s">
        <v>167</v>
      </c>
      <c r="E2304" s="35" t="s">
        <v>447</v>
      </c>
      <c r="F2304" s="35">
        <v>753.0</v>
      </c>
      <c r="G2304" s="35">
        <v>13.41</v>
      </c>
      <c r="H2304" s="35">
        <v>56.2</v>
      </c>
      <c r="I2304" s="35" t="s">
        <v>62</v>
      </c>
    </row>
    <row r="2305" ht="22.5" customHeight="1">
      <c r="A2305" s="35" t="s">
        <v>4842</v>
      </c>
      <c r="B2305" s="35" t="s">
        <v>4843</v>
      </c>
      <c r="C2305" s="35" t="s">
        <v>7758</v>
      </c>
      <c r="D2305" s="35" t="s">
        <v>219</v>
      </c>
      <c r="E2305" s="35" t="s">
        <v>377</v>
      </c>
      <c r="F2305" s="35">
        <v>284.0</v>
      </c>
      <c r="G2305" s="35">
        <v>6.88</v>
      </c>
      <c r="H2305" s="35">
        <v>41.3</v>
      </c>
      <c r="I2305" s="35" t="s">
        <v>75</v>
      </c>
    </row>
    <row r="2306" ht="22.5" customHeight="1">
      <c r="A2306" s="35" t="s">
        <v>4844</v>
      </c>
      <c r="B2306" s="35" t="s">
        <v>4845</v>
      </c>
      <c r="C2306" s="35" t="s">
        <v>7758</v>
      </c>
      <c r="D2306" s="35" t="s">
        <v>204</v>
      </c>
      <c r="E2306" s="35" t="s">
        <v>527</v>
      </c>
      <c r="F2306" s="35">
        <v>225.0</v>
      </c>
      <c r="G2306" s="35">
        <v>6.37</v>
      </c>
      <c r="H2306" s="35">
        <v>35.3</v>
      </c>
      <c r="I2306" s="35" t="s">
        <v>75</v>
      </c>
    </row>
    <row r="2307" ht="22.5" customHeight="1">
      <c r="A2307" s="35" t="s">
        <v>4846</v>
      </c>
      <c r="B2307" s="35" t="s">
        <v>4847</v>
      </c>
      <c r="C2307" s="35" t="s">
        <v>7758</v>
      </c>
      <c r="D2307" s="35" t="s">
        <v>127</v>
      </c>
      <c r="E2307" s="35" t="s">
        <v>323</v>
      </c>
      <c r="F2307" s="35">
        <v>12146.0</v>
      </c>
      <c r="G2307" s="35">
        <v>7.81</v>
      </c>
      <c r="H2307" s="35">
        <v>1555.2</v>
      </c>
      <c r="I2307" s="35" t="s">
        <v>571</v>
      </c>
    </row>
    <row r="2308" ht="22.5" customHeight="1">
      <c r="A2308" s="35" t="s">
        <v>4848</v>
      </c>
      <c r="B2308" s="35" t="s">
        <v>4849</v>
      </c>
      <c r="C2308" s="35" t="s">
        <v>7758</v>
      </c>
      <c r="D2308" s="35" t="s">
        <v>206</v>
      </c>
      <c r="E2308" s="35" t="s">
        <v>533</v>
      </c>
      <c r="F2308" s="35">
        <v>172.0</v>
      </c>
      <c r="G2308" s="35">
        <v>3.81</v>
      </c>
      <c r="H2308" s="35">
        <v>45.1</v>
      </c>
      <c r="I2308" s="35" t="s">
        <v>75</v>
      </c>
    </row>
    <row r="2309" ht="22.5" customHeight="1">
      <c r="A2309" s="35" t="s">
        <v>4850</v>
      </c>
      <c r="B2309" s="35" t="s">
        <v>4851</v>
      </c>
      <c r="C2309" s="35" t="s">
        <v>7758</v>
      </c>
      <c r="D2309" s="35" t="s">
        <v>118</v>
      </c>
      <c r="E2309" s="35" t="s">
        <v>300</v>
      </c>
      <c r="F2309" s="35">
        <v>2834.0</v>
      </c>
      <c r="G2309" s="35">
        <v>5.52</v>
      </c>
      <c r="H2309" s="35">
        <v>513.4</v>
      </c>
      <c r="I2309" s="35" t="s">
        <v>142</v>
      </c>
    </row>
    <row r="2310" ht="22.5" customHeight="1">
      <c r="A2310" s="35" t="s">
        <v>4852</v>
      </c>
      <c r="B2310" s="35" t="s">
        <v>4853</v>
      </c>
      <c r="C2310" s="35" t="s">
        <v>7758</v>
      </c>
      <c r="D2310" s="35" t="s">
        <v>204</v>
      </c>
      <c r="E2310" s="35" t="s">
        <v>527</v>
      </c>
      <c r="F2310" s="35">
        <v>132.0</v>
      </c>
      <c r="G2310" s="35">
        <v>3.24</v>
      </c>
      <c r="H2310" s="35">
        <v>40.7</v>
      </c>
      <c r="I2310" s="35" t="s">
        <v>75</v>
      </c>
    </row>
    <row r="2311" ht="22.5" customHeight="1">
      <c r="A2311" s="35" t="s">
        <v>4854</v>
      </c>
      <c r="B2311" s="35" t="s">
        <v>4855</v>
      </c>
      <c r="C2311" s="35" t="s">
        <v>7758</v>
      </c>
      <c r="D2311" s="35" t="s">
        <v>118</v>
      </c>
      <c r="E2311" s="35" t="s">
        <v>300</v>
      </c>
      <c r="F2311" s="35">
        <v>1243.0</v>
      </c>
      <c r="G2311" s="35">
        <v>9.52</v>
      </c>
      <c r="H2311" s="35">
        <v>130.6</v>
      </c>
      <c r="I2311" s="35" t="s">
        <v>62</v>
      </c>
    </row>
    <row r="2312" ht="22.5" customHeight="1">
      <c r="A2312" s="35" t="s">
        <v>4856</v>
      </c>
      <c r="B2312" s="35" t="s">
        <v>4857</v>
      </c>
      <c r="C2312" s="35" t="s">
        <v>7758</v>
      </c>
      <c r="D2312" s="35" t="s">
        <v>223</v>
      </c>
      <c r="E2312" s="35" t="s">
        <v>380</v>
      </c>
      <c r="F2312" s="35">
        <v>734.0</v>
      </c>
      <c r="G2312" s="35">
        <v>4.8</v>
      </c>
      <c r="H2312" s="35">
        <v>152.9</v>
      </c>
      <c r="I2312" s="35" t="s">
        <v>62</v>
      </c>
    </row>
    <row r="2313" ht="22.5" customHeight="1">
      <c r="A2313" s="35" t="s">
        <v>4858</v>
      </c>
      <c r="B2313" s="35" t="s">
        <v>4859</v>
      </c>
      <c r="C2313" s="35" t="s">
        <v>7758</v>
      </c>
      <c r="D2313" s="35" t="s">
        <v>219</v>
      </c>
      <c r="E2313" s="35" t="s">
        <v>377</v>
      </c>
      <c r="F2313" s="35">
        <v>421.0</v>
      </c>
      <c r="G2313" s="35">
        <v>9.53</v>
      </c>
      <c r="H2313" s="35">
        <v>44.2</v>
      </c>
      <c r="I2313" s="35" t="s">
        <v>75</v>
      </c>
    </row>
    <row r="2314" ht="22.5" customHeight="1">
      <c r="A2314" s="35" t="s">
        <v>4860</v>
      </c>
      <c r="B2314" s="35" t="s">
        <v>4861</v>
      </c>
      <c r="C2314" s="35" t="s">
        <v>7758</v>
      </c>
      <c r="D2314" s="35" t="s">
        <v>141</v>
      </c>
      <c r="E2314" s="35" t="s">
        <v>220</v>
      </c>
      <c r="F2314" s="35">
        <v>67571.0</v>
      </c>
      <c r="G2314" s="35">
        <v>36.8</v>
      </c>
      <c r="H2314" s="35">
        <v>1836.2</v>
      </c>
      <c r="I2314" s="35" t="s">
        <v>7463</v>
      </c>
    </row>
    <row r="2315" ht="22.5" customHeight="1">
      <c r="A2315" s="35" t="s">
        <v>4862</v>
      </c>
      <c r="B2315" s="35" t="s">
        <v>4863</v>
      </c>
      <c r="C2315" s="35" t="s">
        <v>7758</v>
      </c>
      <c r="D2315" s="35" t="s">
        <v>118</v>
      </c>
      <c r="E2315" s="35" t="s">
        <v>300</v>
      </c>
      <c r="F2315" s="35">
        <v>5369.0</v>
      </c>
      <c r="G2315" s="35">
        <v>4.61</v>
      </c>
      <c r="H2315" s="35">
        <v>1164.6</v>
      </c>
      <c r="I2315" s="35" t="s">
        <v>142</v>
      </c>
    </row>
    <row r="2316" ht="22.5" customHeight="1">
      <c r="A2316" s="35" t="s">
        <v>4864</v>
      </c>
      <c r="B2316" s="35" t="s">
        <v>4865</v>
      </c>
      <c r="C2316" s="35" t="s">
        <v>7758</v>
      </c>
      <c r="D2316" s="35" t="s">
        <v>118</v>
      </c>
      <c r="E2316" s="35" t="s">
        <v>300</v>
      </c>
      <c r="F2316" s="35">
        <v>1595.0</v>
      </c>
      <c r="G2316" s="35">
        <v>10.91</v>
      </c>
      <c r="H2316" s="35">
        <v>146.2</v>
      </c>
      <c r="I2316" s="35" t="s">
        <v>62</v>
      </c>
    </row>
    <row r="2317" ht="22.5" customHeight="1">
      <c r="A2317" s="35" t="s">
        <v>4866</v>
      </c>
      <c r="B2317" s="35" t="s">
        <v>4867</v>
      </c>
      <c r="C2317" s="35" t="s">
        <v>7758</v>
      </c>
      <c r="D2317" s="35" t="s">
        <v>128</v>
      </c>
      <c r="E2317" s="35" t="s">
        <v>338</v>
      </c>
      <c r="F2317" s="35">
        <v>582.0</v>
      </c>
      <c r="G2317" s="35">
        <v>9.47</v>
      </c>
      <c r="H2317" s="35">
        <v>61.5</v>
      </c>
      <c r="I2317" s="35" t="s">
        <v>62</v>
      </c>
    </row>
    <row r="2318" ht="22.5" customHeight="1">
      <c r="A2318" s="35" t="s">
        <v>4868</v>
      </c>
      <c r="B2318" s="35" t="s">
        <v>4869</v>
      </c>
      <c r="C2318" s="35" t="s">
        <v>7758</v>
      </c>
      <c r="D2318" s="35" t="s">
        <v>118</v>
      </c>
      <c r="E2318" s="35" t="s">
        <v>300</v>
      </c>
      <c r="F2318" s="35">
        <v>1762.0</v>
      </c>
      <c r="G2318" s="35">
        <v>9.91</v>
      </c>
      <c r="H2318" s="35">
        <v>177.8</v>
      </c>
      <c r="I2318" s="35" t="s">
        <v>62</v>
      </c>
    </row>
    <row r="2319" ht="22.5" customHeight="1">
      <c r="A2319" s="35" t="s">
        <v>4870</v>
      </c>
      <c r="B2319" s="35" t="s">
        <v>4871</v>
      </c>
      <c r="C2319" s="35" t="s">
        <v>7758</v>
      </c>
      <c r="D2319" s="35" t="s">
        <v>169</v>
      </c>
      <c r="E2319" s="35" t="s">
        <v>449</v>
      </c>
      <c r="F2319" s="35">
        <v>352.0</v>
      </c>
      <c r="G2319" s="35">
        <v>4.73</v>
      </c>
      <c r="H2319" s="35">
        <v>74.4</v>
      </c>
      <c r="I2319" s="35" t="s">
        <v>75</v>
      </c>
    </row>
    <row r="2320" ht="22.5" customHeight="1">
      <c r="A2320" s="35" t="s">
        <v>4872</v>
      </c>
      <c r="B2320" s="35" t="s">
        <v>4873</v>
      </c>
      <c r="C2320" s="35" t="s">
        <v>7758</v>
      </c>
      <c r="D2320" s="35" t="s">
        <v>169</v>
      </c>
      <c r="E2320" s="35" t="s">
        <v>449</v>
      </c>
      <c r="F2320" s="35">
        <v>683.0</v>
      </c>
      <c r="G2320" s="35">
        <v>5.62</v>
      </c>
      <c r="H2320" s="35">
        <v>121.5</v>
      </c>
      <c r="I2320" s="35" t="s">
        <v>62</v>
      </c>
    </row>
    <row r="2321" ht="22.5" customHeight="1">
      <c r="A2321" s="35" t="s">
        <v>4874</v>
      </c>
      <c r="B2321" s="35" t="s">
        <v>4875</v>
      </c>
      <c r="C2321" s="35" t="s">
        <v>7758</v>
      </c>
      <c r="D2321" s="35" t="s">
        <v>118</v>
      </c>
      <c r="E2321" s="35" t="s">
        <v>300</v>
      </c>
      <c r="F2321" s="35">
        <v>1263.0</v>
      </c>
      <c r="G2321" s="35">
        <v>1.78</v>
      </c>
      <c r="H2321" s="35">
        <v>709.6</v>
      </c>
      <c r="I2321" s="35" t="s">
        <v>62</v>
      </c>
    </row>
    <row r="2322" ht="22.5" customHeight="1">
      <c r="A2322" s="35" t="s">
        <v>4876</v>
      </c>
      <c r="B2322" s="35" t="s">
        <v>4877</v>
      </c>
      <c r="C2322" s="35" t="s">
        <v>7758</v>
      </c>
      <c r="D2322" s="35" t="s">
        <v>128</v>
      </c>
      <c r="E2322" s="35" t="s">
        <v>338</v>
      </c>
      <c r="F2322" s="35">
        <v>2582.0</v>
      </c>
      <c r="G2322" s="35">
        <v>16.06</v>
      </c>
      <c r="H2322" s="35">
        <v>160.8</v>
      </c>
      <c r="I2322" s="35" t="s">
        <v>142</v>
      </c>
    </row>
    <row r="2323" ht="22.5" customHeight="1">
      <c r="A2323" s="35" t="s">
        <v>4878</v>
      </c>
      <c r="B2323" s="35" t="s">
        <v>4879</v>
      </c>
      <c r="C2323" s="35" t="s">
        <v>7758</v>
      </c>
      <c r="D2323" s="35" t="s">
        <v>187</v>
      </c>
      <c r="E2323" s="35" t="s">
        <v>488</v>
      </c>
      <c r="F2323" s="35">
        <v>669.0</v>
      </c>
      <c r="G2323" s="35">
        <v>13.32</v>
      </c>
      <c r="H2323" s="35">
        <v>50.2</v>
      </c>
      <c r="I2323" s="35" t="s">
        <v>62</v>
      </c>
    </row>
    <row r="2324" ht="22.5" customHeight="1">
      <c r="A2324" s="35" t="s">
        <v>4880</v>
      </c>
      <c r="B2324" s="35" t="s">
        <v>4881</v>
      </c>
      <c r="C2324" s="35" t="s">
        <v>7758</v>
      </c>
      <c r="D2324" s="35" t="s">
        <v>223</v>
      </c>
      <c r="E2324" s="35" t="s">
        <v>380</v>
      </c>
      <c r="F2324" s="35">
        <v>407.0</v>
      </c>
      <c r="G2324" s="35">
        <v>5.72</v>
      </c>
      <c r="H2324" s="35">
        <v>71.2</v>
      </c>
      <c r="I2324" s="35" t="s">
        <v>75</v>
      </c>
    </row>
    <row r="2325" ht="22.5" customHeight="1">
      <c r="A2325" s="35" t="s">
        <v>4882</v>
      </c>
      <c r="B2325" s="35" t="s">
        <v>4883</v>
      </c>
      <c r="C2325" s="35" t="s">
        <v>7758</v>
      </c>
      <c r="D2325" s="35" t="s">
        <v>167</v>
      </c>
      <c r="E2325" s="35" t="s">
        <v>447</v>
      </c>
      <c r="F2325" s="35">
        <v>1943.0</v>
      </c>
      <c r="G2325" s="35">
        <v>15.67</v>
      </c>
      <c r="H2325" s="35">
        <v>124.0</v>
      </c>
      <c r="I2325" s="35" t="s">
        <v>62</v>
      </c>
    </row>
    <row r="2326" ht="22.5" customHeight="1">
      <c r="A2326" s="35" t="s">
        <v>4884</v>
      </c>
      <c r="B2326" s="35" t="s">
        <v>4885</v>
      </c>
      <c r="C2326" s="35" t="s">
        <v>7758</v>
      </c>
      <c r="D2326" s="35" t="s">
        <v>139</v>
      </c>
      <c r="E2326" s="35" t="s">
        <v>354</v>
      </c>
      <c r="F2326" s="35">
        <v>1301.0</v>
      </c>
      <c r="G2326" s="35">
        <v>4.66</v>
      </c>
      <c r="H2326" s="35">
        <v>279.2</v>
      </c>
      <c r="I2326" s="35" t="s">
        <v>62</v>
      </c>
    </row>
    <row r="2327" ht="22.5" customHeight="1">
      <c r="A2327" s="35" t="s">
        <v>4886</v>
      </c>
      <c r="B2327" s="35" t="s">
        <v>4887</v>
      </c>
      <c r="C2327" s="35" t="s">
        <v>7758</v>
      </c>
      <c r="D2327" s="35" t="s">
        <v>128</v>
      </c>
      <c r="E2327" s="35" t="s">
        <v>338</v>
      </c>
      <c r="F2327" s="35">
        <v>295.0</v>
      </c>
      <c r="G2327" s="35">
        <v>5.36</v>
      </c>
      <c r="H2327" s="35">
        <v>55.0</v>
      </c>
      <c r="I2327" s="35" t="s">
        <v>75</v>
      </c>
    </row>
    <row r="2328" ht="22.5" customHeight="1">
      <c r="A2328" s="35" t="s">
        <v>4888</v>
      </c>
      <c r="B2328" s="35" t="s">
        <v>4889</v>
      </c>
      <c r="C2328" s="35" t="s">
        <v>7758</v>
      </c>
      <c r="D2328" s="35" t="s">
        <v>128</v>
      </c>
      <c r="E2328" s="35" t="s">
        <v>338</v>
      </c>
      <c r="F2328" s="35">
        <v>521.0</v>
      </c>
      <c r="G2328" s="35">
        <v>6.21</v>
      </c>
      <c r="H2328" s="35">
        <v>83.9</v>
      </c>
      <c r="I2328" s="35" t="s">
        <v>62</v>
      </c>
    </row>
    <row r="2329" ht="22.5" customHeight="1">
      <c r="A2329" s="35" t="s">
        <v>4890</v>
      </c>
      <c r="B2329" s="35" t="s">
        <v>4891</v>
      </c>
      <c r="C2329" s="35" t="s">
        <v>7758</v>
      </c>
      <c r="D2329" s="35" t="s">
        <v>169</v>
      </c>
      <c r="E2329" s="35" t="s">
        <v>449</v>
      </c>
      <c r="F2329" s="35">
        <v>66.0</v>
      </c>
      <c r="G2329" s="35">
        <v>1.77</v>
      </c>
      <c r="H2329" s="35">
        <v>37.3</v>
      </c>
      <c r="I2329" s="35" t="s">
        <v>75</v>
      </c>
    </row>
    <row r="2330" ht="22.5" customHeight="1">
      <c r="A2330" s="35" t="s">
        <v>4892</v>
      </c>
      <c r="B2330" s="35" t="s">
        <v>4893</v>
      </c>
      <c r="C2330" s="35" t="s">
        <v>7758</v>
      </c>
      <c r="D2330" s="35" t="s">
        <v>187</v>
      </c>
      <c r="E2330" s="35" t="s">
        <v>488</v>
      </c>
      <c r="F2330" s="35">
        <v>168.0</v>
      </c>
      <c r="G2330" s="35">
        <v>3.62</v>
      </c>
      <c r="H2330" s="35">
        <v>46.4</v>
      </c>
      <c r="I2330" s="35" t="s">
        <v>75</v>
      </c>
    </row>
    <row r="2331" ht="22.5" customHeight="1">
      <c r="A2331" s="35" t="s">
        <v>4894</v>
      </c>
      <c r="B2331" s="35" t="s">
        <v>4895</v>
      </c>
      <c r="C2331" s="35" t="s">
        <v>7758</v>
      </c>
      <c r="D2331" s="35" t="s">
        <v>169</v>
      </c>
      <c r="E2331" s="35" t="s">
        <v>449</v>
      </c>
      <c r="F2331" s="35">
        <v>223.0</v>
      </c>
      <c r="G2331" s="35">
        <v>2.98</v>
      </c>
      <c r="H2331" s="35">
        <v>74.8</v>
      </c>
      <c r="I2331" s="35" t="s">
        <v>75</v>
      </c>
    </row>
    <row r="2332" ht="22.5" customHeight="1">
      <c r="A2332" s="35" t="s">
        <v>4896</v>
      </c>
      <c r="B2332" s="35" t="s">
        <v>4897</v>
      </c>
      <c r="C2332" s="35" t="s">
        <v>7758</v>
      </c>
      <c r="D2332" s="35" t="s">
        <v>167</v>
      </c>
      <c r="E2332" s="35" t="s">
        <v>447</v>
      </c>
      <c r="F2332" s="35">
        <v>474.0</v>
      </c>
      <c r="G2332" s="35">
        <v>5.61</v>
      </c>
      <c r="H2332" s="35">
        <v>84.5</v>
      </c>
      <c r="I2332" s="35" t="s">
        <v>75</v>
      </c>
    </row>
    <row r="2333" ht="22.5" customHeight="1">
      <c r="A2333" s="35" t="s">
        <v>4898</v>
      </c>
      <c r="B2333" s="35" t="s">
        <v>4899</v>
      </c>
      <c r="C2333" s="35" t="s">
        <v>7758</v>
      </c>
      <c r="D2333" s="35" t="s">
        <v>127</v>
      </c>
      <c r="E2333" s="35" t="s">
        <v>323</v>
      </c>
      <c r="F2333" s="35">
        <v>819.0</v>
      </c>
      <c r="G2333" s="35">
        <v>8.52</v>
      </c>
      <c r="H2333" s="35">
        <v>96.1</v>
      </c>
      <c r="I2333" s="35" t="s">
        <v>62</v>
      </c>
    </row>
    <row r="2334" ht="22.5" customHeight="1">
      <c r="A2334" s="35" t="s">
        <v>4900</v>
      </c>
      <c r="B2334" s="35" t="s">
        <v>4901</v>
      </c>
      <c r="C2334" s="35" t="s">
        <v>7758</v>
      </c>
      <c r="D2334" s="35" t="s">
        <v>150</v>
      </c>
      <c r="E2334" s="35" t="s">
        <v>411</v>
      </c>
      <c r="F2334" s="35">
        <v>638.0</v>
      </c>
      <c r="G2334" s="35">
        <v>6.32</v>
      </c>
      <c r="H2334" s="35">
        <v>100.9</v>
      </c>
      <c r="I2334" s="35" t="s">
        <v>62</v>
      </c>
    </row>
    <row r="2335" ht="22.5" customHeight="1">
      <c r="A2335" s="35" t="s">
        <v>4902</v>
      </c>
      <c r="B2335" s="35" t="s">
        <v>4903</v>
      </c>
      <c r="C2335" s="35" t="s">
        <v>7758</v>
      </c>
      <c r="D2335" s="35" t="s">
        <v>116</v>
      </c>
      <c r="E2335" s="35" t="s">
        <v>285</v>
      </c>
      <c r="F2335" s="35">
        <v>17909.0</v>
      </c>
      <c r="G2335" s="35">
        <v>20.95</v>
      </c>
      <c r="H2335" s="35">
        <v>854.8</v>
      </c>
      <c r="I2335" s="35" t="s">
        <v>571</v>
      </c>
    </row>
    <row r="2336" ht="22.5" customHeight="1">
      <c r="A2336" s="35" t="s">
        <v>4904</v>
      </c>
      <c r="B2336" s="35" t="s">
        <v>4905</v>
      </c>
      <c r="C2336" s="35" t="s">
        <v>7758</v>
      </c>
      <c r="D2336" s="35" t="s">
        <v>169</v>
      </c>
      <c r="E2336" s="35" t="s">
        <v>449</v>
      </c>
      <c r="F2336" s="35">
        <v>211.0</v>
      </c>
      <c r="G2336" s="35">
        <v>2.22</v>
      </c>
      <c r="H2336" s="35">
        <v>95.0</v>
      </c>
      <c r="I2336" s="35" t="s">
        <v>75</v>
      </c>
    </row>
    <row r="2337" ht="22.5" customHeight="1">
      <c r="A2337" s="35" t="s">
        <v>4906</v>
      </c>
      <c r="B2337" s="35" t="s">
        <v>4907</v>
      </c>
      <c r="C2337" s="35" t="s">
        <v>7758</v>
      </c>
      <c r="D2337" s="35" t="s">
        <v>118</v>
      </c>
      <c r="E2337" s="35" t="s">
        <v>300</v>
      </c>
      <c r="F2337" s="35">
        <v>2593.0</v>
      </c>
      <c r="G2337" s="35">
        <v>3.14</v>
      </c>
      <c r="H2337" s="35">
        <v>825.8</v>
      </c>
      <c r="I2337" s="35" t="s">
        <v>142</v>
      </c>
    </row>
    <row r="2338" ht="22.5" customHeight="1">
      <c r="A2338" s="35" t="s">
        <v>4908</v>
      </c>
      <c r="B2338" s="35" t="s">
        <v>4909</v>
      </c>
      <c r="C2338" s="35" t="s">
        <v>7758</v>
      </c>
      <c r="D2338" s="35" t="s">
        <v>118</v>
      </c>
      <c r="E2338" s="35" t="s">
        <v>300</v>
      </c>
      <c r="F2338" s="35">
        <v>331.0</v>
      </c>
      <c r="G2338" s="35">
        <v>5.55</v>
      </c>
      <c r="H2338" s="35">
        <v>59.6</v>
      </c>
      <c r="I2338" s="35" t="s">
        <v>75</v>
      </c>
    </row>
    <row r="2339" ht="22.5" customHeight="1">
      <c r="A2339" s="35" t="s">
        <v>4910</v>
      </c>
      <c r="B2339" s="35" t="s">
        <v>516</v>
      </c>
      <c r="C2339" s="35" t="s">
        <v>7758</v>
      </c>
      <c r="D2339" s="35" t="s">
        <v>167</v>
      </c>
      <c r="E2339" s="35" t="s">
        <v>447</v>
      </c>
      <c r="F2339" s="35">
        <v>150.0</v>
      </c>
      <c r="G2339" s="35">
        <v>9.54</v>
      </c>
      <c r="H2339" s="35">
        <v>15.7</v>
      </c>
      <c r="I2339" s="35" t="s">
        <v>75</v>
      </c>
    </row>
    <row r="2340" ht="22.5" customHeight="1">
      <c r="A2340" s="35" t="s">
        <v>4911</v>
      </c>
      <c r="B2340" s="35" t="s">
        <v>4912</v>
      </c>
      <c r="C2340" s="35" t="s">
        <v>7758</v>
      </c>
      <c r="D2340" s="35" t="s">
        <v>167</v>
      </c>
      <c r="E2340" s="35" t="s">
        <v>447</v>
      </c>
      <c r="F2340" s="35">
        <v>423.0</v>
      </c>
      <c r="G2340" s="35">
        <v>11.86</v>
      </c>
      <c r="H2340" s="35">
        <v>35.7</v>
      </c>
      <c r="I2340" s="35" t="s">
        <v>75</v>
      </c>
    </row>
    <row r="2341" ht="22.5" customHeight="1">
      <c r="A2341" s="35" t="s">
        <v>4913</v>
      </c>
      <c r="B2341" s="35" t="s">
        <v>4914</v>
      </c>
      <c r="C2341" s="35" t="s">
        <v>7758</v>
      </c>
      <c r="D2341" s="35" t="s">
        <v>169</v>
      </c>
      <c r="E2341" s="35" t="s">
        <v>449</v>
      </c>
      <c r="F2341" s="35">
        <v>247.0</v>
      </c>
      <c r="G2341" s="35">
        <v>8.27</v>
      </c>
      <c r="H2341" s="35">
        <v>29.9</v>
      </c>
      <c r="I2341" s="35" t="s">
        <v>75</v>
      </c>
    </row>
    <row r="2342" ht="22.5" customHeight="1">
      <c r="A2342" s="35" t="s">
        <v>4915</v>
      </c>
      <c r="B2342" s="35" t="s">
        <v>4916</v>
      </c>
      <c r="C2342" s="35" t="s">
        <v>7758</v>
      </c>
      <c r="D2342" s="35" t="s">
        <v>167</v>
      </c>
      <c r="E2342" s="35" t="s">
        <v>447</v>
      </c>
      <c r="F2342" s="35">
        <v>174.0</v>
      </c>
      <c r="G2342" s="35">
        <v>4.75</v>
      </c>
      <c r="H2342" s="35">
        <v>36.6</v>
      </c>
      <c r="I2342" s="35" t="s">
        <v>75</v>
      </c>
    </row>
    <row r="2343" ht="22.5" customHeight="1">
      <c r="A2343" s="35" t="s">
        <v>4917</v>
      </c>
      <c r="B2343" s="35" t="s">
        <v>4918</v>
      </c>
      <c r="C2343" s="35" t="s">
        <v>7758</v>
      </c>
      <c r="D2343" s="35" t="s">
        <v>204</v>
      </c>
      <c r="E2343" s="35" t="s">
        <v>527</v>
      </c>
      <c r="F2343" s="35">
        <v>293.0</v>
      </c>
      <c r="G2343" s="35">
        <v>6.22</v>
      </c>
      <c r="H2343" s="35">
        <v>47.1</v>
      </c>
      <c r="I2343" s="35" t="s">
        <v>75</v>
      </c>
    </row>
    <row r="2344" ht="22.5" customHeight="1">
      <c r="A2344" s="35" t="s">
        <v>4919</v>
      </c>
      <c r="B2344" s="35" t="s">
        <v>4920</v>
      </c>
      <c r="C2344" s="35" t="s">
        <v>7758</v>
      </c>
      <c r="D2344" s="35" t="s">
        <v>118</v>
      </c>
      <c r="E2344" s="35" t="s">
        <v>300</v>
      </c>
      <c r="F2344" s="35">
        <v>2785.0</v>
      </c>
      <c r="G2344" s="35">
        <v>7.94</v>
      </c>
      <c r="H2344" s="35">
        <v>350.8</v>
      </c>
      <c r="I2344" s="35" t="s">
        <v>142</v>
      </c>
    </row>
    <row r="2345" ht="22.5" customHeight="1">
      <c r="A2345" s="35" t="s">
        <v>4921</v>
      </c>
      <c r="B2345" s="35" t="s">
        <v>4922</v>
      </c>
      <c r="C2345" s="35" t="s">
        <v>7758</v>
      </c>
      <c r="D2345" s="35" t="s">
        <v>139</v>
      </c>
      <c r="E2345" s="35" t="s">
        <v>354</v>
      </c>
      <c r="F2345" s="35">
        <v>593.0</v>
      </c>
      <c r="G2345" s="35">
        <v>18.05</v>
      </c>
      <c r="H2345" s="35">
        <v>32.9</v>
      </c>
      <c r="I2345" s="35" t="s">
        <v>62</v>
      </c>
    </row>
    <row r="2346" ht="22.5" customHeight="1">
      <c r="A2346" s="35" t="s">
        <v>4923</v>
      </c>
      <c r="B2346" s="35" t="s">
        <v>4924</v>
      </c>
      <c r="C2346" s="35" t="s">
        <v>7758</v>
      </c>
      <c r="D2346" s="35" t="s">
        <v>187</v>
      </c>
      <c r="E2346" s="35" t="s">
        <v>488</v>
      </c>
      <c r="F2346" s="35">
        <v>186.0</v>
      </c>
      <c r="G2346" s="35">
        <v>7.3</v>
      </c>
      <c r="H2346" s="35">
        <v>25.5</v>
      </c>
      <c r="I2346" s="35" t="s">
        <v>75</v>
      </c>
    </row>
    <row r="2347" ht="22.5" customHeight="1">
      <c r="A2347" s="35" t="s">
        <v>4925</v>
      </c>
      <c r="B2347" s="35" t="s">
        <v>4926</v>
      </c>
      <c r="C2347" s="35" t="s">
        <v>7758</v>
      </c>
      <c r="D2347" s="35" t="s">
        <v>191</v>
      </c>
      <c r="E2347" s="35" t="s">
        <v>504</v>
      </c>
      <c r="F2347" s="35">
        <v>312.0</v>
      </c>
      <c r="G2347" s="35">
        <v>6.41</v>
      </c>
      <c r="H2347" s="35">
        <v>48.7</v>
      </c>
      <c r="I2347" s="35" t="s">
        <v>75</v>
      </c>
    </row>
    <row r="2348" ht="22.5" customHeight="1">
      <c r="A2348" s="35" t="s">
        <v>4927</v>
      </c>
      <c r="B2348" s="35" t="s">
        <v>4928</v>
      </c>
      <c r="C2348" s="35" t="s">
        <v>7758</v>
      </c>
      <c r="D2348" s="35" t="s">
        <v>191</v>
      </c>
      <c r="E2348" s="35" t="s">
        <v>504</v>
      </c>
      <c r="F2348" s="35">
        <v>805.0</v>
      </c>
      <c r="G2348" s="35">
        <v>6.18</v>
      </c>
      <c r="H2348" s="35">
        <v>130.3</v>
      </c>
      <c r="I2348" s="35" t="s">
        <v>62</v>
      </c>
    </row>
    <row r="2349" ht="22.5" customHeight="1">
      <c r="A2349" s="35" t="s">
        <v>4929</v>
      </c>
      <c r="B2349" s="35" t="s">
        <v>4930</v>
      </c>
      <c r="C2349" s="35" t="s">
        <v>7758</v>
      </c>
      <c r="D2349" s="35" t="s">
        <v>150</v>
      </c>
      <c r="E2349" s="35" t="s">
        <v>411</v>
      </c>
      <c r="F2349" s="35">
        <v>907.0</v>
      </c>
      <c r="G2349" s="35">
        <v>10.0</v>
      </c>
      <c r="H2349" s="35">
        <v>90.7</v>
      </c>
      <c r="I2349" s="35" t="s">
        <v>62</v>
      </c>
    </row>
    <row r="2350" ht="22.5" customHeight="1">
      <c r="A2350" s="35" t="s">
        <v>4931</v>
      </c>
      <c r="B2350" s="35" t="s">
        <v>4932</v>
      </c>
      <c r="C2350" s="35" t="s">
        <v>7758</v>
      </c>
      <c r="D2350" s="35" t="s">
        <v>128</v>
      </c>
      <c r="E2350" s="35" t="s">
        <v>338</v>
      </c>
      <c r="F2350" s="35">
        <v>132.0</v>
      </c>
      <c r="G2350" s="35">
        <v>4.65</v>
      </c>
      <c r="H2350" s="35">
        <v>28.4</v>
      </c>
      <c r="I2350" s="35" t="s">
        <v>75</v>
      </c>
    </row>
    <row r="2351" ht="22.5" customHeight="1">
      <c r="A2351" s="35" t="s">
        <v>4933</v>
      </c>
      <c r="B2351" s="35" t="s">
        <v>4934</v>
      </c>
      <c r="C2351" s="35" t="s">
        <v>7758</v>
      </c>
      <c r="D2351" s="35" t="s">
        <v>118</v>
      </c>
      <c r="E2351" s="35" t="s">
        <v>300</v>
      </c>
      <c r="F2351" s="35">
        <v>879.0</v>
      </c>
      <c r="G2351" s="35">
        <v>6.74</v>
      </c>
      <c r="H2351" s="35">
        <v>130.4</v>
      </c>
      <c r="I2351" s="35" t="s">
        <v>62</v>
      </c>
    </row>
    <row r="2352" ht="22.5" customHeight="1">
      <c r="A2352" s="35" t="s">
        <v>4935</v>
      </c>
      <c r="B2352" s="35" t="s">
        <v>4936</v>
      </c>
      <c r="C2352" s="35" t="s">
        <v>7758</v>
      </c>
      <c r="D2352" s="35" t="s">
        <v>128</v>
      </c>
      <c r="E2352" s="35" t="s">
        <v>338</v>
      </c>
      <c r="F2352" s="35">
        <v>1073.0</v>
      </c>
      <c r="G2352" s="35">
        <v>16.42</v>
      </c>
      <c r="H2352" s="35">
        <v>65.3</v>
      </c>
      <c r="I2352" s="35" t="s">
        <v>62</v>
      </c>
    </row>
    <row r="2353" ht="22.5" customHeight="1">
      <c r="A2353" s="35" t="s">
        <v>4937</v>
      </c>
      <c r="B2353" s="35" t="s">
        <v>4938</v>
      </c>
      <c r="C2353" s="35" t="s">
        <v>7758</v>
      </c>
      <c r="D2353" s="35" t="s">
        <v>206</v>
      </c>
      <c r="E2353" s="35" t="s">
        <v>533</v>
      </c>
      <c r="F2353" s="35">
        <v>222.0</v>
      </c>
      <c r="G2353" s="35">
        <v>9.85</v>
      </c>
      <c r="H2353" s="35">
        <v>22.5</v>
      </c>
      <c r="I2353" s="35" t="s">
        <v>75</v>
      </c>
    </row>
    <row r="2354" ht="22.5" customHeight="1">
      <c r="A2354" s="35" t="s">
        <v>4939</v>
      </c>
      <c r="B2354" s="35" t="s">
        <v>4940</v>
      </c>
      <c r="C2354" s="35" t="s">
        <v>7758</v>
      </c>
      <c r="D2354" s="35" t="s">
        <v>132</v>
      </c>
      <c r="E2354" s="35" t="s">
        <v>346</v>
      </c>
      <c r="F2354" s="35">
        <v>2443.0</v>
      </c>
      <c r="G2354" s="35">
        <v>16.44</v>
      </c>
      <c r="H2354" s="35">
        <v>148.6</v>
      </c>
      <c r="I2354" s="35" t="s">
        <v>142</v>
      </c>
    </row>
    <row r="2355" ht="22.5" customHeight="1">
      <c r="A2355" s="35" t="s">
        <v>4941</v>
      </c>
      <c r="B2355" s="35" t="s">
        <v>4942</v>
      </c>
      <c r="C2355" s="35" t="s">
        <v>7758</v>
      </c>
      <c r="D2355" s="35" t="s">
        <v>167</v>
      </c>
      <c r="E2355" s="35" t="s">
        <v>447</v>
      </c>
      <c r="F2355" s="35">
        <v>354.0</v>
      </c>
      <c r="G2355" s="35">
        <v>7.17</v>
      </c>
      <c r="H2355" s="35">
        <v>49.4</v>
      </c>
      <c r="I2355" s="35" t="s">
        <v>75</v>
      </c>
    </row>
    <row r="2356" ht="22.5" customHeight="1">
      <c r="A2356" s="35" t="s">
        <v>4943</v>
      </c>
      <c r="B2356" s="35" t="s">
        <v>4944</v>
      </c>
      <c r="C2356" s="35" t="s">
        <v>7758</v>
      </c>
      <c r="D2356" s="35" t="s">
        <v>132</v>
      </c>
      <c r="E2356" s="35" t="s">
        <v>346</v>
      </c>
      <c r="F2356" s="35">
        <v>572.0</v>
      </c>
      <c r="G2356" s="35">
        <v>2.12</v>
      </c>
      <c r="H2356" s="35">
        <v>269.8</v>
      </c>
      <c r="I2356" s="35" t="s">
        <v>62</v>
      </c>
    </row>
    <row r="2357" ht="22.5" customHeight="1">
      <c r="A2357" s="35" t="s">
        <v>4945</v>
      </c>
      <c r="B2357" s="35" t="s">
        <v>4946</v>
      </c>
      <c r="C2357" s="35" t="s">
        <v>7758</v>
      </c>
      <c r="D2357" s="35" t="s">
        <v>206</v>
      </c>
      <c r="E2357" s="35" t="s">
        <v>533</v>
      </c>
      <c r="F2357" s="35">
        <v>83.0</v>
      </c>
      <c r="G2357" s="35">
        <v>2.33</v>
      </c>
      <c r="H2357" s="35">
        <v>35.6</v>
      </c>
      <c r="I2357" s="35" t="s">
        <v>75</v>
      </c>
    </row>
    <row r="2358" ht="22.5" customHeight="1">
      <c r="A2358" s="35" t="s">
        <v>4947</v>
      </c>
      <c r="B2358" s="35" t="s">
        <v>4948</v>
      </c>
      <c r="C2358" s="35" t="s">
        <v>7758</v>
      </c>
      <c r="D2358" s="35" t="s">
        <v>141</v>
      </c>
      <c r="E2358" s="35" t="s">
        <v>220</v>
      </c>
      <c r="F2358" s="35">
        <v>2638.0</v>
      </c>
      <c r="G2358" s="35">
        <v>8.77</v>
      </c>
      <c r="H2358" s="35">
        <v>300.8</v>
      </c>
      <c r="I2358" s="35" t="s">
        <v>142</v>
      </c>
    </row>
    <row r="2359" ht="22.5" customHeight="1">
      <c r="A2359" s="35" t="s">
        <v>4949</v>
      </c>
      <c r="B2359" s="35" t="s">
        <v>4950</v>
      </c>
      <c r="C2359" s="35" t="s">
        <v>7758</v>
      </c>
      <c r="D2359" s="35" t="s">
        <v>219</v>
      </c>
      <c r="E2359" s="35" t="s">
        <v>377</v>
      </c>
      <c r="F2359" s="35">
        <v>2258.0</v>
      </c>
      <c r="G2359" s="35">
        <v>2.6</v>
      </c>
      <c r="H2359" s="35">
        <v>868.5</v>
      </c>
      <c r="I2359" s="35" t="s">
        <v>142</v>
      </c>
    </row>
    <row r="2360" ht="22.5" customHeight="1">
      <c r="A2360" s="35" t="s">
        <v>4951</v>
      </c>
      <c r="B2360" s="35" t="s">
        <v>4952</v>
      </c>
      <c r="C2360" s="35" t="s">
        <v>7758</v>
      </c>
      <c r="D2360" s="35" t="s">
        <v>128</v>
      </c>
      <c r="E2360" s="35" t="s">
        <v>338</v>
      </c>
      <c r="F2360" s="35">
        <v>309.0</v>
      </c>
      <c r="G2360" s="35">
        <v>9.8</v>
      </c>
      <c r="H2360" s="35">
        <v>31.5</v>
      </c>
      <c r="I2360" s="35" t="s">
        <v>75</v>
      </c>
    </row>
    <row r="2361" ht="22.5" customHeight="1">
      <c r="A2361" s="35" t="s">
        <v>4953</v>
      </c>
      <c r="B2361" s="35" t="s">
        <v>4954</v>
      </c>
      <c r="C2361" s="35" t="s">
        <v>7758</v>
      </c>
      <c r="D2361" s="35" t="s">
        <v>169</v>
      </c>
      <c r="E2361" s="35" t="s">
        <v>449</v>
      </c>
      <c r="F2361" s="35">
        <v>76.0</v>
      </c>
      <c r="G2361" s="35">
        <v>5.79</v>
      </c>
      <c r="H2361" s="35">
        <v>13.1</v>
      </c>
      <c r="I2361" s="35" t="s">
        <v>75</v>
      </c>
    </row>
    <row r="2362" ht="22.5" customHeight="1">
      <c r="A2362" s="35" t="s">
        <v>4955</v>
      </c>
      <c r="B2362" s="35" t="s">
        <v>4956</v>
      </c>
      <c r="C2362" s="35" t="s">
        <v>7758</v>
      </c>
      <c r="D2362" s="35" t="s">
        <v>169</v>
      </c>
      <c r="E2362" s="35" t="s">
        <v>449</v>
      </c>
      <c r="F2362" s="35">
        <v>111.0</v>
      </c>
      <c r="G2362" s="35">
        <v>4.06</v>
      </c>
      <c r="H2362" s="35">
        <v>27.3</v>
      </c>
      <c r="I2362" s="35" t="s">
        <v>75</v>
      </c>
    </row>
    <row r="2363" ht="22.5" customHeight="1">
      <c r="A2363" s="35" t="s">
        <v>4957</v>
      </c>
      <c r="B2363" s="35" t="s">
        <v>4958</v>
      </c>
      <c r="C2363" s="35" t="s">
        <v>7758</v>
      </c>
      <c r="D2363" s="35" t="s">
        <v>141</v>
      </c>
      <c r="E2363" s="35" t="s">
        <v>220</v>
      </c>
      <c r="F2363" s="35">
        <v>5438.0</v>
      </c>
      <c r="G2363" s="35">
        <v>9.18</v>
      </c>
      <c r="H2363" s="35">
        <v>592.4</v>
      </c>
      <c r="I2363" s="35" t="s">
        <v>142</v>
      </c>
    </row>
    <row r="2364" ht="22.5" customHeight="1">
      <c r="A2364" s="35" t="s">
        <v>4959</v>
      </c>
      <c r="B2364" s="35" t="s">
        <v>4960</v>
      </c>
      <c r="C2364" s="35" t="s">
        <v>7758</v>
      </c>
      <c r="D2364" s="35" t="s">
        <v>191</v>
      </c>
      <c r="E2364" s="35" t="s">
        <v>504</v>
      </c>
      <c r="F2364" s="35">
        <v>770.0</v>
      </c>
      <c r="G2364" s="35">
        <v>10.23</v>
      </c>
      <c r="H2364" s="35">
        <v>75.3</v>
      </c>
      <c r="I2364" s="35" t="s">
        <v>62</v>
      </c>
    </row>
    <row r="2365" ht="22.5" customHeight="1">
      <c r="A2365" s="35" t="s">
        <v>4961</v>
      </c>
      <c r="B2365" s="35" t="s">
        <v>4962</v>
      </c>
      <c r="C2365" s="35" t="s">
        <v>7758</v>
      </c>
      <c r="D2365" s="35" t="s">
        <v>187</v>
      </c>
      <c r="E2365" s="35" t="s">
        <v>488</v>
      </c>
      <c r="F2365" s="35">
        <v>146.0</v>
      </c>
      <c r="G2365" s="35">
        <v>4.55</v>
      </c>
      <c r="H2365" s="35">
        <v>32.1</v>
      </c>
      <c r="I2365" s="35" t="s">
        <v>75</v>
      </c>
    </row>
    <row r="2366" ht="22.5" customHeight="1">
      <c r="A2366" s="35" t="s">
        <v>4963</v>
      </c>
      <c r="B2366" s="35" t="s">
        <v>4964</v>
      </c>
      <c r="C2366" s="35" t="s">
        <v>7758</v>
      </c>
      <c r="D2366" s="35" t="s">
        <v>187</v>
      </c>
      <c r="E2366" s="35" t="s">
        <v>488</v>
      </c>
      <c r="F2366" s="35">
        <v>550.0</v>
      </c>
      <c r="G2366" s="35">
        <v>14.75</v>
      </c>
      <c r="H2366" s="35">
        <v>37.3</v>
      </c>
      <c r="I2366" s="35" t="s">
        <v>62</v>
      </c>
    </row>
    <row r="2367" ht="22.5" customHeight="1">
      <c r="A2367" s="35" t="s">
        <v>4965</v>
      </c>
      <c r="B2367" s="35" t="s">
        <v>4966</v>
      </c>
      <c r="C2367" s="35" t="s">
        <v>7758</v>
      </c>
      <c r="D2367" s="35" t="s">
        <v>204</v>
      </c>
      <c r="E2367" s="35" t="s">
        <v>527</v>
      </c>
      <c r="F2367" s="35">
        <v>479.0</v>
      </c>
      <c r="G2367" s="35">
        <v>7.94</v>
      </c>
      <c r="H2367" s="35">
        <v>60.3</v>
      </c>
      <c r="I2367" s="35" t="s">
        <v>75</v>
      </c>
    </row>
    <row r="2368" ht="22.5" customHeight="1">
      <c r="A2368" s="35" t="s">
        <v>4967</v>
      </c>
      <c r="B2368" s="35" t="s">
        <v>4968</v>
      </c>
      <c r="C2368" s="35" t="s">
        <v>7758</v>
      </c>
      <c r="D2368" s="35" t="s">
        <v>116</v>
      </c>
      <c r="E2368" s="35" t="s">
        <v>285</v>
      </c>
      <c r="F2368" s="35">
        <v>7830.0</v>
      </c>
      <c r="G2368" s="35">
        <v>5.6</v>
      </c>
      <c r="H2368" s="35">
        <v>1398.2</v>
      </c>
      <c r="I2368" s="35" t="s">
        <v>142</v>
      </c>
    </row>
    <row r="2369" ht="22.5" customHeight="1">
      <c r="A2369" s="35" t="s">
        <v>4969</v>
      </c>
      <c r="B2369" s="35" t="s">
        <v>4970</v>
      </c>
      <c r="C2369" s="35" t="s">
        <v>7758</v>
      </c>
      <c r="D2369" s="35" t="s">
        <v>116</v>
      </c>
      <c r="E2369" s="35" t="s">
        <v>285</v>
      </c>
      <c r="F2369" s="35">
        <v>10176.0</v>
      </c>
      <c r="G2369" s="35">
        <v>8.72</v>
      </c>
      <c r="H2369" s="35">
        <v>1167.0</v>
      </c>
      <c r="I2369" s="35" t="s">
        <v>571</v>
      </c>
    </row>
    <row r="2370" ht="22.5" customHeight="1">
      <c r="A2370" s="35" t="s">
        <v>4971</v>
      </c>
      <c r="B2370" s="35" t="s">
        <v>4972</v>
      </c>
      <c r="C2370" s="35" t="s">
        <v>7758</v>
      </c>
      <c r="D2370" s="35" t="s">
        <v>150</v>
      </c>
      <c r="E2370" s="35" t="s">
        <v>411</v>
      </c>
      <c r="F2370" s="35">
        <v>505.0</v>
      </c>
      <c r="G2370" s="35">
        <v>10.23</v>
      </c>
      <c r="H2370" s="35">
        <v>49.4</v>
      </c>
      <c r="I2370" s="35" t="s">
        <v>62</v>
      </c>
    </row>
    <row r="2371" ht="22.5" customHeight="1">
      <c r="A2371" s="35" t="s">
        <v>4973</v>
      </c>
      <c r="B2371" s="35" t="s">
        <v>4974</v>
      </c>
      <c r="C2371" s="35" t="s">
        <v>7758</v>
      </c>
      <c r="D2371" s="35" t="s">
        <v>118</v>
      </c>
      <c r="E2371" s="35" t="s">
        <v>300</v>
      </c>
      <c r="F2371" s="35">
        <v>2590.0</v>
      </c>
      <c r="G2371" s="35">
        <v>13.43</v>
      </c>
      <c r="H2371" s="35">
        <v>192.9</v>
      </c>
      <c r="I2371" s="35" t="s">
        <v>142</v>
      </c>
    </row>
    <row r="2372" ht="22.5" customHeight="1">
      <c r="A2372" s="35" t="s">
        <v>4975</v>
      </c>
      <c r="B2372" s="35" t="s">
        <v>4976</v>
      </c>
      <c r="C2372" s="35" t="s">
        <v>7758</v>
      </c>
      <c r="D2372" s="35" t="s">
        <v>169</v>
      </c>
      <c r="E2372" s="35" t="s">
        <v>449</v>
      </c>
      <c r="F2372" s="35">
        <v>76.0</v>
      </c>
      <c r="G2372" s="35">
        <v>2.13</v>
      </c>
      <c r="H2372" s="35">
        <v>35.7</v>
      </c>
      <c r="I2372" s="35" t="s">
        <v>75</v>
      </c>
    </row>
    <row r="2373" ht="22.5" customHeight="1">
      <c r="A2373" s="35" t="s">
        <v>4977</v>
      </c>
      <c r="B2373" s="35" t="s">
        <v>4978</v>
      </c>
      <c r="C2373" s="35" t="s">
        <v>7758</v>
      </c>
      <c r="D2373" s="35" t="s">
        <v>139</v>
      </c>
      <c r="E2373" s="35" t="s">
        <v>354</v>
      </c>
      <c r="F2373" s="35">
        <v>597.0</v>
      </c>
      <c r="G2373" s="35">
        <v>13.85</v>
      </c>
      <c r="H2373" s="35">
        <v>43.1</v>
      </c>
      <c r="I2373" s="35" t="s">
        <v>62</v>
      </c>
    </row>
    <row r="2374" ht="22.5" customHeight="1">
      <c r="A2374" s="35" t="s">
        <v>4979</v>
      </c>
      <c r="B2374" s="35" t="s">
        <v>4980</v>
      </c>
      <c r="C2374" s="35" t="s">
        <v>7758</v>
      </c>
      <c r="D2374" s="35" t="s">
        <v>150</v>
      </c>
      <c r="E2374" s="35" t="s">
        <v>411</v>
      </c>
      <c r="F2374" s="35">
        <v>815.0</v>
      </c>
      <c r="G2374" s="35">
        <v>11.81</v>
      </c>
      <c r="H2374" s="35">
        <v>69.0</v>
      </c>
      <c r="I2374" s="35" t="s">
        <v>62</v>
      </c>
    </row>
    <row r="2375" ht="22.5" customHeight="1">
      <c r="A2375" s="35" t="s">
        <v>4981</v>
      </c>
      <c r="B2375" s="35" t="s">
        <v>709</v>
      </c>
      <c r="C2375" s="35" t="s">
        <v>7758</v>
      </c>
      <c r="D2375" s="35" t="s">
        <v>187</v>
      </c>
      <c r="E2375" s="35" t="s">
        <v>488</v>
      </c>
      <c r="F2375" s="35">
        <v>159.0</v>
      </c>
      <c r="G2375" s="35">
        <v>6.92</v>
      </c>
      <c r="H2375" s="35">
        <v>23.0</v>
      </c>
      <c r="I2375" s="35" t="s">
        <v>75</v>
      </c>
    </row>
    <row r="2376" ht="22.5" customHeight="1">
      <c r="A2376" s="35" t="s">
        <v>4982</v>
      </c>
      <c r="B2376" s="35" t="s">
        <v>4983</v>
      </c>
      <c r="C2376" s="35" t="s">
        <v>7758</v>
      </c>
      <c r="D2376" s="35" t="s">
        <v>187</v>
      </c>
      <c r="E2376" s="35" t="s">
        <v>488</v>
      </c>
      <c r="F2376" s="35">
        <v>463.0</v>
      </c>
      <c r="G2376" s="35">
        <v>20.43</v>
      </c>
      <c r="H2376" s="35">
        <v>22.7</v>
      </c>
      <c r="I2376" s="35" t="s">
        <v>75</v>
      </c>
    </row>
    <row r="2377" ht="22.5" customHeight="1">
      <c r="A2377" s="35" t="s">
        <v>4984</v>
      </c>
      <c r="B2377" s="35" t="s">
        <v>4985</v>
      </c>
      <c r="C2377" s="35" t="s">
        <v>7758</v>
      </c>
      <c r="D2377" s="35" t="s">
        <v>206</v>
      </c>
      <c r="E2377" s="35" t="s">
        <v>533</v>
      </c>
      <c r="F2377" s="35">
        <v>318.0</v>
      </c>
      <c r="G2377" s="35">
        <v>7.58</v>
      </c>
      <c r="H2377" s="35">
        <v>42.0</v>
      </c>
      <c r="I2377" s="35" t="s">
        <v>75</v>
      </c>
    </row>
    <row r="2378" ht="22.5" customHeight="1">
      <c r="A2378" s="35" t="s">
        <v>4986</v>
      </c>
      <c r="B2378" s="35" t="s">
        <v>4987</v>
      </c>
      <c r="C2378" s="35" t="s">
        <v>7758</v>
      </c>
      <c r="D2378" s="35" t="s">
        <v>204</v>
      </c>
      <c r="E2378" s="35" t="s">
        <v>527</v>
      </c>
      <c r="F2378" s="35">
        <v>1939.0</v>
      </c>
      <c r="G2378" s="35">
        <v>11.42</v>
      </c>
      <c r="H2378" s="35">
        <v>169.8</v>
      </c>
      <c r="I2378" s="35" t="s">
        <v>62</v>
      </c>
    </row>
    <row r="2379" ht="22.5" customHeight="1">
      <c r="A2379" s="35" t="s">
        <v>4988</v>
      </c>
      <c r="B2379" s="35" t="s">
        <v>4989</v>
      </c>
      <c r="C2379" s="35" t="s">
        <v>7758</v>
      </c>
      <c r="D2379" s="35" t="s">
        <v>206</v>
      </c>
      <c r="E2379" s="35" t="s">
        <v>533</v>
      </c>
      <c r="F2379" s="35">
        <v>333.0</v>
      </c>
      <c r="G2379" s="35">
        <v>6.61</v>
      </c>
      <c r="H2379" s="35">
        <v>50.4</v>
      </c>
      <c r="I2379" s="35" t="s">
        <v>75</v>
      </c>
    </row>
    <row r="2380" ht="22.5" customHeight="1">
      <c r="A2380" s="35" t="s">
        <v>4990</v>
      </c>
      <c r="B2380" s="35" t="s">
        <v>4991</v>
      </c>
      <c r="C2380" s="35" t="s">
        <v>7758</v>
      </c>
      <c r="D2380" s="35" t="s">
        <v>128</v>
      </c>
      <c r="E2380" s="35" t="s">
        <v>338</v>
      </c>
      <c r="F2380" s="35">
        <v>5129.0</v>
      </c>
      <c r="G2380" s="35">
        <v>10.1</v>
      </c>
      <c r="H2380" s="35">
        <v>507.8</v>
      </c>
      <c r="I2380" s="35" t="s">
        <v>142</v>
      </c>
    </row>
    <row r="2381" ht="22.5" customHeight="1">
      <c r="A2381" s="35" t="s">
        <v>4992</v>
      </c>
      <c r="B2381" s="35" t="s">
        <v>4993</v>
      </c>
      <c r="C2381" s="35" t="s">
        <v>7758</v>
      </c>
      <c r="D2381" s="35" t="s">
        <v>118</v>
      </c>
      <c r="E2381" s="35" t="s">
        <v>300</v>
      </c>
      <c r="F2381" s="35">
        <v>1784.0</v>
      </c>
      <c r="G2381" s="35">
        <v>4.17</v>
      </c>
      <c r="H2381" s="35">
        <v>427.8</v>
      </c>
      <c r="I2381" s="35" t="s">
        <v>62</v>
      </c>
    </row>
    <row r="2382" ht="22.5" customHeight="1">
      <c r="A2382" s="35" t="s">
        <v>4994</v>
      </c>
      <c r="B2382" s="35" t="s">
        <v>4995</v>
      </c>
      <c r="C2382" s="35" t="s">
        <v>7758</v>
      </c>
      <c r="D2382" s="35" t="s">
        <v>234</v>
      </c>
      <c r="E2382" s="35" t="s">
        <v>552</v>
      </c>
      <c r="F2382" s="35">
        <v>5683.0</v>
      </c>
      <c r="G2382" s="35">
        <v>11.23</v>
      </c>
      <c r="H2382" s="35">
        <v>506.1</v>
      </c>
      <c r="I2382" s="35" t="s">
        <v>142</v>
      </c>
    </row>
    <row r="2383" ht="22.5" customHeight="1">
      <c r="A2383" s="35" t="s">
        <v>4996</v>
      </c>
      <c r="B2383" s="35" t="s">
        <v>4997</v>
      </c>
      <c r="C2383" s="35" t="s">
        <v>7758</v>
      </c>
      <c r="D2383" s="35" t="s">
        <v>132</v>
      </c>
      <c r="E2383" s="35" t="s">
        <v>346</v>
      </c>
      <c r="F2383" s="35">
        <v>1311.0</v>
      </c>
      <c r="G2383" s="35">
        <v>10.52</v>
      </c>
      <c r="H2383" s="35">
        <v>124.6</v>
      </c>
      <c r="I2383" s="35" t="s">
        <v>62</v>
      </c>
    </row>
    <row r="2384" ht="22.5" customHeight="1">
      <c r="A2384" s="35" t="s">
        <v>4998</v>
      </c>
      <c r="B2384" s="35" t="s">
        <v>4999</v>
      </c>
      <c r="C2384" s="35" t="s">
        <v>7758</v>
      </c>
      <c r="D2384" s="35" t="s">
        <v>139</v>
      </c>
      <c r="E2384" s="35" t="s">
        <v>354</v>
      </c>
      <c r="F2384" s="35">
        <v>1124.0</v>
      </c>
      <c r="G2384" s="35">
        <v>14.72</v>
      </c>
      <c r="H2384" s="35">
        <v>76.4</v>
      </c>
      <c r="I2384" s="35" t="s">
        <v>62</v>
      </c>
    </row>
    <row r="2385" ht="22.5" customHeight="1">
      <c r="A2385" s="35" t="s">
        <v>5000</v>
      </c>
      <c r="B2385" s="35" t="s">
        <v>5001</v>
      </c>
      <c r="C2385" s="35" t="s">
        <v>7758</v>
      </c>
      <c r="D2385" s="35" t="s">
        <v>169</v>
      </c>
      <c r="E2385" s="35" t="s">
        <v>449</v>
      </c>
      <c r="F2385" s="35">
        <v>94.0</v>
      </c>
      <c r="G2385" s="35">
        <v>3.1</v>
      </c>
      <c r="H2385" s="35">
        <v>30.3</v>
      </c>
      <c r="I2385" s="35" t="s">
        <v>75</v>
      </c>
    </row>
    <row r="2386" ht="22.5" customHeight="1">
      <c r="A2386" s="35" t="s">
        <v>5002</v>
      </c>
      <c r="B2386" s="35" t="s">
        <v>5003</v>
      </c>
      <c r="C2386" s="35" t="s">
        <v>7758</v>
      </c>
      <c r="D2386" s="35" t="s">
        <v>139</v>
      </c>
      <c r="E2386" s="35" t="s">
        <v>354</v>
      </c>
      <c r="F2386" s="35">
        <v>391.0</v>
      </c>
      <c r="G2386" s="35">
        <v>3.72</v>
      </c>
      <c r="H2386" s="35">
        <v>105.1</v>
      </c>
      <c r="I2386" s="35" t="s">
        <v>75</v>
      </c>
    </row>
    <row r="2387" ht="22.5" customHeight="1">
      <c r="A2387" s="35" t="s">
        <v>5004</v>
      </c>
      <c r="B2387" s="35" t="s">
        <v>5005</v>
      </c>
      <c r="C2387" s="35" t="s">
        <v>7758</v>
      </c>
      <c r="D2387" s="35" t="s">
        <v>150</v>
      </c>
      <c r="E2387" s="35" t="s">
        <v>411</v>
      </c>
      <c r="F2387" s="35">
        <v>4829.0</v>
      </c>
      <c r="G2387" s="35">
        <v>9.41</v>
      </c>
      <c r="H2387" s="35">
        <v>513.2</v>
      </c>
      <c r="I2387" s="35" t="s">
        <v>142</v>
      </c>
    </row>
    <row r="2388" ht="22.5" customHeight="1">
      <c r="A2388" s="35" t="s">
        <v>5006</v>
      </c>
      <c r="B2388" s="35" t="s">
        <v>5007</v>
      </c>
      <c r="C2388" s="35" t="s">
        <v>7758</v>
      </c>
      <c r="D2388" s="35" t="s">
        <v>118</v>
      </c>
      <c r="E2388" s="35" t="s">
        <v>300</v>
      </c>
      <c r="F2388" s="35">
        <v>709.0</v>
      </c>
      <c r="G2388" s="35">
        <v>12.07</v>
      </c>
      <c r="H2388" s="35">
        <v>58.7</v>
      </c>
      <c r="I2388" s="35" t="s">
        <v>62</v>
      </c>
    </row>
    <row r="2389" ht="22.5" customHeight="1">
      <c r="A2389" s="35" t="s">
        <v>5008</v>
      </c>
      <c r="B2389" s="35" t="s">
        <v>5009</v>
      </c>
      <c r="C2389" s="35" t="s">
        <v>7758</v>
      </c>
      <c r="D2389" s="35" t="s">
        <v>118</v>
      </c>
      <c r="E2389" s="35" t="s">
        <v>300</v>
      </c>
      <c r="F2389" s="35">
        <v>6766.0</v>
      </c>
      <c r="G2389" s="35">
        <v>11.04</v>
      </c>
      <c r="H2389" s="35">
        <v>612.9</v>
      </c>
      <c r="I2389" s="35" t="s">
        <v>142</v>
      </c>
    </row>
    <row r="2390" ht="22.5" customHeight="1">
      <c r="A2390" s="35" t="s">
        <v>5010</v>
      </c>
      <c r="B2390" s="35" t="s">
        <v>5011</v>
      </c>
      <c r="C2390" s="35" t="s">
        <v>7758</v>
      </c>
      <c r="D2390" s="35" t="s">
        <v>191</v>
      </c>
      <c r="E2390" s="35" t="s">
        <v>504</v>
      </c>
      <c r="F2390" s="35">
        <v>826.0</v>
      </c>
      <c r="G2390" s="35">
        <v>9.19</v>
      </c>
      <c r="H2390" s="35">
        <v>89.9</v>
      </c>
      <c r="I2390" s="35" t="s">
        <v>62</v>
      </c>
    </row>
    <row r="2391" ht="22.5" customHeight="1">
      <c r="A2391" s="35" t="s">
        <v>5012</v>
      </c>
      <c r="B2391" s="35" t="s">
        <v>5013</v>
      </c>
      <c r="C2391" s="35" t="s">
        <v>7758</v>
      </c>
      <c r="D2391" s="35" t="s">
        <v>204</v>
      </c>
      <c r="E2391" s="35" t="s">
        <v>527</v>
      </c>
      <c r="F2391" s="35">
        <v>286.0</v>
      </c>
      <c r="G2391" s="35">
        <v>5.53</v>
      </c>
      <c r="H2391" s="35">
        <v>51.7</v>
      </c>
      <c r="I2391" s="35" t="s">
        <v>75</v>
      </c>
    </row>
    <row r="2392" ht="22.5" customHeight="1">
      <c r="A2392" s="35" t="s">
        <v>5014</v>
      </c>
      <c r="B2392" s="35" t="s">
        <v>5015</v>
      </c>
      <c r="C2392" s="35" t="s">
        <v>7758</v>
      </c>
      <c r="D2392" s="35" t="s">
        <v>150</v>
      </c>
      <c r="E2392" s="35" t="s">
        <v>411</v>
      </c>
      <c r="F2392" s="35">
        <v>593.0</v>
      </c>
      <c r="G2392" s="35">
        <v>13.82</v>
      </c>
      <c r="H2392" s="35">
        <v>42.9</v>
      </c>
      <c r="I2392" s="35" t="s">
        <v>62</v>
      </c>
    </row>
    <row r="2393" ht="22.5" customHeight="1">
      <c r="A2393" s="35" t="s">
        <v>5016</v>
      </c>
      <c r="B2393" s="35" t="s">
        <v>5017</v>
      </c>
      <c r="C2393" s="35" t="s">
        <v>7758</v>
      </c>
      <c r="D2393" s="35" t="s">
        <v>116</v>
      </c>
      <c r="E2393" s="35" t="s">
        <v>285</v>
      </c>
      <c r="F2393" s="35">
        <v>6139.0</v>
      </c>
      <c r="G2393" s="35">
        <v>10.45</v>
      </c>
      <c r="H2393" s="35">
        <v>587.5</v>
      </c>
      <c r="I2393" s="35" t="s">
        <v>142</v>
      </c>
    </row>
    <row r="2394" ht="22.5" customHeight="1">
      <c r="A2394" s="35" t="s">
        <v>5018</v>
      </c>
      <c r="B2394" s="35" t="s">
        <v>5019</v>
      </c>
      <c r="C2394" s="35" t="s">
        <v>7758</v>
      </c>
      <c r="D2394" s="35" t="s">
        <v>167</v>
      </c>
      <c r="E2394" s="35" t="s">
        <v>447</v>
      </c>
      <c r="F2394" s="35">
        <v>296.0</v>
      </c>
      <c r="G2394" s="35">
        <v>8.8</v>
      </c>
      <c r="H2394" s="35">
        <v>33.6</v>
      </c>
      <c r="I2394" s="35" t="s">
        <v>75</v>
      </c>
    </row>
    <row r="2395" ht="22.5" customHeight="1">
      <c r="A2395" s="35" t="s">
        <v>5020</v>
      </c>
      <c r="B2395" s="35" t="s">
        <v>5021</v>
      </c>
      <c r="C2395" s="35" t="s">
        <v>7758</v>
      </c>
      <c r="D2395" s="35" t="s">
        <v>118</v>
      </c>
      <c r="E2395" s="35" t="s">
        <v>300</v>
      </c>
      <c r="F2395" s="35">
        <v>5867.0</v>
      </c>
      <c r="G2395" s="35">
        <v>9.6</v>
      </c>
      <c r="H2395" s="35">
        <v>611.1</v>
      </c>
      <c r="I2395" s="35" t="s">
        <v>142</v>
      </c>
    </row>
    <row r="2396" ht="22.5" customHeight="1">
      <c r="A2396" s="35" t="s">
        <v>5022</v>
      </c>
      <c r="B2396" s="35" t="s">
        <v>5023</v>
      </c>
      <c r="C2396" s="35" t="s">
        <v>7758</v>
      </c>
      <c r="D2396" s="35" t="s">
        <v>116</v>
      </c>
      <c r="E2396" s="35" t="s">
        <v>285</v>
      </c>
      <c r="F2396" s="35">
        <v>2939.0</v>
      </c>
      <c r="G2396" s="35">
        <v>3.43</v>
      </c>
      <c r="H2396" s="35">
        <v>856.9</v>
      </c>
      <c r="I2396" s="35" t="s">
        <v>142</v>
      </c>
    </row>
    <row r="2397" ht="22.5" customHeight="1">
      <c r="A2397" s="35" t="s">
        <v>5024</v>
      </c>
      <c r="B2397" s="35" t="s">
        <v>5025</v>
      </c>
      <c r="C2397" s="35" t="s">
        <v>7758</v>
      </c>
      <c r="D2397" s="35" t="s">
        <v>118</v>
      </c>
      <c r="E2397" s="35" t="s">
        <v>300</v>
      </c>
      <c r="F2397" s="35">
        <v>622.0</v>
      </c>
      <c r="G2397" s="35">
        <v>2.11</v>
      </c>
      <c r="H2397" s="35">
        <v>294.8</v>
      </c>
      <c r="I2397" s="35" t="s">
        <v>62</v>
      </c>
    </row>
    <row r="2398" ht="22.5" customHeight="1">
      <c r="A2398" s="35" t="s">
        <v>5026</v>
      </c>
      <c r="B2398" s="35" t="s">
        <v>5027</v>
      </c>
      <c r="C2398" s="35" t="s">
        <v>7758</v>
      </c>
      <c r="D2398" s="35" t="s">
        <v>169</v>
      </c>
      <c r="E2398" s="35" t="s">
        <v>449</v>
      </c>
      <c r="F2398" s="35">
        <v>1399.0</v>
      </c>
      <c r="G2398" s="35">
        <v>10.75</v>
      </c>
      <c r="H2398" s="35">
        <v>130.1</v>
      </c>
      <c r="I2398" s="35" t="s">
        <v>62</v>
      </c>
    </row>
    <row r="2399" ht="22.5" customHeight="1">
      <c r="A2399" s="35" t="s">
        <v>5028</v>
      </c>
      <c r="B2399" s="35" t="s">
        <v>777</v>
      </c>
      <c r="C2399" s="35" t="s">
        <v>7758</v>
      </c>
      <c r="D2399" s="35" t="s">
        <v>219</v>
      </c>
      <c r="E2399" s="35" t="s">
        <v>377</v>
      </c>
      <c r="F2399" s="35">
        <v>301.0</v>
      </c>
      <c r="G2399" s="35">
        <v>5.37</v>
      </c>
      <c r="H2399" s="35">
        <v>56.1</v>
      </c>
      <c r="I2399" s="35" t="s">
        <v>75</v>
      </c>
    </row>
    <row r="2400" ht="22.5" customHeight="1">
      <c r="A2400" s="35" t="s">
        <v>5029</v>
      </c>
      <c r="B2400" s="35" t="s">
        <v>5030</v>
      </c>
      <c r="C2400" s="35" t="s">
        <v>7758</v>
      </c>
      <c r="D2400" s="35" t="s">
        <v>132</v>
      </c>
      <c r="E2400" s="35" t="s">
        <v>346</v>
      </c>
      <c r="F2400" s="35">
        <v>378.0</v>
      </c>
      <c r="G2400" s="35">
        <v>5.88</v>
      </c>
      <c r="H2400" s="35">
        <v>64.3</v>
      </c>
      <c r="I2400" s="35" t="s">
        <v>75</v>
      </c>
    </row>
    <row r="2401" ht="22.5" customHeight="1">
      <c r="A2401" s="35" t="s">
        <v>5031</v>
      </c>
      <c r="B2401" s="35" t="s">
        <v>5032</v>
      </c>
      <c r="C2401" s="35" t="s">
        <v>7758</v>
      </c>
      <c r="D2401" s="35" t="s">
        <v>167</v>
      </c>
      <c r="E2401" s="35" t="s">
        <v>447</v>
      </c>
      <c r="F2401" s="35">
        <v>178.0</v>
      </c>
      <c r="G2401" s="35">
        <v>6.09</v>
      </c>
      <c r="H2401" s="35">
        <v>29.2</v>
      </c>
      <c r="I2401" s="35" t="s">
        <v>75</v>
      </c>
    </row>
    <row r="2402" ht="22.5" customHeight="1">
      <c r="A2402" s="35" t="s">
        <v>5033</v>
      </c>
      <c r="B2402" s="35" t="s">
        <v>5034</v>
      </c>
      <c r="C2402" s="35" t="s">
        <v>7758</v>
      </c>
      <c r="D2402" s="35" t="s">
        <v>206</v>
      </c>
      <c r="E2402" s="35" t="s">
        <v>533</v>
      </c>
      <c r="F2402" s="35">
        <v>124.0</v>
      </c>
      <c r="G2402" s="35">
        <v>2.22</v>
      </c>
      <c r="H2402" s="35">
        <v>55.9</v>
      </c>
      <c r="I2402" s="35" t="s">
        <v>75</v>
      </c>
    </row>
    <row r="2403" ht="22.5" customHeight="1">
      <c r="A2403" s="35" t="s">
        <v>5035</v>
      </c>
      <c r="B2403" s="35" t="s">
        <v>5036</v>
      </c>
      <c r="C2403" s="35" t="s">
        <v>7758</v>
      </c>
      <c r="D2403" s="35" t="s">
        <v>219</v>
      </c>
      <c r="E2403" s="35" t="s">
        <v>377</v>
      </c>
      <c r="F2403" s="35">
        <v>1706.0</v>
      </c>
      <c r="G2403" s="35">
        <v>9.45</v>
      </c>
      <c r="H2403" s="35">
        <v>180.5</v>
      </c>
      <c r="I2403" s="35" t="s">
        <v>62</v>
      </c>
    </row>
    <row r="2404" ht="22.5" customHeight="1">
      <c r="A2404" s="35" t="s">
        <v>5037</v>
      </c>
      <c r="B2404" s="35" t="s">
        <v>5038</v>
      </c>
      <c r="C2404" s="35" t="s">
        <v>7758</v>
      </c>
      <c r="D2404" s="35" t="s">
        <v>204</v>
      </c>
      <c r="E2404" s="35" t="s">
        <v>527</v>
      </c>
      <c r="F2404" s="35">
        <v>485.0</v>
      </c>
      <c r="G2404" s="35">
        <v>8.5</v>
      </c>
      <c r="H2404" s="35">
        <v>57.1</v>
      </c>
      <c r="I2404" s="35" t="s">
        <v>75</v>
      </c>
    </row>
    <row r="2405" ht="22.5" customHeight="1">
      <c r="A2405" s="35" t="s">
        <v>5039</v>
      </c>
      <c r="B2405" s="35" t="s">
        <v>5040</v>
      </c>
      <c r="C2405" s="35" t="s">
        <v>7758</v>
      </c>
      <c r="D2405" s="35" t="s">
        <v>118</v>
      </c>
      <c r="E2405" s="35" t="s">
        <v>300</v>
      </c>
      <c r="F2405" s="35">
        <v>511.0</v>
      </c>
      <c r="G2405" s="35">
        <v>2.61</v>
      </c>
      <c r="H2405" s="35">
        <v>195.8</v>
      </c>
      <c r="I2405" s="35" t="s">
        <v>62</v>
      </c>
    </row>
    <row r="2406" ht="22.5" customHeight="1">
      <c r="A2406" s="35" t="s">
        <v>5041</v>
      </c>
      <c r="B2406" s="35" t="s">
        <v>5042</v>
      </c>
      <c r="C2406" s="35" t="s">
        <v>7758</v>
      </c>
      <c r="D2406" s="35" t="s">
        <v>139</v>
      </c>
      <c r="E2406" s="35" t="s">
        <v>354</v>
      </c>
      <c r="F2406" s="35">
        <v>2181.0</v>
      </c>
      <c r="G2406" s="35">
        <v>12.8</v>
      </c>
      <c r="H2406" s="35">
        <v>170.4</v>
      </c>
      <c r="I2406" s="35" t="s">
        <v>142</v>
      </c>
    </row>
    <row r="2407" ht="22.5" customHeight="1">
      <c r="A2407" s="35" t="s">
        <v>5043</v>
      </c>
      <c r="B2407" s="35" t="s">
        <v>5044</v>
      </c>
      <c r="C2407" s="35" t="s">
        <v>7758</v>
      </c>
      <c r="D2407" s="35" t="s">
        <v>128</v>
      </c>
      <c r="E2407" s="35" t="s">
        <v>338</v>
      </c>
      <c r="F2407" s="35">
        <v>682.0</v>
      </c>
      <c r="G2407" s="35">
        <v>9.15</v>
      </c>
      <c r="H2407" s="35">
        <v>74.5</v>
      </c>
      <c r="I2407" s="35" t="s">
        <v>62</v>
      </c>
    </row>
    <row r="2408" ht="22.5" customHeight="1">
      <c r="A2408" s="35" t="s">
        <v>5045</v>
      </c>
      <c r="B2408" s="35" t="s">
        <v>5046</v>
      </c>
      <c r="C2408" s="35" t="s">
        <v>7758</v>
      </c>
      <c r="D2408" s="35" t="s">
        <v>234</v>
      </c>
      <c r="E2408" s="35" t="s">
        <v>552</v>
      </c>
      <c r="F2408" s="35">
        <v>370.0</v>
      </c>
      <c r="G2408" s="35">
        <v>3.0</v>
      </c>
      <c r="H2408" s="35">
        <v>123.3</v>
      </c>
      <c r="I2408" s="35" t="s">
        <v>75</v>
      </c>
    </row>
    <row r="2409" ht="22.5" customHeight="1">
      <c r="A2409" s="35" t="s">
        <v>5047</v>
      </c>
      <c r="B2409" s="35" t="s">
        <v>5048</v>
      </c>
      <c r="C2409" s="35" t="s">
        <v>7758</v>
      </c>
      <c r="D2409" s="35" t="s">
        <v>127</v>
      </c>
      <c r="E2409" s="35" t="s">
        <v>323</v>
      </c>
      <c r="F2409" s="35">
        <v>2805.0</v>
      </c>
      <c r="G2409" s="35">
        <v>1.17</v>
      </c>
      <c r="H2409" s="35">
        <v>2397.4</v>
      </c>
      <c r="I2409" s="35" t="s">
        <v>142</v>
      </c>
    </row>
    <row r="2410" ht="22.5" customHeight="1">
      <c r="A2410" s="35" t="s">
        <v>5049</v>
      </c>
      <c r="B2410" s="35" t="s">
        <v>5050</v>
      </c>
      <c r="C2410" s="35" t="s">
        <v>7758</v>
      </c>
      <c r="D2410" s="35" t="s">
        <v>191</v>
      </c>
      <c r="E2410" s="35" t="s">
        <v>504</v>
      </c>
      <c r="F2410" s="35">
        <v>836.0</v>
      </c>
      <c r="G2410" s="35">
        <v>6.39</v>
      </c>
      <c r="H2410" s="35">
        <v>130.8</v>
      </c>
      <c r="I2410" s="35" t="s">
        <v>62</v>
      </c>
    </row>
    <row r="2411" ht="22.5" customHeight="1">
      <c r="A2411" s="35" t="s">
        <v>5051</v>
      </c>
      <c r="B2411" s="35" t="s">
        <v>5052</v>
      </c>
      <c r="C2411" s="35" t="s">
        <v>7758</v>
      </c>
      <c r="D2411" s="35" t="s">
        <v>187</v>
      </c>
      <c r="E2411" s="35" t="s">
        <v>488</v>
      </c>
      <c r="F2411" s="35">
        <v>241.0</v>
      </c>
      <c r="G2411" s="35">
        <v>11.69</v>
      </c>
      <c r="H2411" s="35">
        <v>20.6</v>
      </c>
      <c r="I2411" s="35" t="s">
        <v>75</v>
      </c>
    </row>
    <row r="2412" ht="22.5" customHeight="1">
      <c r="A2412" s="35" t="s">
        <v>5053</v>
      </c>
      <c r="B2412" s="35" t="s">
        <v>5054</v>
      </c>
      <c r="C2412" s="35" t="s">
        <v>7758</v>
      </c>
      <c r="D2412" s="35" t="s">
        <v>139</v>
      </c>
      <c r="E2412" s="35" t="s">
        <v>354</v>
      </c>
      <c r="F2412" s="35">
        <v>1594.0</v>
      </c>
      <c r="G2412" s="35">
        <v>20.18</v>
      </c>
      <c r="H2412" s="35">
        <v>79.0</v>
      </c>
      <c r="I2412" s="35" t="s">
        <v>62</v>
      </c>
    </row>
    <row r="2413" ht="22.5" customHeight="1">
      <c r="A2413" s="35" t="s">
        <v>5055</v>
      </c>
      <c r="B2413" s="35" t="s">
        <v>5056</v>
      </c>
      <c r="C2413" s="35" t="s">
        <v>7758</v>
      </c>
      <c r="D2413" s="35" t="s">
        <v>187</v>
      </c>
      <c r="E2413" s="35" t="s">
        <v>488</v>
      </c>
      <c r="F2413" s="35">
        <v>237.0</v>
      </c>
      <c r="G2413" s="35">
        <v>4.98</v>
      </c>
      <c r="H2413" s="35">
        <v>47.6</v>
      </c>
      <c r="I2413" s="35" t="s">
        <v>75</v>
      </c>
    </row>
    <row r="2414" ht="22.5" customHeight="1">
      <c r="A2414" s="35" t="s">
        <v>5057</v>
      </c>
      <c r="B2414" s="35" t="s">
        <v>5058</v>
      </c>
      <c r="C2414" s="35" t="s">
        <v>7758</v>
      </c>
      <c r="D2414" s="35" t="s">
        <v>139</v>
      </c>
      <c r="E2414" s="35" t="s">
        <v>354</v>
      </c>
      <c r="F2414" s="35">
        <v>3737.0</v>
      </c>
      <c r="G2414" s="35">
        <v>25.69</v>
      </c>
      <c r="H2414" s="35">
        <v>145.5</v>
      </c>
      <c r="I2414" s="35" t="s">
        <v>142</v>
      </c>
    </row>
    <row r="2415" ht="22.5" customHeight="1">
      <c r="A2415" s="35" t="s">
        <v>5059</v>
      </c>
      <c r="B2415" s="35" t="s">
        <v>5060</v>
      </c>
      <c r="C2415" s="35" t="s">
        <v>7758</v>
      </c>
      <c r="D2415" s="35" t="s">
        <v>219</v>
      </c>
      <c r="E2415" s="35" t="s">
        <v>377</v>
      </c>
      <c r="F2415" s="35">
        <v>491.0</v>
      </c>
      <c r="G2415" s="35">
        <v>8.11</v>
      </c>
      <c r="H2415" s="35">
        <v>60.5</v>
      </c>
      <c r="I2415" s="35" t="s">
        <v>75</v>
      </c>
    </row>
    <row r="2416" ht="22.5" customHeight="1">
      <c r="A2416" s="35" t="s">
        <v>5061</v>
      </c>
      <c r="B2416" s="35" t="s">
        <v>5062</v>
      </c>
      <c r="C2416" s="35" t="s">
        <v>7758</v>
      </c>
      <c r="D2416" s="35" t="s">
        <v>206</v>
      </c>
      <c r="E2416" s="35" t="s">
        <v>533</v>
      </c>
      <c r="F2416" s="35">
        <v>238.0</v>
      </c>
      <c r="G2416" s="35">
        <v>6.92</v>
      </c>
      <c r="H2416" s="35">
        <v>34.4</v>
      </c>
      <c r="I2416" s="35" t="s">
        <v>75</v>
      </c>
    </row>
    <row r="2417" ht="22.5" customHeight="1">
      <c r="A2417" s="35" t="s">
        <v>5063</v>
      </c>
      <c r="B2417" s="35" t="s">
        <v>5064</v>
      </c>
      <c r="C2417" s="35" t="s">
        <v>7758</v>
      </c>
      <c r="D2417" s="35" t="s">
        <v>132</v>
      </c>
      <c r="E2417" s="35" t="s">
        <v>346</v>
      </c>
      <c r="F2417" s="35">
        <v>2619.0</v>
      </c>
      <c r="G2417" s="35">
        <v>3.93</v>
      </c>
      <c r="H2417" s="35">
        <v>666.4</v>
      </c>
      <c r="I2417" s="35" t="s">
        <v>142</v>
      </c>
    </row>
    <row r="2418" ht="22.5" customHeight="1">
      <c r="A2418" s="35" t="s">
        <v>5065</v>
      </c>
      <c r="B2418" s="35" t="s">
        <v>5066</v>
      </c>
      <c r="C2418" s="35" t="s">
        <v>7758</v>
      </c>
      <c r="D2418" s="35" t="s">
        <v>206</v>
      </c>
      <c r="E2418" s="35" t="s">
        <v>533</v>
      </c>
      <c r="F2418" s="35">
        <v>71.0</v>
      </c>
      <c r="G2418" s="35">
        <v>4.27</v>
      </c>
      <c r="H2418" s="35">
        <v>16.6</v>
      </c>
      <c r="I2418" s="35" t="s">
        <v>75</v>
      </c>
    </row>
    <row r="2419" ht="22.5" customHeight="1">
      <c r="A2419" s="35" t="s">
        <v>5067</v>
      </c>
      <c r="B2419" s="35" t="s">
        <v>5068</v>
      </c>
      <c r="C2419" s="35" t="s">
        <v>7758</v>
      </c>
      <c r="D2419" s="35" t="s">
        <v>187</v>
      </c>
      <c r="E2419" s="35" t="s">
        <v>488</v>
      </c>
      <c r="F2419" s="35">
        <v>230.0</v>
      </c>
      <c r="G2419" s="35">
        <v>9.24</v>
      </c>
      <c r="H2419" s="35">
        <v>24.9</v>
      </c>
      <c r="I2419" s="35" t="s">
        <v>75</v>
      </c>
    </row>
    <row r="2420" ht="22.5" customHeight="1">
      <c r="A2420" s="35" t="s">
        <v>5069</v>
      </c>
      <c r="B2420" s="35" t="s">
        <v>5070</v>
      </c>
      <c r="C2420" s="35" t="s">
        <v>7758</v>
      </c>
      <c r="D2420" s="35" t="s">
        <v>206</v>
      </c>
      <c r="E2420" s="35" t="s">
        <v>533</v>
      </c>
      <c r="F2420" s="35">
        <v>221.0</v>
      </c>
      <c r="G2420" s="35">
        <v>6.4</v>
      </c>
      <c r="H2420" s="35">
        <v>34.5</v>
      </c>
      <c r="I2420" s="35" t="s">
        <v>75</v>
      </c>
    </row>
    <row r="2421" ht="22.5" customHeight="1">
      <c r="A2421" s="35" t="s">
        <v>5071</v>
      </c>
      <c r="B2421" s="35" t="s">
        <v>5072</v>
      </c>
      <c r="C2421" s="35" t="s">
        <v>7758</v>
      </c>
      <c r="D2421" s="35" t="s">
        <v>139</v>
      </c>
      <c r="E2421" s="35" t="s">
        <v>354</v>
      </c>
      <c r="F2421" s="35">
        <v>338.0</v>
      </c>
      <c r="G2421" s="35">
        <v>5.4</v>
      </c>
      <c r="H2421" s="35">
        <v>62.6</v>
      </c>
      <c r="I2421" s="35" t="s">
        <v>75</v>
      </c>
    </row>
    <row r="2422" ht="22.5" customHeight="1">
      <c r="A2422" s="35" t="s">
        <v>5073</v>
      </c>
      <c r="B2422" s="35" t="s">
        <v>5074</v>
      </c>
      <c r="C2422" s="35" t="s">
        <v>7758</v>
      </c>
      <c r="D2422" s="35" t="s">
        <v>204</v>
      </c>
      <c r="E2422" s="35" t="s">
        <v>527</v>
      </c>
      <c r="F2422" s="35">
        <v>396.0</v>
      </c>
      <c r="G2422" s="35">
        <v>7.1</v>
      </c>
      <c r="H2422" s="35">
        <v>55.8</v>
      </c>
      <c r="I2422" s="35" t="s">
        <v>75</v>
      </c>
    </row>
    <row r="2423" ht="22.5" customHeight="1">
      <c r="A2423" s="35" t="s">
        <v>5075</v>
      </c>
      <c r="B2423" s="35" t="s">
        <v>5076</v>
      </c>
      <c r="C2423" s="35" t="s">
        <v>7758</v>
      </c>
      <c r="D2423" s="35" t="s">
        <v>141</v>
      </c>
      <c r="E2423" s="35" t="s">
        <v>220</v>
      </c>
      <c r="F2423" s="35">
        <v>223.0</v>
      </c>
      <c r="G2423" s="35">
        <v>7.36</v>
      </c>
      <c r="H2423" s="35">
        <v>30.3</v>
      </c>
      <c r="I2423" s="35" t="s">
        <v>75</v>
      </c>
    </row>
    <row r="2424" ht="22.5" customHeight="1">
      <c r="A2424" s="35" t="s">
        <v>5077</v>
      </c>
      <c r="B2424" s="35" t="s">
        <v>5078</v>
      </c>
      <c r="C2424" s="35" t="s">
        <v>7758</v>
      </c>
      <c r="D2424" s="35" t="s">
        <v>191</v>
      </c>
      <c r="E2424" s="35" t="s">
        <v>504</v>
      </c>
      <c r="F2424" s="35">
        <v>461.0</v>
      </c>
      <c r="G2424" s="35">
        <v>5.89</v>
      </c>
      <c r="H2424" s="35">
        <v>78.3</v>
      </c>
      <c r="I2424" s="35" t="s">
        <v>75</v>
      </c>
    </row>
    <row r="2425" ht="22.5" customHeight="1">
      <c r="A2425" s="35" t="s">
        <v>5079</v>
      </c>
      <c r="B2425" s="35" t="s">
        <v>5080</v>
      </c>
      <c r="C2425" s="35" t="s">
        <v>7758</v>
      </c>
      <c r="D2425" s="35" t="s">
        <v>191</v>
      </c>
      <c r="E2425" s="35" t="s">
        <v>504</v>
      </c>
      <c r="F2425" s="35">
        <v>1594.0</v>
      </c>
      <c r="G2425" s="35">
        <v>9.38</v>
      </c>
      <c r="H2425" s="35">
        <v>169.9</v>
      </c>
      <c r="I2425" s="35" t="s">
        <v>62</v>
      </c>
    </row>
    <row r="2426" ht="22.5" customHeight="1">
      <c r="A2426" s="35" t="s">
        <v>5081</v>
      </c>
      <c r="B2426" s="35" t="s">
        <v>5082</v>
      </c>
      <c r="C2426" s="35" t="s">
        <v>7758</v>
      </c>
      <c r="D2426" s="35" t="s">
        <v>118</v>
      </c>
      <c r="E2426" s="35" t="s">
        <v>300</v>
      </c>
      <c r="F2426" s="35">
        <v>1753.0</v>
      </c>
      <c r="G2426" s="35">
        <v>3.6</v>
      </c>
      <c r="H2426" s="35">
        <v>486.9</v>
      </c>
      <c r="I2426" s="35" t="s">
        <v>62</v>
      </c>
    </row>
    <row r="2427" ht="22.5" customHeight="1">
      <c r="A2427" s="35" t="s">
        <v>5083</v>
      </c>
      <c r="B2427" s="35" t="s">
        <v>5084</v>
      </c>
      <c r="C2427" s="35" t="s">
        <v>7758</v>
      </c>
      <c r="D2427" s="35" t="s">
        <v>127</v>
      </c>
      <c r="E2427" s="35" t="s">
        <v>323</v>
      </c>
      <c r="F2427" s="35">
        <v>1979.0</v>
      </c>
      <c r="G2427" s="35">
        <v>2.51</v>
      </c>
      <c r="H2427" s="35">
        <v>788.4</v>
      </c>
      <c r="I2427" s="35" t="s">
        <v>62</v>
      </c>
    </row>
    <row r="2428" ht="22.5" customHeight="1">
      <c r="A2428" s="35" t="s">
        <v>5085</v>
      </c>
      <c r="B2428" s="35" t="s">
        <v>5086</v>
      </c>
      <c r="C2428" s="35" t="s">
        <v>7758</v>
      </c>
      <c r="D2428" s="35" t="s">
        <v>128</v>
      </c>
      <c r="E2428" s="35" t="s">
        <v>338</v>
      </c>
      <c r="F2428" s="35">
        <v>304.0</v>
      </c>
      <c r="G2428" s="35">
        <v>4.41</v>
      </c>
      <c r="H2428" s="35">
        <v>68.9</v>
      </c>
      <c r="I2428" s="35" t="s">
        <v>75</v>
      </c>
    </row>
    <row r="2429" ht="22.5" customHeight="1">
      <c r="A2429" s="35" t="s">
        <v>5087</v>
      </c>
      <c r="B2429" s="35" t="s">
        <v>5088</v>
      </c>
      <c r="C2429" s="35" t="s">
        <v>7758</v>
      </c>
      <c r="D2429" s="35" t="s">
        <v>118</v>
      </c>
      <c r="E2429" s="35" t="s">
        <v>300</v>
      </c>
      <c r="F2429" s="35">
        <v>913.0</v>
      </c>
      <c r="G2429" s="35">
        <v>5.32</v>
      </c>
      <c r="H2429" s="35">
        <v>171.6</v>
      </c>
      <c r="I2429" s="35" t="s">
        <v>62</v>
      </c>
    </row>
    <row r="2430" ht="22.5" customHeight="1">
      <c r="A2430" s="35" t="s">
        <v>5089</v>
      </c>
      <c r="B2430" s="35" t="s">
        <v>5090</v>
      </c>
      <c r="C2430" s="35" t="s">
        <v>7758</v>
      </c>
      <c r="D2430" s="35" t="s">
        <v>118</v>
      </c>
      <c r="E2430" s="35" t="s">
        <v>300</v>
      </c>
      <c r="F2430" s="35">
        <v>354.0</v>
      </c>
      <c r="G2430" s="35">
        <v>3.99</v>
      </c>
      <c r="H2430" s="35">
        <v>88.7</v>
      </c>
      <c r="I2430" s="35" t="s">
        <v>75</v>
      </c>
    </row>
    <row r="2431" ht="22.5" customHeight="1">
      <c r="A2431" s="35" t="s">
        <v>5091</v>
      </c>
      <c r="B2431" s="35" t="s">
        <v>5092</v>
      </c>
      <c r="C2431" s="35" t="s">
        <v>7758</v>
      </c>
      <c r="D2431" s="35" t="s">
        <v>128</v>
      </c>
      <c r="E2431" s="35" t="s">
        <v>338</v>
      </c>
      <c r="F2431" s="35">
        <v>342.0</v>
      </c>
      <c r="G2431" s="35">
        <v>3.12</v>
      </c>
      <c r="H2431" s="35">
        <v>109.6</v>
      </c>
      <c r="I2431" s="35" t="s">
        <v>75</v>
      </c>
    </row>
    <row r="2432" ht="22.5" customHeight="1">
      <c r="A2432" s="35" t="s">
        <v>5093</v>
      </c>
      <c r="B2432" s="35" t="s">
        <v>5094</v>
      </c>
      <c r="C2432" s="35" t="s">
        <v>7758</v>
      </c>
      <c r="D2432" s="35" t="s">
        <v>169</v>
      </c>
      <c r="E2432" s="35" t="s">
        <v>449</v>
      </c>
      <c r="F2432" s="35">
        <v>224.0</v>
      </c>
      <c r="G2432" s="35">
        <v>5.18</v>
      </c>
      <c r="H2432" s="35">
        <v>43.2</v>
      </c>
      <c r="I2432" s="35" t="s">
        <v>75</v>
      </c>
    </row>
    <row r="2433" ht="22.5" customHeight="1">
      <c r="A2433" s="35" t="s">
        <v>5095</v>
      </c>
      <c r="B2433" s="35" t="s">
        <v>5096</v>
      </c>
      <c r="C2433" s="35" t="s">
        <v>7758</v>
      </c>
      <c r="D2433" s="35" t="s">
        <v>219</v>
      </c>
      <c r="E2433" s="35" t="s">
        <v>377</v>
      </c>
      <c r="F2433" s="35">
        <v>476.0</v>
      </c>
      <c r="G2433" s="35">
        <v>5.21</v>
      </c>
      <c r="H2433" s="35">
        <v>91.4</v>
      </c>
      <c r="I2433" s="35" t="s">
        <v>75</v>
      </c>
    </row>
    <row r="2434" ht="22.5" customHeight="1">
      <c r="A2434" s="35" t="s">
        <v>5097</v>
      </c>
      <c r="B2434" s="35" t="s">
        <v>5098</v>
      </c>
      <c r="C2434" s="35" t="s">
        <v>7758</v>
      </c>
      <c r="D2434" s="35" t="s">
        <v>128</v>
      </c>
      <c r="E2434" s="35" t="s">
        <v>338</v>
      </c>
      <c r="F2434" s="35">
        <v>10710.0</v>
      </c>
      <c r="G2434" s="35">
        <v>12.53</v>
      </c>
      <c r="H2434" s="35">
        <v>854.7</v>
      </c>
      <c r="I2434" s="35" t="s">
        <v>571</v>
      </c>
    </row>
    <row r="2435" ht="22.5" customHeight="1">
      <c r="A2435" s="35" t="s">
        <v>5099</v>
      </c>
      <c r="B2435" s="35" t="s">
        <v>5100</v>
      </c>
      <c r="C2435" s="35" t="s">
        <v>7758</v>
      </c>
      <c r="D2435" s="35" t="s">
        <v>219</v>
      </c>
      <c r="E2435" s="35" t="s">
        <v>377</v>
      </c>
      <c r="F2435" s="35">
        <v>252.0</v>
      </c>
      <c r="G2435" s="35">
        <v>3.54</v>
      </c>
      <c r="H2435" s="35">
        <v>71.2</v>
      </c>
      <c r="I2435" s="35" t="s">
        <v>75</v>
      </c>
    </row>
    <row r="2436" ht="22.5" customHeight="1">
      <c r="A2436" s="35" t="s">
        <v>5101</v>
      </c>
      <c r="B2436" s="35" t="s">
        <v>5102</v>
      </c>
      <c r="C2436" s="35" t="s">
        <v>7758</v>
      </c>
      <c r="D2436" s="35" t="s">
        <v>234</v>
      </c>
      <c r="E2436" s="35" t="s">
        <v>552</v>
      </c>
      <c r="F2436" s="35">
        <v>327.0</v>
      </c>
      <c r="G2436" s="35">
        <v>2.25</v>
      </c>
      <c r="H2436" s="35">
        <v>145.3</v>
      </c>
      <c r="I2436" s="35" t="s">
        <v>75</v>
      </c>
    </row>
    <row r="2437" ht="22.5" customHeight="1">
      <c r="A2437" s="35" t="s">
        <v>5103</v>
      </c>
      <c r="B2437" s="35" t="s">
        <v>5104</v>
      </c>
      <c r="C2437" s="35" t="s">
        <v>7758</v>
      </c>
      <c r="D2437" s="35" t="s">
        <v>116</v>
      </c>
      <c r="E2437" s="35" t="s">
        <v>285</v>
      </c>
      <c r="F2437" s="35">
        <v>4628.0</v>
      </c>
      <c r="G2437" s="35">
        <v>4.56</v>
      </c>
      <c r="H2437" s="35">
        <v>1014.9</v>
      </c>
      <c r="I2437" s="35" t="s">
        <v>142</v>
      </c>
    </row>
    <row r="2438" ht="22.5" customHeight="1">
      <c r="A2438" s="35" t="s">
        <v>5105</v>
      </c>
      <c r="B2438" s="35" t="s">
        <v>5106</v>
      </c>
      <c r="C2438" s="35" t="s">
        <v>7758</v>
      </c>
      <c r="D2438" s="35" t="s">
        <v>169</v>
      </c>
      <c r="E2438" s="35" t="s">
        <v>449</v>
      </c>
      <c r="F2438" s="35">
        <v>111.0</v>
      </c>
      <c r="G2438" s="35">
        <v>4.59</v>
      </c>
      <c r="H2438" s="35">
        <v>24.2</v>
      </c>
      <c r="I2438" s="35" t="s">
        <v>75</v>
      </c>
    </row>
    <row r="2439" ht="22.5" customHeight="1">
      <c r="A2439" s="35" t="s">
        <v>5107</v>
      </c>
      <c r="B2439" s="35" t="s">
        <v>5108</v>
      </c>
      <c r="C2439" s="35" t="s">
        <v>7758</v>
      </c>
      <c r="D2439" s="35" t="s">
        <v>234</v>
      </c>
      <c r="E2439" s="35" t="s">
        <v>552</v>
      </c>
      <c r="F2439" s="35">
        <v>1267.0</v>
      </c>
      <c r="G2439" s="35">
        <v>8.58</v>
      </c>
      <c r="H2439" s="35">
        <v>147.7</v>
      </c>
      <c r="I2439" s="35" t="s">
        <v>62</v>
      </c>
    </row>
    <row r="2440" ht="22.5" customHeight="1">
      <c r="A2440" s="35" t="s">
        <v>5109</v>
      </c>
      <c r="B2440" s="35" t="s">
        <v>5110</v>
      </c>
      <c r="C2440" s="35" t="s">
        <v>7758</v>
      </c>
      <c r="D2440" s="35" t="s">
        <v>234</v>
      </c>
      <c r="E2440" s="35" t="s">
        <v>552</v>
      </c>
      <c r="F2440" s="35">
        <v>629.0</v>
      </c>
      <c r="G2440" s="35">
        <v>3.52</v>
      </c>
      <c r="H2440" s="35">
        <v>178.7</v>
      </c>
      <c r="I2440" s="35" t="s">
        <v>62</v>
      </c>
    </row>
    <row r="2441" ht="22.5" customHeight="1">
      <c r="A2441" s="35" t="s">
        <v>5111</v>
      </c>
      <c r="B2441" s="35" t="s">
        <v>5112</v>
      </c>
      <c r="C2441" s="35" t="s">
        <v>7758</v>
      </c>
      <c r="D2441" s="35" t="s">
        <v>139</v>
      </c>
      <c r="E2441" s="35" t="s">
        <v>354</v>
      </c>
      <c r="F2441" s="35">
        <v>932.0</v>
      </c>
      <c r="G2441" s="35">
        <v>7.02</v>
      </c>
      <c r="H2441" s="35">
        <v>132.8</v>
      </c>
      <c r="I2441" s="35" t="s">
        <v>62</v>
      </c>
    </row>
    <row r="2442" ht="22.5" customHeight="1">
      <c r="A2442" s="35" t="s">
        <v>5113</v>
      </c>
      <c r="B2442" s="35" t="s">
        <v>5114</v>
      </c>
      <c r="C2442" s="35" t="s">
        <v>7758</v>
      </c>
      <c r="D2442" s="35" t="s">
        <v>204</v>
      </c>
      <c r="E2442" s="35" t="s">
        <v>527</v>
      </c>
      <c r="F2442" s="35">
        <v>228.0</v>
      </c>
      <c r="G2442" s="35">
        <v>4.99</v>
      </c>
      <c r="H2442" s="35">
        <v>45.7</v>
      </c>
      <c r="I2442" s="35" t="s">
        <v>75</v>
      </c>
    </row>
    <row r="2443" ht="22.5" customHeight="1">
      <c r="A2443" s="35" t="s">
        <v>5115</v>
      </c>
      <c r="B2443" s="35" t="s">
        <v>5116</v>
      </c>
      <c r="C2443" s="35" t="s">
        <v>7758</v>
      </c>
      <c r="D2443" s="35" t="s">
        <v>139</v>
      </c>
      <c r="E2443" s="35" t="s">
        <v>354</v>
      </c>
      <c r="F2443" s="35">
        <v>604.0</v>
      </c>
      <c r="G2443" s="35">
        <v>14.46</v>
      </c>
      <c r="H2443" s="35">
        <v>41.8</v>
      </c>
      <c r="I2443" s="35" t="s">
        <v>62</v>
      </c>
    </row>
    <row r="2444" ht="22.5" customHeight="1">
      <c r="A2444" s="35" t="s">
        <v>5117</v>
      </c>
      <c r="B2444" s="35" t="s">
        <v>5118</v>
      </c>
      <c r="C2444" s="35" t="s">
        <v>7758</v>
      </c>
      <c r="D2444" s="35" t="s">
        <v>118</v>
      </c>
      <c r="E2444" s="35" t="s">
        <v>300</v>
      </c>
      <c r="F2444" s="35">
        <v>861.0</v>
      </c>
      <c r="G2444" s="35">
        <v>3.95</v>
      </c>
      <c r="H2444" s="35">
        <v>218.0</v>
      </c>
      <c r="I2444" s="35" t="s">
        <v>62</v>
      </c>
    </row>
    <row r="2445" ht="22.5" customHeight="1">
      <c r="A2445" s="35" t="s">
        <v>5119</v>
      </c>
      <c r="B2445" s="35" t="s">
        <v>5120</v>
      </c>
      <c r="C2445" s="35" t="s">
        <v>7758</v>
      </c>
      <c r="D2445" s="35" t="s">
        <v>163</v>
      </c>
      <c r="E2445" s="35" t="s">
        <v>441</v>
      </c>
      <c r="F2445" s="35">
        <v>1770.0</v>
      </c>
      <c r="G2445" s="35">
        <v>9.06</v>
      </c>
      <c r="H2445" s="35">
        <v>195.4</v>
      </c>
      <c r="I2445" s="35" t="s">
        <v>62</v>
      </c>
    </row>
    <row r="2446" ht="22.5" customHeight="1">
      <c r="A2446" s="35" t="s">
        <v>5121</v>
      </c>
      <c r="B2446" s="35" t="s">
        <v>5122</v>
      </c>
      <c r="C2446" s="35" t="s">
        <v>7758</v>
      </c>
      <c r="D2446" s="35" t="s">
        <v>118</v>
      </c>
      <c r="E2446" s="35" t="s">
        <v>300</v>
      </c>
      <c r="F2446" s="35">
        <v>1242.0</v>
      </c>
      <c r="G2446" s="35">
        <v>7.71</v>
      </c>
      <c r="H2446" s="35">
        <v>161.1</v>
      </c>
      <c r="I2446" s="35" t="s">
        <v>62</v>
      </c>
    </row>
    <row r="2447" ht="22.5" customHeight="1">
      <c r="A2447" s="35" t="s">
        <v>5123</v>
      </c>
      <c r="B2447" s="35" t="s">
        <v>5124</v>
      </c>
      <c r="C2447" s="35" t="s">
        <v>7758</v>
      </c>
      <c r="D2447" s="35" t="s">
        <v>234</v>
      </c>
      <c r="E2447" s="35" t="s">
        <v>552</v>
      </c>
      <c r="F2447" s="35">
        <v>991.0</v>
      </c>
      <c r="G2447" s="35">
        <v>5.51</v>
      </c>
      <c r="H2447" s="35">
        <v>179.9</v>
      </c>
      <c r="I2447" s="35" t="s">
        <v>62</v>
      </c>
    </row>
    <row r="2448" ht="22.5" customHeight="1">
      <c r="A2448" s="35" t="s">
        <v>5125</v>
      </c>
      <c r="B2448" s="35" t="s">
        <v>5126</v>
      </c>
      <c r="C2448" s="35" t="s">
        <v>7758</v>
      </c>
      <c r="D2448" s="35" t="s">
        <v>234</v>
      </c>
      <c r="E2448" s="35" t="s">
        <v>552</v>
      </c>
      <c r="F2448" s="35">
        <v>496.0</v>
      </c>
      <c r="G2448" s="35">
        <v>5.86</v>
      </c>
      <c r="H2448" s="35">
        <v>84.6</v>
      </c>
      <c r="I2448" s="35" t="s">
        <v>75</v>
      </c>
    </row>
    <row r="2449" ht="22.5" customHeight="1">
      <c r="A2449" s="35" t="s">
        <v>5127</v>
      </c>
      <c r="B2449" s="35" t="s">
        <v>5128</v>
      </c>
      <c r="C2449" s="35" t="s">
        <v>7758</v>
      </c>
      <c r="D2449" s="35" t="s">
        <v>206</v>
      </c>
      <c r="E2449" s="35" t="s">
        <v>533</v>
      </c>
      <c r="F2449" s="35">
        <v>354.0</v>
      </c>
      <c r="G2449" s="35">
        <v>11.05</v>
      </c>
      <c r="H2449" s="35">
        <v>32.0</v>
      </c>
      <c r="I2449" s="35" t="s">
        <v>75</v>
      </c>
    </row>
    <row r="2450" ht="22.5" customHeight="1">
      <c r="A2450" s="35" t="s">
        <v>5129</v>
      </c>
      <c r="B2450" s="35" t="s">
        <v>5130</v>
      </c>
      <c r="C2450" s="35" t="s">
        <v>7758</v>
      </c>
      <c r="D2450" s="35" t="s">
        <v>223</v>
      </c>
      <c r="E2450" s="35" t="s">
        <v>380</v>
      </c>
      <c r="F2450" s="35">
        <v>850.0</v>
      </c>
      <c r="G2450" s="35">
        <v>11.61</v>
      </c>
      <c r="H2450" s="35">
        <v>73.2</v>
      </c>
      <c r="I2450" s="35" t="s">
        <v>62</v>
      </c>
    </row>
    <row r="2451" ht="22.5" customHeight="1">
      <c r="A2451" s="35" t="s">
        <v>5131</v>
      </c>
      <c r="B2451" s="35" t="s">
        <v>5132</v>
      </c>
      <c r="C2451" s="35" t="s">
        <v>7758</v>
      </c>
      <c r="D2451" s="35" t="s">
        <v>167</v>
      </c>
      <c r="E2451" s="35" t="s">
        <v>447</v>
      </c>
      <c r="F2451" s="35">
        <v>510.0</v>
      </c>
      <c r="G2451" s="35">
        <v>20.58</v>
      </c>
      <c r="H2451" s="35">
        <v>24.8</v>
      </c>
      <c r="I2451" s="35" t="s">
        <v>62</v>
      </c>
    </row>
    <row r="2452" ht="22.5" customHeight="1">
      <c r="A2452" s="35" t="s">
        <v>5133</v>
      </c>
      <c r="B2452" s="35" t="s">
        <v>5134</v>
      </c>
      <c r="C2452" s="35" t="s">
        <v>7758</v>
      </c>
      <c r="D2452" s="35" t="s">
        <v>139</v>
      </c>
      <c r="E2452" s="35" t="s">
        <v>354</v>
      </c>
      <c r="F2452" s="35">
        <v>469.0</v>
      </c>
      <c r="G2452" s="35">
        <v>10.96</v>
      </c>
      <c r="H2452" s="35">
        <v>42.8</v>
      </c>
      <c r="I2452" s="35" t="s">
        <v>75</v>
      </c>
    </row>
    <row r="2453" ht="22.5" customHeight="1">
      <c r="A2453" s="35" t="s">
        <v>5135</v>
      </c>
      <c r="B2453" s="35" t="s">
        <v>5136</v>
      </c>
      <c r="C2453" s="35" t="s">
        <v>7758</v>
      </c>
      <c r="D2453" s="35" t="s">
        <v>206</v>
      </c>
      <c r="E2453" s="35" t="s">
        <v>533</v>
      </c>
      <c r="F2453" s="35">
        <v>227.0</v>
      </c>
      <c r="G2453" s="35">
        <v>5.55</v>
      </c>
      <c r="H2453" s="35">
        <v>40.9</v>
      </c>
      <c r="I2453" s="35" t="s">
        <v>75</v>
      </c>
    </row>
    <row r="2454" ht="22.5" customHeight="1">
      <c r="A2454" s="35" t="s">
        <v>5137</v>
      </c>
      <c r="B2454" s="35" t="s">
        <v>5138</v>
      </c>
      <c r="C2454" s="35" t="s">
        <v>7758</v>
      </c>
      <c r="D2454" s="35" t="s">
        <v>214</v>
      </c>
      <c r="E2454" s="35" t="s">
        <v>366</v>
      </c>
      <c r="F2454" s="35">
        <v>2947.0</v>
      </c>
      <c r="G2454" s="35">
        <v>12.91</v>
      </c>
      <c r="H2454" s="35">
        <v>228.3</v>
      </c>
      <c r="I2454" s="35" t="s">
        <v>142</v>
      </c>
    </row>
    <row r="2455" ht="22.5" customHeight="1">
      <c r="A2455" s="35" t="s">
        <v>5139</v>
      </c>
      <c r="B2455" s="35" t="s">
        <v>853</v>
      </c>
      <c r="C2455" s="35" t="s">
        <v>7758</v>
      </c>
      <c r="D2455" s="35" t="s">
        <v>206</v>
      </c>
      <c r="E2455" s="35" t="s">
        <v>533</v>
      </c>
      <c r="F2455" s="35">
        <v>109.0</v>
      </c>
      <c r="G2455" s="35">
        <v>2.84</v>
      </c>
      <c r="H2455" s="35">
        <v>38.4</v>
      </c>
      <c r="I2455" s="35" t="s">
        <v>75</v>
      </c>
    </row>
    <row r="2456" ht="22.5" customHeight="1">
      <c r="A2456" s="35" t="s">
        <v>5140</v>
      </c>
      <c r="B2456" s="35" t="s">
        <v>5141</v>
      </c>
      <c r="C2456" s="35" t="s">
        <v>7758</v>
      </c>
      <c r="D2456" s="35" t="s">
        <v>206</v>
      </c>
      <c r="E2456" s="35" t="s">
        <v>533</v>
      </c>
      <c r="F2456" s="35">
        <v>877.0</v>
      </c>
      <c r="G2456" s="35">
        <v>4.62</v>
      </c>
      <c r="H2456" s="35">
        <v>189.8</v>
      </c>
      <c r="I2456" s="35" t="s">
        <v>62</v>
      </c>
    </row>
    <row r="2457" ht="22.5" customHeight="1">
      <c r="A2457" s="35" t="s">
        <v>5142</v>
      </c>
      <c r="B2457" s="35" t="s">
        <v>5143</v>
      </c>
      <c r="C2457" s="35" t="s">
        <v>7758</v>
      </c>
      <c r="D2457" s="35" t="s">
        <v>204</v>
      </c>
      <c r="E2457" s="35" t="s">
        <v>527</v>
      </c>
      <c r="F2457" s="35">
        <v>401.0</v>
      </c>
      <c r="G2457" s="35">
        <v>9.27</v>
      </c>
      <c r="H2457" s="35">
        <v>43.3</v>
      </c>
      <c r="I2457" s="35" t="s">
        <v>75</v>
      </c>
    </row>
    <row r="2458" ht="22.5" customHeight="1">
      <c r="A2458" s="35" t="s">
        <v>5144</v>
      </c>
      <c r="B2458" s="35" t="s">
        <v>5145</v>
      </c>
      <c r="C2458" s="35" t="s">
        <v>7758</v>
      </c>
      <c r="D2458" s="35" t="s">
        <v>206</v>
      </c>
      <c r="E2458" s="35" t="s">
        <v>533</v>
      </c>
      <c r="F2458" s="35">
        <v>97.0</v>
      </c>
      <c r="G2458" s="35">
        <v>5.66</v>
      </c>
      <c r="H2458" s="35">
        <v>17.1</v>
      </c>
      <c r="I2458" s="35" t="s">
        <v>75</v>
      </c>
    </row>
    <row r="2459" ht="22.5" customHeight="1">
      <c r="A2459" s="35" t="s">
        <v>5146</v>
      </c>
      <c r="B2459" s="35" t="s">
        <v>5147</v>
      </c>
      <c r="C2459" s="35" t="s">
        <v>7758</v>
      </c>
      <c r="D2459" s="35" t="s">
        <v>204</v>
      </c>
      <c r="E2459" s="35" t="s">
        <v>527</v>
      </c>
      <c r="F2459" s="35">
        <v>273.0</v>
      </c>
      <c r="G2459" s="35">
        <v>6.21</v>
      </c>
      <c r="H2459" s="35">
        <v>44.0</v>
      </c>
      <c r="I2459" s="35" t="s">
        <v>75</v>
      </c>
    </row>
    <row r="2460" ht="22.5" customHeight="1">
      <c r="A2460" s="35" t="s">
        <v>5148</v>
      </c>
      <c r="B2460" s="35" t="s">
        <v>5149</v>
      </c>
      <c r="C2460" s="35" t="s">
        <v>7758</v>
      </c>
      <c r="D2460" s="35" t="s">
        <v>206</v>
      </c>
      <c r="E2460" s="35" t="s">
        <v>533</v>
      </c>
      <c r="F2460" s="35">
        <v>105.0</v>
      </c>
      <c r="G2460" s="35">
        <v>3.86</v>
      </c>
      <c r="H2460" s="35">
        <v>27.2</v>
      </c>
      <c r="I2460" s="35" t="s">
        <v>75</v>
      </c>
    </row>
    <row r="2461" ht="22.5" customHeight="1">
      <c r="A2461" s="35" t="s">
        <v>5150</v>
      </c>
      <c r="B2461" s="35" t="s">
        <v>5151</v>
      </c>
      <c r="C2461" s="35" t="s">
        <v>7758</v>
      </c>
      <c r="D2461" s="35" t="s">
        <v>206</v>
      </c>
      <c r="E2461" s="35" t="s">
        <v>533</v>
      </c>
      <c r="F2461" s="35">
        <v>92.0</v>
      </c>
      <c r="G2461" s="35">
        <v>3.98</v>
      </c>
      <c r="H2461" s="35">
        <v>23.1</v>
      </c>
      <c r="I2461" s="35" t="s">
        <v>75</v>
      </c>
    </row>
    <row r="2462" ht="22.5" customHeight="1">
      <c r="A2462" s="35" t="s">
        <v>5152</v>
      </c>
      <c r="B2462" s="35" t="s">
        <v>5153</v>
      </c>
      <c r="C2462" s="35" t="s">
        <v>7758</v>
      </c>
      <c r="D2462" s="35" t="s">
        <v>206</v>
      </c>
      <c r="E2462" s="35" t="s">
        <v>533</v>
      </c>
      <c r="F2462" s="35">
        <v>212.0</v>
      </c>
      <c r="G2462" s="35">
        <v>5.94</v>
      </c>
      <c r="H2462" s="35">
        <v>35.7</v>
      </c>
      <c r="I2462" s="35" t="s">
        <v>75</v>
      </c>
    </row>
    <row r="2463" ht="22.5" customHeight="1">
      <c r="A2463" s="35" t="s">
        <v>5154</v>
      </c>
      <c r="B2463" s="35" t="s">
        <v>5155</v>
      </c>
      <c r="C2463" s="35" t="s">
        <v>7758</v>
      </c>
      <c r="D2463" s="35" t="s">
        <v>169</v>
      </c>
      <c r="E2463" s="35" t="s">
        <v>449</v>
      </c>
      <c r="F2463" s="35">
        <v>119.0</v>
      </c>
      <c r="G2463" s="35">
        <v>5.46</v>
      </c>
      <c r="H2463" s="35">
        <v>21.8</v>
      </c>
      <c r="I2463" s="35" t="s">
        <v>75</v>
      </c>
    </row>
    <row r="2464" ht="22.5" customHeight="1">
      <c r="A2464" s="35" t="s">
        <v>5156</v>
      </c>
      <c r="B2464" s="35" t="s">
        <v>5157</v>
      </c>
      <c r="C2464" s="35" t="s">
        <v>7758</v>
      </c>
      <c r="D2464" s="35" t="s">
        <v>206</v>
      </c>
      <c r="E2464" s="35" t="s">
        <v>533</v>
      </c>
      <c r="F2464" s="35">
        <v>148.0</v>
      </c>
      <c r="G2464" s="35">
        <v>3.01</v>
      </c>
      <c r="H2464" s="35">
        <v>49.2</v>
      </c>
      <c r="I2464" s="35" t="s">
        <v>75</v>
      </c>
    </row>
    <row r="2465" ht="22.5" customHeight="1">
      <c r="A2465" s="35" t="s">
        <v>5158</v>
      </c>
      <c r="B2465" s="35" t="s">
        <v>5159</v>
      </c>
      <c r="C2465" s="35" t="s">
        <v>7758</v>
      </c>
      <c r="D2465" s="35" t="s">
        <v>118</v>
      </c>
      <c r="E2465" s="35" t="s">
        <v>300</v>
      </c>
      <c r="F2465" s="35">
        <v>1632.0</v>
      </c>
      <c r="G2465" s="35">
        <v>1.99</v>
      </c>
      <c r="H2465" s="35">
        <v>820.1</v>
      </c>
      <c r="I2465" s="35" t="s">
        <v>62</v>
      </c>
    </row>
    <row r="2466" ht="22.5" customHeight="1">
      <c r="A2466" s="35" t="s">
        <v>5160</v>
      </c>
      <c r="B2466" s="35" t="s">
        <v>5161</v>
      </c>
      <c r="C2466" s="35" t="s">
        <v>7758</v>
      </c>
      <c r="D2466" s="35" t="s">
        <v>118</v>
      </c>
      <c r="E2466" s="35" t="s">
        <v>300</v>
      </c>
      <c r="F2466" s="35">
        <v>1108.0</v>
      </c>
      <c r="G2466" s="35">
        <v>2.42</v>
      </c>
      <c r="H2466" s="35">
        <v>457.9</v>
      </c>
      <c r="I2466" s="35" t="s">
        <v>62</v>
      </c>
    </row>
    <row r="2467" ht="22.5" customHeight="1">
      <c r="A2467" s="35" t="s">
        <v>5162</v>
      </c>
      <c r="B2467" s="35" t="s">
        <v>5163</v>
      </c>
      <c r="C2467" s="35" t="s">
        <v>7758</v>
      </c>
      <c r="D2467" s="35" t="s">
        <v>127</v>
      </c>
      <c r="E2467" s="35" t="s">
        <v>323</v>
      </c>
      <c r="F2467" s="35">
        <v>6087.0</v>
      </c>
      <c r="G2467" s="35">
        <v>4.14</v>
      </c>
      <c r="H2467" s="35">
        <v>1470.3</v>
      </c>
      <c r="I2467" s="35" t="s">
        <v>142</v>
      </c>
    </row>
    <row r="2468" ht="22.5" customHeight="1">
      <c r="A2468" s="35" t="s">
        <v>5164</v>
      </c>
      <c r="B2468" s="35" t="s">
        <v>5165</v>
      </c>
      <c r="C2468" s="35" t="s">
        <v>7758</v>
      </c>
      <c r="D2468" s="35" t="s">
        <v>206</v>
      </c>
      <c r="E2468" s="35" t="s">
        <v>533</v>
      </c>
      <c r="F2468" s="35">
        <v>116.0</v>
      </c>
      <c r="G2468" s="35">
        <v>2.26</v>
      </c>
      <c r="H2468" s="35">
        <v>51.3</v>
      </c>
      <c r="I2468" s="35" t="s">
        <v>75</v>
      </c>
    </row>
    <row r="2469" ht="22.5" customHeight="1">
      <c r="A2469" s="35" t="s">
        <v>5166</v>
      </c>
      <c r="B2469" s="35" t="s">
        <v>5167</v>
      </c>
      <c r="C2469" s="35" t="s">
        <v>7758</v>
      </c>
      <c r="D2469" s="35" t="s">
        <v>204</v>
      </c>
      <c r="E2469" s="35" t="s">
        <v>527</v>
      </c>
      <c r="F2469" s="35">
        <v>239.0</v>
      </c>
      <c r="G2469" s="35">
        <v>5.69</v>
      </c>
      <c r="H2469" s="35">
        <v>42.0</v>
      </c>
      <c r="I2469" s="35" t="s">
        <v>75</v>
      </c>
    </row>
    <row r="2470" ht="22.5" customHeight="1">
      <c r="A2470" s="35" t="s">
        <v>5168</v>
      </c>
      <c r="B2470" s="35" t="s">
        <v>5169</v>
      </c>
      <c r="C2470" s="35" t="s">
        <v>7758</v>
      </c>
      <c r="D2470" s="35" t="s">
        <v>128</v>
      </c>
      <c r="E2470" s="35" t="s">
        <v>338</v>
      </c>
      <c r="F2470" s="35">
        <v>893.0</v>
      </c>
      <c r="G2470" s="35">
        <v>20.02</v>
      </c>
      <c r="H2470" s="35">
        <v>44.6</v>
      </c>
      <c r="I2470" s="35" t="s">
        <v>62</v>
      </c>
    </row>
    <row r="2471" ht="22.5" customHeight="1">
      <c r="A2471" s="35" t="s">
        <v>5170</v>
      </c>
      <c r="B2471" s="35" t="s">
        <v>5171</v>
      </c>
      <c r="C2471" s="35" t="s">
        <v>7758</v>
      </c>
      <c r="D2471" s="35" t="s">
        <v>219</v>
      </c>
      <c r="E2471" s="35" t="s">
        <v>377</v>
      </c>
      <c r="F2471" s="35">
        <v>604.0</v>
      </c>
      <c r="G2471" s="35">
        <v>4.89</v>
      </c>
      <c r="H2471" s="35">
        <v>123.5</v>
      </c>
      <c r="I2471" s="35" t="s">
        <v>62</v>
      </c>
    </row>
    <row r="2472" ht="22.5" customHeight="1">
      <c r="A2472" s="35" t="s">
        <v>5172</v>
      </c>
      <c r="B2472" s="35" t="s">
        <v>5173</v>
      </c>
      <c r="C2472" s="35" t="s">
        <v>7758</v>
      </c>
      <c r="D2472" s="35" t="s">
        <v>118</v>
      </c>
      <c r="E2472" s="35" t="s">
        <v>300</v>
      </c>
      <c r="F2472" s="35">
        <v>791.0</v>
      </c>
      <c r="G2472" s="35">
        <v>8.03</v>
      </c>
      <c r="H2472" s="35">
        <v>98.5</v>
      </c>
      <c r="I2472" s="35" t="s">
        <v>62</v>
      </c>
    </row>
    <row r="2473" ht="22.5" customHeight="1">
      <c r="A2473" s="35" t="s">
        <v>5174</v>
      </c>
      <c r="B2473" s="35" t="s">
        <v>5175</v>
      </c>
      <c r="C2473" s="35" t="s">
        <v>7758</v>
      </c>
      <c r="D2473" s="35" t="s">
        <v>167</v>
      </c>
      <c r="E2473" s="35" t="s">
        <v>447</v>
      </c>
      <c r="F2473" s="35">
        <v>62.0</v>
      </c>
      <c r="G2473" s="35">
        <v>2.47</v>
      </c>
      <c r="H2473" s="35">
        <v>25.1</v>
      </c>
      <c r="I2473" s="35" t="s">
        <v>75</v>
      </c>
    </row>
    <row r="2474" ht="22.5" customHeight="1">
      <c r="A2474" s="35" t="s">
        <v>5176</v>
      </c>
      <c r="B2474" s="35" t="s">
        <v>5177</v>
      </c>
      <c r="C2474" s="35" t="s">
        <v>7758</v>
      </c>
      <c r="D2474" s="35" t="s">
        <v>219</v>
      </c>
      <c r="E2474" s="35" t="s">
        <v>377</v>
      </c>
      <c r="F2474" s="35">
        <v>233.0</v>
      </c>
      <c r="G2474" s="35">
        <v>2.97</v>
      </c>
      <c r="H2474" s="35">
        <v>78.5</v>
      </c>
      <c r="I2474" s="35" t="s">
        <v>75</v>
      </c>
    </row>
    <row r="2475" ht="22.5" customHeight="1">
      <c r="A2475" s="35" t="s">
        <v>5178</v>
      </c>
      <c r="B2475" s="35" t="s">
        <v>5179</v>
      </c>
      <c r="C2475" s="35" t="s">
        <v>7758</v>
      </c>
      <c r="D2475" s="35" t="s">
        <v>187</v>
      </c>
      <c r="E2475" s="35" t="s">
        <v>488</v>
      </c>
      <c r="F2475" s="35">
        <v>579.0</v>
      </c>
      <c r="G2475" s="35">
        <v>17.23</v>
      </c>
      <c r="H2475" s="35">
        <v>33.6</v>
      </c>
      <c r="I2475" s="35" t="s">
        <v>62</v>
      </c>
    </row>
    <row r="2476" ht="22.5" customHeight="1">
      <c r="A2476" s="35" t="s">
        <v>5180</v>
      </c>
      <c r="B2476" s="35" t="s">
        <v>5181</v>
      </c>
      <c r="C2476" s="35" t="s">
        <v>7758</v>
      </c>
      <c r="D2476" s="35" t="s">
        <v>141</v>
      </c>
      <c r="E2476" s="35" t="s">
        <v>220</v>
      </c>
      <c r="F2476" s="35">
        <v>1403.0</v>
      </c>
      <c r="G2476" s="35">
        <v>7.97</v>
      </c>
      <c r="H2476" s="35">
        <v>176.0</v>
      </c>
      <c r="I2476" s="35" t="s">
        <v>62</v>
      </c>
    </row>
    <row r="2477" ht="22.5" customHeight="1">
      <c r="A2477" s="35" t="s">
        <v>5182</v>
      </c>
      <c r="B2477" s="35" t="s">
        <v>5183</v>
      </c>
      <c r="C2477" s="35" t="s">
        <v>7758</v>
      </c>
      <c r="D2477" s="35" t="s">
        <v>206</v>
      </c>
      <c r="E2477" s="35" t="s">
        <v>533</v>
      </c>
      <c r="F2477" s="35">
        <v>3259.0</v>
      </c>
      <c r="G2477" s="35">
        <v>15.26</v>
      </c>
      <c r="H2477" s="35">
        <v>213.6</v>
      </c>
      <c r="I2477" s="35" t="s">
        <v>142</v>
      </c>
    </row>
    <row r="2478" ht="22.5" customHeight="1">
      <c r="A2478" s="35" t="s">
        <v>5184</v>
      </c>
      <c r="B2478" s="35" t="s">
        <v>5185</v>
      </c>
      <c r="C2478" s="35" t="s">
        <v>7758</v>
      </c>
      <c r="D2478" s="35" t="s">
        <v>169</v>
      </c>
      <c r="E2478" s="35" t="s">
        <v>449</v>
      </c>
      <c r="F2478" s="35">
        <v>239.0</v>
      </c>
      <c r="G2478" s="35">
        <v>5.12</v>
      </c>
      <c r="H2478" s="35">
        <v>46.7</v>
      </c>
      <c r="I2478" s="35" t="s">
        <v>75</v>
      </c>
    </row>
    <row r="2479" ht="22.5" customHeight="1">
      <c r="A2479" s="35" t="s">
        <v>5186</v>
      </c>
      <c r="B2479" s="35" t="s">
        <v>5187</v>
      </c>
      <c r="C2479" s="35" t="s">
        <v>7758</v>
      </c>
      <c r="D2479" s="35" t="s">
        <v>169</v>
      </c>
      <c r="E2479" s="35" t="s">
        <v>449</v>
      </c>
      <c r="F2479" s="35">
        <v>400.0</v>
      </c>
      <c r="G2479" s="35">
        <v>3.62</v>
      </c>
      <c r="H2479" s="35">
        <v>110.5</v>
      </c>
      <c r="I2479" s="35" t="s">
        <v>75</v>
      </c>
    </row>
    <row r="2480" ht="22.5" customHeight="1">
      <c r="A2480" s="35" t="s">
        <v>5188</v>
      </c>
      <c r="B2480" s="35" t="s">
        <v>5189</v>
      </c>
      <c r="C2480" s="35" t="s">
        <v>7758</v>
      </c>
      <c r="D2480" s="35" t="s">
        <v>187</v>
      </c>
      <c r="E2480" s="35" t="s">
        <v>488</v>
      </c>
      <c r="F2480" s="35">
        <v>2362.0</v>
      </c>
      <c r="G2480" s="35">
        <v>18.87</v>
      </c>
      <c r="H2480" s="35">
        <v>125.2</v>
      </c>
      <c r="I2480" s="35" t="s">
        <v>142</v>
      </c>
    </row>
    <row r="2481" ht="22.5" customHeight="1">
      <c r="A2481" s="35" t="s">
        <v>5190</v>
      </c>
      <c r="B2481" s="35" t="s">
        <v>5191</v>
      </c>
      <c r="C2481" s="35" t="s">
        <v>7758</v>
      </c>
      <c r="D2481" s="35" t="s">
        <v>167</v>
      </c>
      <c r="E2481" s="35" t="s">
        <v>447</v>
      </c>
      <c r="F2481" s="35">
        <v>208.0</v>
      </c>
      <c r="G2481" s="35">
        <v>4.19</v>
      </c>
      <c r="H2481" s="35">
        <v>49.6</v>
      </c>
      <c r="I2481" s="35" t="s">
        <v>75</v>
      </c>
    </row>
    <row r="2482" ht="22.5" customHeight="1">
      <c r="A2482" s="35" t="s">
        <v>5192</v>
      </c>
      <c r="B2482" s="35" t="s">
        <v>5193</v>
      </c>
      <c r="C2482" s="35" t="s">
        <v>7758</v>
      </c>
      <c r="D2482" s="35" t="s">
        <v>118</v>
      </c>
      <c r="E2482" s="35" t="s">
        <v>300</v>
      </c>
      <c r="F2482" s="35">
        <v>296.0</v>
      </c>
      <c r="G2482" s="35">
        <v>5.84</v>
      </c>
      <c r="H2482" s="35">
        <v>50.7</v>
      </c>
      <c r="I2482" s="35" t="s">
        <v>75</v>
      </c>
    </row>
    <row r="2483" ht="22.5" customHeight="1">
      <c r="A2483" s="35" t="s">
        <v>5194</v>
      </c>
      <c r="B2483" s="35" t="s">
        <v>5195</v>
      </c>
      <c r="C2483" s="35" t="s">
        <v>7758</v>
      </c>
      <c r="D2483" s="35" t="s">
        <v>206</v>
      </c>
      <c r="E2483" s="35" t="s">
        <v>533</v>
      </c>
      <c r="F2483" s="35">
        <v>774.0</v>
      </c>
      <c r="G2483" s="35">
        <v>5.94</v>
      </c>
      <c r="H2483" s="35">
        <v>130.3</v>
      </c>
      <c r="I2483" s="35" t="s">
        <v>62</v>
      </c>
    </row>
    <row r="2484" ht="22.5" customHeight="1">
      <c r="A2484" s="35" t="s">
        <v>5196</v>
      </c>
      <c r="B2484" s="35" t="s">
        <v>5197</v>
      </c>
      <c r="C2484" s="35" t="s">
        <v>7758</v>
      </c>
      <c r="D2484" s="35" t="s">
        <v>169</v>
      </c>
      <c r="E2484" s="35" t="s">
        <v>449</v>
      </c>
      <c r="F2484" s="35">
        <v>215.0</v>
      </c>
      <c r="G2484" s="35">
        <v>6.22</v>
      </c>
      <c r="H2484" s="35">
        <v>34.6</v>
      </c>
      <c r="I2484" s="35" t="s">
        <v>75</v>
      </c>
    </row>
    <row r="2485" ht="22.5" customHeight="1">
      <c r="A2485" s="35" t="s">
        <v>5198</v>
      </c>
      <c r="B2485" s="35" t="s">
        <v>5199</v>
      </c>
      <c r="C2485" s="35" t="s">
        <v>7758</v>
      </c>
      <c r="D2485" s="35" t="s">
        <v>234</v>
      </c>
      <c r="E2485" s="35" t="s">
        <v>552</v>
      </c>
      <c r="F2485" s="35">
        <v>768.0</v>
      </c>
      <c r="G2485" s="35">
        <v>9.03</v>
      </c>
      <c r="H2485" s="35">
        <v>85.0</v>
      </c>
      <c r="I2485" s="35" t="s">
        <v>62</v>
      </c>
    </row>
    <row r="2486" ht="22.5" customHeight="1">
      <c r="A2486" s="35" t="s">
        <v>5200</v>
      </c>
      <c r="B2486" s="35" t="s">
        <v>5201</v>
      </c>
      <c r="C2486" s="35" t="s">
        <v>7758</v>
      </c>
      <c r="D2486" s="35" t="s">
        <v>206</v>
      </c>
      <c r="E2486" s="35" t="s">
        <v>533</v>
      </c>
      <c r="F2486" s="35">
        <v>122.0</v>
      </c>
      <c r="G2486" s="35">
        <v>10.92</v>
      </c>
      <c r="H2486" s="35">
        <v>11.2</v>
      </c>
      <c r="I2486" s="35" t="s">
        <v>75</v>
      </c>
    </row>
    <row r="2487" ht="22.5" customHeight="1">
      <c r="A2487" s="35" t="s">
        <v>5202</v>
      </c>
      <c r="B2487" s="35" t="s">
        <v>5203</v>
      </c>
      <c r="C2487" s="35" t="s">
        <v>7758</v>
      </c>
      <c r="D2487" s="35" t="s">
        <v>127</v>
      </c>
      <c r="E2487" s="35" t="s">
        <v>323</v>
      </c>
      <c r="F2487" s="35">
        <v>2072.0</v>
      </c>
      <c r="G2487" s="35">
        <v>5.93</v>
      </c>
      <c r="H2487" s="35">
        <v>349.4</v>
      </c>
      <c r="I2487" s="35" t="s">
        <v>142</v>
      </c>
    </row>
    <row r="2488" ht="22.5" customHeight="1">
      <c r="A2488" s="35" t="s">
        <v>5204</v>
      </c>
      <c r="B2488" s="35" t="s">
        <v>5205</v>
      </c>
      <c r="C2488" s="35" t="s">
        <v>7758</v>
      </c>
      <c r="D2488" s="35" t="s">
        <v>169</v>
      </c>
      <c r="E2488" s="35" t="s">
        <v>449</v>
      </c>
      <c r="F2488" s="35">
        <v>155.0</v>
      </c>
      <c r="G2488" s="35">
        <v>2.61</v>
      </c>
      <c r="H2488" s="35">
        <v>59.4</v>
      </c>
      <c r="I2488" s="35" t="s">
        <v>75</v>
      </c>
    </row>
    <row r="2489" ht="22.5" customHeight="1">
      <c r="A2489" s="35" t="s">
        <v>5206</v>
      </c>
      <c r="B2489" s="35" t="s">
        <v>5207</v>
      </c>
      <c r="C2489" s="35" t="s">
        <v>7758</v>
      </c>
      <c r="D2489" s="35" t="s">
        <v>118</v>
      </c>
      <c r="E2489" s="35" t="s">
        <v>300</v>
      </c>
      <c r="F2489" s="35">
        <v>982.0</v>
      </c>
      <c r="G2489" s="35">
        <v>3.87</v>
      </c>
      <c r="H2489" s="35">
        <v>253.7</v>
      </c>
      <c r="I2489" s="35" t="s">
        <v>62</v>
      </c>
    </row>
    <row r="2490" ht="22.5" customHeight="1">
      <c r="A2490" s="35" t="s">
        <v>5208</v>
      </c>
      <c r="B2490" s="35" t="s">
        <v>5209</v>
      </c>
      <c r="C2490" s="35" t="s">
        <v>7758</v>
      </c>
      <c r="D2490" s="35" t="s">
        <v>204</v>
      </c>
      <c r="E2490" s="35" t="s">
        <v>527</v>
      </c>
      <c r="F2490" s="35">
        <v>151.0</v>
      </c>
      <c r="G2490" s="35">
        <v>3.63</v>
      </c>
      <c r="H2490" s="35">
        <v>41.6</v>
      </c>
      <c r="I2490" s="35" t="s">
        <v>75</v>
      </c>
    </row>
    <row r="2491" ht="22.5" customHeight="1">
      <c r="A2491" s="35" t="s">
        <v>5210</v>
      </c>
      <c r="B2491" s="35" t="s">
        <v>5211</v>
      </c>
      <c r="C2491" s="35" t="s">
        <v>7758</v>
      </c>
      <c r="D2491" s="35" t="s">
        <v>204</v>
      </c>
      <c r="E2491" s="35" t="s">
        <v>527</v>
      </c>
      <c r="F2491" s="35">
        <v>86.0</v>
      </c>
      <c r="G2491" s="35">
        <v>3.35</v>
      </c>
      <c r="H2491" s="35">
        <v>25.7</v>
      </c>
      <c r="I2491" s="35" t="s">
        <v>75</v>
      </c>
    </row>
    <row r="2492" ht="22.5" customHeight="1">
      <c r="A2492" s="35" t="s">
        <v>5212</v>
      </c>
      <c r="B2492" s="35" t="s">
        <v>5213</v>
      </c>
      <c r="C2492" s="35" t="s">
        <v>7758</v>
      </c>
      <c r="D2492" s="35" t="s">
        <v>118</v>
      </c>
      <c r="E2492" s="35" t="s">
        <v>300</v>
      </c>
      <c r="F2492" s="35">
        <v>2525.0</v>
      </c>
      <c r="G2492" s="35">
        <v>15.29</v>
      </c>
      <c r="H2492" s="35">
        <v>165.1</v>
      </c>
      <c r="I2492" s="35" t="s">
        <v>142</v>
      </c>
    </row>
    <row r="2493" ht="22.5" customHeight="1">
      <c r="A2493" s="35" t="s">
        <v>5214</v>
      </c>
      <c r="B2493" s="35" t="s">
        <v>5215</v>
      </c>
      <c r="C2493" s="35" t="s">
        <v>7758</v>
      </c>
      <c r="D2493" s="35" t="s">
        <v>118</v>
      </c>
      <c r="E2493" s="35" t="s">
        <v>300</v>
      </c>
      <c r="F2493" s="35">
        <v>941.0</v>
      </c>
      <c r="G2493" s="35">
        <v>2.23</v>
      </c>
      <c r="H2493" s="35">
        <v>422.0</v>
      </c>
      <c r="I2493" s="35" t="s">
        <v>62</v>
      </c>
    </row>
    <row r="2494" ht="22.5" customHeight="1">
      <c r="A2494" s="35" t="s">
        <v>5216</v>
      </c>
      <c r="B2494" s="35" t="s">
        <v>5217</v>
      </c>
      <c r="C2494" s="35" t="s">
        <v>7758</v>
      </c>
      <c r="D2494" s="35" t="s">
        <v>169</v>
      </c>
      <c r="E2494" s="35" t="s">
        <v>449</v>
      </c>
      <c r="F2494" s="35">
        <v>195.0</v>
      </c>
      <c r="G2494" s="35">
        <v>2.68</v>
      </c>
      <c r="H2494" s="35">
        <v>72.8</v>
      </c>
      <c r="I2494" s="35" t="s">
        <v>75</v>
      </c>
    </row>
    <row r="2495" ht="22.5" customHeight="1">
      <c r="A2495" s="35" t="s">
        <v>5218</v>
      </c>
      <c r="B2495" s="35" t="s">
        <v>5219</v>
      </c>
      <c r="C2495" s="35" t="s">
        <v>7758</v>
      </c>
      <c r="D2495" s="35" t="s">
        <v>169</v>
      </c>
      <c r="E2495" s="35" t="s">
        <v>449</v>
      </c>
      <c r="F2495" s="35">
        <v>327.0</v>
      </c>
      <c r="G2495" s="35">
        <v>9.96</v>
      </c>
      <c r="H2495" s="35">
        <v>32.8</v>
      </c>
      <c r="I2495" s="35" t="s">
        <v>75</v>
      </c>
    </row>
    <row r="2496" ht="22.5" customHeight="1">
      <c r="A2496" s="35" t="s">
        <v>5220</v>
      </c>
      <c r="B2496" s="35" t="s">
        <v>5221</v>
      </c>
      <c r="C2496" s="35" t="s">
        <v>7758</v>
      </c>
      <c r="D2496" s="35" t="s">
        <v>127</v>
      </c>
      <c r="E2496" s="35" t="s">
        <v>323</v>
      </c>
      <c r="F2496" s="35">
        <v>360.0</v>
      </c>
      <c r="G2496" s="35">
        <v>3.32</v>
      </c>
      <c r="H2496" s="35">
        <v>108.4</v>
      </c>
      <c r="I2496" s="35" t="s">
        <v>75</v>
      </c>
    </row>
    <row r="2497" ht="22.5" customHeight="1">
      <c r="A2497" s="35" t="s">
        <v>5222</v>
      </c>
      <c r="B2497" s="35" t="s">
        <v>5223</v>
      </c>
      <c r="C2497" s="35" t="s">
        <v>7758</v>
      </c>
      <c r="D2497" s="35" t="s">
        <v>206</v>
      </c>
      <c r="E2497" s="35" t="s">
        <v>533</v>
      </c>
      <c r="F2497" s="35">
        <v>127.0</v>
      </c>
      <c r="G2497" s="35">
        <v>5.67</v>
      </c>
      <c r="H2497" s="35">
        <v>22.4</v>
      </c>
      <c r="I2497" s="35" t="s">
        <v>75</v>
      </c>
    </row>
    <row r="2498" ht="22.5" customHeight="1">
      <c r="A2498" s="35" t="s">
        <v>5224</v>
      </c>
      <c r="B2498" s="35" t="s">
        <v>5225</v>
      </c>
      <c r="C2498" s="35" t="s">
        <v>7758</v>
      </c>
      <c r="D2498" s="35" t="s">
        <v>167</v>
      </c>
      <c r="E2498" s="35" t="s">
        <v>447</v>
      </c>
      <c r="F2498" s="35">
        <v>659.0</v>
      </c>
      <c r="G2498" s="35">
        <v>13.32</v>
      </c>
      <c r="H2498" s="35">
        <v>49.5</v>
      </c>
      <c r="I2498" s="35" t="s">
        <v>62</v>
      </c>
    </row>
    <row r="2499" ht="22.5" customHeight="1">
      <c r="A2499" s="35" t="s">
        <v>5226</v>
      </c>
      <c r="B2499" s="35" t="s">
        <v>5227</v>
      </c>
      <c r="C2499" s="35" t="s">
        <v>7758</v>
      </c>
      <c r="D2499" s="35" t="s">
        <v>219</v>
      </c>
      <c r="E2499" s="35" t="s">
        <v>377</v>
      </c>
      <c r="F2499" s="35">
        <v>1391.0</v>
      </c>
      <c r="G2499" s="35">
        <v>5.48</v>
      </c>
      <c r="H2499" s="35">
        <v>253.8</v>
      </c>
      <c r="I2499" s="35" t="s">
        <v>62</v>
      </c>
    </row>
    <row r="2500" ht="22.5" customHeight="1">
      <c r="A2500" s="35" t="s">
        <v>5228</v>
      </c>
      <c r="B2500" s="35" t="s">
        <v>5229</v>
      </c>
      <c r="C2500" s="35" t="s">
        <v>7758</v>
      </c>
      <c r="D2500" s="35" t="s">
        <v>219</v>
      </c>
      <c r="E2500" s="35" t="s">
        <v>377</v>
      </c>
      <c r="F2500" s="35">
        <v>632.0</v>
      </c>
      <c r="G2500" s="35">
        <v>11.62</v>
      </c>
      <c r="H2500" s="35">
        <v>54.4</v>
      </c>
      <c r="I2500" s="35" t="s">
        <v>62</v>
      </c>
    </row>
    <row r="2501" ht="22.5" customHeight="1">
      <c r="A2501" s="35" t="s">
        <v>5230</v>
      </c>
      <c r="B2501" s="35" t="s">
        <v>5231</v>
      </c>
      <c r="C2501" s="35" t="s">
        <v>7758</v>
      </c>
      <c r="D2501" s="35" t="s">
        <v>169</v>
      </c>
      <c r="E2501" s="35" t="s">
        <v>449</v>
      </c>
      <c r="F2501" s="35">
        <v>383.0</v>
      </c>
      <c r="G2501" s="35">
        <v>10.79</v>
      </c>
      <c r="H2501" s="35">
        <v>35.5</v>
      </c>
      <c r="I2501" s="35" t="s">
        <v>75</v>
      </c>
    </row>
    <row r="2502" ht="22.5" customHeight="1">
      <c r="A2502" s="35" t="s">
        <v>5232</v>
      </c>
      <c r="B2502" s="35" t="s">
        <v>5233</v>
      </c>
      <c r="C2502" s="35" t="s">
        <v>7758</v>
      </c>
      <c r="D2502" s="35" t="s">
        <v>127</v>
      </c>
      <c r="E2502" s="35" t="s">
        <v>323</v>
      </c>
      <c r="F2502" s="35">
        <v>6644.0</v>
      </c>
      <c r="G2502" s="35">
        <v>3.19</v>
      </c>
      <c r="H2502" s="35">
        <v>2082.8</v>
      </c>
      <c r="I2502" s="35" t="s">
        <v>142</v>
      </c>
    </row>
    <row r="2503" ht="22.5" customHeight="1">
      <c r="A2503" s="35" t="s">
        <v>5234</v>
      </c>
      <c r="B2503" s="35" t="s">
        <v>5235</v>
      </c>
      <c r="C2503" s="35" t="s">
        <v>7758</v>
      </c>
      <c r="D2503" s="35" t="s">
        <v>204</v>
      </c>
      <c r="E2503" s="35" t="s">
        <v>527</v>
      </c>
      <c r="F2503" s="35">
        <v>353.0</v>
      </c>
      <c r="G2503" s="35">
        <v>6.4</v>
      </c>
      <c r="H2503" s="35">
        <v>55.2</v>
      </c>
      <c r="I2503" s="35" t="s">
        <v>75</v>
      </c>
    </row>
    <row r="2504" ht="22.5" customHeight="1">
      <c r="A2504" s="35" t="s">
        <v>5236</v>
      </c>
      <c r="B2504" s="35" t="s">
        <v>5237</v>
      </c>
      <c r="C2504" s="35" t="s">
        <v>7758</v>
      </c>
      <c r="D2504" s="35" t="s">
        <v>167</v>
      </c>
      <c r="E2504" s="35" t="s">
        <v>447</v>
      </c>
      <c r="F2504" s="35">
        <v>290.0</v>
      </c>
      <c r="G2504" s="35">
        <v>2.17</v>
      </c>
      <c r="H2504" s="35">
        <v>133.6</v>
      </c>
      <c r="I2504" s="35" t="s">
        <v>75</v>
      </c>
    </row>
    <row r="2505" ht="22.5" customHeight="1">
      <c r="A2505" s="35" t="s">
        <v>5238</v>
      </c>
      <c r="B2505" s="35" t="s">
        <v>5239</v>
      </c>
      <c r="C2505" s="35" t="s">
        <v>7758</v>
      </c>
      <c r="D2505" s="35" t="s">
        <v>169</v>
      </c>
      <c r="E2505" s="35" t="s">
        <v>449</v>
      </c>
      <c r="F2505" s="35">
        <v>32.0</v>
      </c>
      <c r="G2505" s="35">
        <v>2.82</v>
      </c>
      <c r="H2505" s="35">
        <v>11.3</v>
      </c>
      <c r="I2505" s="35" t="s">
        <v>75</v>
      </c>
    </row>
    <row r="2506" ht="22.5" customHeight="1">
      <c r="A2506" s="35" t="s">
        <v>5240</v>
      </c>
      <c r="B2506" s="35" t="s">
        <v>5241</v>
      </c>
      <c r="C2506" s="35" t="s">
        <v>7758</v>
      </c>
      <c r="D2506" s="35" t="s">
        <v>128</v>
      </c>
      <c r="E2506" s="35" t="s">
        <v>338</v>
      </c>
      <c r="F2506" s="35">
        <v>1470.0</v>
      </c>
      <c r="G2506" s="35">
        <v>7.79</v>
      </c>
      <c r="H2506" s="35">
        <v>188.7</v>
      </c>
      <c r="I2506" s="35" t="s">
        <v>62</v>
      </c>
    </row>
    <row r="2507" ht="22.5" customHeight="1">
      <c r="A2507" s="35" t="s">
        <v>5242</v>
      </c>
      <c r="B2507" s="35" t="s">
        <v>5243</v>
      </c>
      <c r="C2507" s="35" t="s">
        <v>7758</v>
      </c>
      <c r="D2507" s="35" t="s">
        <v>118</v>
      </c>
      <c r="E2507" s="35" t="s">
        <v>300</v>
      </c>
      <c r="F2507" s="35">
        <v>1381.0</v>
      </c>
      <c r="G2507" s="35">
        <v>5.45</v>
      </c>
      <c r="H2507" s="35">
        <v>253.4</v>
      </c>
      <c r="I2507" s="35" t="s">
        <v>62</v>
      </c>
    </row>
    <row r="2508" ht="22.5" customHeight="1">
      <c r="A2508" s="35" t="s">
        <v>5244</v>
      </c>
      <c r="B2508" s="35" t="s">
        <v>5245</v>
      </c>
      <c r="C2508" s="35" t="s">
        <v>7758</v>
      </c>
      <c r="D2508" s="35" t="s">
        <v>234</v>
      </c>
      <c r="E2508" s="35" t="s">
        <v>552</v>
      </c>
      <c r="F2508" s="35">
        <v>408.0</v>
      </c>
      <c r="G2508" s="35">
        <v>4.49</v>
      </c>
      <c r="H2508" s="35">
        <v>90.9</v>
      </c>
      <c r="I2508" s="35" t="s">
        <v>75</v>
      </c>
    </row>
    <row r="2509" ht="22.5" customHeight="1">
      <c r="A2509" s="35" t="s">
        <v>5246</v>
      </c>
      <c r="B2509" s="35" t="s">
        <v>5247</v>
      </c>
      <c r="C2509" s="35" t="s">
        <v>7758</v>
      </c>
      <c r="D2509" s="35" t="s">
        <v>161</v>
      </c>
      <c r="E2509" s="35" t="s">
        <v>438</v>
      </c>
      <c r="F2509" s="35">
        <v>1067.0</v>
      </c>
      <c r="G2509" s="35">
        <v>15.8</v>
      </c>
      <c r="H2509" s="35">
        <v>67.5</v>
      </c>
      <c r="I2509" s="35" t="s">
        <v>62</v>
      </c>
    </row>
    <row r="2510" ht="22.5" customHeight="1">
      <c r="A2510" s="35" t="s">
        <v>5248</v>
      </c>
      <c r="B2510" s="35" t="s">
        <v>5249</v>
      </c>
      <c r="C2510" s="35" t="s">
        <v>7758</v>
      </c>
      <c r="D2510" s="35" t="s">
        <v>167</v>
      </c>
      <c r="E2510" s="35" t="s">
        <v>447</v>
      </c>
      <c r="F2510" s="35">
        <v>149.0</v>
      </c>
      <c r="G2510" s="35">
        <v>3.58</v>
      </c>
      <c r="H2510" s="35">
        <v>41.6</v>
      </c>
      <c r="I2510" s="35" t="s">
        <v>75</v>
      </c>
    </row>
    <row r="2511" ht="22.5" customHeight="1">
      <c r="A2511" s="35" t="s">
        <v>5250</v>
      </c>
      <c r="B2511" s="35" t="s">
        <v>5251</v>
      </c>
      <c r="C2511" s="35" t="s">
        <v>7758</v>
      </c>
      <c r="D2511" s="35" t="s">
        <v>206</v>
      </c>
      <c r="E2511" s="35" t="s">
        <v>533</v>
      </c>
      <c r="F2511" s="35">
        <v>13.0</v>
      </c>
      <c r="G2511" s="35">
        <v>2.23</v>
      </c>
      <c r="H2511" s="35">
        <v>5.8</v>
      </c>
      <c r="I2511" s="35" t="s">
        <v>75</v>
      </c>
    </row>
    <row r="2512" ht="22.5" customHeight="1">
      <c r="A2512" s="35" t="s">
        <v>5252</v>
      </c>
      <c r="B2512" s="35" t="s">
        <v>5253</v>
      </c>
      <c r="C2512" s="35" t="s">
        <v>7758</v>
      </c>
      <c r="D2512" s="35" t="s">
        <v>223</v>
      </c>
      <c r="E2512" s="35" t="s">
        <v>380</v>
      </c>
      <c r="F2512" s="35">
        <v>5479.0</v>
      </c>
      <c r="G2512" s="35">
        <v>26.22</v>
      </c>
      <c r="H2512" s="35">
        <v>209.0</v>
      </c>
      <c r="I2512" s="35" t="s">
        <v>142</v>
      </c>
    </row>
    <row r="2513" ht="22.5" customHeight="1">
      <c r="A2513" s="35" t="s">
        <v>5254</v>
      </c>
      <c r="B2513" s="35" t="s">
        <v>5255</v>
      </c>
      <c r="C2513" s="35" t="s">
        <v>7758</v>
      </c>
      <c r="D2513" s="35" t="s">
        <v>167</v>
      </c>
      <c r="E2513" s="35" t="s">
        <v>447</v>
      </c>
      <c r="F2513" s="35">
        <v>275.0</v>
      </c>
      <c r="G2513" s="35">
        <v>1.17</v>
      </c>
      <c r="H2513" s="35">
        <v>235.0</v>
      </c>
      <c r="I2513" s="35" t="s">
        <v>75</v>
      </c>
    </row>
    <row r="2514" ht="22.5" customHeight="1">
      <c r="A2514" s="35" t="s">
        <v>5256</v>
      </c>
      <c r="B2514" s="35" t="s">
        <v>5257</v>
      </c>
      <c r="C2514" s="35" t="s">
        <v>7758</v>
      </c>
      <c r="D2514" s="35" t="s">
        <v>169</v>
      </c>
      <c r="E2514" s="35" t="s">
        <v>449</v>
      </c>
      <c r="F2514" s="35">
        <v>676.0</v>
      </c>
      <c r="G2514" s="35">
        <v>7.08</v>
      </c>
      <c r="H2514" s="35">
        <v>95.5</v>
      </c>
      <c r="I2514" s="35" t="s">
        <v>62</v>
      </c>
    </row>
    <row r="2515" ht="22.5" customHeight="1">
      <c r="A2515" s="35" t="s">
        <v>5258</v>
      </c>
      <c r="B2515" s="35" t="s">
        <v>5259</v>
      </c>
      <c r="C2515" s="35" t="s">
        <v>7758</v>
      </c>
      <c r="D2515" s="35" t="s">
        <v>118</v>
      </c>
      <c r="E2515" s="35" t="s">
        <v>300</v>
      </c>
      <c r="F2515" s="35">
        <v>5064.0</v>
      </c>
      <c r="G2515" s="35">
        <v>4.46</v>
      </c>
      <c r="H2515" s="35">
        <v>1135.4</v>
      </c>
      <c r="I2515" s="35" t="s">
        <v>142</v>
      </c>
    </row>
    <row r="2516" ht="22.5" customHeight="1">
      <c r="A2516" s="35" t="s">
        <v>5260</v>
      </c>
      <c r="B2516" s="35" t="s">
        <v>5261</v>
      </c>
      <c r="C2516" s="35" t="s">
        <v>7758</v>
      </c>
      <c r="D2516" s="35" t="s">
        <v>118</v>
      </c>
      <c r="E2516" s="35" t="s">
        <v>300</v>
      </c>
      <c r="F2516" s="35">
        <v>4396.0</v>
      </c>
      <c r="G2516" s="35">
        <v>5.62</v>
      </c>
      <c r="H2516" s="35">
        <v>782.2</v>
      </c>
      <c r="I2516" s="35" t="s">
        <v>142</v>
      </c>
    </row>
    <row r="2517" ht="22.5" customHeight="1">
      <c r="A2517" s="35" t="s">
        <v>5262</v>
      </c>
      <c r="B2517" s="35" t="s">
        <v>5263</v>
      </c>
      <c r="C2517" s="35" t="s">
        <v>7758</v>
      </c>
      <c r="D2517" s="35" t="s">
        <v>150</v>
      </c>
      <c r="E2517" s="35" t="s">
        <v>411</v>
      </c>
      <c r="F2517" s="35">
        <v>308.0</v>
      </c>
      <c r="G2517" s="35">
        <v>5.64</v>
      </c>
      <c r="H2517" s="35">
        <v>54.6</v>
      </c>
      <c r="I2517" s="35" t="s">
        <v>75</v>
      </c>
    </row>
    <row r="2518" ht="22.5" customHeight="1">
      <c r="A2518" s="35" t="s">
        <v>5264</v>
      </c>
      <c r="B2518" s="35" t="s">
        <v>5265</v>
      </c>
      <c r="C2518" s="35" t="s">
        <v>7758</v>
      </c>
      <c r="D2518" s="35" t="s">
        <v>139</v>
      </c>
      <c r="E2518" s="35" t="s">
        <v>354</v>
      </c>
      <c r="F2518" s="35">
        <v>1196.0</v>
      </c>
      <c r="G2518" s="35">
        <v>5.7</v>
      </c>
      <c r="H2518" s="35">
        <v>209.8</v>
      </c>
      <c r="I2518" s="35" t="s">
        <v>62</v>
      </c>
    </row>
    <row r="2519" ht="22.5" customHeight="1">
      <c r="A2519" s="35" t="s">
        <v>5266</v>
      </c>
      <c r="B2519" s="35" t="s">
        <v>3704</v>
      </c>
      <c r="C2519" s="35" t="s">
        <v>7758</v>
      </c>
      <c r="D2519" s="35" t="s">
        <v>169</v>
      </c>
      <c r="E2519" s="35" t="s">
        <v>449</v>
      </c>
      <c r="F2519" s="35">
        <v>201.0</v>
      </c>
      <c r="G2519" s="35">
        <v>3.42</v>
      </c>
      <c r="H2519" s="35">
        <v>58.8</v>
      </c>
      <c r="I2519" s="35" t="s">
        <v>75</v>
      </c>
    </row>
    <row r="2520" ht="22.5" customHeight="1">
      <c r="A2520" s="35" t="s">
        <v>5267</v>
      </c>
      <c r="B2520" s="35" t="s">
        <v>5268</v>
      </c>
      <c r="C2520" s="35" t="s">
        <v>7758</v>
      </c>
      <c r="D2520" s="35" t="s">
        <v>219</v>
      </c>
      <c r="E2520" s="35" t="s">
        <v>377</v>
      </c>
      <c r="F2520" s="35">
        <v>454.0</v>
      </c>
      <c r="G2520" s="35">
        <v>4.89</v>
      </c>
      <c r="H2520" s="35">
        <v>92.8</v>
      </c>
      <c r="I2520" s="35" t="s">
        <v>75</v>
      </c>
    </row>
    <row r="2521" ht="22.5" customHeight="1">
      <c r="A2521" s="35" t="s">
        <v>5269</v>
      </c>
      <c r="B2521" s="35" t="s">
        <v>5270</v>
      </c>
      <c r="C2521" s="35" t="s">
        <v>7758</v>
      </c>
      <c r="D2521" s="35" t="s">
        <v>204</v>
      </c>
      <c r="E2521" s="35" t="s">
        <v>527</v>
      </c>
      <c r="F2521" s="35">
        <v>260.0</v>
      </c>
      <c r="G2521" s="35">
        <v>6.63</v>
      </c>
      <c r="H2521" s="35">
        <v>39.2</v>
      </c>
      <c r="I2521" s="35" t="s">
        <v>75</v>
      </c>
    </row>
    <row r="2522" ht="22.5" customHeight="1">
      <c r="A2522" s="35" t="s">
        <v>5271</v>
      </c>
      <c r="B2522" s="35" t="s">
        <v>5272</v>
      </c>
      <c r="C2522" s="35" t="s">
        <v>7758</v>
      </c>
      <c r="D2522" s="35" t="s">
        <v>118</v>
      </c>
      <c r="E2522" s="35" t="s">
        <v>300</v>
      </c>
      <c r="F2522" s="35">
        <v>944.0</v>
      </c>
      <c r="G2522" s="35">
        <v>3.31</v>
      </c>
      <c r="H2522" s="35">
        <v>285.2</v>
      </c>
      <c r="I2522" s="35" t="s">
        <v>62</v>
      </c>
    </row>
    <row r="2523" ht="22.5" customHeight="1">
      <c r="A2523" s="35" t="s">
        <v>5273</v>
      </c>
      <c r="B2523" s="35" t="s">
        <v>5274</v>
      </c>
      <c r="C2523" s="35" t="s">
        <v>7758</v>
      </c>
      <c r="D2523" s="35" t="s">
        <v>141</v>
      </c>
      <c r="E2523" s="35" t="s">
        <v>220</v>
      </c>
      <c r="F2523" s="35">
        <v>1439.0</v>
      </c>
      <c r="G2523" s="35">
        <v>13.25</v>
      </c>
      <c r="H2523" s="35">
        <v>108.6</v>
      </c>
      <c r="I2523" s="35" t="s">
        <v>62</v>
      </c>
    </row>
    <row r="2524" ht="22.5" customHeight="1">
      <c r="A2524" s="35" t="s">
        <v>5275</v>
      </c>
      <c r="B2524" s="35" t="s">
        <v>5276</v>
      </c>
      <c r="C2524" s="35" t="s">
        <v>7758</v>
      </c>
      <c r="D2524" s="35" t="s">
        <v>169</v>
      </c>
      <c r="E2524" s="35" t="s">
        <v>449</v>
      </c>
      <c r="F2524" s="35">
        <v>205.0</v>
      </c>
      <c r="G2524" s="35">
        <v>3.18</v>
      </c>
      <c r="H2524" s="35">
        <v>64.5</v>
      </c>
      <c r="I2524" s="35" t="s">
        <v>75</v>
      </c>
    </row>
    <row r="2525" ht="22.5" customHeight="1">
      <c r="A2525" s="35" t="s">
        <v>5277</v>
      </c>
      <c r="B2525" s="35" t="s">
        <v>5278</v>
      </c>
      <c r="C2525" s="35" t="s">
        <v>7758</v>
      </c>
      <c r="D2525" s="35" t="s">
        <v>204</v>
      </c>
      <c r="E2525" s="35" t="s">
        <v>527</v>
      </c>
      <c r="F2525" s="35">
        <v>191.0</v>
      </c>
      <c r="G2525" s="35">
        <v>5.08</v>
      </c>
      <c r="H2525" s="35">
        <v>37.6</v>
      </c>
      <c r="I2525" s="35" t="s">
        <v>75</v>
      </c>
    </row>
    <row r="2526" ht="22.5" customHeight="1">
      <c r="A2526" s="35" t="s">
        <v>5279</v>
      </c>
      <c r="B2526" s="35" t="s">
        <v>5280</v>
      </c>
      <c r="C2526" s="35" t="s">
        <v>7758</v>
      </c>
      <c r="D2526" s="35" t="s">
        <v>206</v>
      </c>
      <c r="E2526" s="35" t="s">
        <v>533</v>
      </c>
      <c r="F2526" s="35">
        <v>51.0</v>
      </c>
      <c r="G2526" s="35">
        <v>2.38</v>
      </c>
      <c r="H2526" s="35">
        <v>21.4</v>
      </c>
      <c r="I2526" s="35" t="s">
        <v>75</v>
      </c>
    </row>
    <row r="2527" ht="22.5" customHeight="1">
      <c r="A2527" s="35" t="s">
        <v>5281</v>
      </c>
      <c r="B2527" s="35" t="s">
        <v>5282</v>
      </c>
      <c r="C2527" s="35" t="s">
        <v>7758</v>
      </c>
      <c r="D2527" s="35" t="s">
        <v>223</v>
      </c>
      <c r="E2527" s="35" t="s">
        <v>380</v>
      </c>
      <c r="F2527" s="35">
        <v>1270.0</v>
      </c>
      <c r="G2527" s="35">
        <v>8.45</v>
      </c>
      <c r="H2527" s="35">
        <v>150.3</v>
      </c>
      <c r="I2527" s="35" t="s">
        <v>62</v>
      </c>
    </row>
    <row r="2528" ht="22.5" customHeight="1">
      <c r="A2528" s="35" t="s">
        <v>5283</v>
      </c>
      <c r="B2528" s="35" t="s">
        <v>5284</v>
      </c>
      <c r="C2528" s="35" t="s">
        <v>7758</v>
      </c>
      <c r="D2528" s="35" t="s">
        <v>127</v>
      </c>
      <c r="E2528" s="35" t="s">
        <v>323</v>
      </c>
      <c r="F2528" s="35">
        <v>12247.0</v>
      </c>
      <c r="G2528" s="35">
        <v>10.81</v>
      </c>
      <c r="H2528" s="35">
        <v>1132.9</v>
      </c>
      <c r="I2528" s="35" t="s">
        <v>571</v>
      </c>
    </row>
    <row r="2529" ht="22.5" customHeight="1">
      <c r="A2529" s="35" t="s">
        <v>5285</v>
      </c>
      <c r="B2529" s="35" t="s">
        <v>3714</v>
      </c>
      <c r="C2529" s="35" t="s">
        <v>7758</v>
      </c>
      <c r="D2529" s="35" t="s">
        <v>219</v>
      </c>
      <c r="E2529" s="35" t="s">
        <v>377</v>
      </c>
      <c r="F2529" s="35">
        <v>206.0</v>
      </c>
      <c r="G2529" s="35">
        <v>6.11</v>
      </c>
      <c r="H2529" s="35">
        <v>33.7</v>
      </c>
      <c r="I2529" s="35" t="s">
        <v>75</v>
      </c>
    </row>
    <row r="2530" ht="22.5" customHeight="1">
      <c r="A2530" s="35" t="s">
        <v>5286</v>
      </c>
      <c r="B2530" s="35" t="s">
        <v>5287</v>
      </c>
      <c r="C2530" s="35" t="s">
        <v>7758</v>
      </c>
      <c r="D2530" s="35" t="s">
        <v>169</v>
      </c>
      <c r="E2530" s="35" t="s">
        <v>449</v>
      </c>
      <c r="F2530" s="35">
        <v>465.0</v>
      </c>
      <c r="G2530" s="35">
        <v>4.03</v>
      </c>
      <c r="H2530" s="35">
        <v>115.4</v>
      </c>
      <c r="I2530" s="35" t="s">
        <v>75</v>
      </c>
    </row>
    <row r="2531" ht="22.5" customHeight="1">
      <c r="A2531" s="35" t="s">
        <v>5288</v>
      </c>
      <c r="B2531" s="35" t="s">
        <v>5289</v>
      </c>
      <c r="C2531" s="35" t="s">
        <v>7758</v>
      </c>
      <c r="D2531" s="35" t="s">
        <v>206</v>
      </c>
      <c r="E2531" s="35" t="s">
        <v>533</v>
      </c>
      <c r="F2531" s="35">
        <v>214.0</v>
      </c>
      <c r="G2531" s="35">
        <v>6.81</v>
      </c>
      <c r="H2531" s="35">
        <v>31.4</v>
      </c>
      <c r="I2531" s="35" t="s">
        <v>75</v>
      </c>
    </row>
    <row r="2532" ht="22.5" customHeight="1">
      <c r="A2532" s="35" t="s">
        <v>5290</v>
      </c>
      <c r="B2532" s="35" t="s">
        <v>965</v>
      </c>
      <c r="C2532" s="35" t="s">
        <v>7758</v>
      </c>
      <c r="D2532" s="35" t="s">
        <v>169</v>
      </c>
      <c r="E2532" s="35" t="s">
        <v>449</v>
      </c>
      <c r="F2532" s="35">
        <v>308.0</v>
      </c>
      <c r="G2532" s="35">
        <v>4.07</v>
      </c>
      <c r="H2532" s="35">
        <v>75.7</v>
      </c>
      <c r="I2532" s="35" t="s">
        <v>75</v>
      </c>
    </row>
    <row r="2533" ht="22.5" customHeight="1">
      <c r="A2533" s="35" t="s">
        <v>5291</v>
      </c>
      <c r="B2533" s="35" t="s">
        <v>5292</v>
      </c>
      <c r="C2533" s="35" t="s">
        <v>7758</v>
      </c>
      <c r="D2533" s="35" t="s">
        <v>191</v>
      </c>
      <c r="E2533" s="35" t="s">
        <v>504</v>
      </c>
      <c r="F2533" s="35">
        <v>189.0</v>
      </c>
      <c r="G2533" s="35">
        <v>5.44</v>
      </c>
      <c r="H2533" s="35">
        <v>34.7</v>
      </c>
      <c r="I2533" s="35" t="s">
        <v>75</v>
      </c>
    </row>
    <row r="2534" ht="22.5" customHeight="1">
      <c r="A2534" s="35" t="s">
        <v>5293</v>
      </c>
      <c r="B2534" s="35" t="s">
        <v>5294</v>
      </c>
      <c r="C2534" s="35" t="s">
        <v>7758</v>
      </c>
      <c r="D2534" s="35" t="s">
        <v>204</v>
      </c>
      <c r="E2534" s="35" t="s">
        <v>527</v>
      </c>
      <c r="F2534" s="35">
        <v>351.0</v>
      </c>
      <c r="G2534" s="35">
        <v>16.77</v>
      </c>
      <c r="H2534" s="35">
        <v>20.9</v>
      </c>
      <c r="I2534" s="35" t="s">
        <v>75</v>
      </c>
    </row>
    <row r="2535" ht="22.5" customHeight="1">
      <c r="A2535" s="35" t="s">
        <v>5295</v>
      </c>
      <c r="B2535" s="35" t="s">
        <v>5296</v>
      </c>
      <c r="C2535" s="35" t="s">
        <v>7758</v>
      </c>
      <c r="D2535" s="35" t="s">
        <v>204</v>
      </c>
      <c r="E2535" s="35" t="s">
        <v>527</v>
      </c>
      <c r="F2535" s="35">
        <v>526.0</v>
      </c>
      <c r="G2535" s="35">
        <v>10.98</v>
      </c>
      <c r="H2535" s="35">
        <v>47.9</v>
      </c>
      <c r="I2535" s="35" t="s">
        <v>62</v>
      </c>
    </row>
    <row r="2536" ht="22.5" customHeight="1">
      <c r="A2536" s="35" t="s">
        <v>5297</v>
      </c>
      <c r="B2536" s="35" t="s">
        <v>5298</v>
      </c>
      <c r="C2536" s="35" t="s">
        <v>7758</v>
      </c>
      <c r="D2536" s="35" t="s">
        <v>139</v>
      </c>
      <c r="E2536" s="35" t="s">
        <v>354</v>
      </c>
      <c r="F2536" s="35">
        <v>1724.0</v>
      </c>
      <c r="G2536" s="35">
        <v>8.92</v>
      </c>
      <c r="H2536" s="35">
        <v>193.3</v>
      </c>
      <c r="I2536" s="35" t="s">
        <v>62</v>
      </c>
    </row>
    <row r="2537" ht="22.5" customHeight="1">
      <c r="A2537" s="35" t="s">
        <v>5299</v>
      </c>
      <c r="B2537" s="35" t="s">
        <v>5300</v>
      </c>
      <c r="C2537" s="35" t="s">
        <v>7758</v>
      </c>
      <c r="D2537" s="35" t="s">
        <v>219</v>
      </c>
      <c r="E2537" s="35" t="s">
        <v>377</v>
      </c>
      <c r="F2537" s="35">
        <v>288.0</v>
      </c>
      <c r="G2537" s="35">
        <v>8.79</v>
      </c>
      <c r="H2537" s="35">
        <v>32.8</v>
      </c>
      <c r="I2537" s="35" t="s">
        <v>75</v>
      </c>
    </row>
    <row r="2538" ht="22.5" customHeight="1">
      <c r="A2538" s="35" t="s">
        <v>5301</v>
      </c>
      <c r="B2538" s="35" t="s">
        <v>5302</v>
      </c>
      <c r="C2538" s="35" t="s">
        <v>7758</v>
      </c>
      <c r="D2538" s="35" t="s">
        <v>169</v>
      </c>
      <c r="E2538" s="35" t="s">
        <v>449</v>
      </c>
      <c r="F2538" s="35">
        <v>143.0</v>
      </c>
      <c r="G2538" s="35">
        <v>2.24</v>
      </c>
      <c r="H2538" s="35">
        <v>63.8</v>
      </c>
      <c r="I2538" s="35" t="s">
        <v>75</v>
      </c>
    </row>
    <row r="2539" ht="22.5" customHeight="1">
      <c r="A2539" s="35" t="s">
        <v>5303</v>
      </c>
      <c r="B2539" s="35" t="s">
        <v>5304</v>
      </c>
      <c r="C2539" s="35" t="s">
        <v>7758</v>
      </c>
      <c r="D2539" s="35" t="s">
        <v>234</v>
      </c>
      <c r="E2539" s="35" t="s">
        <v>552</v>
      </c>
      <c r="F2539" s="35">
        <v>187.0</v>
      </c>
      <c r="G2539" s="35">
        <v>5.37</v>
      </c>
      <c r="H2539" s="35">
        <v>34.8</v>
      </c>
      <c r="I2539" s="35" t="s">
        <v>75</v>
      </c>
    </row>
    <row r="2540" ht="22.5" customHeight="1">
      <c r="A2540" s="35" t="s">
        <v>5305</v>
      </c>
      <c r="B2540" s="35" t="s">
        <v>5306</v>
      </c>
      <c r="C2540" s="35" t="s">
        <v>7758</v>
      </c>
      <c r="D2540" s="35" t="s">
        <v>116</v>
      </c>
      <c r="E2540" s="35" t="s">
        <v>285</v>
      </c>
      <c r="F2540" s="35">
        <v>25688.0</v>
      </c>
      <c r="G2540" s="35">
        <v>20.67</v>
      </c>
      <c r="H2540" s="35">
        <v>1242.8</v>
      </c>
      <c r="I2540" s="35" t="s">
        <v>571</v>
      </c>
    </row>
    <row r="2541" ht="22.5" customHeight="1">
      <c r="A2541" s="35" t="s">
        <v>5307</v>
      </c>
      <c r="B2541" s="35" t="s">
        <v>5308</v>
      </c>
      <c r="C2541" s="35" t="s">
        <v>7758</v>
      </c>
      <c r="D2541" s="35" t="s">
        <v>234</v>
      </c>
      <c r="E2541" s="35" t="s">
        <v>552</v>
      </c>
      <c r="F2541" s="35">
        <v>528.0</v>
      </c>
      <c r="G2541" s="35">
        <v>6.76</v>
      </c>
      <c r="H2541" s="35">
        <v>78.1</v>
      </c>
      <c r="I2541" s="35" t="s">
        <v>62</v>
      </c>
    </row>
    <row r="2542" ht="22.5" customHeight="1">
      <c r="A2542" s="35" t="s">
        <v>5309</v>
      </c>
      <c r="B2542" s="35" t="s">
        <v>5310</v>
      </c>
      <c r="C2542" s="35" t="s">
        <v>7758</v>
      </c>
      <c r="D2542" s="35" t="s">
        <v>150</v>
      </c>
      <c r="E2542" s="35" t="s">
        <v>411</v>
      </c>
      <c r="F2542" s="35">
        <v>272.0</v>
      </c>
      <c r="G2542" s="35">
        <v>5.53</v>
      </c>
      <c r="H2542" s="35">
        <v>49.2</v>
      </c>
      <c r="I2542" s="35" t="s">
        <v>75</v>
      </c>
    </row>
    <row r="2543" ht="22.5" customHeight="1">
      <c r="A2543" s="35" t="s">
        <v>5311</v>
      </c>
      <c r="B2543" s="35" t="s">
        <v>5312</v>
      </c>
      <c r="C2543" s="35" t="s">
        <v>7758</v>
      </c>
      <c r="D2543" s="35" t="s">
        <v>169</v>
      </c>
      <c r="E2543" s="35" t="s">
        <v>449</v>
      </c>
      <c r="F2543" s="35">
        <v>147.0</v>
      </c>
      <c r="G2543" s="35">
        <v>4.29</v>
      </c>
      <c r="H2543" s="35">
        <v>34.3</v>
      </c>
      <c r="I2543" s="35" t="s">
        <v>75</v>
      </c>
    </row>
    <row r="2544" ht="22.5" customHeight="1">
      <c r="A2544" s="35" t="s">
        <v>5313</v>
      </c>
      <c r="B2544" s="35" t="s">
        <v>5314</v>
      </c>
      <c r="C2544" s="35" t="s">
        <v>7758</v>
      </c>
      <c r="D2544" s="35" t="s">
        <v>223</v>
      </c>
      <c r="E2544" s="35" t="s">
        <v>380</v>
      </c>
      <c r="F2544" s="35">
        <v>415.0</v>
      </c>
      <c r="G2544" s="35">
        <v>4.36</v>
      </c>
      <c r="H2544" s="35">
        <v>95.2</v>
      </c>
      <c r="I2544" s="35" t="s">
        <v>75</v>
      </c>
    </row>
    <row r="2545" ht="22.5" customHeight="1">
      <c r="A2545" s="35" t="s">
        <v>5315</v>
      </c>
      <c r="B2545" s="35" t="s">
        <v>5316</v>
      </c>
      <c r="C2545" s="35" t="s">
        <v>7758</v>
      </c>
      <c r="D2545" s="35" t="s">
        <v>206</v>
      </c>
      <c r="E2545" s="35" t="s">
        <v>533</v>
      </c>
      <c r="F2545" s="35">
        <v>77.0</v>
      </c>
      <c r="G2545" s="35">
        <v>4.95</v>
      </c>
      <c r="H2545" s="35">
        <v>15.6</v>
      </c>
      <c r="I2545" s="35" t="s">
        <v>75</v>
      </c>
    </row>
    <row r="2546" ht="22.5" customHeight="1">
      <c r="A2546" s="35" t="s">
        <v>5317</v>
      </c>
      <c r="B2546" s="35" t="s">
        <v>5318</v>
      </c>
      <c r="C2546" s="35" t="s">
        <v>7758</v>
      </c>
      <c r="D2546" s="35" t="s">
        <v>169</v>
      </c>
      <c r="E2546" s="35" t="s">
        <v>449</v>
      </c>
      <c r="F2546" s="35">
        <v>135.0</v>
      </c>
      <c r="G2546" s="35">
        <v>5.4</v>
      </c>
      <c r="H2546" s="35">
        <v>25.0</v>
      </c>
      <c r="I2546" s="35" t="s">
        <v>75</v>
      </c>
    </row>
    <row r="2547" ht="22.5" customHeight="1">
      <c r="A2547" s="35" t="s">
        <v>5319</v>
      </c>
      <c r="B2547" s="35" t="s">
        <v>5320</v>
      </c>
      <c r="C2547" s="35" t="s">
        <v>7758</v>
      </c>
      <c r="D2547" s="35" t="s">
        <v>206</v>
      </c>
      <c r="E2547" s="35" t="s">
        <v>533</v>
      </c>
      <c r="F2547" s="35">
        <v>106.0</v>
      </c>
      <c r="G2547" s="35">
        <v>2.97</v>
      </c>
      <c r="H2547" s="35">
        <v>35.7</v>
      </c>
      <c r="I2547" s="35" t="s">
        <v>75</v>
      </c>
    </row>
    <row r="2548" ht="22.5" customHeight="1">
      <c r="A2548" s="35" t="s">
        <v>5321</v>
      </c>
      <c r="B2548" s="35" t="s">
        <v>5322</v>
      </c>
      <c r="C2548" s="35" t="s">
        <v>7758</v>
      </c>
      <c r="D2548" s="35" t="s">
        <v>206</v>
      </c>
      <c r="E2548" s="35" t="s">
        <v>533</v>
      </c>
      <c r="F2548" s="35">
        <v>161.0</v>
      </c>
      <c r="G2548" s="35">
        <v>3.81</v>
      </c>
      <c r="H2548" s="35">
        <v>42.3</v>
      </c>
      <c r="I2548" s="35" t="s">
        <v>75</v>
      </c>
    </row>
    <row r="2549" ht="22.5" customHeight="1">
      <c r="A2549" s="35" t="s">
        <v>5323</v>
      </c>
      <c r="B2549" s="35" t="s">
        <v>5324</v>
      </c>
      <c r="C2549" s="35" t="s">
        <v>7758</v>
      </c>
      <c r="D2549" s="35" t="s">
        <v>187</v>
      </c>
      <c r="E2549" s="35" t="s">
        <v>488</v>
      </c>
      <c r="F2549" s="35">
        <v>330.0</v>
      </c>
      <c r="G2549" s="35">
        <v>16.36</v>
      </c>
      <c r="H2549" s="35">
        <v>20.2</v>
      </c>
      <c r="I2549" s="35" t="s">
        <v>75</v>
      </c>
    </row>
    <row r="2550" ht="22.5" customHeight="1">
      <c r="A2550" s="35" t="s">
        <v>5325</v>
      </c>
      <c r="B2550" s="35" t="s">
        <v>5326</v>
      </c>
      <c r="C2550" s="35" t="s">
        <v>7758</v>
      </c>
      <c r="D2550" s="35" t="s">
        <v>169</v>
      </c>
      <c r="E2550" s="35" t="s">
        <v>449</v>
      </c>
      <c r="F2550" s="35">
        <v>529.0</v>
      </c>
      <c r="G2550" s="35">
        <v>6.35</v>
      </c>
      <c r="H2550" s="35">
        <v>83.3</v>
      </c>
      <c r="I2550" s="35" t="s">
        <v>62</v>
      </c>
    </row>
    <row r="2551" ht="22.5" customHeight="1">
      <c r="A2551" s="35" t="s">
        <v>5327</v>
      </c>
      <c r="B2551" s="35" t="s">
        <v>5328</v>
      </c>
      <c r="C2551" s="35" t="s">
        <v>7758</v>
      </c>
      <c r="D2551" s="35" t="s">
        <v>223</v>
      </c>
      <c r="E2551" s="35" t="s">
        <v>380</v>
      </c>
      <c r="F2551" s="35">
        <v>407.0</v>
      </c>
      <c r="G2551" s="35">
        <v>6.45</v>
      </c>
      <c r="H2551" s="35">
        <v>63.1</v>
      </c>
      <c r="I2551" s="35" t="s">
        <v>75</v>
      </c>
    </row>
    <row r="2552" ht="22.5" customHeight="1">
      <c r="A2552" s="35" t="s">
        <v>5329</v>
      </c>
      <c r="B2552" s="35" t="s">
        <v>5330</v>
      </c>
      <c r="C2552" s="35" t="s">
        <v>7758</v>
      </c>
      <c r="D2552" s="35" t="s">
        <v>204</v>
      </c>
      <c r="E2552" s="35" t="s">
        <v>527</v>
      </c>
      <c r="F2552" s="35">
        <v>1062.0</v>
      </c>
      <c r="G2552" s="35">
        <v>13.03</v>
      </c>
      <c r="H2552" s="35">
        <v>81.5</v>
      </c>
      <c r="I2552" s="35" t="s">
        <v>62</v>
      </c>
    </row>
    <row r="2553" ht="22.5" customHeight="1">
      <c r="A2553" s="35" t="s">
        <v>5331</v>
      </c>
      <c r="B2553" s="35" t="s">
        <v>5332</v>
      </c>
      <c r="C2553" s="35" t="s">
        <v>7758</v>
      </c>
      <c r="D2553" s="35" t="s">
        <v>118</v>
      </c>
      <c r="E2553" s="35" t="s">
        <v>300</v>
      </c>
      <c r="F2553" s="35">
        <v>206.0</v>
      </c>
      <c r="G2553" s="35">
        <v>4.14</v>
      </c>
      <c r="H2553" s="35">
        <v>49.8</v>
      </c>
      <c r="I2553" s="35" t="s">
        <v>75</v>
      </c>
    </row>
    <row r="2554" ht="22.5" customHeight="1">
      <c r="A2554" s="35" t="s">
        <v>5333</v>
      </c>
      <c r="B2554" s="35" t="s">
        <v>5334</v>
      </c>
      <c r="C2554" s="35" t="s">
        <v>7758</v>
      </c>
      <c r="D2554" s="35" t="s">
        <v>206</v>
      </c>
      <c r="E2554" s="35" t="s">
        <v>533</v>
      </c>
      <c r="F2554" s="35">
        <v>512.0</v>
      </c>
      <c r="G2554" s="35">
        <v>9.88</v>
      </c>
      <c r="H2554" s="35">
        <v>51.8</v>
      </c>
      <c r="I2554" s="35" t="s">
        <v>62</v>
      </c>
    </row>
    <row r="2555" ht="22.5" customHeight="1">
      <c r="A2555" s="35" t="s">
        <v>5335</v>
      </c>
      <c r="B2555" s="35" t="s">
        <v>5336</v>
      </c>
      <c r="C2555" s="35" t="s">
        <v>7758</v>
      </c>
      <c r="D2555" s="35" t="s">
        <v>118</v>
      </c>
      <c r="E2555" s="35" t="s">
        <v>300</v>
      </c>
      <c r="F2555" s="35">
        <v>6082.0</v>
      </c>
      <c r="G2555" s="35">
        <v>12.64</v>
      </c>
      <c r="H2555" s="35">
        <v>481.2</v>
      </c>
      <c r="I2555" s="35" t="s">
        <v>142</v>
      </c>
    </row>
    <row r="2556" ht="22.5" customHeight="1">
      <c r="A2556" s="35" t="s">
        <v>5337</v>
      </c>
      <c r="B2556" s="35" t="s">
        <v>5338</v>
      </c>
      <c r="C2556" s="35" t="s">
        <v>7758</v>
      </c>
      <c r="D2556" s="35" t="s">
        <v>163</v>
      </c>
      <c r="E2556" s="35" t="s">
        <v>441</v>
      </c>
      <c r="F2556" s="35">
        <v>215.0</v>
      </c>
      <c r="G2556" s="35">
        <v>5.9</v>
      </c>
      <c r="H2556" s="35">
        <v>36.4</v>
      </c>
      <c r="I2556" s="35" t="s">
        <v>75</v>
      </c>
    </row>
    <row r="2557" ht="22.5" customHeight="1">
      <c r="A2557" s="35" t="s">
        <v>5339</v>
      </c>
      <c r="B2557" s="35" t="s">
        <v>5340</v>
      </c>
      <c r="C2557" s="35" t="s">
        <v>7758</v>
      </c>
      <c r="D2557" s="35" t="s">
        <v>118</v>
      </c>
      <c r="E2557" s="35" t="s">
        <v>300</v>
      </c>
      <c r="F2557" s="35">
        <v>828.0</v>
      </c>
      <c r="G2557" s="35">
        <v>2.6</v>
      </c>
      <c r="H2557" s="35">
        <v>318.5</v>
      </c>
      <c r="I2557" s="35" t="s">
        <v>62</v>
      </c>
    </row>
    <row r="2558" ht="22.5" customHeight="1">
      <c r="A2558" s="35" t="s">
        <v>5341</v>
      </c>
      <c r="B2558" s="35" t="s">
        <v>5342</v>
      </c>
      <c r="C2558" s="35" t="s">
        <v>7758</v>
      </c>
      <c r="D2558" s="35" t="s">
        <v>132</v>
      </c>
      <c r="E2558" s="35" t="s">
        <v>346</v>
      </c>
      <c r="F2558" s="35">
        <v>853.0</v>
      </c>
      <c r="G2558" s="35">
        <v>3.34</v>
      </c>
      <c r="H2558" s="35">
        <v>255.4</v>
      </c>
      <c r="I2558" s="35" t="s">
        <v>62</v>
      </c>
    </row>
    <row r="2559" ht="22.5" customHeight="1">
      <c r="A2559" s="35" t="s">
        <v>5343</v>
      </c>
      <c r="B2559" s="35" t="s">
        <v>5344</v>
      </c>
      <c r="C2559" s="35" t="s">
        <v>7758</v>
      </c>
      <c r="D2559" s="35" t="s">
        <v>167</v>
      </c>
      <c r="E2559" s="35" t="s">
        <v>447</v>
      </c>
      <c r="F2559" s="35">
        <v>4480.0</v>
      </c>
      <c r="G2559" s="35">
        <v>21.37</v>
      </c>
      <c r="H2559" s="35">
        <v>209.6</v>
      </c>
      <c r="I2559" s="35" t="s">
        <v>142</v>
      </c>
    </row>
    <row r="2560" ht="22.5" customHeight="1">
      <c r="A2560" s="35" t="s">
        <v>5345</v>
      </c>
      <c r="B2560" s="35" t="s">
        <v>5346</v>
      </c>
      <c r="C2560" s="35" t="s">
        <v>7758</v>
      </c>
      <c r="D2560" s="35" t="s">
        <v>132</v>
      </c>
      <c r="E2560" s="35" t="s">
        <v>346</v>
      </c>
      <c r="F2560" s="35">
        <v>1891.0</v>
      </c>
      <c r="G2560" s="35">
        <v>7.4</v>
      </c>
      <c r="H2560" s="35">
        <v>255.5</v>
      </c>
      <c r="I2560" s="35" t="s">
        <v>62</v>
      </c>
    </row>
    <row r="2561" ht="22.5" customHeight="1">
      <c r="A2561" s="35" t="s">
        <v>5347</v>
      </c>
      <c r="B2561" s="35" t="s">
        <v>5348</v>
      </c>
      <c r="C2561" s="35" t="s">
        <v>7758</v>
      </c>
      <c r="D2561" s="35" t="s">
        <v>167</v>
      </c>
      <c r="E2561" s="35" t="s">
        <v>447</v>
      </c>
      <c r="F2561" s="35">
        <v>172.0</v>
      </c>
      <c r="G2561" s="35">
        <v>8.29</v>
      </c>
      <c r="H2561" s="35">
        <v>20.7</v>
      </c>
      <c r="I2561" s="35" t="s">
        <v>75</v>
      </c>
    </row>
    <row r="2562" ht="22.5" customHeight="1">
      <c r="A2562" s="35" t="s">
        <v>5349</v>
      </c>
      <c r="B2562" s="35" t="s">
        <v>5350</v>
      </c>
      <c r="C2562" s="35" t="s">
        <v>7758</v>
      </c>
      <c r="D2562" s="35" t="s">
        <v>206</v>
      </c>
      <c r="E2562" s="35" t="s">
        <v>533</v>
      </c>
      <c r="F2562" s="35">
        <v>215.0</v>
      </c>
      <c r="G2562" s="35">
        <v>7.88</v>
      </c>
      <c r="H2562" s="35">
        <v>27.3</v>
      </c>
      <c r="I2562" s="35" t="s">
        <v>75</v>
      </c>
    </row>
    <row r="2563" ht="22.5" customHeight="1">
      <c r="A2563" s="35" t="s">
        <v>5351</v>
      </c>
      <c r="B2563" s="35" t="s">
        <v>5352</v>
      </c>
      <c r="C2563" s="35" t="s">
        <v>7758</v>
      </c>
      <c r="D2563" s="35" t="s">
        <v>206</v>
      </c>
      <c r="E2563" s="35" t="s">
        <v>533</v>
      </c>
      <c r="F2563" s="35">
        <v>482.0</v>
      </c>
      <c r="G2563" s="35">
        <v>8.22</v>
      </c>
      <c r="H2563" s="35">
        <v>58.6</v>
      </c>
      <c r="I2563" s="35" t="s">
        <v>75</v>
      </c>
    </row>
    <row r="2564" ht="22.5" customHeight="1">
      <c r="A2564" s="35" t="s">
        <v>5353</v>
      </c>
      <c r="B2564" s="35" t="s">
        <v>5354</v>
      </c>
      <c r="C2564" s="35" t="s">
        <v>7758</v>
      </c>
      <c r="D2564" s="35" t="s">
        <v>139</v>
      </c>
      <c r="E2564" s="35" t="s">
        <v>354</v>
      </c>
      <c r="F2564" s="35">
        <v>1389.0</v>
      </c>
      <c r="G2564" s="35">
        <v>5.88</v>
      </c>
      <c r="H2564" s="35">
        <v>236.2</v>
      </c>
      <c r="I2564" s="35" t="s">
        <v>62</v>
      </c>
    </row>
    <row r="2565" ht="22.5" customHeight="1">
      <c r="A2565" s="35" t="s">
        <v>5355</v>
      </c>
      <c r="B2565" s="35" t="s">
        <v>5356</v>
      </c>
      <c r="C2565" s="35" t="s">
        <v>7758</v>
      </c>
      <c r="D2565" s="35" t="s">
        <v>187</v>
      </c>
      <c r="E2565" s="35" t="s">
        <v>488</v>
      </c>
      <c r="F2565" s="35">
        <v>127.0</v>
      </c>
      <c r="G2565" s="35">
        <v>5.09</v>
      </c>
      <c r="H2565" s="35">
        <v>25.0</v>
      </c>
      <c r="I2565" s="35" t="s">
        <v>75</v>
      </c>
    </row>
    <row r="2566" ht="22.5" customHeight="1">
      <c r="A2566" s="35" t="s">
        <v>5357</v>
      </c>
      <c r="B2566" s="35" t="s">
        <v>5358</v>
      </c>
      <c r="C2566" s="35" t="s">
        <v>7758</v>
      </c>
      <c r="D2566" s="35" t="s">
        <v>118</v>
      </c>
      <c r="E2566" s="35" t="s">
        <v>300</v>
      </c>
      <c r="F2566" s="35">
        <v>2485.0</v>
      </c>
      <c r="G2566" s="35">
        <v>8.35</v>
      </c>
      <c r="H2566" s="35">
        <v>297.6</v>
      </c>
      <c r="I2566" s="35" t="s">
        <v>142</v>
      </c>
    </row>
    <row r="2567" ht="22.5" customHeight="1">
      <c r="A2567" s="35" t="s">
        <v>5359</v>
      </c>
      <c r="B2567" s="35" t="s">
        <v>5360</v>
      </c>
      <c r="C2567" s="35" t="s">
        <v>7758</v>
      </c>
      <c r="D2567" s="35" t="s">
        <v>223</v>
      </c>
      <c r="E2567" s="35" t="s">
        <v>380</v>
      </c>
      <c r="F2567" s="35">
        <v>118.0</v>
      </c>
      <c r="G2567" s="35">
        <v>1.97</v>
      </c>
      <c r="H2567" s="35">
        <v>59.9</v>
      </c>
      <c r="I2567" s="35" t="s">
        <v>75</v>
      </c>
    </row>
    <row r="2568" ht="22.5" customHeight="1">
      <c r="A2568" s="35" t="s">
        <v>5361</v>
      </c>
      <c r="B2568" s="35" t="s">
        <v>5362</v>
      </c>
      <c r="C2568" s="35" t="s">
        <v>7758</v>
      </c>
      <c r="D2568" s="35" t="s">
        <v>118</v>
      </c>
      <c r="E2568" s="35" t="s">
        <v>300</v>
      </c>
      <c r="F2568" s="35">
        <v>738.0</v>
      </c>
      <c r="G2568" s="35">
        <v>4.49</v>
      </c>
      <c r="H2568" s="35">
        <v>164.4</v>
      </c>
      <c r="I2568" s="35" t="s">
        <v>62</v>
      </c>
    </row>
    <row r="2569" ht="22.5" customHeight="1">
      <c r="A2569" s="35" t="s">
        <v>5363</v>
      </c>
      <c r="B2569" s="35" t="s">
        <v>5364</v>
      </c>
      <c r="C2569" s="35" t="s">
        <v>7758</v>
      </c>
      <c r="D2569" s="35" t="s">
        <v>118</v>
      </c>
      <c r="E2569" s="35" t="s">
        <v>300</v>
      </c>
      <c r="F2569" s="35">
        <v>6945.0</v>
      </c>
      <c r="G2569" s="35">
        <v>6.3</v>
      </c>
      <c r="H2569" s="35">
        <v>1102.4</v>
      </c>
      <c r="I2569" s="35" t="s">
        <v>142</v>
      </c>
    </row>
    <row r="2570" ht="22.5" customHeight="1">
      <c r="A2570" s="35" t="s">
        <v>5365</v>
      </c>
      <c r="B2570" s="35" t="s">
        <v>5366</v>
      </c>
      <c r="C2570" s="35" t="s">
        <v>7758</v>
      </c>
      <c r="D2570" s="35" t="s">
        <v>139</v>
      </c>
      <c r="E2570" s="35" t="s">
        <v>354</v>
      </c>
      <c r="F2570" s="35">
        <v>1116.0</v>
      </c>
      <c r="G2570" s="35">
        <v>6.49</v>
      </c>
      <c r="H2570" s="35">
        <v>172.0</v>
      </c>
      <c r="I2570" s="35" t="s">
        <v>62</v>
      </c>
    </row>
    <row r="2571" ht="22.5" customHeight="1">
      <c r="A2571" s="35" t="s">
        <v>5367</v>
      </c>
      <c r="B2571" s="35" t="s">
        <v>5368</v>
      </c>
      <c r="C2571" s="35" t="s">
        <v>7758</v>
      </c>
      <c r="D2571" s="35" t="s">
        <v>169</v>
      </c>
      <c r="E2571" s="35" t="s">
        <v>449</v>
      </c>
      <c r="F2571" s="35">
        <v>247.0</v>
      </c>
      <c r="G2571" s="35">
        <v>8.73</v>
      </c>
      <c r="H2571" s="35">
        <v>28.3</v>
      </c>
      <c r="I2571" s="35" t="s">
        <v>75</v>
      </c>
    </row>
    <row r="2572" ht="22.5" customHeight="1">
      <c r="A2572" s="35" t="s">
        <v>5369</v>
      </c>
      <c r="B2572" s="35" t="s">
        <v>5370</v>
      </c>
      <c r="C2572" s="35" t="s">
        <v>7758</v>
      </c>
      <c r="D2572" s="35" t="s">
        <v>128</v>
      </c>
      <c r="E2572" s="35" t="s">
        <v>338</v>
      </c>
      <c r="F2572" s="35">
        <v>272.0</v>
      </c>
      <c r="G2572" s="35">
        <v>8.09</v>
      </c>
      <c r="H2572" s="35">
        <v>33.6</v>
      </c>
      <c r="I2572" s="35" t="s">
        <v>75</v>
      </c>
    </row>
    <row r="2573" ht="22.5" customHeight="1">
      <c r="A2573" s="35" t="s">
        <v>5371</v>
      </c>
      <c r="B2573" s="35" t="s">
        <v>5372</v>
      </c>
      <c r="C2573" s="35" t="s">
        <v>7758</v>
      </c>
      <c r="D2573" s="35" t="s">
        <v>206</v>
      </c>
      <c r="E2573" s="35" t="s">
        <v>533</v>
      </c>
      <c r="F2573" s="35">
        <v>152.0</v>
      </c>
      <c r="G2573" s="35">
        <v>3.39</v>
      </c>
      <c r="H2573" s="35">
        <v>44.8</v>
      </c>
      <c r="I2573" s="35" t="s">
        <v>75</v>
      </c>
    </row>
    <row r="2574" ht="22.5" customHeight="1">
      <c r="A2574" s="35" t="s">
        <v>5373</v>
      </c>
      <c r="B2574" s="35" t="s">
        <v>5374</v>
      </c>
      <c r="C2574" s="35" t="s">
        <v>7758</v>
      </c>
      <c r="D2574" s="35" t="s">
        <v>187</v>
      </c>
      <c r="E2574" s="35" t="s">
        <v>488</v>
      </c>
      <c r="F2574" s="35">
        <v>494.0</v>
      </c>
      <c r="G2574" s="35">
        <v>7.65</v>
      </c>
      <c r="H2574" s="35">
        <v>64.6</v>
      </c>
      <c r="I2574" s="35" t="s">
        <v>75</v>
      </c>
    </row>
    <row r="2575" ht="22.5" customHeight="1">
      <c r="A2575" s="35" t="s">
        <v>5375</v>
      </c>
      <c r="B2575" s="35" t="s">
        <v>5376</v>
      </c>
      <c r="C2575" s="35" t="s">
        <v>7758</v>
      </c>
      <c r="D2575" s="35" t="s">
        <v>127</v>
      </c>
      <c r="E2575" s="35" t="s">
        <v>323</v>
      </c>
      <c r="F2575" s="35">
        <v>3371.0</v>
      </c>
      <c r="G2575" s="35">
        <v>5.73</v>
      </c>
      <c r="H2575" s="35">
        <v>588.3</v>
      </c>
      <c r="I2575" s="35" t="s">
        <v>142</v>
      </c>
    </row>
    <row r="2576" ht="22.5" customHeight="1">
      <c r="A2576" s="35" t="s">
        <v>5377</v>
      </c>
      <c r="B2576" s="35" t="s">
        <v>5378</v>
      </c>
      <c r="C2576" s="35" t="s">
        <v>7758</v>
      </c>
      <c r="D2576" s="35" t="s">
        <v>169</v>
      </c>
      <c r="E2576" s="35" t="s">
        <v>449</v>
      </c>
      <c r="F2576" s="35">
        <v>219.0</v>
      </c>
      <c r="G2576" s="35">
        <v>3.58</v>
      </c>
      <c r="H2576" s="35">
        <v>61.2</v>
      </c>
      <c r="I2576" s="35" t="s">
        <v>75</v>
      </c>
    </row>
    <row r="2577" ht="22.5" customHeight="1">
      <c r="A2577" s="35" t="s">
        <v>5379</v>
      </c>
      <c r="B2577" s="35" t="s">
        <v>5380</v>
      </c>
      <c r="C2577" s="35" t="s">
        <v>7758</v>
      </c>
      <c r="D2577" s="35" t="s">
        <v>187</v>
      </c>
      <c r="E2577" s="35" t="s">
        <v>488</v>
      </c>
      <c r="F2577" s="35">
        <v>249.0</v>
      </c>
      <c r="G2577" s="35">
        <v>7.83</v>
      </c>
      <c r="H2577" s="35">
        <v>31.8</v>
      </c>
      <c r="I2577" s="35" t="s">
        <v>75</v>
      </c>
    </row>
    <row r="2578" ht="22.5" customHeight="1">
      <c r="A2578" s="35" t="s">
        <v>5381</v>
      </c>
      <c r="B2578" s="35" t="s">
        <v>5382</v>
      </c>
      <c r="C2578" s="35" t="s">
        <v>7758</v>
      </c>
      <c r="D2578" s="35" t="s">
        <v>206</v>
      </c>
      <c r="E2578" s="35" t="s">
        <v>533</v>
      </c>
      <c r="F2578" s="35">
        <v>182.0</v>
      </c>
      <c r="G2578" s="35">
        <v>3.22</v>
      </c>
      <c r="H2578" s="35">
        <v>56.5</v>
      </c>
      <c r="I2578" s="35" t="s">
        <v>75</v>
      </c>
    </row>
    <row r="2579" ht="22.5" customHeight="1">
      <c r="A2579" s="35" t="s">
        <v>5383</v>
      </c>
      <c r="B2579" s="35" t="s">
        <v>5384</v>
      </c>
      <c r="C2579" s="35" t="s">
        <v>7758</v>
      </c>
      <c r="D2579" s="35" t="s">
        <v>206</v>
      </c>
      <c r="E2579" s="35" t="s">
        <v>533</v>
      </c>
      <c r="F2579" s="35">
        <v>218.0</v>
      </c>
      <c r="G2579" s="35">
        <v>6.87</v>
      </c>
      <c r="H2579" s="35">
        <v>31.7</v>
      </c>
      <c r="I2579" s="35" t="s">
        <v>75</v>
      </c>
    </row>
    <row r="2580" ht="22.5" customHeight="1">
      <c r="A2580" s="35" t="s">
        <v>5385</v>
      </c>
      <c r="B2580" s="35" t="s">
        <v>5386</v>
      </c>
      <c r="C2580" s="35" t="s">
        <v>7758</v>
      </c>
      <c r="D2580" s="35" t="s">
        <v>219</v>
      </c>
      <c r="E2580" s="35" t="s">
        <v>377</v>
      </c>
      <c r="F2580" s="35">
        <v>575.0</v>
      </c>
      <c r="G2580" s="35">
        <v>11.13</v>
      </c>
      <c r="H2580" s="35">
        <v>51.7</v>
      </c>
      <c r="I2580" s="35" t="s">
        <v>62</v>
      </c>
    </row>
    <row r="2581" ht="22.5" customHeight="1">
      <c r="A2581" s="35" t="s">
        <v>5387</v>
      </c>
      <c r="B2581" s="35" t="s">
        <v>5388</v>
      </c>
      <c r="C2581" s="35" t="s">
        <v>7758</v>
      </c>
      <c r="D2581" s="35" t="s">
        <v>167</v>
      </c>
      <c r="E2581" s="35" t="s">
        <v>447</v>
      </c>
      <c r="F2581" s="35">
        <v>91.0</v>
      </c>
      <c r="G2581" s="35">
        <v>1.86</v>
      </c>
      <c r="H2581" s="35">
        <v>48.9</v>
      </c>
      <c r="I2581" s="35" t="s">
        <v>75</v>
      </c>
    </row>
    <row r="2582" ht="22.5" customHeight="1">
      <c r="A2582" s="35" t="s">
        <v>5389</v>
      </c>
      <c r="B2582" s="35" t="s">
        <v>5390</v>
      </c>
      <c r="C2582" s="35" t="s">
        <v>7758</v>
      </c>
      <c r="D2582" s="35" t="s">
        <v>139</v>
      </c>
      <c r="E2582" s="35" t="s">
        <v>354</v>
      </c>
      <c r="F2582" s="35">
        <v>1062.0</v>
      </c>
      <c r="G2582" s="35">
        <v>7.78</v>
      </c>
      <c r="H2582" s="35">
        <v>136.5</v>
      </c>
      <c r="I2582" s="35" t="s">
        <v>62</v>
      </c>
    </row>
    <row r="2583" ht="22.5" customHeight="1">
      <c r="A2583" s="35" t="s">
        <v>5391</v>
      </c>
      <c r="B2583" s="35" t="s">
        <v>5392</v>
      </c>
      <c r="C2583" s="35" t="s">
        <v>7758</v>
      </c>
      <c r="D2583" s="35" t="s">
        <v>128</v>
      </c>
      <c r="E2583" s="35" t="s">
        <v>338</v>
      </c>
      <c r="F2583" s="35">
        <v>157.0</v>
      </c>
      <c r="G2583" s="35">
        <v>3.83</v>
      </c>
      <c r="H2583" s="35">
        <v>41.0</v>
      </c>
      <c r="I2583" s="35" t="s">
        <v>75</v>
      </c>
    </row>
    <row r="2584" ht="22.5" customHeight="1">
      <c r="A2584" s="35" t="s">
        <v>5393</v>
      </c>
      <c r="B2584" s="35" t="s">
        <v>5394</v>
      </c>
      <c r="C2584" s="35" t="s">
        <v>7758</v>
      </c>
      <c r="D2584" s="35" t="s">
        <v>118</v>
      </c>
      <c r="E2584" s="35" t="s">
        <v>300</v>
      </c>
      <c r="F2584" s="35">
        <v>8650.0</v>
      </c>
      <c r="G2584" s="35">
        <v>14.39</v>
      </c>
      <c r="H2584" s="35">
        <v>601.1</v>
      </c>
      <c r="I2584" s="35" t="s">
        <v>142</v>
      </c>
    </row>
    <row r="2585" ht="22.5" customHeight="1">
      <c r="A2585" s="35" t="s">
        <v>5395</v>
      </c>
      <c r="B2585" s="35" t="s">
        <v>5396</v>
      </c>
      <c r="C2585" s="35" t="s">
        <v>7758</v>
      </c>
      <c r="D2585" s="35" t="s">
        <v>132</v>
      </c>
      <c r="E2585" s="35" t="s">
        <v>346</v>
      </c>
      <c r="F2585" s="35">
        <v>1122.0</v>
      </c>
      <c r="G2585" s="35">
        <v>6.99</v>
      </c>
      <c r="H2585" s="35">
        <v>160.5</v>
      </c>
      <c r="I2585" s="35" t="s">
        <v>62</v>
      </c>
    </row>
    <row r="2586" ht="22.5" customHeight="1">
      <c r="A2586" s="35" t="s">
        <v>5397</v>
      </c>
      <c r="B2586" s="35" t="s">
        <v>5398</v>
      </c>
      <c r="C2586" s="35" t="s">
        <v>7758</v>
      </c>
      <c r="D2586" s="35" t="s">
        <v>169</v>
      </c>
      <c r="E2586" s="35" t="s">
        <v>449</v>
      </c>
      <c r="F2586" s="35">
        <v>238.0</v>
      </c>
      <c r="G2586" s="35">
        <v>7.4</v>
      </c>
      <c r="H2586" s="35">
        <v>32.2</v>
      </c>
      <c r="I2586" s="35" t="s">
        <v>75</v>
      </c>
    </row>
    <row r="2587" ht="22.5" customHeight="1">
      <c r="A2587" s="35" t="s">
        <v>5399</v>
      </c>
      <c r="B2587" s="35" t="s">
        <v>5400</v>
      </c>
      <c r="C2587" s="35" t="s">
        <v>7758</v>
      </c>
      <c r="D2587" s="35" t="s">
        <v>219</v>
      </c>
      <c r="E2587" s="35" t="s">
        <v>377</v>
      </c>
      <c r="F2587" s="35">
        <v>1040.0</v>
      </c>
      <c r="G2587" s="35">
        <v>9.94</v>
      </c>
      <c r="H2587" s="35">
        <v>104.6</v>
      </c>
      <c r="I2587" s="35" t="s">
        <v>62</v>
      </c>
    </row>
    <row r="2588" ht="22.5" customHeight="1">
      <c r="A2588" s="35" t="s">
        <v>5401</v>
      </c>
      <c r="B2588" s="35" t="s">
        <v>5402</v>
      </c>
      <c r="C2588" s="35" t="s">
        <v>7758</v>
      </c>
      <c r="D2588" s="35" t="s">
        <v>169</v>
      </c>
      <c r="E2588" s="35" t="s">
        <v>449</v>
      </c>
      <c r="F2588" s="35">
        <v>742.0</v>
      </c>
      <c r="G2588" s="35">
        <v>8.62</v>
      </c>
      <c r="H2588" s="35">
        <v>86.1</v>
      </c>
      <c r="I2588" s="35" t="s">
        <v>62</v>
      </c>
    </row>
    <row r="2589" ht="22.5" customHeight="1">
      <c r="A2589" s="35" t="s">
        <v>5403</v>
      </c>
      <c r="B2589" s="35" t="s">
        <v>5404</v>
      </c>
      <c r="C2589" s="35" t="s">
        <v>7758</v>
      </c>
      <c r="D2589" s="35" t="s">
        <v>191</v>
      </c>
      <c r="E2589" s="35" t="s">
        <v>504</v>
      </c>
      <c r="F2589" s="35">
        <v>310.0</v>
      </c>
      <c r="G2589" s="35">
        <v>3.37</v>
      </c>
      <c r="H2589" s="35">
        <v>92.0</v>
      </c>
      <c r="I2589" s="35" t="s">
        <v>75</v>
      </c>
    </row>
    <row r="2590" ht="22.5" customHeight="1">
      <c r="A2590" s="35" t="s">
        <v>5405</v>
      </c>
      <c r="B2590" s="35" t="s">
        <v>5406</v>
      </c>
      <c r="C2590" s="35" t="s">
        <v>7758</v>
      </c>
      <c r="D2590" s="35" t="s">
        <v>118</v>
      </c>
      <c r="E2590" s="35" t="s">
        <v>300</v>
      </c>
      <c r="F2590" s="35">
        <v>1648.0</v>
      </c>
      <c r="G2590" s="35">
        <v>5.94</v>
      </c>
      <c r="H2590" s="35">
        <v>277.4</v>
      </c>
      <c r="I2590" s="35" t="s">
        <v>62</v>
      </c>
    </row>
    <row r="2591" ht="22.5" customHeight="1">
      <c r="A2591" s="35" t="s">
        <v>5407</v>
      </c>
      <c r="B2591" s="35" t="s">
        <v>5408</v>
      </c>
      <c r="C2591" s="35" t="s">
        <v>7758</v>
      </c>
      <c r="D2591" s="35" t="s">
        <v>118</v>
      </c>
      <c r="E2591" s="35" t="s">
        <v>300</v>
      </c>
      <c r="F2591" s="35">
        <v>2858.0</v>
      </c>
      <c r="G2591" s="35">
        <v>4.65</v>
      </c>
      <c r="H2591" s="35">
        <v>614.6</v>
      </c>
      <c r="I2591" s="35" t="s">
        <v>142</v>
      </c>
    </row>
    <row r="2592" ht="22.5" customHeight="1">
      <c r="A2592" s="35" t="s">
        <v>5409</v>
      </c>
      <c r="B2592" s="35" t="s">
        <v>5410</v>
      </c>
      <c r="C2592" s="35" t="s">
        <v>7758</v>
      </c>
      <c r="D2592" s="35" t="s">
        <v>167</v>
      </c>
      <c r="E2592" s="35" t="s">
        <v>447</v>
      </c>
      <c r="F2592" s="35">
        <v>140.0</v>
      </c>
      <c r="G2592" s="35">
        <v>8.24</v>
      </c>
      <c r="H2592" s="35">
        <v>17.0</v>
      </c>
      <c r="I2592" s="35" t="s">
        <v>75</v>
      </c>
    </row>
    <row r="2593" ht="22.5" customHeight="1">
      <c r="A2593" s="35" t="s">
        <v>5411</v>
      </c>
      <c r="B2593" s="35" t="s">
        <v>5412</v>
      </c>
      <c r="C2593" s="35" t="s">
        <v>7758</v>
      </c>
      <c r="D2593" s="35" t="s">
        <v>150</v>
      </c>
      <c r="E2593" s="35" t="s">
        <v>411</v>
      </c>
      <c r="F2593" s="35">
        <v>250.0</v>
      </c>
      <c r="G2593" s="35">
        <v>8.27</v>
      </c>
      <c r="H2593" s="35">
        <v>30.2</v>
      </c>
      <c r="I2593" s="35" t="s">
        <v>75</v>
      </c>
    </row>
    <row r="2594" ht="22.5" customHeight="1">
      <c r="A2594" s="35" t="s">
        <v>5413</v>
      </c>
      <c r="B2594" s="35" t="s">
        <v>5414</v>
      </c>
      <c r="C2594" s="35" t="s">
        <v>7758</v>
      </c>
      <c r="D2594" s="35" t="s">
        <v>219</v>
      </c>
      <c r="E2594" s="35" t="s">
        <v>377</v>
      </c>
      <c r="F2594" s="35">
        <v>309.0</v>
      </c>
      <c r="G2594" s="35">
        <v>8.46</v>
      </c>
      <c r="H2594" s="35">
        <v>36.5</v>
      </c>
      <c r="I2594" s="35" t="s">
        <v>75</v>
      </c>
    </row>
    <row r="2595" ht="22.5" customHeight="1">
      <c r="A2595" s="35" t="s">
        <v>5415</v>
      </c>
      <c r="B2595" s="35" t="s">
        <v>5416</v>
      </c>
      <c r="C2595" s="35" t="s">
        <v>7758</v>
      </c>
      <c r="D2595" s="35" t="s">
        <v>139</v>
      </c>
      <c r="E2595" s="35" t="s">
        <v>354</v>
      </c>
      <c r="F2595" s="35">
        <v>365.0</v>
      </c>
      <c r="G2595" s="35">
        <v>8.64</v>
      </c>
      <c r="H2595" s="35">
        <v>42.2</v>
      </c>
      <c r="I2595" s="35" t="s">
        <v>75</v>
      </c>
    </row>
    <row r="2596" ht="22.5" customHeight="1">
      <c r="A2596" s="35" t="s">
        <v>5417</v>
      </c>
      <c r="B2596" s="35" t="s">
        <v>5418</v>
      </c>
      <c r="C2596" s="35" t="s">
        <v>7758</v>
      </c>
      <c r="D2596" s="35" t="s">
        <v>118</v>
      </c>
      <c r="E2596" s="35" t="s">
        <v>300</v>
      </c>
      <c r="F2596" s="35">
        <v>1070.0</v>
      </c>
      <c r="G2596" s="35">
        <v>4.38</v>
      </c>
      <c r="H2596" s="35">
        <v>244.3</v>
      </c>
      <c r="I2596" s="35" t="s">
        <v>62</v>
      </c>
    </row>
    <row r="2597" ht="22.5" customHeight="1">
      <c r="A2597" s="35" t="s">
        <v>5419</v>
      </c>
      <c r="B2597" s="35" t="s">
        <v>5420</v>
      </c>
      <c r="C2597" s="35" t="s">
        <v>7758</v>
      </c>
      <c r="D2597" s="35" t="s">
        <v>163</v>
      </c>
      <c r="E2597" s="35" t="s">
        <v>441</v>
      </c>
      <c r="F2597" s="35">
        <v>1242.0</v>
      </c>
      <c r="G2597" s="35">
        <v>7.73</v>
      </c>
      <c r="H2597" s="35">
        <v>160.7</v>
      </c>
      <c r="I2597" s="35" t="s">
        <v>62</v>
      </c>
    </row>
    <row r="2598" ht="22.5" customHeight="1">
      <c r="A2598" s="35" t="s">
        <v>5421</v>
      </c>
      <c r="B2598" s="35" t="s">
        <v>5422</v>
      </c>
      <c r="C2598" s="35" t="s">
        <v>7758</v>
      </c>
      <c r="D2598" s="35" t="s">
        <v>223</v>
      </c>
      <c r="E2598" s="35" t="s">
        <v>380</v>
      </c>
      <c r="F2598" s="35">
        <v>787.0</v>
      </c>
      <c r="G2598" s="35">
        <v>5.78</v>
      </c>
      <c r="H2598" s="35">
        <v>136.2</v>
      </c>
      <c r="I2598" s="35" t="s">
        <v>62</v>
      </c>
    </row>
    <row r="2599" ht="22.5" customHeight="1">
      <c r="A2599" s="35" t="s">
        <v>5423</v>
      </c>
      <c r="B2599" s="35" t="s">
        <v>5424</v>
      </c>
      <c r="C2599" s="35" t="s">
        <v>7758</v>
      </c>
      <c r="D2599" s="35" t="s">
        <v>118</v>
      </c>
      <c r="E2599" s="35" t="s">
        <v>300</v>
      </c>
      <c r="F2599" s="35">
        <v>3481.0</v>
      </c>
      <c r="G2599" s="35">
        <v>8.59</v>
      </c>
      <c r="H2599" s="35">
        <v>405.2</v>
      </c>
      <c r="I2599" s="35" t="s">
        <v>142</v>
      </c>
    </row>
    <row r="2600" ht="22.5" customHeight="1">
      <c r="A2600" s="35" t="s">
        <v>5425</v>
      </c>
      <c r="B2600" s="35" t="s">
        <v>5426</v>
      </c>
      <c r="C2600" s="35" t="s">
        <v>7758</v>
      </c>
      <c r="D2600" s="35" t="s">
        <v>169</v>
      </c>
      <c r="E2600" s="35" t="s">
        <v>449</v>
      </c>
      <c r="F2600" s="35">
        <v>341.0</v>
      </c>
      <c r="G2600" s="35">
        <v>7.69</v>
      </c>
      <c r="H2600" s="35">
        <v>44.3</v>
      </c>
      <c r="I2600" s="35" t="s">
        <v>75</v>
      </c>
    </row>
    <row r="2601" ht="22.5" customHeight="1">
      <c r="A2601" s="35" t="s">
        <v>5427</v>
      </c>
      <c r="B2601" s="35" t="s">
        <v>5428</v>
      </c>
      <c r="C2601" s="35" t="s">
        <v>7758</v>
      </c>
      <c r="D2601" s="35" t="s">
        <v>214</v>
      </c>
      <c r="E2601" s="35" t="s">
        <v>366</v>
      </c>
      <c r="F2601" s="35">
        <v>5044.0</v>
      </c>
      <c r="G2601" s="35">
        <v>18.29</v>
      </c>
      <c r="H2601" s="35">
        <v>275.8</v>
      </c>
      <c r="I2601" s="35" t="s">
        <v>142</v>
      </c>
    </row>
    <row r="2602" ht="22.5" customHeight="1">
      <c r="A2602" s="35" t="s">
        <v>5429</v>
      </c>
      <c r="B2602" s="35" t="s">
        <v>5430</v>
      </c>
      <c r="C2602" s="35" t="s">
        <v>7758</v>
      </c>
      <c r="D2602" s="35" t="s">
        <v>187</v>
      </c>
      <c r="E2602" s="35" t="s">
        <v>488</v>
      </c>
      <c r="F2602" s="35">
        <v>229.0</v>
      </c>
      <c r="G2602" s="35">
        <v>9.67</v>
      </c>
      <c r="H2602" s="35">
        <v>23.7</v>
      </c>
      <c r="I2602" s="35" t="s">
        <v>75</v>
      </c>
    </row>
    <row r="2603" ht="22.5" customHeight="1">
      <c r="A2603" s="35" t="s">
        <v>5431</v>
      </c>
      <c r="B2603" s="35" t="s">
        <v>5432</v>
      </c>
      <c r="C2603" s="35" t="s">
        <v>7758</v>
      </c>
      <c r="D2603" s="35" t="s">
        <v>204</v>
      </c>
      <c r="E2603" s="35" t="s">
        <v>527</v>
      </c>
      <c r="F2603" s="35">
        <v>232.0</v>
      </c>
      <c r="G2603" s="35">
        <v>4.79</v>
      </c>
      <c r="H2603" s="35">
        <v>48.4</v>
      </c>
      <c r="I2603" s="35" t="s">
        <v>75</v>
      </c>
    </row>
    <row r="2604" ht="22.5" customHeight="1">
      <c r="A2604" s="35" t="s">
        <v>5433</v>
      </c>
      <c r="B2604" s="35" t="s">
        <v>5434</v>
      </c>
      <c r="C2604" s="35" t="s">
        <v>7758</v>
      </c>
      <c r="D2604" s="35" t="s">
        <v>204</v>
      </c>
      <c r="E2604" s="35" t="s">
        <v>527</v>
      </c>
      <c r="F2604" s="35">
        <v>44.0</v>
      </c>
      <c r="G2604" s="35">
        <v>3.73</v>
      </c>
      <c r="H2604" s="35">
        <v>11.8</v>
      </c>
      <c r="I2604" s="35" t="s">
        <v>75</v>
      </c>
    </row>
    <row r="2605" ht="22.5" customHeight="1">
      <c r="A2605" s="35" t="s">
        <v>5435</v>
      </c>
      <c r="B2605" s="35" t="s">
        <v>5436</v>
      </c>
      <c r="C2605" s="35" t="s">
        <v>7758</v>
      </c>
      <c r="D2605" s="35" t="s">
        <v>191</v>
      </c>
      <c r="E2605" s="35" t="s">
        <v>504</v>
      </c>
      <c r="F2605" s="35">
        <v>316.0</v>
      </c>
      <c r="G2605" s="35">
        <v>8.71</v>
      </c>
      <c r="H2605" s="35">
        <v>36.3</v>
      </c>
      <c r="I2605" s="35" t="s">
        <v>75</v>
      </c>
    </row>
    <row r="2606" ht="22.5" customHeight="1">
      <c r="A2606" s="35" t="s">
        <v>5437</v>
      </c>
      <c r="B2606" s="35" t="s">
        <v>5438</v>
      </c>
      <c r="C2606" s="35" t="s">
        <v>7758</v>
      </c>
      <c r="D2606" s="35" t="s">
        <v>128</v>
      </c>
      <c r="E2606" s="35" t="s">
        <v>338</v>
      </c>
      <c r="F2606" s="35">
        <v>229.0</v>
      </c>
      <c r="G2606" s="35">
        <v>8.27</v>
      </c>
      <c r="H2606" s="35">
        <v>27.7</v>
      </c>
      <c r="I2606" s="35" t="s">
        <v>75</v>
      </c>
    </row>
    <row r="2607" ht="22.5" customHeight="1">
      <c r="A2607" s="35" t="s">
        <v>5439</v>
      </c>
      <c r="B2607" s="35" t="s">
        <v>5440</v>
      </c>
      <c r="C2607" s="35" t="s">
        <v>7758</v>
      </c>
      <c r="D2607" s="35" t="s">
        <v>116</v>
      </c>
      <c r="E2607" s="35" t="s">
        <v>285</v>
      </c>
      <c r="F2607" s="35">
        <v>7060.0</v>
      </c>
      <c r="G2607" s="35">
        <v>6.19</v>
      </c>
      <c r="H2607" s="35">
        <v>1140.5</v>
      </c>
      <c r="I2607" s="35" t="s">
        <v>142</v>
      </c>
    </row>
    <row r="2608" ht="22.5" customHeight="1">
      <c r="A2608" s="35" t="s">
        <v>5441</v>
      </c>
      <c r="B2608" s="35" t="s">
        <v>5442</v>
      </c>
      <c r="C2608" s="35" t="s">
        <v>7758</v>
      </c>
      <c r="D2608" s="35" t="s">
        <v>127</v>
      </c>
      <c r="E2608" s="35" t="s">
        <v>323</v>
      </c>
      <c r="F2608" s="35">
        <v>32920.0</v>
      </c>
      <c r="G2608" s="35">
        <v>11.65</v>
      </c>
      <c r="H2608" s="35">
        <v>2825.8</v>
      </c>
      <c r="I2608" s="35" t="s">
        <v>571</v>
      </c>
    </row>
    <row r="2609" ht="22.5" customHeight="1">
      <c r="A2609" s="35" t="s">
        <v>5443</v>
      </c>
      <c r="B2609" s="35" t="s">
        <v>5444</v>
      </c>
      <c r="C2609" s="35" t="s">
        <v>7758</v>
      </c>
      <c r="D2609" s="35" t="s">
        <v>128</v>
      </c>
      <c r="E2609" s="35" t="s">
        <v>338</v>
      </c>
      <c r="F2609" s="35">
        <v>291.0</v>
      </c>
      <c r="G2609" s="35">
        <v>10.77</v>
      </c>
      <c r="H2609" s="35">
        <v>27.0</v>
      </c>
      <c r="I2609" s="35" t="s">
        <v>75</v>
      </c>
    </row>
    <row r="2610" ht="22.5" customHeight="1">
      <c r="A2610" s="35" t="s">
        <v>5445</v>
      </c>
      <c r="B2610" s="35" t="s">
        <v>5446</v>
      </c>
      <c r="C2610" s="35" t="s">
        <v>7758</v>
      </c>
      <c r="D2610" s="35" t="s">
        <v>118</v>
      </c>
      <c r="E2610" s="35" t="s">
        <v>300</v>
      </c>
      <c r="F2610" s="35">
        <v>402.0</v>
      </c>
      <c r="G2610" s="35">
        <v>3.12</v>
      </c>
      <c r="H2610" s="35">
        <v>128.8</v>
      </c>
      <c r="I2610" s="35" t="s">
        <v>75</v>
      </c>
    </row>
    <row r="2611" ht="22.5" customHeight="1">
      <c r="A2611" s="35" t="s">
        <v>5447</v>
      </c>
      <c r="B2611" s="35" t="s">
        <v>5448</v>
      </c>
      <c r="C2611" s="35" t="s">
        <v>7758</v>
      </c>
      <c r="D2611" s="35" t="s">
        <v>167</v>
      </c>
      <c r="E2611" s="35" t="s">
        <v>447</v>
      </c>
      <c r="F2611" s="35">
        <v>243.0</v>
      </c>
      <c r="G2611" s="35">
        <v>3.97</v>
      </c>
      <c r="H2611" s="35">
        <v>61.2</v>
      </c>
      <c r="I2611" s="35" t="s">
        <v>75</v>
      </c>
    </row>
    <row r="2612" ht="22.5" customHeight="1">
      <c r="A2612" s="35" t="s">
        <v>5449</v>
      </c>
      <c r="B2612" s="35" t="s">
        <v>5450</v>
      </c>
      <c r="C2612" s="35" t="s">
        <v>7758</v>
      </c>
      <c r="D2612" s="35" t="s">
        <v>214</v>
      </c>
      <c r="E2612" s="35" t="s">
        <v>366</v>
      </c>
      <c r="F2612" s="35">
        <v>5009.0</v>
      </c>
      <c r="G2612" s="35">
        <v>21.33</v>
      </c>
      <c r="H2612" s="35">
        <v>234.8</v>
      </c>
      <c r="I2612" s="35" t="s">
        <v>142</v>
      </c>
    </row>
    <row r="2613" ht="22.5" customHeight="1">
      <c r="A2613" s="35" t="s">
        <v>5451</v>
      </c>
      <c r="B2613" s="35" t="s">
        <v>5452</v>
      </c>
      <c r="C2613" s="35" t="s">
        <v>7758</v>
      </c>
      <c r="D2613" s="35" t="s">
        <v>163</v>
      </c>
      <c r="E2613" s="35" t="s">
        <v>441</v>
      </c>
      <c r="F2613" s="35">
        <v>293.0</v>
      </c>
      <c r="G2613" s="35">
        <v>7.98</v>
      </c>
      <c r="H2613" s="35">
        <v>36.7</v>
      </c>
      <c r="I2613" s="35" t="s">
        <v>75</v>
      </c>
    </row>
    <row r="2614" ht="22.5" customHeight="1">
      <c r="A2614" s="35" t="s">
        <v>5453</v>
      </c>
      <c r="B2614" s="35" t="s">
        <v>5454</v>
      </c>
      <c r="C2614" s="35" t="s">
        <v>7758</v>
      </c>
      <c r="D2614" s="35" t="s">
        <v>191</v>
      </c>
      <c r="E2614" s="35" t="s">
        <v>504</v>
      </c>
      <c r="F2614" s="35">
        <v>269.0</v>
      </c>
      <c r="G2614" s="35">
        <v>4.75</v>
      </c>
      <c r="H2614" s="35">
        <v>56.6</v>
      </c>
      <c r="I2614" s="35" t="s">
        <v>75</v>
      </c>
    </row>
    <row r="2615" ht="22.5" customHeight="1">
      <c r="A2615" s="35" t="s">
        <v>5455</v>
      </c>
      <c r="B2615" s="35" t="s">
        <v>5456</v>
      </c>
      <c r="C2615" s="35" t="s">
        <v>7758</v>
      </c>
      <c r="D2615" s="35" t="s">
        <v>163</v>
      </c>
      <c r="E2615" s="35" t="s">
        <v>441</v>
      </c>
      <c r="F2615" s="35">
        <v>540.0</v>
      </c>
      <c r="G2615" s="35">
        <v>6.82</v>
      </c>
      <c r="H2615" s="35">
        <v>79.2</v>
      </c>
      <c r="I2615" s="35" t="s">
        <v>62</v>
      </c>
    </row>
    <row r="2616" ht="22.5" customHeight="1">
      <c r="A2616" s="35" t="s">
        <v>5457</v>
      </c>
      <c r="B2616" s="35" t="s">
        <v>5458</v>
      </c>
      <c r="C2616" s="35" t="s">
        <v>7758</v>
      </c>
      <c r="D2616" s="35" t="s">
        <v>223</v>
      </c>
      <c r="E2616" s="35" t="s">
        <v>380</v>
      </c>
      <c r="F2616" s="35">
        <v>1679.0</v>
      </c>
      <c r="G2616" s="35">
        <v>18.46</v>
      </c>
      <c r="H2616" s="35">
        <v>91.0</v>
      </c>
      <c r="I2616" s="35" t="s">
        <v>62</v>
      </c>
    </row>
    <row r="2617" ht="22.5" customHeight="1">
      <c r="A2617" s="35" t="s">
        <v>5459</v>
      </c>
      <c r="B2617" s="35" t="s">
        <v>5460</v>
      </c>
      <c r="C2617" s="35" t="s">
        <v>7758</v>
      </c>
      <c r="D2617" s="35" t="s">
        <v>169</v>
      </c>
      <c r="E2617" s="35" t="s">
        <v>449</v>
      </c>
      <c r="F2617" s="35">
        <v>303.0</v>
      </c>
      <c r="G2617" s="35">
        <v>3.41</v>
      </c>
      <c r="H2617" s="35">
        <v>88.9</v>
      </c>
      <c r="I2617" s="35" t="s">
        <v>75</v>
      </c>
    </row>
    <row r="2618" ht="22.5" customHeight="1">
      <c r="A2618" s="35" t="s">
        <v>5461</v>
      </c>
      <c r="B2618" s="35" t="s">
        <v>5462</v>
      </c>
      <c r="C2618" s="35" t="s">
        <v>7758</v>
      </c>
      <c r="D2618" s="35" t="s">
        <v>118</v>
      </c>
      <c r="E2618" s="35" t="s">
        <v>300</v>
      </c>
      <c r="F2618" s="35">
        <v>335.0</v>
      </c>
      <c r="G2618" s="35">
        <v>3.27</v>
      </c>
      <c r="H2618" s="35">
        <v>102.4</v>
      </c>
      <c r="I2618" s="35" t="s">
        <v>75</v>
      </c>
    </row>
    <row r="2619" ht="22.5" customHeight="1">
      <c r="A2619" s="35" t="s">
        <v>5463</v>
      </c>
      <c r="B2619" s="35" t="s">
        <v>5464</v>
      </c>
      <c r="C2619" s="35" t="s">
        <v>7758</v>
      </c>
      <c r="D2619" s="35" t="s">
        <v>118</v>
      </c>
      <c r="E2619" s="35" t="s">
        <v>300</v>
      </c>
      <c r="F2619" s="35">
        <v>378.0</v>
      </c>
      <c r="G2619" s="35">
        <v>3.06</v>
      </c>
      <c r="H2619" s="35">
        <v>123.5</v>
      </c>
      <c r="I2619" s="35" t="s">
        <v>75</v>
      </c>
    </row>
    <row r="2620" ht="22.5" customHeight="1">
      <c r="A2620" s="35" t="s">
        <v>5465</v>
      </c>
      <c r="B2620" s="35" t="s">
        <v>5466</v>
      </c>
      <c r="C2620" s="35" t="s">
        <v>7758</v>
      </c>
      <c r="D2620" s="35" t="s">
        <v>127</v>
      </c>
      <c r="E2620" s="35" t="s">
        <v>323</v>
      </c>
      <c r="F2620" s="35">
        <v>30063.0</v>
      </c>
      <c r="G2620" s="35">
        <v>12.84</v>
      </c>
      <c r="H2620" s="35">
        <v>2341.4</v>
      </c>
      <c r="I2620" s="35" t="s">
        <v>571</v>
      </c>
    </row>
    <row r="2621" ht="22.5" customHeight="1">
      <c r="A2621" s="35" t="s">
        <v>5467</v>
      </c>
      <c r="B2621" s="35" t="s">
        <v>5468</v>
      </c>
      <c r="C2621" s="35" t="s">
        <v>7758</v>
      </c>
      <c r="D2621" s="35" t="s">
        <v>169</v>
      </c>
      <c r="E2621" s="35" t="s">
        <v>449</v>
      </c>
      <c r="F2621" s="35">
        <v>140.0</v>
      </c>
      <c r="G2621" s="35">
        <v>2.97</v>
      </c>
      <c r="H2621" s="35">
        <v>47.1</v>
      </c>
      <c r="I2621" s="35" t="s">
        <v>75</v>
      </c>
    </row>
    <row r="2622" ht="22.5" customHeight="1">
      <c r="A2622" s="35" t="s">
        <v>5469</v>
      </c>
      <c r="B2622" s="35" t="s">
        <v>5470</v>
      </c>
      <c r="C2622" s="35" t="s">
        <v>7758</v>
      </c>
      <c r="D2622" s="35" t="s">
        <v>118</v>
      </c>
      <c r="E2622" s="35" t="s">
        <v>300</v>
      </c>
      <c r="F2622" s="35">
        <v>565.0</v>
      </c>
      <c r="G2622" s="35">
        <v>8.03</v>
      </c>
      <c r="H2622" s="35">
        <v>70.4</v>
      </c>
      <c r="I2622" s="35" t="s">
        <v>62</v>
      </c>
    </row>
    <row r="2623" ht="22.5" customHeight="1">
      <c r="A2623" s="35" t="s">
        <v>5471</v>
      </c>
      <c r="B2623" s="35" t="s">
        <v>5472</v>
      </c>
      <c r="C2623" s="35" t="s">
        <v>7758</v>
      </c>
      <c r="D2623" s="35" t="s">
        <v>206</v>
      </c>
      <c r="E2623" s="35" t="s">
        <v>533</v>
      </c>
      <c r="F2623" s="35">
        <v>188.0</v>
      </c>
      <c r="G2623" s="35">
        <v>7.2</v>
      </c>
      <c r="H2623" s="35">
        <v>26.1</v>
      </c>
      <c r="I2623" s="35" t="s">
        <v>75</v>
      </c>
    </row>
    <row r="2624" ht="22.5" customHeight="1">
      <c r="A2624" s="35" t="s">
        <v>5473</v>
      </c>
      <c r="B2624" s="35" t="s">
        <v>5474</v>
      </c>
      <c r="C2624" s="35" t="s">
        <v>7758</v>
      </c>
      <c r="D2624" s="35" t="s">
        <v>206</v>
      </c>
      <c r="E2624" s="35" t="s">
        <v>533</v>
      </c>
      <c r="F2624" s="35">
        <v>235.0</v>
      </c>
      <c r="G2624" s="35">
        <v>5.13</v>
      </c>
      <c r="H2624" s="35">
        <v>45.8</v>
      </c>
      <c r="I2624" s="35" t="s">
        <v>75</v>
      </c>
    </row>
    <row r="2625" ht="22.5" customHeight="1">
      <c r="A2625" s="35" t="s">
        <v>5475</v>
      </c>
      <c r="B2625" s="35" t="s">
        <v>5476</v>
      </c>
      <c r="C2625" s="35" t="s">
        <v>7758</v>
      </c>
      <c r="D2625" s="35" t="s">
        <v>204</v>
      </c>
      <c r="E2625" s="35" t="s">
        <v>527</v>
      </c>
      <c r="F2625" s="35">
        <v>514.0</v>
      </c>
      <c r="G2625" s="35">
        <v>10.3</v>
      </c>
      <c r="H2625" s="35">
        <v>49.9</v>
      </c>
      <c r="I2625" s="35" t="s">
        <v>62</v>
      </c>
    </row>
    <row r="2626" ht="22.5" customHeight="1">
      <c r="A2626" s="35" t="s">
        <v>5477</v>
      </c>
      <c r="B2626" s="35" t="s">
        <v>5478</v>
      </c>
      <c r="C2626" s="35" t="s">
        <v>7758</v>
      </c>
      <c r="D2626" s="35" t="s">
        <v>118</v>
      </c>
      <c r="E2626" s="35" t="s">
        <v>300</v>
      </c>
      <c r="F2626" s="35">
        <v>10193.0</v>
      </c>
      <c r="G2626" s="35">
        <v>26.59</v>
      </c>
      <c r="H2626" s="35">
        <v>383.3</v>
      </c>
      <c r="I2626" s="35" t="s">
        <v>571</v>
      </c>
    </row>
    <row r="2627" ht="22.5" customHeight="1">
      <c r="A2627" s="35" t="s">
        <v>5479</v>
      </c>
      <c r="B2627" s="35" t="s">
        <v>5480</v>
      </c>
      <c r="C2627" s="35" t="s">
        <v>7758</v>
      </c>
      <c r="D2627" s="35" t="s">
        <v>118</v>
      </c>
      <c r="E2627" s="35" t="s">
        <v>300</v>
      </c>
      <c r="F2627" s="35">
        <v>219.0</v>
      </c>
      <c r="G2627" s="35">
        <v>3.66</v>
      </c>
      <c r="H2627" s="35">
        <v>59.8</v>
      </c>
      <c r="I2627" s="35" t="s">
        <v>75</v>
      </c>
    </row>
    <row r="2628" ht="22.5" customHeight="1">
      <c r="A2628" s="35" t="s">
        <v>5481</v>
      </c>
      <c r="B2628" s="35" t="s">
        <v>5482</v>
      </c>
      <c r="C2628" s="35" t="s">
        <v>7758</v>
      </c>
      <c r="D2628" s="35" t="s">
        <v>206</v>
      </c>
      <c r="E2628" s="35" t="s">
        <v>533</v>
      </c>
      <c r="F2628" s="35">
        <v>174.0</v>
      </c>
      <c r="G2628" s="35">
        <v>4.76</v>
      </c>
      <c r="H2628" s="35">
        <v>36.6</v>
      </c>
      <c r="I2628" s="35" t="s">
        <v>75</v>
      </c>
    </row>
    <row r="2629" ht="22.5" customHeight="1">
      <c r="A2629" s="35" t="s">
        <v>5483</v>
      </c>
      <c r="B2629" s="35" t="s">
        <v>5484</v>
      </c>
      <c r="C2629" s="35" t="s">
        <v>7758</v>
      </c>
      <c r="D2629" s="35" t="s">
        <v>206</v>
      </c>
      <c r="E2629" s="35" t="s">
        <v>533</v>
      </c>
      <c r="F2629" s="35">
        <v>582.0</v>
      </c>
      <c r="G2629" s="35">
        <v>17.88</v>
      </c>
      <c r="H2629" s="35">
        <v>32.6</v>
      </c>
      <c r="I2629" s="35" t="s">
        <v>62</v>
      </c>
    </row>
    <row r="2630" ht="22.5" customHeight="1">
      <c r="A2630" s="35" t="s">
        <v>5485</v>
      </c>
      <c r="B2630" s="35" t="s">
        <v>5486</v>
      </c>
      <c r="C2630" s="35" t="s">
        <v>7758</v>
      </c>
      <c r="D2630" s="35" t="s">
        <v>118</v>
      </c>
      <c r="E2630" s="35" t="s">
        <v>300</v>
      </c>
      <c r="F2630" s="35">
        <v>2324.0</v>
      </c>
      <c r="G2630" s="35">
        <v>9.45</v>
      </c>
      <c r="H2630" s="35">
        <v>245.9</v>
      </c>
      <c r="I2630" s="35" t="s">
        <v>142</v>
      </c>
    </row>
    <row r="2631" ht="22.5" customHeight="1">
      <c r="A2631" s="35" t="s">
        <v>5487</v>
      </c>
      <c r="B2631" s="35" t="s">
        <v>5488</v>
      </c>
      <c r="C2631" s="35" t="s">
        <v>7758</v>
      </c>
      <c r="D2631" s="35" t="s">
        <v>167</v>
      </c>
      <c r="E2631" s="35" t="s">
        <v>447</v>
      </c>
      <c r="F2631" s="35">
        <v>224.0</v>
      </c>
      <c r="G2631" s="35">
        <v>0.69</v>
      </c>
      <c r="H2631" s="35">
        <v>324.6</v>
      </c>
      <c r="I2631" s="35" t="s">
        <v>75</v>
      </c>
    </row>
    <row r="2632" ht="22.5" customHeight="1">
      <c r="A2632" s="35" t="s">
        <v>5489</v>
      </c>
      <c r="B2632" s="35" t="s">
        <v>5490</v>
      </c>
      <c r="C2632" s="35" t="s">
        <v>7758</v>
      </c>
      <c r="D2632" s="35" t="s">
        <v>167</v>
      </c>
      <c r="E2632" s="35" t="s">
        <v>447</v>
      </c>
      <c r="F2632" s="35">
        <v>252.0</v>
      </c>
      <c r="G2632" s="35">
        <v>9.12</v>
      </c>
      <c r="H2632" s="35">
        <v>27.6</v>
      </c>
      <c r="I2632" s="35" t="s">
        <v>75</v>
      </c>
    </row>
    <row r="2633" ht="22.5" customHeight="1">
      <c r="A2633" s="35" t="s">
        <v>5491</v>
      </c>
      <c r="B2633" s="35" t="s">
        <v>5492</v>
      </c>
      <c r="C2633" s="35" t="s">
        <v>7758</v>
      </c>
      <c r="D2633" s="35" t="s">
        <v>127</v>
      </c>
      <c r="E2633" s="35" t="s">
        <v>323</v>
      </c>
      <c r="F2633" s="35">
        <v>5169.0</v>
      </c>
      <c r="G2633" s="35">
        <v>3.5</v>
      </c>
      <c r="H2633" s="35">
        <v>1476.9</v>
      </c>
      <c r="I2633" s="35" t="s">
        <v>142</v>
      </c>
    </row>
    <row r="2634" ht="22.5" customHeight="1">
      <c r="A2634" s="35" t="s">
        <v>5493</v>
      </c>
      <c r="B2634" s="35" t="s">
        <v>5494</v>
      </c>
      <c r="C2634" s="35" t="s">
        <v>7758</v>
      </c>
      <c r="D2634" s="35" t="s">
        <v>150</v>
      </c>
      <c r="E2634" s="35" t="s">
        <v>411</v>
      </c>
      <c r="F2634" s="35">
        <v>1528.0</v>
      </c>
      <c r="G2634" s="35">
        <v>10.26</v>
      </c>
      <c r="H2634" s="35">
        <v>148.9</v>
      </c>
      <c r="I2634" s="35" t="s">
        <v>62</v>
      </c>
    </row>
    <row r="2635" ht="22.5" customHeight="1">
      <c r="A2635" s="35" t="s">
        <v>5495</v>
      </c>
      <c r="B2635" s="35" t="s">
        <v>5496</v>
      </c>
      <c r="C2635" s="35" t="s">
        <v>7758</v>
      </c>
      <c r="D2635" s="35" t="s">
        <v>139</v>
      </c>
      <c r="E2635" s="35" t="s">
        <v>354</v>
      </c>
      <c r="F2635" s="35">
        <v>10548.0</v>
      </c>
      <c r="G2635" s="35">
        <v>8.43</v>
      </c>
      <c r="H2635" s="35">
        <v>1251.2</v>
      </c>
      <c r="I2635" s="35" t="s">
        <v>571</v>
      </c>
    </row>
    <row r="2636" ht="22.5" customHeight="1">
      <c r="A2636" s="35" t="s">
        <v>5497</v>
      </c>
      <c r="B2636" s="35" t="s">
        <v>5498</v>
      </c>
      <c r="C2636" s="35" t="s">
        <v>7758</v>
      </c>
      <c r="D2636" s="35" t="s">
        <v>150</v>
      </c>
      <c r="E2636" s="35" t="s">
        <v>411</v>
      </c>
      <c r="F2636" s="35">
        <v>149.0</v>
      </c>
      <c r="G2636" s="35">
        <v>3.53</v>
      </c>
      <c r="H2636" s="35">
        <v>42.2</v>
      </c>
      <c r="I2636" s="35" t="s">
        <v>75</v>
      </c>
    </row>
    <row r="2637" ht="22.5" customHeight="1">
      <c r="A2637" s="35" t="s">
        <v>5499</v>
      </c>
      <c r="B2637" s="35" t="s">
        <v>5500</v>
      </c>
      <c r="C2637" s="35" t="s">
        <v>7758</v>
      </c>
      <c r="D2637" s="35" t="s">
        <v>128</v>
      </c>
      <c r="E2637" s="35" t="s">
        <v>338</v>
      </c>
      <c r="F2637" s="35">
        <v>253.0</v>
      </c>
      <c r="G2637" s="35">
        <v>10.97</v>
      </c>
      <c r="H2637" s="35">
        <v>23.1</v>
      </c>
      <c r="I2637" s="35" t="s">
        <v>75</v>
      </c>
    </row>
    <row r="2638" ht="22.5" customHeight="1">
      <c r="A2638" s="35" t="s">
        <v>5501</v>
      </c>
      <c r="B2638" s="35" t="s">
        <v>5502</v>
      </c>
      <c r="C2638" s="35" t="s">
        <v>7758</v>
      </c>
      <c r="D2638" s="35" t="s">
        <v>127</v>
      </c>
      <c r="E2638" s="35" t="s">
        <v>323</v>
      </c>
      <c r="F2638" s="35">
        <v>6799.0</v>
      </c>
      <c r="G2638" s="35">
        <v>12.69</v>
      </c>
      <c r="H2638" s="35">
        <v>535.8</v>
      </c>
      <c r="I2638" s="35" t="s">
        <v>142</v>
      </c>
    </row>
    <row r="2639" ht="22.5" customHeight="1">
      <c r="A2639" s="35" t="s">
        <v>5503</v>
      </c>
      <c r="B2639" s="35" t="s">
        <v>5504</v>
      </c>
      <c r="C2639" s="35" t="s">
        <v>7758</v>
      </c>
      <c r="D2639" s="35" t="s">
        <v>118</v>
      </c>
      <c r="E2639" s="35" t="s">
        <v>300</v>
      </c>
      <c r="F2639" s="35">
        <v>1651.0</v>
      </c>
      <c r="G2639" s="35">
        <v>6.87</v>
      </c>
      <c r="H2639" s="35">
        <v>240.3</v>
      </c>
      <c r="I2639" s="35" t="s">
        <v>62</v>
      </c>
    </row>
    <row r="2640" ht="22.5" customHeight="1">
      <c r="A2640" s="35" t="s">
        <v>5505</v>
      </c>
      <c r="B2640" s="35" t="s">
        <v>5506</v>
      </c>
      <c r="C2640" s="35" t="s">
        <v>7758</v>
      </c>
      <c r="D2640" s="35" t="s">
        <v>150</v>
      </c>
      <c r="E2640" s="35" t="s">
        <v>411</v>
      </c>
      <c r="F2640" s="35">
        <v>544.0</v>
      </c>
      <c r="G2640" s="35">
        <v>10.46</v>
      </c>
      <c r="H2640" s="35">
        <v>52.0</v>
      </c>
      <c r="I2640" s="35" t="s">
        <v>62</v>
      </c>
    </row>
    <row r="2641" ht="22.5" customHeight="1">
      <c r="A2641" s="35" t="s">
        <v>5507</v>
      </c>
      <c r="B2641" s="35" t="s">
        <v>5508</v>
      </c>
      <c r="C2641" s="35" t="s">
        <v>7758</v>
      </c>
      <c r="D2641" s="35" t="s">
        <v>223</v>
      </c>
      <c r="E2641" s="35" t="s">
        <v>380</v>
      </c>
      <c r="F2641" s="35">
        <v>947.0</v>
      </c>
      <c r="G2641" s="35">
        <v>12.97</v>
      </c>
      <c r="H2641" s="35">
        <v>73.0</v>
      </c>
      <c r="I2641" s="35" t="s">
        <v>62</v>
      </c>
    </row>
    <row r="2642" ht="22.5" customHeight="1">
      <c r="A2642" s="35" t="s">
        <v>5509</v>
      </c>
      <c r="B2642" s="35" t="s">
        <v>5510</v>
      </c>
      <c r="C2642" s="35" t="s">
        <v>7758</v>
      </c>
      <c r="D2642" s="35" t="s">
        <v>118</v>
      </c>
      <c r="E2642" s="35" t="s">
        <v>300</v>
      </c>
      <c r="F2642" s="35">
        <v>1256.0</v>
      </c>
      <c r="G2642" s="35">
        <v>2.06</v>
      </c>
      <c r="H2642" s="35">
        <v>609.7</v>
      </c>
      <c r="I2642" s="35" t="s">
        <v>62</v>
      </c>
    </row>
    <row r="2643" ht="22.5" customHeight="1">
      <c r="A2643" s="35" t="s">
        <v>5511</v>
      </c>
      <c r="B2643" s="35" t="s">
        <v>5512</v>
      </c>
      <c r="C2643" s="35" t="s">
        <v>7758</v>
      </c>
      <c r="D2643" s="35" t="s">
        <v>187</v>
      </c>
      <c r="E2643" s="35" t="s">
        <v>488</v>
      </c>
      <c r="F2643" s="35">
        <v>140.0</v>
      </c>
      <c r="G2643" s="35">
        <v>2.84</v>
      </c>
      <c r="H2643" s="35">
        <v>49.3</v>
      </c>
      <c r="I2643" s="35" t="s">
        <v>75</v>
      </c>
    </row>
    <row r="2644" ht="22.5" customHeight="1">
      <c r="A2644" s="35" t="s">
        <v>5513</v>
      </c>
      <c r="B2644" s="35" t="s">
        <v>5514</v>
      </c>
      <c r="C2644" s="35" t="s">
        <v>7758</v>
      </c>
      <c r="D2644" s="35" t="s">
        <v>191</v>
      </c>
      <c r="E2644" s="35" t="s">
        <v>504</v>
      </c>
      <c r="F2644" s="35">
        <v>3579.0</v>
      </c>
      <c r="G2644" s="35">
        <v>10.04</v>
      </c>
      <c r="H2644" s="35">
        <v>356.5</v>
      </c>
      <c r="I2644" s="35" t="s">
        <v>142</v>
      </c>
    </row>
    <row r="2645" ht="22.5" customHeight="1">
      <c r="A2645" s="35" t="s">
        <v>5515</v>
      </c>
      <c r="B2645" s="35" t="s">
        <v>5516</v>
      </c>
      <c r="C2645" s="35" t="s">
        <v>7758</v>
      </c>
      <c r="D2645" s="35" t="s">
        <v>128</v>
      </c>
      <c r="E2645" s="35" t="s">
        <v>338</v>
      </c>
      <c r="F2645" s="35">
        <v>149.0</v>
      </c>
      <c r="G2645" s="35">
        <v>2.46</v>
      </c>
      <c r="H2645" s="35">
        <v>60.6</v>
      </c>
      <c r="I2645" s="35" t="s">
        <v>75</v>
      </c>
    </row>
    <row r="2646" ht="22.5" customHeight="1">
      <c r="A2646" s="35" t="s">
        <v>5517</v>
      </c>
      <c r="B2646" s="35" t="s">
        <v>5518</v>
      </c>
      <c r="C2646" s="35" t="s">
        <v>7758</v>
      </c>
      <c r="D2646" s="35" t="s">
        <v>169</v>
      </c>
      <c r="E2646" s="35" t="s">
        <v>449</v>
      </c>
      <c r="F2646" s="35">
        <v>647.0</v>
      </c>
      <c r="G2646" s="35">
        <v>9.92</v>
      </c>
      <c r="H2646" s="35">
        <v>65.2</v>
      </c>
      <c r="I2646" s="35" t="s">
        <v>62</v>
      </c>
    </row>
    <row r="2647" ht="22.5" customHeight="1">
      <c r="A2647" s="35" t="s">
        <v>5519</v>
      </c>
      <c r="B2647" s="35" t="s">
        <v>5520</v>
      </c>
      <c r="C2647" s="35" t="s">
        <v>7758</v>
      </c>
      <c r="D2647" s="35" t="s">
        <v>169</v>
      </c>
      <c r="E2647" s="35" t="s">
        <v>449</v>
      </c>
      <c r="F2647" s="35">
        <v>105.0</v>
      </c>
      <c r="G2647" s="35">
        <v>4.52</v>
      </c>
      <c r="H2647" s="35">
        <v>23.2</v>
      </c>
      <c r="I2647" s="35" t="s">
        <v>75</v>
      </c>
    </row>
    <row r="2648" ht="22.5" customHeight="1">
      <c r="A2648" s="35" t="s">
        <v>5521</v>
      </c>
      <c r="B2648" s="35" t="s">
        <v>5522</v>
      </c>
      <c r="C2648" s="35" t="s">
        <v>7758</v>
      </c>
      <c r="D2648" s="35" t="s">
        <v>167</v>
      </c>
      <c r="E2648" s="35" t="s">
        <v>447</v>
      </c>
      <c r="F2648" s="35">
        <v>451.0</v>
      </c>
      <c r="G2648" s="35">
        <v>12.12</v>
      </c>
      <c r="H2648" s="35">
        <v>37.2</v>
      </c>
      <c r="I2648" s="35" t="s">
        <v>75</v>
      </c>
    </row>
    <row r="2649" ht="22.5" customHeight="1">
      <c r="A2649" s="35" t="s">
        <v>5523</v>
      </c>
      <c r="B2649" s="35" t="s">
        <v>5524</v>
      </c>
      <c r="C2649" s="35" t="s">
        <v>7758</v>
      </c>
      <c r="D2649" s="35" t="s">
        <v>206</v>
      </c>
      <c r="E2649" s="35" t="s">
        <v>533</v>
      </c>
      <c r="F2649" s="35">
        <v>266.0</v>
      </c>
      <c r="G2649" s="35">
        <v>5.2</v>
      </c>
      <c r="H2649" s="35">
        <v>51.2</v>
      </c>
      <c r="I2649" s="35" t="s">
        <v>75</v>
      </c>
    </row>
    <row r="2650" ht="22.5" customHeight="1">
      <c r="A2650" s="35" t="s">
        <v>5525</v>
      </c>
      <c r="B2650" s="35" t="s">
        <v>5526</v>
      </c>
      <c r="C2650" s="35" t="s">
        <v>7758</v>
      </c>
      <c r="D2650" s="35" t="s">
        <v>118</v>
      </c>
      <c r="E2650" s="35" t="s">
        <v>300</v>
      </c>
      <c r="F2650" s="35">
        <v>1678.0</v>
      </c>
      <c r="G2650" s="35">
        <v>5.55</v>
      </c>
      <c r="H2650" s="35">
        <v>302.3</v>
      </c>
      <c r="I2650" s="35" t="s">
        <v>62</v>
      </c>
    </row>
    <row r="2651" ht="22.5" customHeight="1">
      <c r="A2651" s="35" t="s">
        <v>5527</v>
      </c>
      <c r="B2651" s="35" t="s">
        <v>5528</v>
      </c>
      <c r="C2651" s="35" t="s">
        <v>7758</v>
      </c>
      <c r="D2651" s="35" t="s">
        <v>167</v>
      </c>
      <c r="E2651" s="35" t="s">
        <v>447</v>
      </c>
      <c r="F2651" s="35">
        <v>119.0</v>
      </c>
      <c r="G2651" s="35">
        <v>4.38</v>
      </c>
      <c r="H2651" s="35">
        <v>27.2</v>
      </c>
      <c r="I2651" s="35" t="s">
        <v>75</v>
      </c>
    </row>
    <row r="2652" ht="22.5" customHeight="1">
      <c r="A2652" s="35" t="s">
        <v>5529</v>
      </c>
      <c r="B2652" s="35" t="s">
        <v>5530</v>
      </c>
      <c r="C2652" s="35" t="s">
        <v>7758</v>
      </c>
      <c r="D2652" s="35" t="s">
        <v>169</v>
      </c>
      <c r="E2652" s="35" t="s">
        <v>449</v>
      </c>
      <c r="F2652" s="35">
        <v>205.0</v>
      </c>
      <c r="G2652" s="35">
        <v>6.93</v>
      </c>
      <c r="H2652" s="35">
        <v>29.6</v>
      </c>
      <c r="I2652" s="35" t="s">
        <v>75</v>
      </c>
    </row>
    <row r="2653" ht="22.5" customHeight="1">
      <c r="A2653" s="35" t="s">
        <v>5531</v>
      </c>
      <c r="B2653" s="35" t="s">
        <v>5532</v>
      </c>
      <c r="C2653" s="35" t="s">
        <v>7758</v>
      </c>
      <c r="D2653" s="35" t="s">
        <v>139</v>
      </c>
      <c r="E2653" s="35" t="s">
        <v>354</v>
      </c>
      <c r="F2653" s="35">
        <v>1973.0</v>
      </c>
      <c r="G2653" s="35">
        <v>9.7</v>
      </c>
      <c r="H2653" s="35">
        <v>203.4</v>
      </c>
      <c r="I2653" s="35" t="s">
        <v>62</v>
      </c>
    </row>
    <row r="2654" ht="22.5" customHeight="1">
      <c r="A2654" s="35" t="s">
        <v>5533</v>
      </c>
      <c r="B2654" s="35" t="s">
        <v>5534</v>
      </c>
      <c r="C2654" s="35" t="s">
        <v>7758</v>
      </c>
      <c r="D2654" s="35" t="s">
        <v>169</v>
      </c>
      <c r="E2654" s="35" t="s">
        <v>449</v>
      </c>
      <c r="F2654" s="35">
        <v>182.0</v>
      </c>
      <c r="G2654" s="35">
        <v>4.08</v>
      </c>
      <c r="H2654" s="35">
        <v>44.6</v>
      </c>
      <c r="I2654" s="35" t="s">
        <v>75</v>
      </c>
    </row>
    <row r="2655" ht="22.5" customHeight="1">
      <c r="A2655" s="35" t="s">
        <v>5535</v>
      </c>
      <c r="B2655" s="35" t="s">
        <v>5536</v>
      </c>
      <c r="C2655" s="35" t="s">
        <v>7758</v>
      </c>
      <c r="D2655" s="35" t="s">
        <v>187</v>
      </c>
      <c r="E2655" s="35" t="s">
        <v>488</v>
      </c>
      <c r="F2655" s="35">
        <v>152.0</v>
      </c>
      <c r="G2655" s="35">
        <v>3.99</v>
      </c>
      <c r="H2655" s="35">
        <v>38.1</v>
      </c>
      <c r="I2655" s="35" t="s">
        <v>75</v>
      </c>
    </row>
    <row r="2656" ht="22.5" customHeight="1">
      <c r="A2656" s="35" t="s">
        <v>5537</v>
      </c>
      <c r="B2656" s="35" t="s">
        <v>5538</v>
      </c>
      <c r="C2656" s="35" t="s">
        <v>7758</v>
      </c>
      <c r="D2656" s="35" t="s">
        <v>163</v>
      </c>
      <c r="E2656" s="35" t="s">
        <v>441</v>
      </c>
      <c r="F2656" s="35">
        <v>336.0</v>
      </c>
      <c r="G2656" s="35">
        <v>3.99</v>
      </c>
      <c r="H2656" s="35">
        <v>84.2</v>
      </c>
      <c r="I2656" s="35" t="s">
        <v>75</v>
      </c>
    </row>
    <row r="2657" ht="22.5" customHeight="1">
      <c r="A2657" s="35" t="s">
        <v>5539</v>
      </c>
      <c r="B2657" s="35" t="s">
        <v>5540</v>
      </c>
      <c r="C2657" s="35" t="s">
        <v>7758</v>
      </c>
      <c r="D2657" s="35" t="s">
        <v>167</v>
      </c>
      <c r="E2657" s="35" t="s">
        <v>447</v>
      </c>
      <c r="F2657" s="35">
        <v>73.0</v>
      </c>
      <c r="G2657" s="35">
        <v>3.89</v>
      </c>
      <c r="H2657" s="35">
        <v>18.8</v>
      </c>
      <c r="I2657" s="35" t="s">
        <v>75</v>
      </c>
    </row>
    <row r="2658" ht="22.5" customHeight="1">
      <c r="A2658" s="35" t="s">
        <v>5541</v>
      </c>
      <c r="B2658" s="35" t="s">
        <v>5542</v>
      </c>
      <c r="C2658" s="35" t="s">
        <v>7758</v>
      </c>
      <c r="D2658" s="35" t="s">
        <v>141</v>
      </c>
      <c r="E2658" s="35" t="s">
        <v>220</v>
      </c>
      <c r="F2658" s="35">
        <v>10467.0</v>
      </c>
      <c r="G2658" s="35">
        <v>32.18</v>
      </c>
      <c r="H2658" s="35">
        <v>325.3</v>
      </c>
      <c r="I2658" s="35" t="s">
        <v>571</v>
      </c>
    </row>
    <row r="2659" ht="22.5" customHeight="1">
      <c r="A2659" s="35" t="s">
        <v>5543</v>
      </c>
      <c r="B2659" s="35" t="s">
        <v>5544</v>
      </c>
      <c r="C2659" s="35" t="s">
        <v>7758</v>
      </c>
      <c r="D2659" s="35" t="s">
        <v>167</v>
      </c>
      <c r="E2659" s="35" t="s">
        <v>447</v>
      </c>
      <c r="F2659" s="35">
        <v>1090.0</v>
      </c>
      <c r="G2659" s="35">
        <v>5.57</v>
      </c>
      <c r="H2659" s="35">
        <v>195.7</v>
      </c>
      <c r="I2659" s="35" t="s">
        <v>62</v>
      </c>
    </row>
    <row r="2660" ht="22.5" customHeight="1">
      <c r="A2660" s="35" t="s">
        <v>5545</v>
      </c>
      <c r="B2660" s="35" t="s">
        <v>5546</v>
      </c>
      <c r="C2660" s="35" t="s">
        <v>7758</v>
      </c>
      <c r="D2660" s="35" t="s">
        <v>167</v>
      </c>
      <c r="E2660" s="35" t="s">
        <v>447</v>
      </c>
      <c r="F2660" s="35">
        <v>283.0</v>
      </c>
      <c r="G2660" s="35">
        <v>10.07</v>
      </c>
      <c r="H2660" s="35">
        <v>28.1</v>
      </c>
      <c r="I2660" s="35" t="s">
        <v>75</v>
      </c>
    </row>
    <row r="2661" ht="22.5" customHeight="1">
      <c r="A2661" s="35" t="s">
        <v>5547</v>
      </c>
      <c r="B2661" s="35" t="s">
        <v>5548</v>
      </c>
      <c r="C2661" s="35" t="s">
        <v>7758</v>
      </c>
      <c r="D2661" s="35" t="s">
        <v>167</v>
      </c>
      <c r="E2661" s="35" t="s">
        <v>447</v>
      </c>
      <c r="F2661" s="35">
        <v>1070.0</v>
      </c>
      <c r="G2661" s="35">
        <v>7.98</v>
      </c>
      <c r="H2661" s="35">
        <v>134.1</v>
      </c>
      <c r="I2661" s="35" t="s">
        <v>62</v>
      </c>
    </row>
    <row r="2662" ht="22.5" customHeight="1">
      <c r="A2662" s="35" t="s">
        <v>5549</v>
      </c>
      <c r="B2662" s="35" t="s">
        <v>5550</v>
      </c>
      <c r="C2662" s="35" t="s">
        <v>7758</v>
      </c>
      <c r="D2662" s="35" t="s">
        <v>206</v>
      </c>
      <c r="E2662" s="35" t="s">
        <v>533</v>
      </c>
      <c r="F2662" s="35">
        <v>279.0</v>
      </c>
      <c r="G2662" s="35">
        <v>3.17</v>
      </c>
      <c r="H2662" s="35">
        <v>88.0</v>
      </c>
      <c r="I2662" s="35" t="s">
        <v>75</v>
      </c>
    </row>
    <row r="2663" ht="22.5" customHeight="1">
      <c r="A2663" s="35" t="s">
        <v>5551</v>
      </c>
      <c r="B2663" s="35" t="s">
        <v>5552</v>
      </c>
      <c r="C2663" s="35" t="s">
        <v>7758</v>
      </c>
      <c r="D2663" s="35" t="s">
        <v>128</v>
      </c>
      <c r="E2663" s="35" t="s">
        <v>338</v>
      </c>
      <c r="F2663" s="35">
        <v>93.0</v>
      </c>
      <c r="G2663" s="35">
        <v>2.46</v>
      </c>
      <c r="H2663" s="35">
        <v>37.8</v>
      </c>
      <c r="I2663" s="35" t="s">
        <v>75</v>
      </c>
    </row>
    <row r="2664" ht="22.5" customHeight="1">
      <c r="A2664" s="35" t="s">
        <v>5553</v>
      </c>
      <c r="B2664" s="35" t="s">
        <v>5554</v>
      </c>
      <c r="C2664" s="35" t="s">
        <v>7758</v>
      </c>
      <c r="D2664" s="35" t="s">
        <v>118</v>
      </c>
      <c r="E2664" s="35" t="s">
        <v>300</v>
      </c>
      <c r="F2664" s="35">
        <v>5411.0</v>
      </c>
      <c r="G2664" s="35">
        <v>4.47</v>
      </c>
      <c r="H2664" s="35">
        <v>1210.5</v>
      </c>
      <c r="I2664" s="35" t="s">
        <v>142</v>
      </c>
    </row>
    <row r="2665" ht="22.5" customHeight="1">
      <c r="A2665" s="35" t="s">
        <v>5555</v>
      </c>
      <c r="B2665" s="35" t="s">
        <v>5556</v>
      </c>
      <c r="C2665" s="35" t="s">
        <v>7758</v>
      </c>
      <c r="D2665" s="35" t="s">
        <v>167</v>
      </c>
      <c r="E2665" s="35" t="s">
        <v>447</v>
      </c>
      <c r="F2665" s="35">
        <v>314.0</v>
      </c>
      <c r="G2665" s="35">
        <v>5.14</v>
      </c>
      <c r="H2665" s="35">
        <v>61.1</v>
      </c>
      <c r="I2665" s="35" t="s">
        <v>75</v>
      </c>
    </row>
    <row r="2666" ht="22.5" customHeight="1">
      <c r="A2666" s="35" t="s">
        <v>5557</v>
      </c>
      <c r="B2666" s="35" t="s">
        <v>5558</v>
      </c>
      <c r="C2666" s="35" t="s">
        <v>7758</v>
      </c>
      <c r="D2666" s="35" t="s">
        <v>234</v>
      </c>
      <c r="E2666" s="35" t="s">
        <v>552</v>
      </c>
      <c r="F2666" s="35">
        <v>2422.0</v>
      </c>
      <c r="G2666" s="35">
        <v>11.82</v>
      </c>
      <c r="H2666" s="35">
        <v>204.9</v>
      </c>
      <c r="I2666" s="35" t="s">
        <v>142</v>
      </c>
    </row>
    <row r="2667" ht="22.5" customHeight="1">
      <c r="A2667" s="35" t="s">
        <v>5559</v>
      </c>
      <c r="B2667" s="35" t="s">
        <v>5560</v>
      </c>
      <c r="C2667" s="35" t="s">
        <v>7758</v>
      </c>
      <c r="D2667" s="35" t="s">
        <v>206</v>
      </c>
      <c r="E2667" s="35" t="s">
        <v>533</v>
      </c>
      <c r="F2667" s="35">
        <v>166.0</v>
      </c>
      <c r="G2667" s="35">
        <v>3.59</v>
      </c>
      <c r="H2667" s="35">
        <v>46.2</v>
      </c>
      <c r="I2667" s="35" t="s">
        <v>75</v>
      </c>
    </row>
    <row r="2668" ht="22.5" customHeight="1">
      <c r="A2668" s="35" t="s">
        <v>5561</v>
      </c>
      <c r="B2668" s="35" t="s">
        <v>5562</v>
      </c>
      <c r="C2668" s="35" t="s">
        <v>7758</v>
      </c>
      <c r="D2668" s="35" t="s">
        <v>219</v>
      </c>
      <c r="E2668" s="35" t="s">
        <v>377</v>
      </c>
      <c r="F2668" s="35">
        <v>1039.0</v>
      </c>
      <c r="G2668" s="35">
        <v>8.27</v>
      </c>
      <c r="H2668" s="35">
        <v>125.6</v>
      </c>
      <c r="I2668" s="35" t="s">
        <v>62</v>
      </c>
    </row>
    <row r="2669" ht="22.5" customHeight="1">
      <c r="A2669" s="35" t="s">
        <v>5563</v>
      </c>
      <c r="B2669" s="35" t="s">
        <v>5564</v>
      </c>
      <c r="C2669" s="35" t="s">
        <v>7758</v>
      </c>
      <c r="D2669" s="35" t="s">
        <v>163</v>
      </c>
      <c r="E2669" s="35" t="s">
        <v>441</v>
      </c>
      <c r="F2669" s="35">
        <v>5217.0</v>
      </c>
      <c r="G2669" s="35">
        <v>13.44</v>
      </c>
      <c r="H2669" s="35">
        <v>388.2</v>
      </c>
      <c r="I2669" s="35" t="s">
        <v>142</v>
      </c>
    </row>
    <row r="2670" ht="22.5" customHeight="1">
      <c r="A2670" s="35" t="s">
        <v>5565</v>
      </c>
      <c r="B2670" s="35" t="s">
        <v>5566</v>
      </c>
      <c r="C2670" s="35" t="s">
        <v>7758</v>
      </c>
      <c r="D2670" s="35" t="s">
        <v>204</v>
      </c>
      <c r="E2670" s="35" t="s">
        <v>527</v>
      </c>
      <c r="F2670" s="35">
        <v>173.0</v>
      </c>
      <c r="G2670" s="35">
        <v>5.94</v>
      </c>
      <c r="H2670" s="35">
        <v>29.1</v>
      </c>
      <c r="I2670" s="35" t="s">
        <v>75</v>
      </c>
    </row>
    <row r="2671" ht="22.5" customHeight="1">
      <c r="A2671" s="35" t="s">
        <v>5567</v>
      </c>
      <c r="B2671" s="35" t="s">
        <v>5568</v>
      </c>
      <c r="C2671" s="35" t="s">
        <v>7758</v>
      </c>
      <c r="D2671" s="35" t="s">
        <v>187</v>
      </c>
      <c r="E2671" s="35" t="s">
        <v>488</v>
      </c>
      <c r="F2671" s="35">
        <v>177.0</v>
      </c>
      <c r="G2671" s="35">
        <v>4.48</v>
      </c>
      <c r="H2671" s="35">
        <v>39.5</v>
      </c>
      <c r="I2671" s="35" t="s">
        <v>75</v>
      </c>
    </row>
    <row r="2672" ht="22.5" customHeight="1">
      <c r="A2672" s="35" t="s">
        <v>5569</v>
      </c>
      <c r="B2672" s="35" t="s">
        <v>5570</v>
      </c>
      <c r="C2672" s="35" t="s">
        <v>7758</v>
      </c>
      <c r="D2672" s="35" t="s">
        <v>127</v>
      </c>
      <c r="E2672" s="35" t="s">
        <v>323</v>
      </c>
      <c r="F2672" s="35">
        <v>8217.0</v>
      </c>
      <c r="G2672" s="35">
        <v>10.29</v>
      </c>
      <c r="H2672" s="35">
        <v>798.5</v>
      </c>
      <c r="I2672" s="35" t="s">
        <v>142</v>
      </c>
    </row>
    <row r="2673" ht="22.5" customHeight="1">
      <c r="A2673" s="35" t="s">
        <v>5571</v>
      </c>
      <c r="B2673" s="35" t="s">
        <v>5572</v>
      </c>
      <c r="C2673" s="35" t="s">
        <v>7758</v>
      </c>
      <c r="D2673" s="35" t="s">
        <v>118</v>
      </c>
      <c r="E2673" s="35" t="s">
        <v>300</v>
      </c>
      <c r="F2673" s="35">
        <v>457.0</v>
      </c>
      <c r="G2673" s="35">
        <v>5.2</v>
      </c>
      <c r="H2673" s="35">
        <v>87.9</v>
      </c>
      <c r="I2673" s="35" t="s">
        <v>75</v>
      </c>
    </row>
    <row r="2674" ht="22.5" customHeight="1">
      <c r="A2674" s="35" t="s">
        <v>5573</v>
      </c>
      <c r="B2674" s="35" t="s">
        <v>5574</v>
      </c>
      <c r="C2674" s="35" t="s">
        <v>7758</v>
      </c>
      <c r="D2674" s="35" t="s">
        <v>187</v>
      </c>
      <c r="E2674" s="35" t="s">
        <v>488</v>
      </c>
      <c r="F2674" s="35">
        <v>71.0</v>
      </c>
      <c r="G2674" s="35">
        <v>2.01</v>
      </c>
      <c r="H2674" s="35">
        <v>35.3</v>
      </c>
      <c r="I2674" s="35" t="s">
        <v>75</v>
      </c>
    </row>
    <row r="2675" ht="22.5" customHeight="1">
      <c r="A2675" s="35" t="s">
        <v>5575</v>
      </c>
      <c r="B2675" s="35" t="s">
        <v>5576</v>
      </c>
      <c r="C2675" s="35" t="s">
        <v>7758</v>
      </c>
      <c r="D2675" s="35" t="s">
        <v>150</v>
      </c>
      <c r="E2675" s="35" t="s">
        <v>411</v>
      </c>
      <c r="F2675" s="35">
        <v>670.0</v>
      </c>
      <c r="G2675" s="35">
        <v>5.31</v>
      </c>
      <c r="H2675" s="35">
        <v>126.2</v>
      </c>
      <c r="I2675" s="35" t="s">
        <v>62</v>
      </c>
    </row>
    <row r="2676" ht="22.5" customHeight="1">
      <c r="A2676" s="35" t="s">
        <v>5577</v>
      </c>
      <c r="B2676" s="35" t="s">
        <v>5578</v>
      </c>
      <c r="C2676" s="35" t="s">
        <v>7758</v>
      </c>
      <c r="D2676" s="35" t="s">
        <v>139</v>
      </c>
      <c r="E2676" s="35" t="s">
        <v>354</v>
      </c>
      <c r="F2676" s="35">
        <v>649.0</v>
      </c>
      <c r="G2676" s="35">
        <v>10.89</v>
      </c>
      <c r="H2676" s="35">
        <v>59.6</v>
      </c>
      <c r="I2676" s="35" t="s">
        <v>62</v>
      </c>
    </row>
    <row r="2677" ht="22.5" customHeight="1">
      <c r="A2677" s="35" t="s">
        <v>5579</v>
      </c>
      <c r="B2677" s="35" t="s">
        <v>5580</v>
      </c>
      <c r="C2677" s="35" t="s">
        <v>7758</v>
      </c>
      <c r="D2677" s="35" t="s">
        <v>234</v>
      </c>
      <c r="E2677" s="35" t="s">
        <v>552</v>
      </c>
      <c r="F2677" s="35">
        <v>730.0</v>
      </c>
      <c r="G2677" s="35">
        <v>5.79</v>
      </c>
      <c r="H2677" s="35">
        <v>126.1</v>
      </c>
      <c r="I2677" s="35" t="s">
        <v>62</v>
      </c>
    </row>
    <row r="2678" ht="22.5" customHeight="1">
      <c r="A2678" s="35" t="s">
        <v>5581</v>
      </c>
      <c r="B2678" s="35" t="s">
        <v>5582</v>
      </c>
      <c r="C2678" s="35" t="s">
        <v>7758</v>
      </c>
      <c r="D2678" s="35" t="s">
        <v>139</v>
      </c>
      <c r="E2678" s="35" t="s">
        <v>354</v>
      </c>
      <c r="F2678" s="35">
        <v>655.0</v>
      </c>
      <c r="G2678" s="35">
        <v>11.95</v>
      </c>
      <c r="H2678" s="35">
        <v>54.8</v>
      </c>
      <c r="I2678" s="35" t="s">
        <v>62</v>
      </c>
    </row>
    <row r="2679" ht="22.5" customHeight="1">
      <c r="A2679" s="35" t="s">
        <v>5583</v>
      </c>
      <c r="B2679" s="35" t="s">
        <v>5584</v>
      </c>
      <c r="C2679" s="35" t="s">
        <v>7758</v>
      </c>
      <c r="D2679" s="35" t="s">
        <v>127</v>
      </c>
      <c r="E2679" s="35" t="s">
        <v>323</v>
      </c>
      <c r="F2679" s="35">
        <v>11619.0</v>
      </c>
      <c r="G2679" s="35">
        <v>7.66</v>
      </c>
      <c r="H2679" s="35">
        <v>1516.8</v>
      </c>
      <c r="I2679" s="35" t="s">
        <v>571</v>
      </c>
    </row>
    <row r="2680" ht="22.5" customHeight="1">
      <c r="A2680" s="35" t="s">
        <v>5585</v>
      </c>
      <c r="B2680" s="35" t="s">
        <v>5586</v>
      </c>
      <c r="C2680" s="35" t="s">
        <v>7758</v>
      </c>
      <c r="D2680" s="35" t="s">
        <v>128</v>
      </c>
      <c r="E2680" s="35" t="s">
        <v>338</v>
      </c>
      <c r="F2680" s="35">
        <v>3342.0</v>
      </c>
      <c r="G2680" s="35">
        <v>20.29</v>
      </c>
      <c r="H2680" s="35">
        <v>164.7</v>
      </c>
      <c r="I2680" s="35" t="s">
        <v>142</v>
      </c>
    </row>
    <row r="2681" ht="22.5" customHeight="1">
      <c r="A2681" s="35" t="s">
        <v>5587</v>
      </c>
      <c r="B2681" s="35" t="s">
        <v>5588</v>
      </c>
      <c r="C2681" s="35" t="s">
        <v>7758</v>
      </c>
      <c r="D2681" s="35" t="s">
        <v>204</v>
      </c>
      <c r="E2681" s="35" t="s">
        <v>527</v>
      </c>
      <c r="F2681" s="35">
        <v>620.0</v>
      </c>
      <c r="G2681" s="35">
        <v>10.65</v>
      </c>
      <c r="H2681" s="35">
        <v>58.2</v>
      </c>
      <c r="I2681" s="35" t="s">
        <v>62</v>
      </c>
    </row>
    <row r="2682" ht="22.5" customHeight="1">
      <c r="A2682" s="35" t="s">
        <v>5589</v>
      </c>
      <c r="B2682" s="35" t="s">
        <v>5590</v>
      </c>
      <c r="C2682" s="35" t="s">
        <v>7758</v>
      </c>
      <c r="D2682" s="35" t="s">
        <v>127</v>
      </c>
      <c r="E2682" s="35" t="s">
        <v>323</v>
      </c>
      <c r="F2682" s="35">
        <v>3691.0</v>
      </c>
      <c r="G2682" s="35">
        <v>4.64</v>
      </c>
      <c r="H2682" s="35">
        <v>795.5</v>
      </c>
      <c r="I2682" s="35" t="s">
        <v>142</v>
      </c>
    </row>
    <row r="2683" ht="22.5" customHeight="1">
      <c r="A2683" s="35" t="s">
        <v>5591</v>
      </c>
      <c r="B2683" s="35" t="s">
        <v>5592</v>
      </c>
      <c r="C2683" s="35" t="s">
        <v>7758</v>
      </c>
      <c r="D2683" s="35" t="s">
        <v>169</v>
      </c>
      <c r="E2683" s="35" t="s">
        <v>449</v>
      </c>
      <c r="F2683" s="35">
        <v>228.0</v>
      </c>
      <c r="G2683" s="35">
        <v>3.85</v>
      </c>
      <c r="H2683" s="35">
        <v>59.2</v>
      </c>
      <c r="I2683" s="35" t="s">
        <v>75</v>
      </c>
    </row>
    <row r="2684" ht="22.5" customHeight="1">
      <c r="A2684" s="35" t="s">
        <v>5593</v>
      </c>
      <c r="B2684" s="35" t="s">
        <v>5594</v>
      </c>
      <c r="C2684" s="35" t="s">
        <v>7758</v>
      </c>
      <c r="D2684" s="35" t="s">
        <v>206</v>
      </c>
      <c r="E2684" s="35" t="s">
        <v>533</v>
      </c>
      <c r="F2684" s="35">
        <v>133.0</v>
      </c>
      <c r="G2684" s="35">
        <v>4.03</v>
      </c>
      <c r="H2684" s="35">
        <v>33.0</v>
      </c>
      <c r="I2684" s="35" t="s">
        <v>75</v>
      </c>
    </row>
    <row r="2685" ht="22.5" customHeight="1">
      <c r="A2685" s="35" t="s">
        <v>5595</v>
      </c>
      <c r="B2685" s="35" t="s">
        <v>5596</v>
      </c>
      <c r="C2685" s="35" t="s">
        <v>7758</v>
      </c>
      <c r="D2685" s="35" t="s">
        <v>206</v>
      </c>
      <c r="E2685" s="35" t="s">
        <v>533</v>
      </c>
      <c r="F2685" s="35">
        <v>71.0</v>
      </c>
      <c r="G2685" s="35">
        <v>5.0</v>
      </c>
      <c r="H2685" s="35">
        <v>14.2</v>
      </c>
      <c r="I2685" s="35" t="s">
        <v>75</v>
      </c>
    </row>
    <row r="2686" ht="22.5" customHeight="1">
      <c r="A2686" s="35" t="s">
        <v>5597</v>
      </c>
      <c r="B2686" s="35" t="s">
        <v>5598</v>
      </c>
      <c r="C2686" s="35" t="s">
        <v>7758</v>
      </c>
      <c r="D2686" s="35" t="s">
        <v>169</v>
      </c>
      <c r="E2686" s="35" t="s">
        <v>449</v>
      </c>
      <c r="F2686" s="35">
        <v>104.0</v>
      </c>
      <c r="G2686" s="35">
        <v>2.75</v>
      </c>
      <c r="H2686" s="35">
        <v>37.8</v>
      </c>
      <c r="I2686" s="35" t="s">
        <v>75</v>
      </c>
    </row>
    <row r="2687" ht="22.5" customHeight="1">
      <c r="A2687" s="35" t="s">
        <v>5599</v>
      </c>
      <c r="B2687" s="35" t="s">
        <v>5600</v>
      </c>
      <c r="C2687" s="35" t="s">
        <v>7758</v>
      </c>
      <c r="D2687" s="35" t="s">
        <v>169</v>
      </c>
      <c r="E2687" s="35" t="s">
        <v>449</v>
      </c>
      <c r="F2687" s="35">
        <v>545.0</v>
      </c>
      <c r="G2687" s="35">
        <v>11.1</v>
      </c>
      <c r="H2687" s="35">
        <v>49.1</v>
      </c>
      <c r="I2687" s="35" t="s">
        <v>62</v>
      </c>
    </row>
    <row r="2688" ht="22.5" customHeight="1">
      <c r="A2688" s="35" t="s">
        <v>5601</v>
      </c>
      <c r="B2688" s="35" t="s">
        <v>5602</v>
      </c>
      <c r="C2688" s="35" t="s">
        <v>7758</v>
      </c>
      <c r="D2688" s="35" t="s">
        <v>206</v>
      </c>
      <c r="E2688" s="35" t="s">
        <v>533</v>
      </c>
      <c r="F2688" s="35">
        <v>512.0</v>
      </c>
      <c r="G2688" s="35">
        <v>6.83</v>
      </c>
      <c r="H2688" s="35">
        <v>75.0</v>
      </c>
      <c r="I2688" s="35" t="s">
        <v>62</v>
      </c>
    </row>
    <row r="2689" ht="22.5" customHeight="1">
      <c r="A2689" s="35" t="s">
        <v>5603</v>
      </c>
      <c r="B2689" s="35" t="s">
        <v>5604</v>
      </c>
      <c r="C2689" s="35" t="s">
        <v>7758</v>
      </c>
      <c r="D2689" s="35" t="s">
        <v>206</v>
      </c>
      <c r="E2689" s="35" t="s">
        <v>533</v>
      </c>
      <c r="F2689" s="35">
        <v>285.0</v>
      </c>
      <c r="G2689" s="35">
        <v>6.23</v>
      </c>
      <c r="H2689" s="35">
        <v>45.7</v>
      </c>
      <c r="I2689" s="35" t="s">
        <v>75</v>
      </c>
    </row>
    <row r="2690" ht="22.5" customHeight="1">
      <c r="A2690" s="35" t="s">
        <v>5605</v>
      </c>
      <c r="B2690" s="35" t="s">
        <v>5606</v>
      </c>
      <c r="C2690" s="35" t="s">
        <v>7758</v>
      </c>
      <c r="D2690" s="35" t="s">
        <v>234</v>
      </c>
      <c r="E2690" s="35" t="s">
        <v>552</v>
      </c>
      <c r="F2690" s="35">
        <v>679.0</v>
      </c>
      <c r="G2690" s="35">
        <v>9.37</v>
      </c>
      <c r="H2690" s="35">
        <v>72.5</v>
      </c>
      <c r="I2690" s="35" t="s">
        <v>62</v>
      </c>
    </row>
    <row r="2691" ht="22.5" customHeight="1">
      <c r="A2691" s="35" t="s">
        <v>5607</v>
      </c>
      <c r="B2691" s="35" t="s">
        <v>5608</v>
      </c>
      <c r="C2691" s="35" t="s">
        <v>7758</v>
      </c>
      <c r="D2691" s="35" t="s">
        <v>169</v>
      </c>
      <c r="E2691" s="35" t="s">
        <v>449</v>
      </c>
      <c r="F2691" s="35">
        <v>600.0</v>
      </c>
      <c r="G2691" s="35">
        <v>5.07</v>
      </c>
      <c r="H2691" s="35">
        <v>118.3</v>
      </c>
      <c r="I2691" s="35" t="s">
        <v>62</v>
      </c>
    </row>
    <row r="2692" ht="22.5" customHeight="1">
      <c r="A2692" s="35" t="s">
        <v>5609</v>
      </c>
      <c r="B2692" s="35" t="s">
        <v>5610</v>
      </c>
      <c r="C2692" s="35" t="s">
        <v>7758</v>
      </c>
      <c r="D2692" s="35" t="s">
        <v>118</v>
      </c>
      <c r="E2692" s="35" t="s">
        <v>300</v>
      </c>
      <c r="F2692" s="35">
        <v>1317.0</v>
      </c>
      <c r="G2692" s="35">
        <v>11.46</v>
      </c>
      <c r="H2692" s="35">
        <v>114.9</v>
      </c>
      <c r="I2692" s="35" t="s">
        <v>62</v>
      </c>
    </row>
    <row r="2693" ht="22.5" customHeight="1">
      <c r="A2693" s="35" t="s">
        <v>5611</v>
      </c>
      <c r="B2693" s="35" t="s">
        <v>5612</v>
      </c>
      <c r="C2693" s="35" t="s">
        <v>7758</v>
      </c>
      <c r="D2693" s="35" t="s">
        <v>128</v>
      </c>
      <c r="E2693" s="35" t="s">
        <v>338</v>
      </c>
      <c r="F2693" s="35">
        <v>384.0</v>
      </c>
      <c r="G2693" s="35">
        <v>9.64</v>
      </c>
      <c r="H2693" s="35">
        <v>39.8</v>
      </c>
      <c r="I2693" s="35" t="s">
        <v>75</v>
      </c>
    </row>
    <row r="2694" ht="22.5" customHeight="1">
      <c r="A2694" s="35" t="s">
        <v>5613</v>
      </c>
      <c r="B2694" s="35" t="s">
        <v>5614</v>
      </c>
      <c r="C2694" s="35" t="s">
        <v>7758</v>
      </c>
      <c r="D2694" s="35" t="s">
        <v>169</v>
      </c>
      <c r="E2694" s="35" t="s">
        <v>449</v>
      </c>
      <c r="F2694" s="35">
        <v>443.0</v>
      </c>
      <c r="G2694" s="35">
        <v>5.14</v>
      </c>
      <c r="H2694" s="35">
        <v>86.2</v>
      </c>
      <c r="I2694" s="35" t="s">
        <v>75</v>
      </c>
    </row>
    <row r="2695" ht="22.5" customHeight="1">
      <c r="A2695" s="35" t="s">
        <v>5615</v>
      </c>
      <c r="B2695" s="35" t="s">
        <v>5616</v>
      </c>
      <c r="C2695" s="35" t="s">
        <v>7758</v>
      </c>
      <c r="D2695" s="35" t="s">
        <v>116</v>
      </c>
      <c r="E2695" s="35" t="s">
        <v>285</v>
      </c>
      <c r="F2695" s="35">
        <v>9743.0</v>
      </c>
      <c r="G2695" s="35">
        <v>3.49</v>
      </c>
      <c r="H2695" s="35">
        <v>2791.7</v>
      </c>
      <c r="I2695" s="35" t="s">
        <v>142</v>
      </c>
    </row>
    <row r="2696" ht="22.5" customHeight="1">
      <c r="A2696" s="35" t="s">
        <v>5617</v>
      </c>
      <c r="B2696" s="35" t="s">
        <v>5618</v>
      </c>
      <c r="C2696" s="35" t="s">
        <v>7758</v>
      </c>
      <c r="D2696" s="35" t="s">
        <v>128</v>
      </c>
      <c r="E2696" s="35" t="s">
        <v>338</v>
      </c>
      <c r="F2696" s="35">
        <v>1912.0</v>
      </c>
      <c r="G2696" s="35">
        <v>2.8</v>
      </c>
      <c r="H2696" s="35">
        <v>682.9</v>
      </c>
      <c r="I2696" s="35" t="s">
        <v>62</v>
      </c>
    </row>
    <row r="2697" ht="22.5" customHeight="1">
      <c r="A2697" s="35" t="s">
        <v>5619</v>
      </c>
      <c r="B2697" s="35" t="s">
        <v>5620</v>
      </c>
      <c r="C2697" s="35" t="s">
        <v>7758</v>
      </c>
      <c r="D2697" s="35" t="s">
        <v>234</v>
      </c>
      <c r="E2697" s="35" t="s">
        <v>552</v>
      </c>
      <c r="F2697" s="35">
        <v>1022.0</v>
      </c>
      <c r="G2697" s="35">
        <v>15.82</v>
      </c>
      <c r="H2697" s="35">
        <v>64.6</v>
      </c>
      <c r="I2697" s="35" t="s">
        <v>62</v>
      </c>
    </row>
    <row r="2698" ht="22.5" customHeight="1">
      <c r="A2698" s="35" t="s">
        <v>5621</v>
      </c>
      <c r="B2698" s="35" t="s">
        <v>5622</v>
      </c>
      <c r="C2698" s="35" t="s">
        <v>7758</v>
      </c>
      <c r="D2698" s="35" t="s">
        <v>206</v>
      </c>
      <c r="E2698" s="35" t="s">
        <v>533</v>
      </c>
      <c r="F2698" s="35">
        <v>62.0</v>
      </c>
      <c r="G2698" s="35">
        <v>3.39</v>
      </c>
      <c r="H2698" s="35">
        <v>18.3</v>
      </c>
      <c r="I2698" s="35" t="s">
        <v>75</v>
      </c>
    </row>
    <row r="2699" ht="22.5" customHeight="1">
      <c r="A2699" s="35" t="s">
        <v>5623</v>
      </c>
      <c r="B2699" s="35" t="s">
        <v>5624</v>
      </c>
      <c r="C2699" s="35" t="s">
        <v>7758</v>
      </c>
      <c r="D2699" s="35" t="s">
        <v>204</v>
      </c>
      <c r="E2699" s="35" t="s">
        <v>527</v>
      </c>
      <c r="F2699" s="35">
        <v>210.0</v>
      </c>
      <c r="G2699" s="35">
        <v>6.68</v>
      </c>
      <c r="H2699" s="35">
        <v>31.4</v>
      </c>
      <c r="I2699" s="35" t="s">
        <v>75</v>
      </c>
    </row>
    <row r="2700" ht="22.5" customHeight="1">
      <c r="A2700" s="35" t="s">
        <v>5625</v>
      </c>
      <c r="B2700" s="35" t="s">
        <v>5626</v>
      </c>
      <c r="C2700" s="35" t="s">
        <v>7758</v>
      </c>
      <c r="D2700" s="35" t="s">
        <v>139</v>
      </c>
      <c r="E2700" s="35" t="s">
        <v>354</v>
      </c>
      <c r="F2700" s="35">
        <v>557.0</v>
      </c>
      <c r="G2700" s="35">
        <v>9.92</v>
      </c>
      <c r="H2700" s="35">
        <v>56.1</v>
      </c>
      <c r="I2700" s="35" t="s">
        <v>62</v>
      </c>
    </row>
    <row r="2701" ht="22.5" customHeight="1">
      <c r="A2701" s="35" t="s">
        <v>5627</v>
      </c>
      <c r="B2701" s="35" t="s">
        <v>5628</v>
      </c>
      <c r="C2701" s="35" t="s">
        <v>7758</v>
      </c>
      <c r="D2701" s="35" t="s">
        <v>204</v>
      </c>
      <c r="E2701" s="35" t="s">
        <v>527</v>
      </c>
      <c r="F2701" s="35">
        <v>87.0</v>
      </c>
      <c r="G2701" s="35">
        <v>2.46</v>
      </c>
      <c r="H2701" s="35">
        <v>35.4</v>
      </c>
      <c r="I2701" s="35" t="s">
        <v>75</v>
      </c>
    </row>
    <row r="2702" ht="22.5" customHeight="1">
      <c r="A2702" s="35" t="s">
        <v>5629</v>
      </c>
      <c r="B2702" s="35" t="s">
        <v>5630</v>
      </c>
      <c r="C2702" s="35" t="s">
        <v>7758</v>
      </c>
      <c r="D2702" s="35" t="s">
        <v>204</v>
      </c>
      <c r="E2702" s="35" t="s">
        <v>527</v>
      </c>
      <c r="F2702" s="35">
        <v>299.0</v>
      </c>
      <c r="G2702" s="35">
        <v>7.35</v>
      </c>
      <c r="H2702" s="35">
        <v>40.7</v>
      </c>
      <c r="I2702" s="35" t="s">
        <v>75</v>
      </c>
    </row>
    <row r="2703" ht="22.5" customHeight="1">
      <c r="A2703" s="35" t="s">
        <v>5631</v>
      </c>
      <c r="B2703" s="35" t="s">
        <v>5632</v>
      </c>
      <c r="C2703" s="35" t="s">
        <v>7758</v>
      </c>
      <c r="D2703" s="35" t="s">
        <v>139</v>
      </c>
      <c r="E2703" s="35" t="s">
        <v>354</v>
      </c>
      <c r="F2703" s="35">
        <v>1170.0</v>
      </c>
      <c r="G2703" s="35">
        <v>5.45</v>
      </c>
      <c r="H2703" s="35">
        <v>214.7</v>
      </c>
      <c r="I2703" s="35" t="s">
        <v>62</v>
      </c>
    </row>
    <row r="2704" ht="22.5" customHeight="1">
      <c r="A2704" s="35" t="s">
        <v>5633</v>
      </c>
      <c r="B2704" s="35" t="s">
        <v>5634</v>
      </c>
      <c r="C2704" s="35" t="s">
        <v>7758</v>
      </c>
      <c r="D2704" s="35" t="s">
        <v>167</v>
      </c>
      <c r="E2704" s="35" t="s">
        <v>447</v>
      </c>
      <c r="F2704" s="35">
        <v>237.0</v>
      </c>
      <c r="G2704" s="35">
        <v>15.81</v>
      </c>
      <c r="H2704" s="35">
        <v>15.0</v>
      </c>
      <c r="I2704" s="35" t="s">
        <v>75</v>
      </c>
    </row>
    <row r="2705" ht="22.5" customHeight="1">
      <c r="A2705" s="35" t="s">
        <v>5635</v>
      </c>
      <c r="B2705" s="35" t="s">
        <v>3983</v>
      </c>
      <c r="C2705" s="35" t="s">
        <v>7758</v>
      </c>
      <c r="D2705" s="35" t="s">
        <v>204</v>
      </c>
      <c r="E2705" s="35" t="s">
        <v>527</v>
      </c>
      <c r="F2705" s="35">
        <v>289.0</v>
      </c>
      <c r="G2705" s="35">
        <v>6.47</v>
      </c>
      <c r="H2705" s="35">
        <v>44.7</v>
      </c>
      <c r="I2705" s="35" t="s">
        <v>75</v>
      </c>
    </row>
    <row r="2706" ht="22.5" customHeight="1">
      <c r="A2706" s="35" t="s">
        <v>5636</v>
      </c>
      <c r="B2706" s="35" t="s">
        <v>5637</v>
      </c>
      <c r="C2706" s="35" t="s">
        <v>7758</v>
      </c>
      <c r="D2706" s="35" t="s">
        <v>161</v>
      </c>
      <c r="E2706" s="35" t="s">
        <v>438</v>
      </c>
      <c r="F2706" s="35">
        <v>673.0</v>
      </c>
      <c r="G2706" s="35">
        <v>11.46</v>
      </c>
      <c r="H2706" s="35">
        <v>58.7</v>
      </c>
      <c r="I2706" s="35" t="s">
        <v>62</v>
      </c>
    </row>
    <row r="2707" ht="22.5" customHeight="1">
      <c r="A2707" s="35" t="s">
        <v>5638</v>
      </c>
      <c r="B2707" s="35" t="s">
        <v>5639</v>
      </c>
      <c r="C2707" s="35" t="s">
        <v>7758</v>
      </c>
      <c r="D2707" s="35" t="s">
        <v>150</v>
      </c>
      <c r="E2707" s="35" t="s">
        <v>411</v>
      </c>
      <c r="F2707" s="35">
        <v>225.0</v>
      </c>
      <c r="G2707" s="35">
        <v>4.17</v>
      </c>
      <c r="H2707" s="35">
        <v>54.0</v>
      </c>
      <c r="I2707" s="35" t="s">
        <v>75</v>
      </c>
    </row>
    <row r="2708" ht="22.5" customHeight="1">
      <c r="A2708" s="35" t="s">
        <v>5640</v>
      </c>
      <c r="B2708" s="35" t="s">
        <v>5641</v>
      </c>
      <c r="C2708" s="35" t="s">
        <v>7758</v>
      </c>
      <c r="D2708" s="35" t="s">
        <v>206</v>
      </c>
      <c r="E2708" s="35" t="s">
        <v>533</v>
      </c>
      <c r="F2708" s="35">
        <v>158.0</v>
      </c>
      <c r="G2708" s="35">
        <v>4.93</v>
      </c>
      <c r="H2708" s="35">
        <v>32.0</v>
      </c>
      <c r="I2708" s="35" t="s">
        <v>75</v>
      </c>
    </row>
    <row r="2709" ht="22.5" customHeight="1">
      <c r="A2709" s="35" t="s">
        <v>5642</v>
      </c>
      <c r="B2709" s="35" t="s">
        <v>5643</v>
      </c>
      <c r="C2709" s="35" t="s">
        <v>7758</v>
      </c>
      <c r="D2709" s="35" t="s">
        <v>206</v>
      </c>
      <c r="E2709" s="35" t="s">
        <v>533</v>
      </c>
      <c r="F2709" s="35">
        <v>357.0</v>
      </c>
      <c r="G2709" s="35">
        <v>3.81</v>
      </c>
      <c r="H2709" s="35">
        <v>93.7</v>
      </c>
      <c r="I2709" s="35" t="s">
        <v>75</v>
      </c>
    </row>
    <row r="2710" ht="22.5" customHeight="1">
      <c r="A2710" s="35" t="s">
        <v>5644</v>
      </c>
      <c r="B2710" s="35" t="s">
        <v>5645</v>
      </c>
      <c r="C2710" s="35" t="s">
        <v>7758</v>
      </c>
      <c r="D2710" s="35" t="s">
        <v>128</v>
      </c>
      <c r="E2710" s="35" t="s">
        <v>338</v>
      </c>
      <c r="F2710" s="35">
        <v>200.0</v>
      </c>
      <c r="G2710" s="35">
        <v>4.45</v>
      </c>
      <c r="H2710" s="35">
        <v>44.9</v>
      </c>
      <c r="I2710" s="35" t="s">
        <v>75</v>
      </c>
    </row>
    <row r="2711" ht="22.5" customHeight="1">
      <c r="A2711" s="35" t="s">
        <v>5646</v>
      </c>
      <c r="B2711" s="35" t="s">
        <v>5647</v>
      </c>
      <c r="C2711" s="35" t="s">
        <v>7758</v>
      </c>
      <c r="D2711" s="35" t="s">
        <v>132</v>
      </c>
      <c r="E2711" s="35" t="s">
        <v>346</v>
      </c>
      <c r="F2711" s="35">
        <v>1095.0</v>
      </c>
      <c r="G2711" s="35">
        <v>5.08</v>
      </c>
      <c r="H2711" s="35">
        <v>215.6</v>
      </c>
      <c r="I2711" s="35" t="s">
        <v>62</v>
      </c>
    </row>
    <row r="2712" ht="22.5" customHeight="1">
      <c r="A2712" s="35" t="s">
        <v>5648</v>
      </c>
      <c r="B2712" s="35" t="s">
        <v>5649</v>
      </c>
      <c r="C2712" s="35" t="s">
        <v>7758</v>
      </c>
      <c r="D2712" s="35" t="s">
        <v>132</v>
      </c>
      <c r="E2712" s="35" t="s">
        <v>346</v>
      </c>
      <c r="F2712" s="35">
        <v>4115.0</v>
      </c>
      <c r="G2712" s="35">
        <v>20.95</v>
      </c>
      <c r="H2712" s="35">
        <v>196.4</v>
      </c>
      <c r="I2712" s="35" t="s">
        <v>142</v>
      </c>
    </row>
    <row r="2713" ht="22.5" customHeight="1">
      <c r="A2713" s="35" t="s">
        <v>5650</v>
      </c>
      <c r="B2713" s="35" t="s">
        <v>5651</v>
      </c>
      <c r="C2713" s="35" t="s">
        <v>7758</v>
      </c>
      <c r="D2713" s="35" t="s">
        <v>167</v>
      </c>
      <c r="E2713" s="35" t="s">
        <v>447</v>
      </c>
      <c r="F2713" s="35">
        <v>22.0</v>
      </c>
      <c r="G2713" s="35">
        <v>1.4</v>
      </c>
      <c r="H2713" s="35">
        <v>15.7</v>
      </c>
      <c r="I2713" s="35" t="s">
        <v>75</v>
      </c>
    </row>
    <row r="2714" ht="22.5" customHeight="1">
      <c r="A2714" s="35" t="s">
        <v>5652</v>
      </c>
      <c r="B2714" s="35" t="s">
        <v>5653</v>
      </c>
      <c r="C2714" s="35" t="s">
        <v>7758</v>
      </c>
      <c r="D2714" s="35" t="s">
        <v>118</v>
      </c>
      <c r="E2714" s="35" t="s">
        <v>300</v>
      </c>
      <c r="F2714" s="35">
        <v>1409.0</v>
      </c>
      <c r="G2714" s="35">
        <v>1.89</v>
      </c>
      <c r="H2714" s="35">
        <v>745.5</v>
      </c>
      <c r="I2714" s="35" t="s">
        <v>62</v>
      </c>
    </row>
    <row r="2715" ht="22.5" customHeight="1">
      <c r="A2715" s="35" t="s">
        <v>5654</v>
      </c>
      <c r="B2715" s="35" t="s">
        <v>5655</v>
      </c>
      <c r="C2715" s="35" t="s">
        <v>7758</v>
      </c>
      <c r="D2715" s="35" t="s">
        <v>206</v>
      </c>
      <c r="E2715" s="35" t="s">
        <v>533</v>
      </c>
      <c r="F2715" s="35">
        <v>59.0</v>
      </c>
      <c r="G2715" s="35">
        <v>2.33</v>
      </c>
      <c r="H2715" s="35">
        <v>25.3</v>
      </c>
      <c r="I2715" s="35" t="s">
        <v>75</v>
      </c>
    </row>
    <row r="2716" ht="22.5" customHeight="1">
      <c r="A2716" s="35" t="s">
        <v>5656</v>
      </c>
      <c r="B2716" s="35" t="s">
        <v>5657</v>
      </c>
      <c r="C2716" s="35" t="s">
        <v>7758</v>
      </c>
      <c r="D2716" s="35" t="s">
        <v>204</v>
      </c>
      <c r="E2716" s="35" t="s">
        <v>527</v>
      </c>
      <c r="F2716" s="35">
        <v>171.0</v>
      </c>
      <c r="G2716" s="35">
        <v>3.12</v>
      </c>
      <c r="H2716" s="35">
        <v>54.8</v>
      </c>
      <c r="I2716" s="35" t="s">
        <v>75</v>
      </c>
    </row>
    <row r="2717" ht="22.5" customHeight="1">
      <c r="A2717" s="35" t="s">
        <v>5658</v>
      </c>
      <c r="B2717" s="35" t="s">
        <v>5659</v>
      </c>
      <c r="C2717" s="35" t="s">
        <v>7758</v>
      </c>
      <c r="D2717" s="35" t="s">
        <v>234</v>
      </c>
      <c r="E2717" s="35" t="s">
        <v>552</v>
      </c>
      <c r="F2717" s="35">
        <v>1628.0</v>
      </c>
      <c r="G2717" s="35">
        <v>12.61</v>
      </c>
      <c r="H2717" s="35">
        <v>129.1</v>
      </c>
      <c r="I2717" s="35" t="s">
        <v>62</v>
      </c>
    </row>
    <row r="2718" ht="22.5" customHeight="1">
      <c r="A2718" s="35" t="s">
        <v>5660</v>
      </c>
      <c r="B2718" s="35" t="s">
        <v>5661</v>
      </c>
      <c r="C2718" s="35" t="s">
        <v>7758</v>
      </c>
      <c r="D2718" s="35" t="s">
        <v>128</v>
      </c>
      <c r="E2718" s="35" t="s">
        <v>338</v>
      </c>
      <c r="F2718" s="35">
        <v>618.0</v>
      </c>
      <c r="G2718" s="35">
        <v>8.8</v>
      </c>
      <c r="H2718" s="35">
        <v>70.2</v>
      </c>
      <c r="I2718" s="35" t="s">
        <v>62</v>
      </c>
    </row>
    <row r="2719" ht="22.5" customHeight="1">
      <c r="A2719" s="35" t="s">
        <v>5662</v>
      </c>
      <c r="B2719" s="35" t="s">
        <v>5663</v>
      </c>
      <c r="C2719" s="35" t="s">
        <v>7758</v>
      </c>
      <c r="D2719" s="35" t="s">
        <v>234</v>
      </c>
      <c r="E2719" s="35" t="s">
        <v>552</v>
      </c>
      <c r="F2719" s="35">
        <v>481.0</v>
      </c>
      <c r="G2719" s="35">
        <v>6.99</v>
      </c>
      <c r="H2719" s="35">
        <v>68.8</v>
      </c>
      <c r="I2719" s="35" t="s">
        <v>75</v>
      </c>
    </row>
    <row r="2720" ht="22.5" customHeight="1">
      <c r="A2720" s="35" t="s">
        <v>5664</v>
      </c>
      <c r="B2720" s="35" t="s">
        <v>5665</v>
      </c>
      <c r="C2720" s="35" t="s">
        <v>7758</v>
      </c>
      <c r="D2720" s="35" t="s">
        <v>219</v>
      </c>
      <c r="E2720" s="35" t="s">
        <v>377</v>
      </c>
      <c r="F2720" s="35">
        <v>570.0</v>
      </c>
      <c r="G2720" s="35">
        <v>4.35</v>
      </c>
      <c r="H2720" s="35">
        <v>131.0</v>
      </c>
      <c r="I2720" s="35" t="s">
        <v>62</v>
      </c>
    </row>
    <row r="2721" ht="22.5" customHeight="1">
      <c r="A2721" s="35" t="s">
        <v>5666</v>
      </c>
      <c r="B2721" s="35" t="s">
        <v>5667</v>
      </c>
      <c r="C2721" s="35" t="s">
        <v>7758</v>
      </c>
      <c r="D2721" s="35" t="s">
        <v>191</v>
      </c>
      <c r="E2721" s="35" t="s">
        <v>504</v>
      </c>
      <c r="F2721" s="35">
        <v>902.0</v>
      </c>
      <c r="G2721" s="35">
        <v>12.73</v>
      </c>
      <c r="H2721" s="35">
        <v>70.9</v>
      </c>
      <c r="I2721" s="35" t="s">
        <v>62</v>
      </c>
    </row>
    <row r="2722" ht="22.5" customHeight="1">
      <c r="A2722" s="35" t="s">
        <v>5668</v>
      </c>
      <c r="B2722" s="35" t="s">
        <v>5669</v>
      </c>
      <c r="C2722" s="35" t="s">
        <v>7758</v>
      </c>
      <c r="D2722" s="35" t="s">
        <v>223</v>
      </c>
      <c r="E2722" s="35" t="s">
        <v>380</v>
      </c>
      <c r="F2722" s="35">
        <v>577.0</v>
      </c>
      <c r="G2722" s="35">
        <v>4.51</v>
      </c>
      <c r="H2722" s="35">
        <v>127.9</v>
      </c>
      <c r="I2722" s="35" t="s">
        <v>62</v>
      </c>
    </row>
    <row r="2723" ht="22.5" customHeight="1">
      <c r="A2723" s="35" t="s">
        <v>5670</v>
      </c>
      <c r="B2723" s="35" t="s">
        <v>5671</v>
      </c>
      <c r="C2723" s="35" t="s">
        <v>7758</v>
      </c>
      <c r="D2723" s="35" t="s">
        <v>141</v>
      </c>
      <c r="E2723" s="35" t="s">
        <v>220</v>
      </c>
      <c r="F2723" s="35">
        <v>280.0</v>
      </c>
      <c r="G2723" s="35">
        <v>2.52</v>
      </c>
      <c r="H2723" s="35">
        <v>111.1</v>
      </c>
      <c r="I2723" s="35" t="s">
        <v>75</v>
      </c>
    </row>
    <row r="2724" ht="22.5" customHeight="1">
      <c r="A2724" s="35" t="s">
        <v>5672</v>
      </c>
      <c r="B2724" s="35" t="s">
        <v>5673</v>
      </c>
      <c r="C2724" s="35" t="s">
        <v>7758</v>
      </c>
      <c r="D2724" s="35" t="s">
        <v>206</v>
      </c>
      <c r="E2724" s="35" t="s">
        <v>533</v>
      </c>
      <c r="F2724" s="35">
        <v>186.0</v>
      </c>
      <c r="G2724" s="35">
        <v>6.16</v>
      </c>
      <c r="H2724" s="35">
        <v>30.2</v>
      </c>
      <c r="I2724" s="35" t="s">
        <v>75</v>
      </c>
    </row>
    <row r="2725" ht="22.5" customHeight="1">
      <c r="A2725" s="35" t="s">
        <v>5674</v>
      </c>
      <c r="B2725" s="35" t="s">
        <v>5675</v>
      </c>
      <c r="C2725" s="35" t="s">
        <v>7758</v>
      </c>
      <c r="D2725" s="35" t="s">
        <v>118</v>
      </c>
      <c r="E2725" s="35" t="s">
        <v>300</v>
      </c>
      <c r="F2725" s="35">
        <v>11590.0</v>
      </c>
      <c r="G2725" s="35">
        <v>8.85</v>
      </c>
      <c r="H2725" s="35">
        <v>1309.6</v>
      </c>
      <c r="I2725" s="35" t="s">
        <v>571</v>
      </c>
    </row>
    <row r="2726" ht="22.5" customHeight="1">
      <c r="A2726" s="35" t="s">
        <v>5676</v>
      </c>
      <c r="B2726" s="35" t="s">
        <v>5677</v>
      </c>
      <c r="C2726" s="35" t="s">
        <v>7758</v>
      </c>
      <c r="D2726" s="35" t="s">
        <v>139</v>
      </c>
      <c r="E2726" s="35" t="s">
        <v>354</v>
      </c>
      <c r="F2726" s="35">
        <v>1271.0</v>
      </c>
      <c r="G2726" s="35">
        <v>5.95</v>
      </c>
      <c r="H2726" s="35">
        <v>213.6</v>
      </c>
      <c r="I2726" s="35" t="s">
        <v>62</v>
      </c>
    </row>
    <row r="2727" ht="22.5" customHeight="1">
      <c r="A2727" s="35" t="s">
        <v>5678</v>
      </c>
      <c r="B2727" s="35" t="s">
        <v>5679</v>
      </c>
      <c r="C2727" s="35" t="s">
        <v>7758</v>
      </c>
      <c r="D2727" s="35" t="s">
        <v>204</v>
      </c>
      <c r="E2727" s="35" t="s">
        <v>527</v>
      </c>
      <c r="F2727" s="35">
        <v>130.0</v>
      </c>
      <c r="G2727" s="35">
        <v>4.89</v>
      </c>
      <c r="H2727" s="35">
        <v>26.6</v>
      </c>
      <c r="I2727" s="35" t="s">
        <v>75</v>
      </c>
    </row>
    <row r="2728" ht="22.5" customHeight="1">
      <c r="A2728" s="35" t="s">
        <v>5680</v>
      </c>
      <c r="B2728" s="35" t="s">
        <v>5681</v>
      </c>
      <c r="C2728" s="35" t="s">
        <v>7758</v>
      </c>
      <c r="D2728" s="35" t="s">
        <v>118</v>
      </c>
      <c r="E2728" s="35" t="s">
        <v>300</v>
      </c>
      <c r="F2728" s="35">
        <v>1381.0</v>
      </c>
      <c r="G2728" s="35">
        <v>5.66</v>
      </c>
      <c r="H2728" s="35">
        <v>244.0</v>
      </c>
      <c r="I2728" s="35" t="s">
        <v>62</v>
      </c>
    </row>
    <row r="2729" ht="22.5" customHeight="1">
      <c r="A2729" s="35" t="s">
        <v>5682</v>
      </c>
      <c r="B2729" s="35" t="s">
        <v>5683</v>
      </c>
      <c r="C2729" s="35" t="s">
        <v>7758</v>
      </c>
      <c r="D2729" s="35" t="s">
        <v>161</v>
      </c>
      <c r="E2729" s="35" t="s">
        <v>438</v>
      </c>
      <c r="F2729" s="35">
        <v>1756.0</v>
      </c>
      <c r="G2729" s="35">
        <v>13.21</v>
      </c>
      <c r="H2729" s="35">
        <v>132.9</v>
      </c>
      <c r="I2729" s="35" t="s">
        <v>62</v>
      </c>
    </row>
    <row r="2730" ht="22.5" customHeight="1">
      <c r="A2730" s="35" t="s">
        <v>5684</v>
      </c>
      <c r="B2730" s="35" t="s">
        <v>5685</v>
      </c>
      <c r="C2730" s="35" t="s">
        <v>7758</v>
      </c>
      <c r="D2730" s="35" t="s">
        <v>139</v>
      </c>
      <c r="E2730" s="35" t="s">
        <v>354</v>
      </c>
      <c r="F2730" s="35">
        <v>261.0</v>
      </c>
      <c r="G2730" s="35">
        <v>3.48</v>
      </c>
      <c r="H2730" s="35">
        <v>75.0</v>
      </c>
      <c r="I2730" s="35" t="s">
        <v>75</v>
      </c>
    </row>
    <row r="2731" ht="22.5" customHeight="1">
      <c r="A2731" s="35" t="s">
        <v>5686</v>
      </c>
      <c r="B2731" s="35" t="s">
        <v>5687</v>
      </c>
      <c r="C2731" s="35" t="s">
        <v>7758</v>
      </c>
      <c r="D2731" s="35" t="s">
        <v>161</v>
      </c>
      <c r="E2731" s="35" t="s">
        <v>438</v>
      </c>
      <c r="F2731" s="35">
        <v>709.0</v>
      </c>
      <c r="G2731" s="35">
        <v>9.16</v>
      </c>
      <c r="H2731" s="35">
        <v>77.4</v>
      </c>
      <c r="I2731" s="35" t="s">
        <v>62</v>
      </c>
    </row>
    <row r="2732" ht="22.5" customHeight="1">
      <c r="A2732" s="35" t="s">
        <v>5688</v>
      </c>
      <c r="B2732" s="35" t="s">
        <v>5689</v>
      </c>
      <c r="C2732" s="35" t="s">
        <v>7758</v>
      </c>
      <c r="D2732" s="35" t="s">
        <v>116</v>
      </c>
      <c r="E2732" s="35" t="s">
        <v>285</v>
      </c>
      <c r="F2732" s="35">
        <v>5994.0</v>
      </c>
      <c r="G2732" s="35">
        <v>5.45</v>
      </c>
      <c r="H2732" s="35">
        <v>1099.8</v>
      </c>
      <c r="I2732" s="35" t="s">
        <v>142</v>
      </c>
    </row>
    <row r="2733" ht="22.5" customHeight="1">
      <c r="A2733" s="35" t="s">
        <v>5690</v>
      </c>
      <c r="B2733" s="35" t="s">
        <v>5691</v>
      </c>
      <c r="C2733" s="35" t="s">
        <v>7758</v>
      </c>
      <c r="D2733" s="35" t="s">
        <v>167</v>
      </c>
      <c r="E2733" s="35" t="s">
        <v>447</v>
      </c>
      <c r="F2733" s="35">
        <v>56.0</v>
      </c>
      <c r="G2733" s="35">
        <v>1.16</v>
      </c>
      <c r="H2733" s="35">
        <v>48.3</v>
      </c>
      <c r="I2733" s="35" t="s">
        <v>75</v>
      </c>
    </row>
    <row r="2734" ht="22.5" customHeight="1">
      <c r="A2734" s="35" t="s">
        <v>5692</v>
      </c>
      <c r="B2734" s="35" t="s">
        <v>5693</v>
      </c>
      <c r="C2734" s="35" t="s">
        <v>7758</v>
      </c>
      <c r="D2734" s="35" t="s">
        <v>118</v>
      </c>
      <c r="E2734" s="35" t="s">
        <v>300</v>
      </c>
      <c r="F2734" s="35">
        <v>2273.0</v>
      </c>
      <c r="G2734" s="35">
        <v>2.54</v>
      </c>
      <c r="H2734" s="35">
        <v>894.9</v>
      </c>
      <c r="I2734" s="35" t="s">
        <v>142</v>
      </c>
    </row>
    <row r="2735" ht="22.5" customHeight="1">
      <c r="A2735" s="35" t="s">
        <v>5694</v>
      </c>
      <c r="B2735" s="35" t="s">
        <v>5695</v>
      </c>
      <c r="C2735" s="35" t="s">
        <v>7758</v>
      </c>
      <c r="D2735" s="35" t="s">
        <v>219</v>
      </c>
      <c r="E2735" s="35" t="s">
        <v>377</v>
      </c>
      <c r="F2735" s="35">
        <v>848.0</v>
      </c>
      <c r="G2735" s="35">
        <v>4.26</v>
      </c>
      <c r="H2735" s="35">
        <v>199.1</v>
      </c>
      <c r="I2735" s="35" t="s">
        <v>62</v>
      </c>
    </row>
    <row r="2736" ht="22.5" customHeight="1">
      <c r="A2736" s="35" t="s">
        <v>5696</v>
      </c>
      <c r="B2736" s="35" t="s">
        <v>5697</v>
      </c>
      <c r="C2736" s="35" t="s">
        <v>7758</v>
      </c>
      <c r="D2736" s="35" t="s">
        <v>127</v>
      </c>
      <c r="E2736" s="35" t="s">
        <v>323</v>
      </c>
      <c r="F2736" s="35">
        <v>6854.0</v>
      </c>
      <c r="G2736" s="35">
        <v>3.71</v>
      </c>
      <c r="H2736" s="35">
        <v>1847.4</v>
      </c>
      <c r="I2736" s="35" t="s">
        <v>142</v>
      </c>
    </row>
    <row r="2737" ht="22.5" customHeight="1">
      <c r="A2737" s="35" t="s">
        <v>5698</v>
      </c>
      <c r="B2737" s="35" t="s">
        <v>5699</v>
      </c>
      <c r="C2737" s="35" t="s">
        <v>7758</v>
      </c>
      <c r="D2737" s="35" t="s">
        <v>169</v>
      </c>
      <c r="E2737" s="35" t="s">
        <v>449</v>
      </c>
      <c r="F2737" s="35">
        <v>154.0</v>
      </c>
      <c r="G2737" s="35">
        <v>2.07</v>
      </c>
      <c r="H2737" s="35">
        <v>74.4</v>
      </c>
      <c r="I2737" s="35" t="s">
        <v>75</v>
      </c>
    </row>
    <row r="2738" ht="22.5" customHeight="1">
      <c r="A2738" s="35" t="s">
        <v>5700</v>
      </c>
      <c r="B2738" s="35" t="s">
        <v>5701</v>
      </c>
      <c r="C2738" s="35" t="s">
        <v>7758</v>
      </c>
      <c r="D2738" s="35" t="s">
        <v>169</v>
      </c>
      <c r="E2738" s="35" t="s">
        <v>449</v>
      </c>
      <c r="F2738" s="35">
        <v>256.0</v>
      </c>
      <c r="G2738" s="35">
        <v>5.37</v>
      </c>
      <c r="H2738" s="35">
        <v>47.7</v>
      </c>
      <c r="I2738" s="35" t="s">
        <v>75</v>
      </c>
    </row>
    <row r="2739" ht="22.5" customHeight="1">
      <c r="A2739" s="35" t="s">
        <v>5702</v>
      </c>
      <c r="B2739" s="35" t="s">
        <v>5703</v>
      </c>
      <c r="C2739" s="35" t="s">
        <v>7758</v>
      </c>
      <c r="D2739" s="35" t="s">
        <v>206</v>
      </c>
      <c r="E2739" s="35" t="s">
        <v>533</v>
      </c>
      <c r="F2739" s="35">
        <v>471.0</v>
      </c>
      <c r="G2739" s="35">
        <v>6.7</v>
      </c>
      <c r="H2739" s="35">
        <v>70.3</v>
      </c>
      <c r="I2739" s="35" t="s">
        <v>75</v>
      </c>
    </row>
    <row r="2740" ht="22.5" customHeight="1">
      <c r="A2740" s="35" t="s">
        <v>5704</v>
      </c>
      <c r="B2740" s="35" t="s">
        <v>5705</v>
      </c>
      <c r="C2740" s="35" t="s">
        <v>7758</v>
      </c>
      <c r="D2740" s="35" t="s">
        <v>118</v>
      </c>
      <c r="E2740" s="35" t="s">
        <v>300</v>
      </c>
      <c r="F2740" s="35">
        <v>384.0</v>
      </c>
      <c r="G2740" s="35">
        <v>1.26</v>
      </c>
      <c r="H2740" s="35">
        <v>304.8</v>
      </c>
      <c r="I2740" s="35" t="s">
        <v>75</v>
      </c>
    </row>
    <row r="2741" ht="22.5" customHeight="1">
      <c r="A2741" s="35" t="s">
        <v>5706</v>
      </c>
      <c r="B2741" s="35" t="s">
        <v>5707</v>
      </c>
      <c r="C2741" s="35" t="s">
        <v>7758</v>
      </c>
      <c r="D2741" s="35" t="s">
        <v>206</v>
      </c>
      <c r="E2741" s="35" t="s">
        <v>533</v>
      </c>
      <c r="F2741" s="35">
        <v>251.0</v>
      </c>
      <c r="G2741" s="35">
        <v>8.77</v>
      </c>
      <c r="H2741" s="35">
        <v>28.6</v>
      </c>
      <c r="I2741" s="35" t="s">
        <v>75</v>
      </c>
    </row>
    <row r="2742" ht="22.5" customHeight="1">
      <c r="A2742" s="35" t="s">
        <v>5708</v>
      </c>
      <c r="B2742" s="35" t="s">
        <v>5709</v>
      </c>
      <c r="C2742" s="35" t="s">
        <v>7758</v>
      </c>
      <c r="D2742" s="35" t="s">
        <v>161</v>
      </c>
      <c r="E2742" s="35" t="s">
        <v>438</v>
      </c>
      <c r="F2742" s="35">
        <v>1291.0</v>
      </c>
      <c r="G2742" s="35">
        <v>13.34</v>
      </c>
      <c r="H2742" s="35">
        <v>96.8</v>
      </c>
      <c r="I2742" s="35" t="s">
        <v>62</v>
      </c>
    </row>
    <row r="2743" ht="22.5" customHeight="1">
      <c r="A2743" s="35" t="s">
        <v>5710</v>
      </c>
      <c r="B2743" s="35" t="s">
        <v>5711</v>
      </c>
      <c r="C2743" s="35" t="s">
        <v>7758</v>
      </c>
      <c r="D2743" s="35" t="s">
        <v>167</v>
      </c>
      <c r="E2743" s="35" t="s">
        <v>447</v>
      </c>
      <c r="F2743" s="35">
        <v>210.0</v>
      </c>
      <c r="G2743" s="35">
        <v>5.31</v>
      </c>
      <c r="H2743" s="35">
        <v>39.5</v>
      </c>
      <c r="I2743" s="35" t="s">
        <v>75</v>
      </c>
    </row>
    <row r="2744" ht="22.5" customHeight="1">
      <c r="A2744" s="35" t="s">
        <v>5712</v>
      </c>
      <c r="B2744" s="35" t="s">
        <v>5713</v>
      </c>
      <c r="C2744" s="35" t="s">
        <v>7758</v>
      </c>
      <c r="D2744" s="35" t="s">
        <v>163</v>
      </c>
      <c r="E2744" s="35" t="s">
        <v>441</v>
      </c>
      <c r="F2744" s="35">
        <v>276.0</v>
      </c>
      <c r="G2744" s="35">
        <v>2.62</v>
      </c>
      <c r="H2744" s="35">
        <v>105.3</v>
      </c>
      <c r="I2744" s="35" t="s">
        <v>75</v>
      </c>
    </row>
    <row r="2745" ht="22.5" customHeight="1">
      <c r="A2745" s="35" t="s">
        <v>5714</v>
      </c>
      <c r="B2745" s="35" t="s">
        <v>5715</v>
      </c>
      <c r="C2745" s="35" t="s">
        <v>7758</v>
      </c>
      <c r="D2745" s="35" t="s">
        <v>116</v>
      </c>
      <c r="E2745" s="35" t="s">
        <v>285</v>
      </c>
      <c r="F2745" s="35">
        <v>10323.0</v>
      </c>
      <c r="G2745" s="35">
        <v>5.49</v>
      </c>
      <c r="H2745" s="35">
        <v>1880.3</v>
      </c>
      <c r="I2745" s="35" t="s">
        <v>571</v>
      </c>
    </row>
    <row r="2746" ht="22.5" customHeight="1">
      <c r="A2746" s="35" t="s">
        <v>5716</v>
      </c>
      <c r="B2746" s="35" t="s">
        <v>5717</v>
      </c>
      <c r="C2746" s="35" t="s">
        <v>7758</v>
      </c>
      <c r="D2746" s="35" t="s">
        <v>219</v>
      </c>
      <c r="E2746" s="35" t="s">
        <v>377</v>
      </c>
      <c r="F2746" s="35">
        <v>1213.0</v>
      </c>
      <c r="G2746" s="35">
        <v>11.36</v>
      </c>
      <c r="H2746" s="35">
        <v>106.8</v>
      </c>
      <c r="I2746" s="35" t="s">
        <v>62</v>
      </c>
    </row>
    <row r="2747" ht="22.5" customHeight="1">
      <c r="A2747" s="35" t="s">
        <v>5718</v>
      </c>
      <c r="B2747" s="35" t="s">
        <v>5719</v>
      </c>
      <c r="C2747" s="35" t="s">
        <v>7758</v>
      </c>
      <c r="D2747" s="35" t="s">
        <v>219</v>
      </c>
      <c r="E2747" s="35" t="s">
        <v>377</v>
      </c>
      <c r="F2747" s="35">
        <v>418.0</v>
      </c>
      <c r="G2747" s="35">
        <v>4.9</v>
      </c>
      <c r="H2747" s="35">
        <v>85.3</v>
      </c>
      <c r="I2747" s="35" t="s">
        <v>75</v>
      </c>
    </row>
    <row r="2748" ht="22.5" customHeight="1">
      <c r="A2748" s="35" t="s">
        <v>5720</v>
      </c>
      <c r="B2748" s="35" t="s">
        <v>5721</v>
      </c>
      <c r="C2748" s="35" t="s">
        <v>7758</v>
      </c>
      <c r="D2748" s="35" t="s">
        <v>169</v>
      </c>
      <c r="E2748" s="35" t="s">
        <v>449</v>
      </c>
      <c r="F2748" s="35">
        <v>341.0</v>
      </c>
      <c r="G2748" s="35">
        <v>11.14</v>
      </c>
      <c r="H2748" s="35">
        <v>30.6</v>
      </c>
      <c r="I2748" s="35" t="s">
        <v>75</v>
      </c>
    </row>
    <row r="2749" ht="22.5" customHeight="1">
      <c r="A2749" s="35" t="s">
        <v>5722</v>
      </c>
      <c r="B2749" s="35" t="s">
        <v>5723</v>
      </c>
      <c r="C2749" s="35" t="s">
        <v>7758</v>
      </c>
      <c r="D2749" s="35" t="s">
        <v>206</v>
      </c>
      <c r="E2749" s="35" t="s">
        <v>533</v>
      </c>
      <c r="F2749" s="35">
        <v>227.0</v>
      </c>
      <c r="G2749" s="35">
        <v>3.93</v>
      </c>
      <c r="H2749" s="35">
        <v>57.8</v>
      </c>
      <c r="I2749" s="35" t="s">
        <v>75</v>
      </c>
    </row>
    <row r="2750" ht="22.5" customHeight="1">
      <c r="A2750" s="35" t="s">
        <v>5724</v>
      </c>
      <c r="B2750" s="35" t="s">
        <v>5725</v>
      </c>
      <c r="C2750" s="35" t="s">
        <v>7758</v>
      </c>
      <c r="D2750" s="35" t="s">
        <v>118</v>
      </c>
      <c r="E2750" s="35" t="s">
        <v>300</v>
      </c>
      <c r="F2750" s="35">
        <v>719.0</v>
      </c>
      <c r="G2750" s="35">
        <v>5.32</v>
      </c>
      <c r="H2750" s="35">
        <v>135.2</v>
      </c>
      <c r="I2750" s="35" t="s">
        <v>62</v>
      </c>
    </row>
    <row r="2751" ht="22.5" customHeight="1">
      <c r="A2751" s="35" t="s">
        <v>5726</v>
      </c>
      <c r="B2751" s="35" t="s">
        <v>5727</v>
      </c>
      <c r="C2751" s="35" t="s">
        <v>7758</v>
      </c>
      <c r="D2751" s="35" t="s">
        <v>132</v>
      </c>
      <c r="E2751" s="35" t="s">
        <v>346</v>
      </c>
      <c r="F2751" s="35">
        <v>13138.0</v>
      </c>
      <c r="G2751" s="35">
        <v>7.04</v>
      </c>
      <c r="H2751" s="35">
        <v>1866.2</v>
      </c>
      <c r="I2751" s="35" t="s">
        <v>571</v>
      </c>
    </row>
    <row r="2752" ht="22.5" customHeight="1">
      <c r="A2752" s="35" t="s">
        <v>5728</v>
      </c>
      <c r="B2752" s="35" t="s">
        <v>5729</v>
      </c>
      <c r="C2752" s="35" t="s">
        <v>7758</v>
      </c>
      <c r="D2752" s="35" t="s">
        <v>191</v>
      </c>
      <c r="E2752" s="35" t="s">
        <v>504</v>
      </c>
      <c r="F2752" s="35">
        <v>493.0</v>
      </c>
      <c r="G2752" s="35">
        <v>5.37</v>
      </c>
      <c r="H2752" s="35">
        <v>91.8</v>
      </c>
      <c r="I2752" s="35" t="s">
        <v>75</v>
      </c>
    </row>
    <row r="2753" ht="22.5" customHeight="1">
      <c r="A2753" s="35" t="s">
        <v>5730</v>
      </c>
      <c r="B2753" s="35" t="s">
        <v>5731</v>
      </c>
      <c r="C2753" s="35" t="s">
        <v>7758</v>
      </c>
      <c r="D2753" s="35" t="s">
        <v>161</v>
      </c>
      <c r="E2753" s="35" t="s">
        <v>438</v>
      </c>
      <c r="F2753" s="35">
        <v>5780.0</v>
      </c>
      <c r="G2753" s="35">
        <v>34.32</v>
      </c>
      <c r="H2753" s="35">
        <v>168.4</v>
      </c>
      <c r="I2753" s="35" t="s">
        <v>142</v>
      </c>
    </row>
    <row r="2754" ht="22.5" customHeight="1">
      <c r="A2754" s="35" t="s">
        <v>5732</v>
      </c>
      <c r="B2754" s="35" t="s">
        <v>5733</v>
      </c>
      <c r="C2754" s="35" t="s">
        <v>7758</v>
      </c>
      <c r="D2754" s="35" t="s">
        <v>219</v>
      </c>
      <c r="E2754" s="35" t="s">
        <v>377</v>
      </c>
      <c r="F2754" s="35">
        <v>566.0</v>
      </c>
      <c r="G2754" s="35">
        <v>2.75</v>
      </c>
      <c r="H2754" s="35">
        <v>205.8</v>
      </c>
      <c r="I2754" s="35" t="s">
        <v>62</v>
      </c>
    </row>
    <row r="2755" ht="22.5" customHeight="1">
      <c r="A2755" s="35" t="s">
        <v>5734</v>
      </c>
      <c r="B2755" s="35" t="s">
        <v>5735</v>
      </c>
      <c r="C2755" s="35" t="s">
        <v>7758</v>
      </c>
      <c r="D2755" s="35" t="s">
        <v>167</v>
      </c>
      <c r="E2755" s="35" t="s">
        <v>447</v>
      </c>
      <c r="F2755" s="35">
        <v>740.0</v>
      </c>
      <c r="G2755" s="35">
        <v>9.29</v>
      </c>
      <c r="H2755" s="35">
        <v>79.7</v>
      </c>
      <c r="I2755" s="35" t="s">
        <v>62</v>
      </c>
    </row>
    <row r="2756" ht="22.5" customHeight="1">
      <c r="A2756" s="35" t="s">
        <v>5736</v>
      </c>
      <c r="B2756" s="35" t="s">
        <v>5737</v>
      </c>
      <c r="C2756" s="35" t="s">
        <v>7758</v>
      </c>
      <c r="D2756" s="35" t="s">
        <v>187</v>
      </c>
      <c r="E2756" s="35" t="s">
        <v>488</v>
      </c>
      <c r="F2756" s="35">
        <v>559.0</v>
      </c>
      <c r="G2756" s="35">
        <v>13.0</v>
      </c>
      <c r="H2756" s="35">
        <v>43.0</v>
      </c>
      <c r="I2756" s="35" t="s">
        <v>62</v>
      </c>
    </row>
    <row r="2757" ht="22.5" customHeight="1">
      <c r="A2757" s="35" t="s">
        <v>5738</v>
      </c>
      <c r="B2757" s="35" t="s">
        <v>5739</v>
      </c>
      <c r="C2757" s="35" t="s">
        <v>7758</v>
      </c>
      <c r="D2757" s="35" t="s">
        <v>169</v>
      </c>
      <c r="E2757" s="35" t="s">
        <v>449</v>
      </c>
      <c r="F2757" s="35">
        <v>768.0</v>
      </c>
      <c r="G2757" s="35">
        <v>10.86</v>
      </c>
      <c r="H2757" s="35">
        <v>70.7</v>
      </c>
      <c r="I2757" s="35" t="s">
        <v>62</v>
      </c>
    </row>
    <row r="2758" ht="22.5" customHeight="1">
      <c r="A2758" s="35" t="s">
        <v>5740</v>
      </c>
      <c r="B2758" s="35" t="s">
        <v>5741</v>
      </c>
      <c r="C2758" s="35" t="s">
        <v>7758</v>
      </c>
      <c r="D2758" s="35" t="s">
        <v>219</v>
      </c>
      <c r="E2758" s="35" t="s">
        <v>377</v>
      </c>
      <c r="F2758" s="35">
        <v>770.0</v>
      </c>
      <c r="G2758" s="35">
        <v>6.7</v>
      </c>
      <c r="H2758" s="35">
        <v>114.9</v>
      </c>
      <c r="I2758" s="35" t="s">
        <v>62</v>
      </c>
    </row>
    <row r="2759" ht="22.5" customHeight="1">
      <c r="A2759" s="35" t="s">
        <v>5742</v>
      </c>
      <c r="B2759" s="35" t="s">
        <v>5743</v>
      </c>
      <c r="C2759" s="35" t="s">
        <v>7758</v>
      </c>
      <c r="D2759" s="35" t="s">
        <v>169</v>
      </c>
      <c r="E2759" s="35" t="s">
        <v>449</v>
      </c>
      <c r="F2759" s="35">
        <v>458.0</v>
      </c>
      <c r="G2759" s="35">
        <v>9.24</v>
      </c>
      <c r="H2759" s="35">
        <v>49.6</v>
      </c>
      <c r="I2759" s="35" t="s">
        <v>75</v>
      </c>
    </row>
    <row r="2760" ht="22.5" customHeight="1">
      <c r="A2760" s="35" t="s">
        <v>5744</v>
      </c>
      <c r="B2760" s="35" t="s">
        <v>5745</v>
      </c>
      <c r="C2760" s="35" t="s">
        <v>7758</v>
      </c>
      <c r="D2760" s="35" t="s">
        <v>206</v>
      </c>
      <c r="E2760" s="35" t="s">
        <v>533</v>
      </c>
      <c r="F2760" s="35">
        <v>1574.0</v>
      </c>
      <c r="G2760" s="35">
        <v>4.54</v>
      </c>
      <c r="H2760" s="35">
        <v>346.7</v>
      </c>
      <c r="I2760" s="35" t="s">
        <v>62</v>
      </c>
    </row>
    <row r="2761" ht="22.5" customHeight="1">
      <c r="A2761" s="35" t="s">
        <v>5746</v>
      </c>
      <c r="B2761" s="35" t="s">
        <v>5747</v>
      </c>
      <c r="C2761" s="35" t="s">
        <v>7758</v>
      </c>
      <c r="D2761" s="35" t="s">
        <v>132</v>
      </c>
      <c r="E2761" s="35" t="s">
        <v>346</v>
      </c>
      <c r="F2761" s="35">
        <v>422.0</v>
      </c>
      <c r="G2761" s="35">
        <v>7.81</v>
      </c>
      <c r="H2761" s="35">
        <v>54.0</v>
      </c>
      <c r="I2761" s="35" t="s">
        <v>75</v>
      </c>
    </row>
    <row r="2762" ht="22.5" customHeight="1">
      <c r="A2762" s="35" t="s">
        <v>5748</v>
      </c>
      <c r="B2762" s="35" t="s">
        <v>5749</v>
      </c>
      <c r="C2762" s="35" t="s">
        <v>7758</v>
      </c>
      <c r="D2762" s="35" t="s">
        <v>141</v>
      </c>
      <c r="E2762" s="35" t="s">
        <v>220</v>
      </c>
      <c r="F2762" s="35">
        <v>789.0</v>
      </c>
      <c r="G2762" s="35">
        <v>10.51</v>
      </c>
      <c r="H2762" s="35">
        <v>75.1</v>
      </c>
      <c r="I2762" s="35" t="s">
        <v>62</v>
      </c>
    </row>
    <row r="2763" ht="22.5" customHeight="1">
      <c r="A2763" s="35" t="s">
        <v>5750</v>
      </c>
      <c r="B2763" s="35" t="s">
        <v>5751</v>
      </c>
      <c r="C2763" s="35" t="s">
        <v>7758</v>
      </c>
      <c r="D2763" s="35" t="s">
        <v>206</v>
      </c>
      <c r="E2763" s="35" t="s">
        <v>533</v>
      </c>
      <c r="F2763" s="35">
        <v>325.0</v>
      </c>
      <c r="G2763" s="35">
        <v>6.14</v>
      </c>
      <c r="H2763" s="35">
        <v>52.9</v>
      </c>
      <c r="I2763" s="35" t="s">
        <v>75</v>
      </c>
    </row>
    <row r="2764" ht="22.5" customHeight="1">
      <c r="A2764" s="35" t="s">
        <v>5752</v>
      </c>
      <c r="B2764" s="35" t="s">
        <v>5753</v>
      </c>
      <c r="C2764" s="35" t="s">
        <v>7758</v>
      </c>
      <c r="D2764" s="35" t="s">
        <v>191</v>
      </c>
      <c r="E2764" s="35" t="s">
        <v>504</v>
      </c>
      <c r="F2764" s="35">
        <v>919.0</v>
      </c>
      <c r="G2764" s="35">
        <v>7.16</v>
      </c>
      <c r="H2764" s="35">
        <v>128.4</v>
      </c>
      <c r="I2764" s="35" t="s">
        <v>62</v>
      </c>
    </row>
    <row r="2765" ht="22.5" customHeight="1">
      <c r="A2765" s="35" t="s">
        <v>5754</v>
      </c>
      <c r="B2765" s="35" t="s">
        <v>5755</v>
      </c>
      <c r="C2765" s="35" t="s">
        <v>7758</v>
      </c>
      <c r="D2765" s="35" t="s">
        <v>141</v>
      </c>
      <c r="E2765" s="35" t="s">
        <v>220</v>
      </c>
      <c r="F2765" s="35">
        <v>545.0</v>
      </c>
      <c r="G2765" s="35">
        <v>9.31</v>
      </c>
      <c r="H2765" s="35">
        <v>58.5</v>
      </c>
      <c r="I2765" s="35" t="s">
        <v>62</v>
      </c>
    </row>
    <row r="2766" ht="22.5" customHeight="1">
      <c r="A2766" s="35" t="s">
        <v>5756</v>
      </c>
      <c r="B2766" s="35" t="s">
        <v>5757</v>
      </c>
      <c r="C2766" s="35" t="s">
        <v>7758</v>
      </c>
      <c r="D2766" s="35" t="s">
        <v>132</v>
      </c>
      <c r="E2766" s="35" t="s">
        <v>346</v>
      </c>
      <c r="F2766" s="35">
        <v>114.0</v>
      </c>
      <c r="G2766" s="35">
        <v>2.42</v>
      </c>
      <c r="H2766" s="35">
        <v>47.1</v>
      </c>
      <c r="I2766" s="35" t="s">
        <v>75</v>
      </c>
    </row>
    <row r="2767" ht="22.5" customHeight="1">
      <c r="A2767" s="35" t="s">
        <v>5758</v>
      </c>
      <c r="B2767" s="35" t="s">
        <v>5759</v>
      </c>
      <c r="C2767" s="35" t="s">
        <v>7758</v>
      </c>
      <c r="D2767" s="35" t="s">
        <v>187</v>
      </c>
      <c r="E2767" s="35" t="s">
        <v>488</v>
      </c>
      <c r="F2767" s="35">
        <v>104.0</v>
      </c>
      <c r="G2767" s="35">
        <v>6.19</v>
      </c>
      <c r="H2767" s="35">
        <v>16.8</v>
      </c>
      <c r="I2767" s="35" t="s">
        <v>75</v>
      </c>
    </row>
    <row r="2768" ht="22.5" customHeight="1">
      <c r="A2768" s="35" t="s">
        <v>5760</v>
      </c>
      <c r="B2768" s="35" t="s">
        <v>5761</v>
      </c>
      <c r="C2768" s="35" t="s">
        <v>7758</v>
      </c>
      <c r="D2768" s="35" t="s">
        <v>219</v>
      </c>
      <c r="E2768" s="35" t="s">
        <v>377</v>
      </c>
      <c r="F2768" s="35">
        <v>452.0</v>
      </c>
      <c r="G2768" s="35">
        <v>2.4</v>
      </c>
      <c r="H2768" s="35">
        <v>188.3</v>
      </c>
      <c r="I2768" s="35" t="s">
        <v>75</v>
      </c>
    </row>
    <row r="2769" ht="22.5" customHeight="1">
      <c r="A2769" s="35" t="s">
        <v>5762</v>
      </c>
      <c r="B2769" s="35" t="s">
        <v>5763</v>
      </c>
      <c r="C2769" s="35" t="s">
        <v>7758</v>
      </c>
      <c r="D2769" s="35" t="s">
        <v>167</v>
      </c>
      <c r="E2769" s="35" t="s">
        <v>447</v>
      </c>
      <c r="F2769" s="35">
        <v>511.0</v>
      </c>
      <c r="G2769" s="35">
        <v>6.16</v>
      </c>
      <c r="H2769" s="35">
        <v>83.0</v>
      </c>
      <c r="I2769" s="35" t="s">
        <v>62</v>
      </c>
    </row>
    <row r="2770" ht="22.5" customHeight="1">
      <c r="A2770" s="35" t="s">
        <v>5764</v>
      </c>
      <c r="B2770" s="35" t="s">
        <v>5765</v>
      </c>
      <c r="C2770" s="35" t="s">
        <v>7758</v>
      </c>
      <c r="D2770" s="35" t="s">
        <v>161</v>
      </c>
      <c r="E2770" s="35" t="s">
        <v>438</v>
      </c>
      <c r="F2770" s="35">
        <v>867.0</v>
      </c>
      <c r="G2770" s="35">
        <v>4.8</v>
      </c>
      <c r="H2770" s="35">
        <v>180.6</v>
      </c>
      <c r="I2770" s="35" t="s">
        <v>62</v>
      </c>
    </row>
    <row r="2771" ht="22.5" customHeight="1">
      <c r="A2771" s="35" t="s">
        <v>5766</v>
      </c>
      <c r="B2771" s="35" t="s">
        <v>5767</v>
      </c>
      <c r="C2771" s="35" t="s">
        <v>7758</v>
      </c>
      <c r="D2771" s="35" t="s">
        <v>169</v>
      </c>
      <c r="E2771" s="35" t="s">
        <v>449</v>
      </c>
      <c r="F2771" s="35">
        <v>307.0</v>
      </c>
      <c r="G2771" s="35">
        <v>4.44</v>
      </c>
      <c r="H2771" s="35">
        <v>69.1</v>
      </c>
      <c r="I2771" s="35" t="s">
        <v>75</v>
      </c>
    </row>
    <row r="2772" ht="22.5" customHeight="1">
      <c r="A2772" s="35" t="s">
        <v>5768</v>
      </c>
      <c r="B2772" s="35" t="s">
        <v>5769</v>
      </c>
      <c r="C2772" s="35" t="s">
        <v>7758</v>
      </c>
      <c r="D2772" s="35" t="s">
        <v>169</v>
      </c>
      <c r="E2772" s="35" t="s">
        <v>449</v>
      </c>
      <c r="F2772" s="35">
        <v>244.0</v>
      </c>
      <c r="G2772" s="35">
        <v>5.81</v>
      </c>
      <c r="H2772" s="35">
        <v>42.0</v>
      </c>
      <c r="I2772" s="35" t="s">
        <v>75</v>
      </c>
    </row>
    <row r="2773" ht="22.5" customHeight="1">
      <c r="A2773" s="35" t="s">
        <v>5770</v>
      </c>
      <c r="B2773" s="35" t="s">
        <v>5771</v>
      </c>
      <c r="C2773" s="35" t="s">
        <v>7758</v>
      </c>
      <c r="D2773" s="35" t="s">
        <v>206</v>
      </c>
      <c r="E2773" s="35" t="s">
        <v>533</v>
      </c>
      <c r="F2773" s="35">
        <v>216.0</v>
      </c>
      <c r="G2773" s="35">
        <v>4.65</v>
      </c>
      <c r="H2773" s="35">
        <v>46.5</v>
      </c>
      <c r="I2773" s="35" t="s">
        <v>75</v>
      </c>
    </row>
    <row r="2774" ht="22.5" customHeight="1">
      <c r="A2774" s="35" t="s">
        <v>5772</v>
      </c>
      <c r="B2774" s="35" t="s">
        <v>5773</v>
      </c>
      <c r="C2774" s="35" t="s">
        <v>7758</v>
      </c>
      <c r="D2774" s="35" t="s">
        <v>127</v>
      </c>
      <c r="E2774" s="35" t="s">
        <v>323</v>
      </c>
      <c r="F2774" s="35">
        <v>3062.0</v>
      </c>
      <c r="G2774" s="35">
        <v>2.01</v>
      </c>
      <c r="H2774" s="35">
        <v>1523.4</v>
      </c>
      <c r="I2774" s="35" t="s">
        <v>142</v>
      </c>
    </row>
    <row r="2775" ht="22.5" customHeight="1">
      <c r="A2775" s="35" t="s">
        <v>5774</v>
      </c>
      <c r="B2775" s="35" t="s">
        <v>5775</v>
      </c>
      <c r="C2775" s="35" t="s">
        <v>7758</v>
      </c>
      <c r="D2775" s="35" t="s">
        <v>132</v>
      </c>
      <c r="E2775" s="35" t="s">
        <v>346</v>
      </c>
      <c r="F2775" s="35">
        <v>8768.0</v>
      </c>
      <c r="G2775" s="35">
        <v>3.88</v>
      </c>
      <c r="H2775" s="35">
        <v>2259.8</v>
      </c>
      <c r="I2775" s="35" t="s">
        <v>142</v>
      </c>
    </row>
    <row r="2776" ht="22.5" customHeight="1">
      <c r="A2776" s="35" t="s">
        <v>5776</v>
      </c>
      <c r="B2776" s="35" t="s">
        <v>5777</v>
      </c>
      <c r="C2776" s="35" t="s">
        <v>7758</v>
      </c>
      <c r="D2776" s="35" t="s">
        <v>206</v>
      </c>
      <c r="E2776" s="35" t="s">
        <v>533</v>
      </c>
      <c r="F2776" s="35">
        <v>227.0</v>
      </c>
      <c r="G2776" s="35">
        <v>3.88</v>
      </c>
      <c r="H2776" s="35">
        <v>58.5</v>
      </c>
      <c r="I2776" s="35" t="s">
        <v>75</v>
      </c>
    </row>
    <row r="2777" ht="22.5" customHeight="1">
      <c r="A2777" s="35" t="s">
        <v>5778</v>
      </c>
      <c r="B2777" s="35" t="s">
        <v>5779</v>
      </c>
      <c r="C2777" s="35" t="s">
        <v>7758</v>
      </c>
      <c r="D2777" s="35" t="s">
        <v>206</v>
      </c>
      <c r="E2777" s="35" t="s">
        <v>533</v>
      </c>
      <c r="F2777" s="35">
        <v>298.0</v>
      </c>
      <c r="G2777" s="35">
        <v>4.38</v>
      </c>
      <c r="H2777" s="35">
        <v>68.0</v>
      </c>
      <c r="I2777" s="35" t="s">
        <v>75</v>
      </c>
    </row>
    <row r="2778" ht="22.5" customHeight="1">
      <c r="A2778" s="35" t="s">
        <v>5780</v>
      </c>
      <c r="B2778" s="35" t="s">
        <v>5781</v>
      </c>
      <c r="C2778" s="35" t="s">
        <v>7758</v>
      </c>
      <c r="D2778" s="35" t="s">
        <v>187</v>
      </c>
      <c r="E2778" s="35" t="s">
        <v>488</v>
      </c>
      <c r="F2778" s="35">
        <v>642.0</v>
      </c>
      <c r="G2778" s="35">
        <v>15.92</v>
      </c>
      <c r="H2778" s="35">
        <v>40.3</v>
      </c>
      <c r="I2778" s="35" t="s">
        <v>62</v>
      </c>
    </row>
    <row r="2779" ht="22.5" customHeight="1">
      <c r="A2779" s="35" t="s">
        <v>5782</v>
      </c>
      <c r="B2779" s="35" t="s">
        <v>5783</v>
      </c>
      <c r="C2779" s="35" t="s">
        <v>7758</v>
      </c>
      <c r="D2779" s="35" t="s">
        <v>219</v>
      </c>
      <c r="E2779" s="35" t="s">
        <v>377</v>
      </c>
      <c r="F2779" s="35">
        <v>307.0</v>
      </c>
      <c r="G2779" s="35">
        <v>6.16</v>
      </c>
      <c r="H2779" s="35">
        <v>49.8</v>
      </c>
      <c r="I2779" s="35" t="s">
        <v>75</v>
      </c>
    </row>
    <row r="2780" ht="22.5" customHeight="1">
      <c r="A2780" s="35" t="s">
        <v>5784</v>
      </c>
      <c r="B2780" s="35" t="s">
        <v>5785</v>
      </c>
      <c r="C2780" s="35" t="s">
        <v>7758</v>
      </c>
      <c r="D2780" s="35" t="s">
        <v>204</v>
      </c>
      <c r="E2780" s="35" t="s">
        <v>527</v>
      </c>
      <c r="F2780" s="35">
        <v>675.0</v>
      </c>
      <c r="G2780" s="35">
        <v>11.65</v>
      </c>
      <c r="H2780" s="35">
        <v>57.9</v>
      </c>
      <c r="I2780" s="35" t="s">
        <v>62</v>
      </c>
    </row>
    <row r="2781" ht="22.5" customHeight="1">
      <c r="A2781" s="35" t="s">
        <v>5786</v>
      </c>
      <c r="B2781" s="35" t="s">
        <v>5787</v>
      </c>
      <c r="C2781" s="35" t="s">
        <v>7758</v>
      </c>
      <c r="D2781" s="35" t="s">
        <v>219</v>
      </c>
      <c r="E2781" s="35" t="s">
        <v>377</v>
      </c>
      <c r="F2781" s="35">
        <v>631.0</v>
      </c>
      <c r="G2781" s="35">
        <v>9.03</v>
      </c>
      <c r="H2781" s="35">
        <v>69.9</v>
      </c>
      <c r="I2781" s="35" t="s">
        <v>62</v>
      </c>
    </row>
    <row r="2782" ht="22.5" customHeight="1">
      <c r="A2782" s="35" t="s">
        <v>5788</v>
      </c>
      <c r="B2782" s="35" t="s">
        <v>5789</v>
      </c>
      <c r="C2782" s="35" t="s">
        <v>7758</v>
      </c>
      <c r="D2782" s="35" t="s">
        <v>191</v>
      </c>
      <c r="E2782" s="35" t="s">
        <v>504</v>
      </c>
      <c r="F2782" s="35">
        <v>529.0</v>
      </c>
      <c r="G2782" s="35">
        <v>9.89</v>
      </c>
      <c r="H2782" s="35">
        <v>53.5</v>
      </c>
      <c r="I2782" s="35" t="s">
        <v>62</v>
      </c>
    </row>
    <row r="2783" ht="22.5" customHeight="1">
      <c r="A2783" s="35" t="s">
        <v>5790</v>
      </c>
      <c r="B2783" s="35" t="s">
        <v>5791</v>
      </c>
      <c r="C2783" s="35" t="s">
        <v>7758</v>
      </c>
      <c r="D2783" s="35" t="s">
        <v>191</v>
      </c>
      <c r="E2783" s="35" t="s">
        <v>504</v>
      </c>
      <c r="F2783" s="35">
        <v>292.0</v>
      </c>
      <c r="G2783" s="35">
        <v>1.99</v>
      </c>
      <c r="H2783" s="35">
        <v>146.7</v>
      </c>
      <c r="I2783" s="35" t="s">
        <v>75</v>
      </c>
    </row>
    <row r="2784" ht="22.5" customHeight="1">
      <c r="A2784" s="35" t="s">
        <v>5792</v>
      </c>
      <c r="B2784" s="35" t="s">
        <v>5793</v>
      </c>
      <c r="C2784" s="35" t="s">
        <v>7758</v>
      </c>
      <c r="D2784" s="35" t="s">
        <v>118</v>
      </c>
      <c r="E2784" s="35" t="s">
        <v>300</v>
      </c>
      <c r="F2784" s="35">
        <v>420.0</v>
      </c>
      <c r="G2784" s="35">
        <v>2.76</v>
      </c>
      <c r="H2784" s="35">
        <v>152.2</v>
      </c>
      <c r="I2784" s="35" t="s">
        <v>75</v>
      </c>
    </row>
    <row r="2785" ht="22.5" customHeight="1">
      <c r="A2785" s="35" t="s">
        <v>5794</v>
      </c>
      <c r="B2785" s="35" t="s">
        <v>5795</v>
      </c>
      <c r="C2785" s="35" t="s">
        <v>7758</v>
      </c>
      <c r="D2785" s="35" t="s">
        <v>167</v>
      </c>
      <c r="E2785" s="35" t="s">
        <v>447</v>
      </c>
      <c r="F2785" s="35">
        <v>320.0</v>
      </c>
      <c r="G2785" s="35">
        <v>8.0</v>
      </c>
      <c r="H2785" s="35">
        <v>40.0</v>
      </c>
      <c r="I2785" s="35" t="s">
        <v>75</v>
      </c>
    </row>
    <row r="2786" ht="22.5" customHeight="1">
      <c r="A2786" s="35" t="s">
        <v>5796</v>
      </c>
      <c r="B2786" s="35" t="s">
        <v>5797</v>
      </c>
      <c r="C2786" s="35" t="s">
        <v>7758</v>
      </c>
      <c r="D2786" s="35" t="s">
        <v>150</v>
      </c>
      <c r="E2786" s="35" t="s">
        <v>411</v>
      </c>
      <c r="F2786" s="35">
        <v>720.0</v>
      </c>
      <c r="G2786" s="35">
        <v>13.97</v>
      </c>
      <c r="H2786" s="35">
        <v>51.5</v>
      </c>
      <c r="I2786" s="35" t="s">
        <v>62</v>
      </c>
    </row>
    <row r="2787" ht="22.5" customHeight="1">
      <c r="A2787" s="35" t="s">
        <v>5798</v>
      </c>
      <c r="B2787" s="35" t="s">
        <v>5799</v>
      </c>
      <c r="C2787" s="35" t="s">
        <v>7758</v>
      </c>
      <c r="D2787" s="35" t="s">
        <v>150</v>
      </c>
      <c r="E2787" s="35" t="s">
        <v>411</v>
      </c>
      <c r="F2787" s="35">
        <v>333.0</v>
      </c>
      <c r="G2787" s="35">
        <v>5.88</v>
      </c>
      <c r="H2787" s="35">
        <v>56.6</v>
      </c>
      <c r="I2787" s="35" t="s">
        <v>75</v>
      </c>
    </row>
    <row r="2788" ht="22.5" customHeight="1">
      <c r="A2788" s="35" t="s">
        <v>5800</v>
      </c>
      <c r="B2788" s="35" t="s">
        <v>5801</v>
      </c>
      <c r="C2788" s="35" t="s">
        <v>7758</v>
      </c>
      <c r="D2788" s="35" t="s">
        <v>219</v>
      </c>
      <c r="E2788" s="35" t="s">
        <v>377</v>
      </c>
      <c r="F2788" s="35">
        <v>702.0</v>
      </c>
      <c r="G2788" s="35">
        <v>8.94</v>
      </c>
      <c r="H2788" s="35">
        <v>78.5</v>
      </c>
      <c r="I2788" s="35" t="s">
        <v>62</v>
      </c>
    </row>
    <row r="2789" ht="22.5" customHeight="1">
      <c r="A2789" s="35" t="s">
        <v>5802</v>
      </c>
      <c r="B2789" s="35" t="s">
        <v>5803</v>
      </c>
      <c r="C2789" s="35" t="s">
        <v>7758</v>
      </c>
      <c r="D2789" s="35" t="s">
        <v>139</v>
      </c>
      <c r="E2789" s="35" t="s">
        <v>354</v>
      </c>
      <c r="F2789" s="35">
        <v>663.0</v>
      </c>
      <c r="G2789" s="35">
        <v>2.84</v>
      </c>
      <c r="H2789" s="35">
        <v>233.5</v>
      </c>
      <c r="I2789" s="35" t="s">
        <v>62</v>
      </c>
    </row>
    <row r="2790" ht="22.5" customHeight="1">
      <c r="A2790" s="35" t="s">
        <v>5804</v>
      </c>
      <c r="B2790" s="35" t="s">
        <v>5805</v>
      </c>
      <c r="C2790" s="35" t="s">
        <v>7758</v>
      </c>
      <c r="D2790" s="35" t="s">
        <v>187</v>
      </c>
      <c r="E2790" s="35" t="s">
        <v>488</v>
      </c>
      <c r="F2790" s="35">
        <v>64.0</v>
      </c>
      <c r="G2790" s="35">
        <v>4.05</v>
      </c>
      <c r="H2790" s="35">
        <v>15.8</v>
      </c>
      <c r="I2790" s="35" t="s">
        <v>75</v>
      </c>
    </row>
    <row r="2791" ht="22.5" customHeight="1">
      <c r="A2791" s="35" t="s">
        <v>5806</v>
      </c>
      <c r="B2791" s="35" t="s">
        <v>5807</v>
      </c>
      <c r="C2791" s="35" t="s">
        <v>7758</v>
      </c>
      <c r="D2791" s="35" t="s">
        <v>206</v>
      </c>
      <c r="E2791" s="35" t="s">
        <v>533</v>
      </c>
      <c r="F2791" s="35">
        <v>210.0</v>
      </c>
      <c r="G2791" s="35">
        <v>12.06</v>
      </c>
      <c r="H2791" s="35">
        <v>17.4</v>
      </c>
      <c r="I2791" s="35" t="s">
        <v>75</v>
      </c>
    </row>
    <row r="2792" ht="22.5" customHeight="1">
      <c r="A2792" s="35" t="s">
        <v>5808</v>
      </c>
      <c r="B2792" s="35" t="s">
        <v>5809</v>
      </c>
      <c r="C2792" s="35" t="s">
        <v>7758</v>
      </c>
      <c r="D2792" s="35" t="s">
        <v>139</v>
      </c>
      <c r="E2792" s="35" t="s">
        <v>354</v>
      </c>
      <c r="F2792" s="35">
        <v>2257.0</v>
      </c>
      <c r="G2792" s="35">
        <v>5.36</v>
      </c>
      <c r="H2792" s="35">
        <v>421.1</v>
      </c>
      <c r="I2792" s="35" t="s">
        <v>142</v>
      </c>
    </row>
    <row r="2793" ht="22.5" customHeight="1">
      <c r="A2793" s="35" t="s">
        <v>5810</v>
      </c>
      <c r="B2793" s="35" t="s">
        <v>5811</v>
      </c>
      <c r="C2793" s="35" t="s">
        <v>7758</v>
      </c>
      <c r="D2793" s="35" t="s">
        <v>187</v>
      </c>
      <c r="E2793" s="35" t="s">
        <v>488</v>
      </c>
      <c r="F2793" s="35">
        <v>263.0</v>
      </c>
      <c r="G2793" s="35">
        <v>4.89</v>
      </c>
      <c r="H2793" s="35">
        <v>53.8</v>
      </c>
      <c r="I2793" s="35" t="s">
        <v>75</v>
      </c>
    </row>
    <row r="2794" ht="22.5" customHeight="1">
      <c r="A2794" s="35" t="s">
        <v>5812</v>
      </c>
      <c r="B2794" s="35" t="s">
        <v>5813</v>
      </c>
      <c r="C2794" s="35" t="s">
        <v>7758</v>
      </c>
      <c r="D2794" s="35" t="s">
        <v>206</v>
      </c>
      <c r="E2794" s="35" t="s">
        <v>533</v>
      </c>
      <c r="F2794" s="35">
        <v>349.0</v>
      </c>
      <c r="G2794" s="35">
        <v>8.05</v>
      </c>
      <c r="H2794" s="35">
        <v>43.4</v>
      </c>
      <c r="I2794" s="35" t="s">
        <v>75</v>
      </c>
    </row>
    <row r="2795" ht="22.5" customHeight="1">
      <c r="A2795" s="35" t="s">
        <v>5814</v>
      </c>
      <c r="B2795" s="35" t="s">
        <v>5815</v>
      </c>
      <c r="C2795" s="35" t="s">
        <v>7758</v>
      </c>
      <c r="D2795" s="35" t="s">
        <v>128</v>
      </c>
      <c r="E2795" s="35" t="s">
        <v>338</v>
      </c>
      <c r="F2795" s="35">
        <v>4297.0</v>
      </c>
      <c r="G2795" s="35">
        <v>10.72</v>
      </c>
      <c r="H2795" s="35">
        <v>400.8</v>
      </c>
      <c r="I2795" s="35" t="s">
        <v>142</v>
      </c>
    </row>
    <row r="2796" ht="22.5" customHeight="1">
      <c r="A2796" s="35" t="s">
        <v>5816</v>
      </c>
      <c r="B2796" s="35" t="s">
        <v>5817</v>
      </c>
      <c r="C2796" s="35" t="s">
        <v>7758</v>
      </c>
      <c r="D2796" s="35" t="s">
        <v>234</v>
      </c>
      <c r="E2796" s="35" t="s">
        <v>552</v>
      </c>
      <c r="F2796" s="35">
        <v>407.0</v>
      </c>
      <c r="G2796" s="35">
        <v>7.46</v>
      </c>
      <c r="H2796" s="35">
        <v>54.6</v>
      </c>
      <c r="I2796" s="35" t="s">
        <v>75</v>
      </c>
    </row>
    <row r="2797" ht="22.5" customHeight="1">
      <c r="A2797" s="35" t="s">
        <v>5818</v>
      </c>
      <c r="B2797" s="35" t="s">
        <v>5819</v>
      </c>
      <c r="C2797" s="35" t="s">
        <v>7758</v>
      </c>
      <c r="D2797" s="35" t="s">
        <v>167</v>
      </c>
      <c r="E2797" s="35" t="s">
        <v>447</v>
      </c>
      <c r="F2797" s="35">
        <v>227.0</v>
      </c>
      <c r="G2797" s="35">
        <v>5.92</v>
      </c>
      <c r="H2797" s="35">
        <v>38.3</v>
      </c>
      <c r="I2797" s="35" t="s">
        <v>75</v>
      </c>
    </row>
    <row r="2798" ht="22.5" customHeight="1">
      <c r="A2798" s="35" t="s">
        <v>5820</v>
      </c>
      <c r="B2798" s="35" t="s">
        <v>5821</v>
      </c>
      <c r="C2798" s="35" t="s">
        <v>7758</v>
      </c>
      <c r="D2798" s="35" t="s">
        <v>139</v>
      </c>
      <c r="E2798" s="35" t="s">
        <v>354</v>
      </c>
      <c r="F2798" s="35">
        <v>880.0</v>
      </c>
      <c r="G2798" s="35">
        <v>11.96</v>
      </c>
      <c r="H2798" s="35">
        <v>73.6</v>
      </c>
      <c r="I2798" s="35" t="s">
        <v>62</v>
      </c>
    </row>
    <row r="2799" ht="22.5" customHeight="1">
      <c r="A2799" s="35" t="s">
        <v>5822</v>
      </c>
      <c r="B2799" s="35" t="s">
        <v>5823</v>
      </c>
      <c r="C2799" s="35" t="s">
        <v>7758</v>
      </c>
      <c r="D2799" s="35" t="s">
        <v>191</v>
      </c>
      <c r="E2799" s="35" t="s">
        <v>504</v>
      </c>
      <c r="F2799" s="35">
        <v>403.0</v>
      </c>
      <c r="G2799" s="35">
        <v>4.8</v>
      </c>
      <c r="H2799" s="35">
        <v>84.0</v>
      </c>
      <c r="I2799" s="35" t="s">
        <v>75</v>
      </c>
    </row>
    <row r="2800" ht="22.5" customHeight="1">
      <c r="A2800" s="35" t="s">
        <v>5824</v>
      </c>
      <c r="B2800" s="35" t="s">
        <v>5825</v>
      </c>
      <c r="C2800" s="35" t="s">
        <v>7758</v>
      </c>
      <c r="D2800" s="35" t="s">
        <v>118</v>
      </c>
      <c r="E2800" s="35" t="s">
        <v>300</v>
      </c>
      <c r="F2800" s="35">
        <v>1071.0</v>
      </c>
      <c r="G2800" s="35">
        <v>10.77</v>
      </c>
      <c r="H2800" s="35">
        <v>99.4</v>
      </c>
      <c r="I2800" s="35" t="s">
        <v>62</v>
      </c>
    </row>
    <row r="2801" ht="22.5" customHeight="1">
      <c r="A2801" s="35" t="s">
        <v>5826</v>
      </c>
      <c r="B2801" s="35" t="s">
        <v>5827</v>
      </c>
      <c r="C2801" s="35" t="s">
        <v>7758</v>
      </c>
      <c r="D2801" s="35" t="s">
        <v>169</v>
      </c>
      <c r="E2801" s="35" t="s">
        <v>449</v>
      </c>
      <c r="F2801" s="35">
        <v>190.0</v>
      </c>
      <c r="G2801" s="35">
        <v>8.34</v>
      </c>
      <c r="H2801" s="35">
        <v>22.8</v>
      </c>
      <c r="I2801" s="35" t="s">
        <v>75</v>
      </c>
    </row>
    <row r="2802" ht="22.5" customHeight="1">
      <c r="A2802" s="35" t="s">
        <v>5828</v>
      </c>
      <c r="B2802" s="35" t="s">
        <v>5829</v>
      </c>
      <c r="C2802" s="35" t="s">
        <v>7758</v>
      </c>
      <c r="D2802" s="35" t="s">
        <v>169</v>
      </c>
      <c r="E2802" s="35" t="s">
        <v>449</v>
      </c>
      <c r="F2802" s="35">
        <v>253.0</v>
      </c>
      <c r="G2802" s="35">
        <v>8.55</v>
      </c>
      <c r="H2802" s="35">
        <v>29.6</v>
      </c>
      <c r="I2802" s="35" t="s">
        <v>75</v>
      </c>
    </row>
    <row r="2803" ht="22.5" customHeight="1">
      <c r="A2803" s="35" t="s">
        <v>5830</v>
      </c>
      <c r="B2803" s="35" t="s">
        <v>5831</v>
      </c>
      <c r="C2803" s="35" t="s">
        <v>7758</v>
      </c>
      <c r="D2803" s="35" t="s">
        <v>139</v>
      </c>
      <c r="E2803" s="35" t="s">
        <v>354</v>
      </c>
      <c r="F2803" s="35">
        <v>238.0</v>
      </c>
      <c r="G2803" s="35">
        <v>6.07</v>
      </c>
      <c r="H2803" s="35">
        <v>39.2</v>
      </c>
      <c r="I2803" s="35" t="s">
        <v>75</v>
      </c>
    </row>
    <row r="2804" ht="22.5" customHeight="1">
      <c r="A2804" s="35" t="s">
        <v>5832</v>
      </c>
      <c r="B2804" s="35" t="s">
        <v>5833</v>
      </c>
      <c r="C2804" s="35" t="s">
        <v>7758</v>
      </c>
      <c r="D2804" s="35" t="s">
        <v>219</v>
      </c>
      <c r="E2804" s="35" t="s">
        <v>377</v>
      </c>
      <c r="F2804" s="35">
        <v>318.0</v>
      </c>
      <c r="G2804" s="35">
        <v>3.36</v>
      </c>
      <c r="H2804" s="35">
        <v>94.6</v>
      </c>
      <c r="I2804" s="35" t="s">
        <v>75</v>
      </c>
    </row>
    <row r="2805" ht="22.5" customHeight="1">
      <c r="A2805" s="35" t="s">
        <v>5834</v>
      </c>
      <c r="B2805" s="35" t="s">
        <v>5835</v>
      </c>
      <c r="C2805" s="35" t="s">
        <v>7758</v>
      </c>
      <c r="D2805" s="35" t="s">
        <v>128</v>
      </c>
      <c r="E2805" s="35" t="s">
        <v>338</v>
      </c>
      <c r="F2805" s="35">
        <v>266.0</v>
      </c>
      <c r="G2805" s="35">
        <v>4.8</v>
      </c>
      <c r="H2805" s="35">
        <v>55.4</v>
      </c>
      <c r="I2805" s="35" t="s">
        <v>75</v>
      </c>
    </row>
    <row r="2806" ht="22.5" customHeight="1">
      <c r="A2806" s="35" t="s">
        <v>5836</v>
      </c>
      <c r="B2806" s="35" t="s">
        <v>5837</v>
      </c>
      <c r="C2806" s="35" t="s">
        <v>7758</v>
      </c>
      <c r="D2806" s="35" t="s">
        <v>161</v>
      </c>
      <c r="E2806" s="35" t="s">
        <v>438</v>
      </c>
      <c r="F2806" s="35">
        <v>675.0</v>
      </c>
      <c r="G2806" s="35">
        <v>5.45</v>
      </c>
      <c r="H2806" s="35">
        <v>123.9</v>
      </c>
      <c r="I2806" s="35" t="s">
        <v>62</v>
      </c>
    </row>
    <row r="2807" ht="22.5" customHeight="1">
      <c r="A2807" s="35" t="s">
        <v>5838</v>
      </c>
      <c r="B2807" s="35" t="s">
        <v>5839</v>
      </c>
      <c r="C2807" s="35" t="s">
        <v>7758</v>
      </c>
      <c r="D2807" s="35" t="s">
        <v>167</v>
      </c>
      <c r="E2807" s="35" t="s">
        <v>447</v>
      </c>
      <c r="F2807" s="35">
        <v>213.0</v>
      </c>
      <c r="G2807" s="35">
        <v>4.18</v>
      </c>
      <c r="H2807" s="35">
        <v>51.0</v>
      </c>
      <c r="I2807" s="35" t="s">
        <v>75</v>
      </c>
    </row>
    <row r="2808" ht="22.5" customHeight="1">
      <c r="A2808" s="35" t="s">
        <v>5840</v>
      </c>
      <c r="B2808" s="35" t="s">
        <v>5841</v>
      </c>
      <c r="C2808" s="35" t="s">
        <v>7758</v>
      </c>
      <c r="D2808" s="35" t="s">
        <v>118</v>
      </c>
      <c r="E2808" s="35" t="s">
        <v>300</v>
      </c>
      <c r="F2808" s="35">
        <v>464.0</v>
      </c>
      <c r="G2808" s="35">
        <v>4.88</v>
      </c>
      <c r="H2808" s="35">
        <v>95.1</v>
      </c>
      <c r="I2808" s="35" t="s">
        <v>75</v>
      </c>
    </row>
    <row r="2809" ht="22.5" customHeight="1">
      <c r="A2809" s="35" t="s">
        <v>5842</v>
      </c>
      <c r="B2809" s="35" t="s">
        <v>5843</v>
      </c>
      <c r="C2809" s="35" t="s">
        <v>7758</v>
      </c>
      <c r="D2809" s="35" t="s">
        <v>191</v>
      </c>
      <c r="E2809" s="35" t="s">
        <v>504</v>
      </c>
      <c r="F2809" s="35">
        <v>355.0</v>
      </c>
      <c r="G2809" s="35">
        <v>5.31</v>
      </c>
      <c r="H2809" s="35">
        <v>66.9</v>
      </c>
      <c r="I2809" s="35" t="s">
        <v>75</v>
      </c>
    </row>
    <row r="2810" ht="22.5" customHeight="1">
      <c r="A2810" s="35" t="s">
        <v>5844</v>
      </c>
      <c r="B2810" s="35" t="s">
        <v>5845</v>
      </c>
      <c r="C2810" s="35" t="s">
        <v>7758</v>
      </c>
      <c r="D2810" s="35" t="s">
        <v>219</v>
      </c>
      <c r="E2810" s="35" t="s">
        <v>377</v>
      </c>
      <c r="F2810" s="35">
        <v>394.0</v>
      </c>
      <c r="G2810" s="35">
        <v>3.61</v>
      </c>
      <c r="H2810" s="35">
        <v>109.1</v>
      </c>
      <c r="I2810" s="35" t="s">
        <v>75</v>
      </c>
    </row>
    <row r="2811" ht="22.5" customHeight="1">
      <c r="A2811" s="35" t="s">
        <v>5846</v>
      </c>
      <c r="B2811" s="35" t="s">
        <v>5847</v>
      </c>
      <c r="C2811" s="35" t="s">
        <v>7758</v>
      </c>
      <c r="D2811" s="35" t="s">
        <v>139</v>
      </c>
      <c r="E2811" s="35" t="s">
        <v>354</v>
      </c>
      <c r="F2811" s="35">
        <v>596.0</v>
      </c>
      <c r="G2811" s="35">
        <v>15.65</v>
      </c>
      <c r="H2811" s="35">
        <v>38.1</v>
      </c>
      <c r="I2811" s="35" t="s">
        <v>62</v>
      </c>
    </row>
    <row r="2812" ht="22.5" customHeight="1">
      <c r="A2812" s="35" t="s">
        <v>5848</v>
      </c>
      <c r="B2812" s="35" t="s">
        <v>5849</v>
      </c>
      <c r="C2812" s="35" t="s">
        <v>7758</v>
      </c>
      <c r="D2812" s="35" t="s">
        <v>163</v>
      </c>
      <c r="E2812" s="35" t="s">
        <v>441</v>
      </c>
      <c r="F2812" s="35">
        <v>2032.0</v>
      </c>
      <c r="G2812" s="35">
        <v>18.32</v>
      </c>
      <c r="H2812" s="35">
        <v>110.9</v>
      </c>
      <c r="I2812" s="35" t="s">
        <v>142</v>
      </c>
    </row>
    <row r="2813" ht="22.5" customHeight="1">
      <c r="A2813" s="35" t="s">
        <v>5850</v>
      </c>
      <c r="B2813" s="35" t="s">
        <v>5851</v>
      </c>
      <c r="C2813" s="35" t="s">
        <v>7758</v>
      </c>
      <c r="D2813" s="35" t="s">
        <v>118</v>
      </c>
      <c r="E2813" s="35" t="s">
        <v>300</v>
      </c>
      <c r="F2813" s="35">
        <v>2687.0</v>
      </c>
      <c r="G2813" s="35">
        <v>17.38</v>
      </c>
      <c r="H2813" s="35">
        <v>154.6</v>
      </c>
      <c r="I2813" s="35" t="s">
        <v>142</v>
      </c>
    </row>
    <row r="2814" ht="22.5" customHeight="1">
      <c r="A2814" s="35" t="s">
        <v>5852</v>
      </c>
      <c r="B2814" s="35" t="s">
        <v>5853</v>
      </c>
      <c r="C2814" s="35" t="s">
        <v>7758</v>
      </c>
      <c r="D2814" s="35" t="s">
        <v>204</v>
      </c>
      <c r="E2814" s="35" t="s">
        <v>527</v>
      </c>
      <c r="F2814" s="35">
        <v>33.0</v>
      </c>
      <c r="G2814" s="35">
        <v>3.43</v>
      </c>
      <c r="H2814" s="35">
        <v>9.6</v>
      </c>
      <c r="I2814" s="35" t="s">
        <v>75</v>
      </c>
    </row>
    <row r="2815" ht="22.5" customHeight="1">
      <c r="A2815" s="35" t="s">
        <v>5854</v>
      </c>
      <c r="B2815" s="35" t="s">
        <v>5855</v>
      </c>
      <c r="C2815" s="35" t="s">
        <v>7758</v>
      </c>
      <c r="D2815" s="35" t="s">
        <v>219</v>
      </c>
      <c r="E2815" s="35" t="s">
        <v>377</v>
      </c>
      <c r="F2815" s="35">
        <v>253.0</v>
      </c>
      <c r="G2815" s="35">
        <v>4.77</v>
      </c>
      <c r="H2815" s="35">
        <v>53.0</v>
      </c>
      <c r="I2815" s="35" t="s">
        <v>75</v>
      </c>
    </row>
    <row r="2816" ht="22.5" customHeight="1">
      <c r="A2816" s="35" t="s">
        <v>5856</v>
      </c>
      <c r="B2816" s="35" t="s">
        <v>5857</v>
      </c>
      <c r="C2816" s="35" t="s">
        <v>7758</v>
      </c>
      <c r="D2816" s="35" t="s">
        <v>187</v>
      </c>
      <c r="E2816" s="35" t="s">
        <v>488</v>
      </c>
      <c r="F2816" s="35">
        <v>185.0</v>
      </c>
      <c r="G2816" s="35">
        <v>7.13</v>
      </c>
      <c r="H2816" s="35">
        <v>25.9</v>
      </c>
      <c r="I2816" s="35" t="s">
        <v>75</v>
      </c>
    </row>
    <row r="2817" ht="22.5" customHeight="1">
      <c r="A2817" s="35" t="s">
        <v>5858</v>
      </c>
      <c r="B2817" s="35" t="s">
        <v>5859</v>
      </c>
      <c r="C2817" s="35" t="s">
        <v>7758</v>
      </c>
      <c r="D2817" s="35" t="s">
        <v>163</v>
      </c>
      <c r="E2817" s="35" t="s">
        <v>441</v>
      </c>
      <c r="F2817" s="35">
        <v>2987.0</v>
      </c>
      <c r="G2817" s="35">
        <v>8.39</v>
      </c>
      <c r="H2817" s="35">
        <v>356.0</v>
      </c>
      <c r="I2817" s="35" t="s">
        <v>142</v>
      </c>
    </row>
    <row r="2818" ht="22.5" customHeight="1">
      <c r="A2818" s="35" t="s">
        <v>5860</v>
      </c>
      <c r="B2818" s="35" t="s">
        <v>5861</v>
      </c>
      <c r="C2818" s="35" t="s">
        <v>7758</v>
      </c>
      <c r="D2818" s="35" t="s">
        <v>234</v>
      </c>
      <c r="E2818" s="35" t="s">
        <v>552</v>
      </c>
      <c r="F2818" s="35">
        <v>1123.0</v>
      </c>
      <c r="G2818" s="35">
        <v>12.01</v>
      </c>
      <c r="H2818" s="35">
        <v>93.5</v>
      </c>
      <c r="I2818" s="35" t="s">
        <v>62</v>
      </c>
    </row>
    <row r="2819" ht="22.5" customHeight="1">
      <c r="A2819" s="35" t="s">
        <v>5862</v>
      </c>
      <c r="B2819" s="35" t="s">
        <v>5863</v>
      </c>
      <c r="C2819" s="35" t="s">
        <v>7758</v>
      </c>
      <c r="D2819" s="35" t="s">
        <v>118</v>
      </c>
      <c r="E2819" s="35" t="s">
        <v>300</v>
      </c>
      <c r="F2819" s="35">
        <v>1328.0</v>
      </c>
      <c r="G2819" s="35">
        <v>10.46</v>
      </c>
      <c r="H2819" s="35">
        <v>127.0</v>
      </c>
      <c r="I2819" s="35" t="s">
        <v>62</v>
      </c>
    </row>
    <row r="2820" ht="22.5" customHeight="1">
      <c r="A2820" s="35" t="s">
        <v>5864</v>
      </c>
      <c r="B2820" s="35" t="s">
        <v>5865</v>
      </c>
      <c r="C2820" s="35" t="s">
        <v>7758</v>
      </c>
      <c r="D2820" s="35" t="s">
        <v>234</v>
      </c>
      <c r="E2820" s="35" t="s">
        <v>552</v>
      </c>
      <c r="F2820" s="35">
        <v>794.0</v>
      </c>
      <c r="G2820" s="35">
        <v>5.94</v>
      </c>
      <c r="H2820" s="35">
        <v>133.7</v>
      </c>
      <c r="I2820" s="35" t="s">
        <v>62</v>
      </c>
    </row>
    <row r="2821" ht="22.5" customHeight="1">
      <c r="A2821" s="35" t="s">
        <v>5866</v>
      </c>
      <c r="B2821" s="35" t="s">
        <v>1491</v>
      </c>
      <c r="C2821" s="35" t="s">
        <v>7758</v>
      </c>
      <c r="D2821" s="35" t="s">
        <v>204</v>
      </c>
      <c r="E2821" s="35" t="s">
        <v>527</v>
      </c>
      <c r="F2821" s="35">
        <v>265.0</v>
      </c>
      <c r="G2821" s="35">
        <v>3.72</v>
      </c>
      <c r="H2821" s="35">
        <v>71.2</v>
      </c>
      <c r="I2821" s="35" t="s">
        <v>75</v>
      </c>
    </row>
    <row r="2822" ht="22.5" customHeight="1">
      <c r="A2822" s="35" t="s">
        <v>5867</v>
      </c>
      <c r="B2822" s="35" t="s">
        <v>5868</v>
      </c>
      <c r="C2822" s="35" t="s">
        <v>7758</v>
      </c>
      <c r="D2822" s="35" t="s">
        <v>223</v>
      </c>
      <c r="E2822" s="35" t="s">
        <v>380</v>
      </c>
      <c r="F2822" s="35">
        <v>558.0</v>
      </c>
      <c r="G2822" s="35">
        <v>4.37</v>
      </c>
      <c r="H2822" s="35">
        <v>127.7</v>
      </c>
      <c r="I2822" s="35" t="s">
        <v>62</v>
      </c>
    </row>
    <row r="2823" ht="22.5" customHeight="1">
      <c r="A2823" s="35" t="s">
        <v>5869</v>
      </c>
      <c r="B2823" s="35" t="s">
        <v>5870</v>
      </c>
      <c r="C2823" s="35" t="s">
        <v>7758</v>
      </c>
      <c r="D2823" s="35" t="s">
        <v>206</v>
      </c>
      <c r="E2823" s="35" t="s">
        <v>533</v>
      </c>
      <c r="F2823" s="35">
        <v>516.0</v>
      </c>
      <c r="G2823" s="35">
        <v>9.43</v>
      </c>
      <c r="H2823" s="35">
        <v>54.7</v>
      </c>
      <c r="I2823" s="35" t="s">
        <v>62</v>
      </c>
    </row>
    <row r="2824" ht="22.5" customHeight="1">
      <c r="A2824" s="35" t="s">
        <v>5871</v>
      </c>
      <c r="B2824" s="35" t="s">
        <v>5872</v>
      </c>
      <c r="C2824" s="35" t="s">
        <v>7758</v>
      </c>
      <c r="D2824" s="35" t="s">
        <v>234</v>
      </c>
      <c r="E2824" s="35" t="s">
        <v>552</v>
      </c>
      <c r="F2824" s="35">
        <v>1381.0</v>
      </c>
      <c r="G2824" s="35">
        <v>4.91</v>
      </c>
      <c r="H2824" s="35">
        <v>281.3</v>
      </c>
      <c r="I2824" s="35" t="s">
        <v>62</v>
      </c>
    </row>
    <row r="2825" ht="22.5" customHeight="1">
      <c r="A2825" s="35" t="s">
        <v>5873</v>
      </c>
      <c r="B2825" s="35" t="s">
        <v>5874</v>
      </c>
      <c r="C2825" s="35" t="s">
        <v>7758</v>
      </c>
      <c r="D2825" s="35" t="s">
        <v>167</v>
      </c>
      <c r="E2825" s="35" t="s">
        <v>447</v>
      </c>
      <c r="F2825" s="35">
        <v>293.0</v>
      </c>
      <c r="G2825" s="35">
        <v>11.6</v>
      </c>
      <c r="H2825" s="35">
        <v>25.3</v>
      </c>
      <c r="I2825" s="35" t="s">
        <v>75</v>
      </c>
    </row>
    <row r="2826" ht="22.5" customHeight="1">
      <c r="A2826" s="35" t="s">
        <v>5875</v>
      </c>
      <c r="B2826" s="35" t="s">
        <v>5876</v>
      </c>
      <c r="C2826" s="35" t="s">
        <v>7758</v>
      </c>
      <c r="D2826" s="35" t="s">
        <v>118</v>
      </c>
      <c r="E2826" s="35" t="s">
        <v>300</v>
      </c>
      <c r="F2826" s="35">
        <v>53.0</v>
      </c>
      <c r="G2826" s="35">
        <v>1.14</v>
      </c>
      <c r="H2826" s="35">
        <v>46.5</v>
      </c>
      <c r="I2826" s="35" t="s">
        <v>75</v>
      </c>
    </row>
    <row r="2827" ht="22.5" customHeight="1">
      <c r="A2827" s="35" t="s">
        <v>5877</v>
      </c>
      <c r="B2827" s="35" t="s">
        <v>5878</v>
      </c>
      <c r="C2827" s="35" t="s">
        <v>7758</v>
      </c>
      <c r="D2827" s="35" t="s">
        <v>139</v>
      </c>
      <c r="E2827" s="35" t="s">
        <v>354</v>
      </c>
      <c r="F2827" s="35">
        <v>1970.0</v>
      </c>
      <c r="G2827" s="35">
        <v>10.87</v>
      </c>
      <c r="H2827" s="35">
        <v>181.2</v>
      </c>
      <c r="I2827" s="35" t="s">
        <v>62</v>
      </c>
    </row>
    <row r="2828" ht="22.5" customHeight="1">
      <c r="A2828" s="35" t="s">
        <v>5879</v>
      </c>
      <c r="B2828" s="35" t="s">
        <v>5880</v>
      </c>
      <c r="C2828" s="35" t="s">
        <v>7758</v>
      </c>
      <c r="D2828" s="35" t="s">
        <v>206</v>
      </c>
      <c r="E2828" s="35" t="s">
        <v>533</v>
      </c>
      <c r="F2828" s="35">
        <v>83.0</v>
      </c>
      <c r="G2828" s="35">
        <v>3.8</v>
      </c>
      <c r="H2828" s="35">
        <v>21.8</v>
      </c>
      <c r="I2828" s="35" t="s">
        <v>75</v>
      </c>
    </row>
    <row r="2829" ht="22.5" customHeight="1">
      <c r="A2829" s="35" t="s">
        <v>5881</v>
      </c>
      <c r="B2829" s="35" t="s">
        <v>5882</v>
      </c>
      <c r="C2829" s="35" t="s">
        <v>7758</v>
      </c>
      <c r="D2829" s="35" t="s">
        <v>167</v>
      </c>
      <c r="E2829" s="35" t="s">
        <v>447</v>
      </c>
      <c r="F2829" s="35">
        <v>251.0</v>
      </c>
      <c r="G2829" s="35">
        <v>5.18</v>
      </c>
      <c r="H2829" s="35">
        <v>48.5</v>
      </c>
      <c r="I2829" s="35" t="s">
        <v>75</v>
      </c>
    </row>
    <row r="2830" ht="22.5" customHeight="1">
      <c r="A2830" s="35" t="s">
        <v>5883</v>
      </c>
      <c r="B2830" s="35" t="s">
        <v>1509</v>
      </c>
      <c r="C2830" s="35" t="s">
        <v>7758</v>
      </c>
      <c r="D2830" s="35" t="s">
        <v>116</v>
      </c>
      <c r="E2830" s="35" t="s">
        <v>285</v>
      </c>
      <c r="F2830" s="35">
        <v>8552.0</v>
      </c>
      <c r="G2830" s="35">
        <v>6.5</v>
      </c>
      <c r="H2830" s="35">
        <v>1315.7</v>
      </c>
      <c r="I2830" s="35" t="s">
        <v>142</v>
      </c>
    </row>
    <row r="2831" ht="22.5" customHeight="1">
      <c r="A2831" s="35" t="s">
        <v>5884</v>
      </c>
      <c r="B2831" s="35" t="s">
        <v>5885</v>
      </c>
      <c r="C2831" s="35" t="s">
        <v>7758</v>
      </c>
      <c r="D2831" s="35" t="s">
        <v>187</v>
      </c>
      <c r="E2831" s="35" t="s">
        <v>488</v>
      </c>
      <c r="F2831" s="35">
        <v>121.0</v>
      </c>
      <c r="G2831" s="35">
        <v>7.45</v>
      </c>
      <c r="H2831" s="35">
        <v>16.2</v>
      </c>
      <c r="I2831" s="35" t="s">
        <v>75</v>
      </c>
    </row>
    <row r="2832" ht="22.5" customHeight="1">
      <c r="A2832" s="35" t="s">
        <v>5886</v>
      </c>
      <c r="B2832" s="35" t="s">
        <v>5887</v>
      </c>
      <c r="C2832" s="35" t="s">
        <v>7758</v>
      </c>
      <c r="D2832" s="35" t="s">
        <v>187</v>
      </c>
      <c r="E2832" s="35" t="s">
        <v>488</v>
      </c>
      <c r="F2832" s="35">
        <v>214.0</v>
      </c>
      <c r="G2832" s="35">
        <v>3.89</v>
      </c>
      <c r="H2832" s="35">
        <v>55.0</v>
      </c>
      <c r="I2832" s="35" t="s">
        <v>75</v>
      </c>
    </row>
    <row r="2833" ht="22.5" customHeight="1">
      <c r="A2833" s="35" t="s">
        <v>5888</v>
      </c>
      <c r="B2833" s="35" t="s">
        <v>5889</v>
      </c>
      <c r="C2833" s="35" t="s">
        <v>7758</v>
      </c>
      <c r="D2833" s="35" t="s">
        <v>118</v>
      </c>
      <c r="E2833" s="35" t="s">
        <v>300</v>
      </c>
      <c r="F2833" s="35">
        <v>1478.0</v>
      </c>
      <c r="G2833" s="35">
        <v>4.88</v>
      </c>
      <c r="H2833" s="35">
        <v>302.9</v>
      </c>
      <c r="I2833" s="35" t="s">
        <v>62</v>
      </c>
    </row>
    <row r="2834" ht="22.5" customHeight="1">
      <c r="A2834" s="35" t="s">
        <v>5890</v>
      </c>
      <c r="B2834" s="35" t="s">
        <v>5891</v>
      </c>
      <c r="C2834" s="35" t="s">
        <v>7758</v>
      </c>
      <c r="D2834" s="35" t="s">
        <v>219</v>
      </c>
      <c r="E2834" s="35" t="s">
        <v>377</v>
      </c>
      <c r="F2834" s="35">
        <v>691.0</v>
      </c>
      <c r="G2834" s="35">
        <v>5.51</v>
      </c>
      <c r="H2834" s="35">
        <v>125.4</v>
      </c>
      <c r="I2834" s="35" t="s">
        <v>62</v>
      </c>
    </row>
    <row r="2835" ht="22.5" customHeight="1">
      <c r="A2835" s="35" t="s">
        <v>5892</v>
      </c>
      <c r="B2835" s="35" t="s">
        <v>5893</v>
      </c>
      <c r="C2835" s="35" t="s">
        <v>7758</v>
      </c>
      <c r="D2835" s="35" t="s">
        <v>187</v>
      </c>
      <c r="E2835" s="35" t="s">
        <v>488</v>
      </c>
      <c r="F2835" s="35">
        <v>237.0</v>
      </c>
      <c r="G2835" s="35">
        <v>7.05</v>
      </c>
      <c r="H2835" s="35">
        <v>33.6</v>
      </c>
      <c r="I2835" s="35" t="s">
        <v>75</v>
      </c>
    </row>
    <row r="2836" ht="22.5" customHeight="1">
      <c r="A2836" s="35" t="s">
        <v>5894</v>
      </c>
      <c r="B2836" s="35" t="s">
        <v>5895</v>
      </c>
      <c r="C2836" s="35" t="s">
        <v>7758</v>
      </c>
      <c r="D2836" s="35" t="s">
        <v>161</v>
      </c>
      <c r="E2836" s="35" t="s">
        <v>438</v>
      </c>
      <c r="F2836" s="35">
        <v>1614.0</v>
      </c>
      <c r="G2836" s="35">
        <v>13.9</v>
      </c>
      <c r="H2836" s="35">
        <v>116.1</v>
      </c>
      <c r="I2836" s="35" t="s">
        <v>62</v>
      </c>
    </row>
    <row r="2837" ht="22.5" customHeight="1">
      <c r="A2837" s="35" t="s">
        <v>5896</v>
      </c>
      <c r="B2837" s="35" t="s">
        <v>5897</v>
      </c>
      <c r="C2837" s="35" t="s">
        <v>7758</v>
      </c>
      <c r="D2837" s="35" t="s">
        <v>204</v>
      </c>
      <c r="E2837" s="35" t="s">
        <v>527</v>
      </c>
      <c r="F2837" s="35">
        <v>285.0</v>
      </c>
      <c r="G2837" s="35">
        <v>6.45</v>
      </c>
      <c r="H2837" s="35">
        <v>44.2</v>
      </c>
      <c r="I2837" s="35" t="s">
        <v>75</v>
      </c>
    </row>
    <row r="2838" ht="22.5" customHeight="1">
      <c r="A2838" s="35" t="s">
        <v>5898</v>
      </c>
      <c r="B2838" s="35" t="s">
        <v>5899</v>
      </c>
      <c r="C2838" s="35" t="s">
        <v>7758</v>
      </c>
      <c r="D2838" s="35" t="s">
        <v>206</v>
      </c>
      <c r="E2838" s="35" t="s">
        <v>533</v>
      </c>
      <c r="F2838" s="35">
        <v>323.0</v>
      </c>
      <c r="G2838" s="35">
        <v>5.95</v>
      </c>
      <c r="H2838" s="35">
        <v>54.3</v>
      </c>
      <c r="I2838" s="35" t="s">
        <v>75</v>
      </c>
    </row>
    <row r="2839" ht="22.5" customHeight="1">
      <c r="A2839" s="35" t="s">
        <v>5900</v>
      </c>
      <c r="B2839" s="35" t="s">
        <v>5901</v>
      </c>
      <c r="C2839" s="35" t="s">
        <v>7758</v>
      </c>
      <c r="D2839" s="35" t="s">
        <v>204</v>
      </c>
      <c r="E2839" s="35" t="s">
        <v>527</v>
      </c>
      <c r="F2839" s="35">
        <v>285.0</v>
      </c>
      <c r="G2839" s="35">
        <v>9.31</v>
      </c>
      <c r="H2839" s="35">
        <v>30.6</v>
      </c>
      <c r="I2839" s="35" t="s">
        <v>75</v>
      </c>
    </row>
    <row r="2840" ht="22.5" customHeight="1">
      <c r="A2840" s="35" t="s">
        <v>5902</v>
      </c>
      <c r="B2840" s="35" t="s">
        <v>5903</v>
      </c>
      <c r="C2840" s="35" t="s">
        <v>7758</v>
      </c>
      <c r="D2840" s="35" t="s">
        <v>219</v>
      </c>
      <c r="E2840" s="35" t="s">
        <v>377</v>
      </c>
      <c r="F2840" s="35">
        <v>665.0</v>
      </c>
      <c r="G2840" s="35">
        <v>7.53</v>
      </c>
      <c r="H2840" s="35">
        <v>88.3</v>
      </c>
      <c r="I2840" s="35" t="s">
        <v>62</v>
      </c>
    </row>
    <row r="2841" ht="22.5" customHeight="1">
      <c r="A2841" s="35" t="s">
        <v>5904</v>
      </c>
      <c r="B2841" s="35" t="s">
        <v>5905</v>
      </c>
      <c r="C2841" s="35" t="s">
        <v>7758</v>
      </c>
      <c r="D2841" s="35" t="s">
        <v>118</v>
      </c>
      <c r="E2841" s="35" t="s">
        <v>300</v>
      </c>
      <c r="F2841" s="35">
        <v>2493.0</v>
      </c>
      <c r="G2841" s="35">
        <v>6.09</v>
      </c>
      <c r="H2841" s="35">
        <v>409.4</v>
      </c>
      <c r="I2841" s="35" t="s">
        <v>142</v>
      </c>
    </row>
    <row r="2842" ht="22.5" customHeight="1">
      <c r="A2842" s="35" t="s">
        <v>5906</v>
      </c>
      <c r="B2842" s="35" t="s">
        <v>5907</v>
      </c>
      <c r="C2842" s="35" t="s">
        <v>7758</v>
      </c>
      <c r="D2842" s="35" t="s">
        <v>214</v>
      </c>
      <c r="E2842" s="35" t="s">
        <v>366</v>
      </c>
      <c r="F2842" s="35">
        <v>3981.0</v>
      </c>
      <c r="G2842" s="35">
        <v>9.81</v>
      </c>
      <c r="H2842" s="35">
        <v>405.8</v>
      </c>
      <c r="I2842" s="35" t="s">
        <v>142</v>
      </c>
    </row>
    <row r="2843" ht="22.5" customHeight="1">
      <c r="A2843" s="35" t="s">
        <v>5908</v>
      </c>
      <c r="B2843" s="35" t="s">
        <v>5909</v>
      </c>
      <c r="C2843" s="35" t="s">
        <v>7758</v>
      </c>
      <c r="D2843" s="35" t="s">
        <v>127</v>
      </c>
      <c r="E2843" s="35" t="s">
        <v>323</v>
      </c>
      <c r="F2843" s="35">
        <v>5948.0</v>
      </c>
      <c r="G2843" s="35">
        <v>5.72</v>
      </c>
      <c r="H2843" s="35">
        <v>1039.9</v>
      </c>
      <c r="I2843" s="35" t="s">
        <v>142</v>
      </c>
    </row>
    <row r="2844" ht="22.5" customHeight="1">
      <c r="A2844" s="35" t="s">
        <v>5910</v>
      </c>
      <c r="B2844" s="35" t="s">
        <v>5911</v>
      </c>
      <c r="C2844" s="35" t="s">
        <v>7758</v>
      </c>
      <c r="D2844" s="35" t="s">
        <v>187</v>
      </c>
      <c r="E2844" s="35" t="s">
        <v>488</v>
      </c>
      <c r="F2844" s="35">
        <v>150.0</v>
      </c>
      <c r="G2844" s="35">
        <v>6.75</v>
      </c>
      <c r="H2844" s="35">
        <v>22.2</v>
      </c>
      <c r="I2844" s="35" t="s">
        <v>75</v>
      </c>
    </row>
    <row r="2845" ht="22.5" customHeight="1">
      <c r="A2845" s="35" t="s">
        <v>5912</v>
      </c>
      <c r="B2845" s="35" t="s">
        <v>5913</v>
      </c>
      <c r="C2845" s="35" t="s">
        <v>7758</v>
      </c>
      <c r="D2845" s="35" t="s">
        <v>219</v>
      </c>
      <c r="E2845" s="35" t="s">
        <v>377</v>
      </c>
      <c r="F2845" s="35">
        <v>310.0</v>
      </c>
      <c r="G2845" s="35">
        <v>6.25</v>
      </c>
      <c r="H2845" s="35">
        <v>49.6</v>
      </c>
      <c r="I2845" s="35" t="s">
        <v>75</v>
      </c>
    </row>
    <row r="2846" ht="22.5" customHeight="1">
      <c r="A2846" s="35" t="s">
        <v>5914</v>
      </c>
      <c r="B2846" s="35" t="s">
        <v>5915</v>
      </c>
      <c r="C2846" s="35" t="s">
        <v>7758</v>
      </c>
      <c r="D2846" s="35" t="s">
        <v>206</v>
      </c>
      <c r="E2846" s="35" t="s">
        <v>533</v>
      </c>
      <c r="F2846" s="35">
        <v>294.0</v>
      </c>
      <c r="G2846" s="35">
        <v>4.26</v>
      </c>
      <c r="H2846" s="35">
        <v>69.0</v>
      </c>
      <c r="I2846" s="35" t="s">
        <v>75</v>
      </c>
    </row>
    <row r="2847" ht="22.5" customHeight="1">
      <c r="A2847" s="35" t="s">
        <v>5916</v>
      </c>
      <c r="B2847" s="35" t="s">
        <v>5917</v>
      </c>
      <c r="C2847" s="35" t="s">
        <v>7758</v>
      </c>
      <c r="D2847" s="35" t="s">
        <v>169</v>
      </c>
      <c r="E2847" s="35" t="s">
        <v>449</v>
      </c>
      <c r="F2847" s="35">
        <v>122.0</v>
      </c>
      <c r="G2847" s="35">
        <v>5.47</v>
      </c>
      <c r="H2847" s="35">
        <v>22.3</v>
      </c>
      <c r="I2847" s="35" t="s">
        <v>75</v>
      </c>
    </row>
    <row r="2848" ht="22.5" customHeight="1">
      <c r="A2848" s="35" t="s">
        <v>5918</v>
      </c>
      <c r="B2848" s="35" t="s">
        <v>1531</v>
      </c>
      <c r="C2848" s="35" t="s">
        <v>7758</v>
      </c>
      <c r="D2848" s="35" t="s">
        <v>128</v>
      </c>
      <c r="E2848" s="35" t="s">
        <v>338</v>
      </c>
      <c r="F2848" s="35">
        <v>289.0</v>
      </c>
      <c r="G2848" s="35">
        <v>4.44</v>
      </c>
      <c r="H2848" s="35">
        <v>65.1</v>
      </c>
      <c r="I2848" s="35" t="s">
        <v>75</v>
      </c>
    </row>
    <row r="2849" ht="22.5" customHeight="1">
      <c r="A2849" s="35" t="s">
        <v>5919</v>
      </c>
      <c r="B2849" s="35" t="s">
        <v>5920</v>
      </c>
      <c r="C2849" s="35" t="s">
        <v>7758</v>
      </c>
      <c r="D2849" s="35" t="s">
        <v>234</v>
      </c>
      <c r="E2849" s="35" t="s">
        <v>552</v>
      </c>
      <c r="F2849" s="35">
        <v>3471.0</v>
      </c>
      <c r="G2849" s="35">
        <v>4.39</v>
      </c>
      <c r="H2849" s="35">
        <v>790.7</v>
      </c>
      <c r="I2849" s="35" t="s">
        <v>142</v>
      </c>
    </row>
    <row r="2850" ht="22.5" customHeight="1">
      <c r="A2850" s="35" t="s">
        <v>5921</v>
      </c>
      <c r="B2850" s="35" t="s">
        <v>5922</v>
      </c>
      <c r="C2850" s="35" t="s">
        <v>7758</v>
      </c>
      <c r="D2850" s="35" t="s">
        <v>167</v>
      </c>
      <c r="E2850" s="35" t="s">
        <v>447</v>
      </c>
      <c r="F2850" s="35">
        <v>173.0</v>
      </c>
      <c r="G2850" s="35">
        <v>4.03</v>
      </c>
      <c r="H2850" s="35">
        <v>42.9</v>
      </c>
      <c r="I2850" s="35" t="s">
        <v>75</v>
      </c>
    </row>
    <row r="2851" ht="22.5" customHeight="1">
      <c r="A2851" s="35" t="s">
        <v>5923</v>
      </c>
      <c r="B2851" s="35" t="s">
        <v>5924</v>
      </c>
      <c r="C2851" s="35" t="s">
        <v>7758</v>
      </c>
      <c r="D2851" s="35" t="s">
        <v>132</v>
      </c>
      <c r="E2851" s="35" t="s">
        <v>346</v>
      </c>
      <c r="F2851" s="35">
        <v>5029.0</v>
      </c>
      <c r="G2851" s="35">
        <v>13.77</v>
      </c>
      <c r="H2851" s="35">
        <v>365.2</v>
      </c>
      <c r="I2851" s="35" t="s">
        <v>142</v>
      </c>
    </row>
    <row r="2852" ht="22.5" customHeight="1">
      <c r="A2852" s="35" t="s">
        <v>5925</v>
      </c>
      <c r="B2852" s="35" t="s">
        <v>5926</v>
      </c>
      <c r="C2852" s="35" t="s">
        <v>7758</v>
      </c>
      <c r="D2852" s="35" t="s">
        <v>118</v>
      </c>
      <c r="E2852" s="35" t="s">
        <v>300</v>
      </c>
      <c r="F2852" s="35">
        <v>618.0</v>
      </c>
      <c r="G2852" s="35">
        <v>4.06</v>
      </c>
      <c r="H2852" s="35">
        <v>152.2</v>
      </c>
      <c r="I2852" s="35" t="s">
        <v>62</v>
      </c>
    </row>
    <row r="2853" ht="22.5" customHeight="1">
      <c r="A2853" s="35" t="s">
        <v>5927</v>
      </c>
      <c r="B2853" s="35" t="s">
        <v>5928</v>
      </c>
      <c r="C2853" s="35" t="s">
        <v>7758</v>
      </c>
      <c r="D2853" s="35" t="s">
        <v>161</v>
      </c>
      <c r="E2853" s="35" t="s">
        <v>438</v>
      </c>
      <c r="F2853" s="35">
        <v>2349.0</v>
      </c>
      <c r="G2853" s="35">
        <v>17.86</v>
      </c>
      <c r="H2853" s="35">
        <v>131.5</v>
      </c>
      <c r="I2853" s="35" t="s">
        <v>142</v>
      </c>
    </row>
    <row r="2854" ht="22.5" customHeight="1">
      <c r="A2854" s="35" t="s">
        <v>5929</v>
      </c>
      <c r="B2854" s="35" t="s">
        <v>5930</v>
      </c>
      <c r="C2854" s="35" t="s">
        <v>7758</v>
      </c>
      <c r="D2854" s="35" t="s">
        <v>167</v>
      </c>
      <c r="E2854" s="35" t="s">
        <v>447</v>
      </c>
      <c r="F2854" s="35">
        <v>318.0</v>
      </c>
      <c r="G2854" s="35">
        <v>9.77</v>
      </c>
      <c r="H2854" s="35">
        <v>32.5</v>
      </c>
      <c r="I2854" s="35" t="s">
        <v>75</v>
      </c>
    </row>
    <row r="2855" ht="22.5" customHeight="1">
      <c r="A2855" s="35" t="s">
        <v>5931</v>
      </c>
      <c r="B2855" s="35" t="s">
        <v>5932</v>
      </c>
      <c r="C2855" s="35" t="s">
        <v>7758</v>
      </c>
      <c r="D2855" s="35" t="s">
        <v>118</v>
      </c>
      <c r="E2855" s="35" t="s">
        <v>300</v>
      </c>
      <c r="F2855" s="35">
        <v>830.0</v>
      </c>
      <c r="G2855" s="35">
        <v>7.32</v>
      </c>
      <c r="H2855" s="35">
        <v>113.4</v>
      </c>
      <c r="I2855" s="35" t="s">
        <v>62</v>
      </c>
    </row>
    <row r="2856" ht="22.5" customHeight="1">
      <c r="A2856" s="35" t="s">
        <v>5933</v>
      </c>
      <c r="B2856" s="35" t="s">
        <v>5934</v>
      </c>
      <c r="C2856" s="35" t="s">
        <v>7758</v>
      </c>
      <c r="D2856" s="35" t="s">
        <v>163</v>
      </c>
      <c r="E2856" s="35" t="s">
        <v>441</v>
      </c>
      <c r="F2856" s="35">
        <v>821.0</v>
      </c>
      <c r="G2856" s="35">
        <v>6.65</v>
      </c>
      <c r="H2856" s="35">
        <v>123.5</v>
      </c>
      <c r="I2856" s="35" t="s">
        <v>62</v>
      </c>
    </row>
    <row r="2857" ht="22.5" customHeight="1">
      <c r="A2857" s="35" t="s">
        <v>5935</v>
      </c>
      <c r="B2857" s="35" t="s">
        <v>5936</v>
      </c>
      <c r="C2857" s="35" t="s">
        <v>7758</v>
      </c>
      <c r="D2857" s="35" t="s">
        <v>128</v>
      </c>
      <c r="E2857" s="35" t="s">
        <v>338</v>
      </c>
      <c r="F2857" s="35">
        <v>1041.0</v>
      </c>
      <c r="G2857" s="35">
        <v>20.94</v>
      </c>
      <c r="H2857" s="35">
        <v>49.7</v>
      </c>
      <c r="I2857" s="35" t="s">
        <v>62</v>
      </c>
    </row>
    <row r="2858" ht="22.5" customHeight="1">
      <c r="A2858" s="35" t="s">
        <v>5937</v>
      </c>
      <c r="B2858" s="35" t="s">
        <v>5938</v>
      </c>
      <c r="C2858" s="35" t="s">
        <v>7758</v>
      </c>
      <c r="D2858" s="35" t="s">
        <v>234</v>
      </c>
      <c r="E2858" s="35" t="s">
        <v>552</v>
      </c>
      <c r="F2858" s="35">
        <v>6459.0</v>
      </c>
      <c r="G2858" s="35">
        <v>9.84</v>
      </c>
      <c r="H2858" s="35">
        <v>656.4</v>
      </c>
      <c r="I2858" s="35" t="s">
        <v>142</v>
      </c>
    </row>
    <row r="2859" ht="22.5" customHeight="1">
      <c r="A2859" s="35" t="s">
        <v>5939</v>
      </c>
      <c r="B2859" s="35" t="s">
        <v>5940</v>
      </c>
      <c r="C2859" s="35" t="s">
        <v>7758</v>
      </c>
      <c r="D2859" s="35" t="s">
        <v>204</v>
      </c>
      <c r="E2859" s="35" t="s">
        <v>527</v>
      </c>
      <c r="F2859" s="35">
        <v>520.0</v>
      </c>
      <c r="G2859" s="35">
        <v>7.53</v>
      </c>
      <c r="H2859" s="35">
        <v>69.1</v>
      </c>
      <c r="I2859" s="35" t="s">
        <v>62</v>
      </c>
    </row>
    <row r="2860" ht="22.5" customHeight="1">
      <c r="A2860" s="35" t="s">
        <v>5941</v>
      </c>
      <c r="B2860" s="35" t="s">
        <v>5942</v>
      </c>
      <c r="C2860" s="35" t="s">
        <v>7758</v>
      </c>
      <c r="D2860" s="35" t="s">
        <v>132</v>
      </c>
      <c r="E2860" s="35" t="s">
        <v>346</v>
      </c>
      <c r="F2860" s="35">
        <v>3353.0</v>
      </c>
      <c r="G2860" s="35">
        <v>3.53</v>
      </c>
      <c r="H2860" s="35">
        <v>949.9</v>
      </c>
      <c r="I2860" s="35" t="s">
        <v>142</v>
      </c>
    </row>
    <row r="2861" ht="22.5" customHeight="1">
      <c r="A2861" s="35" t="s">
        <v>5943</v>
      </c>
      <c r="B2861" s="35" t="s">
        <v>5944</v>
      </c>
      <c r="C2861" s="35" t="s">
        <v>7758</v>
      </c>
      <c r="D2861" s="35" t="s">
        <v>161</v>
      </c>
      <c r="E2861" s="35" t="s">
        <v>438</v>
      </c>
      <c r="F2861" s="35">
        <v>1708.0</v>
      </c>
      <c r="G2861" s="35">
        <v>18.5</v>
      </c>
      <c r="H2861" s="35">
        <v>92.3</v>
      </c>
      <c r="I2861" s="35" t="s">
        <v>62</v>
      </c>
    </row>
    <row r="2862" ht="22.5" customHeight="1">
      <c r="A2862" s="35" t="s">
        <v>5945</v>
      </c>
      <c r="B2862" s="35" t="s">
        <v>5946</v>
      </c>
      <c r="C2862" s="35" t="s">
        <v>7758</v>
      </c>
      <c r="D2862" s="35" t="s">
        <v>139</v>
      </c>
      <c r="E2862" s="35" t="s">
        <v>354</v>
      </c>
      <c r="F2862" s="35">
        <v>5843.0</v>
      </c>
      <c r="G2862" s="35">
        <v>10.39</v>
      </c>
      <c r="H2862" s="35">
        <v>562.4</v>
      </c>
      <c r="I2862" s="35" t="s">
        <v>142</v>
      </c>
    </row>
    <row r="2863" ht="22.5" customHeight="1">
      <c r="A2863" s="35" t="s">
        <v>5947</v>
      </c>
      <c r="B2863" s="35" t="s">
        <v>5948</v>
      </c>
      <c r="C2863" s="35" t="s">
        <v>7758</v>
      </c>
      <c r="D2863" s="35" t="s">
        <v>132</v>
      </c>
      <c r="E2863" s="35" t="s">
        <v>346</v>
      </c>
      <c r="F2863" s="35">
        <v>10888.0</v>
      </c>
      <c r="G2863" s="35">
        <v>12.92</v>
      </c>
      <c r="H2863" s="35">
        <v>842.7</v>
      </c>
      <c r="I2863" s="35" t="s">
        <v>571</v>
      </c>
    </row>
    <row r="2864" ht="22.5" customHeight="1">
      <c r="A2864" s="35" t="s">
        <v>5949</v>
      </c>
      <c r="B2864" s="35" t="s">
        <v>5950</v>
      </c>
      <c r="C2864" s="35" t="s">
        <v>7758</v>
      </c>
      <c r="D2864" s="35" t="s">
        <v>150</v>
      </c>
      <c r="E2864" s="35" t="s">
        <v>411</v>
      </c>
      <c r="F2864" s="35">
        <v>443.0</v>
      </c>
      <c r="G2864" s="35">
        <v>6.28</v>
      </c>
      <c r="H2864" s="35">
        <v>70.5</v>
      </c>
      <c r="I2864" s="35" t="s">
        <v>75</v>
      </c>
    </row>
    <row r="2865" ht="22.5" customHeight="1">
      <c r="A2865" s="35" t="s">
        <v>5951</v>
      </c>
      <c r="B2865" s="35" t="s">
        <v>5952</v>
      </c>
      <c r="C2865" s="35" t="s">
        <v>7758</v>
      </c>
      <c r="D2865" s="35" t="s">
        <v>139</v>
      </c>
      <c r="E2865" s="35" t="s">
        <v>354</v>
      </c>
      <c r="F2865" s="35">
        <v>264.0</v>
      </c>
      <c r="G2865" s="35">
        <v>6.72</v>
      </c>
      <c r="H2865" s="35">
        <v>39.3</v>
      </c>
      <c r="I2865" s="35" t="s">
        <v>75</v>
      </c>
    </row>
    <row r="2866" ht="22.5" customHeight="1">
      <c r="A2866" s="35" t="s">
        <v>5953</v>
      </c>
      <c r="B2866" s="35" t="s">
        <v>5954</v>
      </c>
      <c r="C2866" s="35" t="s">
        <v>7758</v>
      </c>
      <c r="D2866" s="35" t="s">
        <v>234</v>
      </c>
      <c r="E2866" s="35" t="s">
        <v>552</v>
      </c>
      <c r="F2866" s="35">
        <v>216.0</v>
      </c>
      <c r="G2866" s="35">
        <v>3.44</v>
      </c>
      <c r="H2866" s="35">
        <v>62.8</v>
      </c>
      <c r="I2866" s="35" t="s">
        <v>75</v>
      </c>
    </row>
    <row r="2867" ht="22.5" customHeight="1">
      <c r="A2867" s="35" t="s">
        <v>5955</v>
      </c>
      <c r="B2867" s="35" t="s">
        <v>5956</v>
      </c>
      <c r="C2867" s="35" t="s">
        <v>7758</v>
      </c>
      <c r="D2867" s="35" t="s">
        <v>187</v>
      </c>
      <c r="E2867" s="35" t="s">
        <v>488</v>
      </c>
      <c r="F2867" s="35">
        <v>131.0</v>
      </c>
      <c r="G2867" s="35">
        <v>5.68</v>
      </c>
      <c r="H2867" s="35">
        <v>23.1</v>
      </c>
      <c r="I2867" s="35" t="s">
        <v>75</v>
      </c>
    </row>
    <row r="2868" ht="22.5" customHeight="1">
      <c r="A2868" s="35" t="s">
        <v>5957</v>
      </c>
      <c r="B2868" s="35" t="s">
        <v>5958</v>
      </c>
      <c r="C2868" s="35" t="s">
        <v>7758</v>
      </c>
      <c r="D2868" s="35" t="s">
        <v>206</v>
      </c>
      <c r="E2868" s="35" t="s">
        <v>533</v>
      </c>
      <c r="F2868" s="35">
        <v>826.0</v>
      </c>
      <c r="G2868" s="35">
        <v>5.96</v>
      </c>
      <c r="H2868" s="35">
        <v>138.6</v>
      </c>
      <c r="I2868" s="35" t="s">
        <v>62</v>
      </c>
    </row>
    <row r="2869" ht="22.5" customHeight="1">
      <c r="A2869" s="35" t="s">
        <v>5959</v>
      </c>
      <c r="B2869" s="35" t="s">
        <v>5960</v>
      </c>
      <c r="C2869" s="35" t="s">
        <v>7758</v>
      </c>
      <c r="D2869" s="35" t="s">
        <v>234</v>
      </c>
      <c r="E2869" s="35" t="s">
        <v>552</v>
      </c>
      <c r="F2869" s="35">
        <v>4494.0</v>
      </c>
      <c r="G2869" s="35">
        <v>3.19</v>
      </c>
      <c r="H2869" s="35">
        <v>1408.8</v>
      </c>
      <c r="I2869" s="35" t="s">
        <v>142</v>
      </c>
    </row>
    <row r="2870" ht="22.5" customHeight="1">
      <c r="A2870" s="35" t="s">
        <v>5961</v>
      </c>
      <c r="B2870" s="35" t="s">
        <v>5962</v>
      </c>
      <c r="C2870" s="35" t="s">
        <v>7758</v>
      </c>
      <c r="D2870" s="35" t="s">
        <v>139</v>
      </c>
      <c r="E2870" s="35" t="s">
        <v>354</v>
      </c>
      <c r="F2870" s="35">
        <v>14382.0</v>
      </c>
      <c r="G2870" s="35">
        <v>16.49</v>
      </c>
      <c r="H2870" s="35">
        <v>872.2</v>
      </c>
      <c r="I2870" s="35" t="s">
        <v>571</v>
      </c>
    </row>
    <row r="2871" ht="22.5" customHeight="1">
      <c r="A2871" s="35" t="s">
        <v>5963</v>
      </c>
      <c r="B2871" s="35" t="s">
        <v>5964</v>
      </c>
      <c r="C2871" s="35" t="s">
        <v>7758</v>
      </c>
      <c r="D2871" s="35" t="s">
        <v>161</v>
      </c>
      <c r="E2871" s="35" t="s">
        <v>438</v>
      </c>
      <c r="F2871" s="35">
        <v>1073.0</v>
      </c>
      <c r="G2871" s="35">
        <v>10.72</v>
      </c>
      <c r="H2871" s="35">
        <v>100.1</v>
      </c>
      <c r="I2871" s="35" t="s">
        <v>62</v>
      </c>
    </row>
    <row r="2872" ht="22.5" customHeight="1">
      <c r="A2872" s="35" t="s">
        <v>5965</v>
      </c>
      <c r="B2872" s="35" t="s">
        <v>5966</v>
      </c>
      <c r="C2872" s="35" t="s">
        <v>7758</v>
      </c>
      <c r="D2872" s="35" t="s">
        <v>206</v>
      </c>
      <c r="E2872" s="35" t="s">
        <v>533</v>
      </c>
      <c r="F2872" s="35">
        <v>4677.0</v>
      </c>
      <c r="G2872" s="35">
        <v>8.22</v>
      </c>
      <c r="H2872" s="35">
        <v>569.0</v>
      </c>
      <c r="I2872" s="35" t="s">
        <v>142</v>
      </c>
    </row>
    <row r="2873" ht="22.5" customHeight="1">
      <c r="A2873" s="35" t="s">
        <v>5967</v>
      </c>
      <c r="B2873" s="35" t="s">
        <v>5968</v>
      </c>
      <c r="C2873" s="35" t="s">
        <v>7758</v>
      </c>
      <c r="D2873" s="35" t="s">
        <v>167</v>
      </c>
      <c r="E2873" s="35" t="s">
        <v>447</v>
      </c>
      <c r="F2873" s="35">
        <v>105.0</v>
      </c>
      <c r="G2873" s="35">
        <v>4.1</v>
      </c>
      <c r="H2873" s="35">
        <v>25.6</v>
      </c>
      <c r="I2873" s="35" t="s">
        <v>75</v>
      </c>
    </row>
    <row r="2874" ht="22.5" customHeight="1">
      <c r="A2874" s="35" t="s">
        <v>5969</v>
      </c>
      <c r="B2874" s="35" t="s">
        <v>5970</v>
      </c>
      <c r="C2874" s="35" t="s">
        <v>7758</v>
      </c>
      <c r="D2874" s="35" t="s">
        <v>141</v>
      </c>
      <c r="E2874" s="35" t="s">
        <v>220</v>
      </c>
      <c r="F2874" s="35">
        <v>773.0</v>
      </c>
      <c r="G2874" s="35">
        <v>7.4</v>
      </c>
      <c r="H2874" s="35">
        <v>104.5</v>
      </c>
      <c r="I2874" s="35" t="s">
        <v>62</v>
      </c>
    </row>
    <row r="2875" ht="22.5" customHeight="1">
      <c r="A2875" s="35" t="s">
        <v>5971</v>
      </c>
      <c r="B2875" s="35" t="s">
        <v>5972</v>
      </c>
      <c r="C2875" s="35" t="s">
        <v>7758</v>
      </c>
      <c r="D2875" s="35" t="s">
        <v>118</v>
      </c>
      <c r="E2875" s="35" t="s">
        <v>300</v>
      </c>
      <c r="F2875" s="35">
        <v>2999.0</v>
      </c>
      <c r="G2875" s="35">
        <v>14.3</v>
      </c>
      <c r="H2875" s="35">
        <v>209.7</v>
      </c>
      <c r="I2875" s="35" t="s">
        <v>142</v>
      </c>
    </row>
    <row r="2876" ht="22.5" customHeight="1">
      <c r="A2876" s="35" t="s">
        <v>5973</v>
      </c>
      <c r="B2876" s="35" t="s">
        <v>5974</v>
      </c>
      <c r="C2876" s="35" t="s">
        <v>7758</v>
      </c>
      <c r="D2876" s="35" t="s">
        <v>127</v>
      </c>
      <c r="E2876" s="35" t="s">
        <v>323</v>
      </c>
      <c r="F2876" s="35">
        <v>9414.0</v>
      </c>
      <c r="G2876" s="35">
        <v>3.83</v>
      </c>
      <c r="H2876" s="35">
        <v>2458.0</v>
      </c>
      <c r="I2876" s="35" t="s">
        <v>142</v>
      </c>
    </row>
    <row r="2877" ht="22.5" customHeight="1">
      <c r="A2877" s="35" t="s">
        <v>5975</v>
      </c>
      <c r="B2877" s="35" t="s">
        <v>5976</v>
      </c>
      <c r="C2877" s="35" t="s">
        <v>7758</v>
      </c>
      <c r="D2877" s="35" t="s">
        <v>139</v>
      </c>
      <c r="E2877" s="35" t="s">
        <v>354</v>
      </c>
      <c r="F2877" s="35">
        <v>521.0</v>
      </c>
      <c r="G2877" s="35">
        <v>3.93</v>
      </c>
      <c r="H2877" s="35">
        <v>132.6</v>
      </c>
      <c r="I2877" s="35" t="s">
        <v>62</v>
      </c>
    </row>
    <row r="2878" ht="22.5" customHeight="1">
      <c r="A2878" s="35" t="s">
        <v>5977</v>
      </c>
      <c r="B2878" s="35" t="s">
        <v>5978</v>
      </c>
      <c r="C2878" s="35" t="s">
        <v>7758</v>
      </c>
      <c r="D2878" s="35" t="s">
        <v>150</v>
      </c>
      <c r="E2878" s="35" t="s">
        <v>411</v>
      </c>
      <c r="F2878" s="35">
        <v>4704.0</v>
      </c>
      <c r="G2878" s="35">
        <v>16.84</v>
      </c>
      <c r="H2878" s="35">
        <v>279.3</v>
      </c>
      <c r="I2878" s="35" t="s">
        <v>142</v>
      </c>
    </row>
    <row r="2879" ht="22.5" customHeight="1">
      <c r="A2879" s="35" t="s">
        <v>5979</v>
      </c>
      <c r="B2879" s="35" t="s">
        <v>5980</v>
      </c>
      <c r="C2879" s="35" t="s">
        <v>7758</v>
      </c>
      <c r="D2879" s="35" t="s">
        <v>141</v>
      </c>
      <c r="E2879" s="35" t="s">
        <v>220</v>
      </c>
      <c r="F2879" s="35">
        <v>4668.0</v>
      </c>
      <c r="G2879" s="35">
        <v>14.45</v>
      </c>
      <c r="H2879" s="35">
        <v>323.0</v>
      </c>
      <c r="I2879" s="35" t="s">
        <v>142</v>
      </c>
    </row>
    <row r="2880" ht="22.5" customHeight="1">
      <c r="A2880" s="35" t="s">
        <v>5981</v>
      </c>
      <c r="B2880" s="35" t="s">
        <v>5982</v>
      </c>
      <c r="C2880" s="35" t="s">
        <v>7758</v>
      </c>
      <c r="D2880" s="35" t="s">
        <v>223</v>
      </c>
      <c r="E2880" s="35" t="s">
        <v>380</v>
      </c>
      <c r="F2880" s="35">
        <v>315.0</v>
      </c>
      <c r="G2880" s="35">
        <v>6.22</v>
      </c>
      <c r="H2880" s="35">
        <v>50.6</v>
      </c>
      <c r="I2880" s="35" t="s">
        <v>75</v>
      </c>
    </row>
    <row r="2881" ht="22.5" customHeight="1">
      <c r="A2881" s="35" t="s">
        <v>5983</v>
      </c>
      <c r="B2881" s="35" t="s">
        <v>5984</v>
      </c>
      <c r="C2881" s="35" t="s">
        <v>7758</v>
      </c>
      <c r="D2881" s="35" t="s">
        <v>204</v>
      </c>
      <c r="E2881" s="35" t="s">
        <v>527</v>
      </c>
      <c r="F2881" s="35">
        <v>198.0</v>
      </c>
      <c r="G2881" s="35">
        <v>3.37</v>
      </c>
      <c r="H2881" s="35">
        <v>58.8</v>
      </c>
      <c r="I2881" s="35" t="s">
        <v>75</v>
      </c>
    </row>
    <row r="2882" ht="22.5" customHeight="1">
      <c r="A2882" s="35" t="s">
        <v>5985</v>
      </c>
      <c r="B2882" s="35" t="s">
        <v>5986</v>
      </c>
      <c r="C2882" s="35" t="s">
        <v>7758</v>
      </c>
      <c r="D2882" s="35" t="s">
        <v>204</v>
      </c>
      <c r="E2882" s="35" t="s">
        <v>527</v>
      </c>
      <c r="F2882" s="35">
        <v>153.0</v>
      </c>
      <c r="G2882" s="35">
        <v>5.08</v>
      </c>
      <c r="H2882" s="35">
        <v>30.1</v>
      </c>
      <c r="I2882" s="35" t="s">
        <v>75</v>
      </c>
    </row>
    <row r="2883" ht="22.5" customHeight="1">
      <c r="A2883" s="35" t="s">
        <v>5987</v>
      </c>
      <c r="B2883" s="35" t="s">
        <v>5988</v>
      </c>
      <c r="C2883" s="35" t="s">
        <v>7758</v>
      </c>
      <c r="D2883" s="35" t="s">
        <v>169</v>
      </c>
      <c r="E2883" s="35" t="s">
        <v>449</v>
      </c>
      <c r="F2883" s="35">
        <v>83.0</v>
      </c>
      <c r="G2883" s="35">
        <v>2.49</v>
      </c>
      <c r="H2883" s="35">
        <v>33.3</v>
      </c>
      <c r="I2883" s="35" t="s">
        <v>75</v>
      </c>
    </row>
    <row r="2884" ht="22.5" customHeight="1">
      <c r="A2884" s="35" t="s">
        <v>5989</v>
      </c>
      <c r="B2884" s="35" t="s">
        <v>5990</v>
      </c>
      <c r="C2884" s="35" t="s">
        <v>7758</v>
      </c>
      <c r="D2884" s="35" t="s">
        <v>169</v>
      </c>
      <c r="E2884" s="35" t="s">
        <v>449</v>
      </c>
      <c r="F2884" s="35">
        <v>182.0</v>
      </c>
      <c r="G2884" s="35">
        <v>6.51</v>
      </c>
      <c r="H2884" s="35">
        <v>28.0</v>
      </c>
      <c r="I2884" s="35" t="s">
        <v>75</v>
      </c>
    </row>
    <row r="2885" ht="22.5" customHeight="1">
      <c r="A2885" s="35" t="s">
        <v>5991</v>
      </c>
      <c r="B2885" s="35" t="s">
        <v>5992</v>
      </c>
      <c r="C2885" s="35" t="s">
        <v>7758</v>
      </c>
      <c r="D2885" s="35" t="s">
        <v>219</v>
      </c>
      <c r="E2885" s="35" t="s">
        <v>377</v>
      </c>
      <c r="F2885" s="35">
        <v>390.0</v>
      </c>
      <c r="G2885" s="35">
        <v>4.09</v>
      </c>
      <c r="H2885" s="35">
        <v>95.4</v>
      </c>
      <c r="I2885" s="35" t="s">
        <v>75</v>
      </c>
    </row>
    <row r="2886" ht="22.5" customHeight="1">
      <c r="A2886" s="35" t="s">
        <v>5993</v>
      </c>
      <c r="B2886" s="35" t="s">
        <v>5994</v>
      </c>
      <c r="C2886" s="35" t="s">
        <v>7758</v>
      </c>
      <c r="D2886" s="35" t="s">
        <v>219</v>
      </c>
      <c r="E2886" s="35" t="s">
        <v>377</v>
      </c>
      <c r="F2886" s="35">
        <v>438.0</v>
      </c>
      <c r="G2886" s="35">
        <v>9.04</v>
      </c>
      <c r="H2886" s="35">
        <v>48.5</v>
      </c>
      <c r="I2886" s="35" t="s">
        <v>75</v>
      </c>
    </row>
    <row r="2887" ht="22.5" customHeight="1">
      <c r="A2887" s="35" t="s">
        <v>5995</v>
      </c>
      <c r="B2887" s="35" t="s">
        <v>5996</v>
      </c>
      <c r="C2887" s="35" t="s">
        <v>7758</v>
      </c>
      <c r="D2887" s="35" t="s">
        <v>219</v>
      </c>
      <c r="E2887" s="35" t="s">
        <v>377</v>
      </c>
      <c r="F2887" s="35">
        <v>409.0</v>
      </c>
      <c r="G2887" s="35">
        <v>5.59</v>
      </c>
      <c r="H2887" s="35">
        <v>73.2</v>
      </c>
      <c r="I2887" s="35" t="s">
        <v>75</v>
      </c>
    </row>
    <row r="2888" ht="22.5" customHeight="1">
      <c r="A2888" s="35" t="s">
        <v>5997</v>
      </c>
      <c r="B2888" s="35" t="s">
        <v>5998</v>
      </c>
      <c r="C2888" s="35" t="s">
        <v>7758</v>
      </c>
      <c r="D2888" s="35" t="s">
        <v>167</v>
      </c>
      <c r="E2888" s="35" t="s">
        <v>447</v>
      </c>
      <c r="F2888" s="35">
        <v>325.0</v>
      </c>
      <c r="G2888" s="35">
        <v>5.36</v>
      </c>
      <c r="H2888" s="35">
        <v>60.6</v>
      </c>
      <c r="I2888" s="35" t="s">
        <v>75</v>
      </c>
    </row>
    <row r="2889" ht="22.5" customHeight="1">
      <c r="A2889" s="35" t="s">
        <v>5999</v>
      </c>
      <c r="B2889" s="35" t="s">
        <v>6000</v>
      </c>
      <c r="C2889" s="35" t="s">
        <v>7758</v>
      </c>
      <c r="D2889" s="35" t="s">
        <v>169</v>
      </c>
      <c r="E2889" s="35" t="s">
        <v>449</v>
      </c>
      <c r="F2889" s="35">
        <v>750.0</v>
      </c>
      <c r="G2889" s="35">
        <v>12.88</v>
      </c>
      <c r="H2889" s="35">
        <v>58.2</v>
      </c>
      <c r="I2889" s="35" t="s">
        <v>62</v>
      </c>
    </row>
    <row r="2890" ht="22.5" customHeight="1">
      <c r="A2890" s="35" t="s">
        <v>6001</v>
      </c>
      <c r="B2890" s="35" t="s">
        <v>6002</v>
      </c>
      <c r="C2890" s="35" t="s">
        <v>7758</v>
      </c>
      <c r="D2890" s="35" t="s">
        <v>169</v>
      </c>
      <c r="E2890" s="35" t="s">
        <v>449</v>
      </c>
      <c r="F2890" s="35">
        <v>929.0</v>
      </c>
      <c r="G2890" s="35">
        <v>7.57</v>
      </c>
      <c r="H2890" s="35">
        <v>122.7</v>
      </c>
      <c r="I2890" s="35" t="s">
        <v>62</v>
      </c>
    </row>
    <row r="2891" ht="22.5" customHeight="1">
      <c r="A2891" s="35" t="s">
        <v>6003</v>
      </c>
      <c r="B2891" s="35" t="s">
        <v>6004</v>
      </c>
      <c r="C2891" s="35" t="s">
        <v>7758</v>
      </c>
      <c r="D2891" s="35" t="s">
        <v>150</v>
      </c>
      <c r="E2891" s="35" t="s">
        <v>411</v>
      </c>
      <c r="F2891" s="35">
        <v>299.0</v>
      </c>
      <c r="G2891" s="35">
        <v>6.35</v>
      </c>
      <c r="H2891" s="35">
        <v>47.1</v>
      </c>
      <c r="I2891" s="35" t="s">
        <v>75</v>
      </c>
    </row>
    <row r="2892" ht="22.5" customHeight="1">
      <c r="A2892" s="35" t="s">
        <v>6005</v>
      </c>
      <c r="B2892" s="35" t="s">
        <v>6006</v>
      </c>
      <c r="C2892" s="35" t="s">
        <v>7758</v>
      </c>
      <c r="D2892" s="35" t="s">
        <v>167</v>
      </c>
      <c r="E2892" s="35" t="s">
        <v>447</v>
      </c>
      <c r="F2892" s="35">
        <v>324.0</v>
      </c>
      <c r="G2892" s="35">
        <v>8.07</v>
      </c>
      <c r="H2892" s="35">
        <v>40.1</v>
      </c>
      <c r="I2892" s="35" t="s">
        <v>75</v>
      </c>
    </row>
    <row r="2893" ht="22.5" customHeight="1">
      <c r="A2893" s="35" t="s">
        <v>6007</v>
      </c>
      <c r="B2893" s="35" t="s">
        <v>6008</v>
      </c>
      <c r="C2893" s="35" t="s">
        <v>7758</v>
      </c>
      <c r="D2893" s="35" t="s">
        <v>191</v>
      </c>
      <c r="E2893" s="35" t="s">
        <v>504</v>
      </c>
      <c r="F2893" s="35">
        <v>685.0</v>
      </c>
      <c r="G2893" s="35">
        <v>15.26</v>
      </c>
      <c r="H2893" s="35">
        <v>44.9</v>
      </c>
      <c r="I2893" s="35" t="s">
        <v>62</v>
      </c>
    </row>
    <row r="2894" ht="22.5" customHeight="1">
      <c r="A2894" s="35" t="s">
        <v>6009</v>
      </c>
      <c r="B2894" s="35" t="s">
        <v>6010</v>
      </c>
      <c r="C2894" s="35" t="s">
        <v>7758</v>
      </c>
      <c r="D2894" s="35" t="s">
        <v>150</v>
      </c>
      <c r="E2894" s="35" t="s">
        <v>411</v>
      </c>
      <c r="F2894" s="35">
        <v>251.0</v>
      </c>
      <c r="G2894" s="35">
        <v>2.06</v>
      </c>
      <c r="H2894" s="35">
        <v>121.8</v>
      </c>
      <c r="I2894" s="35" t="s">
        <v>75</v>
      </c>
    </row>
    <row r="2895" ht="22.5" customHeight="1">
      <c r="A2895" s="35" t="s">
        <v>6011</v>
      </c>
      <c r="B2895" s="35" t="s">
        <v>4309</v>
      </c>
      <c r="C2895" s="35" t="s">
        <v>7758</v>
      </c>
      <c r="D2895" s="35" t="s">
        <v>187</v>
      </c>
      <c r="E2895" s="35" t="s">
        <v>488</v>
      </c>
      <c r="F2895" s="35">
        <v>159.0</v>
      </c>
      <c r="G2895" s="35">
        <v>4.9</v>
      </c>
      <c r="H2895" s="35">
        <v>32.4</v>
      </c>
      <c r="I2895" s="35" t="s">
        <v>75</v>
      </c>
    </row>
    <row r="2896" ht="22.5" customHeight="1">
      <c r="A2896" s="35" t="s">
        <v>6012</v>
      </c>
      <c r="B2896" s="35" t="s">
        <v>6013</v>
      </c>
      <c r="C2896" s="35" t="s">
        <v>7758</v>
      </c>
      <c r="D2896" s="35" t="s">
        <v>206</v>
      </c>
      <c r="E2896" s="35" t="s">
        <v>533</v>
      </c>
      <c r="F2896" s="35">
        <v>49.0</v>
      </c>
      <c r="G2896" s="35">
        <v>2.45</v>
      </c>
      <c r="H2896" s="35">
        <v>20.0</v>
      </c>
      <c r="I2896" s="35" t="s">
        <v>75</v>
      </c>
    </row>
    <row r="2897" ht="22.5" customHeight="1">
      <c r="A2897" s="35" t="s">
        <v>6014</v>
      </c>
      <c r="B2897" s="35" t="s">
        <v>6015</v>
      </c>
      <c r="C2897" s="35" t="s">
        <v>7758</v>
      </c>
      <c r="D2897" s="35" t="s">
        <v>139</v>
      </c>
      <c r="E2897" s="35" t="s">
        <v>354</v>
      </c>
      <c r="F2897" s="35">
        <v>1210.0</v>
      </c>
      <c r="G2897" s="35">
        <v>10.4</v>
      </c>
      <c r="H2897" s="35">
        <v>116.3</v>
      </c>
      <c r="I2897" s="35" t="s">
        <v>62</v>
      </c>
    </row>
    <row r="2898" ht="22.5" customHeight="1">
      <c r="A2898" s="35" t="s">
        <v>6016</v>
      </c>
      <c r="B2898" s="35" t="s">
        <v>6017</v>
      </c>
      <c r="C2898" s="35" t="s">
        <v>7758</v>
      </c>
      <c r="D2898" s="35" t="s">
        <v>127</v>
      </c>
      <c r="E2898" s="35" t="s">
        <v>323</v>
      </c>
      <c r="F2898" s="35">
        <v>1147.0</v>
      </c>
      <c r="G2898" s="35">
        <v>6.3</v>
      </c>
      <c r="H2898" s="35">
        <v>182.1</v>
      </c>
      <c r="I2898" s="35" t="s">
        <v>62</v>
      </c>
    </row>
    <row r="2899" ht="22.5" customHeight="1">
      <c r="A2899" s="35" t="s">
        <v>6018</v>
      </c>
      <c r="B2899" s="35" t="s">
        <v>6019</v>
      </c>
      <c r="C2899" s="35" t="s">
        <v>7758</v>
      </c>
      <c r="D2899" s="35" t="s">
        <v>191</v>
      </c>
      <c r="E2899" s="35" t="s">
        <v>504</v>
      </c>
      <c r="F2899" s="35">
        <v>594.0</v>
      </c>
      <c r="G2899" s="35">
        <v>3.89</v>
      </c>
      <c r="H2899" s="35">
        <v>152.7</v>
      </c>
      <c r="I2899" s="35" t="s">
        <v>62</v>
      </c>
    </row>
    <row r="2900" ht="22.5" customHeight="1">
      <c r="A2900" s="35" t="s">
        <v>6020</v>
      </c>
      <c r="B2900" s="35" t="s">
        <v>6021</v>
      </c>
      <c r="C2900" s="35" t="s">
        <v>7758</v>
      </c>
      <c r="D2900" s="35" t="s">
        <v>206</v>
      </c>
      <c r="E2900" s="35" t="s">
        <v>533</v>
      </c>
      <c r="F2900" s="35">
        <v>118.0</v>
      </c>
      <c r="G2900" s="35">
        <v>7.38</v>
      </c>
      <c r="H2900" s="35">
        <v>16.0</v>
      </c>
      <c r="I2900" s="35" t="s">
        <v>75</v>
      </c>
    </row>
    <row r="2901" ht="22.5" customHeight="1">
      <c r="A2901" s="35" t="s">
        <v>6022</v>
      </c>
      <c r="B2901" s="35" t="s">
        <v>6023</v>
      </c>
      <c r="C2901" s="35" t="s">
        <v>7758</v>
      </c>
      <c r="D2901" s="35" t="s">
        <v>169</v>
      </c>
      <c r="E2901" s="35" t="s">
        <v>449</v>
      </c>
      <c r="F2901" s="35">
        <v>569.0</v>
      </c>
      <c r="G2901" s="35">
        <v>5.14</v>
      </c>
      <c r="H2901" s="35">
        <v>110.7</v>
      </c>
      <c r="I2901" s="35" t="s">
        <v>62</v>
      </c>
    </row>
    <row r="2902" ht="22.5" customHeight="1">
      <c r="A2902" s="35" t="s">
        <v>6024</v>
      </c>
      <c r="B2902" s="35" t="s">
        <v>6025</v>
      </c>
      <c r="C2902" s="35" t="s">
        <v>7758</v>
      </c>
      <c r="D2902" s="35" t="s">
        <v>206</v>
      </c>
      <c r="E2902" s="35" t="s">
        <v>533</v>
      </c>
      <c r="F2902" s="35">
        <v>286.0</v>
      </c>
      <c r="G2902" s="35">
        <v>3.14</v>
      </c>
      <c r="H2902" s="35">
        <v>91.1</v>
      </c>
      <c r="I2902" s="35" t="s">
        <v>75</v>
      </c>
    </row>
    <row r="2903" ht="22.5" customHeight="1">
      <c r="A2903" s="35" t="s">
        <v>6026</v>
      </c>
      <c r="B2903" s="35" t="s">
        <v>6027</v>
      </c>
      <c r="C2903" s="35" t="s">
        <v>7758</v>
      </c>
      <c r="D2903" s="35" t="s">
        <v>169</v>
      </c>
      <c r="E2903" s="35" t="s">
        <v>449</v>
      </c>
      <c r="F2903" s="35">
        <v>205.0</v>
      </c>
      <c r="G2903" s="35">
        <v>6.62</v>
      </c>
      <c r="H2903" s="35">
        <v>31.0</v>
      </c>
      <c r="I2903" s="35" t="s">
        <v>75</v>
      </c>
    </row>
    <row r="2904" ht="22.5" customHeight="1">
      <c r="A2904" s="35" t="s">
        <v>6028</v>
      </c>
      <c r="B2904" s="35" t="s">
        <v>6029</v>
      </c>
      <c r="C2904" s="35" t="s">
        <v>7758</v>
      </c>
      <c r="D2904" s="35" t="s">
        <v>128</v>
      </c>
      <c r="E2904" s="35" t="s">
        <v>338</v>
      </c>
      <c r="F2904" s="35">
        <v>942.0</v>
      </c>
      <c r="G2904" s="35">
        <v>6.81</v>
      </c>
      <c r="H2904" s="35">
        <v>138.3</v>
      </c>
      <c r="I2904" s="35" t="s">
        <v>62</v>
      </c>
    </row>
    <row r="2905" ht="22.5" customHeight="1">
      <c r="A2905" s="35" t="s">
        <v>6030</v>
      </c>
      <c r="B2905" s="35" t="s">
        <v>6031</v>
      </c>
      <c r="C2905" s="35" t="s">
        <v>7758</v>
      </c>
      <c r="D2905" s="35" t="s">
        <v>204</v>
      </c>
      <c r="E2905" s="35" t="s">
        <v>527</v>
      </c>
      <c r="F2905" s="35">
        <v>375.0</v>
      </c>
      <c r="G2905" s="35">
        <v>7.26</v>
      </c>
      <c r="H2905" s="35">
        <v>51.7</v>
      </c>
      <c r="I2905" s="35" t="s">
        <v>75</v>
      </c>
    </row>
    <row r="2906" ht="22.5" customHeight="1">
      <c r="A2906" s="35" t="s">
        <v>6032</v>
      </c>
      <c r="B2906" s="35" t="s">
        <v>6033</v>
      </c>
      <c r="C2906" s="35" t="s">
        <v>7758</v>
      </c>
      <c r="D2906" s="35" t="s">
        <v>127</v>
      </c>
      <c r="E2906" s="35" t="s">
        <v>323</v>
      </c>
      <c r="F2906" s="35">
        <v>2663.0</v>
      </c>
      <c r="G2906" s="35">
        <v>6.66</v>
      </c>
      <c r="H2906" s="35">
        <v>399.8</v>
      </c>
      <c r="I2906" s="35" t="s">
        <v>142</v>
      </c>
    </row>
    <row r="2907" ht="22.5" customHeight="1">
      <c r="A2907" s="35" t="s">
        <v>6034</v>
      </c>
      <c r="B2907" s="35" t="s">
        <v>6035</v>
      </c>
      <c r="C2907" s="35" t="s">
        <v>7758</v>
      </c>
      <c r="D2907" s="35" t="s">
        <v>169</v>
      </c>
      <c r="E2907" s="35" t="s">
        <v>449</v>
      </c>
      <c r="F2907" s="35">
        <v>197.0</v>
      </c>
      <c r="G2907" s="35">
        <v>5.09</v>
      </c>
      <c r="H2907" s="35">
        <v>38.7</v>
      </c>
      <c r="I2907" s="35" t="s">
        <v>75</v>
      </c>
    </row>
    <row r="2908" ht="22.5" customHeight="1">
      <c r="A2908" s="35" t="s">
        <v>6036</v>
      </c>
      <c r="B2908" s="35" t="s">
        <v>6037</v>
      </c>
      <c r="C2908" s="35" t="s">
        <v>7758</v>
      </c>
      <c r="D2908" s="35" t="s">
        <v>191</v>
      </c>
      <c r="E2908" s="35" t="s">
        <v>504</v>
      </c>
      <c r="F2908" s="35">
        <v>624.0</v>
      </c>
      <c r="G2908" s="35">
        <v>6.91</v>
      </c>
      <c r="H2908" s="35">
        <v>90.3</v>
      </c>
      <c r="I2908" s="35" t="s">
        <v>62</v>
      </c>
    </row>
    <row r="2909" ht="22.5" customHeight="1">
      <c r="A2909" s="35" t="s">
        <v>6038</v>
      </c>
      <c r="B2909" s="35" t="s">
        <v>6039</v>
      </c>
      <c r="C2909" s="35" t="s">
        <v>7758</v>
      </c>
      <c r="D2909" s="35" t="s">
        <v>169</v>
      </c>
      <c r="E2909" s="35" t="s">
        <v>449</v>
      </c>
      <c r="F2909" s="35">
        <v>359.0</v>
      </c>
      <c r="G2909" s="35">
        <v>7.39</v>
      </c>
      <c r="H2909" s="35">
        <v>48.6</v>
      </c>
      <c r="I2909" s="35" t="s">
        <v>75</v>
      </c>
    </row>
    <row r="2910" ht="22.5" customHeight="1">
      <c r="A2910" s="35" t="s">
        <v>6040</v>
      </c>
      <c r="B2910" s="35" t="s">
        <v>6041</v>
      </c>
      <c r="C2910" s="35" t="s">
        <v>7758</v>
      </c>
      <c r="D2910" s="35" t="s">
        <v>206</v>
      </c>
      <c r="E2910" s="35" t="s">
        <v>533</v>
      </c>
      <c r="F2910" s="35">
        <v>265.0</v>
      </c>
      <c r="G2910" s="35">
        <v>4.89</v>
      </c>
      <c r="H2910" s="35">
        <v>54.2</v>
      </c>
      <c r="I2910" s="35" t="s">
        <v>75</v>
      </c>
    </row>
    <row r="2911" ht="22.5" customHeight="1">
      <c r="A2911" s="35" t="s">
        <v>6042</v>
      </c>
      <c r="B2911" s="35" t="s">
        <v>6043</v>
      </c>
      <c r="C2911" s="35" t="s">
        <v>7758</v>
      </c>
      <c r="D2911" s="35" t="s">
        <v>163</v>
      </c>
      <c r="E2911" s="35" t="s">
        <v>441</v>
      </c>
      <c r="F2911" s="35">
        <v>150.0</v>
      </c>
      <c r="G2911" s="35">
        <v>8.61</v>
      </c>
      <c r="H2911" s="35">
        <v>17.4</v>
      </c>
      <c r="I2911" s="35" t="s">
        <v>75</v>
      </c>
    </row>
    <row r="2912" ht="22.5" customHeight="1">
      <c r="A2912" s="35" t="s">
        <v>6044</v>
      </c>
      <c r="B2912" s="35" t="s">
        <v>6045</v>
      </c>
      <c r="C2912" s="35" t="s">
        <v>7758</v>
      </c>
      <c r="D2912" s="35" t="s">
        <v>206</v>
      </c>
      <c r="E2912" s="35" t="s">
        <v>533</v>
      </c>
      <c r="F2912" s="35">
        <v>259.0</v>
      </c>
      <c r="G2912" s="35">
        <v>6.92</v>
      </c>
      <c r="H2912" s="35">
        <v>37.4</v>
      </c>
      <c r="I2912" s="35" t="s">
        <v>75</v>
      </c>
    </row>
    <row r="2913" ht="22.5" customHeight="1">
      <c r="A2913" s="35" t="s">
        <v>6046</v>
      </c>
      <c r="B2913" s="35" t="s">
        <v>6047</v>
      </c>
      <c r="C2913" s="35" t="s">
        <v>7758</v>
      </c>
      <c r="D2913" s="35" t="s">
        <v>206</v>
      </c>
      <c r="E2913" s="35" t="s">
        <v>533</v>
      </c>
      <c r="F2913" s="35">
        <v>125.0</v>
      </c>
      <c r="G2913" s="35">
        <v>2.49</v>
      </c>
      <c r="H2913" s="35">
        <v>50.2</v>
      </c>
      <c r="I2913" s="35" t="s">
        <v>75</v>
      </c>
    </row>
    <row r="2914" ht="22.5" customHeight="1">
      <c r="A2914" s="35" t="s">
        <v>6048</v>
      </c>
      <c r="B2914" s="35" t="s">
        <v>6049</v>
      </c>
      <c r="C2914" s="35" t="s">
        <v>7758</v>
      </c>
      <c r="D2914" s="35" t="s">
        <v>234</v>
      </c>
      <c r="E2914" s="35" t="s">
        <v>552</v>
      </c>
      <c r="F2914" s="35">
        <v>1310.0</v>
      </c>
      <c r="G2914" s="35">
        <v>8.99</v>
      </c>
      <c r="H2914" s="35">
        <v>145.7</v>
      </c>
      <c r="I2914" s="35" t="s">
        <v>62</v>
      </c>
    </row>
    <row r="2915" ht="22.5" customHeight="1">
      <c r="A2915" s="35" t="s">
        <v>6050</v>
      </c>
      <c r="B2915" s="35" t="s">
        <v>6051</v>
      </c>
      <c r="C2915" s="35" t="s">
        <v>7758</v>
      </c>
      <c r="D2915" s="35" t="s">
        <v>139</v>
      </c>
      <c r="E2915" s="35" t="s">
        <v>354</v>
      </c>
      <c r="F2915" s="35">
        <v>1146.0</v>
      </c>
      <c r="G2915" s="35">
        <v>8.65</v>
      </c>
      <c r="H2915" s="35">
        <v>132.5</v>
      </c>
      <c r="I2915" s="35" t="s">
        <v>62</v>
      </c>
    </row>
    <row r="2916" ht="22.5" customHeight="1">
      <c r="A2916" s="35" t="s">
        <v>6052</v>
      </c>
      <c r="B2916" s="35" t="s">
        <v>6053</v>
      </c>
      <c r="C2916" s="35" t="s">
        <v>7758</v>
      </c>
      <c r="D2916" s="35" t="s">
        <v>139</v>
      </c>
      <c r="E2916" s="35" t="s">
        <v>354</v>
      </c>
      <c r="F2916" s="35">
        <v>815.0</v>
      </c>
      <c r="G2916" s="35">
        <v>22.85</v>
      </c>
      <c r="H2916" s="35">
        <v>35.7</v>
      </c>
      <c r="I2916" s="35" t="s">
        <v>62</v>
      </c>
    </row>
    <row r="2917" ht="22.5" customHeight="1">
      <c r="A2917" s="35" t="s">
        <v>6054</v>
      </c>
      <c r="B2917" s="35" t="s">
        <v>6055</v>
      </c>
      <c r="C2917" s="35" t="s">
        <v>7758</v>
      </c>
      <c r="D2917" s="35" t="s">
        <v>206</v>
      </c>
      <c r="E2917" s="35" t="s">
        <v>533</v>
      </c>
      <c r="F2917" s="35">
        <v>476.0</v>
      </c>
      <c r="G2917" s="35">
        <v>4.11</v>
      </c>
      <c r="H2917" s="35">
        <v>115.8</v>
      </c>
      <c r="I2917" s="35" t="s">
        <v>75</v>
      </c>
    </row>
    <row r="2918" ht="22.5" customHeight="1">
      <c r="A2918" s="35" t="s">
        <v>6056</v>
      </c>
      <c r="B2918" s="35" t="s">
        <v>6057</v>
      </c>
      <c r="C2918" s="35" t="s">
        <v>7758</v>
      </c>
      <c r="D2918" s="35" t="s">
        <v>169</v>
      </c>
      <c r="E2918" s="35" t="s">
        <v>449</v>
      </c>
      <c r="F2918" s="35">
        <v>96.0</v>
      </c>
      <c r="G2918" s="35">
        <v>1.25</v>
      </c>
      <c r="H2918" s="35">
        <v>76.8</v>
      </c>
      <c r="I2918" s="35" t="s">
        <v>75</v>
      </c>
    </row>
    <row r="2919" ht="22.5" customHeight="1">
      <c r="A2919" s="35" t="s">
        <v>6058</v>
      </c>
      <c r="B2919" s="35" t="s">
        <v>6059</v>
      </c>
      <c r="C2919" s="35" t="s">
        <v>7758</v>
      </c>
      <c r="D2919" s="35" t="s">
        <v>128</v>
      </c>
      <c r="E2919" s="35" t="s">
        <v>338</v>
      </c>
      <c r="F2919" s="35">
        <v>163.0</v>
      </c>
      <c r="G2919" s="35">
        <v>6.68</v>
      </c>
      <c r="H2919" s="35">
        <v>24.4</v>
      </c>
      <c r="I2919" s="35" t="s">
        <v>75</v>
      </c>
    </row>
    <row r="2920" ht="22.5" customHeight="1">
      <c r="A2920" s="35" t="s">
        <v>6060</v>
      </c>
      <c r="B2920" s="35" t="s">
        <v>6061</v>
      </c>
      <c r="C2920" s="35" t="s">
        <v>7758</v>
      </c>
      <c r="D2920" s="35" t="s">
        <v>169</v>
      </c>
      <c r="E2920" s="35" t="s">
        <v>449</v>
      </c>
      <c r="F2920" s="35">
        <v>215.0</v>
      </c>
      <c r="G2920" s="35">
        <v>2.92</v>
      </c>
      <c r="H2920" s="35">
        <v>73.6</v>
      </c>
      <c r="I2920" s="35" t="s">
        <v>75</v>
      </c>
    </row>
    <row r="2921" ht="22.5" customHeight="1">
      <c r="A2921" s="35" t="s">
        <v>6062</v>
      </c>
      <c r="B2921" s="35" t="s">
        <v>6063</v>
      </c>
      <c r="C2921" s="35" t="s">
        <v>7758</v>
      </c>
      <c r="D2921" s="35" t="s">
        <v>234</v>
      </c>
      <c r="E2921" s="35" t="s">
        <v>552</v>
      </c>
      <c r="F2921" s="35">
        <v>1616.0</v>
      </c>
      <c r="G2921" s="35">
        <v>7.68</v>
      </c>
      <c r="H2921" s="35">
        <v>210.4</v>
      </c>
      <c r="I2921" s="35" t="s">
        <v>62</v>
      </c>
    </row>
    <row r="2922" ht="22.5" customHeight="1">
      <c r="A2922" s="35" t="s">
        <v>6064</v>
      </c>
      <c r="B2922" s="35" t="s">
        <v>6065</v>
      </c>
      <c r="C2922" s="35" t="s">
        <v>7758</v>
      </c>
      <c r="D2922" s="35" t="s">
        <v>206</v>
      </c>
      <c r="E2922" s="35" t="s">
        <v>533</v>
      </c>
      <c r="F2922" s="35">
        <v>154.0</v>
      </c>
      <c r="G2922" s="35">
        <v>6.43</v>
      </c>
      <c r="H2922" s="35">
        <v>24.0</v>
      </c>
      <c r="I2922" s="35" t="s">
        <v>75</v>
      </c>
    </row>
    <row r="2923" ht="22.5" customHeight="1">
      <c r="A2923" s="35" t="s">
        <v>6066</v>
      </c>
      <c r="B2923" s="35" t="s">
        <v>6067</v>
      </c>
      <c r="C2923" s="35" t="s">
        <v>7758</v>
      </c>
      <c r="D2923" s="35" t="s">
        <v>139</v>
      </c>
      <c r="E2923" s="35" t="s">
        <v>354</v>
      </c>
      <c r="F2923" s="35">
        <v>1072.0</v>
      </c>
      <c r="G2923" s="35">
        <v>7.25</v>
      </c>
      <c r="H2923" s="35">
        <v>147.9</v>
      </c>
      <c r="I2923" s="35" t="s">
        <v>62</v>
      </c>
    </row>
    <row r="2924" ht="22.5" customHeight="1">
      <c r="A2924" s="35" t="s">
        <v>6068</v>
      </c>
      <c r="B2924" s="35" t="s">
        <v>6069</v>
      </c>
      <c r="C2924" s="35" t="s">
        <v>7758</v>
      </c>
      <c r="D2924" s="35" t="s">
        <v>169</v>
      </c>
      <c r="E2924" s="35" t="s">
        <v>449</v>
      </c>
      <c r="F2924" s="35">
        <v>818.0</v>
      </c>
      <c r="G2924" s="35">
        <v>10.77</v>
      </c>
      <c r="H2924" s="35">
        <v>76.0</v>
      </c>
      <c r="I2924" s="35" t="s">
        <v>62</v>
      </c>
    </row>
    <row r="2925" ht="22.5" customHeight="1">
      <c r="A2925" s="35" t="s">
        <v>6070</v>
      </c>
      <c r="B2925" s="35" t="s">
        <v>6071</v>
      </c>
      <c r="C2925" s="35" t="s">
        <v>7758</v>
      </c>
      <c r="D2925" s="35" t="s">
        <v>150</v>
      </c>
      <c r="E2925" s="35" t="s">
        <v>411</v>
      </c>
      <c r="F2925" s="35">
        <v>291.0</v>
      </c>
      <c r="G2925" s="35">
        <v>11.32</v>
      </c>
      <c r="H2925" s="35">
        <v>25.7</v>
      </c>
      <c r="I2925" s="35" t="s">
        <v>75</v>
      </c>
    </row>
    <row r="2926" ht="22.5" customHeight="1">
      <c r="A2926" s="35" t="s">
        <v>6072</v>
      </c>
      <c r="B2926" s="35" t="s">
        <v>6073</v>
      </c>
      <c r="C2926" s="35" t="s">
        <v>7758</v>
      </c>
      <c r="D2926" s="35" t="s">
        <v>206</v>
      </c>
      <c r="E2926" s="35" t="s">
        <v>533</v>
      </c>
      <c r="F2926" s="35">
        <v>81.0</v>
      </c>
      <c r="G2926" s="35">
        <v>4.27</v>
      </c>
      <c r="H2926" s="35">
        <v>19.0</v>
      </c>
      <c r="I2926" s="35" t="s">
        <v>75</v>
      </c>
    </row>
    <row r="2927" ht="22.5" customHeight="1">
      <c r="A2927" s="35" t="s">
        <v>6074</v>
      </c>
      <c r="B2927" s="35" t="s">
        <v>6075</v>
      </c>
      <c r="C2927" s="35" t="s">
        <v>7758</v>
      </c>
      <c r="D2927" s="35" t="s">
        <v>187</v>
      </c>
      <c r="E2927" s="35" t="s">
        <v>488</v>
      </c>
      <c r="F2927" s="35">
        <v>171.0</v>
      </c>
      <c r="G2927" s="35">
        <v>5.28</v>
      </c>
      <c r="H2927" s="35">
        <v>32.4</v>
      </c>
      <c r="I2927" s="35" t="s">
        <v>75</v>
      </c>
    </row>
    <row r="2928" ht="22.5" customHeight="1">
      <c r="A2928" s="35" t="s">
        <v>6076</v>
      </c>
      <c r="B2928" s="35" t="s">
        <v>6077</v>
      </c>
      <c r="C2928" s="35" t="s">
        <v>7758</v>
      </c>
      <c r="D2928" s="35" t="s">
        <v>167</v>
      </c>
      <c r="E2928" s="35" t="s">
        <v>447</v>
      </c>
      <c r="F2928" s="35">
        <v>233.0</v>
      </c>
      <c r="G2928" s="35">
        <v>11.86</v>
      </c>
      <c r="H2928" s="35">
        <v>19.6</v>
      </c>
      <c r="I2928" s="35" t="s">
        <v>75</v>
      </c>
    </row>
    <row r="2929" ht="22.5" customHeight="1">
      <c r="A2929" s="35" t="s">
        <v>6078</v>
      </c>
      <c r="B2929" s="35" t="s">
        <v>6079</v>
      </c>
      <c r="C2929" s="35" t="s">
        <v>7758</v>
      </c>
      <c r="D2929" s="35" t="s">
        <v>219</v>
      </c>
      <c r="E2929" s="35" t="s">
        <v>377</v>
      </c>
      <c r="F2929" s="35">
        <v>907.0</v>
      </c>
      <c r="G2929" s="35">
        <v>3.41</v>
      </c>
      <c r="H2929" s="35">
        <v>266.0</v>
      </c>
      <c r="I2929" s="35" t="s">
        <v>62</v>
      </c>
    </row>
    <row r="2930" ht="22.5" customHeight="1">
      <c r="A2930" s="35" t="s">
        <v>6080</v>
      </c>
      <c r="B2930" s="35" t="s">
        <v>6081</v>
      </c>
      <c r="C2930" s="35" t="s">
        <v>7758</v>
      </c>
      <c r="D2930" s="35" t="s">
        <v>128</v>
      </c>
      <c r="E2930" s="35" t="s">
        <v>338</v>
      </c>
      <c r="F2930" s="35">
        <v>4224.0</v>
      </c>
      <c r="G2930" s="35">
        <v>15.3</v>
      </c>
      <c r="H2930" s="35">
        <v>276.1</v>
      </c>
      <c r="I2930" s="35" t="s">
        <v>142</v>
      </c>
    </row>
    <row r="2931" ht="22.5" customHeight="1">
      <c r="A2931" s="35" t="s">
        <v>6082</v>
      </c>
      <c r="B2931" s="35" t="s">
        <v>6083</v>
      </c>
      <c r="C2931" s="35" t="s">
        <v>7758</v>
      </c>
      <c r="D2931" s="35" t="s">
        <v>139</v>
      </c>
      <c r="E2931" s="35" t="s">
        <v>354</v>
      </c>
      <c r="F2931" s="35">
        <v>1376.0</v>
      </c>
      <c r="G2931" s="35">
        <v>18.22</v>
      </c>
      <c r="H2931" s="35">
        <v>75.5</v>
      </c>
      <c r="I2931" s="35" t="s">
        <v>62</v>
      </c>
    </row>
    <row r="2932" ht="22.5" customHeight="1">
      <c r="A2932" s="35" t="s">
        <v>6084</v>
      </c>
      <c r="B2932" s="35" t="s">
        <v>6085</v>
      </c>
      <c r="C2932" s="35" t="s">
        <v>7758</v>
      </c>
      <c r="D2932" s="35" t="s">
        <v>167</v>
      </c>
      <c r="E2932" s="35" t="s">
        <v>447</v>
      </c>
      <c r="F2932" s="35">
        <v>55.0</v>
      </c>
      <c r="G2932" s="35">
        <v>2.24</v>
      </c>
      <c r="H2932" s="35">
        <v>24.6</v>
      </c>
      <c r="I2932" s="35" t="s">
        <v>75</v>
      </c>
    </row>
    <row r="2933" ht="22.5" customHeight="1">
      <c r="A2933" s="35" t="s">
        <v>6086</v>
      </c>
      <c r="B2933" s="35" t="s">
        <v>6087</v>
      </c>
      <c r="C2933" s="35" t="s">
        <v>7758</v>
      </c>
      <c r="D2933" s="35" t="s">
        <v>204</v>
      </c>
      <c r="E2933" s="35" t="s">
        <v>527</v>
      </c>
      <c r="F2933" s="35">
        <v>422.0</v>
      </c>
      <c r="G2933" s="35">
        <v>10.43</v>
      </c>
      <c r="H2933" s="35">
        <v>40.5</v>
      </c>
      <c r="I2933" s="35" t="s">
        <v>75</v>
      </c>
    </row>
    <row r="2934" ht="22.5" customHeight="1">
      <c r="A2934" s="35" t="s">
        <v>6088</v>
      </c>
      <c r="B2934" s="35" t="s">
        <v>6089</v>
      </c>
      <c r="C2934" s="35" t="s">
        <v>7758</v>
      </c>
      <c r="D2934" s="35" t="s">
        <v>204</v>
      </c>
      <c r="E2934" s="35" t="s">
        <v>527</v>
      </c>
      <c r="F2934" s="35">
        <v>204.0</v>
      </c>
      <c r="G2934" s="35">
        <v>4.62</v>
      </c>
      <c r="H2934" s="35">
        <v>44.2</v>
      </c>
      <c r="I2934" s="35" t="s">
        <v>75</v>
      </c>
    </row>
    <row r="2935" ht="22.5" customHeight="1">
      <c r="A2935" s="35" t="s">
        <v>6090</v>
      </c>
      <c r="B2935" s="35" t="s">
        <v>6091</v>
      </c>
      <c r="C2935" s="35" t="s">
        <v>7758</v>
      </c>
      <c r="D2935" s="35" t="s">
        <v>206</v>
      </c>
      <c r="E2935" s="35" t="s">
        <v>533</v>
      </c>
      <c r="F2935" s="35">
        <v>293.0</v>
      </c>
      <c r="G2935" s="35">
        <v>6.2</v>
      </c>
      <c r="H2935" s="35">
        <v>47.3</v>
      </c>
      <c r="I2935" s="35" t="s">
        <v>75</v>
      </c>
    </row>
    <row r="2936" ht="22.5" customHeight="1">
      <c r="A2936" s="35" t="s">
        <v>6092</v>
      </c>
      <c r="B2936" s="35" t="s">
        <v>6093</v>
      </c>
      <c r="C2936" s="35" t="s">
        <v>7758</v>
      </c>
      <c r="D2936" s="35" t="s">
        <v>128</v>
      </c>
      <c r="E2936" s="35" t="s">
        <v>338</v>
      </c>
      <c r="F2936" s="35">
        <v>578.0</v>
      </c>
      <c r="G2936" s="35">
        <v>6.95</v>
      </c>
      <c r="H2936" s="35">
        <v>83.2</v>
      </c>
      <c r="I2936" s="35" t="s">
        <v>62</v>
      </c>
    </row>
    <row r="2937" ht="22.5" customHeight="1">
      <c r="A2937" s="35" t="s">
        <v>6094</v>
      </c>
      <c r="B2937" s="35" t="s">
        <v>6095</v>
      </c>
      <c r="C2937" s="35" t="s">
        <v>7758</v>
      </c>
      <c r="D2937" s="35" t="s">
        <v>206</v>
      </c>
      <c r="E2937" s="35" t="s">
        <v>533</v>
      </c>
      <c r="F2937" s="35">
        <v>67.0</v>
      </c>
      <c r="G2937" s="35">
        <v>3.3</v>
      </c>
      <c r="H2937" s="35">
        <v>20.3</v>
      </c>
      <c r="I2937" s="35" t="s">
        <v>75</v>
      </c>
    </row>
    <row r="2938" ht="22.5" customHeight="1">
      <c r="A2938" s="35" t="s">
        <v>6096</v>
      </c>
      <c r="B2938" s="35" t="s">
        <v>6097</v>
      </c>
      <c r="C2938" s="35" t="s">
        <v>7758</v>
      </c>
      <c r="D2938" s="35" t="s">
        <v>167</v>
      </c>
      <c r="E2938" s="35" t="s">
        <v>447</v>
      </c>
      <c r="F2938" s="35">
        <v>245.0</v>
      </c>
      <c r="G2938" s="35">
        <v>5.98</v>
      </c>
      <c r="H2938" s="35">
        <v>41.0</v>
      </c>
      <c r="I2938" s="35" t="s">
        <v>75</v>
      </c>
    </row>
    <row r="2939" ht="22.5" customHeight="1">
      <c r="A2939" s="35" t="s">
        <v>6098</v>
      </c>
      <c r="B2939" s="35" t="s">
        <v>6099</v>
      </c>
      <c r="C2939" s="35" t="s">
        <v>7758</v>
      </c>
      <c r="D2939" s="35" t="s">
        <v>206</v>
      </c>
      <c r="E2939" s="35" t="s">
        <v>533</v>
      </c>
      <c r="F2939" s="35">
        <v>538.0</v>
      </c>
      <c r="G2939" s="35">
        <v>9.21</v>
      </c>
      <c r="H2939" s="35">
        <v>58.4</v>
      </c>
      <c r="I2939" s="35" t="s">
        <v>62</v>
      </c>
    </row>
    <row r="2940" ht="22.5" customHeight="1">
      <c r="A2940" s="35" t="s">
        <v>6100</v>
      </c>
      <c r="B2940" s="35" t="s">
        <v>6101</v>
      </c>
      <c r="C2940" s="35" t="s">
        <v>7758</v>
      </c>
      <c r="D2940" s="35" t="s">
        <v>118</v>
      </c>
      <c r="E2940" s="35" t="s">
        <v>300</v>
      </c>
      <c r="F2940" s="35">
        <v>1138.0</v>
      </c>
      <c r="G2940" s="35">
        <v>2.98</v>
      </c>
      <c r="H2940" s="35">
        <v>381.9</v>
      </c>
      <c r="I2940" s="35" t="s">
        <v>62</v>
      </c>
    </row>
    <row r="2941" ht="22.5" customHeight="1">
      <c r="A2941" s="35" t="s">
        <v>6102</v>
      </c>
      <c r="B2941" s="35" t="s">
        <v>6103</v>
      </c>
      <c r="C2941" s="35" t="s">
        <v>7758</v>
      </c>
      <c r="D2941" s="35" t="s">
        <v>191</v>
      </c>
      <c r="E2941" s="35" t="s">
        <v>504</v>
      </c>
      <c r="F2941" s="35">
        <v>494.0</v>
      </c>
      <c r="G2941" s="35">
        <v>7.65</v>
      </c>
      <c r="H2941" s="35">
        <v>64.6</v>
      </c>
      <c r="I2941" s="35" t="s">
        <v>75</v>
      </c>
    </row>
    <row r="2942" ht="22.5" customHeight="1">
      <c r="A2942" s="35" t="s">
        <v>6104</v>
      </c>
      <c r="B2942" s="35" t="s">
        <v>6105</v>
      </c>
      <c r="C2942" s="35" t="s">
        <v>7758</v>
      </c>
      <c r="D2942" s="35" t="s">
        <v>206</v>
      </c>
      <c r="E2942" s="35" t="s">
        <v>533</v>
      </c>
      <c r="F2942" s="35">
        <v>89.0</v>
      </c>
      <c r="G2942" s="35">
        <v>4.84</v>
      </c>
      <c r="H2942" s="35">
        <v>18.4</v>
      </c>
      <c r="I2942" s="35" t="s">
        <v>75</v>
      </c>
    </row>
    <row r="2943" ht="22.5" customHeight="1">
      <c r="A2943" s="35" t="s">
        <v>6106</v>
      </c>
      <c r="B2943" s="35" t="s">
        <v>6107</v>
      </c>
      <c r="C2943" s="35" t="s">
        <v>7758</v>
      </c>
      <c r="D2943" s="35" t="s">
        <v>204</v>
      </c>
      <c r="E2943" s="35" t="s">
        <v>527</v>
      </c>
      <c r="F2943" s="35">
        <v>1099.0</v>
      </c>
      <c r="G2943" s="35">
        <v>14.02</v>
      </c>
      <c r="H2943" s="35">
        <v>78.4</v>
      </c>
      <c r="I2943" s="35" t="s">
        <v>62</v>
      </c>
    </row>
    <row r="2944" ht="22.5" customHeight="1">
      <c r="A2944" s="35" t="s">
        <v>6108</v>
      </c>
      <c r="B2944" s="35" t="s">
        <v>6109</v>
      </c>
      <c r="C2944" s="35" t="s">
        <v>7758</v>
      </c>
      <c r="D2944" s="35" t="s">
        <v>204</v>
      </c>
      <c r="E2944" s="35" t="s">
        <v>527</v>
      </c>
      <c r="F2944" s="35">
        <v>130.0</v>
      </c>
      <c r="G2944" s="35">
        <v>3.17</v>
      </c>
      <c r="H2944" s="35">
        <v>41.0</v>
      </c>
      <c r="I2944" s="35" t="s">
        <v>75</v>
      </c>
    </row>
    <row r="2945" ht="22.5" customHeight="1">
      <c r="A2945" s="35" t="s">
        <v>6110</v>
      </c>
      <c r="B2945" s="35" t="s">
        <v>6111</v>
      </c>
      <c r="C2945" s="35" t="s">
        <v>7758</v>
      </c>
      <c r="D2945" s="35" t="s">
        <v>118</v>
      </c>
      <c r="E2945" s="35" t="s">
        <v>300</v>
      </c>
      <c r="F2945" s="35">
        <v>2374.0</v>
      </c>
      <c r="G2945" s="35">
        <v>3.65</v>
      </c>
      <c r="H2945" s="35">
        <v>650.4</v>
      </c>
      <c r="I2945" s="35" t="s">
        <v>142</v>
      </c>
    </row>
    <row r="2946" ht="22.5" customHeight="1">
      <c r="A2946" s="35" t="s">
        <v>6112</v>
      </c>
      <c r="B2946" s="35" t="s">
        <v>6113</v>
      </c>
      <c r="C2946" s="35" t="s">
        <v>7758</v>
      </c>
      <c r="D2946" s="35" t="s">
        <v>127</v>
      </c>
      <c r="E2946" s="35" t="s">
        <v>323</v>
      </c>
      <c r="F2946" s="35">
        <v>8536.0</v>
      </c>
      <c r="G2946" s="35">
        <v>10.64</v>
      </c>
      <c r="H2946" s="35">
        <v>802.3</v>
      </c>
      <c r="I2946" s="35" t="s">
        <v>142</v>
      </c>
    </row>
    <row r="2947" ht="22.5" customHeight="1">
      <c r="A2947" s="35" t="s">
        <v>6114</v>
      </c>
      <c r="B2947" s="35" t="s">
        <v>6115</v>
      </c>
      <c r="C2947" s="35" t="s">
        <v>7758</v>
      </c>
      <c r="D2947" s="35" t="s">
        <v>187</v>
      </c>
      <c r="E2947" s="35" t="s">
        <v>488</v>
      </c>
      <c r="F2947" s="35">
        <v>235.0</v>
      </c>
      <c r="G2947" s="35">
        <v>10.69</v>
      </c>
      <c r="H2947" s="35">
        <v>22.0</v>
      </c>
      <c r="I2947" s="35" t="s">
        <v>75</v>
      </c>
    </row>
    <row r="2948" ht="22.5" customHeight="1">
      <c r="A2948" s="35" t="s">
        <v>6116</v>
      </c>
      <c r="B2948" s="35" t="s">
        <v>6117</v>
      </c>
      <c r="C2948" s="35" t="s">
        <v>7758</v>
      </c>
      <c r="D2948" s="35" t="s">
        <v>187</v>
      </c>
      <c r="E2948" s="35" t="s">
        <v>488</v>
      </c>
      <c r="F2948" s="35">
        <v>665.0</v>
      </c>
      <c r="G2948" s="35">
        <v>15.62</v>
      </c>
      <c r="H2948" s="35">
        <v>42.6</v>
      </c>
      <c r="I2948" s="35" t="s">
        <v>62</v>
      </c>
    </row>
    <row r="2949" ht="22.5" customHeight="1">
      <c r="A2949" s="35" t="s">
        <v>6118</v>
      </c>
      <c r="B2949" s="35" t="s">
        <v>6119</v>
      </c>
      <c r="C2949" s="35" t="s">
        <v>7758</v>
      </c>
      <c r="D2949" s="35" t="s">
        <v>150</v>
      </c>
      <c r="E2949" s="35" t="s">
        <v>411</v>
      </c>
      <c r="F2949" s="35">
        <v>516.0</v>
      </c>
      <c r="G2949" s="35">
        <v>7.08</v>
      </c>
      <c r="H2949" s="35">
        <v>72.9</v>
      </c>
      <c r="I2949" s="35" t="s">
        <v>62</v>
      </c>
    </row>
    <row r="2950" ht="22.5" customHeight="1">
      <c r="A2950" s="35" t="s">
        <v>6120</v>
      </c>
      <c r="B2950" s="35" t="s">
        <v>6121</v>
      </c>
      <c r="C2950" s="35" t="s">
        <v>7758</v>
      </c>
      <c r="D2950" s="35" t="s">
        <v>118</v>
      </c>
      <c r="E2950" s="35" t="s">
        <v>300</v>
      </c>
      <c r="F2950" s="35">
        <v>4729.0</v>
      </c>
      <c r="G2950" s="35">
        <v>10.42</v>
      </c>
      <c r="H2950" s="35">
        <v>453.8</v>
      </c>
      <c r="I2950" s="35" t="s">
        <v>142</v>
      </c>
    </row>
    <row r="2951" ht="22.5" customHeight="1">
      <c r="A2951" s="35" t="s">
        <v>6122</v>
      </c>
      <c r="B2951" s="35" t="s">
        <v>6123</v>
      </c>
      <c r="C2951" s="35" t="s">
        <v>7758</v>
      </c>
      <c r="D2951" s="35" t="s">
        <v>118</v>
      </c>
      <c r="E2951" s="35" t="s">
        <v>300</v>
      </c>
      <c r="F2951" s="35">
        <v>1978.0</v>
      </c>
      <c r="G2951" s="35">
        <v>3.59</v>
      </c>
      <c r="H2951" s="35">
        <v>551.0</v>
      </c>
      <c r="I2951" s="35" t="s">
        <v>62</v>
      </c>
    </row>
    <row r="2952" ht="22.5" customHeight="1">
      <c r="A2952" s="35" t="s">
        <v>6124</v>
      </c>
      <c r="B2952" s="35" t="s">
        <v>6125</v>
      </c>
      <c r="C2952" s="35" t="s">
        <v>7758</v>
      </c>
      <c r="D2952" s="35" t="s">
        <v>118</v>
      </c>
      <c r="E2952" s="35" t="s">
        <v>300</v>
      </c>
      <c r="F2952" s="35">
        <v>3445.0</v>
      </c>
      <c r="G2952" s="35">
        <v>3.67</v>
      </c>
      <c r="H2952" s="35">
        <v>938.7</v>
      </c>
      <c r="I2952" s="35" t="s">
        <v>142</v>
      </c>
    </row>
    <row r="2953" ht="22.5" customHeight="1">
      <c r="A2953" s="35" t="s">
        <v>6126</v>
      </c>
      <c r="B2953" s="35" t="s">
        <v>6127</v>
      </c>
      <c r="C2953" s="35" t="s">
        <v>7758</v>
      </c>
      <c r="D2953" s="35" t="s">
        <v>128</v>
      </c>
      <c r="E2953" s="35" t="s">
        <v>338</v>
      </c>
      <c r="F2953" s="35">
        <v>2571.0</v>
      </c>
      <c r="G2953" s="35">
        <v>11.02</v>
      </c>
      <c r="H2953" s="35">
        <v>233.3</v>
      </c>
      <c r="I2953" s="35" t="s">
        <v>142</v>
      </c>
    </row>
    <row r="2954" ht="22.5" customHeight="1">
      <c r="A2954" s="35" t="s">
        <v>6128</v>
      </c>
      <c r="B2954" s="35" t="s">
        <v>6129</v>
      </c>
      <c r="C2954" s="35" t="s">
        <v>7758</v>
      </c>
      <c r="D2954" s="35" t="s">
        <v>167</v>
      </c>
      <c r="E2954" s="35" t="s">
        <v>447</v>
      </c>
      <c r="F2954" s="35">
        <v>351.0</v>
      </c>
      <c r="G2954" s="35">
        <v>9.73</v>
      </c>
      <c r="H2954" s="35">
        <v>36.1</v>
      </c>
      <c r="I2954" s="35" t="s">
        <v>75</v>
      </c>
    </row>
    <row r="2955" ht="22.5" customHeight="1">
      <c r="A2955" s="35" t="s">
        <v>6130</v>
      </c>
      <c r="B2955" s="35" t="s">
        <v>6131</v>
      </c>
      <c r="C2955" s="35" t="s">
        <v>7758</v>
      </c>
      <c r="D2955" s="35" t="s">
        <v>118</v>
      </c>
      <c r="E2955" s="35" t="s">
        <v>300</v>
      </c>
      <c r="F2955" s="35">
        <v>882.0</v>
      </c>
      <c r="G2955" s="35">
        <v>3.46</v>
      </c>
      <c r="H2955" s="35">
        <v>254.9</v>
      </c>
      <c r="I2955" s="35" t="s">
        <v>62</v>
      </c>
    </row>
    <row r="2956" ht="22.5" customHeight="1">
      <c r="A2956" s="35" t="s">
        <v>6132</v>
      </c>
      <c r="B2956" s="35" t="s">
        <v>6133</v>
      </c>
      <c r="C2956" s="35" t="s">
        <v>7758</v>
      </c>
      <c r="D2956" s="35" t="s">
        <v>161</v>
      </c>
      <c r="E2956" s="35" t="s">
        <v>438</v>
      </c>
      <c r="F2956" s="35">
        <v>1511.0</v>
      </c>
      <c r="G2956" s="35">
        <v>21.2</v>
      </c>
      <c r="H2956" s="35">
        <v>71.3</v>
      </c>
      <c r="I2956" s="35" t="s">
        <v>62</v>
      </c>
    </row>
    <row r="2957" ht="22.5" customHeight="1">
      <c r="A2957" s="35" t="s">
        <v>6134</v>
      </c>
      <c r="B2957" s="35" t="s">
        <v>6135</v>
      </c>
      <c r="C2957" s="35" t="s">
        <v>7758</v>
      </c>
      <c r="D2957" s="35" t="s">
        <v>150</v>
      </c>
      <c r="E2957" s="35" t="s">
        <v>411</v>
      </c>
      <c r="F2957" s="35">
        <v>391.0</v>
      </c>
      <c r="G2957" s="35">
        <v>5.83</v>
      </c>
      <c r="H2957" s="35">
        <v>67.1</v>
      </c>
      <c r="I2957" s="35" t="s">
        <v>75</v>
      </c>
    </row>
    <row r="2958" ht="22.5" customHeight="1">
      <c r="A2958" s="35" t="s">
        <v>6136</v>
      </c>
      <c r="B2958" s="35" t="s">
        <v>6137</v>
      </c>
      <c r="C2958" s="35" t="s">
        <v>7758</v>
      </c>
      <c r="D2958" s="35" t="s">
        <v>127</v>
      </c>
      <c r="E2958" s="35" t="s">
        <v>323</v>
      </c>
      <c r="F2958" s="35">
        <v>607.0</v>
      </c>
      <c r="G2958" s="35">
        <v>5.23</v>
      </c>
      <c r="H2958" s="35">
        <v>116.1</v>
      </c>
      <c r="I2958" s="35" t="s">
        <v>62</v>
      </c>
    </row>
    <row r="2959" ht="22.5" customHeight="1">
      <c r="A2959" s="35" t="s">
        <v>6138</v>
      </c>
      <c r="B2959" s="35" t="s">
        <v>6139</v>
      </c>
      <c r="C2959" s="35" t="s">
        <v>7758</v>
      </c>
      <c r="D2959" s="35" t="s">
        <v>204</v>
      </c>
      <c r="E2959" s="35" t="s">
        <v>527</v>
      </c>
      <c r="F2959" s="35">
        <v>245.0</v>
      </c>
      <c r="G2959" s="35">
        <v>5.84</v>
      </c>
      <c r="H2959" s="35">
        <v>42.0</v>
      </c>
      <c r="I2959" s="35" t="s">
        <v>75</v>
      </c>
    </row>
    <row r="2960" ht="22.5" customHeight="1">
      <c r="A2960" s="35" t="s">
        <v>6140</v>
      </c>
      <c r="B2960" s="35" t="s">
        <v>6141</v>
      </c>
      <c r="C2960" s="35" t="s">
        <v>7758</v>
      </c>
      <c r="D2960" s="35" t="s">
        <v>169</v>
      </c>
      <c r="E2960" s="35" t="s">
        <v>449</v>
      </c>
      <c r="F2960" s="35">
        <v>368.0</v>
      </c>
      <c r="G2960" s="35">
        <v>3.85</v>
      </c>
      <c r="H2960" s="35">
        <v>95.6</v>
      </c>
      <c r="I2960" s="35" t="s">
        <v>75</v>
      </c>
    </row>
    <row r="2961" ht="22.5" customHeight="1">
      <c r="A2961" s="35" t="s">
        <v>6142</v>
      </c>
      <c r="B2961" s="35" t="s">
        <v>6143</v>
      </c>
      <c r="C2961" s="35" t="s">
        <v>7758</v>
      </c>
      <c r="D2961" s="35" t="s">
        <v>169</v>
      </c>
      <c r="E2961" s="35" t="s">
        <v>449</v>
      </c>
      <c r="F2961" s="35">
        <v>127.0</v>
      </c>
      <c r="G2961" s="35">
        <v>3.22</v>
      </c>
      <c r="H2961" s="35">
        <v>39.4</v>
      </c>
      <c r="I2961" s="35" t="s">
        <v>75</v>
      </c>
    </row>
    <row r="2962" ht="22.5" customHeight="1">
      <c r="A2962" s="35" t="s">
        <v>6144</v>
      </c>
      <c r="B2962" s="35" t="s">
        <v>6145</v>
      </c>
      <c r="C2962" s="35" t="s">
        <v>7758</v>
      </c>
      <c r="D2962" s="35" t="s">
        <v>219</v>
      </c>
      <c r="E2962" s="35" t="s">
        <v>377</v>
      </c>
      <c r="F2962" s="35">
        <v>243.0</v>
      </c>
      <c r="G2962" s="35">
        <v>4.43</v>
      </c>
      <c r="H2962" s="35">
        <v>54.9</v>
      </c>
      <c r="I2962" s="35" t="s">
        <v>75</v>
      </c>
    </row>
    <row r="2963" ht="22.5" customHeight="1">
      <c r="A2963" s="35" t="s">
        <v>6146</v>
      </c>
      <c r="B2963" s="35" t="s">
        <v>6147</v>
      </c>
      <c r="C2963" s="35" t="s">
        <v>7758</v>
      </c>
      <c r="D2963" s="35" t="s">
        <v>206</v>
      </c>
      <c r="E2963" s="35" t="s">
        <v>533</v>
      </c>
      <c r="F2963" s="35">
        <v>255.0</v>
      </c>
      <c r="G2963" s="35">
        <v>8.41</v>
      </c>
      <c r="H2963" s="35">
        <v>30.3</v>
      </c>
      <c r="I2963" s="35" t="s">
        <v>75</v>
      </c>
    </row>
    <row r="2964" ht="22.5" customHeight="1">
      <c r="A2964" s="35" t="s">
        <v>6148</v>
      </c>
      <c r="B2964" s="35" t="s">
        <v>6149</v>
      </c>
      <c r="C2964" s="35" t="s">
        <v>7758</v>
      </c>
      <c r="D2964" s="35" t="s">
        <v>169</v>
      </c>
      <c r="E2964" s="35" t="s">
        <v>449</v>
      </c>
      <c r="F2964" s="35">
        <v>137.0</v>
      </c>
      <c r="G2964" s="35">
        <v>2.5</v>
      </c>
      <c r="H2964" s="35">
        <v>54.8</v>
      </c>
      <c r="I2964" s="35" t="s">
        <v>75</v>
      </c>
    </row>
    <row r="2965" ht="22.5" customHeight="1">
      <c r="A2965" s="35" t="s">
        <v>6150</v>
      </c>
      <c r="B2965" s="35" t="s">
        <v>6151</v>
      </c>
      <c r="C2965" s="35" t="s">
        <v>7758</v>
      </c>
      <c r="D2965" s="35" t="s">
        <v>127</v>
      </c>
      <c r="E2965" s="35" t="s">
        <v>323</v>
      </c>
      <c r="F2965" s="35">
        <v>4270.0</v>
      </c>
      <c r="G2965" s="35">
        <v>11.43</v>
      </c>
      <c r="H2965" s="35">
        <v>373.6</v>
      </c>
      <c r="I2965" s="35" t="s">
        <v>142</v>
      </c>
    </row>
    <row r="2966" ht="22.5" customHeight="1">
      <c r="A2966" s="35" t="s">
        <v>6152</v>
      </c>
      <c r="B2966" s="35" t="s">
        <v>6153</v>
      </c>
      <c r="C2966" s="35" t="s">
        <v>7758</v>
      </c>
      <c r="D2966" s="35" t="s">
        <v>187</v>
      </c>
      <c r="E2966" s="35" t="s">
        <v>488</v>
      </c>
      <c r="F2966" s="35">
        <v>146.0</v>
      </c>
      <c r="G2966" s="35">
        <v>4.62</v>
      </c>
      <c r="H2966" s="35">
        <v>31.6</v>
      </c>
      <c r="I2966" s="35" t="s">
        <v>75</v>
      </c>
    </row>
    <row r="2967" ht="22.5" customHeight="1">
      <c r="A2967" s="35" t="s">
        <v>6154</v>
      </c>
      <c r="B2967" s="35" t="s">
        <v>6155</v>
      </c>
      <c r="C2967" s="35" t="s">
        <v>7758</v>
      </c>
      <c r="D2967" s="35" t="s">
        <v>118</v>
      </c>
      <c r="E2967" s="35" t="s">
        <v>300</v>
      </c>
      <c r="F2967" s="35">
        <v>3839.0</v>
      </c>
      <c r="G2967" s="35">
        <v>10.02</v>
      </c>
      <c r="H2967" s="35">
        <v>383.1</v>
      </c>
      <c r="I2967" s="35" t="s">
        <v>142</v>
      </c>
    </row>
    <row r="2968" ht="22.5" customHeight="1">
      <c r="A2968" s="35" t="s">
        <v>6156</v>
      </c>
      <c r="B2968" s="35" t="s">
        <v>6157</v>
      </c>
      <c r="C2968" s="35" t="s">
        <v>7758</v>
      </c>
      <c r="D2968" s="35" t="s">
        <v>219</v>
      </c>
      <c r="E2968" s="35" t="s">
        <v>377</v>
      </c>
      <c r="F2968" s="35">
        <v>632.0</v>
      </c>
      <c r="G2968" s="35">
        <v>6.41</v>
      </c>
      <c r="H2968" s="35">
        <v>98.6</v>
      </c>
      <c r="I2968" s="35" t="s">
        <v>62</v>
      </c>
    </row>
    <row r="2969" ht="22.5" customHeight="1">
      <c r="A2969" s="35" t="s">
        <v>6158</v>
      </c>
      <c r="B2969" s="35" t="s">
        <v>6159</v>
      </c>
      <c r="C2969" s="35" t="s">
        <v>7758</v>
      </c>
      <c r="D2969" s="35" t="s">
        <v>219</v>
      </c>
      <c r="E2969" s="35" t="s">
        <v>377</v>
      </c>
      <c r="F2969" s="35">
        <v>4849.0</v>
      </c>
      <c r="G2969" s="35">
        <v>18.77</v>
      </c>
      <c r="H2969" s="35">
        <v>258.3</v>
      </c>
      <c r="I2969" s="35" t="s">
        <v>142</v>
      </c>
    </row>
    <row r="2970" ht="22.5" customHeight="1">
      <c r="A2970" s="35" t="s">
        <v>6160</v>
      </c>
      <c r="B2970" s="35" t="s">
        <v>6161</v>
      </c>
      <c r="C2970" s="35" t="s">
        <v>7758</v>
      </c>
      <c r="D2970" s="35" t="s">
        <v>128</v>
      </c>
      <c r="E2970" s="35" t="s">
        <v>338</v>
      </c>
      <c r="F2970" s="35">
        <v>449.0</v>
      </c>
      <c r="G2970" s="35">
        <v>8.72</v>
      </c>
      <c r="H2970" s="35">
        <v>51.5</v>
      </c>
      <c r="I2970" s="35" t="s">
        <v>75</v>
      </c>
    </row>
    <row r="2971" ht="22.5" customHeight="1">
      <c r="A2971" s="35" t="s">
        <v>6162</v>
      </c>
      <c r="B2971" s="35" t="s">
        <v>6163</v>
      </c>
      <c r="C2971" s="35" t="s">
        <v>7758</v>
      </c>
      <c r="D2971" s="35" t="s">
        <v>163</v>
      </c>
      <c r="E2971" s="35" t="s">
        <v>441</v>
      </c>
      <c r="F2971" s="35">
        <v>259.0</v>
      </c>
      <c r="G2971" s="35">
        <v>2.46</v>
      </c>
      <c r="H2971" s="35">
        <v>105.3</v>
      </c>
      <c r="I2971" s="35" t="s">
        <v>75</v>
      </c>
    </row>
    <row r="2972" ht="22.5" customHeight="1">
      <c r="A2972" s="35" t="s">
        <v>6164</v>
      </c>
      <c r="B2972" s="35" t="s">
        <v>6165</v>
      </c>
      <c r="C2972" s="35" t="s">
        <v>7758</v>
      </c>
      <c r="D2972" s="35" t="s">
        <v>167</v>
      </c>
      <c r="E2972" s="35" t="s">
        <v>447</v>
      </c>
      <c r="F2972" s="35">
        <v>261.0</v>
      </c>
      <c r="G2972" s="35">
        <v>9.13</v>
      </c>
      <c r="H2972" s="35">
        <v>28.6</v>
      </c>
      <c r="I2972" s="35" t="s">
        <v>75</v>
      </c>
    </row>
    <row r="2973" ht="22.5" customHeight="1">
      <c r="A2973" s="35" t="s">
        <v>6166</v>
      </c>
      <c r="B2973" s="35" t="s">
        <v>6167</v>
      </c>
      <c r="C2973" s="35" t="s">
        <v>7758</v>
      </c>
      <c r="D2973" s="35" t="s">
        <v>234</v>
      </c>
      <c r="E2973" s="35" t="s">
        <v>552</v>
      </c>
      <c r="F2973" s="35">
        <v>1062.0</v>
      </c>
      <c r="G2973" s="35">
        <v>9.73</v>
      </c>
      <c r="H2973" s="35">
        <v>109.1</v>
      </c>
      <c r="I2973" s="35" t="s">
        <v>62</v>
      </c>
    </row>
    <row r="2974" ht="22.5" customHeight="1">
      <c r="A2974" s="35" t="s">
        <v>6168</v>
      </c>
      <c r="B2974" s="35" t="s">
        <v>6169</v>
      </c>
      <c r="C2974" s="35" t="s">
        <v>7758</v>
      </c>
      <c r="D2974" s="35" t="s">
        <v>128</v>
      </c>
      <c r="E2974" s="35" t="s">
        <v>338</v>
      </c>
      <c r="F2974" s="35">
        <v>1062.0</v>
      </c>
      <c r="G2974" s="35">
        <v>14.29</v>
      </c>
      <c r="H2974" s="35">
        <v>74.3</v>
      </c>
      <c r="I2974" s="35" t="s">
        <v>62</v>
      </c>
    </row>
    <row r="2975" ht="22.5" customHeight="1">
      <c r="A2975" s="35" t="s">
        <v>6170</v>
      </c>
      <c r="B2975" s="35" t="s">
        <v>6171</v>
      </c>
      <c r="C2975" s="35" t="s">
        <v>7758</v>
      </c>
      <c r="D2975" s="35" t="s">
        <v>167</v>
      </c>
      <c r="E2975" s="35" t="s">
        <v>447</v>
      </c>
      <c r="F2975" s="35">
        <v>259.0</v>
      </c>
      <c r="G2975" s="35">
        <v>6.07</v>
      </c>
      <c r="H2975" s="35">
        <v>42.7</v>
      </c>
      <c r="I2975" s="35" t="s">
        <v>75</v>
      </c>
    </row>
    <row r="2976" ht="22.5" customHeight="1">
      <c r="A2976" s="35" t="s">
        <v>6172</v>
      </c>
      <c r="B2976" s="35" t="s">
        <v>6173</v>
      </c>
      <c r="C2976" s="35" t="s">
        <v>7758</v>
      </c>
      <c r="D2976" s="35" t="s">
        <v>167</v>
      </c>
      <c r="E2976" s="35" t="s">
        <v>447</v>
      </c>
      <c r="F2976" s="35">
        <v>253.0</v>
      </c>
      <c r="G2976" s="35">
        <v>7.14</v>
      </c>
      <c r="H2976" s="35">
        <v>35.4</v>
      </c>
      <c r="I2976" s="35" t="s">
        <v>75</v>
      </c>
    </row>
    <row r="2977" ht="22.5" customHeight="1">
      <c r="A2977" s="35" t="s">
        <v>6174</v>
      </c>
      <c r="B2977" s="35" t="s">
        <v>6175</v>
      </c>
      <c r="C2977" s="35" t="s">
        <v>7758</v>
      </c>
      <c r="D2977" s="35" t="s">
        <v>234</v>
      </c>
      <c r="E2977" s="35" t="s">
        <v>552</v>
      </c>
      <c r="F2977" s="35">
        <v>626.0</v>
      </c>
      <c r="G2977" s="35">
        <v>8.95</v>
      </c>
      <c r="H2977" s="35">
        <v>69.9</v>
      </c>
      <c r="I2977" s="35" t="s">
        <v>62</v>
      </c>
    </row>
    <row r="2978" ht="22.5" customHeight="1">
      <c r="A2978" s="35" t="s">
        <v>6176</v>
      </c>
      <c r="B2978" s="35" t="s">
        <v>6177</v>
      </c>
      <c r="C2978" s="35" t="s">
        <v>7758</v>
      </c>
      <c r="D2978" s="35" t="s">
        <v>169</v>
      </c>
      <c r="E2978" s="35" t="s">
        <v>449</v>
      </c>
      <c r="F2978" s="35">
        <v>748.0</v>
      </c>
      <c r="G2978" s="35">
        <v>10.34</v>
      </c>
      <c r="H2978" s="35">
        <v>72.3</v>
      </c>
      <c r="I2978" s="35" t="s">
        <v>62</v>
      </c>
    </row>
    <row r="2979" ht="22.5" customHeight="1">
      <c r="A2979" s="35" t="s">
        <v>6178</v>
      </c>
      <c r="B2979" s="35" t="s">
        <v>6179</v>
      </c>
      <c r="C2979" s="35" t="s">
        <v>7758</v>
      </c>
      <c r="D2979" s="35" t="s">
        <v>139</v>
      </c>
      <c r="E2979" s="35" t="s">
        <v>354</v>
      </c>
      <c r="F2979" s="35">
        <v>1328.0</v>
      </c>
      <c r="G2979" s="35">
        <v>3.77</v>
      </c>
      <c r="H2979" s="35">
        <v>352.3</v>
      </c>
      <c r="I2979" s="35" t="s">
        <v>62</v>
      </c>
    </row>
    <row r="2980" ht="22.5" customHeight="1">
      <c r="A2980" s="35" t="s">
        <v>6180</v>
      </c>
      <c r="B2980" s="35" t="s">
        <v>6181</v>
      </c>
      <c r="C2980" s="35" t="s">
        <v>7758</v>
      </c>
      <c r="D2980" s="35" t="s">
        <v>204</v>
      </c>
      <c r="E2980" s="35" t="s">
        <v>527</v>
      </c>
      <c r="F2980" s="35">
        <v>131.0</v>
      </c>
      <c r="G2980" s="35">
        <v>3.7</v>
      </c>
      <c r="H2980" s="35">
        <v>35.4</v>
      </c>
      <c r="I2980" s="35" t="s">
        <v>75</v>
      </c>
    </row>
    <row r="2981" ht="22.5" customHeight="1">
      <c r="A2981" s="35" t="s">
        <v>6182</v>
      </c>
      <c r="B2981" s="35" t="s">
        <v>6183</v>
      </c>
      <c r="C2981" s="35" t="s">
        <v>7758</v>
      </c>
      <c r="D2981" s="35" t="s">
        <v>169</v>
      </c>
      <c r="E2981" s="35" t="s">
        <v>449</v>
      </c>
      <c r="F2981" s="35">
        <v>177.0</v>
      </c>
      <c r="G2981" s="35">
        <v>5.15</v>
      </c>
      <c r="H2981" s="35">
        <v>34.4</v>
      </c>
      <c r="I2981" s="35" t="s">
        <v>75</v>
      </c>
    </row>
    <row r="2982" ht="22.5" customHeight="1">
      <c r="A2982" s="35" t="s">
        <v>6184</v>
      </c>
      <c r="B2982" s="35" t="s">
        <v>6185</v>
      </c>
      <c r="C2982" s="35" t="s">
        <v>7758</v>
      </c>
      <c r="D2982" s="35" t="s">
        <v>169</v>
      </c>
      <c r="E2982" s="35" t="s">
        <v>449</v>
      </c>
      <c r="F2982" s="35">
        <v>377.0</v>
      </c>
      <c r="G2982" s="35">
        <v>5.44</v>
      </c>
      <c r="H2982" s="35">
        <v>69.3</v>
      </c>
      <c r="I2982" s="35" t="s">
        <v>75</v>
      </c>
    </row>
    <row r="2983" ht="22.5" customHeight="1">
      <c r="A2983" s="35" t="s">
        <v>6186</v>
      </c>
      <c r="B2983" s="35" t="s">
        <v>6187</v>
      </c>
      <c r="C2983" s="35" t="s">
        <v>7758</v>
      </c>
      <c r="D2983" s="35" t="s">
        <v>169</v>
      </c>
      <c r="E2983" s="35" t="s">
        <v>449</v>
      </c>
      <c r="F2983" s="35">
        <v>218.0</v>
      </c>
      <c r="G2983" s="35">
        <v>4.06</v>
      </c>
      <c r="H2983" s="35">
        <v>53.7</v>
      </c>
      <c r="I2983" s="35" t="s">
        <v>75</v>
      </c>
    </row>
    <row r="2984" ht="22.5" customHeight="1">
      <c r="A2984" s="35" t="s">
        <v>6188</v>
      </c>
      <c r="B2984" s="35" t="s">
        <v>6189</v>
      </c>
      <c r="C2984" s="35" t="s">
        <v>7758</v>
      </c>
      <c r="D2984" s="35" t="s">
        <v>150</v>
      </c>
      <c r="E2984" s="35" t="s">
        <v>411</v>
      </c>
      <c r="F2984" s="35">
        <v>203.0</v>
      </c>
      <c r="G2984" s="35">
        <v>0.94</v>
      </c>
      <c r="H2984" s="35">
        <v>216.0</v>
      </c>
      <c r="I2984" s="35" t="s">
        <v>75</v>
      </c>
    </row>
    <row r="2985" ht="22.5" customHeight="1">
      <c r="A2985" s="35" t="s">
        <v>6190</v>
      </c>
      <c r="B2985" s="35" t="s">
        <v>6191</v>
      </c>
      <c r="C2985" s="35" t="s">
        <v>7758</v>
      </c>
      <c r="D2985" s="35" t="s">
        <v>206</v>
      </c>
      <c r="E2985" s="35" t="s">
        <v>533</v>
      </c>
      <c r="F2985" s="35">
        <v>355.0</v>
      </c>
      <c r="G2985" s="35">
        <v>9.49</v>
      </c>
      <c r="H2985" s="35">
        <v>37.4</v>
      </c>
      <c r="I2985" s="35" t="s">
        <v>75</v>
      </c>
    </row>
    <row r="2986" ht="22.5" customHeight="1">
      <c r="A2986" s="35" t="s">
        <v>6192</v>
      </c>
      <c r="B2986" s="35" t="s">
        <v>6193</v>
      </c>
      <c r="C2986" s="35" t="s">
        <v>7758</v>
      </c>
      <c r="D2986" s="35" t="s">
        <v>191</v>
      </c>
      <c r="E2986" s="35" t="s">
        <v>504</v>
      </c>
      <c r="F2986" s="35">
        <v>1203.0</v>
      </c>
      <c r="G2986" s="35">
        <v>11.71</v>
      </c>
      <c r="H2986" s="35">
        <v>102.7</v>
      </c>
      <c r="I2986" s="35" t="s">
        <v>62</v>
      </c>
    </row>
    <row r="2987" ht="22.5" customHeight="1">
      <c r="A2987" s="35" t="s">
        <v>6194</v>
      </c>
      <c r="B2987" s="35" t="s">
        <v>6195</v>
      </c>
      <c r="C2987" s="35" t="s">
        <v>7758</v>
      </c>
      <c r="D2987" s="35" t="s">
        <v>206</v>
      </c>
      <c r="E2987" s="35" t="s">
        <v>533</v>
      </c>
      <c r="F2987" s="35">
        <v>197.0</v>
      </c>
      <c r="G2987" s="35">
        <v>4.75</v>
      </c>
      <c r="H2987" s="35">
        <v>41.5</v>
      </c>
      <c r="I2987" s="35" t="s">
        <v>75</v>
      </c>
    </row>
    <row r="2988" ht="22.5" customHeight="1">
      <c r="A2988" s="35" t="s">
        <v>6196</v>
      </c>
      <c r="B2988" s="35" t="s">
        <v>6197</v>
      </c>
      <c r="C2988" s="35" t="s">
        <v>7758</v>
      </c>
      <c r="D2988" s="35" t="s">
        <v>118</v>
      </c>
      <c r="E2988" s="35" t="s">
        <v>300</v>
      </c>
      <c r="F2988" s="35">
        <v>246.0</v>
      </c>
      <c r="G2988" s="35">
        <v>2.97</v>
      </c>
      <c r="H2988" s="35">
        <v>82.8</v>
      </c>
      <c r="I2988" s="35" t="s">
        <v>75</v>
      </c>
    </row>
    <row r="2989" ht="22.5" customHeight="1">
      <c r="A2989" s="35" t="s">
        <v>6198</v>
      </c>
      <c r="B2989" s="35" t="s">
        <v>6199</v>
      </c>
      <c r="C2989" s="35" t="s">
        <v>7758</v>
      </c>
      <c r="D2989" s="35" t="s">
        <v>187</v>
      </c>
      <c r="E2989" s="35" t="s">
        <v>488</v>
      </c>
      <c r="F2989" s="35">
        <v>267.0</v>
      </c>
      <c r="G2989" s="35">
        <v>6.88</v>
      </c>
      <c r="H2989" s="35">
        <v>38.8</v>
      </c>
      <c r="I2989" s="35" t="s">
        <v>75</v>
      </c>
    </row>
    <row r="2990" ht="22.5" customHeight="1">
      <c r="A2990" s="35" t="s">
        <v>6200</v>
      </c>
      <c r="B2990" s="35" t="s">
        <v>6201</v>
      </c>
      <c r="C2990" s="35" t="s">
        <v>7758</v>
      </c>
      <c r="D2990" s="35" t="s">
        <v>128</v>
      </c>
      <c r="E2990" s="35" t="s">
        <v>338</v>
      </c>
      <c r="F2990" s="35">
        <v>244.0</v>
      </c>
      <c r="G2990" s="35">
        <v>7.19</v>
      </c>
      <c r="H2990" s="35">
        <v>33.9</v>
      </c>
      <c r="I2990" s="35" t="s">
        <v>75</v>
      </c>
    </row>
    <row r="2991" ht="22.5" customHeight="1">
      <c r="A2991" s="35" t="s">
        <v>6202</v>
      </c>
      <c r="B2991" s="35" t="s">
        <v>6203</v>
      </c>
      <c r="C2991" s="35" t="s">
        <v>7758</v>
      </c>
      <c r="D2991" s="35" t="s">
        <v>150</v>
      </c>
      <c r="E2991" s="35" t="s">
        <v>411</v>
      </c>
      <c r="F2991" s="35">
        <v>228.0</v>
      </c>
      <c r="G2991" s="35">
        <v>3.87</v>
      </c>
      <c r="H2991" s="35">
        <v>58.9</v>
      </c>
      <c r="I2991" s="35" t="s">
        <v>75</v>
      </c>
    </row>
    <row r="2992" ht="22.5" customHeight="1">
      <c r="A2992" s="35" t="s">
        <v>6204</v>
      </c>
      <c r="B2992" s="35" t="s">
        <v>6205</v>
      </c>
      <c r="C2992" s="35" t="s">
        <v>7758</v>
      </c>
      <c r="D2992" s="35" t="s">
        <v>163</v>
      </c>
      <c r="E2992" s="35" t="s">
        <v>441</v>
      </c>
      <c r="F2992" s="35">
        <v>834.0</v>
      </c>
      <c r="G2992" s="35">
        <v>18.95</v>
      </c>
      <c r="H2992" s="35">
        <v>44.0</v>
      </c>
      <c r="I2992" s="35" t="s">
        <v>62</v>
      </c>
    </row>
    <row r="2993" ht="22.5" customHeight="1">
      <c r="A2993" s="35" t="s">
        <v>6206</v>
      </c>
      <c r="B2993" s="35" t="s">
        <v>6207</v>
      </c>
      <c r="C2993" s="35" t="s">
        <v>7758</v>
      </c>
      <c r="D2993" s="35" t="s">
        <v>167</v>
      </c>
      <c r="E2993" s="35" t="s">
        <v>447</v>
      </c>
      <c r="F2993" s="35">
        <v>183.0</v>
      </c>
      <c r="G2993" s="35">
        <v>10.19</v>
      </c>
      <c r="H2993" s="35">
        <v>18.0</v>
      </c>
      <c r="I2993" s="35" t="s">
        <v>75</v>
      </c>
    </row>
    <row r="2994" ht="22.5" customHeight="1">
      <c r="A2994" s="35" t="s">
        <v>6208</v>
      </c>
      <c r="B2994" s="35" t="s">
        <v>6209</v>
      </c>
      <c r="C2994" s="35" t="s">
        <v>7758</v>
      </c>
      <c r="D2994" s="35" t="s">
        <v>206</v>
      </c>
      <c r="E2994" s="35" t="s">
        <v>533</v>
      </c>
      <c r="F2994" s="35">
        <v>138.0</v>
      </c>
      <c r="G2994" s="35">
        <v>2.41</v>
      </c>
      <c r="H2994" s="35">
        <v>57.3</v>
      </c>
      <c r="I2994" s="35" t="s">
        <v>75</v>
      </c>
    </row>
    <row r="2995" ht="22.5" customHeight="1">
      <c r="A2995" s="35" t="s">
        <v>6210</v>
      </c>
      <c r="B2995" s="35" t="s">
        <v>6211</v>
      </c>
      <c r="C2995" s="35" t="s">
        <v>7758</v>
      </c>
      <c r="D2995" s="35" t="s">
        <v>234</v>
      </c>
      <c r="E2995" s="35" t="s">
        <v>552</v>
      </c>
      <c r="F2995" s="35">
        <v>660.0</v>
      </c>
      <c r="G2995" s="35">
        <v>4.09</v>
      </c>
      <c r="H2995" s="35">
        <v>161.4</v>
      </c>
      <c r="I2995" s="35" t="s">
        <v>62</v>
      </c>
    </row>
    <row r="2996" ht="22.5" customHeight="1">
      <c r="A2996" s="35" t="s">
        <v>6212</v>
      </c>
      <c r="B2996" s="35" t="s">
        <v>6213</v>
      </c>
      <c r="C2996" s="35" t="s">
        <v>7758</v>
      </c>
      <c r="D2996" s="35" t="s">
        <v>132</v>
      </c>
      <c r="E2996" s="35" t="s">
        <v>346</v>
      </c>
      <c r="F2996" s="35">
        <v>6256.0</v>
      </c>
      <c r="G2996" s="35">
        <v>8.1</v>
      </c>
      <c r="H2996" s="35">
        <v>772.3</v>
      </c>
      <c r="I2996" s="35" t="s">
        <v>142</v>
      </c>
    </row>
    <row r="2997" ht="22.5" customHeight="1">
      <c r="A2997" s="35" t="s">
        <v>6214</v>
      </c>
      <c r="B2997" s="35" t="s">
        <v>6215</v>
      </c>
      <c r="C2997" s="35" t="s">
        <v>7758</v>
      </c>
      <c r="D2997" s="35" t="s">
        <v>132</v>
      </c>
      <c r="E2997" s="35" t="s">
        <v>346</v>
      </c>
      <c r="F2997" s="35">
        <v>3866.0</v>
      </c>
      <c r="G2997" s="35">
        <v>22.02</v>
      </c>
      <c r="H2997" s="35">
        <v>175.6</v>
      </c>
      <c r="I2997" s="35" t="s">
        <v>142</v>
      </c>
    </row>
    <row r="2998" ht="22.5" customHeight="1">
      <c r="A2998" s="35" t="s">
        <v>6216</v>
      </c>
      <c r="B2998" s="35" t="s">
        <v>6217</v>
      </c>
      <c r="C2998" s="35" t="s">
        <v>7758</v>
      </c>
      <c r="D2998" s="35" t="s">
        <v>127</v>
      </c>
      <c r="E2998" s="35" t="s">
        <v>323</v>
      </c>
      <c r="F2998" s="35">
        <v>8720.0</v>
      </c>
      <c r="G2998" s="35">
        <v>6.03</v>
      </c>
      <c r="H2998" s="35">
        <v>1446.1</v>
      </c>
      <c r="I2998" s="35" t="s">
        <v>142</v>
      </c>
    </row>
    <row r="2999" ht="22.5" customHeight="1">
      <c r="A2999" s="35" t="s">
        <v>6218</v>
      </c>
      <c r="B2999" s="35" t="s">
        <v>6219</v>
      </c>
      <c r="C2999" s="35" t="s">
        <v>7758</v>
      </c>
      <c r="D2999" s="35" t="s">
        <v>150</v>
      </c>
      <c r="E2999" s="35" t="s">
        <v>411</v>
      </c>
      <c r="F2999" s="35">
        <v>768.0</v>
      </c>
      <c r="G2999" s="35">
        <v>12.53</v>
      </c>
      <c r="H2999" s="35">
        <v>61.3</v>
      </c>
      <c r="I2999" s="35" t="s">
        <v>62</v>
      </c>
    </row>
    <row r="3000" ht="22.5" customHeight="1">
      <c r="A3000" s="35" t="s">
        <v>6220</v>
      </c>
      <c r="B3000" s="35" t="s">
        <v>6221</v>
      </c>
      <c r="C3000" s="35" t="s">
        <v>7758</v>
      </c>
      <c r="D3000" s="35" t="s">
        <v>191</v>
      </c>
      <c r="E3000" s="35" t="s">
        <v>504</v>
      </c>
      <c r="F3000" s="35">
        <v>492.0</v>
      </c>
      <c r="G3000" s="35">
        <v>12.11</v>
      </c>
      <c r="H3000" s="35">
        <v>40.6</v>
      </c>
      <c r="I3000" s="35" t="s">
        <v>75</v>
      </c>
    </row>
    <row r="3001" ht="22.5" customHeight="1">
      <c r="A3001" s="35" t="s">
        <v>6222</v>
      </c>
      <c r="B3001" s="35" t="s">
        <v>6223</v>
      </c>
      <c r="C3001" s="35" t="s">
        <v>7758</v>
      </c>
      <c r="D3001" s="35" t="s">
        <v>191</v>
      </c>
      <c r="E3001" s="35" t="s">
        <v>504</v>
      </c>
      <c r="F3001" s="35">
        <v>222.0</v>
      </c>
      <c r="G3001" s="35">
        <v>3.75</v>
      </c>
      <c r="H3001" s="35">
        <v>59.2</v>
      </c>
      <c r="I3001" s="35" t="s">
        <v>75</v>
      </c>
    </row>
    <row r="3002" ht="22.5" customHeight="1">
      <c r="A3002" s="35" t="s">
        <v>6224</v>
      </c>
      <c r="B3002" s="35" t="s">
        <v>6225</v>
      </c>
      <c r="C3002" s="35" t="s">
        <v>7758</v>
      </c>
      <c r="D3002" s="35" t="s">
        <v>163</v>
      </c>
      <c r="E3002" s="35" t="s">
        <v>441</v>
      </c>
      <c r="F3002" s="35">
        <v>835.0</v>
      </c>
      <c r="G3002" s="35">
        <v>12.61</v>
      </c>
      <c r="H3002" s="35">
        <v>66.2</v>
      </c>
      <c r="I3002" s="35" t="s">
        <v>62</v>
      </c>
    </row>
    <row r="3003" ht="22.5" customHeight="1">
      <c r="A3003" s="35" t="s">
        <v>6226</v>
      </c>
      <c r="B3003" s="35" t="s">
        <v>6227</v>
      </c>
      <c r="C3003" s="35" t="s">
        <v>7758</v>
      </c>
      <c r="D3003" s="35" t="s">
        <v>118</v>
      </c>
      <c r="E3003" s="35" t="s">
        <v>300</v>
      </c>
      <c r="F3003" s="35">
        <v>636.0</v>
      </c>
      <c r="G3003" s="35">
        <v>5.53</v>
      </c>
      <c r="H3003" s="35">
        <v>115.0</v>
      </c>
      <c r="I3003" s="35" t="s">
        <v>62</v>
      </c>
    </row>
    <row r="3004" ht="22.5" customHeight="1">
      <c r="A3004" s="35" t="s">
        <v>6228</v>
      </c>
      <c r="B3004" s="35" t="s">
        <v>6229</v>
      </c>
      <c r="C3004" s="35" t="s">
        <v>7758</v>
      </c>
      <c r="D3004" s="35" t="s">
        <v>139</v>
      </c>
      <c r="E3004" s="35" t="s">
        <v>354</v>
      </c>
      <c r="F3004" s="35">
        <v>973.0</v>
      </c>
      <c r="G3004" s="35">
        <v>4.16</v>
      </c>
      <c r="H3004" s="35">
        <v>233.9</v>
      </c>
      <c r="I3004" s="35" t="s">
        <v>62</v>
      </c>
    </row>
    <row r="3005" ht="22.5" customHeight="1">
      <c r="A3005" s="35" t="s">
        <v>6230</v>
      </c>
      <c r="B3005" s="35" t="s">
        <v>6231</v>
      </c>
      <c r="C3005" s="35" t="s">
        <v>7758</v>
      </c>
      <c r="D3005" s="35" t="s">
        <v>139</v>
      </c>
      <c r="E3005" s="35" t="s">
        <v>354</v>
      </c>
      <c r="F3005" s="35">
        <v>3321.0</v>
      </c>
      <c r="G3005" s="35">
        <v>6.25</v>
      </c>
      <c r="H3005" s="35">
        <v>531.4</v>
      </c>
      <c r="I3005" s="35" t="s">
        <v>142</v>
      </c>
    </row>
    <row r="3006" ht="22.5" customHeight="1">
      <c r="A3006" s="35" t="s">
        <v>6232</v>
      </c>
      <c r="B3006" s="35" t="s">
        <v>6233</v>
      </c>
      <c r="C3006" s="35" t="s">
        <v>7758</v>
      </c>
      <c r="D3006" s="35" t="s">
        <v>187</v>
      </c>
      <c r="E3006" s="35" t="s">
        <v>488</v>
      </c>
      <c r="F3006" s="35">
        <v>588.0</v>
      </c>
      <c r="G3006" s="35">
        <v>7.33</v>
      </c>
      <c r="H3006" s="35">
        <v>80.2</v>
      </c>
      <c r="I3006" s="35" t="s">
        <v>62</v>
      </c>
    </row>
    <row r="3007" ht="22.5" customHeight="1">
      <c r="A3007" s="35" t="s">
        <v>6234</v>
      </c>
      <c r="B3007" s="35" t="s">
        <v>6235</v>
      </c>
      <c r="C3007" s="35" t="s">
        <v>7758</v>
      </c>
      <c r="D3007" s="35" t="s">
        <v>139</v>
      </c>
      <c r="E3007" s="35" t="s">
        <v>354</v>
      </c>
      <c r="F3007" s="35">
        <v>592.0</v>
      </c>
      <c r="G3007" s="35">
        <v>3.91</v>
      </c>
      <c r="H3007" s="35">
        <v>151.4</v>
      </c>
      <c r="I3007" s="35" t="s">
        <v>62</v>
      </c>
    </row>
    <row r="3008" ht="22.5" customHeight="1">
      <c r="A3008" s="35" t="s">
        <v>6236</v>
      </c>
      <c r="B3008" s="35" t="s">
        <v>6237</v>
      </c>
      <c r="C3008" s="35" t="s">
        <v>7758</v>
      </c>
      <c r="D3008" s="35" t="s">
        <v>191</v>
      </c>
      <c r="E3008" s="35" t="s">
        <v>504</v>
      </c>
      <c r="F3008" s="35">
        <v>1084.0</v>
      </c>
      <c r="G3008" s="35">
        <v>7.21</v>
      </c>
      <c r="H3008" s="35">
        <v>150.3</v>
      </c>
      <c r="I3008" s="35" t="s">
        <v>62</v>
      </c>
    </row>
    <row r="3009" ht="22.5" customHeight="1">
      <c r="A3009" s="35" t="s">
        <v>6238</v>
      </c>
      <c r="B3009" s="35" t="s">
        <v>6239</v>
      </c>
      <c r="C3009" s="35" t="s">
        <v>7758</v>
      </c>
      <c r="D3009" s="35" t="s">
        <v>161</v>
      </c>
      <c r="E3009" s="35" t="s">
        <v>438</v>
      </c>
      <c r="F3009" s="35">
        <v>1820.0</v>
      </c>
      <c r="G3009" s="35">
        <v>16.46</v>
      </c>
      <c r="H3009" s="35">
        <v>110.6</v>
      </c>
      <c r="I3009" s="35" t="s">
        <v>62</v>
      </c>
    </row>
    <row r="3010" ht="22.5" customHeight="1">
      <c r="A3010" s="35" t="s">
        <v>6240</v>
      </c>
      <c r="B3010" s="35" t="s">
        <v>6241</v>
      </c>
      <c r="C3010" s="35" t="s">
        <v>7758</v>
      </c>
      <c r="D3010" s="35" t="s">
        <v>116</v>
      </c>
      <c r="E3010" s="35" t="s">
        <v>285</v>
      </c>
      <c r="F3010" s="35">
        <v>7973.0</v>
      </c>
      <c r="G3010" s="35">
        <v>6.53</v>
      </c>
      <c r="H3010" s="35">
        <v>1221.0</v>
      </c>
      <c r="I3010" s="35" t="s">
        <v>142</v>
      </c>
    </row>
    <row r="3011" ht="22.5" customHeight="1">
      <c r="A3011" s="35" t="s">
        <v>6242</v>
      </c>
      <c r="B3011" s="35" t="s">
        <v>6243</v>
      </c>
      <c r="C3011" s="35" t="s">
        <v>7758</v>
      </c>
      <c r="D3011" s="35" t="s">
        <v>132</v>
      </c>
      <c r="E3011" s="35" t="s">
        <v>346</v>
      </c>
      <c r="F3011" s="35">
        <v>1551.0</v>
      </c>
      <c r="G3011" s="35">
        <v>6.52</v>
      </c>
      <c r="H3011" s="35">
        <v>237.9</v>
      </c>
      <c r="I3011" s="35" t="s">
        <v>62</v>
      </c>
    </row>
    <row r="3012" ht="22.5" customHeight="1">
      <c r="A3012" s="35" t="s">
        <v>6244</v>
      </c>
      <c r="B3012" s="35" t="s">
        <v>6245</v>
      </c>
      <c r="C3012" s="35" t="s">
        <v>7758</v>
      </c>
      <c r="D3012" s="35" t="s">
        <v>204</v>
      </c>
      <c r="E3012" s="35" t="s">
        <v>527</v>
      </c>
      <c r="F3012" s="35">
        <v>425.0</v>
      </c>
      <c r="G3012" s="35">
        <v>4.28</v>
      </c>
      <c r="H3012" s="35">
        <v>99.3</v>
      </c>
      <c r="I3012" s="35" t="s">
        <v>75</v>
      </c>
    </row>
    <row r="3013" ht="22.5" customHeight="1">
      <c r="A3013" s="35" t="s">
        <v>6246</v>
      </c>
      <c r="B3013" s="35" t="s">
        <v>6247</v>
      </c>
      <c r="C3013" s="35" t="s">
        <v>7759</v>
      </c>
      <c r="D3013" s="35" t="s">
        <v>121</v>
      </c>
      <c r="E3013" s="35" t="s">
        <v>325</v>
      </c>
      <c r="F3013" s="35">
        <v>22395.0</v>
      </c>
      <c r="G3013" s="35">
        <v>26.24</v>
      </c>
      <c r="H3013" s="35">
        <v>853.5</v>
      </c>
      <c r="I3013" s="35" t="s">
        <v>571</v>
      </c>
    </row>
    <row r="3014" ht="22.5" customHeight="1">
      <c r="A3014" s="35" t="s">
        <v>6248</v>
      </c>
      <c r="B3014" s="35" t="s">
        <v>6249</v>
      </c>
      <c r="C3014" s="35" t="s">
        <v>7759</v>
      </c>
      <c r="D3014" s="35" t="s">
        <v>230</v>
      </c>
      <c r="E3014" s="35" t="s">
        <v>402</v>
      </c>
      <c r="F3014" s="35">
        <v>263.0</v>
      </c>
      <c r="G3014" s="35">
        <v>9.52</v>
      </c>
      <c r="H3014" s="35">
        <v>27.6</v>
      </c>
      <c r="I3014" s="35" t="s">
        <v>75</v>
      </c>
    </row>
    <row r="3015" ht="22.5" customHeight="1">
      <c r="A3015" s="35" t="s">
        <v>6250</v>
      </c>
      <c r="B3015" s="35" t="s">
        <v>6251</v>
      </c>
      <c r="C3015" s="35" t="s">
        <v>7759</v>
      </c>
      <c r="D3015" s="35" t="s">
        <v>197</v>
      </c>
      <c r="E3015" s="35" t="s">
        <v>517</v>
      </c>
      <c r="F3015" s="35">
        <v>590.0</v>
      </c>
      <c r="G3015" s="35">
        <v>7.18</v>
      </c>
      <c r="H3015" s="35">
        <v>82.2</v>
      </c>
      <c r="I3015" s="35" t="s">
        <v>62</v>
      </c>
    </row>
    <row r="3016" ht="22.5" customHeight="1">
      <c r="A3016" s="35" t="s">
        <v>6252</v>
      </c>
      <c r="B3016" s="35" t="s">
        <v>6253</v>
      </c>
      <c r="C3016" s="35" t="s">
        <v>7759</v>
      </c>
      <c r="D3016" s="35" t="s">
        <v>212</v>
      </c>
      <c r="E3016" s="35" t="s">
        <v>549</v>
      </c>
      <c r="F3016" s="35">
        <v>501.0</v>
      </c>
      <c r="G3016" s="35">
        <v>12.32</v>
      </c>
      <c r="H3016" s="35">
        <v>40.7</v>
      </c>
      <c r="I3016" s="35" t="s">
        <v>62</v>
      </c>
    </row>
    <row r="3017" ht="22.5" customHeight="1">
      <c r="A3017" s="35" t="s">
        <v>6254</v>
      </c>
      <c r="B3017" s="35" t="s">
        <v>6255</v>
      </c>
      <c r="C3017" s="35" t="s">
        <v>7759</v>
      </c>
      <c r="D3017" s="35" t="s">
        <v>207</v>
      </c>
      <c r="E3017" s="35" t="s">
        <v>534</v>
      </c>
      <c r="F3017" s="35">
        <v>83.0</v>
      </c>
      <c r="G3017" s="35">
        <v>3.3</v>
      </c>
      <c r="H3017" s="35">
        <v>25.2</v>
      </c>
      <c r="I3017" s="35" t="s">
        <v>75</v>
      </c>
    </row>
    <row r="3018" ht="22.5" customHeight="1">
      <c r="A3018" s="35" t="s">
        <v>6256</v>
      </c>
      <c r="B3018" s="35" t="s">
        <v>6257</v>
      </c>
      <c r="C3018" s="35" t="s">
        <v>7759</v>
      </c>
      <c r="D3018" s="35" t="s">
        <v>225</v>
      </c>
      <c r="E3018" s="35" t="s">
        <v>387</v>
      </c>
      <c r="F3018" s="35">
        <v>215.0</v>
      </c>
      <c r="G3018" s="35">
        <v>5.98</v>
      </c>
      <c r="H3018" s="35">
        <v>36.0</v>
      </c>
      <c r="I3018" s="35" t="s">
        <v>75</v>
      </c>
    </row>
    <row r="3019" ht="22.5" customHeight="1">
      <c r="A3019" s="35" t="s">
        <v>6258</v>
      </c>
      <c r="B3019" s="35" t="s">
        <v>6259</v>
      </c>
      <c r="C3019" s="35" t="s">
        <v>7759</v>
      </c>
      <c r="D3019" s="35" t="s">
        <v>212</v>
      </c>
      <c r="E3019" s="35" t="s">
        <v>549</v>
      </c>
      <c r="F3019" s="35">
        <v>904.0</v>
      </c>
      <c r="G3019" s="35">
        <v>10.78</v>
      </c>
      <c r="H3019" s="35">
        <v>83.9</v>
      </c>
      <c r="I3019" s="35" t="s">
        <v>62</v>
      </c>
    </row>
    <row r="3020" ht="22.5" customHeight="1">
      <c r="A3020" s="35" t="s">
        <v>6260</v>
      </c>
      <c r="B3020" s="35" t="s">
        <v>6261</v>
      </c>
      <c r="C3020" s="35" t="s">
        <v>7759</v>
      </c>
      <c r="D3020" s="35" t="s">
        <v>225</v>
      </c>
      <c r="E3020" s="35" t="s">
        <v>387</v>
      </c>
      <c r="F3020" s="35">
        <v>1024.0</v>
      </c>
      <c r="G3020" s="35">
        <v>10.86</v>
      </c>
      <c r="H3020" s="35">
        <v>94.3</v>
      </c>
      <c r="I3020" s="35" t="s">
        <v>62</v>
      </c>
    </row>
    <row r="3021" ht="22.5" customHeight="1">
      <c r="A3021" s="35" t="s">
        <v>6262</v>
      </c>
      <c r="B3021" s="35" t="s">
        <v>6263</v>
      </c>
      <c r="C3021" s="35" t="s">
        <v>7759</v>
      </c>
      <c r="D3021" s="35" t="s">
        <v>148</v>
      </c>
      <c r="E3021" s="35" t="s">
        <v>360</v>
      </c>
      <c r="F3021" s="35">
        <v>2648.0</v>
      </c>
      <c r="G3021" s="35">
        <v>25.37</v>
      </c>
      <c r="H3021" s="35">
        <v>104.4</v>
      </c>
      <c r="I3021" s="35" t="s">
        <v>142</v>
      </c>
    </row>
    <row r="3022" ht="22.5" customHeight="1">
      <c r="A3022" s="35" t="s">
        <v>6264</v>
      </c>
      <c r="B3022" s="35" t="s">
        <v>6265</v>
      </c>
      <c r="C3022" s="35" t="s">
        <v>7759</v>
      </c>
      <c r="D3022" s="35" t="s">
        <v>218</v>
      </c>
      <c r="E3022" s="35" t="s">
        <v>374</v>
      </c>
      <c r="F3022" s="35">
        <v>3003.0</v>
      </c>
      <c r="G3022" s="35">
        <v>15.1</v>
      </c>
      <c r="H3022" s="35">
        <v>198.9</v>
      </c>
      <c r="I3022" s="35" t="s">
        <v>142</v>
      </c>
    </row>
    <row r="3023" ht="22.5" customHeight="1">
      <c r="A3023" s="35" t="s">
        <v>6266</v>
      </c>
      <c r="B3023" s="35" t="s">
        <v>6267</v>
      </c>
      <c r="C3023" s="35" t="s">
        <v>7759</v>
      </c>
      <c r="D3023" s="35" t="s">
        <v>229</v>
      </c>
      <c r="E3023" s="35" t="s">
        <v>400</v>
      </c>
      <c r="F3023" s="35">
        <v>2204.0</v>
      </c>
      <c r="G3023" s="35">
        <v>24.83</v>
      </c>
      <c r="H3023" s="35">
        <v>88.8</v>
      </c>
      <c r="I3023" s="35" t="s">
        <v>142</v>
      </c>
    </row>
    <row r="3024" ht="22.5" customHeight="1">
      <c r="A3024" s="35" t="s">
        <v>6268</v>
      </c>
      <c r="B3024" s="35" t="s">
        <v>6269</v>
      </c>
      <c r="C3024" s="35" t="s">
        <v>7759</v>
      </c>
      <c r="D3024" s="35" t="s">
        <v>158</v>
      </c>
      <c r="E3024" s="35" t="s">
        <v>427</v>
      </c>
      <c r="F3024" s="35">
        <v>69.0</v>
      </c>
      <c r="G3024" s="35">
        <v>3.58</v>
      </c>
      <c r="H3024" s="35">
        <v>19.3</v>
      </c>
      <c r="I3024" s="35" t="s">
        <v>75</v>
      </c>
    </row>
    <row r="3025" ht="22.5" customHeight="1">
      <c r="A3025" s="35" t="s">
        <v>6270</v>
      </c>
      <c r="B3025" s="35" t="s">
        <v>6271</v>
      </c>
      <c r="C3025" s="35" t="s">
        <v>7759</v>
      </c>
      <c r="D3025" s="35" t="s">
        <v>158</v>
      </c>
      <c r="E3025" s="35" t="s">
        <v>427</v>
      </c>
      <c r="F3025" s="35">
        <v>66.0</v>
      </c>
      <c r="G3025" s="35">
        <v>3.68</v>
      </c>
      <c r="H3025" s="35">
        <v>17.9</v>
      </c>
      <c r="I3025" s="35" t="s">
        <v>75</v>
      </c>
    </row>
    <row r="3026" ht="22.5" customHeight="1">
      <c r="A3026" s="35" t="s">
        <v>6272</v>
      </c>
      <c r="B3026" s="35" t="s">
        <v>6273</v>
      </c>
      <c r="C3026" s="35" t="s">
        <v>7759</v>
      </c>
      <c r="D3026" s="35" t="s">
        <v>197</v>
      </c>
      <c r="E3026" s="35" t="s">
        <v>517</v>
      </c>
      <c r="F3026" s="35">
        <v>9521.0</v>
      </c>
      <c r="G3026" s="35">
        <v>13.85</v>
      </c>
      <c r="H3026" s="35">
        <v>687.4</v>
      </c>
      <c r="I3026" s="35" t="s">
        <v>142</v>
      </c>
    </row>
    <row r="3027" ht="22.5" customHeight="1">
      <c r="A3027" s="35" t="s">
        <v>6274</v>
      </c>
      <c r="B3027" s="35" t="s">
        <v>6275</v>
      </c>
      <c r="C3027" s="35" t="s">
        <v>7759</v>
      </c>
      <c r="D3027" s="35" t="s">
        <v>158</v>
      </c>
      <c r="E3027" s="35" t="s">
        <v>427</v>
      </c>
      <c r="F3027" s="35">
        <v>419.0</v>
      </c>
      <c r="G3027" s="35">
        <v>8.4</v>
      </c>
      <c r="H3027" s="35">
        <v>49.9</v>
      </c>
      <c r="I3027" s="35" t="s">
        <v>75</v>
      </c>
    </row>
    <row r="3028" ht="22.5" customHeight="1">
      <c r="A3028" s="35" t="s">
        <v>6276</v>
      </c>
      <c r="B3028" s="35" t="s">
        <v>6277</v>
      </c>
      <c r="C3028" s="35" t="s">
        <v>7759</v>
      </c>
      <c r="D3028" s="35" t="s">
        <v>178</v>
      </c>
      <c r="E3028" s="35" t="s">
        <v>475</v>
      </c>
      <c r="F3028" s="35">
        <v>253.0</v>
      </c>
      <c r="G3028" s="35">
        <v>2.2</v>
      </c>
      <c r="H3028" s="35">
        <v>115.0</v>
      </c>
      <c r="I3028" s="35" t="s">
        <v>75</v>
      </c>
    </row>
    <row r="3029" ht="22.5" customHeight="1">
      <c r="A3029" s="35" t="s">
        <v>6278</v>
      </c>
      <c r="B3029" s="35" t="s">
        <v>6279</v>
      </c>
      <c r="C3029" s="35" t="s">
        <v>7759</v>
      </c>
      <c r="D3029" s="35" t="s">
        <v>229</v>
      </c>
      <c r="E3029" s="35" t="s">
        <v>400</v>
      </c>
      <c r="F3029" s="35">
        <v>843.0</v>
      </c>
      <c r="G3029" s="35">
        <v>13.07</v>
      </c>
      <c r="H3029" s="35">
        <v>64.5</v>
      </c>
      <c r="I3029" s="35" t="s">
        <v>62</v>
      </c>
    </row>
    <row r="3030" ht="22.5" customHeight="1">
      <c r="A3030" s="35" t="s">
        <v>6280</v>
      </c>
      <c r="B3030" s="35" t="s">
        <v>6281</v>
      </c>
      <c r="C3030" s="35" t="s">
        <v>7759</v>
      </c>
      <c r="D3030" s="35" t="s">
        <v>41</v>
      </c>
      <c r="E3030" s="35" t="s">
        <v>35</v>
      </c>
      <c r="F3030" s="35">
        <v>778.0</v>
      </c>
      <c r="G3030" s="35">
        <v>10.57</v>
      </c>
      <c r="H3030" s="35">
        <v>73.6</v>
      </c>
      <c r="I3030" s="35" t="s">
        <v>62</v>
      </c>
    </row>
    <row r="3031" ht="22.5" customHeight="1">
      <c r="A3031" s="35" t="s">
        <v>6282</v>
      </c>
      <c r="B3031" s="35" t="s">
        <v>6283</v>
      </c>
      <c r="C3031" s="35" t="s">
        <v>7759</v>
      </c>
      <c r="D3031" s="35" t="s">
        <v>41</v>
      </c>
      <c r="E3031" s="35" t="s">
        <v>35</v>
      </c>
      <c r="F3031" s="35">
        <v>136449.0</v>
      </c>
      <c r="G3031" s="35">
        <v>50.4</v>
      </c>
      <c r="H3031" s="35">
        <v>2707.3</v>
      </c>
      <c r="I3031" s="35" t="s">
        <v>7463</v>
      </c>
    </row>
    <row r="3032" ht="22.5" customHeight="1">
      <c r="A3032" s="35" t="s">
        <v>6284</v>
      </c>
      <c r="B3032" s="35" t="s">
        <v>6285</v>
      </c>
      <c r="C3032" s="35" t="s">
        <v>7759</v>
      </c>
      <c r="D3032" s="35" t="s">
        <v>229</v>
      </c>
      <c r="E3032" s="35" t="s">
        <v>400</v>
      </c>
      <c r="F3032" s="35">
        <v>233.0</v>
      </c>
      <c r="G3032" s="35">
        <v>8.43</v>
      </c>
      <c r="H3032" s="35">
        <v>27.6</v>
      </c>
      <c r="I3032" s="35" t="s">
        <v>75</v>
      </c>
    </row>
    <row r="3033" ht="22.5" customHeight="1">
      <c r="A3033" s="35" t="s">
        <v>6286</v>
      </c>
      <c r="B3033" s="35" t="s">
        <v>6287</v>
      </c>
      <c r="C3033" s="35" t="s">
        <v>7759</v>
      </c>
      <c r="D3033" s="35" t="s">
        <v>185</v>
      </c>
      <c r="E3033" s="35" t="s">
        <v>485</v>
      </c>
      <c r="F3033" s="35">
        <v>282.0</v>
      </c>
      <c r="G3033" s="35">
        <v>7.82</v>
      </c>
      <c r="H3033" s="35">
        <v>36.1</v>
      </c>
      <c r="I3033" s="35" t="s">
        <v>75</v>
      </c>
    </row>
    <row r="3034" ht="22.5" customHeight="1">
      <c r="A3034" s="35" t="s">
        <v>6288</v>
      </c>
      <c r="B3034" s="35" t="s">
        <v>6289</v>
      </c>
      <c r="C3034" s="35" t="s">
        <v>7759</v>
      </c>
      <c r="D3034" s="35" t="s">
        <v>218</v>
      </c>
      <c r="E3034" s="35" t="s">
        <v>374</v>
      </c>
      <c r="F3034" s="35">
        <v>543.0</v>
      </c>
      <c r="G3034" s="35">
        <v>10.27</v>
      </c>
      <c r="H3034" s="35">
        <v>52.9</v>
      </c>
      <c r="I3034" s="35" t="s">
        <v>62</v>
      </c>
    </row>
    <row r="3035" ht="22.5" customHeight="1">
      <c r="A3035" s="35" t="s">
        <v>6290</v>
      </c>
      <c r="B3035" s="35" t="s">
        <v>6291</v>
      </c>
      <c r="C3035" s="35" t="s">
        <v>7759</v>
      </c>
      <c r="D3035" s="35" t="s">
        <v>225</v>
      </c>
      <c r="E3035" s="35" t="s">
        <v>387</v>
      </c>
      <c r="F3035" s="35">
        <v>322.0</v>
      </c>
      <c r="G3035" s="35">
        <v>9.48</v>
      </c>
      <c r="H3035" s="35">
        <v>34.0</v>
      </c>
      <c r="I3035" s="35" t="s">
        <v>75</v>
      </c>
    </row>
    <row r="3036" ht="22.5" customHeight="1">
      <c r="A3036" s="35" t="s">
        <v>6292</v>
      </c>
      <c r="B3036" s="35" t="s">
        <v>6293</v>
      </c>
      <c r="C3036" s="35" t="s">
        <v>7759</v>
      </c>
      <c r="D3036" s="35" t="s">
        <v>229</v>
      </c>
      <c r="E3036" s="35" t="s">
        <v>400</v>
      </c>
      <c r="F3036" s="35">
        <v>31.0</v>
      </c>
      <c r="G3036" s="35">
        <v>2.55</v>
      </c>
      <c r="H3036" s="35">
        <v>12.2</v>
      </c>
      <c r="I3036" s="35" t="s">
        <v>75</v>
      </c>
    </row>
    <row r="3037" ht="22.5" customHeight="1">
      <c r="A3037" s="35" t="s">
        <v>6294</v>
      </c>
      <c r="B3037" s="35" t="s">
        <v>3174</v>
      </c>
      <c r="C3037" s="35" t="s">
        <v>7759</v>
      </c>
      <c r="D3037" s="35" t="s">
        <v>185</v>
      </c>
      <c r="E3037" s="35" t="s">
        <v>485</v>
      </c>
      <c r="F3037" s="35">
        <v>33.0</v>
      </c>
      <c r="G3037" s="35">
        <v>2.17</v>
      </c>
      <c r="H3037" s="35">
        <v>15.2</v>
      </c>
      <c r="I3037" s="35" t="s">
        <v>75</v>
      </c>
    </row>
    <row r="3038" ht="22.5" customHeight="1">
      <c r="A3038" s="35" t="s">
        <v>6295</v>
      </c>
      <c r="B3038" s="35" t="s">
        <v>6296</v>
      </c>
      <c r="C3038" s="35" t="s">
        <v>7759</v>
      </c>
      <c r="D3038" s="35" t="s">
        <v>197</v>
      </c>
      <c r="E3038" s="35" t="s">
        <v>517</v>
      </c>
      <c r="F3038" s="35">
        <v>152.0</v>
      </c>
      <c r="G3038" s="35">
        <v>7.7</v>
      </c>
      <c r="H3038" s="35">
        <v>19.7</v>
      </c>
      <c r="I3038" s="35" t="s">
        <v>75</v>
      </c>
    </row>
    <row r="3039" ht="22.5" customHeight="1">
      <c r="A3039" s="35" t="s">
        <v>6297</v>
      </c>
      <c r="B3039" s="35" t="s">
        <v>6298</v>
      </c>
      <c r="C3039" s="35" t="s">
        <v>7759</v>
      </c>
      <c r="D3039" s="35" t="s">
        <v>121</v>
      </c>
      <c r="E3039" s="35" t="s">
        <v>325</v>
      </c>
      <c r="F3039" s="35">
        <v>820.0</v>
      </c>
      <c r="G3039" s="35">
        <v>11.13</v>
      </c>
      <c r="H3039" s="35">
        <v>73.7</v>
      </c>
      <c r="I3039" s="35" t="s">
        <v>62</v>
      </c>
    </row>
    <row r="3040" ht="22.5" customHeight="1">
      <c r="A3040" s="35" t="s">
        <v>6299</v>
      </c>
      <c r="B3040" s="35" t="s">
        <v>6300</v>
      </c>
      <c r="C3040" s="35" t="s">
        <v>7759</v>
      </c>
      <c r="D3040" s="35" t="s">
        <v>225</v>
      </c>
      <c r="E3040" s="35" t="s">
        <v>387</v>
      </c>
      <c r="F3040" s="35">
        <v>212.0</v>
      </c>
      <c r="G3040" s="35">
        <v>7.41</v>
      </c>
      <c r="H3040" s="35">
        <v>28.6</v>
      </c>
      <c r="I3040" s="35" t="s">
        <v>75</v>
      </c>
    </row>
    <row r="3041" ht="22.5" customHeight="1">
      <c r="A3041" s="35" t="s">
        <v>6301</v>
      </c>
      <c r="B3041" s="35" t="s">
        <v>6302</v>
      </c>
      <c r="C3041" s="35" t="s">
        <v>7759</v>
      </c>
      <c r="D3041" s="35" t="s">
        <v>148</v>
      </c>
      <c r="E3041" s="35" t="s">
        <v>360</v>
      </c>
      <c r="F3041" s="35">
        <v>759.0</v>
      </c>
      <c r="G3041" s="35">
        <v>12.77</v>
      </c>
      <c r="H3041" s="35">
        <v>59.4</v>
      </c>
      <c r="I3041" s="35" t="s">
        <v>62</v>
      </c>
    </row>
    <row r="3042" ht="22.5" customHeight="1">
      <c r="A3042" s="35" t="s">
        <v>6303</v>
      </c>
      <c r="B3042" s="35" t="s">
        <v>6304</v>
      </c>
      <c r="C3042" s="35" t="s">
        <v>7759</v>
      </c>
      <c r="D3042" s="35" t="s">
        <v>185</v>
      </c>
      <c r="E3042" s="35" t="s">
        <v>485</v>
      </c>
      <c r="F3042" s="35">
        <v>136.0</v>
      </c>
      <c r="G3042" s="35">
        <v>7.31</v>
      </c>
      <c r="H3042" s="35">
        <v>18.6</v>
      </c>
      <c r="I3042" s="35" t="s">
        <v>75</v>
      </c>
    </row>
    <row r="3043" ht="22.5" customHeight="1">
      <c r="A3043" s="35" t="s">
        <v>6305</v>
      </c>
      <c r="B3043" s="35" t="s">
        <v>6306</v>
      </c>
      <c r="C3043" s="35" t="s">
        <v>7759</v>
      </c>
      <c r="D3043" s="35" t="s">
        <v>230</v>
      </c>
      <c r="E3043" s="35" t="s">
        <v>402</v>
      </c>
      <c r="F3043" s="35">
        <v>311.0</v>
      </c>
      <c r="G3043" s="35">
        <v>5.52</v>
      </c>
      <c r="H3043" s="35">
        <v>56.3</v>
      </c>
      <c r="I3043" s="35" t="s">
        <v>75</v>
      </c>
    </row>
    <row r="3044" ht="22.5" customHeight="1">
      <c r="A3044" s="35" t="s">
        <v>6307</v>
      </c>
      <c r="B3044" s="35" t="s">
        <v>4568</v>
      </c>
      <c r="C3044" s="35" t="s">
        <v>7759</v>
      </c>
      <c r="D3044" s="35" t="s">
        <v>152</v>
      </c>
      <c r="E3044" s="35" t="s">
        <v>417</v>
      </c>
      <c r="F3044" s="35">
        <v>614.0</v>
      </c>
      <c r="G3044" s="35">
        <v>10.81</v>
      </c>
      <c r="H3044" s="35">
        <v>56.8</v>
      </c>
      <c r="I3044" s="35" t="s">
        <v>62</v>
      </c>
    </row>
    <row r="3045" ht="22.5" customHeight="1">
      <c r="A3045" s="35" t="s">
        <v>6308</v>
      </c>
      <c r="B3045" s="35" t="s">
        <v>6309</v>
      </c>
      <c r="C3045" s="35" t="s">
        <v>7759</v>
      </c>
      <c r="D3045" s="35" t="s">
        <v>148</v>
      </c>
      <c r="E3045" s="35" t="s">
        <v>360</v>
      </c>
      <c r="F3045" s="35">
        <v>69.0</v>
      </c>
      <c r="G3045" s="35">
        <v>3.85</v>
      </c>
      <c r="H3045" s="35">
        <v>17.9</v>
      </c>
      <c r="I3045" s="35" t="s">
        <v>75</v>
      </c>
    </row>
    <row r="3046" ht="22.5" customHeight="1">
      <c r="A3046" s="35" t="s">
        <v>6310</v>
      </c>
      <c r="B3046" s="35" t="s">
        <v>6311</v>
      </c>
      <c r="C3046" s="35" t="s">
        <v>7759</v>
      </c>
      <c r="D3046" s="35" t="s">
        <v>210</v>
      </c>
      <c r="E3046" s="35" t="s">
        <v>537</v>
      </c>
      <c r="F3046" s="35">
        <v>502.0</v>
      </c>
      <c r="G3046" s="35">
        <v>9.69</v>
      </c>
      <c r="H3046" s="35">
        <v>51.8</v>
      </c>
      <c r="I3046" s="35" t="s">
        <v>62</v>
      </c>
    </row>
    <row r="3047" ht="22.5" customHeight="1">
      <c r="A3047" s="35" t="s">
        <v>6312</v>
      </c>
      <c r="B3047" s="35" t="s">
        <v>6313</v>
      </c>
      <c r="C3047" s="35" t="s">
        <v>7759</v>
      </c>
      <c r="D3047" s="35" t="s">
        <v>148</v>
      </c>
      <c r="E3047" s="35" t="s">
        <v>360</v>
      </c>
      <c r="F3047" s="35">
        <v>170.0</v>
      </c>
      <c r="G3047" s="35">
        <v>4.89</v>
      </c>
      <c r="H3047" s="35">
        <v>34.8</v>
      </c>
      <c r="I3047" s="35" t="s">
        <v>75</v>
      </c>
    </row>
    <row r="3048" ht="22.5" customHeight="1">
      <c r="A3048" s="35" t="s">
        <v>6314</v>
      </c>
      <c r="B3048" s="35" t="s">
        <v>6315</v>
      </c>
      <c r="C3048" s="35" t="s">
        <v>7759</v>
      </c>
      <c r="D3048" s="35" t="s">
        <v>197</v>
      </c>
      <c r="E3048" s="35" t="s">
        <v>517</v>
      </c>
      <c r="F3048" s="35">
        <v>125.0</v>
      </c>
      <c r="G3048" s="35">
        <v>5.73</v>
      </c>
      <c r="H3048" s="35">
        <v>21.8</v>
      </c>
      <c r="I3048" s="35" t="s">
        <v>75</v>
      </c>
    </row>
    <row r="3049" ht="22.5" customHeight="1">
      <c r="A3049" s="35" t="s">
        <v>6316</v>
      </c>
      <c r="B3049" s="35" t="s">
        <v>6317</v>
      </c>
      <c r="C3049" s="35" t="s">
        <v>7759</v>
      </c>
      <c r="D3049" s="35" t="s">
        <v>178</v>
      </c>
      <c r="E3049" s="35" t="s">
        <v>475</v>
      </c>
      <c r="F3049" s="35">
        <v>1346.0</v>
      </c>
      <c r="G3049" s="35">
        <v>5.97</v>
      </c>
      <c r="H3049" s="35">
        <v>225.5</v>
      </c>
      <c r="I3049" s="35" t="s">
        <v>62</v>
      </c>
    </row>
    <row r="3050" ht="22.5" customHeight="1">
      <c r="A3050" s="35" t="s">
        <v>6318</v>
      </c>
      <c r="B3050" s="35" t="s">
        <v>6319</v>
      </c>
      <c r="C3050" s="35" t="s">
        <v>7759</v>
      </c>
      <c r="D3050" s="35" t="s">
        <v>229</v>
      </c>
      <c r="E3050" s="35" t="s">
        <v>400</v>
      </c>
      <c r="F3050" s="35">
        <v>170.0</v>
      </c>
      <c r="G3050" s="35">
        <v>5.57</v>
      </c>
      <c r="H3050" s="35">
        <v>30.5</v>
      </c>
      <c r="I3050" s="35" t="s">
        <v>75</v>
      </c>
    </row>
    <row r="3051" ht="22.5" customHeight="1">
      <c r="A3051" s="35" t="s">
        <v>6320</v>
      </c>
      <c r="B3051" s="35" t="s">
        <v>6321</v>
      </c>
      <c r="C3051" s="35" t="s">
        <v>7759</v>
      </c>
      <c r="D3051" s="35" t="s">
        <v>229</v>
      </c>
      <c r="E3051" s="35" t="s">
        <v>400</v>
      </c>
      <c r="F3051" s="35">
        <v>119.0</v>
      </c>
      <c r="G3051" s="35">
        <v>3.32</v>
      </c>
      <c r="H3051" s="35">
        <v>35.8</v>
      </c>
      <c r="I3051" s="35" t="s">
        <v>75</v>
      </c>
    </row>
    <row r="3052" ht="22.5" customHeight="1">
      <c r="A3052" s="35" t="s">
        <v>6322</v>
      </c>
      <c r="B3052" s="35" t="s">
        <v>6323</v>
      </c>
      <c r="C3052" s="35" t="s">
        <v>7759</v>
      </c>
      <c r="D3052" s="35" t="s">
        <v>207</v>
      </c>
      <c r="E3052" s="35" t="s">
        <v>534</v>
      </c>
      <c r="F3052" s="35">
        <v>120.0</v>
      </c>
      <c r="G3052" s="35">
        <v>8.27</v>
      </c>
      <c r="H3052" s="35">
        <v>14.5</v>
      </c>
      <c r="I3052" s="35" t="s">
        <v>75</v>
      </c>
    </row>
    <row r="3053" ht="22.5" customHeight="1">
      <c r="A3053" s="35" t="s">
        <v>6324</v>
      </c>
      <c r="B3053" s="35" t="s">
        <v>6325</v>
      </c>
      <c r="C3053" s="35" t="s">
        <v>7759</v>
      </c>
      <c r="D3053" s="35" t="s">
        <v>197</v>
      </c>
      <c r="E3053" s="35" t="s">
        <v>517</v>
      </c>
      <c r="F3053" s="35">
        <v>246.0</v>
      </c>
      <c r="G3053" s="35">
        <v>10.02</v>
      </c>
      <c r="H3053" s="35">
        <v>24.6</v>
      </c>
      <c r="I3053" s="35" t="s">
        <v>75</v>
      </c>
    </row>
    <row r="3054" ht="22.5" customHeight="1">
      <c r="A3054" s="35" t="s">
        <v>6326</v>
      </c>
      <c r="B3054" s="35" t="s">
        <v>6327</v>
      </c>
      <c r="C3054" s="35" t="s">
        <v>7759</v>
      </c>
      <c r="D3054" s="35" t="s">
        <v>207</v>
      </c>
      <c r="E3054" s="35" t="s">
        <v>534</v>
      </c>
      <c r="F3054" s="35">
        <v>393.0</v>
      </c>
      <c r="G3054" s="35">
        <v>4.59</v>
      </c>
      <c r="H3054" s="35">
        <v>85.6</v>
      </c>
      <c r="I3054" s="35" t="s">
        <v>75</v>
      </c>
    </row>
    <row r="3055" ht="22.5" customHeight="1">
      <c r="A3055" s="35" t="s">
        <v>6328</v>
      </c>
      <c r="B3055" s="35" t="s">
        <v>6329</v>
      </c>
      <c r="C3055" s="35" t="s">
        <v>7759</v>
      </c>
      <c r="D3055" s="35" t="s">
        <v>197</v>
      </c>
      <c r="E3055" s="35" t="s">
        <v>517</v>
      </c>
      <c r="F3055" s="35">
        <v>154.0</v>
      </c>
      <c r="G3055" s="35">
        <v>3.57</v>
      </c>
      <c r="H3055" s="35">
        <v>43.1</v>
      </c>
      <c r="I3055" s="35" t="s">
        <v>75</v>
      </c>
    </row>
    <row r="3056" ht="22.5" customHeight="1">
      <c r="A3056" s="35" t="s">
        <v>6330</v>
      </c>
      <c r="B3056" s="35" t="s">
        <v>6331</v>
      </c>
      <c r="C3056" s="35" t="s">
        <v>7759</v>
      </c>
      <c r="D3056" s="35" t="s">
        <v>229</v>
      </c>
      <c r="E3056" s="35" t="s">
        <v>400</v>
      </c>
      <c r="F3056" s="35">
        <v>48.0</v>
      </c>
      <c r="G3056" s="35">
        <v>4.91</v>
      </c>
      <c r="H3056" s="35">
        <v>9.8</v>
      </c>
      <c r="I3056" s="35" t="s">
        <v>75</v>
      </c>
    </row>
    <row r="3057" ht="22.5" customHeight="1">
      <c r="A3057" s="35" t="s">
        <v>6332</v>
      </c>
      <c r="B3057" s="35" t="s">
        <v>6333</v>
      </c>
      <c r="C3057" s="35" t="s">
        <v>7759</v>
      </c>
      <c r="D3057" s="35" t="s">
        <v>197</v>
      </c>
      <c r="E3057" s="35" t="s">
        <v>517</v>
      </c>
      <c r="F3057" s="35">
        <v>540.0</v>
      </c>
      <c r="G3057" s="35">
        <v>6.72</v>
      </c>
      <c r="H3057" s="35">
        <v>80.4</v>
      </c>
      <c r="I3057" s="35" t="s">
        <v>62</v>
      </c>
    </row>
    <row r="3058" ht="22.5" customHeight="1">
      <c r="A3058" s="35" t="s">
        <v>6334</v>
      </c>
      <c r="B3058" s="35" t="s">
        <v>6335</v>
      </c>
      <c r="C3058" s="35" t="s">
        <v>7759</v>
      </c>
      <c r="D3058" s="35" t="s">
        <v>229</v>
      </c>
      <c r="E3058" s="35" t="s">
        <v>400</v>
      </c>
      <c r="F3058" s="35">
        <v>63.0</v>
      </c>
      <c r="G3058" s="35">
        <v>6.14</v>
      </c>
      <c r="H3058" s="35">
        <v>10.3</v>
      </c>
      <c r="I3058" s="35" t="s">
        <v>75</v>
      </c>
    </row>
    <row r="3059" ht="22.5" customHeight="1">
      <c r="A3059" s="35" t="s">
        <v>6336</v>
      </c>
      <c r="B3059" s="35" t="s">
        <v>6337</v>
      </c>
      <c r="C3059" s="35" t="s">
        <v>7759</v>
      </c>
      <c r="D3059" s="35" t="s">
        <v>185</v>
      </c>
      <c r="E3059" s="35" t="s">
        <v>485</v>
      </c>
      <c r="F3059" s="35">
        <v>152.0</v>
      </c>
      <c r="G3059" s="35">
        <v>4.67</v>
      </c>
      <c r="H3059" s="35">
        <v>32.5</v>
      </c>
      <c r="I3059" s="35" t="s">
        <v>75</v>
      </c>
    </row>
    <row r="3060" ht="22.5" customHeight="1">
      <c r="A3060" s="35" t="s">
        <v>6338</v>
      </c>
      <c r="B3060" s="35" t="s">
        <v>6339</v>
      </c>
      <c r="C3060" s="35" t="s">
        <v>7759</v>
      </c>
      <c r="D3060" s="35" t="s">
        <v>229</v>
      </c>
      <c r="E3060" s="35" t="s">
        <v>400</v>
      </c>
      <c r="F3060" s="35">
        <v>461.0</v>
      </c>
      <c r="G3060" s="35">
        <v>6.31</v>
      </c>
      <c r="H3060" s="35">
        <v>73.1</v>
      </c>
      <c r="I3060" s="35" t="s">
        <v>75</v>
      </c>
    </row>
    <row r="3061" ht="22.5" customHeight="1">
      <c r="A3061" s="35" t="s">
        <v>6340</v>
      </c>
      <c r="B3061" s="35" t="s">
        <v>1923</v>
      </c>
      <c r="C3061" s="35" t="s">
        <v>7759</v>
      </c>
      <c r="D3061" s="35" t="s">
        <v>121</v>
      </c>
      <c r="E3061" s="35" t="s">
        <v>325</v>
      </c>
      <c r="F3061" s="35">
        <v>253.0</v>
      </c>
      <c r="G3061" s="35">
        <v>14.05</v>
      </c>
      <c r="H3061" s="35">
        <v>18.0</v>
      </c>
      <c r="I3061" s="35" t="s">
        <v>75</v>
      </c>
    </row>
    <row r="3062" ht="22.5" customHeight="1">
      <c r="A3062" s="35" t="s">
        <v>6341</v>
      </c>
      <c r="B3062" s="35" t="s">
        <v>6342</v>
      </c>
      <c r="C3062" s="35" t="s">
        <v>7759</v>
      </c>
      <c r="D3062" s="35" t="s">
        <v>210</v>
      </c>
      <c r="E3062" s="35" t="s">
        <v>537</v>
      </c>
      <c r="F3062" s="35">
        <v>243.0</v>
      </c>
      <c r="G3062" s="35">
        <v>5.12</v>
      </c>
      <c r="H3062" s="35">
        <v>47.5</v>
      </c>
      <c r="I3062" s="35" t="s">
        <v>75</v>
      </c>
    </row>
    <row r="3063" ht="22.5" customHeight="1">
      <c r="A3063" s="35" t="s">
        <v>6343</v>
      </c>
      <c r="B3063" s="35" t="s">
        <v>6344</v>
      </c>
      <c r="C3063" s="35" t="s">
        <v>7759</v>
      </c>
      <c r="D3063" s="35" t="s">
        <v>185</v>
      </c>
      <c r="E3063" s="35" t="s">
        <v>485</v>
      </c>
      <c r="F3063" s="35">
        <v>78.0</v>
      </c>
      <c r="G3063" s="35">
        <v>3.31</v>
      </c>
      <c r="H3063" s="35">
        <v>23.6</v>
      </c>
      <c r="I3063" s="35" t="s">
        <v>75</v>
      </c>
    </row>
    <row r="3064" ht="22.5" customHeight="1">
      <c r="A3064" s="35" t="s">
        <v>6345</v>
      </c>
      <c r="B3064" s="35" t="s">
        <v>6346</v>
      </c>
      <c r="C3064" s="35" t="s">
        <v>7759</v>
      </c>
      <c r="D3064" s="35" t="s">
        <v>158</v>
      </c>
      <c r="E3064" s="35" t="s">
        <v>427</v>
      </c>
      <c r="F3064" s="35">
        <v>233.0</v>
      </c>
      <c r="G3064" s="35">
        <v>7.54</v>
      </c>
      <c r="H3064" s="35">
        <v>30.9</v>
      </c>
      <c r="I3064" s="35" t="s">
        <v>75</v>
      </c>
    </row>
    <row r="3065" ht="22.5" customHeight="1">
      <c r="A3065" s="35" t="s">
        <v>6347</v>
      </c>
      <c r="B3065" s="35" t="s">
        <v>4652</v>
      </c>
      <c r="C3065" s="35" t="s">
        <v>7759</v>
      </c>
      <c r="D3065" s="35" t="s">
        <v>207</v>
      </c>
      <c r="E3065" s="35" t="s">
        <v>534</v>
      </c>
      <c r="F3065" s="35">
        <v>161.0</v>
      </c>
      <c r="G3065" s="35">
        <v>11.66</v>
      </c>
      <c r="H3065" s="35">
        <v>13.8</v>
      </c>
      <c r="I3065" s="35" t="s">
        <v>75</v>
      </c>
    </row>
    <row r="3066" ht="22.5" customHeight="1">
      <c r="A3066" s="35" t="s">
        <v>6348</v>
      </c>
      <c r="B3066" s="35" t="s">
        <v>6349</v>
      </c>
      <c r="C3066" s="35" t="s">
        <v>7759</v>
      </c>
      <c r="D3066" s="35" t="s">
        <v>207</v>
      </c>
      <c r="E3066" s="35" t="s">
        <v>534</v>
      </c>
      <c r="F3066" s="35">
        <v>104.0</v>
      </c>
      <c r="G3066" s="35">
        <v>7.72</v>
      </c>
      <c r="H3066" s="35">
        <v>13.5</v>
      </c>
      <c r="I3066" s="35" t="s">
        <v>75</v>
      </c>
    </row>
    <row r="3067" ht="22.5" customHeight="1">
      <c r="A3067" s="35" t="s">
        <v>6350</v>
      </c>
      <c r="B3067" s="35" t="s">
        <v>6351</v>
      </c>
      <c r="C3067" s="35" t="s">
        <v>7759</v>
      </c>
      <c r="D3067" s="35" t="s">
        <v>197</v>
      </c>
      <c r="E3067" s="35" t="s">
        <v>517</v>
      </c>
      <c r="F3067" s="35">
        <v>70.0</v>
      </c>
      <c r="G3067" s="35">
        <v>1.86</v>
      </c>
      <c r="H3067" s="35">
        <v>37.6</v>
      </c>
      <c r="I3067" s="35" t="s">
        <v>75</v>
      </c>
    </row>
    <row r="3068" ht="22.5" customHeight="1">
      <c r="A3068" s="35" t="s">
        <v>6352</v>
      </c>
      <c r="B3068" s="35" t="s">
        <v>6353</v>
      </c>
      <c r="C3068" s="35" t="s">
        <v>7759</v>
      </c>
      <c r="D3068" s="35" t="s">
        <v>230</v>
      </c>
      <c r="E3068" s="35" t="s">
        <v>402</v>
      </c>
      <c r="F3068" s="35">
        <v>340.0</v>
      </c>
      <c r="G3068" s="35">
        <v>8.13</v>
      </c>
      <c r="H3068" s="35">
        <v>41.8</v>
      </c>
      <c r="I3068" s="35" t="s">
        <v>75</v>
      </c>
    </row>
    <row r="3069" ht="22.5" customHeight="1">
      <c r="A3069" s="35" t="s">
        <v>6354</v>
      </c>
      <c r="B3069" s="35" t="s">
        <v>6355</v>
      </c>
      <c r="C3069" s="35" t="s">
        <v>7759</v>
      </c>
      <c r="D3069" s="35" t="s">
        <v>197</v>
      </c>
      <c r="E3069" s="35" t="s">
        <v>517</v>
      </c>
      <c r="F3069" s="35">
        <v>79.0</v>
      </c>
      <c r="G3069" s="35">
        <v>5.15</v>
      </c>
      <c r="H3069" s="35">
        <v>15.3</v>
      </c>
      <c r="I3069" s="35" t="s">
        <v>75</v>
      </c>
    </row>
    <row r="3070" ht="22.5" customHeight="1">
      <c r="A3070" s="35" t="s">
        <v>6356</v>
      </c>
      <c r="B3070" s="35" t="s">
        <v>6357</v>
      </c>
      <c r="C3070" s="35" t="s">
        <v>7759</v>
      </c>
      <c r="D3070" s="35" t="s">
        <v>207</v>
      </c>
      <c r="E3070" s="35" t="s">
        <v>534</v>
      </c>
      <c r="F3070" s="35">
        <v>126.0</v>
      </c>
      <c r="G3070" s="35">
        <v>3.6</v>
      </c>
      <c r="H3070" s="35">
        <v>35.0</v>
      </c>
      <c r="I3070" s="35" t="s">
        <v>75</v>
      </c>
    </row>
    <row r="3071" ht="22.5" customHeight="1">
      <c r="A3071" s="35" t="s">
        <v>6358</v>
      </c>
      <c r="B3071" s="35" t="s">
        <v>6359</v>
      </c>
      <c r="C3071" s="35" t="s">
        <v>7759</v>
      </c>
      <c r="D3071" s="35" t="s">
        <v>229</v>
      </c>
      <c r="E3071" s="35" t="s">
        <v>400</v>
      </c>
      <c r="F3071" s="35">
        <v>207.0</v>
      </c>
      <c r="G3071" s="35">
        <v>6.75</v>
      </c>
      <c r="H3071" s="35">
        <v>30.7</v>
      </c>
      <c r="I3071" s="35" t="s">
        <v>75</v>
      </c>
    </row>
    <row r="3072" ht="22.5" customHeight="1">
      <c r="A3072" s="35" t="s">
        <v>6360</v>
      </c>
      <c r="B3072" s="35" t="s">
        <v>6361</v>
      </c>
      <c r="C3072" s="35" t="s">
        <v>7759</v>
      </c>
      <c r="D3072" s="35" t="s">
        <v>229</v>
      </c>
      <c r="E3072" s="35" t="s">
        <v>400</v>
      </c>
      <c r="F3072" s="35">
        <v>1396.0</v>
      </c>
      <c r="G3072" s="35">
        <v>5.04</v>
      </c>
      <c r="H3072" s="35">
        <v>277.0</v>
      </c>
      <c r="I3072" s="35" t="s">
        <v>62</v>
      </c>
    </row>
    <row r="3073" ht="22.5" customHeight="1">
      <c r="A3073" s="35" t="s">
        <v>6362</v>
      </c>
      <c r="B3073" s="35" t="s">
        <v>6363</v>
      </c>
      <c r="C3073" s="35" t="s">
        <v>7759</v>
      </c>
      <c r="D3073" s="35" t="s">
        <v>178</v>
      </c>
      <c r="E3073" s="35" t="s">
        <v>475</v>
      </c>
      <c r="F3073" s="35">
        <v>937.0</v>
      </c>
      <c r="G3073" s="35">
        <v>7.29</v>
      </c>
      <c r="H3073" s="35">
        <v>128.5</v>
      </c>
      <c r="I3073" s="35" t="s">
        <v>62</v>
      </c>
    </row>
    <row r="3074" ht="22.5" customHeight="1">
      <c r="A3074" s="35" t="s">
        <v>6364</v>
      </c>
      <c r="B3074" s="35" t="s">
        <v>6365</v>
      </c>
      <c r="C3074" s="35" t="s">
        <v>7759</v>
      </c>
      <c r="D3074" s="35" t="s">
        <v>148</v>
      </c>
      <c r="E3074" s="35" t="s">
        <v>360</v>
      </c>
      <c r="F3074" s="35">
        <v>161.0</v>
      </c>
      <c r="G3074" s="35">
        <v>5.93</v>
      </c>
      <c r="H3074" s="35">
        <v>27.2</v>
      </c>
      <c r="I3074" s="35" t="s">
        <v>75</v>
      </c>
    </row>
    <row r="3075" ht="22.5" customHeight="1">
      <c r="A3075" s="35" t="s">
        <v>6366</v>
      </c>
      <c r="B3075" s="35" t="s">
        <v>6367</v>
      </c>
      <c r="C3075" s="35" t="s">
        <v>7759</v>
      </c>
      <c r="D3075" s="35" t="s">
        <v>197</v>
      </c>
      <c r="E3075" s="35" t="s">
        <v>517</v>
      </c>
      <c r="F3075" s="35">
        <v>89.0</v>
      </c>
      <c r="G3075" s="35">
        <v>3.51</v>
      </c>
      <c r="H3075" s="35">
        <v>25.4</v>
      </c>
      <c r="I3075" s="35" t="s">
        <v>75</v>
      </c>
    </row>
    <row r="3076" ht="22.5" customHeight="1">
      <c r="A3076" s="35" t="s">
        <v>6368</v>
      </c>
      <c r="B3076" s="35" t="s">
        <v>6369</v>
      </c>
      <c r="C3076" s="35" t="s">
        <v>7759</v>
      </c>
      <c r="D3076" s="35" t="s">
        <v>207</v>
      </c>
      <c r="E3076" s="35" t="s">
        <v>534</v>
      </c>
      <c r="F3076" s="35">
        <v>278.0</v>
      </c>
      <c r="G3076" s="35">
        <v>5.43</v>
      </c>
      <c r="H3076" s="35">
        <v>51.2</v>
      </c>
      <c r="I3076" s="35" t="s">
        <v>75</v>
      </c>
    </row>
    <row r="3077" ht="22.5" customHeight="1">
      <c r="A3077" s="35" t="s">
        <v>6370</v>
      </c>
      <c r="B3077" s="35" t="s">
        <v>6371</v>
      </c>
      <c r="C3077" s="35" t="s">
        <v>7759</v>
      </c>
      <c r="D3077" s="35" t="s">
        <v>230</v>
      </c>
      <c r="E3077" s="35" t="s">
        <v>402</v>
      </c>
      <c r="F3077" s="35">
        <v>193.0</v>
      </c>
      <c r="G3077" s="35">
        <v>4.6</v>
      </c>
      <c r="H3077" s="35">
        <v>42.0</v>
      </c>
      <c r="I3077" s="35" t="s">
        <v>75</v>
      </c>
    </row>
    <row r="3078" ht="22.5" customHeight="1">
      <c r="A3078" s="35" t="s">
        <v>6372</v>
      </c>
      <c r="B3078" s="35" t="s">
        <v>6373</v>
      </c>
      <c r="C3078" s="35" t="s">
        <v>7759</v>
      </c>
      <c r="D3078" s="35" t="s">
        <v>207</v>
      </c>
      <c r="E3078" s="35" t="s">
        <v>534</v>
      </c>
      <c r="F3078" s="35">
        <v>215.0</v>
      </c>
      <c r="G3078" s="35">
        <v>6.18</v>
      </c>
      <c r="H3078" s="35">
        <v>34.8</v>
      </c>
      <c r="I3078" s="35" t="s">
        <v>75</v>
      </c>
    </row>
    <row r="3079" ht="22.5" customHeight="1">
      <c r="A3079" s="35" t="s">
        <v>6374</v>
      </c>
      <c r="B3079" s="35" t="s">
        <v>6375</v>
      </c>
      <c r="C3079" s="35" t="s">
        <v>7759</v>
      </c>
      <c r="D3079" s="35" t="s">
        <v>197</v>
      </c>
      <c r="E3079" s="35" t="s">
        <v>517</v>
      </c>
      <c r="F3079" s="35">
        <v>200.0</v>
      </c>
      <c r="G3079" s="35">
        <v>8.36</v>
      </c>
      <c r="H3079" s="35">
        <v>23.9</v>
      </c>
      <c r="I3079" s="35" t="s">
        <v>75</v>
      </c>
    </row>
    <row r="3080" ht="22.5" customHeight="1">
      <c r="A3080" s="35" t="s">
        <v>6376</v>
      </c>
      <c r="B3080" s="35" t="s">
        <v>6377</v>
      </c>
      <c r="C3080" s="35" t="s">
        <v>7759</v>
      </c>
      <c r="D3080" s="35" t="s">
        <v>207</v>
      </c>
      <c r="E3080" s="35" t="s">
        <v>534</v>
      </c>
      <c r="F3080" s="35">
        <v>1352.0</v>
      </c>
      <c r="G3080" s="35">
        <v>20.18</v>
      </c>
      <c r="H3080" s="35">
        <v>67.0</v>
      </c>
      <c r="I3080" s="35" t="s">
        <v>62</v>
      </c>
    </row>
    <row r="3081" ht="22.5" customHeight="1">
      <c r="A3081" s="35" t="s">
        <v>6378</v>
      </c>
      <c r="B3081" s="35" t="s">
        <v>6379</v>
      </c>
      <c r="C3081" s="35" t="s">
        <v>7759</v>
      </c>
      <c r="D3081" s="35" t="s">
        <v>207</v>
      </c>
      <c r="E3081" s="35" t="s">
        <v>534</v>
      </c>
      <c r="F3081" s="35">
        <v>1929.0</v>
      </c>
      <c r="G3081" s="35">
        <v>22.86</v>
      </c>
      <c r="H3081" s="35">
        <v>84.4</v>
      </c>
      <c r="I3081" s="35" t="s">
        <v>62</v>
      </c>
    </row>
    <row r="3082" ht="22.5" customHeight="1">
      <c r="A3082" s="35" t="s">
        <v>6380</v>
      </c>
      <c r="B3082" s="35" t="s">
        <v>6381</v>
      </c>
      <c r="C3082" s="35" t="s">
        <v>7759</v>
      </c>
      <c r="D3082" s="35" t="s">
        <v>197</v>
      </c>
      <c r="E3082" s="35" t="s">
        <v>517</v>
      </c>
      <c r="F3082" s="35">
        <v>153.0</v>
      </c>
      <c r="G3082" s="35">
        <v>3.58</v>
      </c>
      <c r="H3082" s="35">
        <v>42.7</v>
      </c>
      <c r="I3082" s="35" t="s">
        <v>75</v>
      </c>
    </row>
    <row r="3083" ht="22.5" customHeight="1">
      <c r="A3083" s="35" t="s">
        <v>6382</v>
      </c>
      <c r="B3083" s="35" t="s">
        <v>302</v>
      </c>
      <c r="C3083" s="35" t="s">
        <v>7759</v>
      </c>
      <c r="D3083" s="35" t="s">
        <v>185</v>
      </c>
      <c r="E3083" s="35" t="s">
        <v>485</v>
      </c>
      <c r="F3083" s="35">
        <v>109.0</v>
      </c>
      <c r="G3083" s="35">
        <v>6.09</v>
      </c>
      <c r="H3083" s="35">
        <v>17.9</v>
      </c>
      <c r="I3083" s="35" t="s">
        <v>75</v>
      </c>
    </row>
    <row r="3084" ht="22.5" customHeight="1">
      <c r="A3084" s="35" t="s">
        <v>6383</v>
      </c>
      <c r="B3084" s="35" t="s">
        <v>6384</v>
      </c>
      <c r="C3084" s="35" t="s">
        <v>7759</v>
      </c>
      <c r="D3084" s="35" t="s">
        <v>212</v>
      </c>
      <c r="E3084" s="35" t="s">
        <v>549</v>
      </c>
      <c r="F3084" s="35">
        <v>500.0</v>
      </c>
      <c r="G3084" s="35">
        <v>9.83</v>
      </c>
      <c r="H3084" s="35">
        <v>50.9</v>
      </c>
      <c r="I3084" s="35" t="s">
        <v>62</v>
      </c>
    </row>
    <row r="3085" ht="22.5" customHeight="1">
      <c r="A3085" s="35" t="s">
        <v>6385</v>
      </c>
      <c r="B3085" s="35" t="s">
        <v>6386</v>
      </c>
      <c r="C3085" s="35" t="s">
        <v>7759</v>
      </c>
      <c r="D3085" s="35" t="s">
        <v>207</v>
      </c>
      <c r="E3085" s="35" t="s">
        <v>534</v>
      </c>
      <c r="F3085" s="35">
        <v>301.0</v>
      </c>
      <c r="G3085" s="35">
        <v>7.09</v>
      </c>
      <c r="H3085" s="35">
        <v>42.5</v>
      </c>
      <c r="I3085" s="35" t="s">
        <v>75</v>
      </c>
    </row>
    <row r="3086" ht="22.5" customHeight="1">
      <c r="A3086" s="35" t="s">
        <v>6387</v>
      </c>
      <c r="B3086" s="35" t="s">
        <v>6388</v>
      </c>
      <c r="C3086" s="35" t="s">
        <v>7759</v>
      </c>
      <c r="D3086" s="35" t="s">
        <v>121</v>
      </c>
      <c r="E3086" s="35" t="s">
        <v>325</v>
      </c>
      <c r="F3086" s="35">
        <v>494.0</v>
      </c>
      <c r="G3086" s="35">
        <v>6.1</v>
      </c>
      <c r="H3086" s="35">
        <v>81.0</v>
      </c>
      <c r="I3086" s="35" t="s">
        <v>75</v>
      </c>
    </row>
    <row r="3087" ht="22.5" customHeight="1">
      <c r="A3087" s="35" t="s">
        <v>6389</v>
      </c>
      <c r="B3087" s="35" t="s">
        <v>6390</v>
      </c>
      <c r="C3087" s="35" t="s">
        <v>7759</v>
      </c>
      <c r="D3087" s="35" t="s">
        <v>229</v>
      </c>
      <c r="E3087" s="35" t="s">
        <v>400</v>
      </c>
      <c r="F3087" s="35">
        <v>297.0</v>
      </c>
      <c r="G3087" s="35">
        <v>7.87</v>
      </c>
      <c r="H3087" s="35">
        <v>37.7</v>
      </c>
      <c r="I3087" s="35" t="s">
        <v>75</v>
      </c>
    </row>
    <row r="3088" ht="22.5" customHeight="1">
      <c r="A3088" s="35" t="s">
        <v>6391</v>
      </c>
      <c r="B3088" s="35" t="s">
        <v>6392</v>
      </c>
      <c r="C3088" s="35" t="s">
        <v>7759</v>
      </c>
      <c r="D3088" s="35" t="s">
        <v>230</v>
      </c>
      <c r="E3088" s="35" t="s">
        <v>402</v>
      </c>
      <c r="F3088" s="35">
        <v>149.0</v>
      </c>
      <c r="G3088" s="35">
        <v>5.5</v>
      </c>
      <c r="H3088" s="35">
        <v>27.1</v>
      </c>
      <c r="I3088" s="35" t="s">
        <v>75</v>
      </c>
    </row>
    <row r="3089" ht="22.5" customHeight="1">
      <c r="A3089" s="35" t="s">
        <v>6393</v>
      </c>
      <c r="B3089" s="35" t="s">
        <v>6394</v>
      </c>
      <c r="C3089" s="35" t="s">
        <v>7759</v>
      </c>
      <c r="D3089" s="35" t="s">
        <v>229</v>
      </c>
      <c r="E3089" s="35" t="s">
        <v>400</v>
      </c>
      <c r="F3089" s="35">
        <v>80.0</v>
      </c>
      <c r="G3089" s="35">
        <v>6.57</v>
      </c>
      <c r="H3089" s="35">
        <v>12.2</v>
      </c>
      <c r="I3089" s="35" t="s">
        <v>75</v>
      </c>
    </row>
    <row r="3090" ht="22.5" customHeight="1">
      <c r="A3090" s="35" t="s">
        <v>6395</v>
      </c>
      <c r="B3090" s="35" t="s">
        <v>6396</v>
      </c>
      <c r="C3090" s="35" t="s">
        <v>7759</v>
      </c>
      <c r="D3090" s="35" t="s">
        <v>218</v>
      </c>
      <c r="E3090" s="35" t="s">
        <v>374</v>
      </c>
      <c r="F3090" s="35">
        <v>717.0</v>
      </c>
      <c r="G3090" s="35">
        <v>13.24</v>
      </c>
      <c r="H3090" s="35">
        <v>54.2</v>
      </c>
      <c r="I3090" s="35" t="s">
        <v>62</v>
      </c>
    </row>
    <row r="3091" ht="22.5" customHeight="1">
      <c r="A3091" s="35" t="s">
        <v>6397</v>
      </c>
      <c r="B3091" s="35" t="s">
        <v>6398</v>
      </c>
      <c r="C3091" s="35" t="s">
        <v>7759</v>
      </c>
      <c r="D3091" s="35" t="s">
        <v>229</v>
      </c>
      <c r="E3091" s="35" t="s">
        <v>400</v>
      </c>
      <c r="F3091" s="35">
        <v>145.0</v>
      </c>
      <c r="G3091" s="35">
        <v>6.84</v>
      </c>
      <c r="H3091" s="35">
        <v>21.2</v>
      </c>
      <c r="I3091" s="35" t="s">
        <v>75</v>
      </c>
    </row>
    <row r="3092" ht="22.5" customHeight="1">
      <c r="A3092" s="35" t="s">
        <v>6399</v>
      </c>
      <c r="B3092" s="35" t="s">
        <v>6400</v>
      </c>
      <c r="C3092" s="35" t="s">
        <v>7759</v>
      </c>
      <c r="D3092" s="35" t="s">
        <v>229</v>
      </c>
      <c r="E3092" s="35" t="s">
        <v>400</v>
      </c>
      <c r="F3092" s="35">
        <v>197.0</v>
      </c>
      <c r="G3092" s="35">
        <v>4.12</v>
      </c>
      <c r="H3092" s="35">
        <v>47.8</v>
      </c>
      <c r="I3092" s="35" t="s">
        <v>75</v>
      </c>
    </row>
    <row r="3093" ht="22.5" customHeight="1">
      <c r="A3093" s="35" t="s">
        <v>6401</v>
      </c>
      <c r="B3093" s="35" t="s">
        <v>6402</v>
      </c>
      <c r="C3093" s="35" t="s">
        <v>7759</v>
      </c>
      <c r="D3093" s="35" t="s">
        <v>207</v>
      </c>
      <c r="E3093" s="35" t="s">
        <v>534</v>
      </c>
      <c r="F3093" s="35">
        <v>40.0</v>
      </c>
      <c r="G3093" s="35">
        <v>4.6</v>
      </c>
      <c r="H3093" s="35">
        <v>8.7</v>
      </c>
      <c r="I3093" s="35" t="s">
        <v>75</v>
      </c>
    </row>
    <row r="3094" ht="22.5" customHeight="1">
      <c r="A3094" s="35" t="s">
        <v>6403</v>
      </c>
      <c r="B3094" s="35" t="s">
        <v>6404</v>
      </c>
      <c r="C3094" s="35" t="s">
        <v>7759</v>
      </c>
      <c r="D3094" s="35" t="s">
        <v>207</v>
      </c>
      <c r="E3094" s="35" t="s">
        <v>534</v>
      </c>
      <c r="F3094" s="35">
        <v>1042.0</v>
      </c>
      <c r="G3094" s="35">
        <v>17.44</v>
      </c>
      <c r="H3094" s="35">
        <v>59.7</v>
      </c>
      <c r="I3094" s="35" t="s">
        <v>62</v>
      </c>
    </row>
    <row r="3095" ht="22.5" customHeight="1">
      <c r="A3095" s="35" t="s">
        <v>6405</v>
      </c>
      <c r="B3095" s="35" t="s">
        <v>6406</v>
      </c>
      <c r="C3095" s="35" t="s">
        <v>7759</v>
      </c>
      <c r="D3095" s="35" t="s">
        <v>225</v>
      </c>
      <c r="E3095" s="35" t="s">
        <v>387</v>
      </c>
      <c r="F3095" s="35">
        <v>240.0</v>
      </c>
      <c r="G3095" s="35">
        <v>10.01</v>
      </c>
      <c r="H3095" s="35">
        <v>24.0</v>
      </c>
      <c r="I3095" s="35" t="s">
        <v>75</v>
      </c>
    </row>
    <row r="3096" ht="22.5" customHeight="1">
      <c r="A3096" s="35" t="s">
        <v>6407</v>
      </c>
      <c r="B3096" s="35" t="s">
        <v>6408</v>
      </c>
      <c r="C3096" s="35" t="s">
        <v>7759</v>
      </c>
      <c r="D3096" s="35" t="s">
        <v>158</v>
      </c>
      <c r="E3096" s="35" t="s">
        <v>427</v>
      </c>
      <c r="F3096" s="35">
        <v>353.0</v>
      </c>
      <c r="G3096" s="35">
        <v>7.61</v>
      </c>
      <c r="H3096" s="35">
        <v>46.4</v>
      </c>
      <c r="I3096" s="35" t="s">
        <v>75</v>
      </c>
    </row>
    <row r="3097" ht="22.5" customHeight="1">
      <c r="A3097" s="35" t="s">
        <v>6409</v>
      </c>
      <c r="B3097" s="35" t="s">
        <v>6410</v>
      </c>
      <c r="C3097" s="35" t="s">
        <v>7759</v>
      </c>
      <c r="D3097" s="35" t="s">
        <v>207</v>
      </c>
      <c r="E3097" s="35" t="s">
        <v>534</v>
      </c>
      <c r="F3097" s="35">
        <v>279.0</v>
      </c>
      <c r="G3097" s="35">
        <v>5.53</v>
      </c>
      <c r="H3097" s="35">
        <v>50.5</v>
      </c>
      <c r="I3097" s="35" t="s">
        <v>75</v>
      </c>
    </row>
    <row r="3098" ht="22.5" customHeight="1">
      <c r="A3098" s="35" t="s">
        <v>6411</v>
      </c>
      <c r="B3098" s="35" t="s">
        <v>6412</v>
      </c>
      <c r="C3098" s="35" t="s">
        <v>7759</v>
      </c>
      <c r="D3098" s="35" t="s">
        <v>230</v>
      </c>
      <c r="E3098" s="35" t="s">
        <v>402</v>
      </c>
      <c r="F3098" s="35">
        <v>155.0</v>
      </c>
      <c r="G3098" s="35">
        <v>4.42</v>
      </c>
      <c r="H3098" s="35">
        <v>35.1</v>
      </c>
      <c r="I3098" s="35" t="s">
        <v>75</v>
      </c>
    </row>
    <row r="3099" ht="22.5" customHeight="1">
      <c r="A3099" s="35" t="s">
        <v>6413</v>
      </c>
      <c r="B3099" s="35" t="s">
        <v>6414</v>
      </c>
      <c r="C3099" s="35" t="s">
        <v>7759</v>
      </c>
      <c r="D3099" s="35" t="s">
        <v>41</v>
      </c>
      <c r="E3099" s="35" t="s">
        <v>35</v>
      </c>
      <c r="F3099" s="35">
        <v>815.0</v>
      </c>
      <c r="G3099" s="35">
        <v>8.63</v>
      </c>
      <c r="H3099" s="35">
        <v>94.4</v>
      </c>
      <c r="I3099" s="35" t="s">
        <v>62</v>
      </c>
    </row>
    <row r="3100" ht="22.5" customHeight="1">
      <c r="A3100" s="35" t="s">
        <v>6415</v>
      </c>
      <c r="B3100" s="35" t="s">
        <v>6416</v>
      </c>
      <c r="C3100" s="35" t="s">
        <v>7759</v>
      </c>
      <c r="D3100" s="35" t="s">
        <v>218</v>
      </c>
      <c r="E3100" s="35" t="s">
        <v>374</v>
      </c>
      <c r="F3100" s="35">
        <v>1092.0</v>
      </c>
      <c r="G3100" s="35">
        <v>4.63</v>
      </c>
      <c r="H3100" s="35">
        <v>235.9</v>
      </c>
      <c r="I3100" s="35" t="s">
        <v>62</v>
      </c>
    </row>
    <row r="3101" ht="22.5" customHeight="1">
      <c r="A3101" s="35" t="s">
        <v>6417</v>
      </c>
      <c r="B3101" s="35" t="s">
        <v>6418</v>
      </c>
      <c r="C3101" s="35" t="s">
        <v>7759</v>
      </c>
      <c r="D3101" s="35" t="s">
        <v>148</v>
      </c>
      <c r="E3101" s="35" t="s">
        <v>360</v>
      </c>
      <c r="F3101" s="35">
        <v>517.0</v>
      </c>
      <c r="G3101" s="35">
        <v>2.67</v>
      </c>
      <c r="H3101" s="35">
        <v>193.6</v>
      </c>
      <c r="I3101" s="35" t="s">
        <v>62</v>
      </c>
    </row>
    <row r="3102" ht="22.5" customHeight="1">
      <c r="A3102" s="35" t="s">
        <v>6419</v>
      </c>
      <c r="B3102" s="35" t="s">
        <v>6420</v>
      </c>
      <c r="C3102" s="35" t="s">
        <v>7759</v>
      </c>
      <c r="D3102" s="35" t="s">
        <v>197</v>
      </c>
      <c r="E3102" s="35" t="s">
        <v>517</v>
      </c>
      <c r="F3102" s="35">
        <v>220.0</v>
      </c>
      <c r="G3102" s="35">
        <v>6.18</v>
      </c>
      <c r="H3102" s="35">
        <v>35.6</v>
      </c>
      <c r="I3102" s="35" t="s">
        <v>75</v>
      </c>
    </row>
    <row r="3103" ht="22.5" customHeight="1">
      <c r="A3103" s="35" t="s">
        <v>6421</v>
      </c>
      <c r="B3103" s="35" t="s">
        <v>6422</v>
      </c>
      <c r="C3103" s="35" t="s">
        <v>7759</v>
      </c>
      <c r="D3103" s="35" t="s">
        <v>212</v>
      </c>
      <c r="E3103" s="35" t="s">
        <v>549</v>
      </c>
      <c r="F3103" s="35">
        <v>882.0</v>
      </c>
      <c r="G3103" s="35">
        <v>2.98</v>
      </c>
      <c r="H3103" s="35">
        <v>296.0</v>
      </c>
      <c r="I3103" s="35" t="s">
        <v>62</v>
      </c>
    </row>
    <row r="3104" ht="22.5" customHeight="1">
      <c r="A3104" s="35" t="s">
        <v>6423</v>
      </c>
      <c r="B3104" s="35" t="s">
        <v>6424</v>
      </c>
      <c r="C3104" s="35" t="s">
        <v>7759</v>
      </c>
      <c r="D3104" s="35" t="s">
        <v>152</v>
      </c>
      <c r="E3104" s="35" t="s">
        <v>417</v>
      </c>
      <c r="F3104" s="35">
        <v>124.0</v>
      </c>
      <c r="G3104" s="35">
        <v>2.88</v>
      </c>
      <c r="H3104" s="35">
        <v>43.1</v>
      </c>
      <c r="I3104" s="35" t="s">
        <v>75</v>
      </c>
    </row>
    <row r="3105" ht="22.5" customHeight="1">
      <c r="A3105" s="35" t="s">
        <v>6425</v>
      </c>
      <c r="B3105" s="35" t="s">
        <v>6426</v>
      </c>
      <c r="C3105" s="35" t="s">
        <v>7759</v>
      </c>
      <c r="D3105" s="35" t="s">
        <v>229</v>
      </c>
      <c r="E3105" s="35" t="s">
        <v>400</v>
      </c>
      <c r="F3105" s="35">
        <v>91.0</v>
      </c>
      <c r="G3105" s="35">
        <v>4.18</v>
      </c>
      <c r="H3105" s="35">
        <v>21.8</v>
      </c>
      <c r="I3105" s="35" t="s">
        <v>75</v>
      </c>
    </row>
    <row r="3106" ht="22.5" customHeight="1">
      <c r="A3106" s="35" t="s">
        <v>6427</v>
      </c>
      <c r="B3106" s="35" t="s">
        <v>6428</v>
      </c>
      <c r="C3106" s="35" t="s">
        <v>7759</v>
      </c>
      <c r="D3106" s="35" t="s">
        <v>121</v>
      </c>
      <c r="E3106" s="35" t="s">
        <v>325</v>
      </c>
      <c r="F3106" s="35">
        <v>209.0</v>
      </c>
      <c r="G3106" s="35">
        <v>7.34</v>
      </c>
      <c r="H3106" s="35">
        <v>28.5</v>
      </c>
      <c r="I3106" s="35" t="s">
        <v>75</v>
      </c>
    </row>
    <row r="3107" ht="22.5" customHeight="1">
      <c r="A3107" s="35" t="s">
        <v>6429</v>
      </c>
      <c r="B3107" s="35" t="s">
        <v>6430</v>
      </c>
      <c r="C3107" s="35" t="s">
        <v>7759</v>
      </c>
      <c r="D3107" s="35" t="s">
        <v>218</v>
      </c>
      <c r="E3107" s="35" t="s">
        <v>374</v>
      </c>
      <c r="F3107" s="35">
        <v>605.0</v>
      </c>
      <c r="G3107" s="35">
        <v>8.03</v>
      </c>
      <c r="H3107" s="35">
        <v>75.3</v>
      </c>
      <c r="I3107" s="35" t="s">
        <v>62</v>
      </c>
    </row>
    <row r="3108" ht="22.5" customHeight="1">
      <c r="A3108" s="35" t="s">
        <v>6431</v>
      </c>
      <c r="B3108" s="35" t="s">
        <v>6432</v>
      </c>
      <c r="C3108" s="35" t="s">
        <v>7759</v>
      </c>
      <c r="D3108" s="35" t="s">
        <v>185</v>
      </c>
      <c r="E3108" s="35" t="s">
        <v>485</v>
      </c>
      <c r="F3108" s="35">
        <v>900.0</v>
      </c>
      <c r="G3108" s="35">
        <v>14.68</v>
      </c>
      <c r="H3108" s="35">
        <v>61.3</v>
      </c>
      <c r="I3108" s="35" t="s">
        <v>62</v>
      </c>
    </row>
    <row r="3109" ht="22.5" customHeight="1">
      <c r="A3109" s="35" t="s">
        <v>6433</v>
      </c>
      <c r="B3109" s="35" t="s">
        <v>6434</v>
      </c>
      <c r="C3109" s="35" t="s">
        <v>7759</v>
      </c>
      <c r="D3109" s="35" t="s">
        <v>158</v>
      </c>
      <c r="E3109" s="35" t="s">
        <v>427</v>
      </c>
      <c r="F3109" s="35">
        <v>386.0</v>
      </c>
      <c r="G3109" s="35">
        <v>6.57</v>
      </c>
      <c r="H3109" s="35">
        <v>58.8</v>
      </c>
      <c r="I3109" s="35" t="s">
        <v>75</v>
      </c>
    </row>
    <row r="3110" ht="22.5" customHeight="1">
      <c r="A3110" s="35" t="s">
        <v>6435</v>
      </c>
      <c r="B3110" s="35" t="s">
        <v>6436</v>
      </c>
      <c r="C3110" s="35" t="s">
        <v>7759</v>
      </c>
      <c r="D3110" s="35" t="s">
        <v>185</v>
      </c>
      <c r="E3110" s="35" t="s">
        <v>485</v>
      </c>
      <c r="F3110" s="35">
        <v>57.0</v>
      </c>
      <c r="G3110" s="35">
        <v>2.43</v>
      </c>
      <c r="H3110" s="35">
        <v>23.5</v>
      </c>
      <c r="I3110" s="35" t="s">
        <v>75</v>
      </c>
    </row>
    <row r="3111" ht="22.5" customHeight="1">
      <c r="A3111" s="35" t="s">
        <v>6437</v>
      </c>
      <c r="B3111" s="35" t="s">
        <v>6438</v>
      </c>
      <c r="C3111" s="35" t="s">
        <v>7759</v>
      </c>
      <c r="D3111" s="35" t="s">
        <v>216</v>
      </c>
      <c r="E3111" s="35" t="s">
        <v>371</v>
      </c>
      <c r="F3111" s="35">
        <v>137.0</v>
      </c>
      <c r="G3111" s="35">
        <v>2.23</v>
      </c>
      <c r="H3111" s="35">
        <v>61.4</v>
      </c>
      <c r="I3111" s="35" t="s">
        <v>75</v>
      </c>
    </row>
    <row r="3112" ht="22.5" customHeight="1">
      <c r="A3112" s="35" t="s">
        <v>6439</v>
      </c>
      <c r="B3112" s="35" t="s">
        <v>6440</v>
      </c>
      <c r="C3112" s="35" t="s">
        <v>7759</v>
      </c>
      <c r="D3112" s="35" t="s">
        <v>152</v>
      </c>
      <c r="E3112" s="35" t="s">
        <v>417</v>
      </c>
      <c r="F3112" s="35">
        <v>178.0</v>
      </c>
      <c r="G3112" s="35">
        <v>4.97</v>
      </c>
      <c r="H3112" s="35">
        <v>35.8</v>
      </c>
      <c r="I3112" s="35" t="s">
        <v>75</v>
      </c>
    </row>
    <row r="3113" ht="22.5" customHeight="1">
      <c r="A3113" s="35" t="s">
        <v>6441</v>
      </c>
      <c r="B3113" s="35" t="s">
        <v>6442</v>
      </c>
      <c r="C3113" s="35" t="s">
        <v>7759</v>
      </c>
      <c r="D3113" s="35" t="s">
        <v>229</v>
      </c>
      <c r="E3113" s="35" t="s">
        <v>400</v>
      </c>
      <c r="F3113" s="35">
        <v>161.0</v>
      </c>
      <c r="G3113" s="35">
        <v>8.01</v>
      </c>
      <c r="H3113" s="35">
        <v>20.1</v>
      </c>
      <c r="I3113" s="35" t="s">
        <v>75</v>
      </c>
    </row>
    <row r="3114" ht="22.5" customHeight="1">
      <c r="A3114" s="35" t="s">
        <v>6443</v>
      </c>
      <c r="B3114" s="35" t="s">
        <v>6444</v>
      </c>
      <c r="C3114" s="35" t="s">
        <v>7759</v>
      </c>
      <c r="D3114" s="35" t="s">
        <v>41</v>
      </c>
      <c r="E3114" s="35" t="s">
        <v>35</v>
      </c>
      <c r="F3114" s="35">
        <v>613.0</v>
      </c>
      <c r="G3114" s="35">
        <v>12.51</v>
      </c>
      <c r="H3114" s="35">
        <v>49.0</v>
      </c>
      <c r="I3114" s="35" t="s">
        <v>62</v>
      </c>
    </row>
    <row r="3115" ht="22.5" customHeight="1">
      <c r="A3115" s="35" t="s">
        <v>6445</v>
      </c>
      <c r="B3115" s="35" t="s">
        <v>6446</v>
      </c>
      <c r="C3115" s="35" t="s">
        <v>7759</v>
      </c>
      <c r="D3115" s="35" t="s">
        <v>207</v>
      </c>
      <c r="E3115" s="35" t="s">
        <v>534</v>
      </c>
      <c r="F3115" s="35">
        <v>64.0</v>
      </c>
      <c r="G3115" s="35">
        <v>4.34</v>
      </c>
      <c r="H3115" s="35">
        <v>14.7</v>
      </c>
      <c r="I3115" s="35" t="s">
        <v>75</v>
      </c>
    </row>
    <row r="3116" ht="22.5" customHeight="1">
      <c r="A3116" s="35" t="s">
        <v>6447</v>
      </c>
      <c r="B3116" s="35" t="s">
        <v>6448</v>
      </c>
      <c r="C3116" s="35" t="s">
        <v>7759</v>
      </c>
      <c r="D3116" s="35" t="s">
        <v>225</v>
      </c>
      <c r="E3116" s="35" t="s">
        <v>387</v>
      </c>
      <c r="F3116" s="35">
        <v>329.0</v>
      </c>
      <c r="G3116" s="35">
        <v>11.76</v>
      </c>
      <c r="H3116" s="35">
        <v>28.0</v>
      </c>
      <c r="I3116" s="35" t="s">
        <v>75</v>
      </c>
    </row>
    <row r="3117" ht="22.5" customHeight="1">
      <c r="A3117" s="35" t="s">
        <v>6449</v>
      </c>
      <c r="B3117" s="35" t="s">
        <v>6450</v>
      </c>
      <c r="C3117" s="35" t="s">
        <v>7759</v>
      </c>
      <c r="D3117" s="35" t="s">
        <v>121</v>
      </c>
      <c r="E3117" s="35" t="s">
        <v>325</v>
      </c>
      <c r="F3117" s="35">
        <v>441.0</v>
      </c>
      <c r="G3117" s="35">
        <v>15.75</v>
      </c>
      <c r="H3117" s="35">
        <v>28.0</v>
      </c>
      <c r="I3117" s="35" t="s">
        <v>75</v>
      </c>
    </row>
    <row r="3118" ht="22.5" customHeight="1">
      <c r="A3118" s="35" t="s">
        <v>6451</v>
      </c>
      <c r="B3118" s="35" t="s">
        <v>6452</v>
      </c>
      <c r="C3118" s="35" t="s">
        <v>7759</v>
      </c>
      <c r="D3118" s="35" t="s">
        <v>210</v>
      </c>
      <c r="E3118" s="35" t="s">
        <v>537</v>
      </c>
      <c r="F3118" s="35">
        <v>247.0</v>
      </c>
      <c r="G3118" s="35">
        <v>5.87</v>
      </c>
      <c r="H3118" s="35">
        <v>42.1</v>
      </c>
      <c r="I3118" s="35" t="s">
        <v>75</v>
      </c>
    </row>
    <row r="3119" ht="22.5" customHeight="1">
      <c r="A3119" s="35" t="s">
        <v>6453</v>
      </c>
      <c r="B3119" s="35" t="s">
        <v>6454</v>
      </c>
      <c r="C3119" s="35" t="s">
        <v>7759</v>
      </c>
      <c r="D3119" s="35" t="s">
        <v>207</v>
      </c>
      <c r="E3119" s="35" t="s">
        <v>534</v>
      </c>
      <c r="F3119" s="35">
        <v>325.0</v>
      </c>
      <c r="G3119" s="35">
        <v>10.19</v>
      </c>
      <c r="H3119" s="35">
        <v>31.9</v>
      </c>
      <c r="I3119" s="35" t="s">
        <v>75</v>
      </c>
    </row>
    <row r="3120" ht="22.5" customHeight="1">
      <c r="A3120" s="35" t="s">
        <v>6455</v>
      </c>
      <c r="B3120" s="35" t="s">
        <v>6456</v>
      </c>
      <c r="C3120" s="35" t="s">
        <v>7759</v>
      </c>
      <c r="D3120" s="35" t="s">
        <v>229</v>
      </c>
      <c r="E3120" s="35" t="s">
        <v>400</v>
      </c>
      <c r="F3120" s="35">
        <v>349.0</v>
      </c>
      <c r="G3120" s="35">
        <v>9.58</v>
      </c>
      <c r="H3120" s="35">
        <v>36.4</v>
      </c>
      <c r="I3120" s="35" t="s">
        <v>75</v>
      </c>
    </row>
    <row r="3121" ht="22.5" customHeight="1">
      <c r="A3121" s="35" t="s">
        <v>6457</v>
      </c>
      <c r="B3121" s="35" t="s">
        <v>6458</v>
      </c>
      <c r="C3121" s="35" t="s">
        <v>7759</v>
      </c>
      <c r="D3121" s="35" t="s">
        <v>158</v>
      </c>
      <c r="E3121" s="35" t="s">
        <v>427</v>
      </c>
      <c r="F3121" s="35">
        <v>283.0</v>
      </c>
      <c r="G3121" s="35">
        <v>10.15</v>
      </c>
      <c r="H3121" s="35">
        <v>27.9</v>
      </c>
      <c r="I3121" s="35" t="s">
        <v>75</v>
      </c>
    </row>
    <row r="3122" ht="22.5" customHeight="1">
      <c r="A3122" s="35" t="s">
        <v>6459</v>
      </c>
      <c r="B3122" s="35" t="s">
        <v>6460</v>
      </c>
      <c r="C3122" s="35" t="s">
        <v>7759</v>
      </c>
      <c r="D3122" s="35" t="s">
        <v>230</v>
      </c>
      <c r="E3122" s="35" t="s">
        <v>402</v>
      </c>
      <c r="F3122" s="35">
        <v>276.0</v>
      </c>
      <c r="G3122" s="35">
        <v>5.96</v>
      </c>
      <c r="H3122" s="35">
        <v>46.3</v>
      </c>
      <c r="I3122" s="35" t="s">
        <v>75</v>
      </c>
    </row>
    <row r="3123" ht="22.5" customHeight="1">
      <c r="A3123" s="35" t="s">
        <v>6461</v>
      </c>
      <c r="B3123" s="35" t="s">
        <v>6462</v>
      </c>
      <c r="C3123" s="35" t="s">
        <v>7759</v>
      </c>
      <c r="D3123" s="35" t="s">
        <v>218</v>
      </c>
      <c r="E3123" s="35" t="s">
        <v>374</v>
      </c>
      <c r="F3123" s="35">
        <v>158.0</v>
      </c>
      <c r="G3123" s="35">
        <v>4.58</v>
      </c>
      <c r="H3123" s="35">
        <v>34.5</v>
      </c>
      <c r="I3123" s="35" t="s">
        <v>75</v>
      </c>
    </row>
    <row r="3124" ht="22.5" customHeight="1">
      <c r="A3124" s="35" t="s">
        <v>6463</v>
      </c>
      <c r="B3124" s="35" t="s">
        <v>6464</v>
      </c>
      <c r="C3124" s="35" t="s">
        <v>7759</v>
      </c>
      <c r="D3124" s="35" t="s">
        <v>225</v>
      </c>
      <c r="E3124" s="35" t="s">
        <v>387</v>
      </c>
      <c r="F3124" s="35">
        <v>113.0</v>
      </c>
      <c r="G3124" s="35">
        <v>5.64</v>
      </c>
      <c r="H3124" s="35">
        <v>20.0</v>
      </c>
      <c r="I3124" s="35" t="s">
        <v>75</v>
      </c>
    </row>
    <row r="3125" ht="22.5" customHeight="1">
      <c r="A3125" s="35" t="s">
        <v>6465</v>
      </c>
      <c r="B3125" s="35" t="s">
        <v>6466</v>
      </c>
      <c r="C3125" s="35" t="s">
        <v>7759</v>
      </c>
      <c r="D3125" s="35" t="s">
        <v>229</v>
      </c>
      <c r="E3125" s="35" t="s">
        <v>400</v>
      </c>
      <c r="F3125" s="35">
        <v>389.0</v>
      </c>
      <c r="G3125" s="35">
        <v>10.27</v>
      </c>
      <c r="H3125" s="35">
        <v>37.9</v>
      </c>
      <c r="I3125" s="35" t="s">
        <v>75</v>
      </c>
    </row>
    <row r="3126" ht="22.5" customHeight="1">
      <c r="A3126" s="35" t="s">
        <v>6467</v>
      </c>
      <c r="B3126" s="35" t="s">
        <v>6468</v>
      </c>
      <c r="C3126" s="35" t="s">
        <v>7759</v>
      </c>
      <c r="D3126" s="35" t="s">
        <v>216</v>
      </c>
      <c r="E3126" s="35" t="s">
        <v>371</v>
      </c>
      <c r="F3126" s="35">
        <v>540.0</v>
      </c>
      <c r="G3126" s="35">
        <v>16.13</v>
      </c>
      <c r="H3126" s="35">
        <v>33.5</v>
      </c>
      <c r="I3126" s="35" t="s">
        <v>62</v>
      </c>
    </row>
    <row r="3127" ht="22.5" customHeight="1">
      <c r="A3127" s="35" t="s">
        <v>6469</v>
      </c>
      <c r="B3127" s="35" t="s">
        <v>6470</v>
      </c>
      <c r="C3127" s="35" t="s">
        <v>7759</v>
      </c>
      <c r="D3127" s="35" t="s">
        <v>185</v>
      </c>
      <c r="E3127" s="35" t="s">
        <v>485</v>
      </c>
      <c r="F3127" s="35">
        <v>142.0</v>
      </c>
      <c r="G3127" s="35">
        <v>3.58</v>
      </c>
      <c r="H3127" s="35">
        <v>39.7</v>
      </c>
      <c r="I3127" s="35" t="s">
        <v>75</v>
      </c>
    </row>
    <row r="3128" ht="22.5" customHeight="1">
      <c r="A3128" s="35" t="s">
        <v>6471</v>
      </c>
      <c r="B3128" s="35" t="s">
        <v>6472</v>
      </c>
      <c r="C3128" s="35" t="s">
        <v>7759</v>
      </c>
      <c r="D3128" s="35" t="s">
        <v>207</v>
      </c>
      <c r="E3128" s="35" t="s">
        <v>534</v>
      </c>
      <c r="F3128" s="35">
        <v>493.0</v>
      </c>
      <c r="G3128" s="35">
        <v>7.23</v>
      </c>
      <c r="H3128" s="35">
        <v>68.2</v>
      </c>
      <c r="I3128" s="35" t="s">
        <v>75</v>
      </c>
    </row>
    <row r="3129" ht="22.5" customHeight="1">
      <c r="A3129" s="35" t="s">
        <v>6473</v>
      </c>
      <c r="B3129" s="35" t="s">
        <v>6474</v>
      </c>
      <c r="C3129" s="35" t="s">
        <v>7759</v>
      </c>
      <c r="D3129" s="35" t="s">
        <v>218</v>
      </c>
      <c r="E3129" s="35" t="s">
        <v>374</v>
      </c>
      <c r="F3129" s="35">
        <v>376.0</v>
      </c>
      <c r="G3129" s="35">
        <v>6.92</v>
      </c>
      <c r="H3129" s="35">
        <v>54.3</v>
      </c>
      <c r="I3129" s="35" t="s">
        <v>75</v>
      </c>
    </row>
    <row r="3130" ht="22.5" customHeight="1">
      <c r="A3130" s="35" t="s">
        <v>6475</v>
      </c>
      <c r="B3130" s="35" t="s">
        <v>6476</v>
      </c>
      <c r="C3130" s="35" t="s">
        <v>7759</v>
      </c>
      <c r="D3130" s="35" t="s">
        <v>212</v>
      </c>
      <c r="E3130" s="35" t="s">
        <v>549</v>
      </c>
      <c r="F3130" s="35">
        <v>725.0</v>
      </c>
      <c r="G3130" s="35">
        <v>8.03</v>
      </c>
      <c r="H3130" s="35">
        <v>90.3</v>
      </c>
      <c r="I3130" s="35" t="s">
        <v>62</v>
      </c>
    </row>
    <row r="3131" ht="22.5" customHeight="1">
      <c r="A3131" s="35" t="s">
        <v>6477</v>
      </c>
      <c r="B3131" s="35" t="s">
        <v>6478</v>
      </c>
      <c r="C3131" s="35" t="s">
        <v>7759</v>
      </c>
      <c r="D3131" s="35" t="s">
        <v>185</v>
      </c>
      <c r="E3131" s="35" t="s">
        <v>485</v>
      </c>
      <c r="F3131" s="35">
        <v>80.0</v>
      </c>
      <c r="G3131" s="35">
        <v>3.33</v>
      </c>
      <c r="H3131" s="35">
        <v>24.0</v>
      </c>
      <c r="I3131" s="35" t="s">
        <v>75</v>
      </c>
    </row>
    <row r="3132" ht="22.5" customHeight="1">
      <c r="A3132" s="35" t="s">
        <v>6479</v>
      </c>
      <c r="B3132" s="35" t="s">
        <v>6480</v>
      </c>
      <c r="C3132" s="35" t="s">
        <v>7759</v>
      </c>
      <c r="D3132" s="35" t="s">
        <v>216</v>
      </c>
      <c r="E3132" s="35" t="s">
        <v>371</v>
      </c>
      <c r="F3132" s="35">
        <v>927.0</v>
      </c>
      <c r="G3132" s="35">
        <v>7.75</v>
      </c>
      <c r="H3132" s="35">
        <v>119.6</v>
      </c>
      <c r="I3132" s="35" t="s">
        <v>62</v>
      </c>
    </row>
    <row r="3133" ht="22.5" customHeight="1">
      <c r="A3133" s="35" t="s">
        <v>6481</v>
      </c>
      <c r="B3133" s="35" t="s">
        <v>6482</v>
      </c>
      <c r="C3133" s="35" t="s">
        <v>7759</v>
      </c>
      <c r="D3133" s="35" t="s">
        <v>178</v>
      </c>
      <c r="E3133" s="35" t="s">
        <v>475</v>
      </c>
      <c r="F3133" s="35">
        <v>783.0</v>
      </c>
      <c r="G3133" s="35">
        <v>6.79</v>
      </c>
      <c r="H3133" s="35">
        <v>115.3</v>
      </c>
      <c r="I3133" s="35" t="s">
        <v>62</v>
      </c>
    </row>
    <row r="3134" ht="22.5" customHeight="1">
      <c r="A3134" s="35" t="s">
        <v>6483</v>
      </c>
      <c r="B3134" s="35" t="s">
        <v>6484</v>
      </c>
      <c r="C3134" s="35" t="s">
        <v>7759</v>
      </c>
      <c r="D3134" s="35" t="s">
        <v>158</v>
      </c>
      <c r="E3134" s="35" t="s">
        <v>427</v>
      </c>
      <c r="F3134" s="35">
        <v>154.0</v>
      </c>
      <c r="G3134" s="35">
        <v>1.96</v>
      </c>
      <c r="H3134" s="35">
        <v>78.6</v>
      </c>
      <c r="I3134" s="35" t="s">
        <v>75</v>
      </c>
    </row>
    <row r="3135" ht="22.5" customHeight="1">
      <c r="A3135" s="35" t="s">
        <v>6485</v>
      </c>
      <c r="B3135" s="35" t="s">
        <v>6486</v>
      </c>
      <c r="C3135" s="35" t="s">
        <v>7759</v>
      </c>
      <c r="D3135" s="35" t="s">
        <v>197</v>
      </c>
      <c r="E3135" s="35" t="s">
        <v>517</v>
      </c>
      <c r="F3135" s="35">
        <v>528.0</v>
      </c>
      <c r="G3135" s="35">
        <v>8.17</v>
      </c>
      <c r="H3135" s="35">
        <v>64.6</v>
      </c>
      <c r="I3135" s="35" t="s">
        <v>62</v>
      </c>
    </row>
    <row r="3136" ht="22.5" customHeight="1">
      <c r="A3136" s="35" t="s">
        <v>6487</v>
      </c>
      <c r="B3136" s="35" t="s">
        <v>6488</v>
      </c>
      <c r="C3136" s="35" t="s">
        <v>7759</v>
      </c>
      <c r="D3136" s="35" t="s">
        <v>41</v>
      </c>
      <c r="E3136" s="35" t="s">
        <v>35</v>
      </c>
      <c r="F3136" s="35">
        <v>425.0</v>
      </c>
      <c r="G3136" s="35">
        <v>6.95</v>
      </c>
      <c r="H3136" s="35">
        <v>61.2</v>
      </c>
      <c r="I3136" s="35" t="s">
        <v>75</v>
      </c>
    </row>
    <row r="3137" ht="22.5" customHeight="1">
      <c r="A3137" s="35" t="s">
        <v>6489</v>
      </c>
      <c r="B3137" s="35" t="s">
        <v>6490</v>
      </c>
      <c r="C3137" s="35" t="s">
        <v>7759</v>
      </c>
      <c r="D3137" s="35" t="s">
        <v>41</v>
      </c>
      <c r="E3137" s="35" t="s">
        <v>35</v>
      </c>
      <c r="F3137" s="35">
        <v>3234.0</v>
      </c>
      <c r="G3137" s="35">
        <v>25.38</v>
      </c>
      <c r="H3137" s="35">
        <v>127.4</v>
      </c>
      <c r="I3137" s="35" t="s">
        <v>142</v>
      </c>
    </row>
    <row r="3138" ht="22.5" customHeight="1">
      <c r="A3138" s="35" t="s">
        <v>6491</v>
      </c>
      <c r="B3138" s="35" t="s">
        <v>6492</v>
      </c>
      <c r="C3138" s="35" t="s">
        <v>7759</v>
      </c>
      <c r="D3138" s="35" t="s">
        <v>148</v>
      </c>
      <c r="E3138" s="35" t="s">
        <v>360</v>
      </c>
      <c r="F3138" s="35">
        <v>203.0</v>
      </c>
      <c r="G3138" s="35">
        <v>7.25</v>
      </c>
      <c r="H3138" s="35">
        <v>28.0</v>
      </c>
      <c r="I3138" s="35" t="s">
        <v>75</v>
      </c>
    </row>
    <row r="3139" ht="22.5" customHeight="1">
      <c r="A3139" s="35" t="s">
        <v>6493</v>
      </c>
      <c r="B3139" s="35" t="s">
        <v>6494</v>
      </c>
      <c r="C3139" s="35" t="s">
        <v>7759</v>
      </c>
      <c r="D3139" s="35" t="s">
        <v>225</v>
      </c>
      <c r="E3139" s="35" t="s">
        <v>387</v>
      </c>
      <c r="F3139" s="35">
        <v>211.0</v>
      </c>
      <c r="G3139" s="35">
        <v>11.52</v>
      </c>
      <c r="H3139" s="35">
        <v>18.3</v>
      </c>
      <c r="I3139" s="35" t="s">
        <v>75</v>
      </c>
    </row>
    <row r="3140" ht="22.5" customHeight="1">
      <c r="A3140" s="35" t="s">
        <v>6495</v>
      </c>
      <c r="B3140" s="35" t="s">
        <v>6496</v>
      </c>
      <c r="C3140" s="35" t="s">
        <v>7759</v>
      </c>
      <c r="D3140" s="35" t="s">
        <v>229</v>
      </c>
      <c r="E3140" s="35" t="s">
        <v>400</v>
      </c>
      <c r="F3140" s="35">
        <v>82.0</v>
      </c>
      <c r="G3140" s="35">
        <v>2.42</v>
      </c>
      <c r="H3140" s="35">
        <v>33.9</v>
      </c>
      <c r="I3140" s="35" t="s">
        <v>75</v>
      </c>
    </row>
    <row r="3141" ht="22.5" customHeight="1">
      <c r="A3141" s="35" t="s">
        <v>6497</v>
      </c>
      <c r="B3141" s="35" t="s">
        <v>6498</v>
      </c>
      <c r="C3141" s="35" t="s">
        <v>7759</v>
      </c>
      <c r="D3141" s="35" t="s">
        <v>121</v>
      </c>
      <c r="E3141" s="35" t="s">
        <v>325</v>
      </c>
      <c r="F3141" s="35">
        <v>249.0</v>
      </c>
      <c r="G3141" s="35">
        <v>5.43</v>
      </c>
      <c r="H3141" s="35">
        <v>45.9</v>
      </c>
      <c r="I3141" s="35" t="s">
        <v>75</v>
      </c>
    </row>
    <row r="3142" ht="22.5" customHeight="1">
      <c r="A3142" s="35" t="s">
        <v>6499</v>
      </c>
      <c r="B3142" s="35" t="s">
        <v>6500</v>
      </c>
      <c r="C3142" s="35" t="s">
        <v>7759</v>
      </c>
      <c r="D3142" s="35" t="s">
        <v>197</v>
      </c>
      <c r="E3142" s="35" t="s">
        <v>517</v>
      </c>
      <c r="F3142" s="35">
        <v>1184.0</v>
      </c>
      <c r="G3142" s="35">
        <v>16.96</v>
      </c>
      <c r="H3142" s="35">
        <v>69.8</v>
      </c>
      <c r="I3142" s="35" t="s">
        <v>62</v>
      </c>
    </row>
    <row r="3143" ht="22.5" customHeight="1">
      <c r="A3143" s="35" t="s">
        <v>6501</v>
      </c>
      <c r="B3143" s="35" t="s">
        <v>6502</v>
      </c>
      <c r="C3143" s="35" t="s">
        <v>7759</v>
      </c>
      <c r="D3143" s="35" t="s">
        <v>218</v>
      </c>
      <c r="E3143" s="35" t="s">
        <v>374</v>
      </c>
      <c r="F3143" s="35">
        <v>707.0</v>
      </c>
      <c r="G3143" s="35">
        <v>5.73</v>
      </c>
      <c r="H3143" s="35">
        <v>123.4</v>
      </c>
      <c r="I3143" s="35" t="s">
        <v>62</v>
      </c>
    </row>
    <row r="3144" ht="22.5" customHeight="1">
      <c r="A3144" s="35" t="s">
        <v>6503</v>
      </c>
      <c r="B3144" s="35" t="s">
        <v>6504</v>
      </c>
      <c r="C3144" s="35" t="s">
        <v>7759</v>
      </c>
      <c r="D3144" s="35" t="s">
        <v>210</v>
      </c>
      <c r="E3144" s="35" t="s">
        <v>537</v>
      </c>
      <c r="F3144" s="35">
        <v>120.0</v>
      </c>
      <c r="G3144" s="35">
        <v>3.56</v>
      </c>
      <c r="H3144" s="35">
        <v>33.7</v>
      </c>
      <c r="I3144" s="35" t="s">
        <v>75</v>
      </c>
    </row>
    <row r="3145" ht="22.5" customHeight="1">
      <c r="A3145" s="35" t="s">
        <v>6505</v>
      </c>
      <c r="B3145" s="35" t="s">
        <v>6506</v>
      </c>
      <c r="C3145" s="35" t="s">
        <v>7759</v>
      </c>
      <c r="D3145" s="35" t="s">
        <v>152</v>
      </c>
      <c r="E3145" s="35" t="s">
        <v>417</v>
      </c>
      <c r="F3145" s="35">
        <v>45.0</v>
      </c>
      <c r="G3145" s="35">
        <v>2.19</v>
      </c>
      <c r="H3145" s="35">
        <v>20.5</v>
      </c>
      <c r="I3145" s="35" t="s">
        <v>75</v>
      </c>
    </row>
    <row r="3146" ht="22.5" customHeight="1">
      <c r="A3146" s="35" t="s">
        <v>6507</v>
      </c>
      <c r="B3146" s="35" t="s">
        <v>4825</v>
      </c>
      <c r="C3146" s="35" t="s">
        <v>7759</v>
      </c>
      <c r="D3146" s="35" t="s">
        <v>207</v>
      </c>
      <c r="E3146" s="35" t="s">
        <v>534</v>
      </c>
      <c r="F3146" s="35">
        <v>116.0</v>
      </c>
      <c r="G3146" s="35">
        <v>1.85</v>
      </c>
      <c r="H3146" s="35">
        <v>62.7</v>
      </c>
      <c r="I3146" s="35" t="s">
        <v>75</v>
      </c>
    </row>
    <row r="3147" ht="22.5" customHeight="1">
      <c r="A3147" s="35" t="s">
        <v>6508</v>
      </c>
      <c r="B3147" s="35" t="s">
        <v>454</v>
      </c>
      <c r="C3147" s="35" t="s">
        <v>7759</v>
      </c>
      <c r="D3147" s="35" t="s">
        <v>158</v>
      </c>
      <c r="E3147" s="35" t="s">
        <v>427</v>
      </c>
      <c r="F3147" s="35">
        <v>350.0</v>
      </c>
      <c r="G3147" s="35">
        <v>6.93</v>
      </c>
      <c r="H3147" s="35">
        <v>50.5</v>
      </c>
      <c r="I3147" s="35" t="s">
        <v>75</v>
      </c>
    </row>
    <row r="3148" ht="22.5" customHeight="1">
      <c r="A3148" s="35" t="s">
        <v>6509</v>
      </c>
      <c r="B3148" s="35" t="s">
        <v>6510</v>
      </c>
      <c r="C3148" s="35" t="s">
        <v>7759</v>
      </c>
      <c r="D3148" s="35" t="s">
        <v>229</v>
      </c>
      <c r="E3148" s="35" t="s">
        <v>400</v>
      </c>
      <c r="F3148" s="35">
        <v>341.0</v>
      </c>
      <c r="G3148" s="35">
        <v>7.38</v>
      </c>
      <c r="H3148" s="35">
        <v>46.2</v>
      </c>
      <c r="I3148" s="35" t="s">
        <v>75</v>
      </c>
    </row>
    <row r="3149" ht="22.5" customHeight="1">
      <c r="A3149" s="35" t="s">
        <v>6511</v>
      </c>
      <c r="B3149" s="35" t="s">
        <v>6512</v>
      </c>
      <c r="C3149" s="35" t="s">
        <v>7759</v>
      </c>
      <c r="D3149" s="35" t="s">
        <v>229</v>
      </c>
      <c r="E3149" s="35" t="s">
        <v>400</v>
      </c>
      <c r="F3149" s="35">
        <v>109.0</v>
      </c>
      <c r="G3149" s="35">
        <v>2.43</v>
      </c>
      <c r="H3149" s="35">
        <v>44.9</v>
      </c>
      <c r="I3149" s="35" t="s">
        <v>75</v>
      </c>
    </row>
    <row r="3150" ht="22.5" customHeight="1">
      <c r="A3150" s="35" t="s">
        <v>6513</v>
      </c>
      <c r="B3150" s="35" t="s">
        <v>6514</v>
      </c>
      <c r="C3150" s="35" t="s">
        <v>7759</v>
      </c>
      <c r="D3150" s="35" t="s">
        <v>152</v>
      </c>
      <c r="E3150" s="35" t="s">
        <v>417</v>
      </c>
      <c r="F3150" s="35">
        <v>495.0</v>
      </c>
      <c r="G3150" s="35">
        <v>8.14</v>
      </c>
      <c r="H3150" s="35">
        <v>60.8</v>
      </c>
      <c r="I3150" s="35" t="s">
        <v>75</v>
      </c>
    </row>
    <row r="3151" ht="22.5" customHeight="1">
      <c r="A3151" s="35" t="s">
        <v>6515</v>
      </c>
      <c r="B3151" s="35" t="s">
        <v>6516</v>
      </c>
      <c r="C3151" s="35" t="s">
        <v>7759</v>
      </c>
      <c r="D3151" s="35" t="s">
        <v>225</v>
      </c>
      <c r="E3151" s="35" t="s">
        <v>387</v>
      </c>
      <c r="F3151" s="35">
        <v>155.0</v>
      </c>
      <c r="G3151" s="35">
        <v>6.44</v>
      </c>
      <c r="H3151" s="35">
        <v>24.1</v>
      </c>
      <c r="I3151" s="35" t="s">
        <v>75</v>
      </c>
    </row>
    <row r="3152" ht="22.5" customHeight="1">
      <c r="A3152" s="35" t="s">
        <v>6517</v>
      </c>
      <c r="B3152" s="35" t="s">
        <v>6518</v>
      </c>
      <c r="C3152" s="35" t="s">
        <v>7759</v>
      </c>
      <c r="D3152" s="35" t="s">
        <v>121</v>
      </c>
      <c r="E3152" s="35" t="s">
        <v>325</v>
      </c>
      <c r="F3152" s="35">
        <v>197.0</v>
      </c>
      <c r="G3152" s="35">
        <v>6.27</v>
      </c>
      <c r="H3152" s="35">
        <v>31.4</v>
      </c>
      <c r="I3152" s="35" t="s">
        <v>75</v>
      </c>
    </row>
    <row r="3153" ht="22.5" customHeight="1">
      <c r="A3153" s="35" t="s">
        <v>6519</v>
      </c>
      <c r="B3153" s="35" t="s">
        <v>6520</v>
      </c>
      <c r="C3153" s="35" t="s">
        <v>7759</v>
      </c>
      <c r="D3153" s="35" t="s">
        <v>225</v>
      </c>
      <c r="E3153" s="35" t="s">
        <v>387</v>
      </c>
      <c r="F3153" s="35">
        <v>341.0</v>
      </c>
      <c r="G3153" s="35">
        <v>7.31</v>
      </c>
      <c r="H3153" s="35">
        <v>46.6</v>
      </c>
      <c r="I3153" s="35" t="s">
        <v>75</v>
      </c>
    </row>
    <row r="3154" ht="22.5" customHeight="1">
      <c r="A3154" s="35" t="s">
        <v>6521</v>
      </c>
      <c r="B3154" s="35" t="s">
        <v>6522</v>
      </c>
      <c r="C3154" s="35" t="s">
        <v>7759</v>
      </c>
      <c r="D3154" s="35" t="s">
        <v>178</v>
      </c>
      <c r="E3154" s="35" t="s">
        <v>475</v>
      </c>
      <c r="F3154" s="35">
        <v>397.0</v>
      </c>
      <c r="G3154" s="35">
        <v>4.81</v>
      </c>
      <c r="H3154" s="35">
        <v>82.5</v>
      </c>
      <c r="I3154" s="35" t="s">
        <v>75</v>
      </c>
    </row>
    <row r="3155" ht="22.5" customHeight="1">
      <c r="A3155" s="35" t="s">
        <v>6523</v>
      </c>
      <c r="B3155" s="35" t="s">
        <v>6524</v>
      </c>
      <c r="C3155" s="35" t="s">
        <v>7759</v>
      </c>
      <c r="D3155" s="35" t="s">
        <v>225</v>
      </c>
      <c r="E3155" s="35" t="s">
        <v>387</v>
      </c>
      <c r="F3155" s="35">
        <v>514.0</v>
      </c>
      <c r="G3155" s="35">
        <v>7.33</v>
      </c>
      <c r="H3155" s="35">
        <v>70.1</v>
      </c>
      <c r="I3155" s="35" t="s">
        <v>62</v>
      </c>
    </row>
    <row r="3156" ht="22.5" customHeight="1">
      <c r="A3156" s="35" t="s">
        <v>6525</v>
      </c>
      <c r="B3156" s="35" t="s">
        <v>6526</v>
      </c>
      <c r="C3156" s="35" t="s">
        <v>7759</v>
      </c>
      <c r="D3156" s="35" t="s">
        <v>158</v>
      </c>
      <c r="E3156" s="35" t="s">
        <v>427</v>
      </c>
      <c r="F3156" s="35">
        <v>220.0</v>
      </c>
      <c r="G3156" s="35">
        <v>7.83</v>
      </c>
      <c r="H3156" s="35">
        <v>28.1</v>
      </c>
      <c r="I3156" s="35" t="s">
        <v>75</v>
      </c>
    </row>
    <row r="3157" ht="22.5" customHeight="1">
      <c r="A3157" s="35" t="s">
        <v>6527</v>
      </c>
      <c r="B3157" s="35" t="s">
        <v>6528</v>
      </c>
      <c r="C3157" s="35" t="s">
        <v>7759</v>
      </c>
      <c r="D3157" s="35" t="s">
        <v>197</v>
      </c>
      <c r="E3157" s="35" t="s">
        <v>517</v>
      </c>
      <c r="F3157" s="35">
        <v>294.0</v>
      </c>
      <c r="G3157" s="35">
        <v>5.29</v>
      </c>
      <c r="H3157" s="35">
        <v>55.6</v>
      </c>
      <c r="I3157" s="35" t="s">
        <v>75</v>
      </c>
    </row>
    <row r="3158" ht="22.5" customHeight="1">
      <c r="A3158" s="35" t="s">
        <v>6529</v>
      </c>
      <c r="B3158" s="35" t="s">
        <v>6530</v>
      </c>
      <c r="C3158" s="35" t="s">
        <v>7759</v>
      </c>
      <c r="D3158" s="35" t="s">
        <v>185</v>
      </c>
      <c r="E3158" s="35" t="s">
        <v>485</v>
      </c>
      <c r="F3158" s="35">
        <v>144.0</v>
      </c>
      <c r="G3158" s="35">
        <v>6.92</v>
      </c>
      <c r="H3158" s="35">
        <v>20.8</v>
      </c>
      <c r="I3158" s="35" t="s">
        <v>75</v>
      </c>
    </row>
    <row r="3159" ht="22.5" customHeight="1">
      <c r="A3159" s="35" t="s">
        <v>6531</v>
      </c>
      <c r="B3159" s="35" t="s">
        <v>6532</v>
      </c>
      <c r="C3159" s="35" t="s">
        <v>7759</v>
      </c>
      <c r="D3159" s="35" t="s">
        <v>197</v>
      </c>
      <c r="E3159" s="35" t="s">
        <v>517</v>
      </c>
      <c r="F3159" s="35">
        <v>140.0</v>
      </c>
      <c r="G3159" s="35">
        <v>6.74</v>
      </c>
      <c r="H3159" s="35">
        <v>20.8</v>
      </c>
      <c r="I3159" s="35" t="s">
        <v>75</v>
      </c>
    </row>
    <row r="3160" ht="22.5" customHeight="1">
      <c r="A3160" s="35" t="s">
        <v>6533</v>
      </c>
      <c r="B3160" s="35" t="s">
        <v>6534</v>
      </c>
      <c r="C3160" s="35" t="s">
        <v>7759</v>
      </c>
      <c r="D3160" s="35" t="s">
        <v>158</v>
      </c>
      <c r="E3160" s="35" t="s">
        <v>427</v>
      </c>
      <c r="F3160" s="35">
        <v>207.0</v>
      </c>
      <c r="G3160" s="35">
        <v>6.89</v>
      </c>
      <c r="H3160" s="35">
        <v>30.0</v>
      </c>
      <c r="I3160" s="35" t="s">
        <v>75</v>
      </c>
    </row>
    <row r="3161" ht="22.5" customHeight="1">
      <c r="A3161" s="35" t="s">
        <v>6535</v>
      </c>
      <c r="B3161" s="35" t="s">
        <v>6536</v>
      </c>
      <c r="C3161" s="35" t="s">
        <v>7759</v>
      </c>
      <c r="D3161" s="35" t="s">
        <v>225</v>
      </c>
      <c r="E3161" s="35" t="s">
        <v>387</v>
      </c>
      <c r="F3161" s="35">
        <v>556.0</v>
      </c>
      <c r="G3161" s="35">
        <v>15.36</v>
      </c>
      <c r="H3161" s="35">
        <v>36.2</v>
      </c>
      <c r="I3161" s="35" t="s">
        <v>62</v>
      </c>
    </row>
    <row r="3162" ht="22.5" customHeight="1">
      <c r="A3162" s="35" t="s">
        <v>6537</v>
      </c>
      <c r="B3162" s="35" t="s">
        <v>6538</v>
      </c>
      <c r="C3162" s="35" t="s">
        <v>7759</v>
      </c>
      <c r="D3162" s="35" t="s">
        <v>210</v>
      </c>
      <c r="E3162" s="35" t="s">
        <v>537</v>
      </c>
      <c r="F3162" s="35">
        <v>370.0</v>
      </c>
      <c r="G3162" s="35">
        <v>8.11</v>
      </c>
      <c r="H3162" s="35">
        <v>45.6</v>
      </c>
      <c r="I3162" s="35" t="s">
        <v>75</v>
      </c>
    </row>
    <row r="3163" ht="22.5" customHeight="1">
      <c r="A3163" s="35" t="s">
        <v>6539</v>
      </c>
      <c r="B3163" s="35" t="s">
        <v>6540</v>
      </c>
      <c r="C3163" s="35" t="s">
        <v>7759</v>
      </c>
      <c r="D3163" s="35" t="s">
        <v>229</v>
      </c>
      <c r="E3163" s="35" t="s">
        <v>400</v>
      </c>
      <c r="F3163" s="35">
        <v>90.0</v>
      </c>
      <c r="G3163" s="35">
        <v>4.41</v>
      </c>
      <c r="H3163" s="35">
        <v>20.4</v>
      </c>
      <c r="I3163" s="35" t="s">
        <v>75</v>
      </c>
    </row>
    <row r="3164" ht="22.5" customHeight="1">
      <c r="A3164" s="35" t="s">
        <v>6541</v>
      </c>
      <c r="B3164" s="35" t="s">
        <v>6542</v>
      </c>
      <c r="C3164" s="35" t="s">
        <v>7759</v>
      </c>
      <c r="D3164" s="35" t="s">
        <v>152</v>
      </c>
      <c r="E3164" s="35" t="s">
        <v>417</v>
      </c>
      <c r="F3164" s="35">
        <v>41.0</v>
      </c>
      <c r="G3164" s="35">
        <v>1.88</v>
      </c>
      <c r="H3164" s="35">
        <v>21.8</v>
      </c>
      <c r="I3164" s="35" t="s">
        <v>75</v>
      </c>
    </row>
    <row r="3165" ht="22.5" customHeight="1">
      <c r="A3165" s="35" t="s">
        <v>6543</v>
      </c>
      <c r="B3165" s="35" t="s">
        <v>6544</v>
      </c>
      <c r="C3165" s="35" t="s">
        <v>7759</v>
      </c>
      <c r="D3165" s="35" t="s">
        <v>210</v>
      </c>
      <c r="E3165" s="35" t="s">
        <v>537</v>
      </c>
      <c r="F3165" s="35">
        <v>300.0</v>
      </c>
      <c r="G3165" s="35">
        <v>6.13</v>
      </c>
      <c r="H3165" s="35">
        <v>48.9</v>
      </c>
      <c r="I3165" s="35" t="s">
        <v>75</v>
      </c>
    </row>
    <row r="3166" ht="22.5" customHeight="1">
      <c r="A3166" s="35" t="s">
        <v>6545</v>
      </c>
      <c r="B3166" s="35" t="s">
        <v>6546</v>
      </c>
      <c r="C3166" s="35" t="s">
        <v>7759</v>
      </c>
      <c r="D3166" s="35" t="s">
        <v>41</v>
      </c>
      <c r="E3166" s="35" t="s">
        <v>35</v>
      </c>
      <c r="F3166" s="35">
        <v>1191.0</v>
      </c>
      <c r="G3166" s="35">
        <v>5.34</v>
      </c>
      <c r="H3166" s="35">
        <v>223.0</v>
      </c>
      <c r="I3166" s="35" t="s">
        <v>62</v>
      </c>
    </row>
    <row r="3167" ht="22.5" customHeight="1">
      <c r="A3167" s="35" t="s">
        <v>6547</v>
      </c>
      <c r="B3167" s="35" t="s">
        <v>6548</v>
      </c>
      <c r="C3167" s="35" t="s">
        <v>7759</v>
      </c>
      <c r="D3167" s="35" t="s">
        <v>212</v>
      </c>
      <c r="E3167" s="35" t="s">
        <v>549</v>
      </c>
      <c r="F3167" s="35">
        <v>222.0</v>
      </c>
      <c r="G3167" s="35">
        <v>7.05</v>
      </c>
      <c r="H3167" s="35">
        <v>31.5</v>
      </c>
      <c r="I3167" s="35" t="s">
        <v>75</v>
      </c>
    </row>
    <row r="3168" ht="22.5" customHeight="1">
      <c r="A3168" s="35" t="s">
        <v>6549</v>
      </c>
      <c r="B3168" s="35" t="s">
        <v>6550</v>
      </c>
      <c r="C3168" s="35" t="s">
        <v>7759</v>
      </c>
      <c r="D3168" s="35" t="s">
        <v>230</v>
      </c>
      <c r="E3168" s="35" t="s">
        <v>402</v>
      </c>
      <c r="F3168" s="35">
        <v>704.0</v>
      </c>
      <c r="G3168" s="35">
        <v>12.04</v>
      </c>
      <c r="H3168" s="35">
        <v>58.5</v>
      </c>
      <c r="I3168" s="35" t="s">
        <v>62</v>
      </c>
    </row>
    <row r="3169" ht="22.5" customHeight="1">
      <c r="A3169" s="35" t="s">
        <v>6551</v>
      </c>
      <c r="B3169" s="35" t="s">
        <v>6552</v>
      </c>
      <c r="C3169" s="35" t="s">
        <v>7759</v>
      </c>
      <c r="D3169" s="35" t="s">
        <v>121</v>
      </c>
      <c r="E3169" s="35" t="s">
        <v>325</v>
      </c>
      <c r="F3169" s="35">
        <v>740.0</v>
      </c>
      <c r="G3169" s="35">
        <v>12.8</v>
      </c>
      <c r="H3169" s="35">
        <v>57.8</v>
      </c>
      <c r="I3169" s="35" t="s">
        <v>62</v>
      </c>
    </row>
    <row r="3170" ht="22.5" customHeight="1">
      <c r="A3170" s="35" t="s">
        <v>6553</v>
      </c>
      <c r="B3170" s="35" t="s">
        <v>6554</v>
      </c>
      <c r="C3170" s="35" t="s">
        <v>7759</v>
      </c>
      <c r="D3170" s="35" t="s">
        <v>41</v>
      </c>
      <c r="E3170" s="35" t="s">
        <v>35</v>
      </c>
      <c r="F3170" s="35">
        <v>4359.0</v>
      </c>
      <c r="G3170" s="35">
        <v>13.04</v>
      </c>
      <c r="H3170" s="35">
        <v>334.3</v>
      </c>
      <c r="I3170" s="35" t="s">
        <v>142</v>
      </c>
    </row>
    <row r="3171" ht="22.5" customHeight="1">
      <c r="A3171" s="35" t="s">
        <v>6555</v>
      </c>
      <c r="B3171" s="35" t="s">
        <v>6556</v>
      </c>
      <c r="C3171" s="35" t="s">
        <v>7759</v>
      </c>
      <c r="D3171" s="35" t="s">
        <v>229</v>
      </c>
      <c r="E3171" s="35" t="s">
        <v>400</v>
      </c>
      <c r="F3171" s="35">
        <v>182.0</v>
      </c>
      <c r="G3171" s="35">
        <v>4.6</v>
      </c>
      <c r="H3171" s="35">
        <v>39.6</v>
      </c>
      <c r="I3171" s="35" t="s">
        <v>75</v>
      </c>
    </row>
    <row r="3172" ht="22.5" customHeight="1">
      <c r="A3172" s="35" t="s">
        <v>6557</v>
      </c>
      <c r="B3172" s="35" t="s">
        <v>6558</v>
      </c>
      <c r="C3172" s="35" t="s">
        <v>7759</v>
      </c>
      <c r="D3172" s="35" t="s">
        <v>218</v>
      </c>
      <c r="E3172" s="35" t="s">
        <v>374</v>
      </c>
      <c r="F3172" s="35">
        <v>705.0</v>
      </c>
      <c r="G3172" s="35">
        <v>10.21</v>
      </c>
      <c r="H3172" s="35">
        <v>69.0</v>
      </c>
      <c r="I3172" s="35" t="s">
        <v>62</v>
      </c>
    </row>
    <row r="3173" ht="22.5" customHeight="1">
      <c r="A3173" s="35" t="s">
        <v>6559</v>
      </c>
      <c r="B3173" s="35" t="s">
        <v>6560</v>
      </c>
      <c r="C3173" s="35" t="s">
        <v>7759</v>
      </c>
      <c r="D3173" s="35" t="s">
        <v>225</v>
      </c>
      <c r="E3173" s="35" t="s">
        <v>387</v>
      </c>
      <c r="F3173" s="35">
        <v>348.0</v>
      </c>
      <c r="G3173" s="35">
        <v>6.44</v>
      </c>
      <c r="H3173" s="35">
        <v>54.0</v>
      </c>
      <c r="I3173" s="35" t="s">
        <v>75</v>
      </c>
    </row>
    <row r="3174" ht="22.5" customHeight="1">
      <c r="A3174" s="35" t="s">
        <v>6561</v>
      </c>
      <c r="B3174" s="35" t="s">
        <v>6562</v>
      </c>
      <c r="C3174" s="35" t="s">
        <v>7759</v>
      </c>
      <c r="D3174" s="35" t="s">
        <v>207</v>
      </c>
      <c r="E3174" s="35" t="s">
        <v>534</v>
      </c>
      <c r="F3174" s="35">
        <v>1035.0</v>
      </c>
      <c r="G3174" s="35">
        <v>17.26</v>
      </c>
      <c r="H3174" s="35">
        <v>60.0</v>
      </c>
      <c r="I3174" s="35" t="s">
        <v>62</v>
      </c>
    </row>
    <row r="3175" ht="22.5" customHeight="1">
      <c r="A3175" s="35" t="s">
        <v>6563</v>
      </c>
      <c r="B3175" s="35" t="s">
        <v>6564</v>
      </c>
      <c r="C3175" s="35" t="s">
        <v>7759</v>
      </c>
      <c r="D3175" s="35" t="s">
        <v>229</v>
      </c>
      <c r="E3175" s="35" t="s">
        <v>400</v>
      </c>
      <c r="F3175" s="35">
        <v>59.0</v>
      </c>
      <c r="G3175" s="35">
        <v>3.76</v>
      </c>
      <c r="H3175" s="35">
        <v>15.7</v>
      </c>
      <c r="I3175" s="35" t="s">
        <v>75</v>
      </c>
    </row>
    <row r="3176" ht="22.5" customHeight="1">
      <c r="A3176" s="35" t="s">
        <v>6565</v>
      </c>
      <c r="B3176" s="35" t="s">
        <v>6566</v>
      </c>
      <c r="C3176" s="35" t="s">
        <v>7759</v>
      </c>
      <c r="D3176" s="35" t="s">
        <v>185</v>
      </c>
      <c r="E3176" s="35" t="s">
        <v>485</v>
      </c>
      <c r="F3176" s="35">
        <v>110.0</v>
      </c>
      <c r="G3176" s="35">
        <v>4.05</v>
      </c>
      <c r="H3176" s="35">
        <v>27.2</v>
      </c>
      <c r="I3176" s="35" t="s">
        <v>75</v>
      </c>
    </row>
    <row r="3177" ht="22.5" customHeight="1">
      <c r="A3177" s="35" t="s">
        <v>6567</v>
      </c>
      <c r="B3177" s="35" t="s">
        <v>6568</v>
      </c>
      <c r="C3177" s="35" t="s">
        <v>7759</v>
      </c>
      <c r="D3177" s="35" t="s">
        <v>121</v>
      </c>
      <c r="E3177" s="35" t="s">
        <v>325</v>
      </c>
      <c r="F3177" s="35">
        <v>548.0</v>
      </c>
      <c r="G3177" s="35">
        <v>6.16</v>
      </c>
      <c r="H3177" s="35">
        <v>89.0</v>
      </c>
      <c r="I3177" s="35" t="s">
        <v>62</v>
      </c>
    </row>
    <row r="3178" ht="22.5" customHeight="1">
      <c r="A3178" s="35" t="s">
        <v>6569</v>
      </c>
      <c r="B3178" s="35" t="s">
        <v>6570</v>
      </c>
      <c r="C3178" s="35" t="s">
        <v>7759</v>
      </c>
      <c r="D3178" s="35" t="s">
        <v>197</v>
      </c>
      <c r="E3178" s="35" t="s">
        <v>517</v>
      </c>
      <c r="F3178" s="35">
        <v>546.0</v>
      </c>
      <c r="G3178" s="35">
        <v>11.91</v>
      </c>
      <c r="H3178" s="35">
        <v>45.8</v>
      </c>
      <c r="I3178" s="35" t="s">
        <v>62</v>
      </c>
    </row>
    <row r="3179" ht="22.5" customHeight="1">
      <c r="A3179" s="35" t="s">
        <v>6571</v>
      </c>
      <c r="B3179" s="35" t="s">
        <v>6572</v>
      </c>
      <c r="C3179" s="35" t="s">
        <v>7759</v>
      </c>
      <c r="D3179" s="35" t="s">
        <v>41</v>
      </c>
      <c r="E3179" s="35" t="s">
        <v>35</v>
      </c>
      <c r="F3179" s="35">
        <v>513.0</v>
      </c>
      <c r="G3179" s="35">
        <v>5.49</v>
      </c>
      <c r="H3179" s="35">
        <v>93.4</v>
      </c>
      <c r="I3179" s="35" t="s">
        <v>62</v>
      </c>
    </row>
    <row r="3180" ht="22.5" customHeight="1">
      <c r="A3180" s="35" t="s">
        <v>6573</v>
      </c>
      <c r="B3180" s="35" t="s">
        <v>6574</v>
      </c>
      <c r="C3180" s="35" t="s">
        <v>7759</v>
      </c>
      <c r="D3180" s="35" t="s">
        <v>185</v>
      </c>
      <c r="E3180" s="35" t="s">
        <v>485</v>
      </c>
      <c r="F3180" s="35">
        <v>75.0</v>
      </c>
      <c r="G3180" s="35">
        <v>2.37</v>
      </c>
      <c r="H3180" s="35">
        <v>31.6</v>
      </c>
      <c r="I3180" s="35" t="s">
        <v>75</v>
      </c>
    </row>
    <row r="3181" ht="22.5" customHeight="1">
      <c r="A3181" s="35" t="s">
        <v>6575</v>
      </c>
      <c r="B3181" s="35" t="s">
        <v>6576</v>
      </c>
      <c r="C3181" s="35" t="s">
        <v>7759</v>
      </c>
      <c r="D3181" s="35" t="s">
        <v>185</v>
      </c>
      <c r="E3181" s="35" t="s">
        <v>485</v>
      </c>
      <c r="F3181" s="35">
        <v>250.0</v>
      </c>
      <c r="G3181" s="35">
        <v>5.55</v>
      </c>
      <c r="H3181" s="35">
        <v>45.0</v>
      </c>
      <c r="I3181" s="35" t="s">
        <v>75</v>
      </c>
    </row>
    <row r="3182" ht="22.5" customHeight="1">
      <c r="A3182" s="35" t="s">
        <v>6577</v>
      </c>
      <c r="B3182" s="35" t="s">
        <v>6578</v>
      </c>
      <c r="C3182" s="35" t="s">
        <v>7759</v>
      </c>
      <c r="D3182" s="35" t="s">
        <v>158</v>
      </c>
      <c r="E3182" s="35" t="s">
        <v>427</v>
      </c>
      <c r="F3182" s="35">
        <v>688.0</v>
      </c>
      <c r="G3182" s="35">
        <v>15.26</v>
      </c>
      <c r="H3182" s="35">
        <v>45.1</v>
      </c>
      <c r="I3182" s="35" t="s">
        <v>62</v>
      </c>
    </row>
    <row r="3183" ht="22.5" customHeight="1">
      <c r="A3183" s="35" t="s">
        <v>6579</v>
      </c>
      <c r="B3183" s="35" t="s">
        <v>6580</v>
      </c>
      <c r="C3183" s="35" t="s">
        <v>7759</v>
      </c>
      <c r="D3183" s="35" t="s">
        <v>229</v>
      </c>
      <c r="E3183" s="35" t="s">
        <v>400</v>
      </c>
      <c r="F3183" s="35">
        <v>223.0</v>
      </c>
      <c r="G3183" s="35">
        <v>5.43</v>
      </c>
      <c r="H3183" s="35">
        <v>41.1</v>
      </c>
      <c r="I3183" s="35" t="s">
        <v>75</v>
      </c>
    </row>
    <row r="3184" ht="22.5" customHeight="1">
      <c r="A3184" s="35" t="s">
        <v>6581</v>
      </c>
      <c r="B3184" s="35" t="s">
        <v>6582</v>
      </c>
      <c r="C3184" s="35" t="s">
        <v>7759</v>
      </c>
      <c r="D3184" s="35" t="s">
        <v>218</v>
      </c>
      <c r="E3184" s="35" t="s">
        <v>374</v>
      </c>
      <c r="F3184" s="35">
        <v>90.0</v>
      </c>
      <c r="G3184" s="35">
        <v>5.45</v>
      </c>
      <c r="H3184" s="35">
        <v>16.5</v>
      </c>
      <c r="I3184" s="35" t="s">
        <v>75</v>
      </c>
    </row>
    <row r="3185" ht="22.5" customHeight="1">
      <c r="A3185" s="35" t="s">
        <v>6583</v>
      </c>
      <c r="B3185" s="35" t="s">
        <v>6584</v>
      </c>
      <c r="C3185" s="35" t="s">
        <v>7759</v>
      </c>
      <c r="D3185" s="35" t="s">
        <v>148</v>
      </c>
      <c r="E3185" s="35" t="s">
        <v>360</v>
      </c>
      <c r="F3185" s="35">
        <v>123.0</v>
      </c>
      <c r="G3185" s="35">
        <v>5.47</v>
      </c>
      <c r="H3185" s="35">
        <v>22.5</v>
      </c>
      <c r="I3185" s="35" t="s">
        <v>75</v>
      </c>
    </row>
    <row r="3186" ht="22.5" customHeight="1">
      <c r="A3186" s="35" t="s">
        <v>6585</v>
      </c>
      <c r="B3186" s="35" t="s">
        <v>6586</v>
      </c>
      <c r="C3186" s="35" t="s">
        <v>7759</v>
      </c>
      <c r="D3186" s="35" t="s">
        <v>121</v>
      </c>
      <c r="E3186" s="35" t="s">
        <v>325</v>
      </c>
      <c r="F3186" s="35">
        <v>2316.0</v>
      </c>
      <c r="G3186" s="35">
        <v>27.24</v>
      </c>
      <c r="H3186" s="35">
        <v>85.0</v>
      </c>
      <c r="I3186" s="35" t="s">
        <v>142</v>
      </c>
    </row>
    <row r="3187" ht="22.5" customHeight="1">
      <c r="A3187" s="35" t="s">
        <v>6587</v>
      </c>
      <c r="B3187" s="35" t="s">
        <v>6588</v>
      </c>
      <c r="C3187" s="35" t="s">
        <v>7759</v>
      </c>
      <c r="D3187" s="35" t="s">
        <v>229</v>
      </c>
      <c r="E3187" s="35" t="s">
        <v>400</v>
      </c>
      <c r="F3187" s="35">
        <v>278.0</v>
      </c>
      <c r="G3187" s="35">
        <v>5.61</v>
      </c>
      <c r="H3187" s="35">
        <v>49.6</v>
      </c>
      <c r="I3187" s="35" t="s">
        <v>75</v>
      </c>
    </row>
    <row r="3188" ht="22.5" customHeight="1">
      <c r="A3188" s="35" t="s">
        <v>6589</v>
      </c>
      <c r="B3188" s="35" t="s">
        <v>6590</v>
      </c>
      <c r="C3188" s="35" t="s">
        <v>7759</v>
      </c>
      <c r="D3188" s="35" t="s">
        <v>210</v>
      </c>
      <c r="E3188" s="35" t="s">
        <v>537</v>
      </c>
      <c r="F3188" s="35">
        <v>526.0</v>
      </c>
      <c r="G3188" s="35">
        <v>10.92</v>
      </c>
      <c r="H3188" s="35">
        <v>48.2</v>
      </c>
      <c r="I3188" s="35" t="s">
        <v>62</v>
      </c>
    </row>
    <row r="3189" ht="22.5" customHeight="1">
      <c r="A3189" s="35" t="s">
        <v>6591</v>
      </c>
      <c r="B3189" s="35" t="s">
        <v>6592</v>
      </c>
      <c r="C3189" s="35" t="s">
        <v>7759</v>
      </c>
      <c r="D3189" s="35" t="s">
        <v>185</v>
      </c>
      <c r="E3189" s="35" t="s">
        <v>485</v>
      </c>
      <c r="F3189" s="35">
        <v>272.0</v>
      </c>
      <c r="G3189" s="35">
        <v>8.85</v>
      </c>
      <c r="H3189" s="35">
        <v>30.7</v>
      </c>
      <c r="I3189" s="35" t="s">
        <v>75</v>
      </c>
    </row>
    <row r="3190" ht="22.5" customHeight="1">
      <c r="A3190" s="35" t="s">
        <v>6593</v>
      </c>
      <c r="B3190" s="35" t="s">
        <v>6594</v>
      </c>
      <c r="C3190" s="35" t="s">
        <v>7759</v>
      </c>
      <c r="D3190" s="35" t="s">
        <v>230</v>
      </c>
      <c r="E3190" s="35" t="s">
        <v>402</v>
      </c>
      <c r="F3190" s="35">
        <v>1969.0</v>
      </c>
      <c r="G3190" s="35">
        <v>8.52</v>
      </c>
      <c r="H3190" s="35">
        <v>231.1</v>
      </c>
      <c r="I3190" s="35" t="s">
        <v>62</v>
      </c>
    </row>
    <row r="3191" ht="22.5" customHeight="1">
      <c r="A3191" s="35" t="s">
        <v>6595</v>
      </c>
      <c r="B3191" s="35" t="s">
        <v>6596</v>
      </c>
      <c r="C3191" s="35" t="s">
        <v>7759</v>
      </c>
      <c r="D3191" s="35" t="s">
        <v>218</v>
      </c>
      <c r="E3191" s="35" t="s">
        <v>374</v>
      </c>
      <c r="F3191" s="35">
        <v>699.0</v>
      </c>
      <c r="G3191" s="35">
        <v>12.52</v>
      </c>
      <c r="H3191" s="35">
        <v>55.8</v>
      </c>
      <c r="I3191" s="35" t="s">
        <v>62</v>
      </c>
    </row>
    <row r="3192" ht="22.5" customHeight="1">
      <c r="A3192" s="35" t="s">
        <v>6597</v>
      </c>
      <c r="B3192" s="35" t="s">
        <v>6598</v>
      </c>
      <c r="C3192" s="35" t="s">
        <v>7759</v>
      </c>
      <c r="D3192" s="35" t="s">
        <v>148</v>
      </c>
      <c r="E3192" s="35" t="s">
        <v>360</v>
      </c>
      <c r="F3192" s="35">
        <v>570.0</v>
      </c>
      <c r="G3192" s="35">
        <v>11.56</v>
      </c>
      <c r="H3192" s="35">
        <v>49.3</v>
      </c>
      <c r="I3192" s="35" t="s">
        <v>62</v>
      </c>
    </row>
    <row r="3193" ht="22.5" customHeight="1">
      <c r="A3193" s="35" t="s">
        <v>6599</v>
      </c>
      <c r="B3193" s="35" t="s">
        <v>6600</v>
      </c>
      <c r="C3193" s="35" t="s">
        <v>7759</v>
      </c>
      <c r="D3193" s="35" t="s">
        <v>230</v>
      </c>
      <c r="E3193" s="35" t="s">
        <v>402</v>
      </c>
      <c r="F3193" s="35">
        <v>60.0</v>
      </c>
      <c r="G3193" s="35">
        <v>1.9</v>
      </c>
      <c r="H3193" s="35">
        <v>31.6</v>
      </c>
      <c r="I3193" s="35" t="s">
        <v>75</v>
      </c>
    </row>
    <row r="3194" ht="22.5" customHeight="1">
      <c r="A3194" s="35" t="s">
        <v>6601</v>
      </c>
      <c r="B3194" s="35" t="s">
        <v>6602</v>
      </c>
      <c r="C3194" s="35" t="s">
        <v>7759</v>
      </c>
      <c r="D3194" s="35" t="s">
        <v>212</v>
      </c>
      <c r="E3194" s="35" t="s">
        <v>549</v>
      </c>
      <c r="F3194" s="35">
        <v>1190.0</v>
      </c>
      <c r="G3194" s="35">
        <v>7.32</v>
      </c>
      <c r="H3194" s="35">
        <v>162.6</v>
      </c>
      <c r="I3194" s="35" t="s">
        <v>62</v>
      </c>
    </row>
    <row r="3195" ht="22.5" customHeight="1">
      <c r="A3195" s="35" t="s">
        <v>6603</v>
      </c>
      <c r="B3195" s="35" t="s">
        <v>6604</v>
      </c>
      <c r="C3195" s="35" t="s">
        <v>7759</v>
      </c>
      <c r="D3195" s="35" t="s">
        <v>230</v>
      </c>
      <c r="E3195" s="35" t="s">
        <v>402</v>
      </c>
      <c r="F3195" s="35">
        <v>169.0</v>
      </c>
      <c r="G3195" s="35">
        <v>4.93</v>
      </c>
      <c r="H3195" s="35">
        <v>34.3</v>
      </c>
      <c r="I3195" s="35" t="s">
        <v>75</v>
      </c>
    </row>
    <row r="3196" ht="22.5" customHeight="1">
      <c r="A3196" s="35" t="s">
        <v>6605</v>
      </c>
      <c r="B3196" s="35" t="s">
        <v>6606</v>
      </c>
      <c r="C3196" s="35" t="s">
        <v>7759</v>
      </c>
      <c r="D3196" s="35" t="s">
        <v>210</v>
      </c>
      <c r="E3196" s="35" t="s">
        <v>537</v>
      </c>
      <c r="F3196" s="35">
        <v>172.0</v>
      </c>
      <c r="G3196" s="35">
        <v>6.9</v>
      </c>
      <c r="H3196" s="35">
        <v>24.9</v>
      </c>
      <c r="I3196" s="35" t="s">
        <v>75</v>
      </c>
    </row>
    <row r="3197" ht="22.5" customHeight="1">
      <c r="A3197" s="35" t="s">
        <v>6607</v>
      </c>
      <c r="B3197" s="35" t="s">
        <v>6608</v>
      </c>
      <c r="C3197" s="35" t="s">
        <v>7759</v>
      </c>
      <c r="D3197" s="35" t="s">
        <v>148</v>
      </c>
      <c r="E3197" s="35" t="s">
        <v>360</v>
      </c>
      <c r="F3197" s="35">
        <v>158.0</v>
      </c>
      <c r="G3197" s="35">
        <v>7.88</v>
      </c>
      <c r="H3197" s="35">
        <v>20.1</v>
      </c>
      <c r="I3197" s="35" t="s">
        <v>75</v>
      </c>
    </row>
    <row r="3198" ht="22.5" customHeight="1">
      <c r="A3198" s="35" t="s">
        <v>6609</v>
      </c>
      <c r="B3198" s="35" t="s">
        <v>6610</v>
      </c>
      <c r="C3198" s="35" t="s">
        <v>7759</v>
      </c>
      <c r="D3198" s="35" t="s">
        <v>230</v>
      </c>
      <c r="E3198" s="35" t="s">
        <v>402</v>
      </c>
      <c r="F3198" s="35">
        <v>152.0</v>
      </c>
      <c r="G3198" s="35">
        <v>4.61</v>
      </c>
      <c r="H3198" s="35">
        <v>33.0</v>
      </c>
      <c r="I3198" s="35" t="s">
        <v>75</v>
      </c>
    </row>
    <row r="3199" ht="22.5" customHeight="1">
      <c r="A3199" s="35" t="s">
        <v>6611</v>
      </c>
      <c r="B3199" s="35" t="s">
        <v>6612</v>
      </c>
      <c r="C3199" s="35" t="s">
        <v>7759</v>
      </c>
      <c r="D3199" s="35" t="s">
        <v>197</v>
      </c>
      <c r="E3199" s="35" t="s">
        <v>517</v>
      </c>
      <c r="F3199" s="35">
        <v>147.0</v>
      </c>
      <c r="G3199" s="35">
        <v>4.9</v>
      </c>
      <c r="H3199" s="35">
        <v>30.0</v>
      </c>
      <c r="I3199" s="35" t="s">
        <v>75</v>
      </c>
    </row>
    <row r="3200" ht="22.5" customHeight="1">
      <c r="A3200" s="35" t="s">
        <v>6613</v>
      </c>
      <c r="B3200" s="35" t="s">
        <v>6614</v>
      </c>
      <c r="C3200" s="35" t="s">
        <v>7759</v>
      </c>
      <c r="D3200" s="35" t="s">
        <v>121</v>
      </c>
      <c r="E3200" s="35" t="s">
        <v>325</v>
      </c>
      <c r="F3200" s="35">
        <v>240.0</v>
      </c>
      <c r="G3200" s="35">
        <v>6.45</v>
      </c>
      <c r="H3200" s="35">
        <v>37.2</v>
      </c>
      <c r="I3200" s="35" t="s">
        <v>75</v>
      </c>
    </row>
    <row r="3201" ht="22.5" customHeight="1">
      <c r="A3201" s="35" t="s">
        <v>6615</v>
      </c>
      <c r="B3201" s="35" t="s">
        <v>6616</v>
      </c>
      <c r="C3201" s="35" t="s">
        <v>7759</v>
      </c>
      <c r="D3201" s="35" t="s">
        <v>152</v>
      </c>
      <c r="E3201" s="35" t="s">
        <v>417</v>
      </c>
      <c r="F3201" s="35">
        <v>30.0</v>
      </c>
      <c r="G3201" s="35">
        <v>1.82</v>
      </c>
      <c r="H3201" s="35">
        <v>16.5</v>
      </c>
      <c r="I3201" s="35" t="s">
        <v>75</v>
      </c>
    </row>
    <row r="3202" ht="22.5" customHeight="1">
      <c r="A3202" s="35" t="s">
        <v>6617</v>
      </c>
      <c r="B3202" s="35" t="s">
        <v>6618</v>
      </c>
      <c r="C3202" s="35" t="s">
        <v>7759</v>
      </c>
      <c r="D3202" s="35" t="s">
        <v>41</v>
      </c>
      <c r="E3202" s="35" t="s">
        <v>35</v>
      </c>
      <c r="F3202" s="35">
        <v>376.0</v>
      </c>
      <c r="G3202" s="35">
        <v>6.62</v>
      </c>
      <c r="H3202" s="35">
        <v>56.8</v>
      </c>
      <c r="I3202" s="35" t="s">
        <v>75</v>
      </c>
    </row>
    <row r="3203" ht="22.5" customHeight="1">
      <c r="A3203" s="35" t="s">
        <v>6619</v>
      </c>
      <c r="B3203" s="35" t="s">
        <v>6620</v>
      </c>
      <c r="C3203" s="35" t="s">
        <v>7759</v>
      </c>
      <c r="D3203" s="35" t="s">
        <v>158</v>
      </c>
      <c r="E3203" s="35" t="s">
        <v>427</v>
      </c>
      <c r="F3203" s="35">
        <v>516.0</v>
      </c>
      <c r="G3203" s="35">
        <v>18.83</v>
      </c>
      <c r="H3203" s="35">
        <v>27.4</v>
      </c>
      <c r="I3203" s="35" t="s">
        <v>62</v>
      </c>
    </row>
    <row r="3204" ht="22.5" customHeight="1">
      <c r="A3204" s="35" t="s">
        <v>6621</v>
      </c>
      <c r="B3204" s="35" t="s">
        <v>6622</v>
      </c>
      <c r="C3204" s="35" t="s">
        <v>7759</v>
      </c>
      <c r="D3204" s="35" t="s">
        <v>225</v>
      </c>
      <c r="E3204" s="35" t="s">
        <v>387</v>
      </c>
      <c r="F3204" s="35">
        <v>220.0</v>
      </c>
      <c r="G3204" s="35">
        <v>9.63</v>
      </c>
      <c r="H3204" s="35">
        <v>22.8</v>
      </c>
      <c r="I3204" s="35" t="s">
        <v>75</v>
      </c>
    </row>
    <row r="3205" ht="22.5" customHeight="1">
      <c r="A3205" s="35" t="s">
        <v>6623</v>
      </c>
      <c r="B3205" s="35" t="s">
        <v>6624</v>
      </c>
      <c r="C3205" s="35" t="s">
        <v>7759</v>
      </c>
      <c r="D3205" s="35" t="s">
        <v>197</v>
      </c>
      <c r="E3205" s="35" t="s">
        <v>517</v>
      </c>
      <c r="F3205" s="35">
        <v>45.0</v>
      </c>
      <c r="G3205" s="35">
        <v>2.9</v>
      </c>
      <c r="H3205" s="35">
        <v>15.5</v>
      </c>
      <c r="I3205" s="35" t="s">
        <v>75</v>
      </c>
    </row>
    <row r="3206" ht="22.5" customHeight="1">
      <c r="A3206" s="35" t="s">
        <v>6625</v>
      </c>
      <c r="B3206" s="35" t="s">
        <v>6626</v>
      </c>
      <c r="C3206" s="35" t="s">
        <v>7759</v>
      </c>
      <c r="D3206" s="35" t="s">
        <v>207</v>
      </c>
      <c r="E3206" s="35" t="s">
        <v>534</v>
      </c>
      <c r="F3206" s="35">
        <v>387.0</v>
      </c>
      <c r="G3206" s="35">
        <v>6.1</v>
      </c>
      <c r="H3206" s="35">
        <v>63.4</v>
      </c>
      <c r="I3206" s="35" t="s">
        <v>75</v>
      </c>
    </row>
    <row r="3207" ht="22.5" customHeight="1">
      <c r="A3207" s="35" t="s">
        <v>6627</v>
      </c>
      <c r="B3207" s="35" t="s">
        <v>6628</v>
      </c>
      <c r="C3207" s="35" t="s">
        <v>7759</v>
      </c>
      <c r="D3207" s="35" t="s">
        <v>197</v>
      </c>
      <c r="E3207" s="35" t="s">
        <v>517</v>
      </c>
      <c r="F3207" s="35">
        <v>80.0</v>
      </c>
      <c r="G3207" s="35">
        <v>4.44</v>
      </c>
      <c r="H3207" s="35">
        <v>18.0</v>
      </c>
      <c r="I3207" s="35" t="s">
        <v>75</v>
      </c>
    </row>
    <row r="3208" ht="22.5" customHeight="1">
      <c r="A3208" s="35" t="s">
        <v>6629</v>
      </c>
      <c r="B3208" s="35" t="s">
        <v>6630</v>
      </c>
      <c r="C3208" s="35" t="s">
        <v>7759</v>
      </c>
      <c r="D3208" s="35" t="s">
        <v>158</v>
      </c>
      <c r="E3208" s="35" t="s">
        <v>427</v>
      </c>
      <c r="F3208" s="35">
        <v>757.0</v>
      </c>
      <c r="G3208" s="35">
        <v>9.87</v>
      </c>
      <c r="H3208" s="35">
        <v>76.7</v>
      </c>
      <c r="I3208" s="35" t="s">
        <v>62</v>
      </c>
    </row>
    <row r="3209" ht="22.5" customHeight="1">
      <c r="A3209" s="35" t="s">
        <v>6631</v>
      </c>
      <c r="B3209" s="35" t="s">
        <v>6632</v>
      </c>
      <c r="C3209" s="35" t="s">
        <v>7759</v>
      </c>
      <c r="D3209" s="35" t="s">
        <v>121</v>
      </c>
      <c r="E3209" s="35" t="s">
        <v>325</v>
      </c>
      <c r="F3209" s="35">
        <v>865.0</v>
      </c>
      <c r="G3209" s="35">
        <v>10.33</v>
      </c>
      <c r="H3209" s="35">
        <v>83.7</v>
      </c>
      <c r="I3209" s="35" t="s">
        <v>62</v>
      </c>
    </row>
    <row r="3210" ht="22.5" customHeight="1">
      <c r="A3210" s="35" t="s">
        <v>6633</v>
      </c>
      <c r="B3210" s="35" t="s">
        <v>6634</v>
      </c>
      <c r="C3210" s="35" t="s">
        <v>7759</v>
      </c>
      <c r="D3210" s="35" t="s">
        <v>197</v>
      </c>
      <c r="E3210" s="35" t="s">
        <v>517</v>
      </c>
      <c r="F3210" s="35">
        <v>122.0</v>
      </c>
      <c r="G3210" s="35">
        <v>5.74</v>
      </c>
      <c r="H3210" s="35">
        <v>21.3</v>
      </c>
      <c r="I3210" s="35" t="s">
        <v>75</v>
      </c>
    </row>
    <row r="3211" ht="22.5" customHeight="1">
      <c r="A3211" s="35" t="s">
        <v>6635</v>
      </c>
      <c r="B3211" s="35" t="s">
        <v>6636</v>
      </c>
      <c r="C3211" s="35" t="s">
        <v>7759</v>
      </c>
      <c r="D3211" s="35" t="s">
        <v>207</v>
      </c>
      <c r="E3211" s="35" t="s">
        <v>534</v>
      </c>
      <c r="F3211" s="35">
        <v>305.0</v>
      </c>
      <c r="G3211" s="35">
        <v>8.49</v>
      </c>
      <c r="H3211" s="35">
        <v>35.9</v>
      </c>
      <c r="I3211" s="35" t="s">
        <v>75</v>
      </c>
    </row>
    <row r="3212" ht="22.5" customHeight="1">
      <c r="A3212" s="35" t="s">
        <v>6637</v>
      </c>
      <c r="B3212" s="35" t="s">
        <v>3443</v>
      </c>
      <c r="C3212" s="35" t="s">
        <v>7759</v>
      </c>
      <c r="D3212" s="35" t="s">
        <v>207</v>
      </c>
      <c r="E3212" s="35" t="s">
        <v>534</v>
      </c>
      <c r="F3212" s="35">
        <v>210.0</v>
      </c>
      <c r="G3212" s="35">
        <v>6.5</v>
      </c>
      <c r="H3212" s="35">
        <v>32.3</v>
      </c>
      <c r="I3212" s="35" t="s">
        <v>75</v>
      </c>
    </row>
    <row r="3213" ht="22.5" customHeight="1">
      <c r="A3213" s="35" t="s">
        <v>6638</v>
      </c>
      <c r="B3213" s="35" t="s">
        <v>6639</v>
      </c>
      <c r="C3213" s="35" t="s">
        <v>7759</v>
      </c>
      <c r="D3213" s="35" t="s">
        <v>229</v>
      </c>
      <c r="E3213" s="35" t="s">
        <v>400</v>
      </c>
      <c r="F3213" s="35">
        <v>149.0</v>
      </c>
      <c r="G3213" s="35">
        <v>9.77</v>
      </c>
      <c r="H3213" s="35">
        <v>15.3</v>
      </c>
      <c r="I3213" s="35" t="s">
        <v>75</v>
      </c>
    </row>
    <row r="3214" ht="22.5" customHeight="1">
      <c r="A3214" s="35" t="s">
        <v>6640</v>
      </c>
      <c r="B3214" s="35" t="s">
        <v>6641</v>
      </c>
      <c r="C3214" s="35" t="s">
        <v>7759</v>
      </c>
      <c r="D3214" s="35" t="s">
        <v>229</v>
      </c>
      <c r="E3214" s="35" t="s">
        <v>400</v>
      </c>
      <c r="F3214" s="35">
        <v>1660.0</v>
      </c>
      <c r="G3214" s="35">
        <v>23.73</v>
      </c>
      <c r="H3214" s="35">
        <v>70.0</v>
      </c>
      <c r="I3214" s="35" t="s">
        <v>62</v>
      </c>
    </row>
    <row r="3215" ht="22.5" customHeight="1">
      <c r="A3215" s="35" t="s">
        <v>6642</v>
      </c>
      <c r="B3215" s="35" t="s">
        <v>6643</v>
      </c>
      <c r="C3215" s="35" t="s">
        <v>7759</v>
      </c>
      <c r="D3215" s="35" t="s">
        <v>210</v>
      </c>
      <c r="E3215" s="35" t="s">
        <v>537</v>
      </c>
      <c r="F3215" s="35">
        <v>5982.0</v>
      </c>
      <c r="G3215" s="35">
        <v>16.33</v>
      </c>
      <c r="H3215" s="35">
        <v>366.3</v>
      </c>
      <c r="I3215" s="35" t="s">
        <v>142</v>
      </c>
    </row>
    <row r="3216" ht="22.5" customHeight="1">
      <c r="A3216" s="35" t="s">
        <v>6644</v>
      </c>
      <c r="B3216" s="35" t="s">
        <v>6645</v>
      </c>
      <c r="C3216" s="35" t="s">
        <v>7759</v>
      </c>
      <c r="D3216" s="35" t="s">
        <v>148</v>
      </c>
      <c r="E3216" s="35" t="s">
        <v>360</v>
      </c>
      <c r="F3216" s="35">
        <v>566.0</v>
      </c>
      <c r="G3216" s="35">
        <v>10.68</v>
      </c>
      <c r="H3216" s="35">
        <v>53.0</v>
      </c>
      <c r="I3216" s="35" t="s">
        <v>62</v>
      </c>
    </row>
    <row r="3217" ht="22.5" customHeight="1">
      <c r="A3217" s="35" t="s">
        <v>6646</v>
      </c>
      <c r="B3217" s="35" t="s">
        <v>6647</v>
      </c>
      <c r="C3217" s="35" t="s">
        <v>7759</v>
      </c>
      <c r="D3217" s="35" t="s">
        <v>148</v>
      </c>
      <c r="E3217" s="35" t="s">
        <v>360</v>
      </c>
      <c r="F3217" s="35">
        <v>313.0</v>
      </c>
      <c r="G3217" s="35">
        <v>9.38</v>
      </c>
      <c r="H3217" s="35">
        <v>33.4</v>
      </c>
      <c r="I3217" s="35" t="s">
        <v>75</v>
      </c>
    </row>
    <row r="3218" ht="22.5" customHeight="1">
      <c r="A3218" s="35" t="s">
        <v>6648</v>
      </c>
      <c r="B3218" s="35" t="s">
        <v>6649</v>
      </c>
      <c r="C3218" s="35" t="s">
        <v>7759</v>
      </c>
      <c r="D3218" s="35" t="s">
        <v>225</v>
      </c>
      <c r="E3218" s="35" t="s">
        <v>387</v>
      </c>
      <c r="F3218" s="35">
        <v>214.0</v>
      </c>
      <c r="G3218" s="35">
        <v>9.62</v>
      </c>
      <c r="H3218" s="35">
        <v>22.2</v>
      </c>
      <c r="I3218" s="35" t="s">
        <v>75</v>
      </c>
    </row>
    <row r="3219" ht="22.5" customHeight="1">
      <c r="A3219" s="35" t="s">
        <v>6650</v>
      </c>
      <c r="B3219" s="35" t="s">
        <v>6651</v>
      </c>
      <c r="C3219" s="35" t="s">
        <v>7759</v>
      </c>
      <c r="D3219" s="35" t="s">
        <v>197</v>
      </c>
      <c r="E3219" s="35" t="s">
        <v>517</v>
      </c>
      <c r="F3219" s="35">
        <v>152.0</v>
      </c>
      <c r="G3219" s="35">
        <v>4.65</v>
      </c>
      <c r="H3219" s="35">
        <v>32.7</v>
      </c>
      <c r="I3219" s="35" t="s">
        <v>75</v>
      </c>
    </row>
    <row r="3220" ht="22.5" customHeight="1">
      <c r="A3220" s="35" t="s">
        <v>6652</v>
      </c>
      <c r="B3220" s="35" t="s">
        <v>6653</v>
      </c>
      <c r="C3220" s="35" t="s">
        <v>7759</v>
      </c>
      <c r="D3220" s="35" t="s">
        <v>197</v>
      </c>
      <c r="E3220" s="35" t="s">
        <v>517</v>
      </c>
      <c r="F3220" s="35">
        <v>69.0</v>
      </c>
      <c r="G3220" s="35">
        <v>2.03</v>
      </c>
      <c r="H3220" s="35">
        <v>34.0</v>
      </c>
      <c r="I3220" s="35" t="s">
        <v>75</v>
      </c>
    </row>
    <row r="3221" ht="22.5" customHeight="1">
      <c r="A3221" s="35" t="s">
        <v>6654</v>
      </c>
      <c r="B3221" s="35" t="s">
        <v>6655</v>
      </c>
      <c r="C3221" s="35" t="s">
        <v>7759</v>
      </c>
      <c r="D3221" s="35" t="s">
        <v>229</v>
      </c>
      <c r="E3221" s="35" t="s">
        <v>400</v>
      </c>
      <c r="F3221" s="35">
        <v>164.0</v>
      </c>
      <c r="G3221" s="35">
        <v>6.81</v>
      </c>
      <c r="H3221" s="35">
        <v>24.1</v>
      </c>
      <c r="I3221" s="35" t="s">
        <v>75</v>
      </c>
    </row>
    <row r="3222" ht="22.5" customHeight="1">
      <c r="A3222" s="35" t="s">
        <v>6656</v>
      </c>
      <c r="B3222" s="35" t="s">
        <v>6657</v>
      </c>
      <c r="C3222" s="35" t="s">
        <v>7759</v>
      </c>
      <c r="D3222" s="35" t="s">
        <v>229</v>
      </c>
      <c r="E3222" s="35" t="s">
        <v>400</v>
      </c>
      <c r="F3222" s="35">
        <v>65.0</v>
      </c>
      <c r="G3222" s="35">
        <v>4.37</v>
      </c>
      <c r="H3222" s="35">
        <v>14.9</v>
      </c>
      <c r="I3222" s="35" t="s">
        <v>75</v>
      </c>
    </row>
    <row r="3223" ht="22.5" customHeight="1">
      <c r="A3223" s="35" t="s">
        <v>6658</v>
      </c>
      <c r="B3223" s="35" t="s">
        <v>6659</v>
      </c>
      <c r="C3223" s="35" t="s">
        <v>7759</v>
      </c>
      <c r="D3223" s="35" t="s">
        <v>185</v>
      </c>
      <c r="E3223" s="35" t="s">
        <v>485</v>
      </c>
      <c r="F3223" s="35">
        <v>99.0</v>
      </c>
      <c r="G3223" s="35">
        <v>4.14</v>
      </c>
      <c r="H3223" s="35">
        <v>23.9</v>
      </c>
      <c r="I3223" s="35" t="s">
        <v>75</v>
      </c>
    </row>
    <row r="3224" ht="22.5" customHeight="1">
      <c r="A3224" s="35" t="s">
        <v>6660</v>
      </c>
      <c r="B3224" s="35" t="s">
        <v>6661</v>
      </c>
      <c r="C3224" s="35" t="s">
        <v>7759</v>
      </c>
      <c r="D3224" s="35" t="s">
        <v>225</v>
      </c>
      <c r="E3224" s="35" t="s">
        <v>387</v>
      </c>
      <c r="F3224" s="35">
        <v>304.0</v>
      </c>
      <c r="G3224" s="35">
        <v>9.66</v>
      </c>
      <c r="H3224" s="35">
        <v>31.5</v>
      </c>
      <c r="I3224" s="35" t="s">
        <v>75</v>
      </c>
    </row>
    <row r="3225" ht="22.5" customHeight="1">
      <c r="A3225" s="35" t="s">
        <v>6662</v>
      </c>
      <c r="B3225" s="35" t="s">
        <v>6663</v>
      </c>
      <c r="C3225" s="35" t="s">
        <v>7759</v>
      </c>
      <c r="D3225" s="35" t="s">
        <v>225</v>
      </c>
      <c r="E3225" s="35" t="s">
        <v>387</v>
      </c>
      <c r="F3225" s="35">
        <v>1376.0</v>
      </c>
      <c r="G3225" s="35">
        <v>56.76</v>
      </c>
      <c r="H3225" s="35">
        <v>24.2</v>
      </c>
      <c r="I3225" s="35" t="s">
        <v>62</v>
      </c>
    </row>
    <row r="3226" ht="22.5" customHeight="1">
      <c r="A3226" s="35" t="s">
        <v>6664</v>
      </c>
      <c r="B3226" s="35" t="s">
        <v>6665</v>
      </c>
      <c r="C3226" s="35" t="s">
        <v>7759</v>
      </c>
      <c r="D3226" s="35" t="s">
        <v>185</v>
      </c>
      <c r="E3226" s="35" t="s">
        <v>485</v>
      </c>
      <c r="F3226" s="35">
        <v>115.0</v>
      </c>
      <c r="G3226" s="35">
        <v>2.59</v>
      </c>
      <c r="H3226" s="35">
        <v>44.4</v>
      </c>
      <c r="I3226" s="35" t="s">
        <v>75</v>
      </c>
    </row>
    <row r="3227" ht="22.5" customHeight="1">
      <c r="A3227" s="35" t="s">
        <v>6666</v>
      </c>
      <c r="B3227" s="35" t="s">
        <v>6667</v>
      </c>
      <c r="C3227" s="35" t="s">
        <v>7759</v>
      </c>
      <c r="D3227" s="35" t="s">
        <v>185</v>
      </c>
      <c r="E3227" s="35" t="s">
        <v>485</v>
      </c>
      <c r="F3227" s="35">
        <v>127.0</v>
      </c>
      <c r="G3227" s="35">
        <v>7.76</v>
      </c>
      <c r="H3227" s="35">
        <v>16.4</v>
      </c>
      <c r="I3227" s="35" t="s">
        <v>75</v>
      </c>
    </row>
    <row r="3228" ht="22.5" customHeight="1">
      <c r="A3228" s="35" t="s">
        <v>6668</v>
      </c>
      <c r="B3228" s="35" t="s">
        <v>6669</v>
      </c>
      <c r="C3228" s="35" t="s">
        <v>7759</v>
      </c>
      <c r="D3228" s="35" t="s">
        <v>41</v>
      </c>
      <c r="E3228" s="35" t="s">
        <v>35</v>
      </c>
      <c r="F3228" s="35">
        <v>186.0</v>
      </c>
      <c r="G3228" s="35">
        <v>5.08</v>
      </c>
      <c r="H3228" s="35">
        <v>36.6</v>
      </c>
      <c r="I3228" s="35" t="s">
        <v>75</v>
      </c>
    </row>
    <row r="3229" ht="22.5" customHeight="1">
      <c r="A3229" s="35" t="s">
        <v>6670</v>
      </c>
      <c r="B3229" s="35" t="s">
        <v>6671</v>
      </c>
      <c r="C3229" s="35" t="s">
        <v>7759</v>
      </c>
      <c r="D3229" s="35" t="s">
        <v>152</v>
      </c>
      <c r="E3229" s="35" t="s">
        <v>417</v>
      </c>
      <c r="F3229" s="35">
        <v>270.0</v>
      </c>
      <c r="G3229" s="35">
        <v>7.97</v>
      </c>
      <c r="H3229" s="35">
        <v>33.9</v>
      </c>
      <c r="I3229" s="35" t="s">
        <v>75</v>
      </c>
    </row>
    <row r="3230" ht="22.5" customHeight="1">
      <c r="A3230" s="35" t="s">
        <v>6672</v>
      </c>
      <c r="B3230" s="35" t="s">
        <v>6673</v>
      </c>
      <c r="C3230" s="35" t="s">
        <v>7759</v>
      </c>
      <c r="D3230" s="35" t="s">
        <v>229</v>
      </c>
      <c r="E3230" s="35" t="s">
        <v>400</v>
      </c>
      <c r="F3230" s="35">
        <v>460.0</v>
      </c>
      <c r="G3230" s="35">
        <v>8.92</v>
      </c>
      <c r="H3230" s="35">
        <v>51.6</v>
      </c>
      <c r="I3230" s="35" t="s">
        <v>75</v>
      </c>
    </row>
    <row r="3231" ht="22.5" customHeight="1">
      <c r="A3231" s="35" t="s">
        <v>6674</v>
      </c>
      <c r="B3231" s="35" t="s">
        <v>6675</v>
      </c>
      <c r="C3231" s="35" t="s">
        <v>7759</v>
      </c>
      <c r="D3231" s="35" t="s">
        <v>225</v>
      </c>
      <c r="E3231" s="35" t="s">
        <v>387</v>
      </c>
      <c r="F3231" s="35">
        <v>1958.0</v>
      </c>
      <c r="G3231" s="35">
        <v>16.61</v>
      </c>
      <c r="H3231" s="35">
        <v>117.9</v>
      </c>
      <c r="I3231" s="35" t="s">
        <v>62</v>
      </c>
    </row>
    <row r="3232" ht="22.5" customHeight="1">
      <c r="A3232" s="35" t="s">
        <v>6676</v>
      </c>
      <c r="B3232" s="35" t="s">
        <v>6677</v>
      </c>
      <c r="C3232" s="35" t="s">
        <v>7759</v>
      </c>
      <c r="D3232" s="35" t="s">
        <v>218</v>
      </c>
      <c r="E3232" s="35" t="s">
        <v>374</v>
      </c>
      <c r="F3232" s="35">
        <v>374.0</v>
      </c>
      <c r="G3232" s="35">
        <v>10.43</v>
      </c>
      <c r="H3232" s="35">
        <v>35.9</v>
      </c>
      <c r="I3232" s="35" t="s">
        <v>75</v>
      </c>
    </row>
    <row r="3233" ht="22.5" customHeight="1">
      <c r="A3233" s="35" t="s">
        <v>6678</v>
      </c>
      <c r="B3233" s="35" t="s">
        <v>6679</v>
      </c>
      <c r="C3233" s="35" t="s">
        <v>7759</v>
      </c>
      <c r="D3233" s="35" t="s">
        <v>152</v>
      </c>
      <c r="E3233" s="35" t="s">
        <v>417</v>
      </c>
      <c r="F3233" s="35">
        <v>281.0</v>
      </c>
      <c r="G3233" s="35">
        <v>9.69</v>
      </c>
      <c r="H3233" s="35">
        <v>29.0</v>
      </c>
      <c r="I3233" s="35" t="s">
        <v>75</v>
      </c>
    </row>
    <row r="3234" ht="22.5" customHeight="1">
      <c r="A3234" s="35" t="s">
        <v>6680</v>
      </c>
      <c r="B3234" s="35" t="s">
        <v>6681</v>
      </c>
      <c r="C3234" s="35" t="s">
        <v>7759</v>
      </c>
      <c r="D3234" s="35" t="s">
        <v>197</v>
      </c>
      <c r="E3234" s="35" t="s">
        <v>517</v>
      </c>
      <c r="F3234" s="35">
        <v>152.0</v>
      </c>
      <c r="G3234" s="35">
        <v>5.89</v>
      </c>
      <c r="H3234" s="35">
        <v>25.8</v>
      </c>
      <c r="I3234" s="35" t="s">
        <v>75</v>
      </c>
    </row>
    <row r="3235" ht="22.5" customHeight="1">
      <c r="A3235" s="35" t="s">
        <v>6682</v>
      </c>
      <c r="B3235" s="35" t="s">
        <v>6683</v>
      </c>
      <c r="C3235" s="35" t="s">
        <v>7759</v>
      </c>
      <c r="D3235" s="35" t="s">
        <v>185</v>
      </c>
      <c r="E3235" s="35" t="s">
        <v>485</v>
      </c>
      <c r="F3235" s="35">
        <v>215.0</v>
      </c>
      <c r="G3235" s="35">
        <v>4.86</v>
      </c>
      <c r="H3235" s="35">
        <v>44.2</v>
      </c>
      <c r="I3235" s="35" t="s">
        <v>75</v>
      </c>
    </row>
    <row r="3236" ht="22.5" customHeight="1">
      <c r="A3236" s="35" t="s">
        <v>6684</v>
      </c>
      <c r="B3236" s="35" t="s">
        <v>6685</v>
      </c>
      <c r="C3236" s="35" t="s">
        <v>7759</v>
      </c>
      <c r="D3236" s="35" t="s">
        <v>185</v>
      </c>
      <c r="E3236" s="35" t="s">
        <v>485</v>
      </c>
      <c r="F3236" s="35">
        <v>150.0</v>
      </c>
      <c r="G3236" s="35">
        <v>5.91</v>
      </c>
      <c r="H3236" s="35">
        <v>25.4</v>
      </c>
      <c r="I3236" s="35" t="s">
        <v>75</v>
      </c>
    </row>
    <row r="3237" ht="22.5" customHeight="1">
      <c r="A3237" s="35" t="s">
        <v>6686</v>
      </c>
      <c r="B3237" s="35" t="s">
        <v>6687</v>
      </c>
      <c r="C3237" s="35" t="s">
        <v>7759</v>
      </c>
      <c r="D3237" s="35" t="s">
        <v>210</v>
      </c>
      <c r="E3237" s="35" t="s">
        <v>537</v>
      </c>
      <c r="F3237" s="35">
        <v>737.0</v>
      </c>
      <c r="G3237" s="35">
        <v>8.76</v>
      </c>
      <c r="H3237" s="35">
        <v>84.1</v>
      </c>
      <c r="I3237" s="35" t="s">
        <v>62</v>
      </c>
    </row>
    <row r="3238" ht="22.5" customHeight="1">
      <c r="A3238" s="35" t="s">
        <v>6688</v>
      </c>
      <c r="B3238" s="35" t="s">
        <v>6689</v>
      </c>
      <c r="C3238" s="35" t="s">
        <v>7759</v>
      </c>
      <c r="D3238" s="35" t="s">
        <v>178</v>
      </c>
      <c r="E3238" s="35" t="s">
        <v>475</v>
      </c>
      <c r="F3238" s="35">
        <v>1174.0</v>
      </c>
      <c r="G3238" s="35">
        <v>3.72</v>
      </c>
      <c r="H3238" s="35">
        <v>315.6</v>
      </c>
      <c r="I3238" s="35" t="s">
        <v>62</v>
      </c>
    </row>
    <row r="3239" ht="22.5" customHeight="1">
      <c r="A3239" s="35" t="s">
        <v>6690</v>
      </c>
      <c r="B3239" s="35" t="s">
        <v>6691</v>
      </c>
      <c r="C3239" s="35" t="s">
        <v>7759</v>
      </c>
      <c r="D3239" s="35" t="s">
        <v>185</v>
      </c>
      <c r="E3239" s="35" t="s">
        <v>485</v>
      </c>
      <c r="F3239" s="35">
        <v>555.0</v>
      </c>
      <c r="G3239" s="35">
        <v>11.8</v>
      </c>
      <c r="H3239" s="35">
        <v>47.0</v>
      </c>
      <c r="I3239" s="35" t="s">
        <v>62</v>
      </c>
    </row>
    <row r="3240" ht="22.5" customHeight="1">
      <c r="A3240" s="35" t="s">
        <v>6692</v>
      </c>
      <c r="B3240" s="35" t="s">
        <v>6693</v>
      </c>
      <c r="C3240" s="35" t="s">
        <v>7759</v>
      </c>
      <c r="D3240" s="35" t="s">
        <v>148</v>
      </c>
      <c r="E3240" s="35" t="s">
        <v>360</v>
      </c>
      <c r="F3240" s="35">
        <v>524.0</v>
      </c>
      <c r="G3240" s="35">
        <v>11.3</v>
      </c>
      <c r="H3240" s="35">
        <v>46.4</v>
      </c>
      <c r="I3240" s="35" t="s">
        <v>62</v>
      </c>
    </row>
    <row r="3241" ht="22.5" customHeight="1">
      <c r="A3241" s="35" t="s">
        <v>6694</v>
      </c>
      <c r="B3241" s="35" t="s">
        <v>6695</v>
      </c>
      <c r="C3241" s="35" t="s">
        <v>7759</v>
      </c>
      <c r="D3241" s="35" t="s">
        <v>197</v>
      </c>
      <c r="E3241" s="35" t="s">
        <v>517</v>
      </c>
      <c r="F3241" s="35">
        <v>517.0</v>
      </c>
      <c r="G3241" s="35">
        <v>6.48</v>
      </c>
      <c r="H3241" s="35">
        <v>79.8</v>
      </c>
      <c r="I3241" s="35" t="s">
        <v>62</v>
      </c>
    </row>
    <row r="3242" ht="22.5" customHeight="1">
      <c r="A3242" s="35" t="s">
        <v>6696</v>
      </c>
      <c r="B3242" s="35" t="s">
        <v>6697</v>
      </c>
      <c r="C3242" s="35" t="s">
        <v>7759</v>
      </c>
      <c r="D3242" s="35" t="s">
        <v>158</v>
      </c>
      <c r="E3242" s="35" t="s">
        <v>427</v>
      </c>
      <c r="F3242" s="35">
        <v>59.0</v>
      </c>
      <c r="G3242" s="35">
        <v>2.75</v>
      </c>
      <c r="H3242" s="35">
        <v>21.5</v>
      </c>
      <c r="I3242" s="35" t="s">
        <v>75</v>
      </c>
    </row>
    <row r="3243" ht="22.5" customHeight="1">
      <c r="A3243" s="35" t="s">
        <v>6698</v>
      </c>
      <c r="B3243" s="35" t="s">
        <v>6699</v>
      </c>
      <c r="C3243" s="35" t="s">
        <v>7759</v>
      </c>
      <c r="D3243" s="35" t="s">
        <v>158</v>
      </c>
      <c r="E3243" s="35" t="s">
        <v>427</v>
      </c>
      <c r="F3243" s="35">
        <v>1389.0</v>
      </c>
      <c r="G3243" s="35">
        <v>8.66</v>
      </c>
      <c r="H3243" s="35">
        <v>160.4</v>
      </c>
      <c r="I3243" s="35" t="s">
        <v>62</v>
      </c>
    </row>
    <row r="3244" ht="22.5" customHeight="1">
      <c r="A3244" s="35" t="s">
        <v>6700</v>
      </c>
      <c r="B3244" s="35" t="s">
        <v>6701</v>
      </c>
      <c r="C3244" s="35" t="s">
        <v>7759</v>
      </c>
      <c r="D3244" s="35" t="s">
        <v>218</v>
      </c>
      <c r="E3244" s="35" t="s">
        <v>374</v>
      </c>
      <c r="F3244" s="35">
        <v>1081.0</v>
      </c>
      <c r="G3244" s="35">
        <v>17.93</v>
      </c>
      <c r="H3244" s="35">
        <v>60.3</v>
      </c>
      <c r="I3244" s="35" t="s">
        <v>62</v>
      </c>
    </row>
    <row r="3245" ht="22.5" customHeight="1">
      <c r="A3245" s="35" t="s">
        <v>6702</v>
      </c>
      <c r="B3245" s="35" t="s">
        <v>6703</v>
      </c>
      <c r="C3245" s="35" t="s">
        <v>7759</v>
      </c>
      <c r="D3245" s="35" t="s">
        <v>148</v>
      </c>
      <c r="E3245" s="35" t="s">
        <v>360</v>
      </c>
      <c r="F3245" s="35">
        <v>403.0</v>
      </c>
      <c r="G3245" s="35">
        <v>8.63</v>
      </c>
      <c r="H3245" s="35">
        <v>46.7</v>
      </c>
      <c r="I3245" s="35" t="s">
        <v>75</v>
      </c>
    </row>
    <row r="3246" ht="22.5" customHeight="1">
      <c r="A3246" s="35" t="s">
        <v>6704</v>
      </c>
      <c r="B3246" s="35" t="s">
        <v>6705</v>
      </c>
      <c r="C3246" s="35" t="s">
        <v>7759</v>
      </c>
      <c r="D3246" s="35" t="s">
        <v>207</v>
      </c>
      <c r="E3246" s="35" t="s">
        <v>534</v>
      </c>
      <c r="F3246" s="35">
        <v>44.0</v>
      </c>
      <c r="G3246" s="35">
        <v>1.95</v>
      </c>
      <c r="H3246" s="35">
        <v>22.6</v>
      </c>
      <c r="I3246" s="35" t="s">
        <v>75</v>
      </c>
    </row>
    <row r="3247" ht="22.5" customHeight="1">
      <c r="A3247" s="35" t="s">
        <v>6706</v>
      </c>
      <c r="B3247" s="35" t="s">
        <v>6707</v>
      </c>
      <c r="C3247" s="35" t="s">
        <v>7759</v>
      </c>
      <c r="D3247" s="35" t="s">
        <v>225</v>
      </c>
      <c r="E3247" s="35" t="s">
        <v>387</v>
      </c>
      <c r="F3247" s="35">
        <v>168.0</v>
      </c>
      <c r="G3247" s="35">
        <v>6.22</v>
      </c>
      <c r="H3247" s="35">
        <v>27.0</v>
      </c>
      <c r="I3247" s="35" t="s">
        <v>75</v>
      </c>
    </row>
    <row r="3248" ht="22.5" customHeight="1">
      <c r="A3248" s="35" t="s">
        <v>6708</v>
      </c>
      <c r="B3248" s="35" t="s">
        <v>6709</v>
      </c>
      <c r="C3248" s="35" t="s">
        <v>7759</v>
      </c>
      <c r="D3248" s="35" t="s">
        <v>207</v>
      </c>
      <c r="E3248" s="35" t="s">
        <v>534</v>
      </c>
      <c r="F3248" s="35">
        <v>287.0</v>
      </c>
      <c r="G3248" s="35">
        <v>8.95</v>
      </c>
      <c r="H3248" s="35">
        <v>32.1</v>
      </c>
      <c r="I3248" s="35" t="s">
        <v>75</v>
      </c>
    </row>
    <row r="3249" ht="22.5" customHeight="1">
      <c r="A3249" s="35" t="s">
        <v>6710</v>
      </c>
      <c r="B3249" s="35" t="s">
        <v>6711</v>
      </c>
      <c r="C3249" s="35" t="s">
        <v>7759</v>
      </c>
      <c r="D3249" s="35" t="s">
        <v>148</v>
      </c>
      <c r="E3249" s="35" t="s">
        <v>360</v>
      </c>
      <c r="F3249" s="35">
        <v>346.0</v>
      </c>
      <c r="G3249" s="35">
        <v>6.63</v>
      </c>
      <c r="H3249" s="35">
        <v>52.2</v>
      </c>
      <c r="I3249" s="35" t="s">
        <v>75</v>
      </c>
    </row>
    <row r="3250" ht="22.5" customHeight="1">
      <c r="A3250" s="35" t="s">
        <v>6712</v>
      </c>
      <c r="B3250" s="35" t="s">
        <v>6713</v>
      </c>
      <c r="C3250" s="35" t="s">
        <v>7759</v>
      </c>
      <c r="D3250" s="35" t="s">
        <v>230</v>
      </c>
      <c r="E3250" s="35" t="s">
        <v>402</v>
      </c>
      <c r="F3250" s="35">
        <v>709.0</v>
      </c>
      <c r="G3250" s="35">
        <v>11.13</v>
      </c>
      <c r="H3250" s="35">
        <v>63.7</v>
      </c>
      <c r="I3250" s="35" t="s">
        <v>62</v>
      </c>
    </row>
    <row r="3251" ht="22.5" customHeight="1">
      <c r="A3251" s="35" t="s">
        <v>6714</v>
      </c>
      <c r="B3251" s="35" t="s">
        <v>6715</v>
      </c>
      <c r="C3251" s="35" t="s">
        <v>7759</v>
      </c>
      <c r="D3251" s="35" t="s">
        <v>225</v>
      </c>
      <c r="E3251" s="35" t="s">
        <v>387</v>
      </c>
      <c r="F3251" s="35">
        <v>417.0</v>
      </c>
      <c r="G3251" s="35">
        <v>22.84</v>
      </c>
      <c r="H3251" s="35">
        <v>18.3</v>
      </c>
      <c r="I3251" s="35" t="s">
        <v>75</v>
      </c>
    </row>
    <row r="3252" ht="22.5" customHeight="1">
      <c r="A3252" s="35" t="s">
        <v>6716</v>
      </c>
      <c r="B3252" s="35" t="s">
        <v>6717</v>
      </c>
      <c r="C3252" s="35" t="s">
        <v>7759</v>
      </c>
      <c r="D3252" s="35" t="s">
        <v>225</v>
      </c>
      <c r="E3252" s="35" t="s">
        <v>387</v>
      </c>
      <c r="F3252" s="35">
        <v>308.0</v>
      </c>
      <c r="G3252" s="35">
        <v>8.45</v>
      </c>
      <c r="H3252" s="35">
        <v>36.4</v>
      </c>
      <c r="I3252" s="35" t="s">
        <v>75</v>
      </c>
    </row>
    <row r="3253" ht="22.5" customHeight="1">
      <c r="A3253" s="35" t="s">
        <v>6718</v>
      </c>
      <c r="B3253" s="35" t="s">
        <v>6719</v>
      </c>
      <c r="C3253" s="35" t="s">
        <v>7759</v>
      </c>
      <c r="D3253" s="35" t="s">
        <v>225</v>
      </c>
      <c r="E3253" s="35" t="s">
        <v>387</v>
      </c>
      <c r="F3253" s="35">
        <v>333.0</v>
      </c>
      <c r="G3253" s="35">
        <v>12.88</v>
      </c>
      <c r="H3253" s="35">
        <v>25.9</v>
      </c>
      <c r="I3253" s="35" t="s">
        <v>75</v>
      </c>
    </row>
    <row r="3254" ht="22.5" customHeight="1">
      <c r="A3254" s="35" t="s">
        <v>6720</v>
      </c>
      <c r="B3254" s="35" t="s">
        <v>6721</v>
      </c>
      <c r="C3254" s="35" t="s">
        <v>7759</v>
      </c>
      <c r="D3254" s="35" t="s">
        <v>121</v>
      </c>
      <c r="E3254" s="35" t="s">
        <v>325</v>
      </c>
      <c r="F3254" s="35">
        <v>363.0</v>
      </c>
      <c r="G3254" s="35">
        <v>5.0</v>
      </c>
      <c r="H3254" s="35">
        <v>72.6</v>
      </c>
      <c r="I3254" s="35" t="s">
        <v>75</v>
      </c>
    </row>
    <row r="3255" ht="22.5" customHeight="1">
      <c r="A3255" s="35" t="s">
        <v>6722</v>
      </c>
      <c r="B3255" s="35" t="s">
        <v>6723</v>
      </c>
      <c r="C3255" s="35" t="s">
        <v>7759</v>
      </c>
      <c r="D3255" s="35" t="s">
        <v>152</v>
      </c>
      <c r="E3255" s="35" t="s">
        <v>417</v>
      </c>
      <c r="F3255" s="35">
        <v>250.0</v>
      </c>
      <c r="G3255" s="35">
        <v>9.89</v>
      </c>
      <c r="H3255" s="35">
        <v>25.3</v>
      </c>
      <c r="I3255" s="35" t="s">
        <v>75</v>
      </c>
    </row>
    <row r="3256" ht="22.5" customHeight="1">
      <c r="A3256" s="35" t="s">
        <v>6724</v>
      </c>
      <c r="B3256" s="35" t="s">
        <v>6725</v>
      </c>
      <c r="C3256" s="35" t="s">
        <v>7759</v>
      </c>
      <c r="D3256" s="35" t="s">
        <v>207</v>
      </c>
      <c r="E3256" s="35" t="s">
        <v>534</v>
      </c>
      <c r="F3256" s="35">
        <v>5751.0</v>
      </c>
      <c r="G3256" s="35">
        <v>33.3</v>
      </c>
      <c r="H3256" s="35">
        <v>172.7</v>
      </c>
      <c r="I3256" s="35" t="s">
        <v>142</v>
      </c>
    </row>
    <row r="3257" ht="22.5" customHeight="1">
      <c r="A3257" s="35" t="s">
        <v>6726</v>
      </c>
      <c r="B3257" s="35" t="s">
        <v>6727</v>
      </c>
      <c r="C3257" s="35" t="s">
        <v>7759</v>
      </c>
      <c r="D3257" s="35" t="s">
        <v>41</v>
      </c>
      <c r="E3257" s="35" t="s">
        <v>35</v>
      </c>
      <c r="F3257" s="35">
        <v>1576.0</v>
      </c>
      <c r="G3257" s="35">
        <v>3.2</v>
      </c>
      <c r="H3257" s="35">
        <v>492.5</v>
      </c>
      <c r="I3257" s="35" t="s">
        <v>62</v>
      </c>
    </row>
    <row r="3258" ht="22.5" customHeight="1">
      <c r="A3258" s="35" t="s">
        <v>6728</v>
      </c>
      <c r="B3258" s="35" t="s">
        <v>6729</v>
      </c>
      <c r="C3258" s="35" t="s">
        <v>7759</v>
      </c>
      <c r="D3258" s="35" t="s">
        <v>158</v>
      </c>
      <c r="E3258" s="35" t="s">
        <v>427</v>
      </c>
      <c r="F3258" s="35">
        <v>78.0</v>
      </c>
      <c r="G3258" s="35">
        <v>5.04</v>
      </c>
      <c r="H3258" s="35">
        <v>15.5</v>
      </c>
      <c r="I3258" s="35" t="s">
        <v>75</v>
      </c>
    </row>
    <row r="3259" ht="22.5" customHeight="1">
      <c r="A3259" s="35" t="s">
        <v>6730</v>
      </c>
      <c r="B3259" s="35" t="s">
        <v>6731</v>
      </c>
      <c r="C3259" s="35" t="s">
        <v>7759</v>
      </c>
      <c r="D3259" s="35" t="s">
        <v>229</v>
      </c>
      <c r="E3259" s="35" t="s">
        <v>400</v>
      </c>
      <c r="F3259" s="35">
        <v>82.0</v>
      </c>
      <c r="G3259" s="35">
        <v>5.39</v>
      </c>
      <c r="H3259" s="35">
        <v>15.2</v>
      </c>
      <c r="I3259" s="35" t="s">
        <v>75</v>
      </c>
    </row>
    <row r="3260" ht="22.5" customHeight="1">
      <c r="A3260" s="35" t="s">
        <v>6732</v>
      </c>
      <c r="B3260" s="35" t="s">
        <v>6733</v>
      </c>
      <c r="C3260" s="35" t="s">
        <v>7759</v>
      </c>
      <c r="D3260" s="35" t="s">
        <v>121</v>
      </c>
      <c r="E3260" s="35" t="s">
        <v>325</v>
      </c>
      <c r="F3260" s="35">
        <v>887.0</v>
      </c>
      <c r="G3260" s="35">
        <v>11.09</v>
      </c>
      <c r="H3260" s="35">
        <v>80.0</v>
      </c>
      <c r="I3260" s="35" t="s">
        <v>62</v>
      </c>
    </row>
    <row r="3261" ht="22.5" customHeight="1">
      <c r="A3261" s="35" t="s">
        <v>6734</v>
      </c>
      <c r="B3261" s="35" t="s">
        <v>777</v>
      </c>
      <c r="C3261" s="35" t="s">
        <v>7759</v>
      </c>
      <c r="D3261" s="35" t="s">
        <v>41</v>
      </c>
      <c r="E3261" s="35" t="s">
        <v>35</v>
      </c>
      <c r="F3261" s="35">
        <v>1441.0</v>
      </c>
      <c r="G3261" s="35">
        <v>11.03</v>
      </c>
      <c r="H3261" s="35">
        <v>130.6</v>
      </c>
      <c r="I3261" s="35" t="s">
        <v>62</v>
      </c>
    </row>
    <row r="3262" ht="22.5" customHeight="1">
      <c r="A3262" s="35" t="s">
        <v>6735</v>
      </c>
      <c r="B3262" s="35" t="s">
        <v>6736</v>
      </c>
      <c r="C3262" s="35" t="s">
        <v>7759</v>
      </c>
      <c r="D3262" s="35" t="s">
        <v>121</v>
      </c>
      <c r="E3262" s="35" t="s">
        <v>325</v>
      </c>
      <c r="F3262" s="35">
        <v>357.0</v>
      </c>
      <c r="G3262" s="35">
        <v>4.43</v>
      </c>
      <c r="H3262" s="35">
        <v>80.6</v>
      </c>
      <c r="I3262" s="35" t="s">
        <v>75</v>
      </c>
    </row>
    <row r="3263" ht="22.5" customHeight="1">
      <c r="A3263" s="35" t="s">
        <v>6737</v>
      </c>
      <c r="B3263" s="35" t="s">
        <v>6738</v>
      </c>
      <c r="C3263" s="35" t="s">
        <v>7759</v>
      </c>
      <c r="D3263" s="35" t="s">
        <v>185</v>
      </c>
      <c r="E3263" s="35" t="s">
        <v>485</v>
      </c>
      <c r="F3263" s="35">
        <v>43.0</v>
      </c>
      <c r="G3263" s="35">
        <v>5.13</v>
      </c>
      <c r="H3263" s="35">
        <v>8.4</v>
      </c>
      <c r="I3263" s="35" t="s">
        <v>75</v>
      </c>
    </row>
    <row r="3264" ht="22.5" customHeight="1">
      <c r="A3264" s="35" t="s">
        <v>6739</v>
      </c>
      <c r="B3264" s="35" t="s">
        <v>6740</v>
      </c>
      <c r="C3264" s="35" t="s">
        <v>7759</v>
      </c>
      <c r="D3264" s="35" t="s">
        <v>197</v>
      </c>
      <c r="E3264" s="35" t="s">
        <v>517</v>
      </c>
      <c r="F3264" s="35">
        <v>85.0</v>
      </c>
      <c r="G3264" s="35">
        <v>6.35</v>
      </c>
      <c r="H3264" s="35">
        <v>13.4</v>
      </c>
      <c r="I3264" s="35" t="s">
        <v>75</v>
      </c>
    </row>
    <row r="3265" ht="22.5" customHeight="1">
      <c r="A3265" s="35" t="s">
        <v>6741</v>
      </c>
      <c r="B3265" s="35" t="s">
        <v>6742</v>
      </c>
      <c r="C3265" s="35" t="s">
        <v>7759</v>
      </c>
      <c r="D3265" s="35" t="s">
        <v>178</v>
      </c>
      <c r="E3265" s="35" t="s">
        <v>475</v>
      </c>
      <c r="F3265" s="35">
        <v>560.0</v>
      </c>
      <c r="G3265" s="35">
        <v>5.34</v>
      </c>
      <c r="H3265" s="35">
        <v>104.9</v>
      </c>
      <c r="I3265" s="35" t="s">
        <v>62</v>
      </c>
    </row>
    <row r="3266" ht="22.5" customHeight="1">
      <c r="A3266" s="35" t="s">
        <v>6743</v>
      </c>
      <c r="B3266" s="35" t="s">
        <v>6744</v>
      </c>
      <c r="C3266" s="35" t="s">
        <v>7759</v>
      </c>
      <c r="D3266" s="35" t="s">
        <v>197</v>
      </c>
      <c r="E3266" s="35" t="s">
        <v>517</v>
      </c>
      <c r="F3266" s="35">
        <v>282.0</v>
      </c>
      <c r="G3266" s="35">
        <v>9.17</v>
      </c>
      <c r="H3266" s="35">
        <v>30.8</v>
      </c>
      <c r="I3266" s="35" t="s">
        <v>75</v>
      </c>
    </row>
    <row r="3267" ht="22.5" customHeight="1">
      <c r="A3267" s="35" t="s">
        <v>6745</v>
      </c>
      <c r="B3267" s="35" t="s">
        <v>6746</v>
      </c>
      <c r="C3267" s="35" t="s">
        <v>7759</v>
      </c>
      <c r="D3267" s="35" t="s">
        <v>152</v>
      </c>
      <c r="E3267" s="35" t="s">
        <v>417</v>
      </c>
      <c r="F3267" s="35">
        <v>241.0</v>
      </c>
      <c r="G3267" s="35">
        <v>6.61</v>
      </c>
      <c r="H3267" s="35">
        <v>36.5</v>
      </c>
      <c r="I3267" s="35" t="s">
        <v>75</v>
      </c>
    </row>
    <row r="3268" ht="22.5" customHeight="1">
      <c r="A3268" s="35" t="s">
        <v>6747</v>
      </c>
      <c r="B3268" s="35" t="s">
        <v>6748</v>
      </c>
      <c r="C3268" s="35" t="s">
        <v>7759</v>
      </c>
      <c r="D3268" s="35" t="s">
        <v>121</v>
      </c>
      <c r="E3268" s="35" t="s">
        <v>325</v>
      </c>
      <c r="F3268" s="35">
        <v>510.0</v>
      </c>
      <c r="G3268" s="35">
        <v>6.83</v>
      </c>
      <c r="H3268" s="35">
        <v>74.7</v>
      </c>
      <c r="I3268" s="35" t="s">
        <v>62</v>
      </c>
    </row>
    <row r="3269" ht="22.5" customHeight="1">
      <c r="A3269" s="35" t="s">
        <v>6749</v>
      </c>
      <c r="B3269" s="35" t="s">
        <v>6750</v>
      </c>
      <c r="C3269" s="35" t="s">
        <v>7759</v>
      </c>
      <c r="D3269" s="35" t="s">
        <v>229</v>
      </c>
      <c r="E3269" s="35" t="s">
        <v>400</v>
      </c>
      <c r="F3269" s="35">
        <v>104.0</v>
      </c>
      <c r="G3269" s="35">
        <v>4.76</v>
      </c>
      <c r="H3269" s="35">
        <v>21.8</v>
      </c>
      <c r="I3269" s="35" t="s">
        <v>75</v>
      </c>
    </row>
    <row r="3270" ht="22.5" customHeight="1">
      <c r="A3270" s="35" t="s">
        <v>6751</v>
      </c>
      <c r="B3270" s="35" t="s">
        <v>6752</v>
      </c>
      <c r="C3270" s="35" t="s">
        <v>7759</v>
      </c>
      <c r="D3270" s="35" t="s">
        <v>207</v>
      </c>
      <c r="E3270" s="35" t="s">
        <v>534</v>
      </c>
      <c r="F3270" s="35">
        <v>7.0</v>
      </c>
      <c r="G3270" s="35">
        <v>1.61</v>
      </c>
      <c r="H3270" s="35">
        <v>4.3</v>
      </c>
      <c r="I3270" s="35" t="s">
        <v>75</v>
      </c>
    </row>
    <row r="3271" ht="22.5" customHeight="1">
      <c r="A3271" s="35" t="s">
        <v>6753</v>
      </c>
      <c r="B3271" s="35" t="s">
        <v>6754</v>
      </c>
      <c r="C3271" s="35" t="s">
        <v>7759</v>
      </c>
      <c r="D3271" s="35" t="s">
        <v>158</v>
      </c>
      <c r="E3271" s="35" t="s">
        <v>427</v>
      </c>
      <c r="F3271" s="35">
        <v>1099.0</v>
      </c>
      <c r="G3271" s="35">
        <v>17.36</v>
      </c>
      <c r="H3271" s="35">
        <v>63.3</v>
      </c>
      <c r="I3271" s="35" t="s">
        <v>62</v>
      </c>
    </row>
    <row r="3272" ht="22.5" customHeight="1">
      <c r="A3272" s="35" t="s">
        <v>6755</v>
      </c>
      <c r="B3272" s="35" t="s">
        <v>6756</v>
      </c>
      <c r="C3272" s="35" t="s">
        <v>7759</v>
      </c>
      <c r="D3272" s="35" t="s">
        <v>152</v>
      </c>
      <c r="E3272" s="35" t="s">
        <v>417</v>
      </c>
      <c r="F3272" s="35">
        <v>129.0</v>
      </c>
      <c r="G3272" s="35">
        <v>3.48</v>
      </c>
      <c r="H3272" s="35">
        <v>37.1</v>
      </c>
      <c r="I3272" s="35" t="s">
        <v>75</v>
      </c>
    </row>
    <row r="3273" ht="22.5" customHeight="1">
      <c r="A3273" s="35" t="s">
        <v>6757</v>
      </c>
      <c r="B3273" s="35" t="s">
        <v>6758</v>
      </c>
      <c r="C3273" s="35" t="s">
        <v>7759</v>
      </c>
      <c r="D3273" s="35" t="s">
        <v>229</v>
      </c>
      <c r="E3273" s="35" t="s">
        <v>400</v>
      </c>
      <c r="F3273" s="35">
        <v>342.0</v>
      </c>
      <c r="G3273" s="35">
        <v>14.13</v>
      </c>
      <c r="H3273" s="35">
        <v>24.2</v>
      </c>
      <c r="I3273" s="35" t="s">
        <v>75</v>
      </c>
    </row>
    <row r="3274" ht="22.5" customHeight="1">
      <c r="A3274" s="35" t="s">
        <v>6759</v>
      </c>
      <c r="B3274" s="35" t="s">
        <v>6760</v>
      </c>
      <c r="C3274" s="35" t="s">
        <v>7759</v>
      </c>
      <c r="D3274" s="35" t="s">
        <v>152</v>
      </c>
      <c r="E3274" s="35" t="s">
        <v>417</v>
      </c>
      <c r="F3274" s="35">
        <v>1704.0</v>
      </c>
      <c r="G3274" s="35">
        <v>4.94</v>
      </c>
      <c r="H3274" s="35">
        <v>344.9</v>
      </c>
      <c r="I3274" s="35" t="s">
        <v>62</v>
      </c>
    </row>
    <row r="3275" ht="22.5" customHeight="1">
      <c r="A3275" s="35" t="s">
        <v>6761</v>
      </c>
      <c r="B3275" s="35" t="s">
        <v>6762</v>
      </c>
      <c r="C3275" s="35" t="s">
        <v>7759</v>
      </c>
      <c r="D3275" s="35" t="s">
        <v>158</v>
      </c>
      <c r="E3275" s="35" t="s">
        <v>427</v>
      </c>
      <c r="F3275" s="35">
        <v>300.0</v>
      </c>
      <c r="G3275" s="35">
        <v>7.79</v>
      </c>
      <c r="H3275" s="35">
        <v>38.5</v>
      </c>
      <c r="I3275" s="35" t="s">
        <v>75</v>
      </c>
    </row>
    <row r="3276" ht="22.5" customHeight="1">
      <c r="A3276" s="35" t="s">
        <v>6763</v>
      </c>
      <c r="B3276" s="35" t="s">
        <v>6764</v>
      </c>
      <c r="C3276" s="35" t="s">
        <v>7759</v>
      </c>
      <c r="D3276" s="35" t="s">
        <v>229</v>
      </c>
      <c r="E3276" s="35" t="s">
        <v>400</v>
      </c>
      <c r="F3276" s="35">
        <v>276.0</v>
      </c>
      <c r="G3276" s="35">
        <v>9.07</v>
      </c>
      <c r="H3276" s="35">
        <v>30.4</v>
      </c>
      <c r="I3276" s="35" t="s">
        <v>75</v>
      </c>
    </row>
    <row r="3277" ht="22.5" customHeight="1">
      <c r="A3277" s="35" t="s">
        <v>6765</v>
      </c>
      <c r="B3277" s="35" t="s">
        <v>6766</v>
      </c>
      <c r="C3277" s="35" t="s">
        <v>7759</v>
      </c>
      <c r="D3277" s="35" t="s">
        <v>185</v>
      </c>
      <c r="E3277" s="35" t="s">
        <v>485</v>
      </c>
      <c r="F3277" s="35">
        <v>201.0</v>
      </c>
      <c r="G3277" s="35">
        <v>8.26</v>
      </c>
      <c r="H3277" s="35">
        <v>24.3</v>
      </c>
      <c r="I3277" s="35" t="s">
        <v>75</v>
      </c>
    </row>
    <row r="3278" ht="22.5" customHeight="1">
      <c r="A3278" s="35" t="s">
        <v>6767</v>
      </c>
      <c r="B3278" s="35" t="s">
        <v>6768</v>
      </c>
      <c r="C3278" s="35" t="s">
        <v>7759</v>
      </c>
      <c r="D3278" s="35" t="s">
        <v>185</v>
      </c>
      <c r="E3278" s="35" t="s">
        <v>485</v>
      </c>
      <c r="F3278" s="35">
        <v>751.0</v>
      </c>
      <c r="G3278" s="35">
        <v>14.32</v>
      </c>
      <c r="H3278" s="35">
        <v>52.4</v>
      </c>
      <c r="I3278" s="35" t="s">
        <v>62</v>
      </c>
    </row>
    <row r="3279" ht="22.5" customHeight="1">
      <c r="A3279" s="35" t="s">
        <v>6769</v>
      </c>
      <c r="B3279" s="35" t="s">
        <v>6770</v>
      </c>
      <c r="C3279" s="35" t="s">
        <v>7759</v>
      </c>
      <c r="D3279" s="35" t="s">
        <v>212</v>
      </c>
      <c r="E3279" s="35" t="s">
        <v>549</v>
      </c>
      <c r="F3279" s="35">
        <v>132.0</v>
      </c>
      <c r="G3279" s="35">
        <v>4.21</v>
      </c>
      <c r="H3279" s="35">
        <v>31.4</v>
      </c>
      <c r="I3279" s="35" t="s">
        <v>75</v>
      </c>
    </row>
    <row r="3280" ht="22.5" customHeight="1">
      <c r="A3280" s="35" t="s">
        <v>6771</v>
      </c>
      <c r="B3280" s="35" t="s">
        <v>6772</v>
      </c>
      <c r="C3280" s="35" t="s">
        <v>7759</v>
      </c>
      <c r="D3280" s="35" t="s">
        <v>225</v>
      </c>
      <c r="E3280" s="35" t="s">
        <v>387</v>
      </c>
      <c r="F3280" s="35">
        <v>159.0</v>
      </c>
      <c r="G3280" s="35">
        <v>1.97</v>
      </c>
      <c r="H3280" s="35">
        <v>80.7</v>
      </c>
      <c r="I3280" s="35" t="s">
        <v>75</v>
      </c>
    </row>
    <row r="3281" ht="22.5" customHeight="1">
      <c r="A3281" s="35" t="s">
        <v>6773</v>
      </c>
      <c r="B3281" s="35" t="s">
        <v>6774</v>
      </c>
      <c r="C3281" s="35" t="s">
        <v>7759</v>
      </c>
      <c r="D3281" s="35" t="s">
        <v>121</v>
      </c>
      <c r="E3281" s="35" t="s">
        <v>325</v>
      </c>
      <c r="F3281" s="35">
        <v>504.0</v>
      </c>
      <c r="G3281" s="35">
        <v>3.99</v>
      </c>
      <c r="H3281" s="35">
        <v>126.3</v>
      </c>
      <c r="I3281" s="35" t="s">
        <v>62</v>
      </c>
    </row>
    <row r="3282" ht="22.5" customHeight="1">
      <c r="A3282" s="35" t="s">
        <v>6775</v>
      </c>
      <c r="B3282" s="35" t="s">
        <v>6776</v>
      </c>
      <c r="C3282" s="35" t="s">
        <v>7759</v>
      </c>
      <c r="D3282" s="35" t="s">
        <v>148</v>
      </c>
      <c r="E3282" s="35" t="s">
        <v>360</v>
      </c>
      <c r="F3282" s="35">
        <v>159.0</v>
      </c>
      <c r="G3282" s="35">
        <v>5.62</v>
      </c>
      <c r="H3282" s="35">
        <v>28.3</v>
      </c>
      <c r="I3282" s="35" t="s">
        <v>75</v>
      </c>
    </row>
    <row r="3283" ht="22.5" customHeight="1">
      <c r="A3283" s="35" t="s">
        <v>6777</v>
      </c>
      <c r="B3283" s="35" t="s">
        <v>6778</v>
      </c>
      <c r="C3283" s="35" t="s">
        <v>7759</v>
      </c>
      <c r="D3283" s="35" t="s">
        <v>152</v>
      </c>
      <c r="E3283" s="35" t="s">
        <v>417</v>
      </c>
      <c r="F3283" s="35">
        <v>715.0</v>
      </c>
      <c r="G3283" s="35">
        <v>18.86</v>
      </c>
      <c r="H3283" s="35">
        <v>37.9</v>
      </c>
      <c r="I3283" s="35" t="s">
        <v>62</v>
      </c>
    </row>
    <row r="3284" ht="22.5" customHeight="1">
      <c r="A3284" s="35" t="s">
        <v>6779</v>
      </c>
      <c r="B3284" s="35" t="s">
        <v>6780</v>
      </c>
      <c r="C3284" s="35" t="s">
        <v>7759</v>
      </c>
      <c r="D3284" s="35" t="s">
        <v>229</v>
      </c>
      <c r="E3284" s="35" t="s">
        <v>400</v>
      </c>
      <c r="F3284" s="35">
        <v>270.0</v>
      </c>
      <c r="G3284" s="35">
        <v>6.6</v>
      </c>
      <c r="H3284" s="35">
        <v>40.9</v>
      </c>
      <c r="I3284" s="35" t="s">
        <v>75</v>
      </c>
    </row>
    <row r="3285" ht="22.5" customHeight="1">
      <c r="A3285" s="35" t="s">
        <v>6781</v>
      </c>
      <c r="B3285" s="35" t="s">
        <v>6782</v>
      </c>
      <c r="C3285" s="35" t="s">
        <v>7759</v>
      </c>
      <c r="D3285" s="35" t="s">
        <v>121</v>
      </c>
      <c r="E3285" s="35" t="s">
        <v>325</v>
      </c>
      <c r="F3285" s="35">
        <v>244.0</v>
      </c>
      <c r="G3285" s="35">
        <v>6.23</v>
      </c>
      <c r="H3285" s="35">
        <v>39.2</v>
      </c>
      <c r="I3285" s="35" t="s">
        <v>75</v>
      </c>
    </row>
    <row r="3286" ht="22.5" customHeight="1">
      <c r="A3286" s="35" t="s">
        <v>6783</v>
      </c>
      <c r="B3286" s="35" t="s">
        <v>6784</v>
      </c>
      <c r="C3286" s="35" t="s">
        <v>7759</v>
      </c>
      <c r="D3286" s="35" t="s">
        <v>230</v>
      </c>
      <c r="E3286" s="35" t="s">
        <v>402</v>
      </c>
      <c r="F3286" s="35">
        <v>379.0</v>
      </c>
      <c r="G3286" s="35">
        <v>6.52</v>
      </c>
      <c r="H3286" s="35">
        <v>58.1</v>
      </c>
      <c r="I3286" s="35" t="s">
        <v>75</v>
      </c>
    </row>
    <row r="3287" ht="22.5" customHeight="1">
      <c r="A3287" s="35" t="s">
        <v>6785</v>
      </c>
      <c r="B3287" s="35" t="s">
        <v>6786</v>
      </c>
      <c r="C3287" s="35" t="s">
        <v>7759</v>
      </c>
      <c r="D3287" s="35" t="s">
        <v>225</v>
      </c>
      <c r="E3287" s="35" t="s">
        <v>387</v>
      </c>
      <c r="F3287" s="35">
        <v>398.0</v>
      </c>
      <c r="G3287" s="35">
        <v>11.18</v>
      </c>
      <c r="H3287" s="35">
        <v>35.6</v>
      </c>
      <c r="I3287" s="35" t="s">
        <v>75</v>
      </c>
    </row>
    <row r="3288" ht="22.5" customHeight="1">
      <c r="A3288" s="35" t="s">
        <v>6787</v>
      </c>
      <c r="B3288" s="35" t="s">
        <v>6788</v>
      </c>
      <c r="C3288" s="35" t="s">
        <v>7759</v>
      </c>
      <c r="D3288" s="35" t="s">
        <v>41</v>
      </c>
      <c r="E3288" s="35" t="s">
        <v>35</v>
      </c>
      <c r="F3288" s="35">
        <v>287.0</v>
      </c>
      <c r="G3288" s="35">
        <v>6.02</v>
      </c>
      <c r="H3288" s="35">
        <v>47.7</v>
      </c>
      <c r="I3288" s="35" t="s">
        <v>75</v>
      </c>
    </row>
    <row r="3289" ht="22.5" customHeight="1">
      <c r="A3289" s="35" t="s">
        <v>6789</v>
      </c>
      <c r="B3289" s="35" t="s">
        <v>6790</v>
      </c>
      <c r="C3289" s="35" t="s">
        <v>7759</v>
      </c>
      <c r="D3289" s="35" t="s">
        <v>185</v>
      </c>
      <c r="E3289" s="35" t="s">
        <v>485</v>
      </c>
      <c r="F3289" s="35">
        <v>126.0</v>
      </c>
      <c r="G3289" s="35">
        <v>4.6</v>
      </c>
      <c r="H3289" s="35">
        <v>27.4</v>
      </c>
      <c r="I3289" s="35" t="s">
        <v>75</v>
      </c>
    </row>
    <row r="3290" ht="22.5" customHeight="1">
      <c r="A3290" s="35" t="s">
        <v>6791</v>
      </c>
      <c r="B3290" s="35" t="s">
        <v>6792</v>
      </c>
      <c r="C3290" s="35" t="s">
        <v>7759</v>
      </c>
      <c r="D3290" s="35" t="s">
        <v>185</v>
      </c>
      <c r="E3290" s="35" t="s">
        <v>485</v>
      </c>
      <c r="F3290" s="35">
        <v>348.0</v>
      </c>
      <c r="G3290" s="35">
        <v>8.13</v>
      </c>
      <c r="H3290" s="35">
        <v>42.8</v>
      </c>
      <c r="I3290" s="35" t="s">
        <v>75</v>
      </c>
    </row>
    <row r="3291" ht="22.5" customHeight="1">
      <c r="A3291" s="35" t="s">
        <v>6793</v>
      </c>
      <c r="B3291" s="35" t="s">
        <v>5100</v>
      </c>
      <c r="C3291" s="35" t="s">
        <v>7759</v>
      </c>
      <c r="D3291" s="35" t="s">
        <v>158</v>
      </c>
      <c r="E3291" s="35" t="s">
        <v>427</v>
      </c>
      <c r="F3291" s="35">
        <v>166.0</v>
      </c>
      <c r="G3291" s="35">
        <v>4.07</v>
      </c>
      <c r="H3291" s="35">
        <v>40.8</v>
      </c>
      <c r="I3291" s="35" t="s">
        <v>75</v>
      </c>
    </row>
    <row r="3292" ht="22.5" customHeight="1">
      <c r="A3292" s="35" t="s">
        <v>6794</v>
      </c>
      <c r="B3292" s="35" t="s">
        <v>6795</v>
      </c>
      <c r="C3292" s="35" t="s">
        <v>7759</v>
      </c>
      <c r="D3292" s="35" t="s">
        <v>197</v>
      </c>
      <c r="E3292" s="35" t="s">
        <v>517</v>
      </c>
      <c r="F3292" s="35">
        <v>589.0</v>
      </c>
      <c r="G3292" s="35">
        <v>18.24</v>
      </c>
      <c r="H3292" s="35">
        <v>32.3</v>
      </c>
      <c r="I3292" s="35" t="s">
        <v>62</v>
      </c>
    </row>
    <row r="3293" ht="22.5" customHeight="1">
      <c r="A3293" s="35" t="s">
        <v>6796</v>
      </c>
      <c r="B3293" s="35" t="s">
        <v>6797</v>
      </c>
      <c r="C3293" s="35" t="s">
        <v>7759</v>
      </c>
      <c r="D3293" s="35" t="s">
        <v>218</v>
      </c>
      <c r="E3293" s="35" t="s">
        <v>374</v>
      </c>
      <c r="F3293" s="35">
        <v>1128.0</v>
      </c>
      <c r="G3293" s="35">
        <v>7.84</v>
      </c>
      <c r="H3293" s="35">
        <v>143.9</v>
      </c>
      <c r="I3293" s="35" t="s">
        <v>62</v>
      </c>
    </row>
    <row r="3294" ht="22.5" customHeight="1">
      <c r="A3294" s="35" t="s">
        <v>6798</v>
      </c>
      <c r="B3294" s="35" t="s">
        <v>6799</v>
      </c>
      <c r="C3294" s="35" t="s">
        <v>7759</v>
      </c>
      <c r="D3294" s="35" t="s">
        <v>229</v>
      </c>
      <c r="E3294" s="35" t="s">
        <v>400</v>
      </c>
      <c r="F3294" s="35">
        <v>42.0</v>
      </c>
      <c r="G3294" s="35">
        <v>3.79</v>
      </c>
      <c r="H3294" s="35">
        <v>11.1</v>
      </c>
      <c r="I3294" s="35" t="s">
        <v>75</v>
      </c>
    </row>
    <row r="3295" ht="22.5" customHeight="1">
      <c r="A3295" s="35" t="s">
        <v>6800</v>
      </c>
      <c r="B3295" s="35" t="s">
        <v>6801</v>
      </c>
      <c r="C3295" s="35" t="s">
        <v>7759</v>
      </c>
      <c r="D3295" s="35" t="s">
        <v>158</v>
      </c>
      <c r="E3295" s="35" t="s">
        <v>427</v>
      </c>
      <c r="F3295" s="35">
        <v>510.0</v>
      </c>
      <c r="G3295" s="35">
        <v>11.06</v>
      </c>
      <c r="H3295" s="35">
        <v>46.1</v>
      </c>
      <c r="I3295" s="35" t="s">
        <v>62</v>
      </c>
    </row>
    <row r="3296" ht="22.5" customHeight="1">
      <c r="A3296" s="35" t="s">
        <v>6802</v>
      </c>
      <c r="B3296" s="35" t="s">
        <v>6803</v>
      </c>
      <c r="C3296" s="35" t="s">
        <v>7759</v>
      </c>
      <c r="D3296" s="35" t="s">
        <v>148</v>
      </c>
      <c r="E3296" s="35" t="s">
        <v>360</v>
      </c>
      <c r="F3296" s="35">
        <v>204.0</v>
      </c>
      <c r="G3296" s="35">
        <v>9.73</v>
      </c>
      <c r="H3296" s="35">
        <v>21.0</v>
      </c>
      <c r="I3296" s="35" t="s">
        <v>75</v>
      </c>
    </row>
    <row r="3297" ht="22.5" customHeight="1">
      <c r="A3297" s="35" t="s">
        <v>6804</v>
      </c>
      <c r="B3297" s="35" t="s">
        <v>6805</v>
      </c>
      <c r="C3297" s="35" t="s">
        <v>7759</v>
      </c>
      <c r="D3297" s="35" t="s">
        <v>152</v>
      </c>
      <c r="E3297" s="35" t="s">
        <v>417</v>
      </c>
      <c r="F3297" s="35">
        <v>163.0</v>
      </c>
      <c r="G3297" s="35">
        <v>6.35</v>
      </c>
      <c r="H3297" s="35">
        <v>25.7</v>
      </c>
      <c r="I3297" s="35" t="s">
        <v>75</v>
      </c>
    </row>
    <row r="3298" ht="22.5" customHeight="1">
      <c r="A3298" s="35" t="s">
        <v>6806</v>
      </c>
      <c r="B3298" s="35" t="s">
        <v>5106</v>
      </c>
      <c r="C3298" s="35" t="s">
        <v>7759</v>
      </c>
      <c r="D3298" s="35" t="s">
        <v>229</v>
      </c>
      <c r="E3298" s="35" t="s">
        <v>400</v>
      </c>
      <c r="F3298" s="35">
        <v>270.0</v>
      </c>
      <c r="G3298" s="35">
        <v>4.87</v>
      </c>
      <c r="H3298" s="35">
        <v>55.4</v>
      </c>
      <c r="I3298" s="35" t="s">
        <v>75</v>
      </c>
    </row>
    <row r="3299" ht="22.5" customHeight="1">
      <c r="A3299" s="35" t="s">
        <v>6807</v>
      </c>
      <c r="B3299" s="35" t="s">
        <v>829</v>
      </c>
      <c r="C3299" s="35" t="s">
        <v>7759</v>
      </c>
      <c r="D3299" s="35" t="s">
        <v>185</v>
      </c>
      <c r="E3299" s="35" t="s">
        <v>485</v>
      </c>
      <c r="F3299" s="35">
        <v>171.0</v>
      </c>
      <c r="G3299" s="35">
        <v>6.72</v>
      </c>
      <c r="H3299" s="35">
        <v>25.4</v>
      </c>
      <c r="I3299" s="35" t="s">
        <v>75</v>
      </c>
    </row>
    <row r="3300" ht="22.5" customHeight="1">
      <c r="A3300" s="35" t="s">
        <v>6808</v>
      </c>
      <c r="B3300" s="35" t="s">
        <v>6809</v>
      </c>
      <c r="C3300" s="35" t="s">
        <v>7759</v>
      </c>
      <c r="D3300" s="35" t="s">
        <v>225</v>
      </c>
      <c r="E3300" s="35" t="s">
        <v>387</v>
      </c>
      <c r="F3300" s="35">
        <v>453.0</v>
      </c>
      <c r="G3300" s="35">
        <v>12.99</v>
      </c>
      <c r="H3300" s="35">
        <v>34.9</v>
      </c>
      <c r="I3300" s="35" t="s">
        <v>75</v>
      </c>
    </row>
    <row r="3301" ht="22.5" customHeight="1">
      <c r="A3301" s="35" t="s">
        <v>6810</v>
      </c>
      <c r="B3301" s="35" t="s">
        <v>6811</v>
      </c>
      <c r="C3301" s="35" t="s">
        <v>7759</v>
      </c>
      <c r="D3301" s="35" t="s">
        <v>230</v>
      </c>
      <c r="E3301" s="35" t="s">
        <v>402</v>
      </c>
      <c r="F3301" s="35">
        <v>91.0</v>
      </c>
      <c r="G3301" s="35">
        <v>3.91</v>
      </c>
      <c r="H3301" s="35">
        <v>23.3</v>
      </c>
      <c r="I3301" s="35" t="s">
        <v>75</v>
      </c>
    </row>
    <row r="3302" ht="22.5" customHeight="1">
      <c r="A3302" s="35" t="s">
        <v>6812</v>
      </c>
      <c r="B3302" s="35" t="s">
        <v>3583</v>
      </c>
      <c r="C3302" s="35" t="s">
        <v>7759</v>
      </c>
      <c r="D3302" s="35" t="s">
        <v>41</v>
      </c>
      <c r="E3302" s="35" t="s">
        <v>35</v>
      </c>
      <c r="F3302" s="35">
        <v>496.0</v>
      </c>
      <c r="G3302" s="35">
        <v>3.5</v>
      </c>
      <c r="H3302" s="35">
        <v>141.7</v>
      </c>
      <c r="I3302" s="35" t="s">
        <v>75</v>
      </c>
    </row>
    <row r="3303" ht="22.5" customHeight="1">
      <c r="A3303" s="35" t="s">
        <v>6813</v>
      </c>
      <c r="B3303" s="35" t="s">
        <v>6814</v>
      </c>
      <c r="C3303" s="35" t="s">
        <v>7759</v>
      </c>
      <c r="D3303" s="35" t="s">
        <v>185</v>
      </c>
      <c r="E3303" s="35" t="s">
        <v>485</v>
      </c>
      <c r="F3303" s="35">
        <v>136.0</v>
      </c>
      <c r="G3303" s="35">
        <v>5.06</v>
      </c>
      <c r="H3303" s="35">
        <v>26.9</v>
      </c>
      <c r="I3303" s="35" t="s">
        <v>75</v>
      </c>
    </row>
    <row r="3304" ht="22.5" customHeight="1">
      <c r="A3304" s="35" t="s">
        <v>6815</v>
      </c>
      <c r="B3304" s="35" t="s">
        <v>6816</v>
      </c>
      <c r="C3304" s="35" t="s">
        <v>7759</v>
      </c>
      <c r="D3304" s="35" t="s">
        <v>158</v>
      </c>
      <c r="E3304" s="35" t="s">
        <v>427</v>
      </c>
      <c r="F3304" s="35">
        <v>155.0</v>
      </c>
      <c r="G3304" s="35">
        <v>5.94</v>
      </c>
      <c r="H3304" s="35">
        <v>26.1</v>
      </c>
      <c r="I3304" s="35" t="s">
        <v>75</v>
      </c>
    </row>
    <row r="3305" ht="22.5" customHeight="1">
      <c r="A3305" s="35" t="s">
        <v>6817</v>
      </c>
      <c r="B3305" s="35" t="s">
        <v>6818</v>
      </c>
      <c r="C3305" s="35" t="s">
        <v>7759</v>
      </c>
      <c r="D3305" s="35" t="s">
        <v>212</v>
      </c>
      <c r="E3305" s="35" t="s">
        <v>549</v>
      </c>
      <c r="F3305" s="35">
        <v>2414.0</v>
      </c>
      <c r="G3305" s="35">
        <v>7.99</v>
      </c>
      <c r="H3305" s="35">
        <v>302.1</v>
      </c>
      <c r="I3305" s="35" t="s">
        <v>142</v>
      </c>
    </row>
    <row r="3306" ht="22.5" customHeight="1">
      <c r="A3306" s="35" t="s">
        <v>6819</v>
      </c>
      <c r="B3306" s="35" t="s">
        <v>6820</v>
      </c>
      <c r="C3306" s="35" t="s">
        <v>7759</v>
      </c>
      <c r="D3306" s="35" t="s">
        <v>207</v>
      </c>
      <c r="E3306" s="35" t="s">
        <v>534</v>
      </c>
      <c r="F3306" s="35">
        <v>663.0</v>
      </c>
      <c r="G3306" s="35">
        <v>11.7</v>
      </c>
      <c r="H3306" s="35">
        <v>56.7</v>
      </c>
      <c r="I3306" s="35" t="s">
        <v>62</v>
      </c>
    </row>
    <row r="3307" ht="22.5" customHeight="1">
      <c r="A3307" s="35" t="s">
        <v>6821</v>
      </c>
      <c r="B3307" s="35" t="s">
        <v>6822</v>
      </c>
      <c r="C3307" s="35" t="s">
        <v>7759</v>
      </c>
      <c r="D3307" s="35" t="s">
        <v>185</v>
      </c>
      <c r="E3307" s="35" t="s">
        <v>485</v>
      </c>
      <c r="F3307" s="35">
        <v>142.0</v>
      </c>
      <c r="G3307" s="35">
        <v>6.62</v>
      </c>
      <c r="H3307" s="35">
        <v>21.5</v>
      </c>
      <c r="I3307" s="35" t="s">
        <v>75</v>
      </c>
    </row>
    <row r="3308" ht="22.5" customHeight="1">
      <c r="A3308" s="35" t="s">
        <v>6823</v>
      </c>
      <c r="B3308" s="35" t="s">
        <v>6824</v>
      </c>
      <c r="C3308" s="35" t="s">
        <v>7759</v>
      </c>
      <c r="D3308" s="35" t="s">
        <v>158</v>
      </c>
      <c r="E3308" s="35" t="s">
        <v>427</v>
      </c>
      <c r="F3308" s="35">
        <v>278.0</v>
      </c>
      <c r="G3308" s="35">
        <v>6.86</v>
      </c>
      <c r="H3308" s="35">
        <v>40.5</v>
      </c>
      <c r="I3308" s="35" t="s">
        <v>75</v>
      </c>
    </row>
    <row r="3309" ht="22.5" customHeight="1">
      <c r="A3309" s="35" t="s">
        <v>6825</v>
      </c>
      <c r="B3309" s="35" t="s">
        <v>6826</v>
      </c>
      <c r="C3309" s="35" t="s">
        <v>7759</v>
      </c>
      <c r="D3309" s="35" t="s">
        <v>158</v>
      </c>
      <c r="E3309" s="35" t="s">
        <v>427</v>
      </c>
      <c r="F3309" s="35">
        <v>299.0</v>
      </c>
      <c r="G3309" s="35">
        <v>7.4</v>
      </c>
      <c r="H3309" s="35">
        <v>40.4</v>
      </c>
      <c r="I3309" s="35" t="s">
        <v>75</v>
      </c>
    </row>
    <row r="3310" ht="22.5" customHeight="1">
      <c r="A3310" s="35" t="s">
        <v>6827</v>
      </c>
      <c r="B3310" s="35" t="s">
        <v>5136</v>
      </c>
      <c r="C3310" s="35" t="s">
        <v>7759</v>
      </c>
      <c r="D3310" s="35" t="s">
        <v>158</v>
      </c>
      <c r="E3310" s="35" t="s">
        <v>427</v>
      </c>
      <c r="F3310" s="35">
        <v>190.0</v>
      </c>
      <c r="G3310" s="35">
        <v>6.3</v>
      </c>
      <c r="H3310" s="35">
        <v>30.2</v>
      </c>
      <c r="I3310" s="35" t="s">
        <v>75</v>
      </c>
    </row>
    <row r="3311" ht="22.5" customHeight="1">
      <c r="A3311" s="35" t="s">
        <v>6828</v>
      </c>
      <c r="B3311" s="35" t="s">
        <v>6829</v>
      </c>
      <c r="C3311" s="35" t="s">
        <v>7759</v>
      </c>
      <c r="D3311" s="35" t="s">
        <v>148</v>
      </c>
      <c r="E3311" s="35" t="s">
        <v>360</v>
      </c>
      <c r="F3311" s="35">
        <v>531.0</v>
      </c>
      <c r="G3311" s="35">
        <v>4.67</v>
      </c>
      <c r="H3311" s="35">
        <v>113.7</v>
      </c>
      <c r="I3311" s="35" t="s">
        <v>62</v>
      </c>
    </row>
    <row r="3312" ht="22.5" customHeight="1">
      <c r="A3312" s="35" t="s">
        <v>6830</v>
      </c>
      <c r="B3312" s="35" t="s">
        <v>6831</v>
      </c>
      <c r="C3312" s="35" t="s">
        <v>7759</v>
      </c>
      <c r="D3312" s="35" t="s">
        <v>207</v>
      </c>
      <c r="E3312" s="35" t="s">
        <v>534</v>
      </c>
      <c r="F3312" s="35">
        <v>1937.0</v>
      </c>
      <c r="G3312" s="35">
        <v>20.75</v>
      </c>
      <c r="H3312" s="35">
        <v>93.3</v>
      </c>
      <c r="I3312" s="35" t="s">
        <v>62</v>
      </c>
    </row>
    <row r="3313" ht="22.5" customHeight="1">
      <c r="A3313" s="35" t="s">
        <v>6832</v>
      </c>
      <c r="B3313" s="35" t="s">
        <v>853</v>
      </c>
      <c r="C3313" s="35" t="s">
        <v>7759</v>
      </c>
      <c r="D3313" s="35" t="s">
        <v>229</v>
      </c>
      <c r="E3313" s="35" t="s">
        <v>400</v>
      </c>
      <c r="F3313" s="35">
        <v>206.0</v>
      </c>
      <c r="G3313" s="35">
        <v>9.47</v>
      </c>
      <c r="H3313" s="35">
        <v>21.8</v>
      </c>
      <c r="I3313" s="35" t="s">
        <v>75</v>
      </c>
    </row>
    <row r="3314" ht="22.5" customHeight="1">
      <c r="A3314" s="35" t="s">
        <v>6833</v>
      </c>
      <c r="B3314" s="35" t="s">
        <v>6834</v>
      </c>
      <c r="C3314" s="35" t="s">
        <v>7759</v>
      </c>
      <c r="D3314" s="35" t="s">
        <v>218</v>
      </c>
      <c r="E3314" s="35" t="s">
        <v>374</v>
      </c>
      <c r="F3314" s="35">
        <v>3221.0</v>
      </c>
      <c r="G3314" s="35">
        <v>11.85</v>
      </c>
      <c r="H3314" s="35">
        <v>271.8</v>
      </c>
      <c r="I3314" s="35" t="s">
        <v>142</v>
      </c>
    </row>
    <row r="3315" ht="22.5" customHeight="1">
      <c r="A3315" s="35" t="s">
        <v>6835</v>
      </c>
      <c r="B3315" s="35" t="s">
        <v>6836</v>
      </c>
      <c r="C3315" s="35" t="s">
        <v>7759</v>
      </c>
      <c r="D3315" s="35" t="s">
        <v>229</v>
      </c>
      <c r="E3315" s="35" t="s">
        <v>400</v>
      </c>
      <c r="F3315" s="35">
        <v>320.0</v>
      </c>
      <c r="G3315" s="35">
        <v>6.4</v>
      </c>
      <c r="H3315" s="35">
        <v>50.0</v>
      </c>
      <c r="I3315" s="35" t="s">
        <v>75</v>
      </c>
    </row>
    <row r="3316" ht="22.5" customHeight="1">
      <c r="A3316" s="35" t="s">
        <v>6837</v>
      </c>
      <c r="B3316" s="35" t="s">
        <v>6838</v>
      </c>
      <c r="C3316" s="35" t="s">
        <v>7759</v>
      </c>
      <c r="D3316" s="35" t="s">
        <v>230</v>
      </c>
      <c r="E3316" s="35" t="s">
        <v>402</v>
      </c>
      <c r="F3316" s="35">
        <v>152.0</v>
      </c>
      <c r="G3316" s="35">
        <v>5.68</v>
      </c>
      <c r="H3316" s="35">
        <v>26.8</v>
      </c>
      <c r="I3316" s="35" t="s">
        <v>75</v>
      </c>
    </row>
    <row r="3317" ht="22.5" customHeight="1">
      <c r="A3317" s="35" t="s">
        <v>6839</v>
      </c>
      <c r="B3317" s="35" t="s">
        <v>6840</v>
      </c>
      <c r="C3317" s="35" t="s">
        <v>7759</v>
      </c>
      <c r="D3317" s="35" t="s">
        <v>148</v>
      </c>
      <c r="E3317" s="35" t="s">
        <v>360</v>
      </c>
      <c r="F3317" s="35">
        <v>154.0</v>
      </c>
      <c r="G3317" s="35">
        <v>6.07</v>
      </c>
      <c r="H3317" s="35">
        <v>25.4</v>
      </c>
      <c r="I3317" s="35" t="s">
        <v>75</v>
      </c>
    </row>
    <row r="3318" ht="22.5" customHeight="1">
      <c r="A3318" s="35" t="s">
        <v>6841</v>
      </c>
      <c r="B3318" s="35" t="s">
        <v>6842</v>
      </c>
      <c r="C3318" s="35" t="s">
        <v>7759</v>
      </c>
      <c r="D3318" s="35" t="s">
        <v>185</v>
      </c>
      <c r="E3318" s="35" t="s">
        <v>485</v>
      </c>
      <c r="F3318" s="35">
        <v>168.0</v>
      </c>
      <c r="G3318" s="35">
        <v>5.0</v>
      </c>
      <c r="H3318" s="35">
        <v>33.6</v>
      </c>
      <c r="I3318" s="35" t="s">
        <v>75</v>
      </c>
    </row>
    <row r="3319" ht="22.5" customHeight="1">
      <c r="A3319" s="35" t="s">
        <v>6843</v>
      </c>
      <c r="B3319" s="35" t="s">
        <v>6844</v>
      </c>
      <c r="C3319" s="35" t="s">
        <v>7759</v>
      </c>
      <c r="D3319" s="35" t="s">
        <v>229</v>
      </c>
      <c r="E3319" s="35" t="s">
        <v>400</v>
      </c>
      <c r="F3319" s="35">
        <v>143.0</v>
      </c>
      <c r="G3319" s="35">
        <v>7.47</v>
      </c>
      <c r="H3319" s="35">
        <v>19.1</v>
      </c>
      <c r="I3319" s="35" t="s">
        <v>75</v>
      </c>
    </row>
    <row r="3320" ht="22.5" customHeight="1">
      <c r="A3320" s="35" t="s">
        <v>6845</v>
      </c>
      <c r="B3320" s="35" t="s">
        <v>6846</v>
      </c>
      <c r="C3320" s="35" t="s">
        <v>7759</v>
      </c>
      <c r="D3320" s="35" t="s">
        <v>230</v>
      </c>
      <c r="E3320" s="35" t="s">
        <v>402</v>
      </c>
      <c r="F3320" s="35">
        <v>54.0</v>
      </c>
      <c r="G3320" s="35">
        <v>3.48</v>
      </c>
      <c r="H3320" s="35">
        <v>15.5</v>
      </c>
      <c r="I3320" s="35" t="s">
        <v>75</v>
      </c>
    </row>
    <row r="3321" ht="22.5" customHeight="1">
      <c r="A3321" s="35" t="s">
        <v>6847</v>
      </c>
      <c r="B3321" s="35" t="s">
        <v>6848</v>
      </c>
      <c r="C3321" s="35" t="s">
        <v>7759</v>
      </c>
      <c r="D3321" s="35" t="s">
        <v>185</v>
      </c>
      <c r="E3321" s="35" t="s">
        <v>485</v>
      </c>
      <c r="F3321" s="35">
        <v>97.0</v>
      </c>
      <c r="G3321" s="35">
        <v>9.05</v>
      </c>
      <c r="H3321" s="35">
        <v>10.7</v>
      </c>
      <c r="I3321" s="35" t="s">
        <v>75</v>
      </c>
    </row>
    <row r="3322" ht="22.5" customHeight="1">
      <c r="A3322" s="35" t="s">
        <v>6849</v>
      </c>
      <c r="B3322" s="35" t="s">
        <v>6850</v>
      </c>
      <c r="C3322" s="35" t="s">
        <v>7759</v>
      </c>
      <c r="D3322" s="35" t="s">
        <v>225</v>
      </c>
      <c r="E3322" s="35" t="s">
        <v>387</v>
      </c>
      <c r="F3322" s="35">
        <v>162.0</v>
      </c>
      <c r="G3322" s="35">
        <v>5.68</v>
      </c>
      <c r="H3322" s="35">
        <v>28.5</v>
      </c>
      <c r="I3322" s="35" t="s">
        <v>75</v>
      </c>
    </row>
    <row r="3323" ht="22.5" customHeight="1">
      <c r="A3323" s="35" t="s">
        <v>6851</v>
      </c>
      <c r="B3323" s="35" t="s">
        <v>6852</v>
      </c>
      <c r="C3323" s="35" t="s">
        <v>7759</v>
      </c>
      <c r="D3323" s="35" t="s">
        <v>121</v>
      </c>
      <c r="E3323" s="35" t="s">
        <v>325</v>
      </c>
      <c r="F3323" s="35">
        <v>502.0</v>
      </c>
      <c r="G3323" s="35">
        <v>15.17</v>
      </c>
      <c r="H3323" s="35">
        <v>33.1</v>
      </c>
      <c r="I3323" s="35" t="s">
        <v>62</v>
      </c>
    </row>
    <row r="3324" ht="22.5" customHeight="1">
      <c r="A3324" s="35" t="s">
        <v>6853</v>
      </c>
      <c r="B3324" s="35" t="s">
        <v>6854</v>
      </c>
      <c r="C3324" s="35" t="s">
        <v>7759</v>
      </c>
      <c r="D3324" s="35" t="s">
        <v>197</v>
      </c>
      <c r="E3324" s="35" t="s">
        <v>517</v>
      </c>
      <c r="F3324" s="35">
        <v>163.0</v>
      </c>
      <c r="G3324" s="35">
        <v>7.69</v>
      </c>
      <c r="H3324" s="35">
        <v>21.2</v>
      </c>
      <c r="I3324" s="35" t="s">
        <v>75</v>
      </c>
    </row>
    <row r="3325" ht="22.5" customHeight="1">
      <c r="A3325" s="35" t="s">
        <v>6855</v>
      </c>
      <c r="B3325" s="35" t="s">
        <v>6856</v>
      </c>
      <c r="C3325" s="35" t="s">
        <v>7759</v>
      </c>
      <c r="D3325" s="35" t="s">
        <v>229</v>
      </c>
      <c r="E3325" s="35" t="s">
        <v>400</v>
      </c>
      <c r="F3325" s="35">
        <v>226.0</v>
      </c>
      <c r="G3325" s="35">
        <v>2.98</v>
      </c>
      <c r="H3325" s="35">
        <v>75.8</v>
      </c>
      <c r="I3325" s="35" t="s">
        <v>75</v>
      </c>
    </row>
    <row r="3326" ht="22.5" customHeight="1">
      <c r="A3326" s="35" t="s">
        <v>6857</v>
      </c>
      <c r="B3326" s="35" t="s">
        <v>6858</v>
      </c>
      <c r="C3326" s="35" t="s">
        <v>7759</v>
      </c>
      <c r="D3326" s="35" t="s">
        <v>225</v>
      </c>
      <c r="E3326" s="35" t="s">
        <v>387</v>
      </c>
      <c r="F3326" s="35">
        <v>314.0</v>
      </c>
      <c r="G3326" s="35">
        <v>3.32</v>
      </c>
      <c r="H3326" s="35">
        <v>94.6</v>
      </c>
      <c r="I3326" s="35" t="s">
        <v>75</v>
      </c>
    </row>
    <row r="3327" ht="22.5" customHeight="1">
      <c r="A3327" s="35" t="s">
        <v>6859</v>
      </c>
      <c r="B3327" s="35" t="s">
        <v>6860</v>
      </c>
      <c r="C3327" s="35" t="s">
        <v>7759</v>
      </c>
      <c r="D3327" s="35" t="s">
        <v>225</v>
      </c>
      <c r="E3327" s="35" t="s">
        <v>387</v>
      </c>
      <c r="F3327" s="35">
        <v>382.0</v>
      </c>
      <c r="G3327" s="35">
        <v>10.24</v>
      </c>
      <c r="H3327" s="35">
        <v>37.3</v>
      </c>
      <c r="I3327" s="35" t="s">
        <v>75</v>
      </c>
    </row>
    <row r="3328" ht="22.5" customHeight="1">
      <c r="A3328" s="35" t="s">
        <v>6861</v>
      </c>
      <c r="B3328" s="35" t="s">
        <v>6862</v>
      </c>
      <c r="C3328" s="35" t="s">
        <v>7759</v>
      </c>
      <c r="D3328" s="35" t="s">
        <v>225</v>
      </c>
      <c r="E3328" s="35" t="s">
        <v>387</v>
      </c>
      <c r="F3328" s="35">
        <v>1363.0</v>
      </c>
      <c r="G3328" s="35">
        <v>13.47</v>
      </c>
      <c r="H3328" s="35">
        <v>101.2</v>
      </c>
      <c r="I3328" s="35" t="s">
        <v>62</v>
      </c>
    </row>
    <row r="3329" ht="22.5" customHeight="1">
      <c r="A3329" s="35" t="s">
        <v>6863</v>
      </c>
      <c r="B3329" s="35" t="s">
        <v>6864</v>
      </c>
      <c r="C3329" s="35" t="s">
        <v>7759</v>
      </c>
      <c r="D3329" s="35" t="s">
        <v>229</v>
      </c>
      <c r="E3329" s="35" t="s">
        <v>400</v>
      </c>
      <c r="F3329" s="35">
        <v>100.0</v>
      </c>
      <c r="G3329" s="35">
        <v>2.73</v>
      </c>
      <c r="H3329" s="35">
        <v>36.6</v>
      </c>
      <c r="I3329" s="35" t="s">
        <v>75</v>
      </c>
    </row>
    <row r="3330" ht="22.5" customHeight="1">
      <c r="A3330" s="35" t="s">
        <v>6865</v>
      </c>
      <c r="B3330" s="35" t="s">
        <v>6866</v>
      </c>
      <c r="C3330" s="35" t="s">
        <v>7759</v>
      </c>
      <c r="D3330" s="35" t="s">
        <v>230</v>
      </c>
      <c r="E3330" s="35" t="s">
        <v>402</v>
      </c>
      <c r="F3330" s="35">
        <v>235.0</v>
      </c>
      <c r="G3330" s="35">
        <v>6.96</v>
      </c>
      <c r="H3330" s="35">
        <v>33.8</v>
      </c>
      <c r="I3330" s="35" t="s">
        <v>75</v>
      </c>
    </row>
    <row r="3331" ht="22.5" customHeight="1">
      <c r="A3331" s="35" t="s">
        <v>6867</v>
      </c>
      <c r="B3331" s="35" t="s">
        <v>6868</v>
      </c>
      <c r="C3331" s="35" t="s">
        <v>7759</v>
      </c>
      <c r="D3331" s="35" t="s">
        <v>229</v>
      </c>
      <c r="E3331" s="35" t="s">
        <v>400</v>
      </c>
      <c r="F3331" s="35">
        <v>79.0</v>
      </c>
      <c r="G3331" s="35">
        <v>2.97</v>
      </c>
      <c r="H3331" s="35">
        <v>26.6</v>
      </c>
      <c r="I3331" s="35" t="s">
        <v>75</v>
      </c>
    </row>
    <row r="3332" ht="22.5" customHeight="1">
      <c r="A3332" s="35" t="s">
        <v>6869</v>
      </c>
      <c r="B3332" s="35" t="s">
        <v>6870</v>
      </c>
      <c r="C3332" s="35" t="s">
        <v>7759</v>
      </c>
      <c r="D3332" s="35" t="s">
        <v>148</v>
      </c>
      <c r="E3332" s="35" t="s">
        <v>360</v>
      </c>
      <c r="F3332" s="35">
        <v>216.0</v>
      </c>
      <c r="G3332" s="35">
        <v>3.67</v>
      </c>
      <c r="H3332" s="35">
        <v>58.9</v>
      </c>
      <c r="I3332" s="35" t="s">
        <v>75</v>
      </c>
    </row>
    <row r="3333" ht="22.5" customHeight="1">
      <c r="A3333" s="35" t="s">
        <v>6871</v>
      </c>
      <c r="B3333" s="35" t="s">
        <v>3612</v>
      </c>
      <c r="C3333" s="35" t="s">
        <v>7759</v>
      </c>
      <c r="D3333" s="35" t="s">
        <v>210</v>
      </c>
      <c r="E3333" s="35" t="s">
        <v>537</v>
      </c>
      <c r="F3333" s="35">
        <v>1723.0</v>
      </c>
      <c r="G3333" s="35">
        <v>5.73</v>
      </c>
      <c r="H3333" s="35">
        <v>300.7</v>
      </c>
      <c r="I3333" s="35" t="s">
        <v>62</v>
      </c>
    </row>
    <row r="3334" ht="22.5" customHeight="1">
      <c r="A3334" s="35" t="s">
        <v>6872</v>
      </c>
      <c r="B3334" s="35" t="s">
        <v>6873</v>
      </c>
      <c r="C3334" s="35" t="s">
        <v>7759</v>
      </c>
      <c r="D3334" s="35" t="s">
        <v>230</v>
      </c>
      <c r="E3334" s="35" t="s">
        <v>402</v>
      </c>
      <c r="F3334" s="35">
        <v>154.0</v>
      </c>
      <c r="G3334" s="35">
        <v>5.5</v>
      </c>
      <c r="H3334" s="35">
        <v>28.0</v>
      </c>
      <c r="I3334" s="35" t="s">
        <v>75</v>
      </c>
    </row>
    <row r="3335" ht="22.5" customHeight="1">
      <c r="A3335" s="35" t="s">
        <v>6874</v>
      </c>
      <c r="B3335" s="35" t="s">
        <v>6875</v>
      </c>
      <c r="C3335" s="35" t="s">
        <v>7759</v>
      </c>
      <c r="D3335" s="35" t="s">
        <v>229</v>
      </c>
      <c r="E3335" s="35" t="s">
        <v>400</v>
      </c>
      <c r="F3335" s="35">
        <v>181.0</v>
      </c>
      <c r="G3335" s="35">
        <v>4.57</v>
      </c>
      <c r="H3335" s="35">
        <v>39.6</v>
      </c>
      <c r="I3335" s="35" t="s">
        <v>75</v>
      </c>
    </row>
    <row r="3336" ht="22.5" customHeight="1">
      <c r="A3336" s="35" t="s">
        <v>6876</v>
      </c>
      <c r="B3336" s="35" t="s">
        <v>6877</v>
      </c>
      <c r="C3336" s="35" t="s">
        <v>7759</v>
      </c>
      <c r="D3336" s="35" t="s">
        <v>218</v>
      </c>
      <c r="E3336" s="35" t="s">
        <v>374</v>
      </c>
      <c r="F3336" s="35">
        <v>380.0</v>
      </c>
      <c r="G3336" s="35">
        <v>9.14</v>
      </c>
      <c r="H3336" s="35">
        <v>41.6</v>
      </c>
      <c r="I3336" s="35" t="s">
        <v>75</v>
      </c>
    </row>
    <row r="3337" ht="22.5" customHeight="1">
      <c r="A3337" s="35" t="s">
        <v>6878</v>
      </c>
      <c r="B3337" s="35" t="s">
        <v>6879</v>
      </c>
      <c r="C3337" s="35" t="s">
        <v>7759</v>
      </c>
      <c r="D3337" s="35" t="s">
        <v>230</v>
      </c>
      <c r="E3337" s="35" t="s">
        <v>402</v>
      </c>
      <c r="F3337" s="35">
        <v>443.0</v>
      </c>
      <c r="G3337" s="35">
        <v>9.96</v>
      </c>
      <c r="H3337" s="35">
        <v>44.5</v>
      </c>
      <c r="I3337" s="35" t="s">
        <v>75</v>
      </c>
    </row>
    <row r="3338" ht="22.5" customHeight="1">
      <c r="A3338" s="35" t="s">
        <v>6880</v>
      </c>
      <c r="B3338" s="35" t="s">
        <v>6881</v>
      </c>
      <c r="C3338" s="35" t="s">
        <v>7759</v>
      </c>
      <c r="D3338" s="35" t="s">
        <v>229</v>
      </c>
      <c r="E3338" s="35" t="s">
        <v>400</v>
      </c>
      <c r="F3338" s="35">
        <v>151.0</v>
      </c>
      <c r="G3338" s="35">
        <v>5.02</v>
      </c>
      <c r="H3338" s="35">
        <v>30.1</v>
      </c>
      <c r="I3338" s="35" t="s">
        <v>75</v>
      </c>
    </row>
    <row r="3339" ht="22.5" customHeight="1">
      <c r="A3339" s="35" t="s">
        <v>6882</v>
      </c>
      <c r="B3339" s="35" t="s">
        <v>3624</v>
      </c>
      <c r="C3339" s="35" t="s">
        <v>7759</v>
      </c>
      <c r="D3339" s="35" t="s">
        <v>225</v>
      </c>
      <c r="E3339" s="35" t="s">
        <v>387</v>
      </c>
      <c r="F3339" s="35">
        <v>176.0</v>
      </c>
      <c r="G3339" s="35">
        <v>5.85</v>
      </c>
      <c r="H3339" s="35">
        <v>30.1</v>
      </c>
      <c r="I3339" s="35" t="s">
        <v>75</v>
      </c>
    </row>
    <row r="3340" ht="22.5" customHeight="1">
      <c r="A3340" s="35" t="s">
        <v>6883</v>
      </c>
      <c r="B3340" s="35" t="s">
        <v>6884</v>
      </c>
      <c r="C3340" s="35" t="s">
        <v>7759</v>
      </c>
      <c r="D3340" s="35" t="s">
        <v>121</v>
      </c>
      <c r="E3340" s="35" t="s">
        <v>325</v>
      </c>
      <c r="F3340" s="35">
        <v>501.0</v>
      </c>
      <c r="G3340" s="35">
        <v>8.43</v>
      </c>
      <c r="H3340" s="35">
        <v>59.4</v>
      </c>
      <c r="I3340" s="35" t="s">
        <v>62</v>
      </c>
    </row>
    <row r="3341" ht="22.5" customHeight="1">
      <c r="A3341" s="35" t="s">
        <v>6885</v>
      </c>
      <c r="B3341" s="35" t="s">
        <v>881</v>
      </c>
      <c r="C3341" s="35" t="s">
        <v>7759</v>
      </c>
      <c r="D3341" s="35" t="s">
        <v>218</v>
      </c>
      <c r="E3341" s="35" t="s">
        <v>374</v>
      </c>
      <c r="F3341" s="35">
        <v>163.0</v>
      </c>
      <c r="G3341" s="35">
        <v>6.25</v>
      </c>
      <c r="H3341" s="35">
        <v>26.1</v>
      </c>
      <c r="I3341" s="35" t="s">
        <v>75</v>
      </c>
    </row>
    <row r="3342" ht="22.5" customHeight="1">
      <c r="A3342" s="35" t="s">
        <v>6886</v>
      </c>
      <c r="B3342" s="35" t="s">
        <v>6887</v>
      </c>
      <c r="C3342" s="35" t="s">
        <v>7759</v>
      </c>
      <c r="D3342" s="35" t="s">
        <v>230</v>
      </c>
      <c r="E3342" s="35" t="s">
        <v>402</v>
      </c>
      <c r="F3342" s="35">
        <v>163.0</v>
      </c>
      <c r="G3342" s="35">
        <v>3.06</v>
      </c>
      <c r="H3342" s="35">
        <v>53.3</v>
      </c>
      <c r="I3342" s="35" t="s">
        <v>75</v>
      </c>
    </row>
    <row r="3343" ht="22.5" customHeight="1">
      <c r="A3343" s="35" t="s">
        <v>6888</v>
      </c>
      <c r="B3343" s="35" t="s">
        <v>6889</v>
      </c>
      <c r="C3343" s="35" t="s">
        <v>7759</v>
      </c>
      <c r="D3343" s="35" t="s">
        <v>218</v>
      </c>
      <c r="E3343" s="35" t="s">
        <v>374</v>
      </c>
      <c r="F3343" s="35">
        <v>193.0</v>
      </c>
      <c r="G3343" s="35">
        <v>5.66</v>
      </c>
      <c r="H3343" s="35">
        <v>34.1</v>
      </c>
      <c r="I3343" s="35" t="s">
        <v>75</v>
      </c>
    </row>
    <row r="3344" ht="22.5" customHeight="1">
      <c r="A3344" s="35" t="s">
        <v>6890</v>
      </c>
      <c r="B3344" s="35" t="s">
        <v>6891</v>
      </c>
      <c r="C3344" s="35" t="s">
        <v>7759</v>
      </c>
      <c r="D3344" s="35" t="s">
        <v>148</v>
      </c>
      <c r="E3344" s="35" t="s">
        <v>360</v>
      </c>
      <c r="F3344" s="35">
        <v>125.0</v>
      </c>
      <c r="G3344" s="35">
        <v>4.28</v>
      </c>
      <c r="H3344" s="35">
        <v>29.2</v>
      </c>
      <c r="I3344" s="35" t="s">
        <v>75</v>
      </c>
    </row>
    <row r="3345" ht="22.5" customHeight="1">
      <c r="A3345" s="35" t="s">
        <v>6892</v>
      </c>
      <c r="B3345" s="35" t="s">
        <v>6893</v>
      </c>
      <c r="C3345" s="35" t="s">
        <v>7759</v>
      </c>
      <c r="D3345" s="35" t="s">
        <v>210</v>
      </c>
      <c r="E3345" s="35" t="s">
        <v>537</v>
      </c>
      <c r="F3345" s="35">
        <v>558.0</v>
      </c>
      <c r="G3345" s="35">
        <v>4.79</v>
      </c>
      <c r="H3345" s="35">
        <v>116.5</v>
      </c>
      <c r="I3345" s="35" t="s">
        <v>62</v>
      </c>
    </row>
    <row r="3346" ht="22.5" customHeight="1">
      <c r="A3346" s="35" t="s">
        <v>6894</v>
      </c>
      <c r="B3346" s="35" t="s">
        <v>6895</v>
      </c>
      <c r="C3346" s="35" t="s">
        <v>7759</v>
      </c>
      <c r="D3346" s="35" t="s">
        <v>207</v>
      </c>
      <c r="E3346" s="35" t="s">
        <v>534</v>
      </c>
      <c r="F3346" s="35">
        <v>250.0</v>
      </c>
      <c r="G3346" s="35">
        <v>5.64</v>
      </c>
      <c r="H3346" s="35">
        <v>44.3</v>
      </c>
      <c r="I3346" s="35" t="s">
        <v>75</v>
      </c>
    </row>
    <row r="3347" ht="22.5" customHeight="1">
      <c r="A3347" s="35" t="s">
        <v>6896</v>
      </c>
      <c r="B3347" s="35" t="s">
        <v>6897</v>
      </c>
      <c r="C3347" s="35" t="s">
        <v>7759</v>
      </c>
      <c r="D3347" s="35" t="s">
        <v>229</v>
      </c>
      <c r="E3347" s="35" t="s">
        <v>400</v>
      </c>
      <c r="F3347" s="35">
        <v>166.0</v>
      </c>
      <c r="G3347" s="35">
        <v>12.76</v>
      </c>
      <c r="H3347" s="35">
        <v>13.0</v>
      </c>
      <c r="I3347" s="35" t="s">
        <v>75</v>
      </c>
    </row>
    <row r="3348" ht="22.5" customHeight="1">
      <c r="A3348" s="35" t="s">
        <v>6898</v>
      </c>
      <c r="B3348" s="35" t="s">
        <v>6899</v>
      </c>
      <c r="C3348" s="35" t="s">
        <v>7759</v>
      </c>
      <c r="D3348" s="35" t="s">
        <v>230</v>
      </c>
      <c r="E3348" s="35" t="s">
        <v>402</v>
      </c>
      <c r="F3348" s="35">
        <v>158.0</v>
      </c>
      <c r="G3348" s="35">
        <v>5.66</v>
      </c>
      <c r="H3348" s="35">
        <v>27.9</v>
      </c>
      <c r="I3348" s="35" t="s">
        <v>75</v>
      </c>
    </row>
    <row r="3349" ht="22.5" customHeight="1">
      <c r="A3349" s="35" t="s">
        <v>6900</v>
      </c>
      <c r="B3349" s="35" t="s">
        <v>6901</v>
      </c>
      <c r="C3349" s="35" t="s">
        <v>7759</v>
      </c>
      <c r="D3349" s="35" t="s">
        <v>229</v>
      </c>
      <c r="E3349" s="35" t="s">
        <v>400</v>
      </c>
      <c r="F3349" s="35">
        <v>211.0</v>
      </c>
      <c r="G3349" s="35">
        <v>3.53</v>
      </c>
      <c r="H3349" s="35">
        <v>59.8</v>
      </c>
      <c r="I3349" s="35" t="s">
        <v>75</v>
      </c>
    </row>
    <row r="3350" ht="22.5" customHeight="1">
      <c r="A3350" s="35" t="s">
        <v>6902</v>
      </c>
      <c r="B3350" s="35" t="s">
        <v>6903</v>
      </c>
      <c r="C3350" s="35" t="s">
        <v>7759</v>
      </c>
      <c r="D3350" s="35" t="s">
        <v>229</v>
      </c>
      <c r="E3350" s="35" t="s">
        <v>400</v>
      </c>
      <c r="F3350" s="35">
        <v>104.0</v>
      </c>
      <c r="G3350" s="35">
        <v>3.42</v>
      </c>
      <c r="H3350" s="35">
        <v>30.4</v>
      </c>
      <c r="I3350" s="35" t="s">
        <v>75</v>
      </c>
    </row>
    <row r="3351" ht="22.5" customHeight="1">
      <c r="A3351" s="35" t="s">
        <v>6904</v>
      </c>
      <c r="B3351" s="35" t="s">
        <v>6905</v>
      </c>
      <c r="C3351" s="35" t="s">
        <v>7759</v>
      </c>
      <c r="D3351" s="35" t="s">
        <v>229</v>
      </c>
      <c r="E3351" s="35" t="s">
        <v>400</v>
      </c>
      <c r="F3351" s="35">
        <v>96.0</v>
      </c>
      <c r="G3351" s="35">
        <v>3.99</v>
      </c>
      <c r="H3351" s="35">
        <v>24.1</v>
      </c>
      <c r="I3351" s="35" t="s">
        <v>75</v>
      </c>
    </row>
    <row r="3352" ht="22.5" customHeight="1">
      <c r="A3352" s="35" t="s">
        <v>6906</v>
      </c>
      <c r="B3352" s="35" t="s">
        <v>6907</v>
      </c>
      <c r="C3352" s="35" t="s">
        <v>7759</v>
      </c>
      <c r="D3352" s="35" t="s">
        <v>229</v>
      </c>
      <c r="E3352" s="35" t="s">
        <v>400</v>
      </c>
      <c r="F3352" s="35">
        <v>223.0</v>
      </c>
      <c r="G3352" s="35">
        <v>8.12</v>
      </c>
      <c r="H3352" s="35">
        <v>27.5</v>
      </c>
      <c r="I3352" s="35" t="s">
        <v>75</v>
      </c>
    </row>
    <row r="3353" ht="22.5" customHeight="1">
      <c r="A3353" s="35" t="s">
        <v>6908</v>
      </c>
      <c r="B3353" s="35" t="s">
        <v>6909</v>
      </c>
      <c r="C3353" s="35" t="s">
        <v>7759</v>
      </c>
      <c r="D3353" s="35" t="s">
        <v>148</v>
      </c>
      <c r="E3353" s="35" t="s">
        <v>360</v>
      </c>
      <c r="F3353" s="35">
        <v>138.0</v>
      </c>
      <c r="G3353" s="35">
        <v>3.84</v>
      </c>
      <c r="H3353" s="35">
        <v>35.9</v>
      </c>
      <c r="I3353" s="35" t="s">
        <v>75</v>
      </c>
    </row>
    <row r="3354" ht="22.5" customHeight="1">
      <c r="A3354" s="35" t="s">
        <v>6910</v>
      </c>
      <c r="B3354" s="35" t="s">
        <v>6911</v>
      </c>
      <c r="C3354" s="35" t="s">
        <v>7759</v>
      </c>
      <c r="D3354" s="35" t="s">
        <v>185</v>
      </c>
      <c r="E3354" s="35" t="s">
        <v>485</v>
      </c>
      <c r="F3354" s="35">
        <v>286.0</v>
      </c>
      <c r="G3354" s="35">
        <v>7.71</v>
      </c>
      <c r="H3354" s="35">
        <v>37.1</v>
      </c>
      <c r="I3354" s="35" t="s">
        <v>75</v>
      </c>
    </row>
    <row r="3355" ht="22.5" customHeight="1">
      <c r="A3355" s="35" t="s">
        <v>6912</v>
      </c>
      <c r="B3355" s="35" t="s">
        <v>6913</v>
      </c>
      <c r="C3355" s="35" t="s">
        <v>7759</v>
      </c>
      <c r="D3355" s="35" t="s">
        <v>212</v>
      </c>
      <c r="E3355" s="35" t="s">
        <v>549</v>
      </c>
      <c r="F3355" s="35">
        <v>2045.0</v>
      </c>
      <c r="G3355" s="35">
        <v>8.7</v>
      </c>
      <c r="H3355" s="35">
        <v>235.1</v>
      </c>
      <c r="I3355" s="35" t="s">
        <v>142</v>
      </c>
    </row>
    <row r="3356" ht="22.5" customHeight="1">
      <c r="A3356" s="35" t="s">
        <v>6914</v>
      </c>
      <c r="B3356" s="35" t="s">
        <v>6915</v>
      </c>
      <c r="C3356" s="35" t="s">
        <v>7759</v>
      </c>
      <c r="D3356" s="35" t="s">
        <v>229</v>
      </c>
      <c r="E3356" s="35" t="s">
        <v>400</v>
      </c>
      <c r="F3356" s="35">
        <v>69.0</v>
      </c>
      <c r="G3356" s="35">
        <v>5.29</v>
      </c>
      <c r="H3356" s="35">
        <v>13.0</v>
      </c>
      <c r="I3356" s="35" t="s">
        <v>75</v>
      </c>
    </row>
    <row r="3357" ht="22.5" customHeight="1">
      <c r="A3357" s="35" t="s">
        <v>6916</v>
      </c>
      <c r="B3357" s="35" t="s">
        <v>6917</v>
      </c>
      <c r="C3357" s="35" t="s">
        <v>7759</v>
      </c>
      <c r="D3357" s="35" t="s">
        <v>216</v>
      </c>
      <c r="E3357" s="35" t="s">
        <v>371</v>
      </c>
      <c r="F3357" s="35">
        <v>296.0</v>
      </c>
      <c r="G3357" s="35">
        <v>7.46</v>
      </c>
      <c r="H3357" s="35">
        <v>39.7</v>
      </c>
      <c r="I3357" s="35" t="s">
        <v>75</v>
      </c>
    </row>
    <row r="3358" ht="22.5" customHeight="1">
      <c r="A3358" s="35" t="s">
        <v>6918</v>
      </c>
      <c r="B3358" s="35" t="s">
        <v>6919</v>
      </c>
      <c r="C3358" s="35" t="s">
        <v>7759</v>
      </c>
      <c r="D3358" s="35" t="s">
        <v>178</v>
      </c>
      <c r="E3358" s="35" t="s">
        <v>475</v>
      </c>
      <c r="F3358" s="35">
        <v>695.0</v>
      </c>
      <c r="G3358" s="35">
        <v>4.18</v>
      </c>
      <c r="H3358" s="35">
        <v>166.3</v>
      </c>
      <c r="I3358" s="35" t="s">
        <v>62</v>
      </c>
    </row>
    <row r="3359" ht="22.5" customHeight="1">
      <c r="A3359" s="35" t="s">
        <v>6920</v>
      </c>
      <c r="B3359" s="35" t="s">
        <v>6921</v>
      </c>
      <c r="C3359" s="35" t="s">
        <v>7759</v>
      </c>
      <c r="D3359" s="35" t="s">
        <v>229</v>
      </c>
      <c r="E3359" s="35" t="s">
        <v>400</v>
      </c>
      <c r="F3359" s="35">
        <v>177.0</v>
      </c>
      <c r="G3359" s="35">
        <v>5.63</v>
      </c>
      <c r="H3359" s="35">
        <v>31.4</v>
      </c>
      <c r="I3359" s="35" t="s">
        <v>75</v>
      </c>
    </row>
    <row r="3360" ht="22.5" customHeight="1">
      <c r="A3360" s="35" t="s">
        <v>6922</v>
      </c>
      <c r="B3360" s="35" t="s">
        <v>6923</v>
      </c>
      <c r="C3360" s="35" t="s">
        <v>7759</v>
      </c>
      <c r="D3360" s="35" t="s">
        <v>197</v>
      </c>
      <c r="E3360" s="35" t="s">
        <v>517</v>
      </c>
      <c r="F3360" s="35">
        <v>457.0</v>
      </c>
      <c r="G3360" s="35">
        <v>11.38</v>
      </c>
      <c r="H3360" s="35">
        <v>40.2</v>
      </c>
      <c r="I3360" s="35" t="s">
        <v>75</v>
      </c>
    </row>
    <row r="3361" ht="22.5" customHeight="1">
      <c r="A3361" s="35" t="s">
        <v>6924</v>
      </c>
      <c r="B3361" s="35" t="s">
        <v>6925</v>
      </c>
      <c r="C3361" s="35" t="s">
        <v>7759</v>
      </c>
      <c r="D3361" s="35" t="s">
        <v>197</v>
      </c>
      <c r="E3361" s="35" t="s">
        <v>517</v>
      </c>
      <c r="F3361" s="35">
        <v>176.0</v>
      </c>
      <c r="G3361" s="35">
        <v>6.2</v>
      </c>
      <c r="H3361" s="35">
        <v>28.4</v>
      </c>
      <c r="I3361" s="35" t="s">
        <v>75</v>
      </c>
    </row>
    <row r="3362" ht="22.5" customHeight="1">
      <c r="A3362" s="35" t="s">
        <v>6926</v>
      </c>
      <c r="B3362" s="35" t="s">
        <v>6927</v>
      </c>
      <c r="C3362" s="35" t="s">
        <v>7759</v>
      </c>
      <c r="D3362" s="35" t="s">
        <v>212</v>
      </c>
      <c r="E3362" s="35" t="s">
        <v>549</v>
      </c>
      <c r="F3362" s="35">
        <v>4306.0</v>
      </c>
      <c r="G3362" s="35">
        <v>8.83</v>
      </c>
      <c r="H3362" s="35">
        <v>487.7</v>
      </c>
      <c r="I3362" s="35" t="s">
        <v>142</v>
      </c>
    </row>
    <row r="3363" ht="22.5" customHeight="1">
      <c r="A3363" s="35" t="s">
        <v>6928</v>
      </c>
      <c r="B3363" s="35" t="s">
        <v>6929</v>
      </c>
      <c r="C3363" s="35" t="s">
        <v>7759</v>
      </c>
      <c r="D3363" s="35" t="s">
        <v>207</v>
      </c>
      <c r="E3363" s="35" t="s">
        <v>534</v>
      </c>
      <c r="F3363" s="35">
        <v>244.0</v>
      </c>
      <c r="G3363" s="35">
        <v>7.1</v>
      </c>
      <c r="H3363" s="35">
        <v>34.4</v>
      </c>
      <c r="I3363" s="35" t="s">
        <v>75</v>
      </c>
    </row>
    <row r="3364" ht="22.5" customHeight="1">
      <c r="A3364" s="35" t="s">
        <v>6930</v>
      </c>
      <c r="B3364" s="35" t="s">
        <v>6931</v>
      </c>
      <c r="C3364" s="35" t="s">
        <v>7759</v>
      </c>
      <c r="D3364" s="35" t="s">
        <v>225</v>
      </c>
      <c r="E3364" s="35" t="s">
        <v>387</v>
      </c>
      <c r="F3364" s="35">
        <v>96.0</v>
      </c>
      <c r="G3364" s="35">
        <v>2.79</v>
      </c>
      <c r="H3364" s="35">
        <v>34.4</v>
      </c>
      <c r="I3364" s="35" t="s">
        <v>75</v>
      </c>
    </row>
    <row r="3365" ht="22.5" customHeight="1">
      <c r="A3365" s="35" t="s">
        <v>6932</v>
      </c>
      <c r="B3365" s="35" t="s">
        <v>6933</v>
      </c>
      <c r="C3365" s="35" t="s">
        <v>7759</v>
      </c>
      <c r="D3365" s="35" t="s">
        <v>121</v>
      </c>
      <c r="E3365" s="35" t="s">
        <v>325</v>
      </c>
      <c r="F3365" s="35">
        <v>121.0</v>
      </c>
      <c r="G3365" s="35">
        <v>5.2</v>
      </c>
      <c r="H3365" s="35">
        <v>23.3</v>
      </c>
      <c r="I3365" s="35" t="s">
        <v>75</v>
      </c>
    </row>
    <row r="3366" ht="22.5" customHeight="1">
      <c r="A3366" s="35" t="s">
        <v>6934</v>
      </c>
      <c r="B3366" s="35" t="s">
        <v>6935</v>
      </c>
      <c r="C3366" s="35" t="s">
        <v>7759</v>
      </c>
      <c r="D3366" s="35" t="s">
        <v>178</v>
      </c>
      <c r="E3366" s="35" t="s">
        <v>475</v>
      </c>
      <c r="F3366" s="35">
        <v>2397.0</v>
      </c>
      <c r="G3366" s="35">
        <v>9.88</v>
      </c>
      <c r="H3366" s="35">
        <v>242.6</v>
      </c>
      <c r="I3366" s="35" t="s">
        <v>142</v>
      </c>
    </row>
    <row r="3367" ht="22.5" customHeight="1">
      <c r="A3367" s="35" t="s">
        <v>6936</v>
      </c>
      <c r="B3367" s="35" t="s">
        <v>6937</v>
      </c>
      <c r="C3367" s="35" t="s">
        <v>7759</v>
      </c>
      <c r="D3367" s="35" t="s">
        <v>225</v>
      </c>
      <c r="E3367" s="35" t="s">
        <v>387</v>
      </c>
      <c r="F3367" s="35">
        <v>270.0</v>
      </c>
      <c r="G3367" s="35">
        <v>11.39</v>
      </c>
      <c r="H3367" s="35">
        <v>23.7</v>
      </c>
      <c r="I3367" s="35" t="s">
        <v>75</v>
      </c>
    </row>
    <row r="3368" ht="22.5" customHeight="1">
      <c r="A3368" s="35" t="s">
        <v>6938</v>
      </c>
      <c r="B3368" s="35" t="s">
        <v>6939</v>
      </c>
      <c r="C3368" s="35" t="s">
        <v>7759</v>
      </c>
      <c r="D3368" s="35" t="s">
        <v>229</v>
      </c>
      <c r="E3368" s="35" t="s">
        <v>400</v>
      </c>
      <c r="F3368" s="35">
        <v>327.0</v>
      </c>
      <c r="G3368" s="35">
        <v>7.37</v>
      </c>
      <c r="H3368" s="35">
        <v>44.4</v>
      </c>
      <c r="I3368" s="35" t="s">
        <v>75</v>
      </c>
    </row>
    <row r="3369" ht="22.5" customHeight="1">
      <c r="A3369" s="35" t="s">
        <v>6940</v>
      </c>
      <c r="B3369" s="35" t="s">
        <v>6941</v>
      </c>
      <c r="C3369" s="35" t="s">
        <v>7759</v>
      </c>
      <c r="D3369" s="35" t="s">
        <v>210</v>
      </c>
      <c r="E3369" s="35" t="s">
        <v>537</v>
      </c>
      <c r="F3369" s="35">
        <v>627.0</v>
      </c>
      <c r="G3369" s="35">
        <v>5.57</v>
      </c>
      <c r="H3369" s="35">
        <v>112.6</v>
      </c>
      <c r="I3369" s="35" t="s">
        <v>62</v>
      </c>
    </row>
    <row r="3370" ht="22.5" customHeight="1">
      <c r="A3370" s="35" t="s">
        <v>6942</v>
      </c>
      <c r="B3370" s="35" t="s">
        <v>6943</v>
      </c>
      <c r="C3370" s="35" t="s">
        <v>7759</v>
      </c>
      <c r="D3370" s="35" t="s">
        <v>207</v>
      </c>
      <c r="E3370" s="35" t="s">
        <v>534</v>
      </c>
      <c r="F3370" s="35">
        <v>399.0</v>
      </c>
      <c r="G3370" s="35">
        <v>6.99</v>
      </c>
      <c r="H3370" s="35">
        <v>57.1</v>
      </c>
      <c r="I3370" s="35" t="s">
        <v>75</v>
      </c>
    </row>
    <row r="3371" ht="22.5" customHeight="1">
      <c r="A3371" s="35" t="s">
        <v>6944</v>
      </c>
      <c r="B3371" s="35" t="s">
        <v>6945</v>
      </c>
      <c r="C3371" s="35" t="s">
        <v>7759</v>
      </c>
      <c r="D3371" s="35" t="s">
        <v>158</v>
      </c>
      <c r="E3371" s="35" t="s">
        <v>427</v>
      </c>
      <c r="F3371" s="35">
        <v>75.0</v>
      </c>
      <c r="G3371" s="35">
        <v>5.94</v>
      </c>
      <c r="H3371" s="35">
        <v>12.6</v>
      </c>
      <c r="I3371" s="35" t="s">
        <v>75</v>
      </c>
    </row>
    <row r="3372" ht="22.5" customHeight="1">
      <c r="A3372" s="35" t="s">
        <v>6946</v>
      </c>
      <c r="B3372" s="35" t="s">
        <v>6947</v>
      </c>
      <c r="C3372" s="35" t="s">
        <v>7759</v>
      </c>
      <c r="D3372" s="35" t="s">
        <v>41</v>
      </c>
      <c r="E3372" s="35" t="s">
        <v>35</v>
      </c>
      <c r="F3372" s="35">
        <v>791.0</v>
      </c>
      <c r="G3372" s="35">
        <v>5.5</v>
      </c>
      <c r="H3372" s="35">
        <v>143.8</v>
      </c>
      <c r="I3372" s="35" t="s">
        <v>62</v>
      </c>
    </row>
    <row r="3373" ht="22.5" customHeight="1">
      <c r="A3373" s="35" t="s">
        <v>6948</v>
      </c>
      <c r="B3373" s="35" t="s">
        <v>6949</v>
      </c>
      <c r="C3373" s="35" t="s">
        <v>7759</v>
      </c>
      <c r="D3373" s="35" t="s">
        <v>225</v>
      </c>
      <c r="E3373" s="35" t="s">
        <v>387</v>
      </c>
      <c r="F3373" s="35">
        <v>234.0</v>
      </c>
      <c r="G3373" s="35">
        <v>6.25</v>
      </c>
      <c r="H3373" s="35">
        <v>37.4</v>
      </c>
      <c r="I3373" s="35" t="s">
        <v>75</v>
      </c>
    </row>
    <row r="3374" ht="22.5" customHeight="1">
      <c r="A3374" s="35" t="s">
        <v>6950</v>
      </c>
      <c r="B3374" s="35" t="s">
        <v>6951</v>
      </c>
      <c r="C3374" s="35" t="s">
        <v>7759</v>
      </c>
      <c r="D3374" s="35" t="s">
        <v>207</v>
      </c>
      <c r="E3374" s="35" t="s">
        <v>534</v>
      </c>
      <c r="F3374" s="35">
        <v>40.0</v>
      </c>
      <c r="G3374" s="35">
        <v>4.87</v>
      </c>
      <c r="H3374" s="35">
        <v>8.2</v>
      </c>
      <c r="I3374" s="35" t="s">
        <v>75</v>
      </c>
    </row>
    <row r="3375" ht="22.5" customHeight="1">
      <c r="A3375" s="35" t="s">
        <v>6952</v>
      </c>
      <c r="B3375" s="35" t="s">
        <v>6953</v>
      </c>
      <c r="C3375" s="35" t="s">
        <v>7759</v>
      </c>
      <c r="D3375" s="35" t="s">
        <v>185</v>
      </c>
      <c r="E3375" s="35" t="s">
        <v>485</v>
      </c>
      <c r="F3375" s="35">
        <v>99.0</v>
      </c>
      <c r="G3375" s="35">
        <v>5.45</v>
      </c>
      <c r="H3375" s="35">
        <v>18.2</v>
      </c>
      <c r="I3375" s="35" t="s">
        <v>75</v>
      </c>
    </row>
    <row r="3376" ht="22.5" customHeight="1">
      <c r="A3376" s="35" t="s">
        <v>6954</v>
      </c>
      <c r="B3376" s="35" t="s">
        <v>6955</v>
      </c>
      <c r="C3376" s="35" t="s">
        <v>7759</v>
      </c>
      <c r="D3376" s="35" t="s">
        <v>197</v>
      </c>
      <c r="E3376" s="35" t="s">
        <v>517</v>
      </c>
      <c r="F3376" s="35">
        <v>178.0</v>
      </c>
      <c r="G3376" s="35">
        <v>8.39</v>
      </c>
      <c r="H3376" s="35">
        <v>21.2</v>
      </c>
      <c r="I3376" s="35" t="s">
        <v>75</v>
      </c>
    </row>
    <row r="3377" ht="22.5" customHeight="1">
      <c r="A3377" s="35" t="s">
        <v>6956</v>
      </c>
      <c r="B3377" s="35" t="s">
        <v>6957</v>
      </c>
      <c r="C3377" s="35" t="s">
        <v>7759</v>
      </c>
      <c r="D3377" s="35" t="s">
        <v>121</v>
      </c>
      <c r="E3377" s="35" t="s">
        <v>325</v>
      </c>
      <c r="F3377" s="35">
        <v>465.0</v>
      </c>
      <c r="G3377" s="35">
        <v>9.09</v>
      </c>
      <c r="H3377" s="35">
        <v>51.2</v>
      </c>
      <c r="I3377" s="35" t="s">
        <v>75</v>
      </c>
    </row>
    <row r="3378" ht="22.5" customHeight="1">
      <c r="A3378" s="35" t="s">
        <v>6958</v>
      </c>
      <c r="B3378" s="35" t="s">
        <v>6959</v>
      </c>
      <c r="C3378" s="35" t="s">
        <v>7759</v>
      </c>
      <c r="D3378" s="35" t="s">
        <v>185</v>
      </c>
      <c r="E3378" s="35" t="s">
        <v>485</v>
      </c>
      <c r="F3378" s="35">
        <v>175.0</v>
      </c>
      <c r="G3378" s="35">
        <v>5.33</v>
      </c>
      <c r="H3378" s="35">
        <v>32.8</v>
      </c>
      <c r="I3378" s="35" t="s">
        <v>75</v>
      </c>
    </row>
    <row r="3379" ht="22.5" customHeight="1">
      <c r="A3379" s="35" t="s">
        <v>6960</v>
      </c>
      <c r="B3379" s="35" t="s">
        <v>6961</v>
      </c>
      <c r="C3379" s="35" t="s">
        <v>7759</v>
      </c>
      <c r="D3379" s="35" t="s">
        <v>41</v>
      </c>
      <c r="E3379" s="35" t="s">
        <v>35</v>
      </c>
      <c r="F3379" s="35">
        <v>321.0</v>
      </c>
      <c r="G3379" s="35">
        <v>6.4</v>
      </c>
      <c r="H3379" s="35">
        <v>50.2</v>
      </c>
      <c r="I3379" s="35" t="s">
        <v>75</v>
      </c>
    </row>
    <row r="3380" ht="22.5" customHeight="1">
      <c r="A3380" s="35" t="s">
        <v>6962</v>
      </c>
      <c r="B3380" s="35" t="s">
        <v>6963</v>
      </c>
      <c r="C3380" s="35" t="s">
        <v>7759</v>
      </c>
      <c r="D3380" s="35" t="s">
        <v>212</v>
      </c>
      <c r="E3380" s="35" t="s">
        <v>549</v>
      </c>
      <c r="F3380" s="35">
        <v>204.0</v>
      </c>
      <c r="G3380" s="35">
        <v>2.6</v>
      </c>
      <c r="H3380" s="35">
        <v>78.5</v>
      </c>
      <c r="I3380" s="35" t="s">
        <v>75</v>
      </c>
    </row>
    <row r="3381" ht="22.5" customHeight="1">
      <c r="A3381" s="35" t="s">
        <v>6964</v>
      </c>
      <c r="B3381" s="35" t="s">
        <v>6965</v>
      </c>
      <c r="C3381" s="35" t="s">
        <v>7759</v>
      </c>
      <c r="D3381" s="35" t="s">
        <v>148</v>
      </c>
      <c r="E3381" s="35" t="s">
        <v>360</v>
      </c>
      <c r="F3381" s="35">
        <v>409.0</v>
      </c>
      <c r="G3381" s="35">
        <v>18.83</v>
      </c>
      <c r="H3381" s="35">
        <v>21.7</v>
      </c>
      <c r="I3381" s="35" t="s">
        <v>75</v>
      </c>
    </row>
    <row r="3382" ht="22.5" customHeight="1">
      <c r="A3382" s="35" t="s">
        <v>6966</v>
      </c>
      <c r="B3382" s="35" t="s">
        <v>6967</v>
      </c>
      <c r="C3382" s="35" t="s">
        <v>7759</v>
      </c>
      <c r="D3382" s="35" t="s">
        <v>185</v>
      </c>
      <c r="E3382" s="35" t="s">
        <v>485</v>
      </c>
      <c r="F3382" s="35">
        <v>91.0</v>
      </c>
      <c r="G3382" s="35">
        <v>3.41</v>
      </c>
      <c r="H3382" s="35">
        <v>26.7</v>
      </c>
      <c r="I3382" s="35" t="s">
        <v>75</v>
      </c>
    </row>
    <row r="3383" ht="22.5" customHeight="1">
      <c r="A3383" s="35" t="s">
        <v>6968</v>
      </c>
      <c r="B3383" s="35" t="s">
        <v>6969</v>
      </c>
      <c r="C3383" s="35" t="s">
        <v>7759</v>
      </c>
      <c r="D3383" s="35" t="s">
        <v>207</v>
      </c>
      <c r="E3383" s="35" t="s">
        <v>534</v>
      </c>
      <c r="F3383" s="35">
        <v>572.0</v>
      </c>
      <c r="G3383" s="35">
        <v>9.0</v>
      </c>
      <c r="H3383" s="35">
        <v>63.6</v>
      </c>
      <c r="I3383" s="35" t="s">
        <v>62</v>
      </c>
    </row>
    <row r="3384" ht="22.5" customHeight="1">
      <c r="A3384" s="35" t="s">
        <v>6970</v>
      </c>
      <c r="B3384" s="35" t="s">
        <v>6971</v>
      </c>
      <c r="C3384" s="35" t="s">
        <v>7759</v>
      </c>
      <c r="D3384" s="35" t="s">
        <v>185</v>
      </c>
      <c r="E3384" s="35" t="s">
        <v>485</v>
      </c>
      <c r="F3384" s="35">
        <v>303.0</v>
      </c>
      <c r="G3384" s="35">
        <v>7.06</v>
      </c>
      <c r="H3384" s="35">
        <v>42.9</v>
      </c>
      <c r="I3384" s="35" t="s">
        <v>75</v>
      </c>
    </row>
    <row r="3385" ht="22.5" customHeight="1">
      <c r="A3385" s="35" t="s">
        <v>6972</v>
      </c>
      <c r="B3385" s="35" t="s">
        <v>6973</v>
      </c>
      <c r="C3385" s="35" t="s">
        <v>7759</v>
      </c>
      <c r="D3385" s="35" t="s">
        <v>185</v>
      </c>
      <c r="E3385" s="35" t="s">
        <v>485</v>
      </c>
      <c r="F3385" s="35">
        <v>275.0</v>
      </c>
      <c r="G3385" s="35">
        <v>8.31</v>
      </c>
      <c r="H3385" s="35">
        <v>33.1</v>
      </c>
      <c r="I3385" s="35" t="s">
        <v>75</v>
      </c>
    </row>
    <row r="3386" ht="22.5" customHeight="1">
      <c r="A3386" s="35" t="s">
        <v>6974</v>
      </c>
      <c r="B3386" s="35" t="s">
        <v>6975</v>
      </c>
      <c r="C3386" s="35" t="s">
        <v>7759</v>
      </c>
      <c r="D3386" s="35" t="s">
        <v>225</v>
      </c>
      <c r="E3386" s="35" t="s">
        <v>387</v>
      </c>
      <c r="F3386" s="35">
        <v>361.0</v>
      </c>
      <c r="G3386" s="35">
        <v>12.91</v>
      </c>
      <c r="H3386" s="35">
        <v>28.0</v>
      </c>
      <c r="I3386" s="35" t="s">
        <v>75</v>
      </c>
    </row>
    <row r="3387" ht="22.5" customHeight="1">
      <c r="A3387" s="35" t="s">
        <v>6976</v>
      </c>
      <c r="B3387" s="35" t="s">
        <v>6977</v>
      </c>
      <c r="C3387" s="35" t="s">
        <v>7759</v>
      </c>
      <c r="D3387" s="35" t="s">
        <v>158</v>
      </c>
      <c r="E3387" s="35" t="s">
        <v>427</v>
      </c>
      <c r="F3387" s="35">
        <v>101.0</v>
      </c>
      <c r="G3387" s="35">
        <v>4.89</v>
      </c>
      <c r="H3387" s="35">
        <v>20.7</v>
      </c>
      <c r="I3387" s="35" t="s">
        <v>75</v>
      </c>
    </row>
    <row r="3388" ht="22.5" customHeight="1">
      <c r="A3388" s="35" t="s">
        <v>6978</v>
      </c>
      <c r="B3388" s="35" t="s">
        <v>6979</v>
      </c>
      <c r="C3388" s="35" t="s">
        <v>7759</v>
      </c>
      <c r="D3388" s="35" t="s">
        <v>41</v>
      </c>
      <c r="E3388" s="35" t="s">
        <v>35</v>
      </c>
      <c r="F3388" s="35">
        <v>386.0</v>
      </c>
      <c r="G3388" s="35">
        <v>4.54</v>
      </c>
      <c r="H3388" s="35">
        <v>85.0</v>
      </c>
      <c r="I3388" s="35" t="s">
        <v>75</v>
      </c>
    </row>
    <row r="3389" ht="22.5" customHeight="1">
      <c r="A3389" s="35" t="s">
        <v>6980</v>
      </c>
      <c r="B3389" s="35" t="s">
        <v>6981</v>
      </c>
      <c r="C3389" s="35" t="s">
        <v>7759</v>
      </c>
      <c r="D3389" s="35" t="s">
        <v>230</v>
      </c>
      <c r="E3389" s="35" t="s">
        <v>402</v>
      </c>
      <c r="F3389" s="35">
        <v>386.0</v>
      </c>
      <c r="G3389" s="35">
        <v>6.4</v>
      </c>
      <c r="H3389" s="35">
        <v>60.3</v>
      </c>
      <c r="I3389" s="35" t="s">
        <v>75</v>
      </c>
    </row>
    <row r="3390" ht="22.5" customHeight="1">
      <c r="A3390" s="35" t="s">
        <v>6982</v>
      </c>
      <c r="B3390" s="35" t="s">
        <v>6983</v>
      </c>
      <c r="C3390" s="35" t="s">
        <v>7759</v>
      </c>
      <c r="D3390" s="35" t="s">
        <v>158</v>
      </c>
      <c r="E3390" s="35" t="s">
        <v>427</v>
      </c>
      <c r="F3390" s="35">
        <v>126.0</v>
      </c>
      <c r="G3390" s="35">
        <v>3.29</v>
      </c>
      <c r="H3390" s="35">
        <v>38.3</v>
      </c>
      <c r="I3390" s="35" t="s">
        <v>75</v>
      </c>
    </row>
    <row r="3391" ht="22.5" customHeight="1">
      <c r="A3391" s="35" t="s">
        <v>6984</v>
      </c>
      <c r="B3391" s="35" t="s">
        <v>6985</v>
      </c>
      <c r="C3391" s="35" t="s">
        <v>7759</v>
      </c>
      <c r="D3391" s="35" t="s">
        <v>229</v>
      </c>
      <c r="E3391" s="35" t="s">
        <v>400</v>
      </c>
      <c r="F3391" s="35">
        <v>113.0</v>
      </c>
      <c r="G3391" s="35">
        <v>5.94</v>
      </c>
      <c r="H3391" s="35">
        <v>19.0</v>
      </c>
      <c r="I3391" s="35" t="s">
        <v>75</v>
      </c>
    </row>
    <row r="3392" ht="22.5" customHeight="1">
      <c r="A3392" s="35" t="s">
        <v>6986</v>
      </c>
      <c r="B3392" s="35" t="s">
        <v>6987</v>
      </c>
      <c r="C3392" s="35" t="s">
        <v>7759</v>
      </c>
      <c r="D3392" s="35" t="s">
        <v>148</v>
      </c>
      <c r="E3392" s="35" t="s">
        <v>360</v>
      </c>
      <c r="F3392" s="35">
        <v>161.0</v>
      </c>
      <c r="G3392" s="35">
        <v>3.85</v>
      </c>
      <c r="H3392" s="35">
        <v>41.8</v>
      </c>
      <c r="I3392" s="35" t="s">
        <v>75</v>
      </c>
    </row>
    <row r="3393" ht="22.5" customHeight="1">
      <c r="A3393" s="35" t="s">
        <v>6988</v>
      </c>
      <c r="B3393" s="35" t="s">
        <v>6989</v>
      </c>
      <c r="C3393" s="35" t="s">
        <v>7759</v>
      </c>
      <c r="D3393" s="35" t="s">
        <v>158</v>
      </c>
      <c r="E3393" s="35" t="s">
        <v>427</v>
      </c>
      <c r="F3393" s="35">
        <v>145.0</v>
      </c>
      <c r="G3393" s="35">
        <v>5.03</v>
      </c>
      <c r="H3393" s="35">
        <v>28.8</v>
      </c>
      <c r="I3393" s="35" t="s">
        <v>75</v>
      </c>
    </row>
    <row r="3394" ht="22.5" customHeight="1">
      <c r="A3394" s="35" t="s">
        <v>6990</v>
      </c>
      <c r="B3394" s="35" t="s">
        <v>6991</v>
      </c>
      <c r="C3394" s="35" t="s">
        <v>7759</v>
      </c>
      <c r="D3394" s="35" t="s">
        <v>148</v>
      </c>
      <c r="E3394" s="35" t="s">
        <v>360</v>
      </c>
      <c r="F3394" s="35">
        <v>404.0</v>
      </c>
      <c r="G3394" s="35">
        <v>5.1</v>
      </c>
      <c r="H3394" s="35">
        <v>79.2</v>
      </c>
      <c r="I3394" s="35" t="s">
        <v>75</v>
      </c>
    </row>
    <row r="3395" ht="22.5" customHeight="1">
      <c r="A3395" s="35" t="s">
        <v>6992</v>
      </c>
      <c r="B3395" s="35" t="s">
        <v>6993</v>
      </c>
      <c r="C3395" s="35" t="s">
        <v>7759</v>
      </c>
      <c r="D3395" s="35" t="s">
        <v>121</v>
      </c>
      <c r="E3395" s="35" t="s">
        <v>325</v>
      </c>
      <c r="F3395" s="35">
        <v>1351.0</v>
      </c>
      <c r="G3395" s="35">
        <v>20.59</v>
      </c>
      <c r="H3395" s="35">
        <v>65.6</v>
      </c>
      <c r="I3395" s="35" t="s">
        <v>62</v>
      </c>
    </row>
    <row r="3396" ht="22.5" customHeight="1">
      <c r="A3396" s="35" t="s">
        <v>6994</v>
      </c>
      <c r="B3396" s="35" t="s">
        <v>6995</v>
      </c>
      <c r="C3396" s="35" t="s">
        <v>7759</v>
      </c>
      <c r="D3396" s="35" t="s">
        <v>148</v>
      </c>
      <c r="E3396" s="35" t="s">
        <v>360</v>
      </c>
      <c r="F3396" s="35">
        <v>142.0</v>
      </c>
      <c r="G3396" s="35">
        <v>7.13</v>
      </c>
      <c r="H3396" s="35">
        <v>19.9</v>
      </c>
      <c r="I3396" s="35" t="s">
        <v>75</v>
      </c>
    </row>
    <row r="3397" ht="22.5" customHeight="1">
      <c r="A3397" s="35" t="s">
        <v>6996</v>
      </c>
      <c r="B3397" s="35" t="s">
        <v>6997</v>
      </c>
      <c r="C3397" s="35" t="s">
        <v>7759</v>
      </c>
      <c r="D3397" s="35" t="s">
        <v>218</v>
      </c>
      <c r="E3397" s="35" t="s">
        <v>374</v>
      </c>
      <c r="F3397" s="35">
        <v>322.0</v>
      </c>
      <c r="G3397" s="35">
        <v>6.18</v>
      </c>
      <c r="H3397" s="35">
        <v>52.1</v>
      </c>
      <c r="I3397" s="35" t="s">
        <v>75</v>
      </c>
    </row>
    <row r="3398" ht="22.5" customHeight="1">
      <c r="A3398" s="35" t="s">
        <v>6998</v>
      </c>
      <c r="B3398" s="35" t="s">
        <v>6999</v>
      </c>
      <c r="C3398" s="35" t="s">
        <v>7759</v>
      </c>
      <c r="D3398" s="35" t="s">
        <v>230</v>
      </c>
      <c r="E3398" s="35" t="s">
        <v>402</v>
      </c>
      <c r="F3398" s="35">
        <v>143.0</v>
      </c>
      <c r="G3398" s="35">
        <v>3.9</v>
      </c>
      <c r="H3398" s="35">
        <v>36.7</v>
      </c>
      <c r="I3398" s="35" t="s">
        <v>75</v>
      </c>
    </row>
    <row r="3399" ht="22.5" customHeight="1">
      <c r="A3399" s="35" t="s">
        <v>7000</v>
      </c>
      <c r="B3399" s="35" t="s">
        <v>7001</v>
      </c>
      <c r="C3399" s="35" t="s">
        <v>7759</v>
      </c>
      <c r="D3399" s="35" t="s">
        <v>152</v>
      </c>
      <c r="E3399" s="35" t="s">
        <v>417</v>
      </c>
      <c r="F3399" s="35">
        <v>4378.0</v>
      </c>
      <c r="G3399" s="35">
        <v>9.63</v>
      </c>
      <c r="H3399" s="35">
        <v>454.6</v>
      </c>
      <c r="I3399" s="35" t="s">
        <v>142</v>
      </c>
    </row>
    <row r="3400" ht="22.5" customHeight="1">
      <c r="A3400" s="35" t="s">
        <v>7002</v>
      </c>
      <c r="B3400" s="35" t="s">
        <v>3708</v>
      </c>
      <c r="C3400" s="35" t="s">
        <v>7759</v>
      </c>
      <c r="D3400" s="35" t="s">
        <v>210</v>
      </c>
      <c r="E3400" s="35" t="s">
        <v>537</v>
      </c>
      <c r="F3400" s="35">
        <v>492.0</v>
      </c>
      <c r="G3400" s="35">
        <v>9.13</v>
      </c>
      <c r="H3400" s="35">
        <v>53.9</v>
      </c>
      <c r="I3400" s="35" t="s">
        <v>75</v>
      </c>
    </row>
    <row r="3401" ht="22.5" customHeight="1">
      <c r="A3401" s="35" t="s">
        <v>7003</v>
      </c>
      <c r="B3401" s="35" t="s">
        <v>7004</v>
      </c>
      <c r="C3401" s="35" t="s">
        <v>7759</v>
      </c>
      <c r="D3401" s="35" t="s">
        <v>210</v>
      </c>
      <c r="E3401" s="35" t="s">
        <v>537</v>
      </c>
      <c r="F3401" s="35">
        <v>624.0</v>
      </c>
      <c r="G3401" s="35">
        <v>5.92</v>
      </c>
      <c r="H3401" s="35">
        <v>105.4</v>
      </c>
      <c r="I3401" s="35" t="s">
        <v>62</v>
      </c>
    </row>
    <row r="3402" ht="22.5" customHeight="1">
      <c r="A3402" s="35" t="s">
        <v>7005</v>
      </c>
      <c r="B3402" s="35" t="s">
        <v>7006</v>
      </c>
      <c r="C3402" s="35" t="s">
        <v>7759</v>
      </c>
      <c r="D3402" s="35" t="s">
        <v>158</v>
      </c>
      <c r="E3402" s="35" t="s">
        <v>427</v>
      </c>
      <c r="F3402" s="35">
        <v>94.0</v>
      </c>
      <c r="G3402" s="35">
        <v>4.09</v>
      </c>
      <c r="H3402" s="35">
        <v>23.0</v>
      </c>
      <c r="I3402" s="35" t="s">
        <v>75</v>
      </c>
    </row>
    <row r="3403" ht="22.5" customHeight="1">
      <c r="A3403" s="35" t="s">
        <v>7007</v>
      </c>
      <c r="B3403" s="35" t="s">
        <v>7008</v>
      </c>
      <c r="C3403" s="35" t="s">
        <v>7759</v>
      </c>
      <c r="D3403" s="35" t="s">
        <v>148</v>
      </c>
      <c r="E3403" s="35" t="s">
        <v>360</v>
      </c>
      <c r="F3403" s="35">
        <v>115.0</v>
      </c>
      <c r="G3403" s="35">
        <v>6.35</v>
      </c>
      <c r="H3403" s="35">
        <v>18.1</v>
      </c>
      <c r="I3403" s="35" t="s">
        <v>75</v>
      </c>
    </row>
    <row r="3404" ht="22.5" customHeight="1">
      <c r="A3404" s="35" t="s">
        <v>7009</v>
      </c>
      <c r="B3404" s="35" t="s">
        <v>7010</v>
      </c>
      <c r="C3404" s="35" t="s">
        <v>7759</v>
      </c>
      <c r="D3404" s="35" t="s">
        <v>148</v>
      </c>
      <c r="E3404" s="35" t="s">
        <v>360</v>
      </c>
      <c r="F3404" s="35">
        <v>1027.0</v>
      </c>
      <c r="G3404" s="35">
        <v>15.12</v>
      </c>
      <c r="H3404" s="35">
        <v>67.9</v>
      </c>
      <c r="I3404" s="35" t="s">
        <v>62</v>
      </c>
    </row>
    <row r="3405" ht="22.5" customHeight="1">
      <c r="A3405" s="35" t="s">
        <v>7011</v>
      </c>
      <c r="B3405" s="35" t="s">
        <v>7012</v>
      </c>
      <c r="C3405" s="35" t="s">
        <v>7759</v>
      </c>
      <c r="D3405" s="35" t="s">
        <v>218</v>
      </c>
      <c r="E3405" s="35" t="s">
        <v>374</v>
      </c>
      <c r="F3405" s="35">
        <v>760.0</v>
      </c>
      <c r="G3405" s="35">
        <v>12.47</v>
      </c>
      <c r="H3405" s="35">
        <v>60.9</v>
      </c>
      <c r="I3405" s="35" t="s">
        <v>62</v>
      </c>
    </row>
    <row r="3406" ht="22.5" customHeight="1">
      <c r="A3406" s="35" t="s">
        <v>7013</v>
      </c>
      <c r="B3406" s="35" t="s">
        <v>7014</v>
      </c>
      <c r="C3406" s="35" t="s">
        <v>7759</v>
      </c>
      <c r="D3406" s="35" t="s">
        <v>230</v>
      </c>
      <c r="E3406" s="35" t="s">
        <v>402</v>
      </c>
      <c r="F3406" s="35">
        <v>1640.0</v>
      </c>
      <c r="G3406" s="35">
        <v>15.42</v>
      </c>
      <c r="H3406" s="35">
        <v>106.4</v>
      </c>
      <c r="I3406" s="35" t="s">
        <v>62</v>
      </c>
    </row>
    <row r="3407" ht="22.5" customHeight="1">
      <c r="A3407" s="35" t="s">
        <v>7015</v>
      </c>
      <c r="B3407" s="35" t="s">
        <v>7016</v>
      </c>
      <c r="C3407" s="35" t="s">
        <v>7759</v>
      </c>
      <c r="D3407" s="35" t="s">
        <v>158</v>
      </c>
      <c r="E3407" s="35" t="s">
        <v>427</v>
      </c>
      <c r="F3407" s="35">
        <v>84.0</v>
      </c>
      <c r="G3407" s="35">
        <v>5.23</v>
      </c>
      <c r="H3407" s="35">
        <v>16.1</v>
      </c>
      <c r="I3407" s="35" t="s">
        <v>75</v>
      </c>
    </row>
    <row r="3408" ht="22.5" customHeight="1">
      <c r="A3408" s="35" t="s">
        <v>7017</v>
      </c>
      <c r="B3408" s="35" t="s">
        <v>7018</v>
      </c>
      <c r="C3408" s="35" t="s">
        <v>7759</v>
      </c>
      <c r="D3408" s="35" t="s">
        <v>197</v>
      </c>
      <c r="E3408" s="35" t="s">
        <v>517</v>
      </c>
      <c r="F3408" s="35">
        <v>170.0</v>
      </c>
      <c r="G3408" s="35">
        <v>2.79</v>
      </c>
      <c r="H3408" s="35">
        <v>60.9</v>
      </c>
      <c r="I3408" s="35" t="s">
        <v>75</v>
      </c>
    </row>
    <row r="3409" ht="22.5" customHeight="1">
      <c r="A3409" s="35" t="s">
        <v>7019</v>
      </c>
      <c r="B3409" s="35" t="s">
        <v>7020</v>
      </c>
      <c r="C3409" s="35" t="s">
        <v>7759</v>
      </c>
      <c r="D3409" s="35" t="s">
        <v>185</v>
      </c>
      <c r="E3409" s="35" t="s">
        <v>485</v>
      </c>
      <c r="F3409" s="35">
        <v>302.0</v>
      </c>
      <c r="G3409" s="35">
        <v>3.67</v>
      </c>
      <c r="H3409" s="35">
        <v>82.3</v>
      </c>
      <c r="I3409" s="35" t="s">
        <v>75</v>
      </c>
    </row>
    <row r="3410" ht="22.5" customHeight="1">
      <c r="A3410" s="35" t="s">
        <v>7021</v>
      </c>
      <c r="B3410" s="35" t="s">
        <v>7022</v>
      </c>
      <c r="C3410" s="35" t="s">
        <v>7759</v>
      </c>
      <c r="D3410" s="35" t="s">
        <v>225</v>
      </c>
      <c r="E3410" s="35" t="s">
        <v>387</v>
      </c>
      <c r="F3410" s="35">
        <v>527.0</v>
      </c>
      <c r="G3410" s="35">
        <v>6.05</v>
      </c>
      <c r="H3410" s="35">
        <v>87.1</v>
      </c>
      <c r="I3410" s="35" t="s">
        <v>62</v>
      </c>
    </row>
    <row r="3411" ht="22.5" customHeight="1">
      <c r="A3411" s="35" t="s">
        <v>7023</v>
      </c>
      <c r="B3411" s="35" t="s">
        <v>7024</v>
      </c>
      <c r="C3411" s="35" t="s">
        <v>7759</v>
      </c>
      <c r="D3411" s="35" t="s">
        <v>218</v>
      </c>
      <c r="E3411" s="35" t="s">
        <v>374</v>
      </c>
      <c r="F3411" s="35">
        <v>378.0</v>
      </c>
      <c r="G3411" s="35">
        <v>4.48</v>
      </c>
      <c r="H3411" s="35">
        <v>84.4</v>
      </c>
      <c r="I3411" s="35" t="s">
        <v>75</v>
      </c>
    </row>
    <row r="3412" ht="22.5" customHeight="1">
      <c r="A3412" s="35" t="s">
        <v>7025</v>
      </c>
      <c r="B3412" s="35" t="s">
        <v>7026</v>
      </c>
      <c r="C3412" s="35" t="s">
        <v>7759</v>
      </c>
      <c r="D3412" s="35" t="s">
        <v>41</v>
      </c>
      <c r="E3412" s="35" t="s">
        <v>35</v>
      </c>
      <c r="F3412" s="35">
        <v>576.0</v>
      </c>
      <c r="G3412" s="35">
        <v>4.87</v>
      </c>
      <c r="H3412" s="35">
        <v>118.3</v>
      </c>
      <c r="I3412" s="35" t="s">
        <v>62</v>
      </c>
    </row>
    <row r="3413" ht="22.5" customHeight="1">
      <c r="A3413" s="35" t="s">
        <v>7027</v>
      </c>
      <c r="B3413" s="35" t="s">
        <v>7028</v>
      </c>
      <c r="C3413" s="35" t="s">
        <v>7759</v>
      </c>
      <c r="D3413" s="35" t="s">
        <v>197</v>
      </c>
      <c r="E3413" s="35" t="s">
        <v>517</v>
      </c>
      <c r="F3413" s="35">
        <v>106.0</v>
      </c>
      <c r="G3413" s="35">
        <v>4.09</v>
      </c>
      <c r="H3413" s="35">
        <v>25.9</v>
      </c>
      <c r="I3413" s="35" t="s">
        <v>75</v>
      </c>
    </row>
    <row r="3414" ht="22.5" customHeight="1">
      <c r="A3414" s="35" t="s">
        <v>7029</v>
      </c>
      <c r="B3414" s="35" t="s">
        <v>7030</v>
      </c>
      <c r="C3414" s="35" t="s">
        <v>7759</v>
      </c>
      <c r="D3414" s="35" t="s">
        <v>210</v>
      </c>
      <c r="E3414" s="35" t="s">
        <v>537</v>
      </c>
      <c r="F3414" s="35">
        <v>438.0</v>
      </c>
      <c r="G3414" s="35">
        <v>9.42</v>
      </c>
      <c r="H3414" s="35">
        <v>46.5</v>
      </c>
      <c r="I3414" s="35" t="s">
        <v>75</v>
      </c>
    </row>
    <row r="3415" ht="22.5" customHeight="1">
      <c r="A3415" s="35" t="s">
        <v>7031</v>
      </c>
      <c r="B3415" s="35" t="s">
        <v>7032</v>
      </c>
      <c r="C3415" s="35" t="s">
        <v>7759</v>
      </c>
      <c r="D3415" s="35" t="s">
        <v>207</v>
      </c>
      <c r="E3415" s="35" t="s">
        <v>534</v>
      </c>
      <c r="F3415" s="35">
        <v>347.0</v>
      </c>
      <c r="G3415" s="35">
        <v>10.25</v>
      </c>
      <c r="H3415" s="35">
        <v>33.9</v>
      </c>
      <c r="I3415" s="35" t="s">
        <v>75</v>
      </c>
    </row>
    <row r="3416" ht="22.5" customHeight="1">
      <c r="A3416" s="35" t="s">
        <v>7033</v>
      </c>
      <c r="B3416" s="35" t="s">
        <v>7034</v>
      </c>
      <c r="C3416" s="35" t="s">
        <v>7759</v>
      </c>
      <c r="D3416" s="35" t="s">
        <v>158</v>
      </c>
      <c r="E3416" s="35" t="s">
        <v>427</v>
      </c>
      <c r="F3416" s="35">
        <v>137.0</v>
      </c>
      <c r="G3416" s="35">
        <v>3.65</v>
      </c>
      <c r="H3416" s="35">
        <v>37.5</v>
      </c>
      <c r="I3416" s="35" t="s">
        <v>75</v>
      </c>
    </row>
    <row r="3417" ht="22.5" customHeight="1">
      <c r="A3417" s="35" t="s">
        <v>7035</v>
      </c>
      <c r="B3417" s="35" t="s">
        <v>7036</v>
      </c>
      <c r="C3417" s="35" t="s">
        <v>7759</v>
      </c>
      <c r="D3417" s="35" t="s">
        <v>210</v>
      </c>
      <c r="E3417" s="35" t="s">
        <v>537</v>
      </c>
      <c r="F3417" s="35">
        <v>194.0</v>
      </c>
      <c r="G3417" s="35">
        <v>3.25</v>
      </c>
      <c r="H3417" s="35">
        <v>59.7</v>
      </c>
      <c r="I3417" s="35" t="s">
        <v>75</v>
      </c>
    </row>
    <row r="3418" ht="22.5" customHeight="1">
      <c r="A3418" s="35" t="s">
        <v>7037</v>
      </c>
      <c r="B3418" s="35" t="s">
        <v>7038</v>
      </c>
      <c r="C3418" s="35" t="s">
        <v>7759</v>
      </c>
      <c r="D3418" s="35" t="s">
        <v>158</v>
      </c>
      <c r="E3418" s="35" t="s">
        <v>427</v>
      </c>
      <c r="F3418" s="35">
        <v>178.0</v>
      </c>
      <c r="G3418" s="35">
        <v>4.52</v>
      </c>
      <c r="H3418" s="35">
        <v>39.4</v>
      </c>
      <c r="I3418" s="35" t="s">
        <v>75</v>
      </c>
    </row>
    <row r="3419" ht="22.5" customHeight="1">
      <c r="A3419" s="35" t="s">
        <v>7039</v>
      </c>
      <c r="B3419" s="35" t="s">
        <v>7040</v>
      </c>
      <c r="C3419" s="35" t="s">
        <v>7759</v>
      </c>
      <c r="D3419" s="35" t="s">
        <v>197</v>
      </c>
      <c r="E3419" s="35" t="s">
        <v>517</v>
      </c>
      <c r="F3419" s="35">
        <v>764.0</v>
      </c>
      <c r="G3419" s="35">
        <v>7.42</v>
      </c>
      <c r="H3419" s="35">
        <v>103.0</v>
      </c>
      <c r="I3419" s="35" t="s">
        <v>62</v>
      </c>
    </row>
    <row r="3420" ht="22.5" customHeight="1">
      <c r="A3420" s="35" t="s">
        <v>7041</v>
      </c>
      <c r="B3420" s="35" t="s">
        <v>7042</v>
      </c>
      <c r="C3420" s="35" t="s">
        <v>7759</v>
      </c>
      <c r="D3420" s="35" t="s">
        <v>230</v>
      </c>
      <c r="E3420" s="35" t="s">
        <v>402</v>
      </c>
      <c r="F3420" s="35">
        <v>192.0</v>
      </c>
      <c r="G3420" s="35">
        <v>6.13</v>
      </c>
      <c r="H3420" s="35">
        <v>31.3</v>
      </c>
      <c r="I3420" s="35" t="s">
        <v>75</v>
      </c>
    </row>
    <row r="3421" ht="22.5" customHeight="1">
      <c r="A3421" s="35" t="s">
        <v>7043</v>
      </c>
      <c r="B3421" s="35" t="s">
        <v>5324</v>
      </c>
      <c r="C3421" s="35" t="s">
        <v>7759</v>
      </c>
      <c r="D3421" s="35" t="s">
        <v>185</v>
      </c>
      <c r="E3421" s="35" t="s">
        <v>485</v>
      </c>
      <c r="F3421" s="35">
        <v>38.0</v>
      </c>
      <c r="G3421" s="35">
        <v>3.78</v>
      </c>
      <c r="H3421" s="35">
        <v>10.1</v>
      </c>
      <c r="I3421" s="35" t="s">
        <v>75</v>
      </c>
    </row>
    <row r="3422" ht="22.5" customHeight="1">
      <c r="A3422" s="35" t="s">
        <v>7044</v>
      </c>
      <c r="B3422" s="35" t="s">
        <v>7045</v>
      </c>
      <c r="C3422" s="35" t="s">
        <v>7759</v>
      </c>
      <c r="D3422" s="35" t="s">
        <v>158</v>
      </c>
      <c r="E3422" s="35" t="s">
        <v>427</v>
      </c>
      <c r="F3422" s="35">
        <v>184.0</v>
      </c>
      <c r="G3422" s="35">
        <v>6.2</v>
      </c>
      <c r="H3422" s="35">
        <v>29.7</v>
      </c>
      <c r="I3422" s="35" t="s">
        <v>75</v>
      </c>
    </row>
    <row r="3423" ht="22.5" customHeight="1">
      <c r="A3423" s="35" t="s">
        <v>7046</v>
      </c>
      <c r="B3423" s="35" t="s">
        <v>7047</v>
      </c>
      <c r="C3423" s="35" t="s">
        <v>7759</v>
      </c>
      <c r="D3423" s="35" t="s">
        <v>158</v>
      </c>
      <c r="E3423" s="35" t="s">
        <v>427</v>
      </c>
      <c r="F3423" s="35">
        <v>45.0</v>
      </c>
      <c r="G3423" s="35">
        <v>3.63</v>
      </c>
      <c r="H3423" s="35">
        <v>12.4</v>
      </c>
      <c r="I3423" s="35" t="s">
        <v>75</v>
      </c>
    </row>
    <row r="3424" ht="22.5" customHeight="1">
      <c r="A3424" s="35" t="s">
        <v>7048</v>
      </c>
      <c r="B3424" s="35" t="s">
        <v>7049</v>
      </c>
      <c r="C3424" s="35" t="s">
        <v>7759</v>
      </c>
      <c r="D3424" s="35" t="s">
        <v>229</v>
      </c>
      <c r="E3424" s="35" t="s">
        <v>400</v>
      </c>
      <c r="F3424" s="35">
        <v>522.0</v>
      </c>
      <c r="G3424" s="35">
        <v>34.59</v>
      </c>
      <c r="H3424" s="35">
        <v>15.1</v>
      </c>
      <c r="I3424" s="35" t="s">
        <v>62</v>
      </c>
    </row>
    <row r="3425" ht="22.5" customHeight="1">
      <c r="A3425" s="35" t="s">
        <v>7050</v>
      </c>
      <c r="B3425" s="35" t="s">
        <v>7051</v>
      </c>
      <c r="C3425" s="35" t="s">
        <v>7759</v>
      </c>
      <c r="D3425" s="35" t="s">
        <v>229</v>
      </c>
      <c r="E3425" s="35" t="s">
        <v>400</v>
      </c>
      <c r="F3425" s="35">
        <v>108.0</v>
      </c>
      <c r="G3425" s="35">
        <v>5.01</v>
      </c>
      <c r="H3425" s="35">
        <v>21.6</v>
      </c>
      <c r="I3425" s="35" t="s">
        <v>75</v>
      </c>
    </row>
    <row r="3426" ht="22.5" customHeight="1">
      <c r="A3426" s="35" t="s">
        <v>7052</v>
      </c>
      <c r="B3426" s="35" t="s">
        <v>7053</v>
      </c>
      <c r="C3426" s="35" t="s">
        <v>7759</v>
      </c>
      <c r="D3426" s="35" t="s">
        <v>158</v>
      </c>
      <c r="E3426" s="35" t="s">
        <v>427</v>
      </c>
      <c r="F3426" s="35">
        <v>527.0</v>
      </c>
      <c r="G3426" s="35">
        <v>12.63</v>
      </c>
      <c r="H3426" s="35">
        <v>41.7</v>
      </c>
      <c r="I3426" s="35" t="s">
        <v>62</v>
      </c>
    </row>
    <row r="3427" ht="22.5" customHeight="1">
      <c r="A3427" s="35" t="s">
        <v>7054</v>
      </c>
      <c r="B3427" s="35" t="s">
        <v>7055</v>
      </c>
      <c r="C3427" s="35" t="s">
        <v>7759</v>
      </c>
      <c r="D3427" s="35" t="s">
        <v>207</v>
      </c>
      <c r="E3427" s="35" t="s">
        <v>534</v>
      </c>
      <c r="F3427" s="35">
        <v>165.0</v>
      </c>
      <c r="G3427" s="35">
        <v>7.22</v>
      </c>
      <c r="H3427" s="35">
        <v>22.9</v>
      </c>
      <c r="I3427" s="35" t="s">
        <v>75</v>
      </c>
    </row>
    <row r="3428" ht="22.5" customHeight="1">
      <c r="A3428" s="35" t="s">
        <v>7056</v>
      </c>
      <c r="B3428" s="35" t="s">
        <v>7057</v>
      </c>
      <c r="C3428" s="35" t="s">
        <v>7759</v>
      </c>
      <c r="D3428" s="35" t="s">
        <v>207</v>
      </c>
      <c r="E3428" s="35" t="s">
        <v>534</v>
      </c>
      <c r="F3428" s="35">
        <v>150.0</v>
      </c>
      <c r="G3428" s="35">
        <v>5.03</v>
      </c>
      <c r="H3428" s="35">
        <v>29.8</v>
      </c>
      <c r="I3428" s="35" t="s">
        <v>75</v>
      </c>
    </row>
    <row r="3429" ht="22.5" customHeight="1">
      <c r="A3429" s="35" t="s">
        <v>7058</v>
      </c>
      <c r="B3429" s="35" t="s">
        <v>7059</v>
      </c>
      <c r="C3429" s="35" t="s">
        <v>7759</v>
      </c>
      <c r="D3429" s="35" t="s">
        <v>152</v>
      </c>
      <c r="E3429" s="35" t="s">
        <v>417</v>
      </c>
      <c r="F3429" s="35">
        <v>1111.0</v>
      </c>
      <c r="G3429" s="35">
        <v>15.73</v>
      </c>
      <c r="H3429" s="35">
        <v>70.6</v>
      </c>
      <c r="I3429" s="35" t="s">
        <v>62</v>
      </c>
    </row>
    <row r="3430" ht="22.5" customHeight="1">
      <c r="A3430" s="35" t="s">
        <v>7060</v>
      </c>
      <c r="B3430" s="35" t="s">
        <v>7061</v>
      </c>
      <c r="C3430" s="35" t="s">
        <v>7759</v>
      </c>
      <c r="D3430" s="35" t="s">
        <v>229</v>
      </c>
      <c r="E3430" s="35" t="s">
        <v>400</v>
      </c>
      <c r="F3430" s="35">
        <v>1622.0</v>
      </c>
      <c r="G3430" s="35">
        <v>51.49</v>
      </c>
      <c r="H3430" s="35">
        <v>31.5</v>
      </c>
      <c r="I3430" s="35" t="s">
        <v>62</v>
      </c>
    </row>
    <row r="3431" ht="22.5" customHeight="1">
      <c r="A3431" s="35" t="s">
        <v>7062</v>
      </c>
      <c r="B3431" s="35" t="s">
        <v>7063</v>
      </c>
      <c r="C3431" s="35" t="s">
        <v>7759</v>
      </c>
      <c r="D3431" s="35" t="s">
        <v>212</v>
      </c>
      <c r="E3431" s="35" t="s">
        <v>549</v>
      </c>
      <c r="F3431" s="35">
        <v>679.0</v>
      </c>
      <c r="G3431" s="35">
        <v>11.51</v>
      </c>
      <c r="H3431" s="35">
        <v>59.0</v>
      </c>
      <c r="I3431" s="35" t="s">
        <v>62</v>
      </c>
    </row>
    <row r="3432" ht="22.5" customHeight="1">
      <c r="A3432" s="35" t="s">
        <v>7064</v>
      </c>
      <c r="B3432" s="35" t="s">
        <v>7065</v>
      </c>
      <c r="C3432" s="35" t="s">
        <v>7759</v>
      </c>
      <c r="D3432" s="35" t="s">
        <v>207</v>
      </c>
      <c r="E3432" s="35" t="s">
        <v>534</v>
      </c>
      <c r="F3432" s="35">
        <v>247.0</v>
      </c>
      <c r="G3432" s="35">
        <v>8.33</v>
      </c>
      <c r="H3432" s="35">
        <v>29.7</v>
      </c>
      <c r="I3432" s="35" t="s">
        <v>75</v>
      </c>
    </row>
    <row r="3433" ht="22.5" customHeight="1">
      <c r="A3433" s="35" t="s">
        <v>7066</v>
      </c>
      <c r="B3433" s="35" t="s">
        <v>7067</v>
      </c>
      <c r="C3433" s="35" t="s">
        <v>7759</v>
      </c>
      <c r="D3433" s="35" t="s">
        <v>121</v>
      </c>
      <c r="E3433" s="35" t="s">
        <v>325</v>
      </c>
      <c r="F3433" s="35">
        <v>749.0</v>
      </c>
      <c r="G3433" s="35">
        <v>10.8</v>
      </c>
      <c r="H3433" s="35">
        <v>69.4</v>
      </c>
      <c r="I3433" s="35" t="s">
        <v>62</v>
      </c>
    </row>
    <row r="3434" ht="22.5" customHeight="1">
      <c r="A3434" s="35" t="s">
        <v>7068</v>
      </c>
      <c r="B3434" s="35" t="s">
        <v>7069</v>
      </c>
      <c r="C3434" s="35" t="s">
        <v>7759</v>
      </c>
      <c r="D3434" s="35" t="s">
        <v>148</v>
      </c>
      <c r="E3434" s="35" t="s">
        <v>360</v>
      </c>
      <c r="F3434" s="35">
        <v>65.0</v>
      </c>
      <c r="G3434" s="35">
        <v>4.05</v>
      </c>
      <c r="H3434" s="35">
        <v>16.0</v>
      </c>
      <c r="I3434" s="35" t="s">
        <v>75</v>
      </c>
    </row>
    <row r="3435" ht="22.5" customHeight="1">
      <c r="A3435" s="35" t="s">
        <v>7070</v>
      </c>
      <c r="B3435" s="35" t="s">
        <v>7071</v>
      </c>
      <c r="C3435" s="35" t="s">
        <v>7759</v>
      </c>
      <c r="D3435" s="35" t="s">
        <v>229</v>
      </c>
      <c r="E3435" s="35" t="s">
        <v>400</v>
      </c>
      <c r="F3435" s="35">
        <v>118.0</v>
      </c>
      <c r="G3435" s="35">
        <v>3.35</v>
      </c>
      <c r="H3435" s="35">
        <v>35.2</v>
      </c>
      <c r="I3435" s="35" t="s">
        <v>75</v>
      </c>
    </row>
    <row r="3436" ht="22.5" customHeight="1">
      <c r="A3436" s="35" t="s">
        <v>7072</v>
      </c>
      <c r="B3436" s="35" t="s">
        <v>7073</v>
      </c>
      <c r="C3436" s="35" t="s">
        <v>7759</v>
      </c>
      <c r="D3436" s="35" t="s">
        <v>197</v>
      </c>
      <c r="E3436" s="35" t="s">
        <v>517</v>
      </c>
      <c r="F3436" s="35">
        <v>111.0</v>
      </c>
      <c r="G3436" s="35">
        <v>5.39</v>
      </c>
      <c r="H3436" s="35">
        <v>20.6</v>
      </c>
      <c r="I3436" s="35" t="s">
        <v>75</v>
      </c>
    </row>
    <row r="3437" ht="22.5" customHeight="1">
      <c r="A3437" s="35" t="s">
        <v>7074</v>
      </c>
      <c r="B3437" s="35" t="s">
        <v>7075</v>
      </c>
      <c r="C3437" s="35" t="s">
        <v>7759</v>
      </c>
      <c r="D3437" s="35" t="s">
        <v>148</v>
      </c>
      <c r="E3437" s="35" t="s">
        <v>360</v>
      </c>
      <c r="F3437" s="35">
        <v>532.0</v>
      </c>
      <c r="G3437" s="35">
        <v>8.94</v>
      </c>
      <c r="H3437" s="35">
        <v>59.5</v>
      </c>
      <c r="I3437" s="35" t="s">
        <v>62</v>
      </c>
    </row>
    <row r="3438" ht="22.5" customHeight="1">
      <c r="A3438" s="35" t="s">
        <v>7076</v>
      </c>
      <c r="B3438" s="35" t="s">
        <v>7077</v>
      </c>
      <c r="C3438" s="35" t="s">
        <v>7759</v>
      </c>
      <c r="D3438" s="35" t="s">
        <v>185</v>
      </c>
      <c r="E3438" s="35" t="s">
        <v>485</v>
      </c>
      <c r="F3438" s="35">
        <v>134.0</v>
      </c>
      <c r="G3438" s="35">
        <v>7.21</v>
      </c>
      <c r="H3438" s="35">
        <v>18.6</v>
      </c>
      <c r="I3438" s="35" t="s">
        <v>75</v>
      </c>
    </row>
    <row r="3439" ht="22.5" customHeight="1">
      <c r="A3439" s="35" t="s">
        <v>7078</v>
      </c>
      <c r="B3439" s="35" t="s">
        <v>7079</v>
      </c>
      <c r="C3439" s="35" t="s">
        <v>7759</v>
      </c>
      <c r="D3439" s="35" t="s">
        <v>229</v>
      </c>
      <c r="E3439" s="35" t="s">
        <v>400</v>
      </c>
      <c r="F3439" s="35">
        <v>87.0</v>
      </c>
      <c r="G3439" s="35">
        <v>2.53</v>
      </c>
      <c r="H3439" s="35">
        <v>34.4</v>
      </c>
      <c r="I3439" s="35" t="s">
        <v>75</v>
      </c>
    </row>
    <row r="3440" ht="22.5" customHeight="1">
      <c r="A3440" s="35" t="s">
        <v>7080</v>
      </c>
      <c r="B3440" s="35" t="s">
        <v>7081</v>
      </c>
      <c r="C3440" s="35" t="s">
        <v>7759</v>
      </c>
      <c r="D3440" s="35" t="s">
        <v>229</v>
      </c>
      <c r="E3440" s="35" t="s">
        <v>400</v>
      </c>
      <c r="F3440" s="35">
        <v>553.0</v>
      </c>
      <c r="G3440" s="35">
        <v>26.74</v>
      </c>
      <c r="H3440" s="35">
        <v>20.7</v>
      </c>
      <c r="I3440" s="35" t="s">
        <v>62</v>
      </c>
    </row>
    <row r="3441" ht="22.5" customHeight="1">
      <c r="A3441" s="35" t="s">
        <v>7082</v>
      </c>
      <c r="B3441" s="35" t="s">
        <v>7083</v>
      </c>
      <c r="C3441" s="35" t="s">
        <v>7759</v>
      </c>
      <c r="D3441" s="35" t="s">
        <v>210</v>
      </c>
      <c r="E3441" s="35" t="s">
        <v>537</v>
      </c>
      <c r="F3441" s="35">
        <v>442.0</v>
      </c>
      <c r="G3441" s="35">
        <v>4.1</v>
      </c>
      <c r="H3441" s="35">
        <v>107.8</v>
      </c>
      <c r="I3441" s="35" t="s">
        <v>75</v>
      </c>
    </row>
    <row r="3442" ht="22.5" customHeight="1">
      <c r="A3442" s="35" t="s">
        <v>7084</v>
      </c>
      <c r="B3442" s="35" t="s">
        <v>7085</v>
      </c>
      <c r="C3442" s="35" t="s">
        <v>7759</v>
      </c>
      <c r="D3442" s="35" t="s">
        <v>229</v>
      </c>
      <c r="E3442" s="35" t="s">
        <v>400</v>
      </c>
      <c r="F3442" s="35">
        <v>98.0</v>
      </c>
      <c r="G3442" s="35">
        <v>1.57</v>
      </c>
      <c r="H3442" s="35">
        <v>62.4</v>
      </c>
      <c r="I3442" s="35" t="s">
        <v>75</v>
      </c>
    </row>
    <row r="3443" ht="22.5" customHeight="1">
      <c r="A3443" s="35" t="s">
        <v>7086</v>
      </c>
      <c r="B3443" s="35" t="s">
        <v>7087</v>
      </c>
      <c r="C3443" s="35" t="s">
        <v>7759</v>
      </c>
      <c r="D3443" s="35" t="s">
        <v>229</v>
      </c>
      <c r="E3443" s="35" t="s">
        <v>400</v>
      </c>
      <c r="F3443" s="35">
        <v>51.0</v>
      </c>
      <c r="G3443" s="35">
        <v>2.53</v>
      </c>
      <c r="H3443" s="35">
        <v>20.2</v>
      </c>
      <c r="I3443" s="35" t="s">
        <v>75</v>
      </c>
    </row>
    <row r="3444" ht="22.5" customHeight="1">
      <c r="A3444" s="35" t="s">
        <v>7088</v>
      </c>
      <c r="B3444" s="35" t="s">
        <v>7089</v>
      </c>
      <c r="C3444" s="35" t="s">
        <v>7759</v>
      </c>
      <c r="D3444" s="35" t="s">
        <v>210</v>
      </c>
      <c r="E3444" s="35" t="s">
        <v>537</v>
      </c>
      <c r="F3444" s="35">
        <v>260.0</v>
      </c>
      <c r="G3444" s="35">
        <v>4.29</v>
      </c>
      <c r="H3444" s="35">
        <v>60.6</v>
      </c>
      <c r="I3444" s="35" t="s">
        <v>75</v>
      </c>
    </row>
    <row r="3445" ht="22.5" customHeight="1">
      <c r="A3445" s="35" t="s">
        <v>7090</v>
      </c>
      <c r="B3445" s="35" t="s">
        <v>7091</v>
      </c>
      <c r="C3445" s="35" t="s">
        <v>7759</v>
      </c>
      <c r="D3445" s="35" t="s">
        <v>225</v>
      </c>
      <c r="E3445" s="35" t="s">
        <v>387</v>
      </c>
      <c r="F3445" s="35">
        <v>328.0</v>
      </c>
      <c r="G3445" s="35">
        <v>6.18</v>
      </c>
      <c r="H3445" s="35">
        <v>53.1</v>
      </c>
      <c r="I3445" s="35" t="s">
        <v>75</v>
      </c>
    </row>
    <row r="3446" ht="22.5" customHeight="1">
      <c r="A3446" s="35" t="s">
        <v>7092</v>
      </c>
      <c r="B3446" s="35" t="s">
        <v>7093</v>
      </c>
      <c r="C3446" s="35" t="s">
        <v>7759</v>
      </c>
      <c r="D3446" s="35" t="s">
        <v>210</v>
      </c>
      <c r="E3446" s="35" t="s">
        <v>537</v>
      </c>
      <c r="F3446" s="35">
        <v>725.0</v>
      </c>
      <c r="G3446" s="35">
        <v>9.43</v>
      </c>
      <c r="H3446" s="35">
        <v>76.9</v>
      </c>
      <c r="I3446" s="35" t="s">
        <v>62</v>
      </c>
    </row>
    <row r="3447" ht="22.5" customHeight="1">
      <c r="A3447" s="35" t="s">
        <v>7094</v>
      </c>
      <c r="B3447" s="35" t="s">
        <v>7095</v>
      </c>
      <c r="C3447" s="35" t="s">
        <v>7759</v>
      </c>
      <c r="D3447" s="35" t="s">
        <v>121</v>
      </c>
      <c r="E3447" s="35" t="s">
        <v>325</v>
      </c>
      <c r="F3447" s="35">
        <v>859.0</v>
      </c>
      <c r="G3447" s="35">
        <v>15.25</v>
      </c>
      <c r="H3447" s="35">
        <v>56.3</v>
      </c>
      <c r="I3447" s="35" t="s">
        <v>62</v>
      </c>
    </row>
    <row r="3448" ht="22.5" customHeight="1">
      <c r="A3448" s="35" t="s">
        <v>7096</v>
      </c>
      <c r="B3448" s="35" t="s">
        <v>7097</v>
      </c>
      <c r="C3448" s="35" t="s">
        <v>7759</v>
      </c>
      <c r="D3448" s="35" t="s">
        <v>152</v>
      </c>
      <c r="E3448" s="35" t="s">
        <v>417</v>
      </c>
      <c r="F3448" s="35">
        <v>192.0</v>
      </c>
      <c r="G3448" s="35">
        <v>4.86</v>
      </c>
      <c r="H3448" s="35">
        <v>39.5</v>
      </c>
      <c r="I3448" s="35" t="s">
        <v>75</v>
      </c>
    </row>
    <row r="3449" ht="22.5" customHeight="1">
      <c r="A3449" s="35" t="s">
        <v>7098</v>
      </c>
      <c r="B3449" s="35" t="s">
        <v>7099</v>
      </c>
      <c r="C3449" s="35" t="s">
        <v>7759</v>
      </c>
      <c r="D3449" s="35" t="s">
        <v>218</v>
      </c>
      <c r="E3449" s="35" t="s">
        <v>374</v>
      </c>
      <c r="F3449" s="35">
        <v>133.0</v>
      </c>
      <c r="G3449" s="35">
        <v>5.46</v>
      </c>
      <c r="H3449" s="35">
        <v>24.4</v>
      </c>
      <c r="I3449" s="35" t="s">
        <v>75</v>
      </c>
    </row>
    <row r="3450" ht="22.5" customHeight="1">
      <c r="A3450" s="35" t="s">
        <v>7100</v>
      </c>
      <c r="B3450" s="35" t="s">
        <v>7101</v>
      </c>
      <c r="C3450" s="35" t="s">
        <v>7759</v>
      </c>
      <c r="D3450" s="35" t="s">
        <v>185</v>
      </c>
      <c r="E3450" s="35" t="s">
        <v>485</v>
      </c>
      <c r="F3450" s="35">
        <v>183.0</v>
      </c>
      <c r="G3450" s="35">
        <v>6.36</v>
      </c>
      <c r="H3450" s="35">
        <v>28.8</v>
      </c>
      <c r="I3450" s="35" t="s">
        <v>75</v>
      </c>
    </row>
    <row r="3451" ht="22.5" customHeight="1">
      <c r="A3451" s="35" t="s">
        <v>7102</v>
      </c>
      <c r="B3451" s="35" t="s">
        <v>7103</v>
      </c>
      <c r="C3451" s="35" t="s">
        <v>7759</v>
      </c>
      <c r="D3451" s="35" t="s">
        <v>197</v>
      </c>
      <c r="E3451" s="35" t="s">
        <v>517</v>
      </c>
      <c r="F3451" s="35">
        <v>170.0</v>
      </c>
      <c r="G3451" s="35">
        <v>2.17</v>
      </c>
      <c r="H3451" s="35">
        <v>78.3</v>
      </c>
      <c r="I3451" s="35" t="s">
        <v>75</v>
      </c>
    </row>
    <row r="3452" ht="22.5" customHeight="1">
      <c r="A3452" s="35" t="s">
        <v>7104</v>
      </c>
      <c r="B3452" s="35" t="s">
        <v>7105</v>
      </c>
      <c r="C3452" s="35" t="s">
        <v>7759</v>
      </c>
      <c r="D3452" s="35" t="s">
        <v>148</v>
      </c>
      <c r="E3452" s="35" t="s">
        <v>360</v>
      </c>
      <c r="F3452" s="35">
        <v>154.0</v>
      </c>
      <c r="G3452" s="35">
        <v>9.35</v>
      </c>
      <c r="H3452" s="35">
        <v>16.5</v>
      </c>
      <c r="I3452" s="35" t="s">
        <v>75</v>
      </c>
    </row>
    <row r="3453" ht="22.5" customHeight="1">
      <c r="A3453" s="35" t="s">
        <v>7106</v>
      </c>
      <c r="B3453" s="35" t="s">
        <v>7107</v>
      </c>
      <c r="C3453" s="35" t="s">
        <v>7759</v>
      </c>
      <c r="D3453" s="35" t="s">
        <v>197</v>
      </c>
      <c r="E3453" s="35" t="s">
        <v>517</v>
      </c>
      <c r="F3453" s="35">
        <v>156.0</v>
      </c>
      <c r="G3453" s="35">
        <v>2.23</v>
      </c>
      <c r="H3453" s="35">
        <v>70.0</v>
      </c>
      <c r="I3453" s="35" t="s">
        <v>75</v>
      </c>
    </row>
    <row r="3454" ht="22.5" customHeight="1">
      <c r="A3454" s="35" t="s">
        <v>7108</v>
      </c>
      <c r="B3454" s="35" t="s">
        <v>7109</v>
      </c>
      <c r="C3454" s="35" t="s">
        <v>7759</v>
      </c>
      <c r="D3454" s="35" t="s">
        <v>158</v>
      </c>
      <c r="E3454" s="35" t="s">
        <v>427</v>
      </c>
      <c r="F3454" s="35">
        <v>166.0</v>
      </c>
      <c r="G3454" s="35">
        <v>5.99</v>
      </c>
      <c r="H3454" s="35">
        <v>27.7</v>
      </c>
      <c r="I3454" s="35" t="s">
        <v>75</v>
      </c>
    </row>
    <row r="3455" ht="22.5" customHeight="1">
      <c r="A3455" s="35" t="s">
        <v>7110</v>
      </c>
      <c r="B3455" s="35" t="s">
        <v>7111</v>
      </c>
      <c r="C3455" s="35" t="s">
        <v>7759</v>
      </c>
      <c r="D3455" s="35" t="s">
        <v>185</v>
      </c>
      <c r="E3455" s="35" t="s">
        <v>485</v>
      </c>
      <c r="F3455" s="35">
        <v>292.0</v>
      </c>
      <c r="G3455" s="35">
        <v>6.47</v>
      </c>
      <c r="H3455" s="35">
        <v>45.1</v>
      </c>
      <c r="I3455" s="35" t="s">
        <v>75</v>
      </c>
    </row>
    <row r="3456" ht="22.5" customHeight="1">
      <c r="A3456" s="35" t="s">
        <v>7112</v>
      </c>
      <c r="B3456" s="35" t="s">
        <v>7113</v>
      </c>
      <c r="C3456" s="35" t="s">
        <v>7759</v>
      </c>
      <c r="D3456" s="35" t="s">
        <v>152</v>
      </c>
      <c r="E3456" s="35" t="s">
        <v>417</v>
      </c>
      <c r="F3456" s="35">
        <v>395.0</v>
      </c>
      <c r="G3456" s="35">
        <v>6.95</v>
      </c>
      <c r="H3456" s="35">
        <v>56.8</v>
      </c>
      <c r="I3456" s="35" t="s">
        <v>75</v>
      </c>
    </row>
    <row r="3457" ht="22.5" customHeight="1">
      <c r="A3457" s="35" t="s">
        <v>7114</v>
      </c>
      <c r="B3457" s="35" t="s">
        <v>7115</v>
      </c>
      <c r="C3457" s="35" t="s">
        <v>7759</v>
      </c>
      <c r="D3457" s="35" t="s">
        <v>158</v>
      </c>
      <c r="E3457" s="35" t="s">
        <v>427</v>
      </c>
      <c r="F3457" s="35">
        <v>217.0</v>
      </c>
      <c r="G3457" s="35">
        <v>7.32</v>
      </c>
      <c r="H3457" s="35">
        <v>29.6</v>
      </c>
      <c r="I3457" s="35" t="s">
        <v>75</v>
      </c>
    </row>
    <row r="3458" ht="22.5" customHeight="1">
      <c r="A3458" s="35" t="s">
        <v>7116</v>
      </c>
      <c r="B3458" s="35" t="s">
        <v>7117</v>
      </c>
      <c r="C3458" s="35" t="s">
        <v>7759</v>
      </c>
      <c r="D3458" s="35" t="s">
        <v>121</v>
      </c>
      <c r="E3458" s="35" t="s">
        <v>325</v>
      </c>
      <c r="F3458" s="35">
        <v>327.0</v>
      </c>
      <c r="G3458" s="35">
        <v>5.51</v>
      </c>
      <c r="H3458" s="35">
        <v>59.3</v>
      </c>
      <c r="I3458" s="35" t="s">
        <v>75</v>
      </c>
    </row>
    <row r="3459" ht="22.5" customHeight="1">
      <c r="A3459" s="35" t="s">
        <v>7118</v>
      </c>
      <c r="B3459" s="35" t="s">
        <v>7119</v>
      </c>
      <c r="C3459" s="35" t="s">
        <v>7759</v>
      </c>
      <c r="D3459" s="35" t="s">
        <v>225</v>
      </c>
      <c r="E3459" s="35" t="s">
        <v>387</v>
      </c>
      <c r="F3459" s="35">
        <v>223.0</v>
      </c>
      <c r="G3459" s="35">
        <v>5.14</v>
      </c>
      <c r="H3459" s="35">
        <v>43.4</v>
      </c>
      <c r="I3459" s="35" t="s">
        <v>75</v>
      </c>
    </row>
    <row r="3460" ht="22.5" customHeight="1">
      <c r="A3460" s="35" t="s">
        <v>7120</v>
      </c>
      <c r="B3460" s="35" t="s">
        <v>7121</v>
      </c>
      <c r="C3460" s="35" t="s">
        <v>7759</v>
      </c>
      <c r="D3460" s="35" t="s">
        <v>185</v>
      </c>
      <c r="E3460" s="35" t="s">
        <v>485</v>
      </c>
      <c r="F3460" s="35">
        <v>142.0</v>
      </c>
      <c r="G3460" s="35">
        <v>6.37</v>
      </c>
      <c r="H3460" s="35">
        <v>22.3</v>
      </c>
      <c r="I3460" s="35" t="s">
        <v>75</v>
      </c>
    </row>
    <row r="3461" ht="22.5" customHeight="1">
      <c r="A3461" s="35" t="s">
        <v>7122</v>
      </c>
      <c r="B3461" s="35" t="s">
        <v>7123</v>
      </c>
      <c r="C3461" s="35" t="s">
        <v>7759</v>
      </c>
      <c r="D3461" s="35" t="s">
        <v>229</v>
      </c>
      <c r="E3461" s="35" t="s">
        <v>400</v>
      </c>
      <c r="F3461" s="35">
        <v>346.0</v>
      </c>
      <c r="G3461" s="35">
        <v>6.56</v>
      </c>
      <c r="H3461" s="35">
        <v>52.7</v>
      </c>
      <c r="I3461" s="35" t="s">
        <v>75</v>
      </c>
    </row>
    <row r="3462" ht="22.5" customHeight="1">
      <c r="A3462" s="35" t="s">
        <v>7124</v>
      </c>
      <c r="B3462" s="35" t="s">
        <v>7125</v>
      </c>
      <c r="C3462" s="35" t="s">
        <v>7759</v>
      </c>
      <c r="D3462" s="35" t="s">
        <v>229</v>
      </c>
      <c r="E3462" s="35" t="s">
        <v>400</v>
      </c>
      <c r="F3462" s="35">
        <v>108.0</v>
      </c>
      <c r="G3462" s="35">
        <v>3.31</v>
      </c>
      <c r="H3462" s="35">
        <v>32.6</v>
      </c>
      <c r="I3462" s="35" t="s">
        <v>75</v>
      </c>
    </row>
    <row r="3463" ht="22.5" customHeight="1">
      <c r="A3463" s="35" t="s">
        <v>7126</v>
      </c>
      <c r="B3463" s="35" t="s">
        <v>7127</v>
      </c>
      <c r="C3463" s="35" t="s">
        <v>7759</v>
      </c>
      <c r="D3463" s="35" t="s">
        <v>230</v>
      </c>
      <c r="E3463" s="35" t="s">
        <v>402</v>
      </c>
      <c r="F3463" s="35">
        <v>463.0</v>
      </c>
      <c r="G3463" s="35">
        <v>12.47</v>
      </c>
      <c r="H3463" s="35">
        <v>37.1</v>
      </c>
      <c r="I3463" s="35" t="s">
        <v>75</v>
      </c>
    </row>
    <row r="3464" ht="22.5" customHeight="1">
      <c r="A3464" s="35" t="s">
        <v>7128</v>
      </c>
      <c r="B3464" s="35" t="s">
        <v>7129</v>
      </c>
      <c r="C3464" s="35" t="s">
        <v>7759</v>
      </c>
      <c r="D3464" s="35" t="s">
        <v>121</v>
      </c>
      <c r="E3464" s="35" t="s">
        <v>325</v>
      </c>
      <c r="F3464" s="35">
        <v>142.0</v>
      </c>
      <c r="G3464" s="35">
        <v>8.62</v>
      </c>
      <c r="H3464" s="35">
        <v>16.5</v>
      </c>
      <c r="I3464" s="35" t="s">
        <v>75</v>
      </c>
    </row>
    <row r="3465" ht="22.5" customHeight="1">
      <c r="A3465" s="35" t="s">
        <v>7130</v>
      </c>
      <c r="B3465" s="35" t="s">
        <v>7131</v>
      </c>
      <c r="C3465" s="35" t="s">
        <v>7759</v>
      </c>
      <c r="D3465" s="35" t="s">
        <v>229</v>
      </c>
      <c r="E3465" s="35" t="s">
        <v>400</v>
      </c>
      <c r="F3465" s="35">
        <v>374.0</v>
      </c>
      <c r="G3465" s="35">
        <v>3.92</v>
      </c>
      <c r="H3465" s="35">
        <v>95.4</v>
      </c>
      <c r="I3465" s="35" t="s">
        <v>75</v>
      </c>
    </row>
    <row r="3466" ht="22.5" customHeight="1">
      <c r="A3466" s="35" t="s">
        <v>7132</v>
      </c>
      <c r="B3466" s="35" t="s">
        <v>7133</v>
      </c>
      <c r="C3466" s="35" t="s">
        <v>7759</v>
      </c>
      <c r="D3466" s="35" t="s">
        <v>229</v>
      </c>
      <c r="E3466" s="35" t="s">
        <v>400</v>
      </c>
      <c r="F3466" s="35">
        <v>1148.0</v>
      </c>
      <c r="G3466" s="35">
        <v>26.94</v>
      </c>
      <c r="H3466" s="35">
        <v>42.6</v>
      </c>
      <c r="I3466" s="35" t="s">
        <v>62</v>
      </c>
    </row>
    <row r="3467" ht="22.5" customHeight="1">
      <c r="A3467" s="35" t="s">
        <v>7134</v>
      </c>
      <c r="B3467" s="35" t="s">
        <v>7135</v>
      </c>
      <c r="C3467" s="35" t="s">
        <v>7759</v>
      </c>
      <c r="D3467" s="35" t="s">
        <v>225</v>
      </c>
      <c r="E3467" s="35" t="s">
        <v>387</v>
      </c>
      <c r="F3467" s="35">
        <v>590.0</v>
      </c>
      <c r="G3467" s="35">
        <v>9.26</v>
      </c>
      <c r="H3467" s="35">
        <v>63.7</v>
      </c>
      <c r="I3467" s="35" t="s">
        <v>62</v>
      </c>
    </row>
    <row r="3468" ht="22.5" customHeight="1">
      <c r="A3468" s="35" t="s">
        <v>7136</v>
      </c>
      <c r="B3468" s="35" t="s">
        <v>7137</v>
      </c>
      <c r="C3468" s="35" t="s">
        <v>7759</v>
      </c>
      <c r="D3468" s="35" t="s">
        <v>158</v>
      </c>
      <c r="E3468" s="35" t="s">
        <v>427</v>
      </c>
      <c r="F3468" s="35">
        <v>77.0</v>
      </c>
      <c r="G3468" s="35">
        <v>4.1</v>
      </c>
      <c r="H3468" s="35">
        <v>18.8</v>
      </c>
      <c r="I3468" s="35" t="s">
        <v>75</v>
      </c>
    </row>
    <row r="3469" ht="22.5" customHeight="1">
      <c r="A3469" s="35" t="s">
        <v>7138</v>
      </c>
      <c r="B3469" s="35" t="s">
        <v>7139</v>
      </c>
      <c r="C3469" s="35" t="s">
        <v>7759</v>
      </c>
      <c r="D3469" s="35" t="s">
        <v>121</v>
      </c>
      <c r="E3469" s="35" t="s">
        <v>325</v>
      </c>
      <c r="F3469" s="35">
        <v>1500.0</v>
      </c>
      <c r="G3469" s="35">
        <v>8.04</v>
      </c>
      <c r="H3469" s="35">
        <v>186.6</v>
      </c>
      <c r="I3469" s="35" t="s">
        <v>62</v>
      </c>
    </row>
    <row r="3470" ht="22.5" customHeight="1">
      <c r="A3470" s="35" t="s">
        <v>7140</v>
      </c>
      <c r="B3470" s="35" t="s">
        <v>7141</v>
      </c>
      <c r="C3470" s="35" t="s">
        <v>7759</v>
      </c>
      <c r="D3470" s="35" t="s">
        <v>41</v>
      </c>
      <c r="E3470" s="35" t="s">
        <v>35</v>
      </c>
      <c r="F3470" s="35">
        <v>5680.0</v>
      </c>
      <c r="G3470" s="35">
        <v>3.44</v>
      </c>
      <c r="H3470" s="35">
        <v>1651.2</v>
      </c>
      <c r="I3470" s="35" t="s">
        <v>142</v>
      </c>
    </row>
    <row r="3471" ht="22.5" customHeight="1">
      <c r="A3471" s="35" t="s">
        <v>7142</v>
      </c>
      <c r="B3471" s="35" t="s">
        <v>7143</v>
      </c>
      <c r="C3471" s="35" t="s">
        <v>7759</v>
      </c>
      <c r="D3471" s="35" t="s">
        <v>158</v>
      </c>
      <c r="E3471" s="35" t="s">
        <v>427</v>
      </c>
      <c r="F3471" s="35">
        <v>292.0</v>
      </c>
      <c r="G3471" s="35">
        <v>8.53</v>
      </c>
      <c r="H3471" s="35">
        <v>34.2</v>
      </c>
      <c r="I3471" s="35" t="s">
        <v>75</v>
      </c>
    </row>
    <row r="3472" ht="22.5" customHeight="1">
      <c r="A3472" s="35" t="s">
        <v>7144</v>
      </c>
      <c r="B3472" s="35" t="s">
        <v>7145</v>
      </c>
      <c r="C3472" s="35" t="s">
        <v>7759</v>
      </c>
      <c r="D3472" s="35" t="s">
        <v>207</v>
      </c>
      <c r="E3472" s="35" t="s">
        <v>534</v>
      </c>
      <c r="F3472" s="35">
        <v>67.0</v>
      </c>
      <c r="G3472" s="35">
        <v>2.07</v>
      </c>
      <c r="H3472" s="35">
        <v>32.4</v>
      </c>
      <c r="I3472" s="35" t="s">
        <v>75</v>
      </c>
    </row>
    <row r="3473" ht="22.5" customHeight="1">
      <c r="A3473" s="35" t="s">
        <v>7146</v>
      </c>
      <c r="B3473" s="35" t="s">
        <v>7147</v>
      </c>
      <c r="C3473" s="35" t="s">
        <v>7759</v>
      </c>
      <c r="D3473" s="35" t="s">
        <v>197</v>
      </c>
      <c r="E3473" s="35" t="s">
        <v>517</v>
      </c>
      <c r="F3473" s="35">
        <v>289.0</v>
      </c>
      <c r="G3473" s="35">
        <v>7.77</v>
      </c>
      <c r="H3473" s="35">
        <v>37.2</v>
      </c>
      <c r="I3473" s="35" t="s">
        <v>75</v>
      </c>
    </row>
    <row r="3474" ht="22.5" customHeight="1">
      <c r="A3474" s="35" t="s">
        <v>7148</v>
      </c>
      <c r="B3474" s="35" t="s">
        <v>7149</v>
      </c>
      <c r="C3474" s="35" t="s">
        <v>7759</v>
      </c>
      <c r="D3474" s="35" t="s">
        <v>148</v>
      </c>
      <c r="E3474" s="35" t="s">
        <v>360</v>
      </c>
      <c r="F3474" s="35">
        <v>197.0</v>
      </c>
      <c r="G3474" s="35">
        <v>5.77</v>
      </c>
      <c r="H3474" s="35">
        <v>34.1</v>
      </c>
      <c r="I3474" s="35" t="s">
        <v>75</v>
      </c>
    </row>
    <row r="3475" ht="22.5" customHeight="1">
      <c r="A3475" s="35" t="s">
        <v>7150</v>
      </c>
      <c r="B3475" s="35" t="s">
        <v>7151</v>
      </c>
      <c r="C3475" s="35" t="s">
        <v>7759</v>
      </c>
      <c r="D3475" s="35" t="s">
        <v>207</v>
      </c>
      <c r="E3475" s="35" t="s">
        <v>534</v>
      </c>
      <c r="F3475" s="35">
        <v>521.0</v>
      </c>
      <c r="G3475" s="35">
        <v>27.94</v>
      </c>
      <c r="H3475" s="35">
        <v>18.6</v>
      </c>
      <c r="I3475" s="35" t="s">
        <v>62</v>
      </c>
    </row>
    <row r="3476" ht="22.5" customHeight="1">
      <c r="A3476" s="35" t="s">
        <v>7152</v>
      </c>
      <c r="B3476" s="35" t="s">
        <v>7153</v>
      </c>
      <c r="C3476" s="35" t="s">
        <v>7759</v>
      </c>
      <c r="D3476" s="35" t="s">
        <v>225</v>
      </c>
      <c r="E3476" s="35" t="s">
        <v>387</v>
      </c>
      <c r="F3476" s="35">
        <v>151.0</v>
      </c>
      <c r="G3476" s="35">
        <v>6.67</v>
      </c>
      <c r="H3476" s="35">
        <v>22.6</v>
      </c>
      <c r="I3476" s="35" t="s">
        <v>75</v>
      </c>
    </row>
    <row r="3477" ht="22.5" customHeight="1">
      <c r="A3477" s="35" t="s">
        <v>7154</v>
      </c>
      <c r="B3477" s="35" t="s">
        <v>7155</v>
      </c>
      <c r="C3477" s="35" t="s">
        <v>7759</v>
      </c>
      <c r="D3477" s="35" t="s">
        <v>225</v>
      </c>
      <c r="E3477" s="35" t="s">
        <v>387</v>
      </c>
      <c r="F3477" s="35">
        <v>117.0</v>
      </c>
      <c r="G3477" s="35">
        <v>3.31</v>
      </c>
      <c r="H3477" s="35">
        <v>35.3</v>
      </c>
      <c r="I3477" s="35" t="s">
        <v>75</v>
      </c>
    </row>
    <row r="3478" ht="22.5" customHeight="1">
      <c r="A3478" s="35" t="s">
        <v>7156</v>
      </c>
      <c r="B3478" s="35" t="s">
        <v>7157</v>
      </c>
      <c r="C3478" s="35" t="s">
        <v>7759</v>
      </c>
      <c r="D3478" s="35" t="s">
        <v>197</v>
      </c>
      <c r="E3478" s="35" t="s">
        <v>517</v>
      </c>
      <c r="F3478" s="35">
        <v>628.0</v>
      </c>
      <c r="G3478" s="35">
        <v>11.25</v>
      </c>
      <c r="H3478" s="35">
        <v>55.8</v>
      </c>
      <c r="I3478" s="35" t="s">
        <v>62</v>
      </c>
    </row>
    <row r="3479" ht="22.5" customHeight="1">
      <c r="A3479" s="35" t="s">
        <v>7158</v>
      </c>
      <c r="B3479" s="35" t="s">
        <v>7159</v>
      </c>
      <c r="C3479" s="35" t="s">
        <v>7759</v>
      </c>
      <c r="D3479" s="35" t="s">
        <v>148</v>
      </c>
      <c r="E3479" s="35" t="s">
        <v>360</v>
      </c>
      <c r="F3479" s="35">
        <v>290.0</v>
      </c>
      <c r="G3479" s="35">
        <v>14.38</v>
      </c>
      <c r="H3479" s="35">
        <v>20.2</v>
      </c>
      <c r="I3479" s="35" t="s">
        <v>75</v>
      </c>
    </row>
    <row r="3480" ht="22.5" customHeight="1">
      <c r="A3480" s="35" t="s">
        <v>7160</v>
      </c>
      <c r="B3480" s="35" t="s">
        <v>7161</v>
      </c>
      <c r="C3480" s="35" t="s">
        <v>7759</v>
      </c>
      <c r="D3480" s="35" t="s">
        <v>216</v>
      </c>
      <c r="E3480" s="35" t="s">
        <v>371</v>
      </c>
      <c r="F3480" s="35">
        <v>472.0</v>
      </c>
      <c r="G3480" s="35">
        <v>12.72</v>
      </c>
      <c r="H3480" s="35">
        <v>37.1</v>
      </c>
      <c r="I3480" s="35" t="s">
        <v>75</v>
      </c>
    </row>
    <row r="3481" ht="22.5" customHeight="1">
      <c r="A3481" s="35" t="s">
        <v>7162</v>
      </c>
      <c r="B3481" s="35" t="s">
        <v>7163</v>
      </c>
      <c r="C3481" s="35" t="s">
        <v>7759</v>
      </c>
      <c r="D3481" s="35" t="s">
        <v>225</v>
      </c>
      <c r="E3481" s="35" t="s">
        <v>387</v>
      </c>
      <c r="F3481" s="35">
        <v>280.0</v>
      </c>
      <c r="G3481" s="35">
        <v>10.95</v>
      </c>
      <c r="H3481" s="35">
        <v>25.6</v>
      </c>
      <c r="I3481" s="35" t="s">
        <v>75</v>
      </c>
    </row>
    <row r="3482" ht="22.5" customHeight="1">
      <c r="A3482" s="35" t="s">
        <v>7164</v>
      </c>
      <c r="B3482" s="35" t="s">
        <v>7165</v>
      </c>
      <c r="C3482" s="35" t="s">
        <v>7759</v>
      </c>
      <c r="D3482" s="35" t="s">
        <v>225</v>
      </c>
      <c r="E3482" s="35" t="s">
        <v>387</v>
      </c>
      <c r="F3482" s="35">
        <v>97.0</v>
      </c>
      <c r="G3482" s="35">
        <v>5.0</v>
      </c>
      <c r="H3482" s="35">
        <v>19.4</v>
      </c>
      <c r="I3482" s="35" t="s">
        <v>75</v>
      </c>
    </row>
    <row r="3483" ht="22.5" customHeight="1">
      <c r="A3483" s="35" t="s">
        <v>7166</v>
      </c>
      <c r="B3483" s="35" t="s">
        <v>7167</v>
      </c>
      <c r="C3483" s="35" t="s">
        <v>7759</v>
      </c>
      <c r="D3483" s="35" t="s">
        <v>207</v>
      </c>
      <c r="E3483" s="35" t="s">
        <v>534</v>
      </c>
      <c r="F3483" s="35">
        <v>182.0</v>
      </c>
      <c r="G3483" s="35">
        <v>5.81</v>
      </c>
      <c r="H3483" s="35">
        <v>31.3</v>
      </c>
      <c r="I3483" s="35" t="s">
        <v>75</v>
      </c>
    </row>
    <row r="3484" ht="22.5" customHeight="1">
      <c r="A3484" s="35" t="s">
        <v>7168</v>
      </c>
      <c r="B3484" s="35" t="s">
        <v>7169</v>
      </c>
      <c r="C3484" s="35" t="s">
        <v>7759</v>
      </c>
      <c r="D3484" s="35" t="s">
        <v>185</v>
      </c>
      <c r="E3484" s="35" t="s">
        <v>485</v>
      </c>
      <c r="F3484" s="35">
        <v>70.0</v>
      </c>
      <c r="G3484" s="35">
        <v>4.26</v>
      </c>
      <c r="H3484" s="35">
        <v>16.4</v>
      </c>
      <c r="I3484" s="35" t="s">
        <v>75</v>
      </c>
    </row>
    <row r="3485" ht="22.5" customHeight="1">
      <c r="A3485" s="35" t="s">
        <v>7170</v>
      </c>
      <c r="B3485" s="35" t="s">
        <v>7171</v>
      </c>
      <c r="C3485" s="35" t="s">
        <v>7759</v>
      </c>
      <c r="D3485" s="35" t="s">
        <v>197</v>
      </c>
      <c r="E3485" s="35" t="s">
        <v>517</v>
      </c>
      <c r="F3485" s="35">
        <v>255.0</v>
      </c>
      <c r="G3485" s="35">
        <v>10.26</v>
      </c>
      <c r="H3485" s="35">
        <v>24.9</v>
      </c>
      <c r="I3485" s="35" t="s">
        <v>75</v>
      </c>
    </row>
    <row r="3486" ht="22.5" customHeight="1">
      <c r="A3486" s="35" t="s">
        <v>7172</v>
      </c>
      <c r="B3486" s="35" t="s">
        <v>7173</v>
      </c>
      <c r="C3486" s="35" t="s">
        <v>7759</v>
      </c>
      <c r="D3486" s="35" t="s">
        <v>210</v>
      </c>
      <c r="E3486" s="35" t="s">
        <v>537</v>
      </c>
      <c r="F3486" s="35">
        <v>1302.0</v>
      </c>
      <c r="G3486" s="35">
        <v>12.54</v>
      </c>
      <c r="H3486" s="35">
        <v>103.8</v>
      </c>
      <c r="I3486" s="35" t="s">
        <v>62</v>
      </c>
    </row>
    <row r="3487" ht="22.5" customHeight="1">
      <c r="A3487" s="35" t="s">
        <v>7174</v>
      </c>
      <c r="B3487" s="35" t="s">
        <v>7175</v>
      </c>
      <c r="C3487" s="35" t="s">
        <v>7759</v>
      </c>
      <c r="D3487" s="35" t="s">
        <v>185</v>
      </c>
      <c r="E3487" s="35" t="s">
        <v>485</v>
      </c>
      <c r="F3487" s="35">
        <v>51.0</v>
      </c>
      <c r="G3487" s="35">
        <v>2.07</v>
      </c>
      <c r="H3487" s="35">
        <v>24.6</v>
      </c>
      <c r="I3487" s="35" t="s">
        <v>75</v>
      </c>
    </row>
    <row r="3488" ht="22.5" customHeight="1">
      <c r="A3488" s="35" t="s">
        <v>7176</v>
      </c>
      <c r="B3488" s="35" t="s">
        <v>7177</v>
      </c>
      <c r="C3488" s="35" t="s">
        <v>7759</v>
      </c>
      <c r="D3488" s="35" t="s">
        <v>230</v>
      </c>
      <c r="E3488" s="35" t="s">
        <v>402</v>
      </c>
      <c r="F3488" s="35">
        <v>575.0</v>
      </c>
      <c r="G3488" s="35">
        <v>8.62</v>
      </c>
      <c r="H3488" s="35">
        <v>66.7</v>
      </c>
      <c r="I3488" s="35" t="s">
        <v>62</v>
      </c>
    </row>
    <row r="3489" ht="22.5" customHeight="1">
      <c r="A3489" s="35" t="s">
        <v>7178</v>
      </c>
      <c r="B3489" s="35" t="s">
        <v>7179</v>
      </c>
      <c r="C3489" s="35" t="s">
        <v>7759</v>
      </c>
      <c r="D3489" s="35" t="s">
        <v>185</v>
      </c>
      <c r="E3489" s="35" t="s">
        <v>485</v>
      </c>
      <c r="F3489" s="35">
        <v>120.0</v>
      </c>
      <c r="G3489" s="35">
        <v>2.48</v>
      </c>
      <c r="H3489" s="35">
        <v>48.4</v>
      </c>
      <c r="I3489" s="35" t="s">
        <v>75</v>
      </c>
    </row>
    <row r="3490" ht="22.5" customHeight="1">
      <c r="A3490" s="35" t="s">
        <v>7180</v>
      </c>
      <c r="B3490" s="35" t="s">
        <v>7181</v>
      </c>
      <c r="C3490" s="35" t="s">
        <v>7759</v>
      </c>
      <c r="D3490" s="35" t="s">
        <v>121</v>
      </c>
      <c r="E3490" s="35" t="s">
        <v>325</v>
      </c>
      <c r="F3490" s="35">
        <v>840.0</v>
      </c>
      <c r="G3490" s="35">
        <v>9.14</v>
      </c>
      <c r="H3490" s="35">
        <v>91.9</v>
      </c>
      <c r="I3490" s="35" t="s">
        <v>62</v>
      </c>
    </row>
    <row r="3491" ht="22.5" customHeight="1">
      <c r="A3491" s="35" t="s">
        <v>7182</v>
      </c>
      <c r="B3491" s="35" t="s">
        <v>7183</v>
      </c>
      <c r="C3491" s="35" t="s">
        <v>7759</v>
      </c>
      <c r="D3491" s="35" t="s">
        <v>197</v>
      </c>
      <c r="E3491" s="35" t="s">
        <v>517</v>
      </c>
      <c r="F3491" s="35">
        <v>184.0</v>
      </c>
      <c r="G3491" s="35">
        <v>7.56</v>
      </c>
      <c r="H3491" s="35">
        <v>24.3</v>
      </c>
      <c r="I3491" s="35" t="s">
        <v>75</v>
      </c>
    </row>
    <row r="3492" ht="22.5" customHeight="1">
      <c r="A3492" s="35" t="s">
        <v>7184</v>
      </c>
      <c r="B3492" s="35" t="s">
        <v>7185</v>
      </c>
      <c r="C3492" s="35" t="s">
        <v>7759</v>
      </c>
      <c r="D3492" s="35" t="s">
        <v>197</v>
      </c>
      <c r="E3492" s="35" t="s">
        <v>517</v>
      </c>
      <c r="F3492" s="35">
        <v>128.0</v>
      </c>
      <c r="G3492" s="35">
        <v>4.07</v>
      </c>
      <c r="H3492" s="35">
        <v>31.4</v>
      </c>
      <c r="I3492" s="35" t="s">
        <v>75</v>
      </c>
    </row>
    <row r="3493" ht="22.5" customHeight="1">
      <c r="A3493" s="35" t="s">
        <v>7186</v>
      </c>
      <c r="B3493" s="35" t="s">
        <v>7187</v>
      </c>
      <c r="C3493" s="35" t="s">
        <v>7759</v>
      </c>
      <c r="D3493" s="35" t="s">
        <v>229</v>
      </c>
      <c r="E3493" s="35" t="s">
        <v>400</v>
      </c>
      <c r="F3493" s="35">
        <v>149.0</v>
      </c>
      <c r="G3493" s="35">
        <v>3.93</v>
      </c>
      <c r="H3493" s="35">
        <v>37.9</v>
      </c>
      <c r="I3493" s="35" t="s">
        <v>75</v>
      </c>
    </row>
    <row r="3494" ht="22.5" customHeight="1">
      <c r="A3494" s="35" t="s">
        <v>7188</v>
      </c>
      <c r="B3494" s="35" t="s">
        <v>7189</v>
      </c>
      <c r="C3494" s="35" t="s">
        <v>7759</v>
      </c>
      <c r="D3494" s="35" t="s">
        <v>158</v>
      </c>
      <c r="E3494" s="35" t="s">
        <v>427</v>
      </c>
      <c r="F3494" s="35">
        <v>190.0</v>
      </c>
      <c r="G3494" s="35">
        <v>5.31</v>
      </c>
      <c r="H3494" s="35">
        <v>35.8</v>
      </c>
      <c r="I3494" s="35" t="s">
        <v>75</v>
      </c>
    </row>
    <row r="3495" ht="22.5" customHeight="1">
      <c r="A3495" s="35" t="s">
        <v>7190</v>
      </c>
      <c r="B3495" s="35" t="s">
        <v>7191</v>
      </c>
      <c r="C3495" s="35" t="s">
        <v>7759</v>
      </c>
      <c r="D3495" s="35" t="s">
        <v>185</v>
      </c>
      <c r="E3495" s="35" t="s">
        <v>485</v>
      </c>
      <c r="F3495" s="35">
        <v>189.0</v>
      </c>
      <c r="G3495" s="35">
        <v>5.79</v>
      </c>
      <c r="H3495" s="35">
        <v>32.6</v>
      </c>
      <c r="I3495" s="35" t="s">
        <v>75</v>
      </c>
    </row>
    <row r="3496" ht="22.5" customHeight="1">
      <c r="A3496" s="35" t="s">
        <v>7192</v>
      </c>
      <c r="B3496" s="35" t="s">
        <v>7193</v>
      </c>
      <c r="C3496" s="35" t="s">
        <v>7759</v>
      </c>
      <c r="D3496" s="35" t="s">
        <v>216</v>
      </c>
      <c r="E3496" s="35" t="s">
        <v>371</v>
      </c>
      <c r="F3496" s="35">
        <v>410.0</v>
      </c>
      <c r="G3496" s="35">
        <v>7.48</v>
      </c>
      <c r="H3496" s="35">
        <v>54.8</v>
      </c>
      <c r="I3496" s="35" t="s">
        <v>75</v>
      </c>
    </row>
    <row r="3497" ht="22.5" customHeight="1">
      <c r="A3497" s="35" t="s">
        <v>7194</v>
      </c>
      <c r="B3497" s="35" t="s">
        <v>7195</v>
      </c>
      <c r="C3497" s="35" t="s">
        <v>7759</v>
      </c>
      <c r="D3497" s="35" t="s">
        <v>152</v>
      </c>
      <c r="E3497" s="35" t="s">
        <v>417</v>
      </c>
      <c r="F3497" s="35">
        <v>505.0</v>
      </c>
      <c r="G3497" s="35">
        <v>7.04</v>
      </c>
      <c r="H3497" s="35">
        <v>71.7</v>
      </c>
      <c r="I3497" s="35" t="s">
        <v>62</v>
      </c>
    </row>
    <row r="3498" ht="22.5" customHeight="1">
      <c r="A3498" s="35" t="s">
        <v>7196</v>
      </c>
      <c r="B3498" s="35" t="s">
        <v>3886</v>
      </c>
      <c r="C3498" s="35" t="s">
        <v>7759</v>
      </c>
      <c r="D3498" s="35" t="s">
        <v>230</v>
      </c>
      <c r="E3498" s="35" t="s">
        <v>402</v>
      </c>
      <c r="F3498" s="35">
        <v>205.0</v>
      </c>
      <c r="G3498" s="35">
        <v>3.71</v>
      </c>
      <c r="H3498" s="35">
        <v>55.3</v>
      </c>
      <c r="I3498" s="35" t="s">
        <v>75</v>
      </c>
    </row>
    <row r="3499" ht="22.5" customHeight="1">
      <c r="A3499" s="35" t="s">
        <v>7197</v>
      </c>
      <c r="B3499" s="35" t="s">
        <v>7198</v>
      </c>
      <c r="C3499" s="35" t="s">
        <v>7759</v>
      </c>
      <c r="D3499" s="35" t="s">
        <v>158</v>
      </c>
      <c r="E3499" s="35" t="s">
        <v>427</v>
      </c>
      <c r="F3499" s="35">
        <v>216.0</v>
      </c>
      <c r="G3499" s="35">
        <v>10.93</v>
      </c>
      <c r="H3499" s="35">
        <v>19.8</v>
      </c>
      <c r="I3499" s="35" t="s">
        <v>75</v>
      </c>
    </row>
    <row r="3500" ht="22.5" customHeight="1">
      <c r="A3500" s="35" t="s">
        <v>7199</v>
      </c>
      <c r="B3500" s="35" t="s">
        <v>7200</v>
      </c>
      <c r="C3500" s="35" t="s">
        <v>7759</v>
      </c>
      <c r="D3500" s="35" t="s">
        <v>229</v>
      </c>
      <c r="E3500" s="35" t="s">
        <v>400</v>
      </c>
      <c r="F3500" s="35">
        <v>107.0</v>
      </c>
      <c r="G3500" s="35">
        <v>3.83</v>
      </c>
      <c r="H3500" s="35">
        <v>27.9</v>
      </c>
      <c r="I3500" s="35" t="s">
        <v>75</v>
      </c>
    </row>
    <row r="3501" ht="22.5" customHeight="1">
      <c r="A3501" s="35" t="s">
        <v>7201</v>
      </c>
      <c r="B3501" s="35" t="s">
        <v>7202</v>
      </c>
      <c r="C3501" s="35" t="s">
        <v>7759</v>
      </c>
      <c r="D3501" s="35" t="s">
        <v>197</v>
      </c>
      <c r="E3501" s="35" t="s">
        <v>517</v>
      </c>
      <c r="F3501" s="35">
        <v>1285.0</v>
      </c>
      <c r="G3501" s="35">
        <v>10.77</v>
      </c>
      <c r="H3501" s="35">
        <v>119.3</v>
      </c>
      <c r="I3501" s="35" t="s">
        <v>62</v>
      </c>
    </row>
    <row r="3502" ht="22.5" customHeight="1">
      <c r="A3502" s="35" t="s">
        <v>7203</v>
      </c>
      <c r="B3502" s="35" t="s">
        <v>7204</v>
      </c>
      <c r="C3502" s="35" t="s">
        <v>7759</v>
      </c>
      <c r="D3502" s="35" t="s">
        <v>230</v>
      </c>
      <c r="E3502" s="35" t="s">
        <v>402</v>
      </c>
      <c r="F3502" s="35">
        <v>546.0</v>
      </c>
      <c r="G3502" s="35">
        <v>7.06</v>
      </c>
      <c r="H3502" s="35">
        <v>77.3</v>
      </c>
      <c r="I3502" s="35" t="s">
        <v>62</v>
      </c>
    </row>
    <row r="3503" ht="22.5" customHeight="1">
      <c r="A3503" s="35" t="s">
        <v>7205</v>
      </c>
      <c r="B3503" s="35" t="s">
        <v>7206</v>
      </c>
      <c r="C3503" s="35" t="s">
        <v>7759</v>
      </c>
      <c r="D3503" s="35" t="s">
        <v>229</v>
      </c>
      <c r="E3503" s="35" t="s">
        <v>400</v>
      </c>
      <c r="F3503" s="35">
        <v>183.0</v>
      </c>
      <c r="G3503" s="35">
        <v>3.99</v>
      </c>
      <c r="H3503" s="35">
        <v>45.9</v>
      </c>
      <c r="I3503" s="35" t="s">
        <v>75</v>
      </c>
    </row>
    <row r="3504" ht="22.5" customHeight="1">
      <c r="A3504" s="35" t="s">
        <v>7207</v>
      </c>
      <c r="B3504" s="35" t="s">
        <v>7208</v>
      </c>
      <c r="C3504" s="35" t="s">
        <v>7759</v>
      </c>
      <c r="D3504" s="35" t="s">
        <v>207</v>
      </c>
      <c r="E3504" s="35" t="s">
        <v>534</v>
      </c>
      <c r="F3504" s="35">
        <v>154.0</v>
      </c>
      <c r="G3504" s="35">
        <v>6.99</v>
      </c>
      <c r="H3504" s="35">
        <v>22.0</v>
      </c>
      <c r="I3504" s="35" t="s">
        <v>75</v>
      </c>
    </row>
    <row r="3505" ht="22.5" customHeight="1">
      <c r="A3505" s="35" t="s">
        <v>7209</v>
      </c>
      <c r="B3505" s="35" t="s">
        <v>7210</v>
      </c>
      <c r="C3505" s="35" t="s">
        <v>7759</v>
      </c>
      <c r="D3505" s="35" t="s">
        <v>212</v>
      </c>
      <c r="E3505" s="35" t="s">
        <v>549</v>
      </c>
      <c r="F3505" s="35">
        <v>298.0</v>
      </c>
      <c r="G3505" s="35">
        <v>4.03</v>
      </c>
      <c r="H3505" s="35">
        <v>73.9</v>
      </c>
      <c r="I3505" s="35" t="s">
        <v>75</v>
      </c>
    </row>
    <row r="3506" ht="22.5" customHeight="1">
      <c r="A3506" s="35" t="s">
        <v>7211</v>
      </c>
      <c r="B3506" s="35" t="s">
        <v>7212</v>
      </c>
      <c r="C3506" s="35" t="s">
        <v>7759</v>
      </c>
      <c r="D3506" s="35" t="s">
        <v>229</v>
      </c>
      <c r="E3506" s="35" t="s">
        <v>400</v>
      </c>
      <c r="F3506" s="35">
        <v>9.0</v>
      </c>
      <c r="G3506" s="35">
        <v>3.05</v>
      </c>
      <c r="H3506" s="35">
        <v>3.0</v>
      </c>
      <c r="I3506" s="35" t="s">
        <v>75</v>
      </c>
    </row>
    <row r="3507" ht="22.5" customHeight="1">
      <c r="A3507" s="35" t="s">
        <v>7213</v>
      </c>
      <c r="B3507" s="35" t="s">
        <v>7214</v>
      </c>
      <c r="C3507" s="35" t="s">
        <v>7759</v>
      </c>
      <c r="D3507" s="35" t="s">
        <v>121</v>
      </c>
      <c r="E3507" s="35" t="s">
        <v>325</v>
      </c>
      <c r="F3507" s="35">
        <v>183.0</v>
      </c>
      <c r="G3507" s="35">
        <v>3.75</v>
      </c>
      <c r="H3507" s="35">
        <v>48.8</v>
      </c>
      <c r="I3507" s="35" t="s">
        <v>75</v>
      </c>
    </row>
    <row r="3508" ht="22.5" customHeight="1">
      <c r="A3508" s="35" t="s">
        <v>7215</v>
      </c>
      <c r="B3508" s="35" t="s">
        <v>7216</v>
      </c>
      <c r="C3508" s="35" t="s">
        <v>7759</v>
      </c>
      <c r="D3508" s="35" t="s">
        <v>210</v>
      </c>
      <c r="E3508" s="35" t="s">
        <v>537</v>
      </c>
      <c r="F3508" s="35">
        <v>587.0</v>
      </c>
      <c r="G3508" s="35">
        <v>6.95</v>
      </c>
      <c r="H3508" s="35">
        <v>84.5</v>
      </c>
      <c r="I3508" s="35" t="s">
        <v>62</v>
      </c>
    </row>
    <row r="3509" ht="22.5" customHeight="1">
      <c r="A3509" s="35" t="s">
        <v>7217</v>
      </c>
      <c r="B3509" s="35" t="s">
        <v>7218</v>
      </c>
      <c r="C3509" s="35" t="s">
        <v>7759</v>
      </c>
      <c r="D3509" s="35" t="s">
        <v>229</v>
      </c>
      <c r="E3509" s="35" t="s">
        <v>400</v>
      </c>
      <c r="F3509" s="35">
        <v>106.0</v>
      </c>
      <c r="G3509" s="35">
        <v>3.32</v>
      </c>
      <c r="H3509" s="35">
        <v>31.9</v>
      </c>
      <c r="I3509" s="35" t="s">
        <v>75</v>
      </c>
    </row>
    <row r="3510" ht="22.5" customHeight="1">
      <c r="A3510" s="35" t="s">
        <v>7219</v>
      </c>
      <c r="B3510" s="35" t="s">
        <v>7220</v>
      </c>
      <c r="C3510" s="35" t="s">
        <v>7759</v>
      </c>
      <c r="D3510" s="35" t="s">
        <v>178</v>
      </c>
      <c r="E3510" s="35" t="s">
        <v>475</v>
      </c>
      <c r="F3510" s="35">
        <v>2540.0</v>
      </c>
      <c r="G3510" s="35">
        <v>5.43</v>
      </c>
      <c r="H3510" s="35">
        <v>467.8</v>
      </c>
      <c r="I3510" s="35" t="s">
        <v>142</v>
      </c>
    </row>
    <row r="3511" ht="22.5" customHeight="1">
      <c r="A3511" s="35" t="s">
        <v>7221</v>
      </c>
      <c r="B3511" s="35" t="s">
        <v>7222</v>
      </c>
      <c r="C3511" s="35" t="s">
        <v>7759</v>
      </c>
      <c r="D3511" s="35" t="s">
        <v>218</v>
      </c>
      <c r="E3511" s="35" t="s">
        <v>374</v>
      </c>
      <c r="F3511" s="35">
        <v>144.0</v>
      </c>
      <c r="G3511" s="35">
        <v>8.72</v>
      </c>
      <c r="H3511" s="35">
        <v>16.5</v>
      </c>
      <c r="I3511" s="35" t="s">
        <v>75</v>
      </c>
    </row>
    <row r="3512" ht="22.5" customHeight="1">
      <c r="A3512" s="35" t="s">
        <v>7223</v>
      </c>
      <c r="B3512" s="35" t="s">
        <v>7224</v>
      </c>
      <c r="C3512" s="35" t="s">
        <v>7759</v>
      </c>
      <c r="D3512" s="35" t="s">
        <v>158</v>
      </c>
      <c r="E3512" s="35" t="s">
        <v>427</v>
      </c>
      <c r="F3512" s="35">
        <v>290.0</v>
      </c>
      <c r="G3512" s="35">
        <v>7.36</v>
      </c>
      <c r="H3512" s="35">
        <v>39.4</v>
      </c>
      <c r="I3512" s="35" t="s">
        <v>75</v>
      </c>
    </row>
    <row r="3513" ht="22.5" customHeight="1">
      <c r="A3513" s="35" t="s">
        <v>7225</v>
      </c>
      <c r="B3513" s="35" t="s">
        <v>7226</v>
      </c>
      <c r="C3513" s="35" t="s">
        <v>7759</v>
      </c>
      <c r="D3513" s="35" t="s">
        <v>225</v>
      </c>
      <c r="E3513" s="35" t="s">
        <v>387</v>
      </c>
      <c r="F3513" s="35">
        <v>88.0</v>
      </c>
      <c r="G3513" s="35">
        <v>3.56</v>
      </c>
      <c r="H3513" s="35">
        <v>24.7</v>
      </c>
      <c r="I3513" s="35" t="s">
        <v>75</v>
      </c>
    </row>
    <row r="3514" ht="22.5" customHeight="1">
      <c r="A3514" s="35" t="s">
        <v>7227</v>
      </c>
      <c r="B3514" s="35" t="s">
        <v>7228</v>
      </c>
      <c r="C3514" s="35" t="s">
        <v>7759</v>
      </c>
      <c r="D3514" s="35" t="s">
        <v>158</v>
      </c>
      <c r="E3514" s="35" t="s">
        <v>427</v>
      </c>
      <c r="F3514" s="35">
        <v>105.0</v>
      </c>
      <c r="G3514" s="35">
        <v>6.5</v>
      </c>
      <c r="H3514" s="35">
        <v>16.2</v>
      </c>
      <c r="I3514" s="35" t="s">
        <v>75</v>
      </c>
    </row>
    <row r="3515" ht="22.5" customHeight="1">
      <c r="A3515" s="35" t="s">
        <v>7229</v>
      </c>
      <c r="B3515" s="35" t="s">
        <v>7230</v>
      </c>
      <c r="C3515" s="35" t="s">
        <v>7759</v>
      </c>
      <c r="D3515" s="35" t="s">
        <v>197</v>
      </c>
      <c r="E3515" s="35" t="s">
        <v>517</v>
      </c>
      <c r="F3515" s="35">
        <v>237.0</v>
      </c>
      <c r="G3515" s="35">
        <v>8.74</v>
      </c>
      <c r="H3515" s="35">
        <v>27.1</v>
      </c>
      <c r="I3515" s="35" t="s">
        <v>75</v>
      </c>
    </row>
    <row r="3516" ht="22.5" customHeight="1">
      <c r="A3516" s="35" t="s">
        <v>7231</v>
      </c>
      <c r="B3516" s="35" t="s">
        <v>7232</v>
      </c>
      <c r="C3516" s="35" t="s">
        <v>7759</v>
      </c>
      <c r="D3516" s="35" t="s">
        <v>185</v>
      </c>
      <c r="E3516" s="35" t="s">
        <v>485</v>
      </c>
      <c r="F3516" s="35">
        <v>217.0</v>
      </c>
      <c r="G3516" s="35">
        <v>6.05</v>
      </c>
      <c r="H3516" s="35">
        <v>35.9</v>
      </c>
      <c r="I3516" s="35" t="s">
        <v>75</v>
      </c>
    </row>
    <row r="3517" ht="22.5" customHeight="1">
      <c r="A3517" s="35" t="s">
        <v>7233</v>
      </c>
      <c r="B3517" s="35" t="s">
        <v>7234</v>
      </c>
      <c r="C3517" s="35" t="s">
        <v>7759</v>
      </c>
      <c r="D3517" s="35" t="s">
        <v>152</v>
      </c>
      <c r="E3517" s="35" t="s">
        <v>417</v>
      </c>
      <c r="F3517" s="35">
        <v>569.0</v>
      </c>
      <c r="G3517" s="35">
        <v>6.82</v>
      </c>
      <c r="H3517" s="35">
        <v>83.4</v>
      </c>
      <c r="I3517" s="35" t="s">
        <v>62</v>
      </c>
    </row>
    <row r="3518" ht="22.5" customHeight="1">
      <c r="A3518" s="35" t="s">
        <v>7235</v>
      </c>
      <c r="B3518" s="35" t="s">
        <v>7236</v>
      </c>
      <c r="C3518" s="35" t="s">
        <v>7759</v>
      </c>
      <c r="D3518" s="35" t="s">
        <v>229</v>
      </c>
      <c r="E3518" s="35" t="s">
        <v>400</v>
      </c>
      <c r="F3518" s="35">
        <v>122.0</v>
      </c>
      <c r="G3518" s="35">
        <v>6.72</v>
      </c>
      <c r="H3518" s="35">
        <v>18.2</v>
      </c>
      <c r="I3518" s="35" t="s">
        <v>75</v>
      </c>
    </row>
    <row r="3519" ht="22.5" customHeight="1">
      <c r="A3519" s="35" t="s">
        <v>7237</v>
      </c>
      <c r="B3519" s="35" t="s">
        <v>7238</v>
      </c>
      <c r="C3519" s="35" t="s">
        <v>7759</v>
      </c>
      <c r="D3519" s="35" t="s">
        <v>207</v>
      </c>
      <c r="E3519" s="35" t="s">
        <v>534</v>
      </c>
      <c r="F3519" s="35">
        <v>184.0</v>
      </c>
      <c r="G3519" s="35">
        <v>6.47</v>
      </c>
      <c r="H3519" s="35">
        <v>28.4</v>
      </c>
      <c r="I3519" s="35" t="s">
        <v>75</v>
      </c>
    </row>
    <row r="3520" ht="22.5" customHeight="1">
      <c r="A3520" s="35" t="s">
        <v>7239</v>
      </c>
      <c r="B3520" s="35" t="s">
        <v>7240</v>
      </c>
      <c r="C3520" s="35" t="s">
        <v>7759</v>
      </c>
      <c r="D3520" s="35" t="s">
        <v>148</v>
      </c>
      <c r="E3520" s="35" t="s">
        <v>360</v>
      </c>
      <c r="F3520" s="35">
        <v>521.0</v>
      </c>
      <c r="G3520" s="35">
        <v>10.8</v>
      </c>
      <c r="H3520" s="35">
        <v>48.2</v>
      </c>
      <c r="I3520" s="35" t="s">
        <v>62</v>
      </c>
    </row>
    <row r="3521" ht="22.5" customHeight="1">
      <c r="A3521" s="35" t="s">
        <v>7241</v>
      </c>
      <c r="B3521" s="35" t="s">
        <v>7242</v>
      </c>
      <c r="C3521" s="35" t="s">
        <v>7759</v>
      </c>
      <c r="D3521" s="35" t="s">
        <v>212</v>
      </c>
      <c r="E3521" s="35" t="s">
        <v>549</v>
      </c>
      <c r="F3521" s="35">
        <v>604.0</v>
      </c>
      <c r="G3521" s="35">
        <v>8.79</v>
      </c>
      <c r="H3521" s="35">
        <v>68.7</v>
      </c>
      <c r="I3521" s="35" t="s">
        <v>62</v>
      </c>
    </row>
    <row r="3522" ht="22.5" customHeight="1">
      <c r="A3522" s="35" t="s">
        <v>7243</v>
      </c>
      <c r="B3522" s="35" t="s">
        <v>7244</v>
      </c>
      <c r="C3522" s="35" t="s">
        <v>7759</v>
      </c>
      <c r="D3522" s="35" t="s">
        <v>197</v>
      </c>
      <c r="E3522" s="35" t="s">
        <v>517</v>
      </c>
      <c r="F3522" s="35">
        <v>202.0</v>
      </c>
      <c r="G3522" s="35">
        <v>5.86</v>
      </c>
      <c r="H3522" s="35">
        <v>34.5</v>
      </c>
      <c r="I3522" s="35" t="s">
        <v>75</v>
      </c>
    </row>
    <row r="3523" ht="22.5" customHeight="1">
      <c r="A3523" s="35" t="s">
        <v>7245</v>
      </c>
      <c r="B3523" s="35" t="s">
        <v>7246</v>
      </c>
      <c r="C3523" s="35" t="s">
        <v>7759</v>
      </c>
      <c r="D3523" s="35" t="s">
        <v>225</v>
      </c>
      <c r="E3523" s="35" t="s">
        <v>387</v>
      </c>
      <c r="F3523" s="35">
        <v>337.0</v>
      </c>
      <c r="G3523" s="35">
        <v>8.63</v>
      </c>
      <c r="H3523" s="35">
        <v>39.0</v>
      </c>
      <c r="I3523" s="35" t="s">
        <v>75</v>
      </c>
    </row>
    <row r="3524" ht="22.5" customHeight="1">
      <c r="A3524" s="35" t="s">
        <v>7247</v>
      </c>
      <c r="B3524" s="35" t="s">
        <v>7248</v>
      </c>
      <c r="C3524" s="35" t="s">
        <v>7759</v>
      </c>
      <c r="D3524" s="35" t="s">
        <v>197</v>
      </c>
      <c r="E3524" s="35" t="s">
        <v>517</v>
      </c>
      <c r="F3524" s="35">
        <v>620.0</v>
      </c>
      <c r="G3524" s="35">
        <v>14.02</v>
      </c>
      <c r="H3524" s="35">
        <v>44.2</v>
      </c>
      <c r="I3524" s="35" t="s">
        <v>62</v>
      </c>
    </row>
    <row r="3525" ht="22.5" customHeight="1">
      <c r="A3525" s="35" t="s">
        <v>7249</v>
      </c>
      <c r="B3525" s="35" t="s">
        <v>7250</v>
      </c>
      <c r="C3525" s="35" t="s">
        <v>7759</v>
      </c>
      <c r="D3525" s="35" t="s">
        <v>207</v>
      </c>
      <c r="E3525" s="35" t="s">
        <v>534</v>
      </c>
      <c r="F3525" s="35">
        <v>121.0</v>
      </c>
      <c r="G3525" s="35">
        <v>2.32</v>
      </c>
      <c r="H3525" s="35">
        <v>52.2</v>
      </c>
      <c r="I3525" s="35" t="s">
        <v>75</v>
      </c>
    </row>
    <row r="3526" ht="22.5" customHeight="1">
      <c r="A3526" s="35" t="s">
        <v>7251</v>
      </c>
      <c r="B3526" s="35" t="s">
        <v>7252</v>
      </c>
      <c r="C3526" s="35" t="s">
        <v>7759</v>
      </c>
      <c r="D3526" s="35" t="s">
        <v>158</v>
      </c>
      <c r="E3526" s="35" t="s">
        <v>427</v>
      </c>
      <c r="F3526" s="35">
        <v>1109.0</v>
      </c>
      <c r="G3526" s="35">
        <v>20.7</v>
      </c>
      <c r="H3526" s="35">
        <v>53.6</v>
      </c>
      <c r="I3526" s="35" t="s">
        <v>62</v>
      </c>
    </row>
    <row r="3527" ht="22.5" customHeight="1">
      <c r="A3527" s="35" t="s">
        <v>7253</v>
      </c>
      <c r="B3527" s="35" t="s">
        <v>7254</v>
      </c>
      <c r="C3527" s="35" t="s">
        <v>7759</v>
      </c>
      <c r="D3527" s="35" t="s">
        <v>207</v>
      </c>
      <c r="E3527" s="35" t="s">
        <v>534</v>
      </c>
      <c r="F3527" s="35">
        <v>349.0</v>
      </c>
      <c r="G3527" s="35">
        <v>7.32</v>
      </c>
      <c r="H3527" s="35">
        <v>47.7</v>
      </c>
      <c r="I3527" s="35" t="s">
        <v>75</v>
      </c>
    </row>
    <row r="3528" ht="22.5" customHeight="1">
      <c r="A3528" s="35" t="s">
        <v>7255</v>
      </c>
      <c r="B3528" s="35" t="s">
        <v>7256</v>
      </c>
      <c r="C3528" s="35" t="s">
        <v>7759</v>
      </c>
      <c r="D3528" s="35" t="s">
        <v>229</v>
      </c>
      <c r="E3528" s="35" t="s">
        <v>400</v>
      </c>
      <c r="F3528" s="35">
        <v>921.0</v>
      </c>
      <c r="G3528" s="35">
        <v>22.87</v>
      </c>
      <c r="H3528" s="35">
        <v>40.3</v>
      </c>
      <c r="I3528" s="35" t="s">
        <v>62</v>
      </c>
    </row>
    <row r="3529" ht="22.5" customHeight="1">
      <c r="A3529" s="35" t="s">
        <v>7257</v>
      </c>
      <c r="B3529" s="35" t="s">
        <v>7258</v>
      </c>
      <c r="C3529" s="35" t="s">
        <v>7759</v>
      </c>
      <c r="D3529" s="35" t="s">
        <v>152</v>
      </c>
      <c r="E3529" s="35" t="s">
        <v>417</v>
      </c>
      <c r="F3529" s="35">
        <v>593.0</v>
      </c>
      <c r="G3529" s="35">
        <v>15.46</v>
      </c>
      <c r="H3529" s="35">
        <v>38.4</v>
      </c>
      <c r="I3529" s="35" t="s">
        <v>62</v>
      </c>
    </row>
    <row r="3530" ht="22.5" customHeight="1">
      <c r="A3530" s="35" t="s">
        <v>7259</v>
      </c>
      <c r="B3530" s="35" t="s">
        <v>7260</v>
      </c>
      <c r="C3530" s="35" t="s">
        <v>7759</v>
      </c>
      <c r="D3530" s="35" t="s">
        <v>121</v>
      </c>
      <c r="E3530" s="35" t="s">
        <v>325</v>
      </c>
      <c r="F3530" s="35">
        <v>585.0</v>
      </c>
      <c r="G3530" s="35">
        <v>9.56</v>
      </c>
      <c r="H3530" s="35">
        <v>61.2</v>
      </c>
      <c r="I3530" s="35" t="s">
        <v>62</v>
      </c>
    </row>
    <row r="3531" ht="22.5" customHeight="1">
      <c r="A3531" s="35" t="s">
        <v>7261</v>
      </c>
      <c r="B3531" s="35" t="s">
        <v>7262</v>
      </c>
      <c r="C3531" s="35" t="s">
        <v>7759</v>
      </c>
      <c r="D3531" s="35" t="s">
        <v>158</v>
      </c>
      <c r="E3531" s="35" t="s">
        <v>427</v>
      </c>
      <c r="F3531" s="35">
        <v>594.0</v>
      </c>
      <c r="G3531" s="35">
        <v>15.38</v>
      </c>
      <c r="H3531" s="35">
        <v>38.6</v>
      </c>
      <c r="I3531" s="35" t="s">
        <v>62</v>
      </c>
    </row>
    <row r="3532" ht="22.5" customHeight="1">
      <c r="A3532" s="35" t="s">
        <v>7263</v>
      </c>
      <c r="B3532" s="35" t="s">
        <v>7264</v>
      </c>
      <c r="C3532" s="35" t="s">
        <v>7759</v>
      </c>
      <c r="D3532" s="35" t="s">
        <v>229</v>
      </c>
      <c r="E3532" s="35" t="s">
        <v>400</v>
      </c>
      <c r="F3532" s="35">
        <v>216.0</v>
      </c>
      <c r="G3532" s="35">
        <v>9.0</v>
      </c>
      <c r="H3532" s="35">
        <v>24.0</v>
      </c>
      <c r="I3532" s="35" t="s">
        <v>75</v>
      </c>
    </row>
    <row r="3533" ht="22.5" customHeight="1">
      <c r="A3533" s="35" t="s">
        <v>7265</v>
      </c>
      <c r="B3533" s="35" t="s">
        <v>7266</v>
      </c>
      <c r="C3533" s="35" t="s">
        <v>7759</v>
      </c>
      <c r="D3533" s="35" t="s">
        <v>229</v>
      </c>
      <c r="E3533" s="35" t="s">
        <v>400</v>
      </c>
      <c r="F3533" s="35">
        <v>146.0</v>
      </c>
      <c r="G3533" s="35">
        <v>6.99</v>
      </c>
      <c r="H3533" s="35">
        <v>20.9</v>
      </c>
      <c r="I3533" s="35" t="s">
        <v>75</v>
      </c>
    </row>
    <row r="3534" ht="22.5" customHeight="1">
      <c r="A3534" s="35" t="s">
        <v>7267</v>
      </c>
      <c r="B3534" s="35" t="s">
        <v>7268</v>
      </c>
      <c r="C3534" s="35" t="s">
        <v>7759</v>
      </c>
      <c r="D3534" s="35" t="s">
        <v>197</v>
      </c>
      <c r="E3534" s="35" t="s">
        <v>517</v>
      </c>
      <c r="F3534" s="35">
        <v>217.0</v>
      </c>
      <c r="G3534" s="35">
        <v>7.69</v>
      </c>
      <c r="H3534" s="35">
        <v>28.2</v>
      </c>
      <c r="I3534" s="35" t="s">
        <v>75</v>
      </c>
    </row>
    <row r="3535" ht="22.5" customHeight="1">
      <c r="A3535" s="35" t="s">
        <v>7269</v>
      </c>
      <c r="B3535" s="35" t="s">
        <v>7270</v>
      </c>
      <c r="C3535" s="35" t="s">
        <v>7759</v>
      </c>
      <c r="D3535" s="35" t="s">
        <v>185</v>
      </c>
      <c r="E3535" s="35" t="s">
        <v>485</v>
      </c>
      <c r="F3535" s="35">
        <v>5935.0</v>
      </c>
      <c r="G3535" s="35">
        <v>12.62</v>
      </c>
      <c r="H3535" s="35">
        <v>470.3</v>
      </c>
      <c r="I3535" s="35" t="s">
        <v>142</v>
      </c>
    </row>
    <row r="3536" ht="22.5" customHeight="1">
      <c r="A3536" s="35" t="s">
        <v>7271</v>
      </c>
      <c r="B3536" s="35" t="s">
        <v>7272</v>
      </c>
      <c r="C3536" s="35" t="s">
        <v>7759</v>
      </c>
      <c r="D3536" s="35" t="s">
        <v>207</v>
      </c>
      <c r="E3536" s="35" t="s">
        <v>534</v>
      </c>
      <c r="F3536" s="35">
        <v>175.0</v>
      </c>
      <c r="G3536" s="35">
        <v>4.89</v>
      </c>
      <c r="H3536" s="35">
        <v>35.8</v>
      </c>
      <c r="I3536" s="35" t="s">
        <v>75</v>
      </c>
    </row>
    <row r="3537" ht="22.5" customHeight="1">
      <c r="A3537" s="35" t="s">
        <v>7273</v>
      </c>
      <c r="B3537" s="35" t="s">
        <v>7274</v>
      </c>
      <c r="C3537" s="35" t="s">
        <v>7759</v>
      </c>
      <c r="D3537" s="35" t="s">
        <v>207</v>
      </c>
      <c r="E3537" s="35" t="s">
        <v>534</v>
      </c>
      <c r="F3537" s="35">
        <v>102.0</v>
      </c>
      <c r="G3537" s="35">
        <v>5.01</v>
      </c>
      <c r="H3537" s="35">
        <v>20.4</v>
      </c>
      <c r="I3537" s="35" t="s">
        <v>75</v>
      </c>
    </row>
    <row r="3538" ht="22.5" customHeight="1">
      <c r="A3538" s="35" t="s">
        <v>7275</v>
      </c>
      <c r="B3538" s="35" t="s">
        <v>7276</v>
      </c>
      <c r="C3538" s="35" t="s">
        <v>7759</v>
      </c>
      <c r="D3538" s="35" t="s">
        <v>207</v>
      </c>
      <c r="E3538" s="35" t="s">
        <v>534</v>
      </c>
      <c r="F3538" s="35">
        <v>93.0</v>
      </c>
      <c r="G3538" s="35">
        <v>1.49</v>
      </c>
      <c r="H3538" s="35">
        <v>62.4</v>
      </c>
      <c r="I3538" s="35" t="s">
        <v>75</v>
      </c>
    </row>
    <row r="3539" ht="22.5" customHeight="1">
      <c r="A3539" s="35" t="s">
        <v>7277</v>
      </c>
      <c r="B3539" s="35" t="s">
        <v>7278</v>
      </c>
      <c r="C3539" s="35" t="s">
        <v>7759</v>
      </c>
      <c r="D3539" s="35" t="s">
        <v>207</v>
      </c>
      <c r="E3539" s="35" t="s">
        <v>534</v>
      </c>
      <c r="F3539" s="35">
        <v>339.0</v>
      </c>
      <c r="G3539" s="35">
        <v>9.68</v>
      </c>
      <c r="H3539" s="35">
        <v>35.0</v>
      </c>
      <c r="I3539" s="35" t="s">
        <v>75</v>
      </c>
    </row>
    <row r="3540" ht="22.5" customHeight="1">
      <c r="A3540" s="35" t="s">
        <v>7279</v>
      </c>
      <c r="B3540" s="35" t="s">
        <v>7280</v>
      </c>
      <c r="C3540" s="35" t="s">
        <v>7759</v>
      </c>
      <c r="D3540" s="35" t="s">
        <v>152</v>
      </c>
      <c r="E3540" s="35" t="s">
        <v>417</v>
      </c>
      <c r="F3540" s="35">
        <v>362.0</v>
      </c>
      <c r="G3540" s="35">
        <v>5.88</v>
      </c>
      <c r="H3540" s="35">
        <v>61.6</v>
      </c>
      <c r="I3540" s="35" t="s">
        <v>75</v>
      </c>
    </row>
    <row r="3541" ht="22.5" customHeight="1">
      <c r="A3541" s="35" t="s">
        <v>7281</v>
      </c>
      <c r="B3541" s="35" t="s">
        <v>1251</v>
      </c>
      <c r="C3541" s="35" t="s">
        <v>7759</v>
      </c>
      <c r="D3541" s="35" t="s">
        <v>210</v>
      </c>
      <c r="E3541" s="35" t="s">
        <v>537</v>
      </c>
      <c r="F3541" s="35">
        <v>327.0</v>
      </c>
      <c r="G3541" s="35">
        <v>7.6</v>
      </c>
      <c r="H3541" s="35">
        <v>43.0</v>
      </c>
      <c r="I3541" s="35" t="s">
        <v>75</v>
      </c>
    </row>
    <row r="3542" ht="22.5" customHeight="1">
      <c r="A3542" s="35" t="s">
        <v>7282</v>
      </c>
      <c r="B3542" s="35" t="s">
        <v>7283</v>
      </c>
      <c r="C3542" s="35" t="s">
        <v>7759</v>
      </c>
      <c r="D3542" s="35" t="s">
        <v>148</v>
      </c>
      <c r="E3542" s="35" t="s">
        <v>360</v>
      </c>
      <c r="F3542" s="35">
        <v>3936.0</v>
      </c>
      <c r="G3542" s="35">
        <v>23.66</v>
      </c>
      <c r="H3542" s="35">
        <v>166.4</v>
      </c>
      <c r="I3542" s="35" t="s">
        <v>142</v>
      </c>
    </row>
    <row r="3543" ht="22.5" customHeight="1">
      <c r="A3543" s="35" t="s">
        <v>7284</v>
      </c>
      <c r="B3543" s="35" t="s">
        <v>7285</v>
      </c>
      <c r="C3543" s="35" t="s">
        <v>7759</v>
      </c>
      <c r="D3543" s="35" t="s">
        <v>148</v>
      </c>
      <c r="E3543" s="35" t="s">
        <v>360</v>
      </c>
      <c r="F3543" s="35">
        <v>469.0</v>
      </c>
      <c r="G3543" s="35">
        <v>6.48</v>
      </c>
      <c r="H3543" s="35">
        <v>72.4</v>
      </c>
      <c r="I3543" s="35" t="s">
        <v>75</v>
      </c>
    </row>
    <row r="3544" ht="22.5" customHeight="1">
      <c r="A3544" s="35" t="s">
        <v>7286</v>
      </c>
      <c r="B3544" s="35" t="s">
        <v>7287</v>
      </c>
      <c r="C3544" s="35" t="s">
        <v>7759</v>
      </c>
      <c r="D3544" s="35" t="s">
        <v>197</v>
      </c>
      <c r="E3544" s="35" t="s">
        <v>517</v>
      </c>
      <c r="F3544" s="35">
        <v>382.0</v>
      </c>
      <c r="G3544" s="35">
        <v>11.88</v>
      </c>
      <c r="H3544" s="35">
        <v>32.2</v>
      </c>
      <c r="I3544" s="35" t="s">
        <v>75</v>
      </c>
    </row>
    <row r="3545" ht="22.5" customHeight="1">
      <c r="A3545" s="35" t="s">
        <v>7288</v>
      </c>
      <c r="B3545" s="35" t="s">
        <v>7289</v>
      </c>
      <c r="C3545" s="35" t="s">
        <v>7759</v>
      </c>
      <c r="D3545" s="35" t="s">
        <v>229</v>
      </c>
      <c r="E3545" s="35" t="s">
        <v>400</v>
      </c>
      <c r="F3545" s="35">
        <v>372.0</v>
      </c>
      <c r="G3545" s="35">
        <v>12.8</v>
      </c>
      <c r="H3545" s="35">
        <v>29.1</v>
      </c>
      <c r="I3545" s="35" t="s">
        <v>75</v>
      </c>
    </row>
    <row r="3546" ht="22.5" customHeight="1">
      <c r="A3546" s="35" t="s">
        <v>7290</v>
      </c>
      <c r="B3546" s="35" t="s">
        <v>7291</v>
      </c>
      <c r="C3546" s="35" t="s">
        <v>7759</v>
      </c>
      <c r="D3546" s="35" t="s">
        <v>225</v>
      </c>
      <c r="E3546" s="35" t="s">
        <v>387</v>
      </c>
      <c r="F3546" s="35">
        <v>96.0</v>
      </c>
      <c r="G3546" s="35">
        <v>3.56</v>
      </c>
      <c r="H3546" s="35">
        <v>27.0</v>
      </c>
      <c r="I3546" s="35" t="s">
        <v>75</v>
      </c>
    </row>
    <row r="3547" ht="22.5" customHeight="1">
      <c r="A3547" s="35" t="s">
        <v>7292</v>
      </c>
      <c r="B3547" s="35" t="s">
        <v>7293</v>
      </c>
      <c r="C3547" s="35" t="s">
        <v>7759</v>
      </c>
      <c r="D3547" s="35" t="s">
        <v>229</v>
      </c>
      <c r="E3547" s="35" t="s">
        <v>400</v>
      </c>
      <c r="F3547" s="35">
        <v>75.0</v>
      </c>
      <c r="G3547" s="35">
        <v>2.77</v>
      </c>
      <c r="H3547" s="35">
        <v>27.1</v>
      </c>
      <c r="I3547" s="35" t="s">
        <v>75</v>
      </c>
    </row>
    <row r="3548" ht="22.5" customHeight="1">
      <c r="A3548" s="35" t="s">
        <v>7294</v>
      </c>
      <c r="B3548" s="35" t="s">
        <v>7295</v>
      </c>
      <c r="C3548" s="35" t="s">
        <v>7759</v>
      </c>
      <c r="D3548" s="35" t="s">
        <v>152</v>
      </c>
      <c r="E3548" s="35" t="s">
        <v>417</v>
      </c>
      <c r="F3548" s="35">
        <v>314.0</v>
      </c>
      <c r="G3548" s="35">
        <v>4.17</v>
      </c>
      <c r="H3548" s="35">
        <v>75.3</v>
      </c>
      <c r="I3548" s="35" t="s">
        <v>75</v>
      </c>
    </row>
    <row r="3549" ht="22.5" customHeight="1">
      <c r="A3549" s="35" t="s">
        <v>7296</v>
      </c>
      <c r="B3549" s="35" t="s">
        <v>7297</v>
      </c>
      <c r="C3549" s="35" t="s">
        <v>7759</v>
      </c>
      <c r="D3549" s="35" t="s">
        <v>229</v>
      </c>
      <c r="E3549" s="35" t="s">
        <v>400</v>
      </c>
      <c r="F3549" s="35">
        <v>165.0</v>
      </c>
      <c r="G3549" s="35">
        <v>10.47</v>
      </c>
      <c r="H3549" s="35">
        <v>15.8</v>
      </c>
      <c r="I3549" s="35" t="s">
        <v>75</v>
      </c>
    </row>
    <row r="3550" ht="22.5" customHeight="1">
      <c r="A3550" s="35" t="s">
        <v>7298</v>
      </c>
      <c r="B3550" s="35" t="s">
        <v>3983</v>
      </c>
      <c r="C3550" s="35" t="s">
        <v>7759</v>
      </c>
      <c r="D3550" s="35" t="s">
        <v>212</v>
      </c>
      <c r="E3550" s="35" t="s">
        <v>549</v>
      </c>
      <c r="F3550" s="35">
        <v>693.0</v>
      </c>
      <c r="G3550" s="35">
        <v>14.11</v>
      </c>
      <c r="H3550" s="35">
        <v>49.1</v>
      </c>
      <c r="I3550" s="35" t="s">
        <v>62</v>
      </c>
    </row>
    <row r="3551" ht="22.5" customHeight="1">
      <c r="A3551" s="35" t="s">
        <v>7299</v>
      </c>
      <c r="B3551" s="35" t="s">
        <v>7300</v>
      </c>
      <c r="C3551" s="35" t="s">
        <v>7759</v>
      </c>
      <c r="D3551" s="35" t="s">
        <v>152</v>
      </c>
      <c r="E3551" s="35" t="s">
        <v>417</v>
      </c>
      <c r="F3551" s="35">
        <v>789.0</v>
      </c>
      <c r="G3551" s="35">
        <v>6.59</v>
      </c>
      <c r="H3551" s="35">
        <v>119.7</v>
      </c>
      <c r="I3551" s="35" t="s">
        <v>62</v>
      </c>
    </row>
    <row r="3552" ht="22.5" customHeight="1">
      <c r="A3552" s="35" t="s">
        <v>7301</v>
      </c>
      <c r="B3552" s="35" t="s">
        <v>7302</v>
      </c>
      <c r="C3552" s="35" t="s">
        <v>7759</v>
      </c>
      <c r="D3552" s="35" t="s">
        <v>225</v>
      </c>
      <c r="E3552" s="35" t="s">
        <v>387</v>
      </c>
      <c r="F3552" s="35">
        <v>261.0</v>
      </c>
      <c r="G3552" s="35">
        <v>19.52</v>
      </c>
      <c r="H3552" s="35">
        <v>13.4</v>
      </c>
      <c r="I3552" s="35" t="s">
        <v>75</v>
      </c>
    </row>
    <row r="3553" ht="22.5" customHeight="1">
      <c r="A3553" s="35" t="s">
        <v>7303</v>
      </c>
      <c r="B3553" s="35" t="s">
        <v>7304</v>
      </c>
      <c r="C3553" s="35" t="s">
        <v>7759</v>
      </c>
      <c r="D3553" s="35" t="s">
        <v>229</v>
      </c>
      <c r="E3553" s="35" t="s">
        <v>400</v>
      </c>
      <c r="F3553" s="35">
        <v>1013.0</v>
      </c>
      <c r="G3553" s="35">
        <v>22.0</v>
      </c>
      <c r="H3553" s="35">
        <v>46.0</v>
      </c>
      <c r="I3553" s="35" t="s">
        <v>62</v>
      </c>
    </row>
    <row r="3554" ht="22.5" customHeight="1">
      <c r="A3554" s="35" t="s">
        <v>7305</v>
      </c>
      <c r="B3554" s="35" t="s">
        <v>7306</v>
      </c>
      <c r="C3554" s="35" t="s">
        <v>7759</v>
      </c>
      <c r="D3554" s="35" t="s">
        <v>229</v>
      </c>
      <c r="E3554" s="35" t="s">
        <v>400</v>
      </c>
      <c r="F3554" s="35">
        <v>277.0</v>
      </c>
      <c r="G3554" s="35">
        <v>5.27</v>
      </c>
      <c r="H3554" s="35">
        <v>52.6</v>
      </c>
      <c r="I3554" s="35" t="s">
        <v>75</v>
      </c>
    </row>
    <row r="3555" ht="22.5" customHeight="1">
      <c r="A3555" s="35" t="s">
        <v>7307</v>
      </c>
      <c r="B3555" s="35" t="s">
        <v>7308</v>
      </c>
      <c r="C3555" s="35" t="s">
        <v>7759</v>
      </c>
      <c r="D3555" s="35" t="s">
        <v>207</v>
      </c>
      <c r="E3555" s="35" t="s">
        <v>534</v>
      </c>
      <c r="F3555" s="35">
        <v>1047.0</v>
      </c>
      <c r="G3555" s="35">
        <v>16.53</v>
      </c>
      <c r="H3555" s="35">
        <v>63.3</v>
      </c>
      <c r="I3555" s="35" t="s">
        <v>62</v>
      </c>
    </row>
    <row r="3556" ht="22.5" customHeight="1">
      <c r="A3556" s="35" t="s">
        <v>7309</v>
      </c>
      <c r="B3556" s="35" t="s">
        <v>7310</v>
      </c>
      <c r="C3556" s="35" t="s">
        <v>7759</v>
      </c>
      <c r="D3556" s="35" t="s">
        <v>152</v>
      </c>
      <c r="E3556" s="35" t="s">
        <v>417</v>
      </c>
      <c r="F3556" s="35">
        <v>2284.0</v>
      </c>
      <c r="G3556" s="35">
        <v>7.8</v>
      </c>
      <c r="H3556" s="35">
        <v>292.8</v>
      </c>
      <c r="I3556" s="35" t="s">
        <v>142</v>
      </c>
    </row>
    <row r="3557" ht="22.5" customHeight="1">
      <c r="A3557" s="35" t="s">
        <v>7311</v>
      </c>
      <c r="B3557" s="35" t="s">
        <v>7312</v>
      </c>
      <c r="C3557" s="35" t="s">
        <v>7759</v>
      </c>
      <c r="D3557" s="35" t="s">
        <v>229</v>
      </c>
      <c r="E3557" s="35" t="s">
        <v>400</v>
      </c>
      <c r="F3557" s="35">
        <v>174.0</v>
      </c>
      <c r="G3557" s="35">
        <v>4.79</v>
      </c>
      <c r="H3557" s="35">
        <v>36.3</v>
      </c>
      <c r="I3557" s="35" t="s">
        <v>75</v>
      </c>
    </row>
    <row r="3558" ht="22.5" customHeight="1">
      <c r="A3558" s="35" t="s">
        <v>7313</v>
      </c>
      <c r="B3558" s="35" t="s">
        <v>7314</v>
      </c>
      <c r="C3558" s="35" t="s">
        <v>7759</v>
      </c>
      <c r="D3558" s="35" t="s">
        <v>229</v>
      </c>
      <c r="E3558" s="35" t="s">
        <v>400</v>
      </c>
      <c r="F3558" s="35">
        <v>89.0</v>
      </c>
      <c r="G3558" s="35">
        <v>2.04</v>
      </c>
      <c r="H3558" s="35">
        <v>43.6</v>
      </c>
      <c r="I3558" s="35" t="s">
        <v>75</v>
      </c>
    </row>
    <row r="3559" ht="22.5" customHeight="1">
      <c r="A3559" s="35" t="s">
        <v>7315</v>
      </c>
      <c r="B3559" s="35" t="s">
        <v>7316</v>
      </c>
      <c r="C3559" s="35" t="s">
        <v>7759</v>
      </c>
      <c r="D3559" s="35" t="s">
        <v>121</v>
      </c>
      <c r="E3559" s="35" t="s">
        <v>325</v>
      </c>
      <c r="F3559" s="35">
        <v>368.0</v>
      </c>
      <c r="G3559" s="35">
        <v>4.46</v>
      </c>
      <c r="H3559" s="35">
        <v>82.5</v>
      </c>
      <c r="I3559" s="35" t="s">
        <v>75</v>
      </c>
    </row>
    <row r="3560" ht="22.5" customHeight="1">
      <c r="A3560" s="35" t="s">
        <v>7317</v>
      </c>
      <c r="B3560" s="35" t="s">
        <v>7318</v>
      </c>
      <c r="C3560" s="35" t="s">
        <v>7759</v>
      </c>
      <c r="D3560" s="35" t="s">
        <v>225</v>
      </c>
      <c r="E3560" s="35" t="s">
        <v>387</v>
      </c>
      <c r="F3560" s="35">
        <v>106.0</v>
      </c>
      <c r="G3560" s="35">
        <v>4.89</v>
      </c>
      <c r="H3560" s="35">
        <v>21.7</v>
      </c>
      <c r="I3560" s="35" t="s">
        <v>75</v>
      </c>
    </row>
    <row r="3561" ht="22.5" customHeight="1">
      <c r="A3561" s="35" t="s">
        <v>7319</v>
      </c>
      <c r="B3561" s="35" t="s">
        <v>7320</v>
      </c>
      <c r="C3561" s="35" t="s">
        <v>7759</v>
      </c>
      <c r="D3561" s="35" t="s">
        <v>225</v>
      </c>
      <c r="E3561" s="35" t="s">
        <v>387</v>
      </c>
      <c r="F3561" s="35">
        <v>334.0</v>
      </c>
      <c r="G3561" s="35">
        <v>7.69</v>
      </c>
      <c r="H3561" s="35">
        <v>43.4</v>
      </c>
      <c r="I3561" s="35" t="s">
        <v>75</v>
      </c>
    </row>
    <row r="3562" ht="22.5" customHeight="1">
      <c r="A3562" s="35" t="s">
        <v>7321</v>
      </c>
      <c r="B3562" s="35" t="s">
        <v>7322</v>
      </c>
      <c r="C3562" s="35" t="s">
        <v>7759</v>
      </c>
      <c r="D3562" s="35" t="s">
        <v>229</v>
      </c>
      <c r="E3562" s="35" t="s">
        <v>400</v>
      </c>
      <c r="F3562" s="35">
        <v>144.0</v>
      </c>
      <c r="G3562" s="35">
        <v>2.95</v>
      </c>
      <c r="H3562" s="35">
        <v>48.8</v>
      </c>
      <c r="I3562" s="35" t="s">
        <v>75</v>
      </c>
    </row>
    <row r="3563" ht="22.5" customHeight="1">
      <c r="A3563" s="35" t="s">
        <v>7323</v>
      </c>
      <c r="B3563" s="35" t="s">
        <v>7324</v>
      </c>
      <c r="C3563" s="35" t="s">
        <v>7759</v>
      </c>
      <c r="D3563" s="35" t="s">
        <v>229</v>
      </c>
      <c r="E3563" s="35" t="s">
        <v>400</v>
      </c>
      <c r="F3563" s="35">
        <v>509.0</v>
      </c>
      <c r="G3563" s="35">
        <v>8.65</v>
      </c>
      <c r="H3563" s="35">
        <v>58.8</v>
      </c>
      <c r="I3563" s="35" t="s">
        <v>62</v>
      </c>
    </row>
    <row r="3564" ht="22.5" customHeight="1">
      <c r="A3564" s="35" t="s">
        <v>7325</v>
      </c>
      <c r="B3564" s="35" t="s">
        <v>7326</v>
      </c>
      <c r="C3564" s="35" t="s">
        <v>7759</v>
      </c>
      <c r="D3564" s="35" t="s">
        <v>197</v>
      </c>
      <c r="E3564" s="35" t="s">
        <v>517</v>
      </c>
      <c r="F3564" s="35">
        <v>263.0</v>
      </c>
      <c r="G3564" s="35">
        <v>4.03</v>
      </c>
      <c r="H3564" s="35">
        <v>65.3</v>
      </c>
      <c r="I3564" s="35" t="s">
        <v>75</v>
      </c>
    </row>
    <row r="3565" ht="22.5" customHeight="1">
      <c r="A3565" s="35" t="s">
        <v>7327</v>
      </c>
      <c r="B3565" s="35" t="s">
        <v>7328</v>
      </c>
      <c r="C3565" s="35" t="s">
        <v>7759</v>
      </c>
      <c r="D3565" s="35" t="s">
        <v>148</v>
      </c>
      <c r="E3565" s="35" t="s">
        <v>360</v>
      </c>
      <c r="F3565" s="35">
        <v>263.0</v>
      </c>
      <c r="G3565" s="35">
        <v>4.39</v>
      </c>
      <c r="H3565" s="35">
        <v>59.9</v>
      </c>
      <c r="I3565" s="35" t="s">
        <v>75</v>
      </c>
    </row>
    <row r="3566" ht="22.5" customHeight="1">
      <c r="A3566" s="35" t="s">
        <v>7329</v>
      </c>
      <c r="B3566" s="35" t="s">
        <v>1305</v>
      </c>
      <c r="C3566" s="35" t="s">
        <v>7759</v>
      </c>
      <c r="D3566" s="35" t="s">
        <v>207</v>
      </c>
      <c r="E3566" s="35" t="s">
        <v>534</v>
      </c>
      <c r="F3566" s="35">
        <v>212.0</v>
      </c>
      <c r="G3566" s="35">
        <v>3.16</v>
      </c>
      <c r="H3566" s="35">
        <v>67.1</v>
      </c>
      <c r="I3566" s="35" t="s">
        <v>75</v>
      </c>
    </row>
    <row r="3567" ht="22.5" customHeight="1">
      <c r="A3567" s="35" t="s">
        <v>7330</v>
      </c>
      <c r="B3567" s="35" t="s">
        <v>7331</v>
      </c>
      <c r="C3567" s="35" t="s">
        <v>7759</v>
      </c>
      <c r="D3567" s="35" t="s">
        <v>212</v>
      </c>
      <c r="E3567" s="35" t="s">
        <v>549</v>
      </c>
      <c r="F3567" s="35">
        <v>828.0</v>
      </c>
      <c r="G3567" s="35">
        <v>12.53</v>
      </c>
      <c r="H3567" s="35">
        <v>66.1</v>
      </c>
      <c r="I3567" s="35" t="s">
        <v>62</v>
      </c>
    </row>
    <row r="3568" ht="22.5" customHeight="1">
      <c r="A3568" s="35" t="s">
        <v>7332</v>
      </c>
      <c r="B3568" s="35" t="s">
        <v>7333</v>
      </c>
      <c r="C3568" s="35" t="s">
        <v>7759</v>
      </c>
      <c r="D3568" s="35" t="s">
        <v>225</v>
      </c>
      <c r="E3568" s="35" t="s">
        <v>387</v>
      </c>
      <c r="F3568" s="35">
        <v>1196.0</v>
      </c>
      <c r="G3568" s="35">
        <v>15.79</v>
      </c>
      <c r="H3568" s="35">
        <v>75.7</v>
      </c>
      <c r="I3568" s="35" t="s">
        <v>62</v>
      </c>
    </row>
    <row r="3569" ht="22.5" customHeight="1">
      <c r="A3569" s="35" t="s">
        <v>7334</v>
      </c>
      <c r="B3569" s="35" t="s">
        <v>7335</v>
      </c>
      <c r="C3569" s="35" t="s">
        <v>7759</v>
      </c>
      <c r="D3569" s="35" t="s">
        <v>225</v>
      </c>
      <c r="E3569" s="35" t="s">
        <v>387</v>
      </c>
      <c r="F3569" s="35">
        <v>242.0</v>
      </c>
      <c r="G3569" s="35">
        <v>10.53</v>
      </c>
      <c r="H3569" s="35">
        <v>23.0</v>
      </c>
      <c r="I3569" s="35" t="s">
        <v>75</v>
      </c>
    </row>
    <row r="3570" ht="22.5" customHeight="1">
      <c r="A3570" s="35" t="s">
        <v>7336</v>
      </c>
      <c r="B3570" s="35" t="s">
        <v>7337</v>
      </c>
      <c r="C3570" s="35" t="s">
        <v>7759</v>
      </c>
      <c r="D3570" s="35" t="s">
        <v>225</v>
      </c>
      <c r="E3570" s="35" t="s">
        <v>387</v>
      </c>
      <c r="F3570" s="35">
        <v>636.0</v>
      </c>
      <c r="G3570" s="35">
        <v>19.62</v>
      </c>
      <c r="H3570" s="35">
        <v>32.4</v>
      </c>
      <c r="I3570" s="35" t="s">
        <v>62</v>
      </c>
    </row>
    <row r="3571" ht="22.5" customHeight="1">
      <c r="A3571" s="35" t="s">
        <v>7338</v>
      </c>
      <c r="B3571" s="35" t="s">
        <v>7339</v>
      </c>
      <c r="C3571" s="35" t="s">
        <v>7759</v>
      </c>
      <c r="D3571" s="35" t="s">
        <v>158</v>
      </c>
      <c r="E3571" s="35" t="s">
        <v>427</v>
      </c>
      <c r="F3571" s="35">
        <v>373.0</v>
      </c>
      <c r="G3571" s="35">
        <v>6.73</v>
      </c>
      <c r="H3571" s="35">
        <v>55.4</v>
      </c>
      <c r="I3571" s="35" t="s">
        <v>75</v>
      </c>
    </row>
    <row r="3572" ht="22.5" customHeight="1">
      <c r="A3572" s="35" t="s">
        <v>7340</v>
      </c>
      <c r="B3572" s="35" t="s">
        <v>7341</v>
      </c>
      <c r="C3572" s="35" t="s">
        <v>7759</v>
      </c>
      <c r="D3572" s="35" t="s">
        <v>207</v>
      </c>
      <c r="E3572" s="35" t="s">
        <v>534</v>
      </c>
      <c r="F3572" s="35">
        <v>121.0</v>
      </c>
      <c r="G3572" s="35">
        <v>7.09</v>
      </c>
      <c r="H3572" s="35">
        <v>17.1</v>
      </c>
      <c r="I3572" s="35" t="s">
        <v>75</v>
      </c>
    </row>
    <row r="3573" ht="22.5" customHeight="1">
      <c r="A3573" s="35" t="s">
        <v>7342</v>
      </c>
      <c r="B3573" s="35" t="s">
        <v>7343</v>
      </c>
      <c r="C3573" s="35" t="s">
        <v>7759</v>
      </c>
      <c r="D3573" s="35" t="s">
        <v>212</v>
      </c>
      <c r="E3573" s="35" t="s">
        <v>549</v>
      </c>
      <c r="F3573" s="35">
        <v>322.0</v>
      </c>
      <c r="G3573" s="35">
        <v>3.99</v>
      </c>
      <c r="H3573" s="35">
        <v>80.7</v>
      </c>
      <c r="I3573" s="35" t="s">
        <v>75</v>
      </c>
    </row>
    <row r="3574" ht="22.5" customHeight="1">
      <c r="A3574" s="35" t="s">
        <v>7344</v>
      </c>
      <c r="B3574" s="35" t="s">
        <v>7345</v>
      </c>
      <c r="C3574" s="35" t="s">
        <v>7759</v>
      </c>
      <c r="D3574" s="35" t="s">
        <v>229</v>
      </c>
      <c r="E3574" s="35" t="s">
        <v>400</v>
      </c>
      <c r="F3574" s="35">
        <v>83.0</v>
      </c>
      <c r="G3574" s="35">
        <v>4.5</v>
      </c>
      <c r="H3574" s="35">
        <v>18.4</v>
      </c>
      <c r="I3574" s="35" t="s">
        <v>75</v>
      </c>
    </row>
    <row r="3575" ht="22.5" customHeight="1">
      <c r="A3575" s="35" t="s">
        <v>7346</v>
      </c>
      <c r="B3575" s="35" t="s">
        <v>4041</v>
      </c>
      <c r="C3575" s="35" t="s">
        <v>7759</v>
      </c>
      <c r="D3575" s="35" t="s">
        <v>152</v>
      </c>
      <c r="E3575" s="35" t="s">
        <v>417</v>
      </c>
      <c r="F3575" s="35">
        <v>196.0</v>
      </c>
      <c r="G3575" s="35">
        <v>7.15</v>
      </c>
      <c r="H3575" s="35">
        <v>27.4</v>
      </c>
      <c r="I3575" s="35" t="s">
        <v>75</v>
      </c>
    </row>
    <row r="3576" ht="22.5" customHeight="1">
      <c r="A3576" s="35" t="s">
        <v>7347</v>
      </c>
      <c r="B3576" s="35" t="s">
        <v>7348</v>
      </c>
      <c r="C3576" s="35" t="s">
        <v>7759</v>
      </c>
      <c r="D3576" s="35" t="s">
        <v>229</v>
      </c>
      <c r="E3576" s="35" t="s">
        <v>400</v>
      </c>
      <c r="F3576" s="35">
        <v>1127.0</v>
      </c>
      <c r="G3576" s="35">
        <v>8.09</v>
      </c>
      <c r="H3576" s="35">
        <v>139.3</v>
      </c>
      <c r="I3576" s="35" t="s">
        <v>62</v>
      </c>
    </row>
    <row r="3577" ht="22.5" customHeight="1">
      <c r="A3577" s="35" t="s">
        <v>7349</v>
      </c>
      <c r="B3577" s="35" t="s">
        <v>7350</v>
      </c>
      <c r="C3577" s="35" t="s">
        <v>7759</v>
      </c>
      <c r="D3577" s="35" t="s">
        <v>229</v>
      </c>
      <c r="E3577" s="35" t="s">
        <v>400</v>
      </c>
      <c r="F3577" s="35">
        <v>206.0</v>
      </c>
      <c r="G3577" s="35">
        <v>5.56</v>
      </c>
      <c r="H3577" s="35">
        <v>37.1</v>
      </c>
      <c r="I3577" s="35" t="s">
        <v>75</v>
      </c>
    </row>
    <row r="3578" ht="22.5" customHeight="1">
      <c r="A3578" s="35" t="s">
        <v>7351</v>
      </c>
      <c r="B3578" s="35" t="s">
        <v>7352</v>
      </c>
      <c r="C3578" s="35" t="s">
        <v>7759</v>
      </c>
      <c r="D3578" s="35" t="s">
        <v>225</v>
      </c>
      <c r="E3578" s="35" t="s">
        <v>387</v>
      </c>
      <c r="F3578" s="35">
        <v>434.0</v>
      </c>
      <c r="G3578" s="35">
        <v>12.44</v>
      </c>
      <c r="H3578" s="35">
        <v>34.9</v>
      </c>
      <c r="I3578" s="35" t="s">
        <v>75</v>
      </c>
    </row>
    <row r="3579" ht="22.5" customHeight="1">
      <c r="A3579" s="35" t="s">
        <v>7353</v>
      </c>
      <c r="B3579" s="35" t="s">
        <v>7354</v>
      </c>
      <c r="C3579" s="35" t="s">
        <v>7759</v>
      </c>
      <c r="D3579" s="35" t="s">
        <v>229</v>
      </c>
      <c r="E3579" s="35" t="s">
        <v>400</v>
      </c>
      <c r="F3579" s="35">
        <v>998.0</v>
      </c>
      <c r="G3579" s="35">
        <v>11.04</v>
      </c>
      <c r="H3579" s="35">
        <v>90.4</v>
      </c>
      <c r="I3579" s="35" t="s">
        <v>62</v>
      </c>
    </row>
    <row r="3580" ht="22.5" customHeight="1">
      <c r="A3580" s="35" t="s">
        <v>7355</v>
      </c>
      <c r="B3580" s="35" t="s">
        <v>7356</v>
      </c>
      <c r="C3580" s="35" t="s">
        <v>7759</v>
      </c>
      <c r="D3580" s="35" t="s">
        <v>178</v>
      </c>
      <c r="E3580" s="35" t="s">
        <v>475</v>
      </c>
      <c r="F3580" s="35">
        <v>608.0</v>
      </c>
      <c r="G3580" s="35">
        <v>5.88</v>
      </c>
      <c r="H3580" s="35">
        <v>103.4</v>
      </c>
      <c r="I3580" s="35" t="s">
        <v>62</v>
      </c>
    </row>
    <row r="3581" ht="22.5" customHeight="1">
      <c r="A3581" s="35" t="s">
        <v>7357</v>
      </c>
      <c r="B3581" s="35" t="s">
        <v>7358</v>
      </c>
      <c r="C3581" s="35" t="s">
        <v>7759</v>
      </c>
      <c r="D3581" s="35" t="s">
        <v>207</v>
      </c>
      <c r="E3581" s="35" t="s">
        <v>534</v>
      </c>
      <c r="F3581" s="35">
        <v>313.0</v>
      </c>
      <c r="G3581" s="35">
        <v>9.57</v>
      </c>
      <c r="H3581" s="35">
        <v>32.7</v>
      </c>
      <c r="I3581" s="35" t="s">
        <v>75</v>
      </c>
    </row>
    <row r="3582" ht="22.5" customHeight="1">
      <c r="A3582" s="35" t="s">
        <v>7359</v>
      </c>
      <c r="B3582" s="35" t="s">
        <v>7360</v>
      </c>
      <c r="C3582" s="35" t="s">
        <v>7759</v>
      </c>
      <c r="D3582" s="35" t="s">
        <v>197</v>
      </c>
      <c r="E3582" s="35" t="s">
        <v>517</v>
      </c>
      <c r="F3582" s="35">
        <v>431.0</v>
      </c>
      <c r="G3582" s="35">
        <v>9.6</v>
      </c>
      <c r="H3582" s="35">
        <v>44.9</v>
      </c>
      <c r="I3582" s="35" t="s">
        <v>75</v>
      </c>
    </row>
    <row r="3583" ht="22.5" customHeight="1">
      <c r="A3583" s="35" t="s">
        <v>7361</v>
      </c>
      <c r="B3583" s="35" t="s">
        <v>7362</v>
      </c>
      <c r="C3583" s="35" t="s">
        <v>7759</v>
      </c>
      <c r="D3583" s="35" t="s">
        <v>152</v>
      </c>
      <c r="E3583" s="35" t="s">
        <v>417</v>
      </c>
      <c r="F3583" s="35">
        <v>198.0</v>
      </c>
      <c r="G3583" s="35">
        <v>3.71</v>
      </c>
      <c r="H3583" s="35">
        <v>53.4</v>
      </c>
      <c r="I3583" s="35" t="s">
        <v>75</v>
      </c>
    </row>
    <row r="3584" ht="22.5" customHeight="1">
      <c r="A3584" s="35" t="s">
        <v>7363</v>
      </c>
      <c r="B3584" s="35" t="s">
        <v>7364</v>
      </c>
      <c r="C3584" s="35" t="s">
        <v>7759</v>
      </c>
      <c r="D3584" s="35" t="s">
        <v>230</v>
      </c>
      <c r="E3584" s="35" t="s">
        <v>402</v>
      </c>
      <c r="F3584" s="35">
        <v>244.0</v>
      </c>
      <c r="G3584" s="35">
        <v>9.57</v>
      </c>
      <c r="H3584" s="35">
        <v>25.5</v>
      </c>
      <c r="I3584" s="35" t="s">
        <v>75</v>
      </c>
    </row>
    <row r="3585" ht="22.5" customHeight="1">
      <c r="A3585" s="35" t="s">
        <v>7365</v>
      </c>
      <c r="B3585" s="35" t="s">
        <v>7366</v>
      </c>
      <c r="C3585" s="35" t="s">
        <v>7759</v>
      </c>
      <c r="D3585" s="35" t="s">
        <v>121</v>
      </c>
      <c r="E3585" s="35" t="s">
        <v>325</v>
      </c>
      <c r="F3585" s="35">
        <v>1025.0</v>
      </c>
      <c r="G3585" s="35">
        <v>16.09</v>
      </c>
      <c r="H3585" s="35">
        <v>63.7</v>
      </c>
      <c r="I3585" s="35" t="s">
        <v>62</v>
      </c>
    </row>
    <row r="3586" ht="22.5" customHeight="1">
      <c r="A3586" s="35" t="s">
        <v>7367</v>
      </c>
      <c r="B3586" s="35" t="s">
        <v>7368</v>
      </c>
      <c r="C3586" s="35" t="s">
        <v>7759</v>
      </c>
      <c r="D3586" s="35" t="s">
        <v>218</v>
      </c>
      <c r="E3586" s="35" t="s">
        <v>374</v>
      </c>
      <c r="F3586" s="35">
        <v>686.0</v>
      </c>
      <c r="G3586" s="35">
        <v>8.85</v>
      </c>
      <c r="H3586" s="35">
        <v>77.5</v>
      </c>
      <c r="I3586" s="35" t="s">
        <v>62</v>
      </c>
    </row>
    <row r="3587" ht="22.5" customHeight="1">
      <c r="A3587" s="35" t="s">
        <v>7369</v>
      </c>
      <c r="B3587" s="35" t="s">
        <v>7370</v>
      </c>
      <c r="C3587" s="35" t="s">
        <v>7759</v>
      </c>
      <c r="D3587" s="35" t="s">
        <v>158</v>
      </c>
      <c r="E3587" s="35" t="s">
        <v>427</v>
      </c>
      <c r="F3587" s="35">
        <v>7090.0</v>
      </c>
      <c r="G3587" s="35">
        <v>14.21</v>
      </c>
      <c r="H3587" s="35">
        <v>498.9</v>
      </c>
      <c r="I3587" s="35" t="s">
        <v>142</v>
      </c>
    </row>
    <row r="3588" ht="22.5" customHeight="1">
      <c r="A3588" s="35" t="s">
        <v>7371</v>
      </c>
      <c r="B3588" s="35" t="s">
        <v>7372</v>
      </c>
      <c r="C3588" s="35" t="s">
        <v>7759</v>
      </c>
      <c r="D3588" s="35" t="s">
        <v>230</v>
      </c>
      <c r="E3588" s="35" t="s">
        <v>402</v>
      </c>
      <c r="F3588" s="35">
        <v>679.0</v>
      </c>
      <c r="G3588" s="35">
        <v>16.38</v>
      </c>
      <c r="H3588" s="35">
        <v>41.5</v>
      </c>
      <c r="I3588" s="35" t="s">
        <v>62</v>
      </c>
    </row>
    <row r="3589" ht="22.5" customHeight="1">
      <c r="A3589" s="35" t="s">
        <v>7373</v>
      </c>
      <c r="B3589" s="35" t="s">
        <v>7374</v>
      </c>
      <c r="C3589" s="35" t="s">
        <v>7759</v>
      </c>
      <c r="D3589" s="35" t="s">
        <v>218</v>
      </c>
      <c r="E3589" s="35" t="s">
        <v>374</v>
      </c>
      <c r="F3589" s="35">
        <v>1273.0</v>
      </c>
      <c r="G3589" s="35">
        <v>10.29</v>
      </c>
      <c r="H3589" s="35">
        <v>123.7</v>
      </c>
      <c r="I3589" s="35" t="s">
        <v>62</v>
      </c>
    </row>
    <row r="3590" ht="22.5" customHeight="1">
      <c r="A3590" s="35" t="s">
        <v>7375</v>
      </c>
      <c r="B3590" s="35" t="s">
        <v>7376</v>
      </c>
      <c r="C3590" s="35" t="s">
        <v>7759</v>
      </c>
      <c r="D3590" s="35" t="s">
        <v>185</v>
      </c>
      <c r="E3590" s="35" t="s">
        <v>485</v>
      </c>
      <c r="F3590" s="35">
        <v>391.0</v>
      </c>
      <c r="G3590" s="35">
        <v>12.28</v>
      </c>
      <c r="H3590" s="35">
        <v>31.8</v>
      </c>
      <c r="I3590" s="35" t="s">
        <v>75</v>
      </c>
    </row>
    <row r="3591" ht="22.5" customHeight="1">
      <c r="A3591" s="35" t="s">
        <v>7377</v>
      </c>
      <c r="B3591" s="35" t="s">
        <v>7378</v>
      </c>
      <c r="C3591" s="35" t="s">
        <v>7759</v>
      </c>
      <c r="D3591" s="35" t="s">
        <v>207</v>
      </c>
      <c r="E3591" s="35" t="s">
        <v>534</v>
      </c>
      <c r="F3591" s="35">
        <v>280.0</v>
      </c>
      <c r="G3591" s="35">
        <v>2.5</v>
      </c>
      <c r="H3591" s="35">
        <v>112.0</v>
      </c>
      <c r="I3591" s="35" t="s">
        <v>75</v>
      </c>
    </row>
    <row r="3592" ht="22.5" customHeight="1">
      <c r="A3592" s="35" t="s">
        <v>7379</v>
      </c>
      <c r="B3592" s="35" t="s">
        <v>7380</v>
      </c>
      <c r="C3592" s="35" t="s">
        <v>7759</v>
      </c>
      <c r="D3592" s="35" t="s">
        <v>185</v>
      </c>
      <c r="E3592" s="35" t="s">
        <v>485</v>
      </c>
      <c r="F3592" s="35">
        <v>1482.0</v>
      </c>
      <c r="G3592" s="35">
        <v>16.83</v>
      </c>
      <c r="H3592" s="35">
        <v>88.1</v>
      </c>
      <c r="I3592" s="35" t="s">
        <v>62</v>
      </c>
    </row>
    <row r="3593" ht="22.5" customHeight="1">
      <c r="A3593" s="35" t="s">
        <v>7381</v>
      </c>
      <c r="B3593" s="35" t="s">
        <v>7382</v>
      </c>
      <c r="C3593" s="35" t="s">
        <v>7759</v>
      </c>
      <c r="D3593" s="35" t="s">
        <v>41</v>
      </c>
      <c r="E3593" s="35" t="s">
        <v>35</v>
      </c>
      <c r="F3593" s="35">
        <v>284.0</v>
      </c>
      <c r="G3593" s="35">
        <v>6.69</v>
      </c>
      <c r="H3593" s="35">
        <v>42.5</v>
      </c>
      <c r="I3593" s="35" t="s">
        <v>75</v>
      </c>
    </row>
    <row r="3594" ht="22.5" customHeight="1">
      <c r="A3594" s="35" t="s">
        <v>7383</v>
      </c>
      <c r="B3594" s="35" t="s">
        <v>7384</v>
      </c>
      <c r="C3594" s="35" t="s">
        <v>7759</v>
      </c>
      <c r="D3594" s="35" t="s">
        <v>229</v>
      </c>
      <c r="E3594" s="35" t="s">
        <v>400</v>
      </c>
      <c r="F3594" s="35">
        <v>897.0</v>
      </c>
      <c r="G3594" s="35">
        <v>10.17</v>
      </c>
      <c r="H3594" s="35">
        <v>88.2</v>
      </c>
      <c r="I3594" s="35" t="s">
        <v>62</v>
      </c>
    </row>
    <row r="3595" ht="22.5" customHeight="1">
      <c r="A3595" s="35" t="s">
        <v>7385</v>
      </c>
      <c r="B3595" s="35" t="s">
        <v>7386</v>
      </c>
      <c r="C3595" s="35" t="s">
        <v>7759</v>
      </c>
      <c r="D3595" s="35" t="s">
        <v>148</v>
      </c>
      <c r="E3595" s="35" t="s">
        <v>360</v>
      </c>
      <c r="F3595" s="35">
        <v>753.0</v>
      </c>
      <c r="G3595" s="35">
        <v>10.25</v>
      </c>
      <c r="H3595" s="35">
        <v>73.5</v>
      </c>
      <c r="I3595" s="35" t="s">
        <v>62</v>
      </c>
    </row>
    <row r="3596" ht="22.5" customHeight="1">
      <c r="A3596" s="35" t="s">
        <v>7387</v>
      </c>
      <c r="B3596" s="35" t="s">
        <v>7388</v>
      </c>
      <c r="C3596" s="35" t="s">
        <v>7759</v>
      </c>
      <c r="D3596" s="35" t="s">
        <v>158</v>
      </c>
      <c r="E3596" s="35" t="s">
        <v>427</v>
      </c>
      <c r="F3596" s="35">
        <v>107.0</v>
      </c>
      <c r="G3596" s="35">
        <v>6.22</v>
      </c>
      <c r="H3596" s="35">
        <v>17.2</v>
      </c>
      <c r="I3596" s="35" t="s">
        <v>75</v>
      </c>
    </row>
    <row r="3597" ht="22.5" customHeight="1">
      <c r="A3597" s="35" t="s">
        <v>7389</v>
      </c>
      <c r="B3597" s="35" t="s">
        <v>7390</v>
      </c>
      <c r="C3597" s="35" t="s">
        <v>7759</v>
      </c>
      <c r="D3597" s="35" t="s">
        <v>229</v>
      </c>
      <c r="E3597" s="35" t="s">
        <v>400</v>
      </c>
      <c r="F3597" s="35">
        <v>2282.0</v>
      </c>
      <c r="G3597" s="35">
        <v>11.67</v>
      </c>
      <c r="H3597" s="35">
        <v>195.5</v>
      </c>
      <c r="I3597" s="35" t="s">
        <v>142</v>
      </c>
    </row>
    <row r="3598" ht="22.5" customHeight="1">
      <c r="A3598" s="35" t="s">
        <v>7391</v>
      </c>
      <c r="B3598" s="35" t="s">
        <v>7392</v>
      </c>
      <c r="C3598" s="35" t="s">
        <v>7759</v>
      </c>
      <c r="D3598" s="35" t="s">
        <v>225</v>
      </c>
      <c r="E3598" s="35" t="s">
        <v>387</v>
      </c>
      <c r="F3598" s="35">
        <v>127.0</v>
      </c>
      <c r="G3598" s="35">
        <v>7.13</v>
      </c>
      <c r="H3598" s="35">
        <v>17.8</v>
      </c>
      <c r="I3598" s="35" t="s">
        <v>75</v>
      </c>
    </row>
    <row r="3599" ht="22.5" customHeight="1">
      <c r="A3599" s="35" t="s">
        <v>7393</v>
      </c>
      <c r="B3599" s="35" t="s">
        <v>7394</v>
      </c>
      <c r="C3599" s="35" t="s">
        <v>7759</v>
      </c>
      <c r="D3599" s="35" t="s">
        <v>41</v>
      </c>
      <c r="E3599" s="35" t="s">
        <v>35</v>
      </c>
      <c r="F3599" s="35">
        <v>2425.0</v>
      </c>
      <c r="G3599" s="35">
        <v>7.78</v>
      </c>
      <c r="H3599" s="35">
        <v>311.7</v>
      </c>
      <c r="I3599" s="35" t="s">
        <v>142</v>
      </c>
    </row>
    <row r="3600" ht="22.5" customHeight="1">
      <c r="A3600" s="35" t="s">
        <v>7395</v>
      </c>
      <c r="B3600" s="35" t="s">
        <v>7396</v>
      </c>
      <c r="C3600" s="35" t="s">
        <v>7759</v>
      </c>
      <c r="D3600" s="35" t="s">
        <v>225</v>
      </c>
      <c r="E3600" s="35" t="s">
        <v>387</v>
      </c>
      <c r="F3600" s="35">
        <v>563.0</v>
      </c>
      <c r="G3600" s="35">
        <v>17.95</v>
      </c>
      <c r="H3600" s="35">
        <v>31.4</v>
      </c>
      <c r="I3600" s="35" t="s">
        <v>62</v>
      </c>
    </row>
    <row r="3601" ht="22.5" customHeight="1">
      <c r="A3601" s="35" t="s">
        <v>7397</v>
      </c>
      <c r="B3601" s="35" t="s">
        <v>7398</v>
      </c>
      <c r="C3601" s="35" t="s">
        <v>7759</v>
      </c>
      <c r="D3601" s="35" t="s">
        <v>210</v>
      </c>
      <c r="E3601" s="35" t="s">
        <v>537</v>
      </c>
      <c r="F3601" s="35">
        <v>826.0</v>
      </c>
      <c r="G3601" s="35">
        <v>8.62</v>
      </c>
      <c r="H3601" s="35">
        <v>95.8</v>
      </c>
      <c r="I3601" s="35" t="s">
        <v>62</v>
      </c>
    </row>
    <row r="3602" ht="22.5" customHeight="1">
      <c r="A3602" s="35" t="s">
        <v>7399</v>
      </c>
      <c r="B3602" s="35" t="s">
        <v>7400</v>
      </c>
      <c r="C3602" s="35" t="s">
        <v>7759</v>
      </c>
      <c r="D3602" s="35" t="s">
        <v>225</v>
      </c>
      <c r="E3602" s="35" t="s">
        <v>387</v>
      </c>
      <c r="F3602" s="35">
        <v>1438.0</v>
      </c>
      <c r="G3602" s="35">
        <v>10.0</v>
      </c>
      <c r="H3602" s="35">
        <v>143.8</v>
      </c>
      <c r="I3602" s="35" t="s">
        <v>62</v>
      </c>
    </row>
    <row r="3603" ht="22.5" customHeight="1">
      <c r="A3603" s="35" t="s">
        <v>7401</v>
      </c>
      <c r="B3603" s="35" t="s">
        <v>7402</v>
      </c>
      <c r="C3603" s="35" t="s">
        <v>7759</v>
      </c>
      <c r="D3603" s="35" t="s">
        <v>225</v>
      </c>
      <c r="E3603" s="35" t="s">
        <v>387</v>
      </c>
      <c r="F3603" s="35">
        <v>268.0</v>
      </c>
      <c r="G3603" s="35">
        <v>11.32</v>
      </c>
      <c r="H3603" s="35">
        <v>23.7</v>
      </c>
      <c r="I3603" s="35" t="s">
        <v>75</v>
      </c>
    </row>
    <row r="3604" ht="22.5" customHeight="1">
      <c r="A3604" s="35" t="s">
        <v>7403</v>
      </c>
      <c r="B3604" s="35" t="s">
        <v>7404</v>
      </c>
      <c r="C3604" s="35" t="s">
        <v>7759</v>
      </c>
      <c r="D3604" s="35" t="s">
        <v>152</v>
      </c>
      <c r="E3604" s="35" t="s">
        <v>417</v>
      </c>
      <c r="F3604" s="35">
        <v>111.0</v>
      </c>
      <c r="G3604" s="35">
        <v>3.29</v>
      </c>
      <c r="H3604" s="35">
        <v>33.7</v>
      </c>
      <c r="I3604" s="35" t="s">
        <v>75</v>
      </c>
    </row>
    <row r="3605" ht="22.5" customHeight="1">
      <c r="A3605" s="35" t="s">
        <v>7405</v>
      </c>
      <c r="B3605" s="35" t="s">
        <v>7406</v>
      </c>
      <c r="C3605" s="35" t="s">
        <v>7759</v>
      </c>
      <c r="D3605" s="35" t="s">
        <v>41</v>
      </c>
      <c r="E3605" s="35" t="s">
        <v>35</v>
      </c>
      <c r="F3605" s="35">
        <v>1335.0</v>
      </c>
      <c r="G3605" s="35">
        <v>12.54</v>
      </c>
      <c r="H3605" s="35">
        <v>106.5</v>
      </c>
      <c r="I3605" s="35" t="s">
        <v>62</v>
      </c>
    </row>
    <row r="3606" ht="22.5" customHeight="1">
      <c r="A3606" s="35" t="s">
        <v>7407</v>
      </c>
      <c r="B3606" s="35" t="s">
        <v>7408</v>
      </c>
      <c r="C3606" s="35" t="s">
        <v>7759</v>
      </c>
      <c r="D3606" s="35" t="s">
        <v>197</v>
      </c>
      <c r="E3606" s="35" t="s">
        <v>517</v>
      </c>
      <c r="F3606" s="35">
        <v>263.0</v>
      </c>
      <c r="G3606" s="35">
        <v>3.25</v>
      </c>
      <c r="H3606" s="35">
        <v>80.9</v>
      </c>
      <c r="I3606" s="35" t="s">
        <v>75</v>
      </c>
    </row>
    <row r="3607" ht="22.5" customHeight="1">
      <c r="A3607" s="35" t="s">
        <v>7409</v>
      </c>
      <c r="B3607" s="35" t="s">
        <v>7410</v>
      </c>
      <c r="C3607" s="35" t="s">
        <v>7759</v>
      </c>
      <c r="D3607" s="35" t="s">
        <v>207</v>
      </c>
      <c r="E3607" s="35" t="s">
        <v>534</v>
      </c>
      <c r="F3607" s="35">
        <v>304.0</v>
      </c>
      <c r="G3607" s="35">
        <v>8.8</v>
      </c>
      <c r="H3607" s="35">
        <v>34.5</v>
      </c>
      <c r="I3607" s="35" t="s">
        <v>75</v>
      </c>
    </row>
    <row r="3608" ht="22.5" customHeight="1">
      <c r="A3608" s="35" t="s">
        <v>7411</v>
      </c>
      <c r="B3608" s="35" t="s">
        <v>7412</v>
      </c>
      <c r="C3608" s="35" t="s">
        <v>7759</v>
      </c>
      <c r="D3608" s="35" t="s">
        <v>229</v>
      </c>
      <c r="E3608" s="35" t="s">
        <v>400</v>
      </c>
      <c r="F3608" s="35">
        <v>572.0</v>
      </c>
      <c r="G3608" s="35">
        <v>5.23</v>
      </c>
      <c r="H3608" s="35">
        <v>109.4</v>
      </c>
      <c r="I3608" s="35" t="s">
        <v>62</v>
      </c>
    </row>
    <row r="3609" ht="22.5" customHeight="1">
      <c r="A3609" s="35" t="s">
        <v>7413</v>
      </c>
      <c r="B3609" s="35" t="s">
        <v>7414</v>
      </c>
      <c r="C3609" s="35" t="s">
        <v>7759</v>
      </c>
      <c r="D3609" s="35" t="s">
        <v>230</v>
      </c>
      <c r="E3609" s="35" t="s">
        <v>402</v>
      </c>
      <c r="F3609" s="35">
        <v>761.0</v>
      </c>
      <c r="G3609" s="35">
        <v>9.87</v>
      </c>
      <c r="H3609" s="35">
        <v>77.1</v>
      </c>
      <c r="I3609" s="35" t="s">
        <v>62</v>
      </c>
    </row>
    <row r="3610" ht="22.5" customHeight="1">
      <c r="A3610" s="35" t="s">
        <v>7415</v>
      </c>
      <c r="B3610" s="35" t="s">
        <v>7416</v>
      </c>
      <c r="C3610" s="35" t="s">
        <v>7759</v>
      </c>
      <c r="D3610" s="35" t="s">
        <v>197</v>
      </c>
      <c r="E3610" s="35" t="s">
        <v>517</v>
      </c>
      <c r="F3610" s="35">
        <v>572.0</v>
      </c>
      <c r="G3610" s="35">
        <v>14.38</v>
      </c>
      <c r="H3610" s="35">
        <v>39.8</v>
      </c>
      <c r="I3610" s="35" t="s">
        <v>62</v>
      </c>
    </row>
    <row r="3611" ht="22.5" customHeight="1">
      <c r="A3611" s="35" t="s">
        <v>7417</v>
      </c>
      <c r="B3611" s="35" t="s">
        <v>7418</v>
      </c>
      <c r="C3611" s="35" t="s">
        <v>7759</v>
      </c>
      <c r="D3611" s="35" t="s">
        <v>230</v>
      </c>
      <c r="E3611" s="35" t="s">
        <v>402</v>
      </c>
      <c r="F3611" s="35">
        <v>79.0</v>
      </c>
      <c r="G3611" s="35">
        <v>3.06</v>
      </c>
      <c r="H3611" s="35">
        <v>25.8</v>
      </c>
      <c r="I3611" s="35" t="s">
        <v>75</v>
      </c>
    </row>
    <row r="3612" ht="22.5" customHeight="1">
      <c r="A3612" s="35" t="s">
        <v>7419</v>
      </c>
      <c r="B3612" s="35" t="s">
        <v>7420</v>
      </c>
      <c r="C3612" s="35" t="s">
        <v>7759</v>
      </c>
      <c r="D3612" s="35" t="s">
        <v>230</v>
      </c>
      <c r="E3612" s="35" t="s">
        <v>402</v>
      </c>
      <c r="F3612" s="35">
        <v>278.0</v>
      </c>
      <c r="G3612" s="35">
        <v>3.77</v>
      </c>
      <c r="H3612" s="35">
        <v>73.7</v>
      </c>
      <c r="I3612" s="35" t="s">
        <v>75</v>
      </c>
    </row>
    <row r="3613" ht="22.5" customHeight="1">
      <c r="A3613" s="35" t="s">
        <v>7421</v>
      </c>
      <c r="B3613" s="35" t="s">
        <v>7422</v>
      </c>
      <c r="C3613" s="35" t="s">
        <v>7759</v>
      </c>
      <c r="D3613" s="35" t="s">
        <v>197</v>
      </c>
      <c r="E3613" s="35" t="s">
        <v>517</v>
      </c>
      <c r="F3613" s="35">
        <v>125.0</v>
      </c>
      <c r="G3613" s="35">
        <v>5.06</v>
      </c>
      <c r="H3613" s="35">
        <v>24.7</v>
      </c>
      <c r="I3613" s="35" t="s">
        <v>75</v>
      </c>
    </row>
    <row r="3614" ht="22.5" customHeight="1">
      <c r="A3614" s="35" t="s">
        <v>7423</v>
      </c>
      <c r="B3614" s="35" t="s">
        <v>7424</v>
      </c>
      <c r="C3614" s="35" t="s">
        <v>7759</v>
      </c>
      <c r="D3614" s="35" t="s">
        <v>225</v>
      </c>
      <c r="E3614" s="35" t="s">
        <v>387</v>
      </c>
      <c r="F3614" s="35">
        <v>1280.0</v>
      </c>
      <c r="G3614" s="35">
        <v>37.53</v>
      </c>
      <c r="H3614" s="35">
        <v>34.1</v>
      </c>
      <c r="I3614" s="35" t="s">
        <v>62</v>
      </c>
    </row>
    <row r="3615" ht="22.5" customHeight="1">
      <c r="A3615" s="35" t="s">
        <v>7425</v>
      </c>
      <c r="B3615" s="35" t="s">
        <v>7426</v>
      </c>
      <c r="C3615" s="35" t="s">
        <v>7759</v>
      </c>
      <c r="D3615" s="35" t="s">
        <v>41</v>
      </c>
      <c r="E3615" s="35" t="s">
        <v>35</v>
      </c>
      <c r="F3615" s="35">
        <v>626.0</v>
      </c>
      <c r="G3615" s="35">
        <v>10.11</v>
      </c>
      <c r="H3615" s="35">
        <v>61.9</v>
      </c>
      <c r="I3615" s="35" t="s">
        <v>62</v>
      </c>
    </row>
    <row r="3616" ht="22.5" customHeight="1">
      <c r="A3616" s="35" t="s">
        <v>7427</v>
      </c>
      <c r="B3616" s="35" t="s">
        <v>7428</v>
      </c>
      <c r="C3616" s="35" t="s">
        <v>7759</v>
      </c>
      <c r="D3616" s="35" t="s">
        <v>229</v>
      </c>
      <c r="E3616" s="35" t="s">
        <v>400</v>
      </c>
      <c r="F3616" s="35">
        <v>233.0</v>
      </c>
      <c r="G3616" s="35">
        <v>1.43</v>
      </c>
      <c r="H3616" s="35">
        <v>162.9</v>
      </c>
      <c r="I3616" s="35" t="s">
        <v>75</v>
      </c>
    </row>
    <row r="3617" ht="22.5" customHeight="1">
      <c r="A3617" s="35" t="s">
        <v>7429</v>
      </c>
      <c r="B3617" s="35" t="s">
        <v>7430</v>
      </c>
      <c r="C3617" s="35" t="s">
        <v>7759</v>
      </c>
      <c r="D3617" s="35" t="s">
        <v>148</v>
      </c>
      <c r="E3617" s="35" t="s">
        <v>360</v>
      </c>
      <c r="F3617" s="35">
        <v>764.0</v>
      </c>
      <c r="G3617" s="35">
        <v>11.58</v>
      </c>
      <c r="H3617" s="35">
        <v>66.0</v>
      </c>
      <c r="I3617" s="35" t="s">
        <v>62</v>
      </c>
    </row>
    <row r="3618" ht="22.5" customHeight="1">
      <c r="A3618" s="35" t="s">
        <v>7431</v>
      </c>
      <c r="B3618" s="35" t="s">
        <v>7432</v>
      </c>
      <c r="C3618" s="35" t="s">
        <v>7759</v>
      </c>
      <c r="D3618" s="35" t="s">
        <v>212</v>
      </c>
      <c r="E3618" s="35" t="s">
        <v>549</v>
      </c>
      <c r="F3618" s="35">
        <v>514.0</v>
      </c>
      <c r="G3618" s="35">
        <v>7.04</v>
      </c>
      <c r="H3618" s="35">
        <v>73.0</v>
      </c>
      <c r="I3618" s="35" t="s">
        <v>62</v>
      </c>
    </row>
    <row r="3619" ht="22.5" customHeight="1">
      <c r="A3619" s="35" t="s">
        <v>7433</v>
      </c>
      <c r="B3619" s="35" t="s">
        <v>7434</v>
      </c>
      <c r="C3619" s="35" t="s">
        <v>7759</v>
      </c>
      <c r="D3619" s="35" t="s">
        <v>229</v>
      </c>
      <c r="E3619" s="35" t="s">
        <v>400</v>
      </c>
      <c r="F3619" s="35">
        <v>427.0</v>
      </c>
      <c r="G3619" s="35">
        <v>16.22</v>
      </c>
      <c r="H3619" s="35">
        <v>26.3</v>
      </c>
      <c r="I3619" s="35" t="s">
        <v>75</v>
      </c>
    </row>
    <row r="3620" ht="22.5" customHeight="1">
      <c r="A3620" s="35" t="s">
        <v>7435</v>
      </c>
      <c r="B3620" s="35" t="s">
        <v>7436</v>
      </c>
      <c r="C3620" s="35" t="s">
        <v>7759</v>
      </c>
      <c r="D3620" s="35" t="s">
        <v>229</v>
      </c>
      <c r="E3620" s="35" t="s">
        <v>400</v>
      </c>
      <c r="F3620" s="35">
        <v>1102.0</v>
      </c>
      <c r="G3620" s="35">
        <v>8.85</v>
      </c>
      <c r="H3620" s="35">
        <v>124.5</v>
      </c>
      <c r="I3620" s="35" t="s">
        <v>62</v>
      </c>
    </row>
    <row r="3621" ht="22.5" customHeight="1">
      <c r="A3621" s="35" t="s">
        <v>7437</v>
      </c>
      <c r="B3621" s="35" t="s">
        <v>7438</v>
      </c>
      <c r="C3621" s="35" t="s">
        <v>7759</v>
      </c>
      <c r="D3621" s="35" t="s">
        <v>148</v>
      </c>
      <c r="E3621" s="35" t="s">
        <v>360</v>
      </c>
      <c r="F3621" s="35">
        <v>311.0</v>
      </c>
      <c r="G3621" s="35">
        <v>6.83</v>
      </c>
      <c r="H3621" s="35">
        <v>45.5</v>
      </c>
      <c r="I3621" s="35" t="s">
        <v>75</v>
      </c>
    </row>
    <row r="3622" ht="22.5" customHeight="1">
      <c r="A3622" s="35" t="s">
        <v>7439</v>
      </c>
      <c r="B3622" s="35" t="s">
        <v>7440</v>
      </c>
      <c r="C3622" s="35" t="s">
        <v>7759</v>
      </c>
      <c r="D3622" s="35" t="s">
        <v>152</v>
      </c>
      <c r="E3622" s="35" t="s">
        <v>417</v>
      </c>
      <c r="F3622" s="35">
        <v>139.0</v>
      </c>
      <c r="G3622" s="35">
        <v>6.88</v>
      </c>
      <c r="H3622" s="35">
        <v>20.2</v>
      </c>
      <c r="I3622" s="35" t="s">
        <v>75</v>
      </c>
    </row>
    <row r="3623" ht="22.5" customHeight="1">
      <c r="A3623" s="35" t="s">
        <v>7441</v>
      </c>
      <c r="B3623" s="35" t="s">
        <v>7442</v>
      </c>
      <c r="C3623" s="35" t="s">
        <v>7759</v>
      </c>
      <c r="D3623" s="35" t="s">
        <v>197</v>
      </c>
      <c r="E3623" s="35" t="s">
        <v>517</v>
      </c>
      <c r="F3623" s="35">
        <v>269.0</v>
      </c>
      <c r="G3623" s="35">
        <v>6.89</v>
      </c>
      <c r="H3623" s="35">
        <v>39.0</v>
      </c>
      <c r="I3623" s="35" t="s">
        <v>75</v>
      </c>
    </row>
    <row r="3624" ht="22.5" customHeight="1">
      <c r="A3624" s="35" t="s">
        <v>7443</v>
      </c>
      <c r="B3624" s="35" t="s">
        <v>7444</v>
      </c>
      <c r="C3624" s="35" t="s">
        <v>7759</v>
      </c>
      <c r="D3624" s="35" t="s">
        <v>207</v>
      </c>
      <c r="E3624" s="35" t="s">
        <v>534</v>
      </c>
      <c r="F3624" s="35">
        <v>1123.0</v>
      </c>
      <c r="G3624" s="35">
        <v>7.15</v>
      </c>
      <c r="H3624" s="35">
        <v>157.1</v>
      </c>
      <c r="I3624" s="35" t="s">
        <v>62</v>
      </c>
    </row>
    <row r="3625" ht="22.5" customHeight="1">
      <c r="A3625" s="35" t="s">
        <v>7445</v>
      </c>
      <c r="B3625" s="35" t="s">
        <v>7446</v>
      </c>
      <c r="C3625" s="35" t="s">
        <v>7759</v>
      </c>
      <c r="D3625" s="35" t="s">
        <v>216</v>
      </c>
      <c r="E3625" s="35" t="s">
        <v>371</v>
      </c>
      <c r="F3625" s="35">
        <v>262.0</v>
      </c>
      <c r="G3625" s="35">
        <v>4.61</v>
      </c>
      <c r="H3625" s="35">
        <v>56.8</v>
      </c>
      <c r="I3625" s="35" t="s">
        <v>75</v>
      </c>
    </row>
    <row r="3626" ht="22.5" customHeight="1">
      <c r="A3626" s="35" t="s">
        <v>7447</v>
      </c>
      <c r="B3626" s="35" t="s">
        <v>7448</v>
      </c>
      <c r="C3626" s="35" t="s">
        <v>7759</v>
      </c>
      <c r="D3626" s="35" t="s">
        <v>229</v>
      </c>
      <c r="E3626" s="35" t="s">
        <v>400</v>
      </c>
      <c r="F3626" s="35">
        <v>379.0</v>
      </c>
      <c r="G3626" s="35">
        <v>9.92</v>
      </c>
      <c r="H3626" s="35">
        <v>38.2</v>
      </c>
      <c r="I3626" s="35" t="s">
        <v>75</v>
      </c>
    </row>
    <row r="3627" ht="22.5" customHeight="1">
      <c r="A3627" s="35" t="s">
        <v>7449</v>
      </c>
      <c r="B3627" s="35" t="s">
        <v>7450</v>
      </c>
      <c r="C3627" s="35" t="s">
        <v>7759</v>
      </c>
      <c r="D3627" s="35" t="s">
        <v>158</v>
      </c>
      <c r="E3627" s="35" t="s">
        <v>427</v>
      </c>
      <c r="F3627" s="35">
        <v>188.0</v>
      </c>
      <c r="G3627" s="35">
        <v>2.91</v>
      </c>
      <c r="H3627" s="35">
        <v>64.6</v>
      </c>
      <c r="I3627" s="35" t="s">
        <v>75</v>
      </c>
    </row>
    <row r="3628" ht="22.5" customHeight="1">
      <c r="A3628" s="35" t="s">
        <v>7451</v>
      </c>
      <c r="B3628" s="35" t="s">
        <v>7452</v>
      </c>
      <c r="C3628" s="35" t="s">
        <v>7759</v>
      </c>
      <c r="D3628" s="35" t="s">
        <v>225</v>
      </c>
      <c r="E3628" s="35" t="s">
        <v>387</v>
      </c>
      <c r="F3628" s="35">
        <v>139.0</v>
      </c>
      <c r="G3628" s="35">
        <v>9.61</v>
      </c>
      <c r="H3628" s="35">
        <v>14.5</v>
      </c>
      <c r="I3628" s="35" t="s">
        <v>75</v>
      </c>
    </row>
    <row r="3629" ht="22.5" customHeight="1">
      <c r="A3629" s="35" t="s">
        <v>7453</v>
      </c>
      <c r="B3629" s="35" t="s">
        <v>7454</v>
      </c>
      <c r="C3629" s="35" t="s">
        <v>7759</v>
      </c>
      <c r="D3629" s="35" t="s">
        <v>207</v>
      </c>
      <c r="E3629" s="35" t="s">
        <v>534</v>
      </c>
      <c r="F3629" s="35">
        <v>28.0</v>
      </c>
      <c r="G3629" s="35">
        <v>2.93</v>
      </c>
      <c r="H3629" s="35">
        <v>9.6</v>
      </c>
      <c r="I3629" s="35" t="s">
        <v>75</v>
      </c>
    </row>
    <row r="3630" ht="22.5" customHeight="1">
      <c r="A3630" s="35" t="s">
        <v>7455</v>
      </c>
      <c r="B3630" s="35" t="s">
        <v>7456</v>
      </c>
      <c r="C3630" s="35" t="s">
        <v>7759</v>
      </c>
      <c r="D3630" s="35" t="s">
        <v>185</v>
      </c>
      <c r="E3630" s="35" t="s">
        <v>485</v>
      </c>
      <c r="F3630" s="35">
        <v>137.0</v>
      </c>
      <c r="G3630" s="35">
        <v>4.17</v>
      </c>
      <c r="H3630" s="35">
        <v>32.9</v>
      </c>
      <c r="I3630" s="35" t="s">
        <v>75</v>
      </c>
    </row>
    <row r="3631" ht="22.5" customHeight="1">
      <c r="A3631" s="35" t="s">
        <v>7457</v>
      </c>
      <c r="B3631" s="35" t="s">
        <v>7458</v>
      </c>
      <c r="C3631" s="35" t="s">
        <v>7759</v>
      </c>
      <c r="D3631" s="35" t="s">
        <v>41</v>
      </c>
      <c r="E3631" s="35" t="s">
        <v>35</v>
      </c>
      <c r="F3631" s="35">
        <v>164.0</v>
      </c>
      <c r="G3631" s="35">
        <v>4.84</v>
      </c>
      <c r="H3631" s="35">
        <v>33.9</v>
      </c>
      <c r="I3631" s="35" t="s">
        <v>75</v>
      </c>
    </row>
    <row r="3632" ht="22.5" customHeight="1">
      <c r="A3632" s="35" t="s">
        <v>7459</v>
      </c>
      <c r="B3632" s="35" t="s">
        <v>7460</v>
      </c>
      <c r="C3632" s="35" t="s">
        <v>7759</v>
      </c>
      <c r="D3632" s="35" t="s">
        <v>152</v>
      </c>
      <c r="E3632" s="35" t="s">
        <v>417</v>
      </c>
      <c r="F3632" s="35">
        <v>346.0</v>
      </c>
      <c r="G3632" s="35">
        <v>7.14</v>
      </c>
      <c r="H3632" s="35">
        <v>48.5</v>
      </c>
      <c r="I3632" s="35" t="s">
        <v>75</v>
      </c>
    </row>
    <row r="3633" ht="22.5" customHeight="1">
      <c r="A3633" s="35" t="s">
        <v>7461</v>
      </c>
      <c r="B3633" s="35" t="s">
        <v>7462</v>
      </c>
      <c r="C3633" s="35" t="s">
        <v>7759</v>
      </c>
      <c r="D3633" s="35" t="s">
        <v>41</v>
      </c>
      <c r="E3633" s="35" t="s">
        <v>35</v>
      </c>
      <c r="F3633" s="35">
        <v>530.0</v>
      </c>
      <c r="G3633" s="35">
        <v>14.57</v>
      </c>
      <c r="H3633" s="35">
        <v>36.4</v>
      </c>
      <c r="I3633" s="35" t="s">
        <v>62</v>
      </c>
    </row>
    <row r="3634" ht="22.5" customHeight="1">
      <c r="A3634" s="35" t="s">
        <v>7464</v>
      </c>
      <c r="B3634" s="35" t="s">
        <v>7465</v>
      </c>
      <c r="C3634" s="35" t="s">
        <v>7759</v>
      </c>
      <c r="D3634" s="35" t="s">
        <v>218</v>
      </c>
      <c r="E3634" s="35" t="s">
        <v>374</v>
      </c>
      <c r="F3634" s="35">
        <v>223.0</v>
      </c>
      <c r="G3634" s="35">
        <v>5.44</v>
      </c>
      <c r="H3634" s="35">
        <v>41.0</v>
      </c>
      <c r="I3634" s="35" t="s">
        <v>75</v>
      </c>
    </row>
    <row r="3635" ht="22.5" customHeight="1">
      <c r="A3635" s="35" t="s">
        <v>7466</v>
      </c>
      <c r="B3635" s="35" t="s">
        <v>7467</v>
      </c>
      <c r="C3635" s="35" t="s">
        <v>7759</v>
      </c>
      <c r="D3635" s="35" t="s">
        <v>210</v>
      </c>
      <c r="E3635" s="35" t="s">
        <v>537</v>
      </c>
      <c r="F3635" s="35">
        <v>609.0</v>
      </c>
      <c r="G3635" s="35">
        <v>9.3</v>
      </c>
      <c r="H3635" s="35">
        <v>65.5</v>
      </c>
      <c r="I3635" s="35" t="s">
        <v>62</v>
      </c>
    </row>
    <row r="3636" ht="22.5" customHeight="1">
      <c r="A3636" s="35" t="s">
        <v>7468</v>
      </c>
      <c r="B3636" s="35" t="s">
        <v>7469</v>
      </c>
      <c r="C3636" s="35" t="s">
        <v>7759</v>
      </c>
      <c r="D3636" s="35" t="s">
        <v>229</v>
      </c>
      <c r="E3636" s="35" t="s">
        <v>400</v>
      </c>
      <c r="F3636" s="35">
        <v>181.0</v>
      </c>
      <c r="G3636" s="35">
        <v>10.22</v>
      </c>
      <c r="H3636" s="35">
        <v>17.7</v>
      </c>
      <c r="I3636" s="35" t="s">
        <v>75</v>
      </c>
    </row>
    <row r="3637" ht="22.5" customHeight="1">
      <c r="A3637" s="35" t="s">
        <v>7470</v>
      </c>
      <c r="B3637" s="35" t="s">
        <v>7471</v>
      </c>
      <c r="C3637" s="35" t="s">
        <v>7759</v>
      </c>
      <c r="D3637" s="35" t="s">
        <v>41</v>
      </c>
      <c r="E3637" s="35" t="s">
        <v>35</v>
      </c>
      <c r="F3637" s="35">
        <v>3636.0</v>
      </c>
      <c r="G3637" s="35">
        <v>6.46</v>
      </c>
      <c r="H3637" s="35">
        <v>562.8</v>
      </c>
      <c r="I3637" s="35" t="s">
        <v>142</v>
      </c>
    </row>
    <row r="3638" ht="22.5" customHeight="1">
      <c r="A3638" s="35" t="s">
        <v>7472</v>
      </c>
      <c r="B3638" s="35" t="s">
        <v>7473</v>
      </c>
      <c r="C3638" s="35" t="s">
        <v>7759</v>
      </c>
      <c r="D3638" s="35" t="s">
        <v>148</v>
      </c>
      <c r="E3638" s="35" t="s">
        <v>360</v>
      </c>
      <c r="F3638" s="35">
        <v>149.0</v>
      </c>
      <c r="G3638" s="35">
        <v>6.75</v>
      </c>
      <c r="H3638" s="35">
        <v>22.1</v>
      </c>
      <c r="I3638" s="35" t="s">
        <v>75</v>
      </c>
    </row>
    <row r="3639" ht="22.5" customHeight="1">
      <c r="A3639" s="35" t="s">
        <v>7474</v>
      </c>
      <c r="B3639" s="35" t="s">
        <v>7475</v>
      </c>
      <c r="C3639" s="35" t="s">
        <v>7759</v>
      </c>
      <c r="D3639" s="35" t="s">
        <v>185</v>
      </c>
      <c r="E3639" s="35" t="s">
        <v>485</v>
      </c>
      <c r="F3639" s="35">
        <v>152.0</v>
      </c>
      <c r="G3639" s="35">
        <v>5.74</v>
      </c>
      <c r="H3639" s="35">
        <v>26.5</v>
      </c>
      <c r="I3639" s="35" t="s">
        <v>75</v>
      </c>
    </row>
    <row r="3640" ht="22.5" customHeight="1">
      <c r="A3640" s="35" t="s">
        <v>7476</v>
      </c>
      <c r="B3640" s="35" t="s">
        <v>7477</v>
      </c>
      <c r="C3640" s="35" t="s">
        <v>7759</v>
      </c>
      <c r="D3640" s="35" t="s">
        <v>158</v>
      </c>
      <c r="E3640" s="35" t="s">
        <v>427</v>
      </c>
      <c r="F3640" s="35">
        <v>1626.0</v>
      </c>
      <c r="G3640" s="35">
        <v>10.14</v>
      </c>
      <c r="H3640" s="35">
        <v>160.4</v>
      </c>
      <c r="I3640" s="35" t="s">
        <v>62</v>
      </c>
    </row>
    <row r="3641" ht="22.5" customHeight="1">
      <c r="A3641" s="35" t="s">
        <v>7478</v>
      </c>
      <c r="B3641" s="35" t="s">
        <v>7479</v>
      </c>
      <c r="C3641" s="35" t="s">
        <v>7759</v>
      </c>
      <c r="D3641" s="35" t="s">
        <v>185</v>
      </c>
      <c r="E3641" s="35" t="s">
        <v>485</v>
      </c>
      <c r="F3641" s="35">
        <v>755.0</v>
      </c>
      <c r="G3641" s="35">
        <v>12.08</v>
      </c>
      <c r="H3641" s="35">
        <v>62.5</v>
      </c>
      <c r="I3641" s="35" t="s">
        <v>62</v>
      </c>
    </row>
    <row r="3642" ht="22.5" customHeight="1">
      <c r="A3642" s="35" t="s">
        <v>7480</v>
      </c>
      <c r="B3642" s="35" t="s">
        <v>7481</v>
      </c>
      <c r="C3642" s="35" t="s">
        <v>7759</v>
      </c>
      <c r="D3642" s="35" t="s">
        <v>158</v>
      </c>
      <c r="E3642" s="35" t="s">
        <v>427</v>
      </c>
      <c r="F3642" s="35">
        <v>577.0</v>
      </c>
      <c r="G3642" s="35">
        <v>7.51</v>
      </c>
      <c r="H3642" s="35">
        <v>76.8</v>
      </c>
      <c r="I3642" s="35" t="s">
        <v>62</v>
      </c>
    </row>
    <row r="3643" ht="22.5" customHeight="1">
      <c r="A3643" s="35" t="s">
        <v>7482</v>
      </c>
      <c r="B3643" s="35" t="s">
        <v>7483</v>
      </c>
      <c r="C3643" s="35" t="s">
        <v>7759</v>
      </c>
      <c r="D3643" s="35" t="s">
        <v>230</v>
      </c>
      <c r="E3643" s="35" t="s">
        <v>402</v>
      </c>
      <c r="F3643" s="35">
        <v>2894.0</v>
      </c>
      <c r="G3643" s="35">
        <v>13.44</v>
      </c>
      <c r="H3643" s="35">
        <v>215.3</v>
      </c>
      <c r="I3643" s="35" t="s">
        <v>142</v>
      </c>
    </row>
    <row r="3644" ht="22.5" customHeight="1">
      <c r="A3644" s="35" t="s">
        <v>7484</v>
      </c>
      <c r="B3644" s="35" t="s">
        <v>7485</v>
      </c>
      <c r="C3644" s="35" t="s">
        <v>7759</v>
      </c>
      <c r="D3644" s="35" t="s">
        <v>148</v>
      </c>
      <c r="E3644" s="35" t="s">
        <v>360</v>
      </c>
      <c r="F3644" s="35">
        <v>304.0</v>
      </c>
      <c r="G3644" s="35">
        <v>7.16</v>
      </c>
      <c r="H3644" s="35">
        <v>42.5</v>
      </c>
      <c r="I3644" s="35" t="s">
        <v>75</v>
      </c>
    </row>
    <row r="3645" ht="22.5" customHeight="1">
      <c r="A3645" s="35" t="s">
        <v>7486</v>
      </c>
      <c r="B3645" s="35" t="s">
        <v>7487</v>
      </c>
      <c r="C3645" s="35" t="s">
        <v>7759</v>
      </c>
      <c r="D3645" s="35" t="s">
        <v>230</v>
      </c>
      <c r="E3645" s="35" t="s">
        <v>402</v>
      </c>
      <c r="F3645" s="35">
        <v>209.0</v>
      </c>
      <c r="G3645" s="35">
        <v>7.43</v>
      </c>
      <c r="H3645" s="35">
        <v>28.1</v>
      </c>
      <c r="I3645" s="35" t="s">
        <v>75</v>
      </c>
    </row>
    <row r="3646" ht="22.5" customHeight="1">
      <c r="A3646" s="35" t="s">
        <v>7488</v>
      </c>
      <c r="B3646" s="35" t="s">
        <v>7489</v>
      </c>
      <c r="C3646" s="35" t="s">
        <v>7759</v>
      </c>
      <c r="D3646" s="35" t="s">
        <v>152</v>
      </c>
      <c r="E3646" s="35" t="s">
        <v>417</v>
      </c>
      <c r="F3646" s="35">
        <v>100.0</v>
      </c>
      <c r="G3646" s="35">
        <v>3.85</v>
      </c>
      <c r="H3646" s="35">
        <v>26.0</v>
      </c>
      <c r="I3646" s="35" t="s">
        <v>75</v>
      </c>
    </row>
    <row r="3647" ht="22.5" customHeight="1">
      <c r="A3647" s="35" t="s">
        <v>7490</v>
      </c>
      <c r="B3647" s="35" t="s">
        <v>7491</v>
      </c>
      <c r="C3647" s="35" t="s">
        <v>7759</v>
      </c>
      <c r="D3647" s="35" t="s">
        <v>152</v>
      </c>
      <c r="E3647" s="35" t="s">
        <v>417</v>
      </c>
      <c r="F3647" s="35">
        <v>101.0</v>
      </c>
      <c r="G3647" s="35">
        <v>3.29</v>
      </c>
      <c r="H3647" s="35">
        <v>30.7</v>
      </c>
      <c r="I3647" s="35" t="s">
        <v>75</v>
      </c>
    </row>
    <row r="3648" ht="22.5" customHeight="1">
      <c r="A3648" s="35" t="s">
        <v>7492</v>
      </c>
      <c r="B3648" s="35" t="s">
        <v>7493</v>
      </c>
      <c r="C3648" s="35" t="s">
        <v>7759</v>
      </c>
      <c r="D3648" s="35" t="s">
        <v>185</v>
      </c>
      <c r="E3648" s="35" t="s">
        <v>485</v>
      </c>
      <c r="F3648" s="35">
        <v>5833.0</v>
      </c>
      <c r="G3648" s="35">
        <v>15.53</v>
      </c>
      <c r="H3648" s="35">
        <v>375.6</v>
      </c>
      <c r="I3648" s="35" t="s">
        <v>142</v>
      </c>
    </row>
    <row r="3649" ht="22.5" customHeight="1">
      <c r="A3649" s="35" t="s">
        <v>7494</v>
      </c>
      <c r="B3649" s="35" t="s">
        <v>7495</v>
      </c>
      <c r="C3649" s="35" t="s">
        <v>7759</v>
      </c>
      <c r="D3649" s="35" t="s">
        <v>207</v>
      </c>
      <c r="E3649" s="35" t="s">
        <v>534</v>
      </c>
      <c r="F3649" s="35">
        <v>720.0</v>
      </c>
      <c r="G3649" s="35">
        <v>10.18</v>
      </c>
      <c r="H3649" s="35">
        <v>70.7</v>
      </c>
      <c r="I3649" s="35" t="s">
        <v>62</v>
      </c>
    </row>
    <row r="3650" ht="22.5" customHeight="1">
      <c r="A3650" s="35" t="s">
        <v>7496</v>
      </c>
      <c r="B3650" s="35" t="s">
        <v>7497</v>
      </c>
      <c r="C3650" s="35" t="s">
        <v>7759</v>
      </c>
      <c r="D3650" s="35" t="s">
        <v>185</v>
      </c>
      <c r="E3650" s="35" t="s">
        <v>485</v>
      </c>
      <c r="F3650" s="35">
        <v>129.0</v>
      </c>
      <c r="G3650" s="35">
        <v>3.98</v>
      </c>
      <c r="H3650" s="35">
        <v>32.4</v>
      </c>
      <c r="I3650" s="35" t="s">
        <v>75</v>
      </c>
    </row>
    <row r="3651" ht="22.5" customHeight="1">
      <c r="A3651" s="35" t="s">
        <v>7498</v>
      </c>
      <c r="B3651" s="35" t="s">
        <v>7499</v>
      </c>
      <c r="C3651" s="35" t="s">
        <v>7759</v>
      </c>
      <c r="D3651" s="35" t="s">
        <v>225</v>
      </c>
      <c r="E3651" s="35" t="s">
        <v>387</v>
      </c>
      <c r="F3651" s="35">
        <v>2987.0</v>
      </c>
      <c r="G3651" s="35">
        <v>29.26</v>
      </c>
      <c r="H3651" s="35">
        <v>102.1</v>
      </c>
      <c r="I3651" s="35" t="s">
        <v>142</v>
      </c>
    </row>
    <row r="3652" ht="22.5" customHeight="1">
      <c r="A3652" s="35" t="s">
        <v>7500</v>
      </c>
      <c r="B3652" s="35" t="s">
        <v>7501</v>
      </c>
      <c r="C3652" s="35" t="s">
        <v>7759</v>
      </c>
      <c r="D3652" s="35" t="s">
        <v>41</v>
      </c>
      <c r="E3652" s="35" t="s">
        <v>35</v>
      </c>
      <c r="F3652" s="35">
        <v>613.0</v>
      </c>
      <c r="G3652" s="35">
        <v>8.13</v>
      </c>
      <c r="H3652" s="35">
        <v>75.4</v>
      </c>
      <c r="I3652" s="35" t="s">
        <v>62</v>
      </c>
    </row>
    <row r="3653" ht="22.5" customHeight="1">
      <c r="A3653" s="35" t="s">
        <v>7502</v>
      </c>
      <c r="B3653" s="35" t="s">
        <v>7503</v>
      </c>
      <c r="C3653" s="35" t="s">
        <v>7759</v>
      </c>
      <c r="D3653" s="35" t="s">
        <v>121</v>
      </c>
      <c r="E3653" s="35" t="s">
        <v>325</v>
      </c>
      <c r="F3653" s="35">
        <v>344.0</v>
      </c>
      <c r="G3653" s="35">
        <v>12.69</v>
      </c>
      <c r="H3653" s="35">
        <v>27.1</v>
      </c>
      <c r="I3653" s="35" t="s">
        <v>75</v>
      </c>
    </row>
    <row r="3654" ht="22.5" customHeight="1">
      <c r="A3654" s="35" t="s">
        <v>7504</v>
      </c>
      <c r="B3654" s="35" t="s">
        <v>7505</v>
      </c>
      <c r="C3654" s="35" t="s">
        <v>7759</v>
      </c>
      <c r="D3654" s="35" t="s">
        <v>225</v>
      </c>
      <c r="E3654" s="35" t="s">
        <v>387</v>
      </c>
      <c r="F3654" s="35">
        <v>991.0</v>
      </c>
      <c r="G3654" s="35">
        <v>10.63</v>
      </c>
      <c r="H3654" s="35">
        <v>93.2</v>
      </c>
      <c r="I3654" s="35" t="s">
        <v>62</v>
      </c>
    </row>
    <row r="3655" ht="22.5" customHeight="1">
      <c r="A3655" s="35" t="s">
        <v>7506</v>
      </c>
      <c r="B3655" s="35" t="s">
        <v>7507</v>
      </c>
      <c r="C3655" s="35" t="s">
        <v>7759</v>
      </c>
      <c r="D3655" s="35" t="s">
        <v>210</v>
      </c>
      <c r="E3655" s="35" t="s">
        <v>537</v>
      </c>
      <c r="F3655" s="35">
        <v>333.0</v>
      </c>
      <c r="G3655" s="35">
        <v>6.5</v>
      </c>
      <c r="H3655" s="35">
        <v>51.2</v>
      </c>
      <c r="I3655" s="35" t="s">
        <v>75</v>
      </c>
    </row>
    <row r="3656" ht="22.5" customHeight="1">
      <c r="A3656" s="35" t="s">
        <v>7508</v>
      </c>
      <c r="B3656" s="35" t="s">
        <v>7509</v>
      </c>
      <c r="C3656" s="35" t="s">
        <v>7759</v>
      </c>
      <c r="D3656" s="35" t="s">
        <v>210</v>
      </c>
      <c r="E3656" s="35" t="s">
        <v>537</v>
      </c>
      <c r="F3656" s="35">
        <v>351.0</v>
      </c>
      <c r="G3656" s="35">
        <v>6.73</v>
      </c>
      <c r="H3656" s="35">
        <v>52.2</v>
      </c>
      <c r="I3656" s="35" t="s">
        <v>75</v>
      </c>
    </row>
    <row r="3657" ht="22.5" customHeight="1">
      <c r="A3657" s="35" t="s">
        <v>7510</v>
      </c>
      <c r="B3657" s="35" t="s">
        <v>7511</v>
      </c>
      <c r="C3657" s="35" t="s">
        <v>7759</v>
      </c>
      <c r="D3657" s="35" t="s">
        <v>158</v>
      </c>
      <c r="E3657" s="35" t="s">
        <v>427</v>
      </c>
      <c r="F3657" s="35">
        <v>469.0</v>
      </c>
      <c r="G3657" s="35">
        <v>9.4</v>
      </c>
      <c r="H3657" s="35">
        <v>49.9</v>
      </c>
      <c r="I3657" s="35" t="s">
        <v>75</v>
      </c>
    </row>
    <row r="3658" ht="22.5" customHeight="1">
      <c r="A3658" s="35" t="s">
        <v>7512</v>
      </c>
      <c r="B3658" s="35" t="s">
        <v>7513</v>
      </c>
      <c r="C3658" s="35" t="s">
        <v>7759</v>
      </c>
      <c r="D3658" s="35" t="s">
        <v>41</v>
      </c>
      <c r="E3658" s="35" t="s">
        <v>35</v>
      </c>
      <c r="F3658" s="35">
        <v>1187.0</v>
      </c>
      <c r="G3658" s="35">
        <v>9.94</v>
      </c>
      <c r="H3658" s="35">
        <v>119.4</v>
      </c>
      <c r="I3658" s="35" t="s">
        <v>62</v>
      </c>
    </row>
    <row r="3659" ht="22.5" customHeight="1">
      <c r="A3659" s="35" t="s">
        <v>7514</v>
      </c>
      <c r="B3659" s="35" t="s">
        <v>7515</v>
      </c>
      <c r="C3659" s="35" t="s">
        <v>7759</v>
      </c>
      <c r="D3659" s="35" t="s">
        <v>207</v>
      </c>
      <c r="E3659" s="35" t="s">
        <v>534</v>
      </c>
      <c r="F3659" s="35">
        <v>36.0</v>
      </c>
      <c r="G3659" s="35">
        <v>3.04</v>
      </c>
      <c r="H3659" s="35">
        <v>11.8</v>
      </c>
      <c r="I3659" s="35" t="s">
        <v>75</v>
      </c>
    </row>
    <row r="3660" ht="22.5" customHeight="1">
      <c r="A3660" s="35" t="s">
        <v>7516</v>
      </c>
      <c r="B3660" s="35" t="s">
        <v>7517</v>
      </c>
      <c r="C3660" s="35" t="s">
        <v>7759</v>
      </c>
      <c r="D3660" s="35" t="s">
        <v>229</v>
      </c>
      <c r="E3660" s="35" t="s">
        <v>400</v>
      </c>
      <c r="F3660" s="35">
        <v>218.0</v>
      </c>
      <c r="G3660" s="35">
        <v>10.41</v>
      </c>
      <c r="H3660" s="35">
        <v>20.9</v>
      </c>
      <c r="I3660" s="35" t="s">
        <v>75</v>
      </c>
    </row>
    <row r="3661" ht="22.5" customHeight="1">
      <c r="A3661" s="35" t="s">
        <v>7518</v>
      </c>
      <c r="B3661" s="35" t="s">
        <v>7519</v>
      </c>
      <c r="C3661" s="35" t="s">
        <v>7759</v>
      </c>
      <c r="D3661" s="35" t="s">
        <v>229</v>
      </c>
      <c r="E3661" s="35" t="s">
        <v>400</v>
      </c>
      <c r="F3661" s="35">
        <v>116.0</v>
      </c>
      <c r="G3661" s="35">
        <v>3.11</v>
      </c>
      <c r="H3661" s="35">
        <v>37.3</v>
      </c>
      <c r="I3661" s="35" t="s">
        <v>75</v>
      </c>
    </row>
    <row r="3662" ht="22.5" customHeight="1">
      <c r="A3662" s="35" t="s">
        <v>7520</v>
      </c>
      <c r="B3662" s="35" t="s">
        <v>7521</v>
      </c>
      <c r="C3662" s="35" t="s">
        <v>7759</v>
      </c>
      <c r="D3662" s="35" t="s">
        <v>121</v>
      </c>
      <c r="E3662" s="35" t="s">
        <v>325</v>
      </c>
      <c r="F3662" s="35">
        <v>883.0</v>
      </c>
      <c r="G3662" s="35">
        <v>6.67</v>
      </c>
      <c r="H3662" s="35">
        <v>132.4</v>
      </c>
      <c r="I3662" s="35" t="s">
        <v>62</v>
      </c>
    </row>
    <row r="3663" ht="22.5" customHeight="1">
      <c r="A3663" s="35" t="s">
        <v>7522</v>
      </c>
      <c r="B3663" s="35" t="s">
        <v>7523</v>
      </c>
      <c r="C3663" s="35" t="s">
        <v>7759</v>
      </c>
      <c r="D3663" s="35" t="s">
        <v>152</v>
      </c>
      <c r="E3663" s="35" t="s">
        <v>417</v>
      </c>
      <c r="F3663" s="35">
        <v>425.0</v>
      </c>
      <c r="G3663" s="35">
        <v>7.85</v>
      </c>
      <c r="H3663" s="35">
        <v>54.1</v>
      </c>
      <c r="I3663" s="35" t="s">
        <v>75</v>
      </c>
    </row>
    <row r="3664" ht="22.5" customHeight="1">
      <c r="A3664" s="35" t="s">
        <v>7524</v>
      </c>
      <c r="B3664" s="35" t="s">
        <v>7525</v>
      </c>
      <c r="C3664" s="35" t="s">
        <v>7759</v>
      </c>
      <c r="D3664" s="35" t="s">
        <v>41</v>
      </c>
      <c r="E3664" s="35" t="s">
        <v>35</v>
      </c>
      <c r="F3664" s="35">
        <v>1409.0</v>
      </c>
      <c r="G3664" s="35">
        <v>10.01</v>
      </c>
      <c r="H3664" s="35">
        <v>140.8</v>
      </c>
      <c r="I3664" s="35" t="s">
        <v>62</v>
      </c>
    </row>
    <row r="3665" ht="22.5" customHeight="1">
      <c r="A3665" s="35" t="s">
        <v>7526</v>
      </c>
      <c r="B3665" s="35" t="s">
        <v>7527</v>
      </c>
      <c r="C3665" s="35" t="s">
        <v>7759</v>
      </c>
      <c r="D3665" s="35" t="s">
        <v>229</v>
      </c>
      <c r="E3665" s="35" t="s">
        <v>400</v>
      </c>
      <c r="F3665" s="35">
        <v>224.0</v>
      </c>
      <c r="G3665" s="35">
        <v>8.75</v>
      </c>
      <c r="H3665" s="35">
        <v>25.6</v>
      </c>
      <c r="I3665" s="35" t="s">
        <v>75</v>
      </c>
    </row>
    <row r="3666" ht="22.5" customHeight="1">
      <c r="A3666" s="35" t="s">
        <v>7528</v>
      </c>
      <c r="B3666" s="35" t="s">
        <v>7529</v>
      </c>
      <c r="C3666" s="35" t="s">
        <v>7759</v>
      </c>
      <c r="D3666" s="35" t="s">
        <v>207</v>
      </c>
      <c r="E3666" s="35" t="s">
        <v>534</v>
      </c>
      <c r="F3666" s="35">
        <v>383.0</v>
      </c>
      <c r="G3666" s="35">
        <v>7.01</v>
      </c>
      <c r="H3666" s="35">
        <v>54.6</v>
      </c>
      <c r="I3666" s="35" t="s">
        <v>75</v>
      </c>
    </row>
    <row r="3667" ht="22.5" customHeight="1">
      <c r="A3667" s="35" t="s">
        <v>7530</v>
      </c>
      <c r="B3667" s="35" t="s">
        <v>7531</v>
      </c>
      <c r="C3667" s="35" t="s">
        <v>7759</v>
      </c>
      <c r="D3667" s="35" t="s">
        <v>197</v>
      </c>
      <c r="E3667" s="35" t="s">
        <v>517</v>
      </c>
      <c r="F3667" s="35">
        <v>79.0</v>
      </c>
      <c r="G3667" s="35">
        <v>4.32</v>
      </c>
      <c r="H3667" s="35">
        <v>18.3</v>
      </c>
      <c r="I3667" s="35" t="s">
        <v>75</v>
      </c>
    </row>
    <row r="3668" ht="22.5" customHeight="1">
      <c r="A3668" s="35" t="s">
        <v>7532</v>
      </c>
      <c r="B3668" s="35" t="s">
        <v>7533</v>
      </c>
      <c r="C3668" s="35" t="s">
        <v>7759</v>
      </c>
      <c r="D3668" s="35" t="s">
        <v>218</v>
      </c>
      <c r="E3668" s="35" t="s">
        <v>374</v>
      </c>
      <c r="F3668" s="35">
        <v>1809.0</v>
      </c>
      <c r="G3668" s="35">
        <v>7.05</v>
      </c>
      <c r="H3668" s="35">
        <v>256.6</v>
      </c>
      <c r="I3668" s="35" t="s">
        <v>62</v>
      </c>
    </row>
    <row r="3669" ht="22.5" customHeight="1">
      <c r="A3669" s="35" t="s">
        <v>7534</v>
      </c>
      <c r="B3669" s="35" t="s">
        <v>7535</v>
      </c>
      <c r="C3669" s="35" t="s">
        <v>7759</v>
      </c>
      <c r="D3669" s="35" t="s">
        <v>229</v>
      </c>
      <c r="E3669" s="35" t="s">
        <v>400</v>
      </c>
      <c r="F3669" s="35">
        <v>80.0</v>
      </c>
      <c r="G3669" s="35">
        <v>1.1</v>
      </c>
      <c r="H3669" s="35">
        <v>72.7</v>
      </c>
      <c r="I3669" s="35" t="s">
        <v>75</v>
      </c>
    </row>
    <row r="3670" ht="22.5" customHeight="1">
      <c r="A3670" s="35" t="s">
        <v>7536</v>
      </c>
      <c r="B3670" s="35" t="s">
        <v>1553</v>
      </c>
      <c r="C3670" s="35" t="s">
        <v>7759</v>
      </c>
      <c r="D3670" s="35" t="s">
        <v>185</v>
      </c>
      <c r="E3670" s="35" t="s">
        <v>485</v>
      </c>
      <c r="F3670" s="35">
        <v>155.0</v>
      </c>
      <c r="G3670" s="35">
        <v>4.18</v>
      </c>
      <c r="H3670" s="35">
        <v>37.1</v>
      </c>
      <c r="I3670" s="35" t="s">
        <v>75</v>
      </c>
    </row>
    <row r="3671" ht="22.5" customHeight="1">
      <c r="A3671" s="35" t="s">
        <v>7537</v>
      </c>
      <c r="B3671" s="35" t="s">
        <v>7538</v>
      </c>
      <c r="C3671" s="35" t="s">
        <v>7759</v>
      </c>
      <c r="D3671" s="35" t="s">
        <v>229</v>
      </c>
      <c r="E3671" s="35" t="s">
        <v>400</v>
      </c>
      <c r="F3671" s="35">
        <v>279.0</v>
      </c>
      <c r="G3671" s="35">
        <v>6.22</v>
      </c>
      <c r="H3671" s="35">
        <v>44.9</v>
      </c>
      <c r="I3671" s="35" t="s">
        <v>75</v>
      </c>
    </row>
    <row r="3672" ht="22.5" customHeight="1">
      <c r="A3672" s="35" t="s">
        <v>7539</v>
      </c>
      <c r="B3672" s="35" t="s">
        <v>7540</v>
      </c>
      <c r="C3672" s="35" t="s">
        <v>7759</v>
      </c>
      <c r="D3672" s="35" t="s">
        <v>216</v>
      </c>
      <c r="E3672" s="35" t="s">
        <v>371</v>
      </c>
      <c r="F3672" s="35">
        <v>390.0</v>
      </c>
      <c r="G3672" s="35">
        <v>6.39</v>
      </c>
      <c r="H3672" s="35">
        <v>61.0</v>
      </c>
      <c r="I3672" s="35" t="s">
        <v>75</v>
      </c>
    </row>
    <row r="3673" ht="22.5" customHeight="1">
      <c r="A3673" s="35" t="s">
        <v>7541</v>
      </c>
      <c r="B3673" s="35" t="s">
        <v>7542</v>
      </c>
      <c r="C3673" s="35" t="s">
        <v>7759</v>
      </c>
      <c r="D3673" s="35" t="s">
        <v>218</v>
      </c>
      <c r="E3673" s="35" t="s">
        <v>374</v>
      </c>
      <c r="F3673" s="35">
        <v>1772.0</v>
      </c>
      <c r="G3673" s="35">
        <v>4.34</v>
      </c>
      <c r="H3673" s="35">
        <v>408.3</v>
      </c>
      <c r="I3673" s="35" t="s">
        <v>62</v>
      </c>
    </row>
    <row r="3674" ht="22.5" customHeight="1">
      <c r="A3674" s="35" t="s">
        <v>7543</v>
      </c>
      <c r="B3674" s="35" t="s">
        <v>7544</v>
      </c>
      <c r="C3674" s="35" t="s">
        <v>7759</v>
      </c>
      <c r="D3674" s="35" t="s">
        <v>225</v>
      </c>
      <c r="E3674" s="35" t="s">
        <v>387</v>
      </c>
      <c r="F3674" s="35">
        <v>302.0</v>
      </c>
      <c r="G3674" s="35">
        <v>26.95</v>
      </c>
      <c r="H3674" s="35">
        <v>11.2</v>
      </c>
      <c r="I3674" s="35" t="s">
        <v>75</v>
      </c>
    </row>
    <row r="3675" ht="22.5" customHeight="1">
      <c r="A3675" s="35" t="s">
        <v>7545</v>
      </c>
      <c r="B3675" s="35" t="s">
        <v>7546</v>
      </c>
      <c r="C3675" s="35" t="s">
        <v>7759</v>
      </c>
      <c r="D3675" s="35" t="s">
        <v>178</v>
      </c>
      <c r="E3675" s="35" t="s">
        <v>475</v>
      </c>
      <c r="F3675" s="35">
        <v>1252.0</v>
      </c>
      <c r="G3675" s="35">
        <v>6.56</v>
      </c>
      <c r="H3675" s="35">
        <v>190.9</v>
      </c>
      <c r="I3675" s="35" t="s">
        <v>62</v>
      </c>
    </row>
    <row r="3676" ht="22.5" customHeight="1">
      <c r="A3676" s="35" t="s">
        <v>7547</v>
      </c>
      <c r="B3676" s="35" t="s">
        <v>7548</v>
      </c>
      <c r="C3676" s="35" t="s">
        <v>7759</v>
      </c>
      <c r="D3676" s="35" t="s">
        <v>225</v>
      </c>
      <c r="E3676" s="35" t="s">
        <v>387</v>
      </c>
      <c r="F3676" s="35">
        <v>1279.0</v>
      </c>
      <c r="G3676" s="35">
        <v>14.7</v>
      </c>
      <c r="H3676" s="35">
        <v>87.0</v>
      </c>
      <c r="I3676" s="35" t="s">
        <v>62</v>
      </c>
    </row>
    <row r="3677" ht="22.5" customHeight="1">
      <c r="A3677" s="35" t="s">
        <v>7549</v>
      </c>
      <c r="B3677" s="35" t="s">
        <v>7550</v>
      </c>
      <c r="C3677" s="35" t="s">
        <v>7759</v>
      </c>
      <c r="D3677" s="35" t="s">
        <v>41</v>
      </c>
      <c r="E3677" s="35" t="s">
        <v>35</v>
      </c>
      <c r="F3677" s="35">
        <v>976.0</v>
      </c>
      <c r="G3677" s="35">
        <v>7.86</v>
      </c>
      <c r="H3677" s="35">
        <v>124.2</v>
      </c>
      <c r="I3677" s="35" t="s">
        <v>62</v>
      </c>
    </row>
    <row r="3678" ht="22.5" customHeight="1">
      <c r="A3678" s="35" t="s">
        <v>7551</v>
      </c>
      <c r="B3678" s="35" t="s">
        <v>4283</v>
      </c>
      <c r="C3678" s="35" t="s">
        <v>7759</v>
      </c>
      <c r="D3678" s="35" t="s">
        <v>218</v>
      </c>
      <c r="E3678" s="35" t="s">
        <v>374</v>
      </c>
      <c r="F3678" s="35">
        <v>1344.0</v>
      </c>
      <c r="G3678" s="35">
        <v>9.16</v>
      </c>
      <c r="H3678" s="35">
        <v>146.7</v>
      </c>
      <c r="I3678" s="35" t="s">
        <v>62</v>
      </c>
    </row>
    <row r="3679" ht="22.5" customHeight="1">
      <c r="A3679" s="35" t="s">
        <v>7552</v>
      </c>
      <c r="B3679" s="35" t="s">
        <v>7553</v>
      </c>
      <c r="C3679" s="35" t="s">
        <v>7759</v>
      </c>
      <c r="D3679" s="35" t="s">
        <v>229</v>
      </c>
      <c r="E3679" s="35" t="s">
        <v>400</v>
      </c>
      <c r="F3679" s="35">
        <v>47.0</v>
      </c>
      <c r="G3679" s="35">
        <v>2.29</v>
      </c>
      <c r="H3679" s="35">
        <v>20.5</v>
      </c>
      <c r="I3679" s="35" t="s">
        <v>75</v>
      </c>
    </row>
    <row r="3680" ht="22.5" customHeight="1">
      <c r="A3680" s="35" t="s">
        <v>7554</v>
      </c>
      <c r="B3680" s="35" t="s">
        <v>7555</v>
      </c>
      <c r="C3680" s="35" t="s">
        <v>7759</v>
      </c>
      <c r="D3680" s="35" t="s">
        <v>121</v>
      </c>
      <c r="E3680" s="35" t="s">
        <v>325</v>
      </c>
      <c r="F3680" s="35">
        <v>2306.0</v>
      </c>
      <c r="G3680" s="35">
        <v>10.48</v>
      </c>
      <c r="H3680" s="35">
        <v>220.0</v>
      </c>
      <c r="I3680" s="35" t="s">
        <v>142</v>
      </c>
    </row>
    <row r="3681" ht="22.5" customHeight="1">
      <c r="A3681" s="35" t="s">
        <v>7556</v>
      </c>
      <c r="B3681" s="35" t="s">
        <v>7557</v>
      </c>
      <c r="C3681" s="35" t="s">
        <v>7759</v>
      </c>
      <c r="D3681" s="35" t="s">
        <v>41</v>
      </c>
      <c r="E3681" s="35" t="s">
        <v>35</v>
      </c>
      <c r="F3681" s="35">
        <v>504.0</v>
      </c>
      <c r="G3681" s="35">
        <v>4.82</v>
      </c>
      <c r="H3681" s="35">
        <v>104.6</v>
      </c>
      <c r="I3681" s="35" t="s">
        <v>62</v>
      </c>
    </row>
    <row r="3682" ht="22.5" customHeight="1">
      <c r="A3682" s="35" t="s">
        <v>7558</v>
      </c>
      <c r="B3682" s="35" t="s">
        <v>7559</v>
      </c>
      <c r="C3682" s="35" t="s">
        <v>7759</v>
      </c>
      <c r="D3682" s="35" t="s">
        <v>218</v>
      </c>
      <c r="E3682" s="35" t="s">
        <v>374</v>
      </c>
      <c r="F3682" s="35">
        <v>263.0</v>
      </c>
      <c r="G3682" s="35">
        <v>7.34</v>
      </c>
      <c r="H3682" s="35">
        <v>35.8</v>
      </c>
      <c r="I3682" s="35" t="s">
        <v>75</v>
      </c>
    </row>
    <row r="3683" ht="22.5" customHeight="1">
      <c r="A3683" s="35" t="s">
        <v>7560</v>
      </c>
      <c r="B3683" s="35" t="s">
        <v>7561</v>
      </c>
      <c r="C3683" s="35" t="s">
        <v>7759</v>
      </c>
      <c r="D3683" s="35" t="s">
        <v>41</v>
      </c>
      <c r="E3683" s="35" t="s">
        <v>35</v>
      </c>
      <c r="F3683" s="35">
        <v>2739.0</v>
      </c>
      <c r="G3683" s="35">
        <v>7.97</v>
      </c>
      <c r="H3683" s="35">
        <v>343.7</v>
      </c>
      <c r="I3683" s="35" t="s">
        <v>142</v>
      </c>
    </row>
    <row r="3684" ht="22.5" customHeight="1">
      <c r="A3684" s="35" t="s">
        <v>7562</v>
      </c>
      <c r="B3684" s="35" t="s">
        <v>7563</v>
      </c>
      <c r="C3684" s="35" t="s">
        <v>7759</v>
      </c>
      <c r="D3684" s="35" t="s">
        <v>41</v>
      </c>
      <c r="E3684" s="35" t="s">
        <v>35</v>
      </c>
      <c r="F3684" s="35">
        <v>4179.0</v>
      </c>
      <c r="G3684" s="35">
        <v>4.33</v>
      </c>
      <c r="H3684" s="35">
        <v>965.1</v>
      </c>
      <c r="I3684" s="35" t="s">
        <v>142</v>
      </c>
    </row>
    <row r="3685" ht="22.5" customHeight="1">
      <c r="A3685" s="35" t="s">
        <v>7564</v>
      </c>
      <c r="B3685" s="35" t="s">
        <v>2901</v>
      </c>
      <c r="C3685" s="35" t="s">
        <v>7759</v>
      </c>
      <c r="D3685" s="35" t="s">
        <v>152</v>
      </c>
      <c r="E3685" s="35" t="s">
        <v>417</v>
      </c>
      <c r="F3685" s="35">
        <v>269.0</v>
      </c>
      <c r="G3685" s="35">
        <v>7.28</v>
      </c>
      <c r="H3685" s="35">
        <v>37.0</v>
      </c>
      <c r="I3685" s="35" t="s">
        <v>75</v>
      </c>
    </row>
    <row r="3686" ht="22.5" customHeight="1">
      <c r="A3686" s="35" t="s">
        <v>7565</v>
      </c>
      <c r="B3686" s="35" t="s">
        <v>7566</v>
      </c>
      <c r="C3686" s="35" t="s">
        <v>7759</v>
      </c>
      <c r="D3686" s="35" t="s">
        <v>229</v>
      </c>
      <c r="E3686" s="35" t="s">
        <v>400</v>
      </c>
      <c r="F3686" s="35">
        <v>74.0</v>
      </c>
      <c r="G3686" s="35">
        <v>3.72</v>
      </c>
      <c r="H3686" s="35">
        <v>19.9</v>
      </c>
      <c r="I3686" s="35" t="s">
        <v>75</v>
      </c>
    </row>
    <row r="3687" ht="22.5" customHeight="1">
      <c r="A3687" s="35" t="s">
        <v>7567</v>
      </c>
      <c r="B3687" s="35" t="s">
        <v>7568</v>
      </c>
      <c r="C3687" s="35" t="s">
        <v>7759</v>
      </c>
      <c r="D3687" s="35" t="s">
        <v>148</v>
      </c>
      <c r="E3687" s="35" t="s">
        <v>360</v>
      </c>
      <c r="F3687" s="35">
        <v>178.0</v>
      </c>
      <c r="G3687" s="35">
        <v>5.19</v>
      </c>
      <c r="H3687" s="35">
        <v>34.3</v>
      </c>
      <c r="I3687" s="35" t="s">
        <v>75</v>
      </c>
    </row>
    <row r="3688" ht="22.5" customHeight="1">
      <c r="A3688" s="35" t="s">
        <v>7569</v>
      </c>
      <c r="B3688" s="35" t="s">
        <v>7570</v>
      </c>
      <c r="C3688" s="35" t="s">
        <v>7759</v>
      </c>
      <c r="D3688" s="35" t="s">
        <v>41</v>
      </c>
      <c r="E3688" s="35" t="s">
        <v>35</v>
      </c>
      <c r="F3688" s="35">
        <v>1096.0</v>
      </c>
      <c r="G3688" s="35">
        <v>4.04</v>
      </c>
      <c r="H3688" s="35">
        <v>271.3</v>
      </c>
      <c r="I3688" s="35" t="s">
        <v>62</v>
      </c>
    </row>
    <row r="3689" ht="22.5" customHeight="1">
      <c r="A3689" s="35" t="s">
        <v>7571</v>
      </c>
      <c r="B3689" s="35" t="s">
        <v>7572</v>
      </c>
      <c r="C3689" s="35" t="s">
        <v>7759</v>
      </c>
      <c r="D3689" s="35" t="s">
        <v>229</v>
      </c>
      <c r="E3689" s="35" t="s">
        <v>400</v>
      </c>
      <c r="F3689" s="35">
        <v>623.0</v>
      </c>
      <c r="G3689" s="35">
        <v>7.06</v>
      </c>
      <c r="H3689" s="35">
        <v>88.2</v>
      </c>
      <c r="I3689" s="35" t="s">
        <v>62</v>
      </c>
    </row>
    <row r="3690" ht="22.5" customHeight="1">
      <c r="A3690" s="35" t="s">
        <v>7573</v>
      </c>
      <c r="B3690" s="35" t="s">
        <v>7574</v>
      </c>
      <c r="C3690" s="35" t="s">
        <v>7759</v>
      </c>
      <c r="D3690" s="35" t="s">
        <v>197</v>
      </c>
      <c r="E3690" s="35" t="s">
        <v>517</v>
      </c>
      <c r="F3690" s="35">
        <v>324.0</v>
      </c>
      <c r="G3690" s="35">
        <v>8.35</v>
      </c>
      <c r="H3690" s="35">
        <v>38.8</v>
      </c>
      <c r="I3690" s="35" t="s">
        <v>75</v>
      </c>
    </row>
    <row r="3691" ht="22.5" customHeight="1">
      <c r="A3691" s="35" t="s">
        <v>7575</v>
      </c>
      <c r="B3691" s="35" t="s">
        <v>7576</v>
      </c>
      <c r="C3691" s="35" t="s">
        <v>7759</v>
      </c>
      <c r="D3691" s="35" t="s">
        <v>229</v>
      </c>
      <c r="E3691" s="35" t="s">
        <v>400</v>
      </c>
      <c r="F3691" s="35">
        <v>217.0</v>
      </c>
      <c r="G3691" s="35">
        <v>5.53</v>
      </c>
      <c r="H3691" s="35">
        <v>39.2</v>
      </c>
      <c r="I3691" s="35" t="s">
        <v>75</v>
      </c>
    </row>
    <row r="3692" ht="22.5" customHeight="1">
      <c r="A3692" s="35" t="s">
        <v>7577</v>
      </c>
      <c r="B3692" s="35" t="s">
        <v>7578</v>
      </c>
      <c r="C3692" s="35" t="s">
        <v>7759</v>
      </c>
      <c r="D3692" s="35" t="s">
        <v>41</v>
      </c>
      <c r="E3692" s="35" t="s">
        <v>35</v>
      </c>
      <c r="F3692" s="35">
        <v>162.0</v>
      </c>
      <c r="G3692" s="35">
        <v>3.53</v>
      </c>
      <c r="H3692" s="35">
        <v>45.9</v>
      </c>
      <c r="I3692" s="35" t="s">
        <v>75</v>
      </c>
    </row>
    <row r="3693" ht="22.5" customHeight="1">
      <c r="A3693" s="35" t="s">
        <v>7579</v>
      </c>
      <c r="B3693" s="35" t="s">
        <v>7580</v>
      </c>
      <c r="C3693" s="35" t="s">
        <v>7759</v>
      </c>
      <c r="D3693" s="35" t="s">
        <v>121</v>
      </c>
      <c r="E3693" s="35" t="s">
        <v>325</v>
      </c>
      <c r="F3693" s="35">
        <v>235.0</v>
      </c>
      <c r="G3693" s="35">
        <v>4.1</v>
      </c>
      <c r="H3693" s="35">
        <v>57.3</v>
      </c>
      <c r="I3693" s="35" t="s">
        <v>75</v>
      </c>
    </row>
    <row r="3694" ht="22.5" customHeight="1">
      <c r="A3694" s="35" t="s">
        <v>7581</v>
      </c>
      <c r="B3694" s="35" t="s">
        <v>7582</v>
      </c>
      <c r="C3694" s="35" t="s">
        <v>7759</v>
      </c>
      <c r="D3694" s="35" t="s">
        <v>158</v>
      </c>
      <c r="E3694" s="35" t="s">
        <v>427</v>
      </c>
      <c r="F3694" s="35">
        <v>162.0</v>
      </c>
      <c r="G3694" s="35">
        <v>7.92</v>
      </c>
      <c r="H3694" s="35">
        <v>20.5</v>
      </c>
      <c r="I3694" s="35" t="s">
        <v>75</v>
      </c>
    </row>
    <row r="3695" ht="22.5" customHeight="1">
      <c r="A3695" s="35" t="s">
        <v>7583</v>
      </c>
      <c r="B3695" s="35" t="s">
        <v>7584</v>
      </c>
      <c r="C3695" s="35" t="s">
        <v>7759</v>
      </c>
      <c r="D3695" s="35" t="s">
        <v>218</v>
      </c>
      <c r="E3695" s="35" t="s">
        <v>374</v>
      </c>
      <c r="F3695" s="35">
        <v>124.0</v>
      </c>
      <c r="G3695" s="35">
        <v>8.65</v>
      </c>
      <c r="H3695" s="35">
        <v>14.3</v>
      </c>
      <c r="I3695" s="35" t="s">
        <v>75</v>
      </c>
    </row>
    <row r="3696" ht="22.5" customHeight="1">
      <c r="A3696" s="35" t="s">
        <v>7585</v>
      </c>
      <c r="B3696" s="35" t="s">
        <v>7586</v>
      </c>
      <c r="C3696" s="35" t="s">
        <v>7759</v>
      </c>
      <c r="D3696" s="35" t="s">
        <v>148</v>
      </c>
      <c r="E3696" s="35" t="s">
        <v>360</v>
      </c>
      <c r="F3696" s="35">
        <v>288.0</v>
      </c>
      <c r="G3696" s="35">
        <v>5.13</v>
      </c>
      <c r="H3696" s="35">
        <v>56.1</v>
      </c>
      <c r="I3696" s="35" t="s">
        <v>75</v>
      </c>
    </row>
    <row r="3697" ht="22.5" customHeight="1">
      <c r="A3697" s="35" t="s">
        <v>7587</v>
      </c>
      <c r="B3697" s="35" t="s">
        <v>7588</v>
      </c>
      <c r="C3697" s="35" t="s">
        <v>7759</v>
      </c>
      <c r="D3697" s="35" t="s">
        <v>230</v>
      </c>
      <c r="E3697" s="35" t="s">
        <v>402</v>
      </c>
      <c r="F3697" s="35">
        <v>186.0</v>
      </c>
      <c r="G3697" s="35">
        <v>5.2</v>
      </c>
      <c r="H3697" s="35">
        <v>35.8</v>
      </c>
      <c r="I3697" s="35" t="s">
        <v>75</v>
      </c>
    </row>
    <row r="3698" ht="22.5" customHeight="1">
      <c r="A3698" s="35" t="s">
        <v>7589</v>
      </c>
      <c r="B3698" s="35" t="s">
        <v>7590</v>
      </c>
      <c r="C3698" s="35" t="s">
        <v>7759</v>
      </c>
      <c r="D3698" s="35" t="s">
        <v>218</v>
      </c>
      <c r="E3698" s="35" t="s">
        <v>374</v>
      </c>
      <c r="F3698" s="35">
        <v>84.0</v>
      </c>
      <c r="G3698" s="35">
        <v>2.99</v>
      </c>
      <c r="H3698" s="35">
        <v>28.1</v>
      </c>
      <c r="I3698" s="35" t="s">
        <v>75</v>
      </c>
    </row>
    <row r="3699" ht="22.5" customHeight="1">
      <c r="A3699" s="35" t="s">
        <v>7591</v>
      </c>
      <c r="B3699" s="35" t="s">
        <v>7592</v>
      </c>
      <c r="C3699" s="35" t="s">
        <v>7759</v>
      </c>
      <c r="D3699" s="35" t="s">
        <v>197</v>
      </c>
      <c r="E3699" s="35" t="s">
        <v>517</v>
      </c>
      <c r="F3699" s="35">
        <v>190.0</v>
      </c>
      <c r="G3699" s="35">
        <v>8.66</v>
      </c>
      <c r="H3699" s="35">
        <v>21.9</v>
      </c>
      <c r="I3699" s="35" t="s">
        <v>75</v>
      </c>
    </row>
    <row r="3700" ht="22.5" customHeight="1">
      <c r="A3700" s="35" t="s">
        <v>7593</v>
      </c>
      <c r="B3700" s="35" t="s">
        <v>7594</v>
      </c>
      <c r="C3700" s="35" t="s">
        <v>7759</v>
      </c>
      <c r="D3700" s="35" t="s">
        <v>229</v>
      </c>
      <c r="E3700" s="35" t="s">
        <v>400</v>
      </c>
      <c r="F3700" s="35">
        <v>58.0</v>
      </c>
      <c r="G3700" s="35">
        <v>4.06</v>
      </c>
      <c r="H3700" s="35">
        <v>14.3</v>
      </c>
      <c r="I3700" s="35" t="s">
        <v>75</v>
      </c>
    </row>
    <row r="3701" ht="22.5" customHeight="1">
      <c r="A3701" s="35" t="s">
        <v>7595</v>
      </c>
      <c r="B3701" s="35" t="s">
        <v>7596</v>
      </c>
      <c r="C3701" s="35" t="s">
        <v>7759</v>
      </c>
      <c r="D3701" s="35" t="s">
        <v>207</v>
      </c>
      <c r="E3701" s="35" t="s">
        <v>534</v>
      </c>
      <c r="F3701" s="35">
        <v>1085.0</v>
      </c>
      <c r="G3701" s="35">
        <v>19.17</v>
      </c>
      <c r="H3701" s="35">
        <v>56.6</v>
      </c>
      <c r="I3701" s="35" t="s">
        <v>62</v>
      </c>
    </row>
    <row r="3702" ht="22.5" customHeight="1">
      <c r="A3702" s="35" t="s">
        <v>7597</v>
      </c>
      <c r="B3702" s="35" t="s">
        <v>7598</v>
      </c>
      <c r="C3702" s="35" t="s">
        <v>7759</v>
      </c>
      <c r="D3702" s="35" t="s">
        <v>158</v>
      </c>
      <c r="E3702" s="35" t="s">
        <v>427</v>
      </c>
      <c r="F3702" s="35">
        <v>139.0</v>
      </c>
      <c r="G3702" s="35">
        <v>7.25</v>
      </c>
      <c r="H3702" s="35">
        <v>19.2</v>
      </c>
      <c r="I3702" s="35" t="s">
        <v>75</v>
      </c>
    </row>
    <row r="3703" ht="22.5" customHeight="1">
      <c r="A3703" s="35" t="s">
        <v>7599</v>
      </c>
      <c r="B3703" s="35" t="s">
        <v>7600</v>
      </c>
      <c r="C3703" s="35" t="s">
        <v>7759</v>
      </c>
      <c r="D3703" s="35" t="s">
        <v>158</v>
      </c>
      <c r="E3703" s="35" t="s">
        <v>427</v>
      </c>
      <c r="F3703" s="35">
        <v>198.0</v>
      </c>
      <c r="G3703" s="35">
        <v>6.49</v>
      </c>
      <c r="H3703" s="35">
        <v>30.5</v>
      </c>
      <c r="I3703" s="35" t="s">
        <v>75</v>
      </c>
    </row>
    <row r="3704" ht="22.5" customHeight="1">
      <c r="A3704" s="35" t="s">
        <v>7601</v>
      </c>
      <c r="B3704" s="35" t="s">
        <v>7602</v>
      </c>
      <c r="C3704" s="35" t="s">
        <v>7759</v>
      </c>
      <c r="D3704" s="35" t="s">
        <v>207</v>
      </c>
      <c r="E3704" s="35" t="s">
        <v>534</v>
      </c>
      <c r="F3704" s="35">
        <v>323.0</v>
      </c>
      <c r="G3704" s="35">
        <v>2.67</v>
      </c>
      <c r="H3704" s="35">
        <v>121.0</v>
      </c>
      <c r="I3704" s="35" t="s">
        <v>75</v>
      </c>
    </row>
    <row r="3705" ht="22.5" customHeight="1">
      <c r="A3705" s="35" t="s">
        <v>7603</v>
      </c>
      <c r="B3705" s="35" t="s">
        <v>7604</v>
      </c>
      <c r="C3705" s="35" t="s">
        <v>7759</v>
      </c>
      <c r="D3705" s="35" t="s">
        <v>152</v>
      </c>
      <c r="E3705" s="35" t="s">
        <v>417</v>
      </c>
      <c r="F3705" s="35">
        <v>145.0</v>
      </c>
      <c r="G3705" s="35">
        <v>4.93</v>
      </c>
      <c r="H3705" s="35">
        <v>29.4</v>
      </c>
      <c r="I3705" s="35" t="s">
        <v>75</v>
      </c>
    </row>
    <row r="3706" ht="22.5" customHeight="1">
      <c r="A3706" s="35" t="s">
        <v>7605</v>
      </c>
      <c r="B3706" s="35" t="s">
        <v>7606</v>
      </c>
      <c r="C3706" s="35" t="s">
        <v>7759</v>
      </c>
      <c r="D3706" s="35" t="s">
        <v>148</v>
      </c>
      <c r="E3706" s="35" t="s">
        <v>360</v>
      </c>
      <c r="F3706" s="35">
        <v>552.0</v>
      </c>
      <c r="G3706" s="35">
        <v>8.12</v>
      </c>
      <c r="H3706" s="35">
        <v>68.0</v>
      </c>
      <c r="I3706" s="35" t="s">
        <v>62</v>
      </c>
    </row>
    <row r="3707" ht="22.5" customHeight="1">
      <c r="A3707" s="35" t="s">
        <v>7607</v>
      </c>
      <c r="B3707" s="35" t="s">
        <v>7608</v>
      </c>
      <c r="C3707" s="35" t="s">
        <v>7759</v>
      </c>
      <c r="D3707" s="35" t="s">
        <v>41</v>
      </c>
      <c r="E3707" s="35" t="s">
        <v>35</v>
      </c>
      <c r="F3707" s="35">
        <v>661.0</v>
      </c>
      <c r="G3707" s="35">
        <v>6.74</v>
      </c>
      <c r="H3707" s="35">
        <v>98.1</v>
      </c>
      <c r="I3707" s="35" t="s">
        <v>62</v>
      </c>
    </row>
    <row r="3708" ht="22.5" customHeight="1">
      <c r="A3708" s="35" t="s">
        <v>7609</v>
      </c>
      <c r="B3708" s="35" t="s">
        <v>7610</v>
      </c>
      <c r="C3708" s="35" t="s">
        <v>7759</v>
      </c>
      <c r="D3708" s="35" t="s">
        <v>197</v>
      </c>
      <c r="E3708" s="35" t="s">
        <v>517</v>
      </c>
      <c r="F3708" s="35">
        <v>124.0</v>
      </c>
      <c r="G3708" s="35">
        <v>4.42</v>
      </c>
      <c r="H3708" s="35">
        <v>28.1</v>
      </c>
      <c r="I3708" s="35" t="s">
        <v>75</v>
      </c>
    </row>
    <row r="3709" ht="22.5" customHeight="1">
      <c r="A3709" s="35" t="s">
        <v>7611</v>
      </c>
      <c r="B3709" s="35" t="s">
        <v>7612</v>
      </c>
      <c r="C3709" s="35" t="s">
        <v>7759</v>
      </c>
      <c r="D3709" s="35" t="s">
        <v>229</v>
      </c>
      <c r="E3709" s="35" t="s">
        <v>400</v>
      </c>
      <c r="F3709" s="35">
        <v>380.0</v>
      </c>
      <c r="G3709" s="35">
        <v>14.76</v>
      </c>
      <c r="H3709" s="35">
        <v>25.7</v>
      </c>
      <c r="I3709" s="35" t="s">
        <v>75</v>
      </c>
    </row>
    <row r="3710" ht="22.5" customHeight="1">
      <c r="A3710" s="35" t="s">
        <v>7613</v>
      </c>
      <c r="B3710" s="35" t="s">
        <v>7614</v>
      </c>
      <c r="C3710" s="35" t="s">
        <v>7759</v>
      </c>
      <c r="D3710" s="35" t="s">
        <v>229</v>
      </c>
      <c r="E3710" s="35" t="s">
        <v>400</v>
      </c>
      <c r="F3710" s="35">
        <v>141.0</v>
      </c>
      <c r="G3710" s="35">
        <v>3.29</v>
      </c>
      <c r="H3710" s="35">
        <v>42.9</v>
      </c>
      <c r="I3710" s="35" t="s">
        <v>75</v>
      </c>
    </row>
    <row r="3711" ht="22.5" customHeight="1">
      <c r="A3711" s="35" t="s">
        <v>7615</v>
      </c>
      <c r="B3711" s="35" t="s">
        <v>6057</v>
      </c>
      <c r="C3711" s="35" t="s">
        <v>7759</v>
      </c>
      <c r="D3711" s="35" t="s">
        <v>197</v>
      </c>
      <c r="E3711" s="35" t="s">
        <v>517</v>
      </c>
      <c r="F3711" s="35">
        <v>54.0</v>
      </c>
      <c r="G3711" s="35">
        <v>3.72</v>
      </c>
      <c r="H3711" s="35">
        <v>14.5</v>
      </c>
      <c r="I3711" s="35" t="s">
        <v>75</v>
      </c>
    </row>
    <row r="3712" ht="22.5" customHeight="1">
      <c r="A3712" s="35" t="s">
        <v>7616</v>
      </c>
      <c r="B3712" s="35" t="s">
        <v>7617</v>
      </c>
      <c r="C3712" s="35" t="s">
        <v>7759</v>
      </c>
      <c r="D3712" s="35" t="s">
        <v>229</v>
      </c>
      <c r="E3712" s="35" t="s">
        <v>400</v>
      </c>
      <c r="F3712" s="35">
        <v>147.0</v>
      </c>
      <c r="G3712" s="35">
        <v>11.16</v>
      </c>
      <c r="H3712" s="35">
        <v>13.2</v>
      </c>
      <c r="I3712" s="35" t="s">
        <v>75</v>
      </c>
    </row>
    <row r="3713" ht="22.5" customHeight="1">
      <c r="A3713" s="35" t="s">
        <v>7618</v>
      </c>
      <c r="B3713" s="35" t="s">
        <v>7619</v>
      </c>
      <c r="C3713" s="35" t="s">
        <v>7759</v>
      </c>
      <c r="D3713" s="35" t="s">
        <v>148</v>
      </c>
      <c r="E3713" s="35" t="s">
        <v>360</v>
      </c>
      <c r="F3713" s="35">
        <v>207.0</v>
      </c>
      <c r="G3713" s="35">
        <v>5.18</v>
      </c>
      <c r="H3713" s="35">
        <v>40.0</v>
      </c>
      <c r="I3713" s="35" t="s">
        <v>75</v>
      </c>
    </row>
    <row r="3714" ht="22.5" customHeight="1">
      <c r="A3714" s="35" t="s">
        <v>7620</v>
      </c>
      <c r="B3714" s="35" t="s">
        <v>7621</v>
      </c>
      <c r="C3714" s="35" t="s">
        <v>7759</v>
      </c>
      <c r="D3714" s="35" t="s">
        <v>185</v>
      </c>
      <c r="E3714" s="35" t="s">
        <v>485</v>
      </c>
      <c r="F3714" s="35">
        <v>318.0</v>
      </c>
      <c r="G3714" s="35">
        <v>6.42</v>
      </c>
      <c r="H3714" s="35">
        <v>49.5</v>
      </c>
      <c r="I3714" s="35" t="s">
        <v>75</v>
      </c>
    </row>
    <row r="3715" ht="22.5" customHeight="1">
      <c r="A3715" s="35" t="s">
        <v>7622</v>
      </c>
      <c r="B3715" s="35" t="s">
        <v>7623</v>
      </c>
      <c r="C3715" s="35" t="s">
        <v>7759</v>
      </c>
      <c r="D3715" s="35" t="s">
        <v>216</v>
      </c>
      <c r="E3715" s="35" t="s">
        <v>371</v>
      </c>
      <c r="F3715" s="35">
        <v>353.0</v>
      </c>
      <c r="G3715" s="35">
        <v>8.08</v>
      </c>
      <c r="H3715" s="35">
        <v>43.7</v>
      </c>
      <c r="I3715" s="35" t="s">
        <v>75</v>
      </c>
    </row>
    <row r="3716" ht="22.5" customHeight="1">
      <c r="A3716" s="35" t="s">
        <v>7624</v>
      </c>
      <c r="B3716" s="35" t="s">
        <v>7625</v>
      </c>
      <c r="C3716" s="35" t="s">
        <v>7759</v>
      </c>
      <c r="D3716" s="35" t="s">
        <v>158</v>
      </c>
      <c r="E3716" s="35" t="s">
        <v>427</v>
      </c>
      <c r="F3716" s="35">
        <v>334.0</v>
      </c>
      <c r="G3716" s="35">
        <v>12.84</v>
      </c>
      <c r="H3716" s="35">
        <v>26.0</v>
      </c>
      <c r="I3716" s="35" t="s">
        <v>75</v>
      </c>
    </row>
    <row r="3717" ht="22.5" customHeight="1">
      <c r="A3717" s="35" t="s">
        <v>7626</v>
      </c>
      <c r="B3717" s="35" t="s">
        <v>7627</v>
      </c>
      <c r="C3717" s="35" t="s">
        <v>7759</v>
      </c>
      <c r="D3717" s="35" t="s">
        <v>225</v>
      </c>
      <c r="E3717" s="35" t="s">
        <v>387</v>
      </c>
      <c r="F3717" s="35">
        <v>332.0</v>
      </c>
      <c r="G3717" s="35">
        <v>4.54</v>
      </c>
      <c r="H3717" s="35">
        <v>73.1</v>
      </c>
      <c r="I3717" s="35" t="s">
        <v>75</v>
      </c>
    </row>
    <row r="3718" ht="22.5" customHeight="1">
      <c r="A3718" s="35" t="s">
        <v>7628</v>
      </c>
      <c r="B3718" s="35" t="s">
        <v>7629</v>
      </c>
      <c r="C3718" s="35" t="s">
        <v>7759</v>
      </c>
      <c r="D3718" s="35" t="s">
        <v>212</v>
      </c>
      <c r="E3718" s="35" t="s">
        <v>549</v>
      </c>
      <c r="F3718" s="35">
        <v>308.0</v>
      </c>
      <c r="G3718" s="35">
        <v>8.86</v>
      </c>
      <c r="H3718" s="35">
        <v>34.8</v>
      </c>
      <c r="I3718" s="35" t="s">
        <v>75</v>
      </c>
    </row>
    <row r="3719" ht="22.5" customHeight="1">
      <c r="A3719" s="35" t="s">
        <v>7630</v>
      </c>
      <c r="B3719" s="35" t="s">
        <v>7631</v>
      </c>
      <c r="C3719" s="35" t="s">
        <v>7759</v>
      </c>
      <c r="D3719" s="35" t="s">
        <v>212</v>
      </c>
      <c r="E3719" s="35" t="s">
        <v>549</v>
      </c>
      <c r="F3719" s="35">
        <v>805.0</v>
      </c>
      <c r="G3719" s="35">
        <v>13.39</v>
      </c>
      <c r="H3719" s="35">
        <v>60.1</v>
      </c>
      <c r="I3719" s="35" t="s">
        <v>62</v>
      </c>
    </row>
    <row r="3720" ht="22.5" customHeight="1">
      <c r="A3720" s="35" t="s">
        <v>7632</v>
      </c>
      <c r="B3720" s="35" t="s">
        <v>7633</v>
      </c>
      <c r="C3720" s="35" t="s">
        <v>7759</v>
      </c>
      <c r="D3720" s="35" t="s">
        <v>197</v>
      </c>
      <c r="E3720" s="35" t="s">
        <v>517</v>
      </c>
      <c r="F3720" s="35">
        <v>435.0</v>
      </c>
      <c r="G3720" s="35">
        <v>14.53</v>
      </c>
      <c r="H3720" s="35">
        <v>29.9</v>
      </c>
      <c r="I3720" s="35" t="s">
        <v>75</v>
      </c>
    </row>
    <row r="3721" ht="22.5" customHeight="1">
      <c r="A3721" s="35" t="s">
        <v>7634</v>
      </c>
      <c r="B3721" s="35" t="s">
        <v>7635</v>
      </c>
      <c r="C3721" s="35" t="s">
        <v>7759</v>
      </c>
      <c r="D3721" s="35" t="s">
        <v>229</v>
      </c>
      <c r="E3721" s="35" t="s">
        <v>400</v>
      </c>
      <c r="F3721" s="35">
        <v>234.0</v>
      </c>
      <c r="G3721" s="35">
        <v>5.62</v>
      </c>
      <c r="H3721" s="35">
        <v>41.6</v>
      </c>
      <c r="I3721" s="35" t="s">
        <v>75</v>
      </c>
    </row>
    <row r="3722" ht="22.5" customHeight="1">
      <c r="A3722" s="35" t="s">
        <v>7636</v>
      </c>
      <c r="B3722" s="35" t="s">
        <v>7637</v>
      </c>
      <c r="C3722" s="35" t="s">
        <v>7759</v>
      </c>
      <c r="D3722" s="35" t="s">
        <v>210</v>
      </c>
      <c r="E3722" s="35" t="s">
        <v>537</v>
      </c>
      <c r="F3722" s="35">
        <v>220.0</v>
      </c>
      <c r="G3722" s="35">
        <v>2.25</v>
      </c>
      <c r="H3722" s="35">
        <v>97.8</v>
      </c>
      <c r="I3722" s="35" t="s">
        <v>75</v>
      </c>
    </row>
    <row r="3723" ht="22.5" customHeight="1">
      <c r="A3723" s="35" t="s">
        <v>7638</v>
      </c>
      <c r="B3723" s="35" t="s">
        <v>7639</v>
      </c>
      <c r="C3723" s="35" t="s">
        <v>7759</v>
      </c>
      <c r="D3723" s="35" t="s">
        <v>212</v>
      </c>
      <c r="E3723" s="35" t="s">
        <v>549</v>
      </c>
      <c r="F3723" s="35">
        <v>549.0</v>
      </c>
      <c r="G3723" s="35">
        <v>1.88</v>
      </c>
      <c r="H3723" s="35">
        <v>292.0</v>
      </c>
      <c r="I3723" s="35" t="s">
        <v>62</v>
      </c>
    </row>
    <row r="3724" ht="22.5" customHeight="1">
      <c r="A3724" s="35" t="s">
        <v>7640</v>
      </c>
      <c r="B3724" s="35" t="s">
        <v>7641</v>
      </c>
      <c r="C3724" s="35" t="s">
        <v>7759</v>
      </c>
      <c r="D3724" s="35" t="s">
        <v>152</v>
      </c>
      <c r="E3724" s="35" t="s">
        <v>417</v>
      </c>
      <c r="F3724" s="35">
        <v>29.0</v>
      </c>
      <c r="G3724" s="35">
        <v>2.87</v>
      </c>
      <c r="H3724" s="35">
        <v>10.1</v>
      </c>
      <c r="I3724" s="35" t="s">
        <v>75</v>
      </c>
    </row>
    <row r="3725" ht="22.5" customHeight="1">
      <c r="A3725" s="35" t="s">
        <v>7642</v>
      </c>
      <c r="B3725" s="35" t="s">
        <v>1695</v>
      </c>
      <c r="C3725" s="35" t="s">
        <v>7759</v>
      </c>
      <c r="D3725" s="35" t="s">
        <v>207</v>
      </c>
      <c r="E3725" s="35" t="s">
        <v>534</v>
      </c>
      <c r="F3725" s="35">
        <v>98.0</v>
      </c>
      <c r="G3725" s="35">
        <v>4.97</v>
      </c>
      <c r="H3725" s="35">
        <v>19.7</v>
      </c>
      <c r="I3725" s="35" t="s">
        <v>75</v>
      </c>
    </row>
    <row r="3726" ht="22.5" customHeight="1">
      <c r="A3726" s="35" t="s">
        <v>7643</v>
      </c>
      <c r="B3726" s="35" t="s">
        <v>7644</v>
      </c>
      <c r="C3726" s="35" t="s">
        <v>7759</v>
      </c>
      <c r="D3726" s="35" t="s">
        <v>210</v>
      </c>
      <c r="E3726" s="35" t="s">
        <v>537</v>
      </c>
      <c r="F3726" s="35">
        <v>288.0</v>
      </c>
      <c r="G3726" s="35">
        <v>6.8</v>
      </c>
      <c r="H3726" s="35">
        <v>42.4</v>
      </c>
      <c r="I3726" s="35" t="s">
        <v>75</v>
      </c>
    </row>
    <row r="3727" ht="22.5" customHeight="1">
      <c r="A3727" s="35" t="s">
        <v>7645</v>
      </c>
      <c r="B3727" s="35" t="s">
        <v>7646</v>
      </c>
      <c r="C3727" s="35" t="s">
        <v>7759</v>
      </c>
      <c r="D3727" s="35" t="s">
        <v>212</v>
      </c>
      <c r="E3727" s="35" t="s">
        <v>549</v>
      </c>
      <c r="F3727" s="35">
        <v>655.0</v>
      </c>
      <c r="G3727" s="35">
        <v>5.23</v>
      </c>
      <c r="H3727" s="35">
        <v>125.2</v>
      </c>
      <c r="I3727" s="35" t="s">
        <v>62</v>
      </c>
    </row>
    <row r="3728" ht="22.5" customHeight="1">
      <c r="A3728" s="35" t="s">
        <v>7647</v>
      </c>
      <c r="B3728" s="35" t="s">
        <v>7648</v>
      </c>
      <c r="C3728" s="35" t="s">
        <v>7759</v>
      </c>
      <c r="D3728" s="35" t="s">
        <v>197</v>
      </c>
      <c r="E3728" s="35" t="s">
        <v>517</v>
      </c>
      <c r="F3728" s="35">
        <v>222.0</v>
      </c>
      <c r="G3728" s="35">
        <v>7.31</v>
      </c>
      <c r="H3728" s="35">
        <v>30.4</v>
      </c>
      <c r="I3728" s="35" t="s">
        <v>75</v>
      </c>
    </row>
    <row r="3729" ht="22.5" customHeight="1">
      <c r="A3729" s="35" t="s">
        <v>7649</v>
      </c>
      <c r="B3729" s="35" t="s">
        <v>7650</v>
      </c>
      <c r="C3729" s="35" t="s">
        <v>7759</v>
      </c>
      <c r="D3729" s="35" t="s">
        <v>197</v>
      </c>
      <c r="E3729" s="35" t="s">
        <v>517</v>
      </c>
      <c r="F3729" s="35">
        <v>132.0</v>
      </c>
      <c r="G3729" s="35">
        <v>4.77</v>
      </c>
      <c r="H3729" s="35">
        <v>27.7</v>
      </c>
      <c r="I3729" s="35" t="s">
        <v>75</v>
      </c>
    </row>
    <row r="3730" ht="22.5" customHeight="1">
      <c r="A3730" s="35" t="s">
        <v>7651</v>
      </c>
      <c r="B3730" s="35" t="s">
        <v>7652</v>
      </c>
      <c r="C3730" s="35" t="s">
        <v>7759</v>
      </c>
      <c r="D3730" s="35" t="s">
        <v>218</v>
      </c>
      <c r="E3730" s="35" t="s">
        <v>374</v>
      </c>
      <c r="F3730" s="35">
        <v>120.0</v>
      </c>
      <c r="G3730" s="35">
        <v>3.93</v>
      </c>
      <c r="H3730" s="35">
        <v>30.5</v>
      </c>
      <c r="I3730" s="35" t="s">
        <v>75</v>
      </c>
    </row>
    <row r="3731" ht="22.5" customHeight="1">
      <c r="A3731" s="35" t="s">
        <v>7653</v>
      </c>
      <c r="B3731" s="35" t="s">
        <v>7654</v>
      </c>
      <c r="C3731" s="35" t="s">
        <v>7759</v>
      </c>
      <c r="D3731" s="35" t="s">
        <v>121</v>
      </c>
      <c r="E3731" s="35" t="s">
        <v>325</v>
      </c>
      <c r="F3731" s="35">
        <v>815.0</v>
      </c>
      <c r="G3731" s="35">
        <v>6.2</v>
      </c>
      <c r="H3731" s="35">
        <v>131.5</v>
      </c>
      <c r="I3731" s="35" t="s">
        <v>62</v>
      </c>
    </row>
    <row r="3732" ht="22.5" customHeight="1">
      <c r="A3732" s="35" t="s">
        <v>7655</v>
      </c>
      <c r="B3732" s="35" t="s">
        <v>6101</v>
      </c>
      <c r="C3732" s="35" t="s">
        <v>7759</v>
      </c>
      <c r="D3732" s="35" t="s">
        <v>121</v>
      </c>
      <c r="E3732" s="35" t="s">
        <v>325</v>
      </c>
      <c r="F3732" s="35">
        <v>414.0</v>
      </c>
      <c r="G3732" s="35">
        <v>3.01</v>
      </c>
      <c r="H3732" s="35">
        <v>137.5</v>
      </c>
      <c r="I3732" s="35" t="s">
        <v>75</v>
      </c>
    </row>
    <row r="3733" ht="22.5" customHeight="1">
      <c r="A3733" s="35" t="s">
        <v>7656</v>
      </c>
      <c r="B3733" s="35" t="s">
        <v>7657</v>
      </c>
      <c r="C3733" s="35" t="s">
        <v>7759</v>
      </c>
      <c r="D3733" s="35" t="s">
        <v>230</v>
      </c>
      <c r="E3733" s="35" t="s">
        <v>402</v>
      </c>
      <c r="F3733" s="35">
        <v>233.0</v>
      </c>
      <c r="G3733" s="35">
        <v>6.21</v>
      </c>
      <c r="H3733" s="35">
        <v>37.5</v>
      </c>
      <c r="I3733" s="35" t="s">
        <v>75</v>
      </c>
    </row>
    <row r="3734" ht="22.5" customHeight="1">
      <c r="A3734" s="35" t="s">
        <v>7658</v>
      </c>
      <c r="B3734" s="35" t="s">
        <v>7659</v>
      </c>
      <c r="C3734" s="35" t="s">
        <v>7759</v>
      </c>
      <c r="D3734" s="35" t="s">
        <v>41</v>
      </c>
      <c r="E3734" s="35" t="s">
        <v>35</v>
      </c>
      <c r="F3734" s="35">
        <v>444.0</v>
      </c>
      <c r="G3734" s="35">
        <v>11.27</v>
      </c>
      <c r="H3734" s="35">
        <v>39.4</v>
      </c>
      <c r="I3734" s="35" t="s">
        <v>75</v>
      </c>
    </row>
    <row r="3735" ht="22.5" customHeight="1">
      <c r="A3735" s="35" t="s">
        <v>7660</v>
      </c>
      <c r="B3735" s="35" t="s">
        <v>7661</v>
      </c>
      <c r="C3735" s="35" t="s">
        <v>7759</v>
      </c>
      <c r="D3735" s="35" t="s">
        <v>121</v>
      </c>
      <c r="E3735" s="35" t="s">
        <v>325</v>
      </c>
      <c r="F3735" s="35">
        <v>79.0</v>
      </c>
      <c r="G3735" s="35">
        <v>3.99</v>
      </c>
      <c r="H3735" s="35">
        <v>19.8</v>
      </c>
      <c r="I3735" s="35" t="s">
        <v>75</v>
      </c>
    </row>
    <row r="3736" ht="22.5" customHeight="1">
      <c r="A3736" s="35" t="s">
        <v>7662</v>
      </c>
      <c r="B3736" s="35" t="s">
        <v>7663</v>
      </c>
      <c r="C3736" s="35" t="s">
        <v>7759</v>
      </c>
      <c r="D3736" s="35" t="s">
        <v>210</v>
      </c>
      <c r="E3736" s="35" t="s">
        <v>537</v>
      </c>
      <c r="F3736" s="35">
        <v>268.0</v>
      </c>
      <c r="G3736" s="35">
        <v>5.14</v>
      </c>
      <c r="H3736" s="35">
        <v>52.1</v>
      </c>
      <c r="I3736" s="35" t="s">
        <v>75</v>
      </c>
    </row>
    <row r="3737" ht="22.5" customHeight="1">
      <c r="A3737" s="35" t="s">
        <v>7664</v>
      </c>
      <c r="B3737" s="35" t="s">
        <v>7665</v>
      </c>
      <c r="C3737" s="35" t="s">
        <v>7759</v>
      </c>
      <c r="D3737" s="35" t="s">
        <v>210</v>
      </c>
      <c r="E3737" s="35" t="s">
        <v>537</v>
      </c>
      <c r="F3737" s="35">
        <v>531.0</v>
      </c>
      <c r="G3737" s="35">
        <v>1.85</v>
      </c>
      <c r="H3737" s="35">
        <v>287.0</v>
      </c>
      <c r="I3737" s="35" t="s">
        <v>62</v>
      </c>
    </row>
    <row r="3738" ht="22.5" customHeight="1">
      <c r="A3738" s="35" t="s">
        <v>7666</v>
      </c>
      <c r="B3738" s="35" t="s">
        <v>4409</v>
      </c>
      <c r="C3738" s="35" t="s">
        <v>7759</v>
      </c>
      <c r="D3738" s="35" t="s">
        <v>229</v>
      </c>
      <c r="E3738" s="35" t="s">
        <v>400</v>
      </c>
      <c r="F3738" s="35">
        <v>141.0</v>
      </c>
      <c r="G3738" s="35">
        <v>3.97</v>
      </c>
      <c r="H3738" s="35">
        <v>35.5</v>
      </c>
      <c r="I3738" s="35" t="s">
        <v>75</v>
      </c>
    </row>
    <row r="3739" ht="22.5" customHeight="1">
      <c r="A3739" s="35" t="s">
        <v>7667</v>
      </c>
      <c r="B3739" s="35" t="s">
        <v>7668</v>
      </c>
      <c r="C3739" s="35" t="s">
        <v>7759</v>
      </c>
      <c r="D3739" s="35" t="s">
        <v>225</v>
      </c>
      <c r="E3739" s="35" t="s">
        <v>387</v>
      </c>
      <c r="F3739" s="35">
        <v>97.0</v>
      </c>
      <c r="G3739" s="35">
        <v>4.7</v>
      </c>
      <c r="H3739" s="35">
        <v>20.6</v>
      </c>
      <c r="I3739" s="35" t="s">
        <v>75</v>
      </c>
    </row>
    <row r="3740" ht="22.5" customHeight="1">
      <c r="A3740" s="35" t="s">
        <v>7669</v>
      </c>
      <c r="B3740" s="35" t="s">
        <v>7670</v>
      </c>
      <c r="C3740" s="35" t="s">
        <v>7759</v>
      </c>
      <c r="D3740" s="35" t="s">
        <v>229</v>
      </c>
      <c r="E3740" s="35" t="s">
        <v>400</v>
      </c>
      <c r="F3740" s="35">
        <v>174.0</v>
      </c>
      <c r="G3740" s="35">
        <v>8.02</v>
      </c>
      <c r="H3740" s="35">
        <v>21.7</v>
      </c>
      <c r="I3740" s="35" t="s">
        <v>75</v>
      </c>
    </row>
    <row r="3741" ht="22.5" customHeight="1">
      <c r="A3741" s="35" t="s">
        <v>7671</v>
      </c>
      <c r="B3741" s="35" t="s">
        <v>7672</v>
      </c>
      <c r="C3741" s="35" t="s">
        <v>7759</v>
      </c>
      <c r="D3741" s="35" t="s">
        <v>230</v>
      </c>
      <c r="E3741" s="35" t="s">
        <v>402</v>
      </c>
      <c r="F3741" s="35">
        <v>147.0</v>
      </c>
      <c r="G3741" s="35">
        <v>5.88</v>
      </c>
      <c r="H3741" s="35">
        <v>25.0</v>
      </c>
      <c r="I3741" s="35" t="s">
        <v>75</v>
      </c>
    </row>
    <row r="3742" ht="22.5" customHeight="1">
      <c r="A3742" s="35" t="s">
        <v>7673</v>
      </c>
      <c r="B3742" s="35" t="s">
        <v>7674</v>
      </c>
      <c r="C3742" s="35" t="s">
        <v>7759</v>
      </c>
      <c r="D3742" s="35" t="s">
        <v>185</v>
      </c>
      <c r="E3742" s="35" t="s">
        <v>485</v>
      </c>
      <c r="F3742" s="35">
        <v>168.0</v>
      </c>
      <c r="G3742" s="35">
        <v>4.87</v>
      </c>
      <c r="H3742" s="35">
        <v>34.5</v>
      </c>
      <c r="I3742" s="35" t="s">
        <v>75</v>
      </c>
    </row>
    <row r="3743" ht="22.5" customHeight="1">
      <c r="A3743" s="35" t="s">
        <v>7675</v>
      </c>
      <c r="B3743" s="35" t="s">
        <v>7676</v>
      </c>
      <c r="C3743" s="35" t="s">
        <v>7759</v>
      </c>
      <c r="D3743" s="35" t="s">
        <v>41</v>
      </c>
      <c r="E3743" s="35" t="s">
        <v>35</v>
      </c>
      <c r="F3743" s="35">
        <v>929.0</v>
      </c>
      <c r="G3743" s="35">
        <v>11.33</v>
      </c>
      <c r="H3743" s="35">
        <v>82.0</v>
      </c>
      <c r="I3743" s="35" t="s">
        <v>62</v>
      </c>
    </row>
    <row r="3744" ht="22.5" customHeight="1">
      <c r="A3744" s="35" t="s">
        <v>7677</v>
      </c>
      <c r="B3744" s="35" t="s">
        <v>7678</v>
      </c>
      <c r="C3744" s="35" t="s">
        <v>7759</v>
      </c>
      <c r="D3744" s="35" t="s">
        <v>207</v>
      </c>
      <c r="E3744" s="35" t="s">
        <v>534</v>
      </c>
      <c r="F3744" s="35">
        <v>241.0</v>
      </c>
      <c r="G3744" s="35">
        <v>4.84</v>
      </c>
      <c r="H3744" s="35">
        <v>49.8</v>
      </c>
      <c r="I3744" s="35" t="s">
        <v>75</v>
      </c>
    </row>
    <row r="3745" ht="22.5" customHeight="1">
      <c r="A3745" s="35" t="s">
        <v>7679</v>
      </c>
      <c r="B3745" s="35" t="s">
        <v>7680</v>
      </c>
      <c r="C3745" s="35" t="s">
        <v>7759</v>
      </c>
      <c r="D3745" s="35" t="s">
        <v>218</v>
      </c>
      <c r="E3745" s="35" t="s">
        <v>374</v>
      </c>
      <c r="F3745" s="35">
        <v>2263.0</v>
      </c>
      <c r="G3745" s="35">
        <v>29.0</v>
      </c>
      <c r="H3745" s="35">
        <v>78.0</v>
      </c>
      <c r="I3745" s="35" t="s">
        <v>142</v>
      </c>
    </row>
    <row r="3746" ht="22.5" customHeight="1">
      <c r="A3746" s="35" t="s">
        <v>7681</v>
      </c>
      <c r="B3746" s="35" t="s">
        <v>7682</v>
      </c>
      <c r="C3746" s="35" t="s">
        <v>7759</v>
      </c>
      <c r="D3746" s="35" t="s">
        <v>152</v>
      </c>
      <c r="E3746" s="35" t="s">
        <v>417</v>
      </c>
      <c r="F3746" s="35">
        <v>46.0</v>
      </c>
      <c r="G3746" s="35">
        <v>2.15</v>
      </c>
      <c r="H3746" s="35">
        <v>21.4</v>
      </c>
      <c r="I3746" s="35" t="s">
        <v>75</v>
      </c>
    </row>
    <row r="3747" ht="22.5" customHeight="1">
      <c r="A3747" s="35" t="s">
        <v>7683</v>
      </c>
      <c r="B3747" s="35" t="s">
        <v>7684</v>
      </c>
      <c r="C3747" s="35" t="s">
        <v>7759</v>
      </c>
      <c r="D3747" s="35" t="s">
        <v>218</v>
      </c>
      <c r="E3747" s="35" t="s">
        <v>374</v>
      </c>
      <c r="F3747" s="35">
        <v>461.0</v>
      </c>
      <c r="G3747" s="35">
        <v>8.94</v>
      </c>
      <c r="H3747" s="35">
        <v>51.6</v>
      </c>
      <c r="I3747" s="35" t="s">
        <v>75</v>
      </c>
    </row>
    <row r="3748" ht="22.5" customHeight="1">
      <c r="A3748" s="35" t="s">
        <v>7685</v>
      </c>
      <c r="B3748" s="35" t="s">
        <v>7686</v>
      </c>
      <c r="C3748" s="35" t="s">
        <v>7759</v>
      </c>
      <c r="D3748" s="35" t="s">
        <v>229</v>
      </c>
      <c r="E3748" s="35" t="s">
        <v>400</v>
      </c>
      <c r="F3748" s="35">
        <v>177.0</v>
      </c>
      <c r="G3748" s="35">
        <v>6.05</v>
      </c>
      <c r="H3748" s="35">
        <v>29.3</v>
      </c>
      <c r="I3748" s="35" t="s">
        <v>75</v>
      </c>
    </row>
    <row r="3749" ht="22.5" customHeight="1">
      <c r="A3749" s="35" t="s">
        <v>7687</v>
      </c>
      <c r="B3749" s="35" t="s">
        <v>7688</v>
      </c>
      <c r="C3749" s="35" t="s">
        <v>7759</v>
      </c>
      <c r="D3749" s="35" t="s">
        <v>148</v>
      </c>
      <c r="E3749" s="35" t="s">
        <v>360</v>
      </c>
      <c r="F3749" s="35">
        <v>137.0</v>
      </c>
      <c r="G3749" s="35">
        <v>4.38</v>
      </c>
      <c r="H3749" s="35">
        <v>31.3</v>
      </c>
      <c r="I3749" s="35" t="s">
        <v>75</v>
      </c>
    </row>
    <row r="3750" ht="22.5" customHeight="1">
      <c r="A3750" s="35" t="s">
        <v>7689</v>
      </c>
      <c r="B3750" s="35" t="s">
        <v>7690</v>
      </c>
      <c r="C3750" s="35" t="s">
        <v>7759</v>
      </c>
      <c r="D3750" s="35" t="s">
        <v>207</v>
      </c>
      <c r="E3750" s="35" t="s">
        <v>534</v>
      </c>
      <c r="F3750" s="35">
        <v>1545.0</v>
      </c>
      <c r="G3750" s="35">
        <v>14.22</v>
      </c>
      <c r="H3750" s="35">
        <v>108.6</v>
      </c>
      <c r="I3750" s="35" t="s">
        <v>62</v>
      </c>
    </row>
    <row r="3751" ht="22.5" customHeight="1">
      <c r="A3751" s="35" t="s">
        <v>7691</v>
      </c>
      <c r="B3751" s="35" t="s">
        <v>7692</v>
      </c>
      <c r="C3751" s="35" t="s">
        <v>7759</v>
      </c>
      <c r="D3751" s="35" t="s">
        <v>210</v>
      </c>
      <c r="E3751" s="35" t="s">
        <v>537</v>
      </c>
      <c r="F3751" s="35">
        <v>4647.0</v>
      </c>
      <c r="G3751" s="35">
        <v>14.45</v>
      </c>
      <c r="H3751" s="35">
        <v>321.6</v>
      </c>
      <c r="I3751" s="35" t="s">
        <v>142</v>
      </c>
    </row>
    <row r="3752" ht="22.5" customHeight="1">
      <c r="A3752" s="35" t="s">
        <v>7693</v>
      </c>
      <c r="B3752" s="35" t="s">
        <v>7694</v>
      </c>
      <c r="C3752" s="35" t="s">
        <v>7759</v>
      </c>
      <c r="D3752" s="35" t="s">
        <v>229</v>
      </c>
      <c r="E3752" s="35" t="s">
        <v>400</v>
      </c>
      <c r="F3752" s="35">
        <v>138.0</v>
      </c>
      <c r="G3752" s="35">
        <v>4.48</v>
      </c>
      <c r="H3752" s="35">
        <v>30.8</v>
      </c>
      <c r="I3752" s="35" t="s">
        <v>75</v>
      </c>
    </row>
    <row r="3753" ht="22.5" customHeight="1">
      <c r="A3753" s="35" t="s">
        <v>7695</v>
      </c>
      <c r="B3753" s="35" t="s">
        <v>7696</v>
      </c>
      <c r="C3753" s="35" t="s">
        <v>7759</v>
      </c>
      <c r="D3753" s="35" t="s">
        <v>158</v>
      </c>
      <c r="E3753" s="35" t="s">
        <v>427</v>
      </c>
      <c r="F3753" s="35">
        <v>294.0</v>
      </c>
      <c r="G3753" s="35">
        <v>7.7</v>
      </c>
      <c r="H3753" s="35">
        <v>38.2</v>
      </c>
      <c r="I3753" s="35" t="s">
        <v>75</v>
      </c>
    </row>
    <row r="3754" ht="22.5" customHeight="1">
      <c r="A3754" s="35" t="s">
        <v>7697</v>
      </c>
      <c r="B3754" s="35" t="s">
        <v>7698</v>
      </c>
      <c r="C3754" s="35" t="s">
        <v>7759</v>
      </c>
      <c r="D3754" s="35" t="s">
        <v>158</v>
      </c>
      <c r="E3754" s="35" t="s">
        <v>427</v>
      </c>
      <c r="F3754" s="35">
        <v>530.0</v>
      </c>
      <c r="G3754" s="35">
        <v>11.46</v>
      </c>
      <c r="H3754" s="35">
        <v>46.2</v>
      </c>
      <c r="I3754" s="35" t="s">
        <v>62</v>
      </c>
    </row>
    <row r="3755" ht="22.5" customHeight="1">
      <c r="A3755" s="35" t="s">
        <v>7699</v>
      </c>
      <c r="B3755" s="35" t="s">
        <v>7700</v>
      </c>
      <c r="C3755" s="35" t="s">
        <v>7759</v>
      </c>
      <c r="D3755" s="35" t="s">
        <v>185</v>
      </c>
      <c r="E3755" s="35" t="s">
        <v>485</v>
      </c>
      <c r="F3755" s="35">
        <v>288.0</v>
      </c>
      <c r="G3755" s="35">
        <v>6.3</v>
      </c>
      <c r="H3755" s="35">
        <v>45.7</v>
      </c>
      <c r="I3755" s="35" t="s">
        <v>75</v>
      </c>
    </row>
    <row r="3756" ht="22.5" customHeight="1">
      <c r="A3756" s="35" t="s">
        <v>7701</v>
      </c>
      <c r="B3756" s="35" t="s">
        <v>7702</v>
      </c>
      <c r="C3756" s="35" t="s">
        <v>7759</v>
      </c>
      <c r="D3756" s="35" t="s">
        <v>225</v>
      </c>
      <c r="E3756" s="35" t="s">
        <v>387</v>
      </c>
      <c r="F3756" s="35">
        <v>167.0</v>
      </c>
      <c r="G3756" s="35">
        <v>6.3</v>
      </c>
      <c r="H3756" s="35">
        <v>26.5</v>
      </c>
      <c r="I3756" s="35" t="s">
        <v>75</v>
      </c>
    </row>
    <row r="3757" ht="22.5" customHeight="1">
      <c r="A3757" s="35" t="s">
        <v>7703</v>
      </c>
      <c r="B3757" s="35" t="s">
        <v>7704</v>
      </c>
      <c r="C3757" s="35" t="s">
        <v>7759</v>
      </c>
      <c r="D3757" s="35" t="s">
        <v>185</v>
      </c>
      <c r="E3757" s="35" t="s">
        <v>485</v>
      </c>
      <c r="F3757" s="35">
        <v>160.0</v>
      </c>
      <c r="G3757" s="35">
        <v>5.93</v>
      </c>
      <c r="H3757" s="35">
        <v>27.0</v>
      </c>
      <c r="I3757" s="35" t="s">
        <v>75</v>
      </c>
    </row>
    <row r="3758" ht="22.5" customHeight="1">
      <c r="A3758" s="35" t="s">
        <v>7705</v>
      </c>
      <c r="B3758" s="35" t="s">
        <v>7706</v>
      </c>
      <c r="C3758" s="35" t="s">
        <v>7759</v>
      </c>
      <c r="D3758" s="35" t="s">
        <v>225</v>
      </c>
      <c r="E3758" s="35" t="s">
        <v>387</v>
      </c>
      <c r="F3758" s="35">
        <v>468.0</v>
      </c>
      <c r="G3758" s="35">
        <v>12.13</v>
      </c>
      <c r="H3758" s="35">
        <v>38.6</v>
      </c>
      <c r="I3758" s="35" t="s">
        <v>75</v>
      </c>
    </row>
    <row r="3759" ht="22.5" customHeight="1">
      <c r="A3759" s="35" t="s">
        <v>7707</v>
      </c>
      <c r="B3759" s="35" t="s">
        <v>7708</v>
      </c>
      <c r="C3759" s="35" t="s">
        <v>7759</v>
      </c>
      <c r="D3759" s="35" t="s">
        <v>197</v>
      </c>
      <c r="E3759" s="35" t="s">
        <v>517</v>
      </c>
      <c r="F3759" s="35">
        <v>281.0</v>
      </c>
      <c r="G3759" s="35">
        <v>5.95</v>
      </c>
      <c r="H3759" s="35">
        <v>47.2</v>
      </c>
      <c r="I3759" s="35" t="s">
        <v>75</v>
      </c>
    </row>
    <row r="3760" ht="22.5" customHeight="1">
      <c r="A3760" s="35" t="s">
        <v>7709</v>
      </c>
      <c r="B3760" s="35" t="s">
        <v>7710</v>
      </c>
      <c r="C3760" s="35" t="s">
        <v>7759</v>
      </c>
      <c r="D3760" s="35" t="s">
        <v>225</v>
      </c>
      <c r="E3760" s="35" t="s">
        <v>387</v>
      </c>
      <c r="F3760" s="35">
        <v>503.0</v>
      </c>
      <c r="G3760" s="35">
        <v>16.2</v>
      </c>
      <c r="H3760" s="35">
        <v>31.0</v>
      </c>
      <c r="I3760" s="35" t="s">
        <v>62</v>
      </c>
    </row>
    <row r="3761" ht="22.5" customHeight="1">
      <c r="A3761" s="35" t="s">
        <v>7711</v>
      </c>
      <c r="B3761" s="35" t="s">
        <v>7712</v>
      </c>
      <c r="C3761" s="35" t="s">
        <v>7759</v>
      </c>
      <c r="D3761" s="35" t="s">
        <v>216</v>
      </c>
      <c r="E3761" s="35" t="s">
        <v>371</v>
      </c>
      <c r="F3761" s="35">
        <v>474.0</v>
      </c>
      <c r="G3761" s="35">
        <v>13.6</v>
      </c>
      <c r="H3761" s="35">
        <v>34.9</v>
      </c>
      <c r="I3761" s="35" t="s">
        <v>75</v>
      </c>
    </row>
    <row r="3762" ht="22.5" customHeight="1">
      <c r="A3762" s="35" t="s">
        <v>7713</v>
      </c>
      <c r="B3762" s="35" t="s">
        <v>7714</v>
      </c>
      <c r="C3762" s="35" t="s">
        <v>7759</v>
      </c>
      <c r="D3762" s="35" t="s">
        <v>206</v>
      </c>
      <c r="E3762" s="35" t="s">
        <v>533</v>
      </c>
      <c r="F3762" s="35">
        <v>136.0</v>
      </c>
      <c r="G3762" s="35">
        <v>4.69</v>
      </c>
      <c r="H3762" s="35">
        <v>29.0</v>
      </c>
      <c r="I3762" s="35" t="s">
        <v>75</v>
      </c>
    </row>
    <row r="3763" ht="22.5" customHeight="1">
      <c r="A3763" s="35" t="s">
        <v>7715</v>
      </c>
      <c r="B3763" s="35" t="s">
        <v>7716</v>
      </c>
      <c r="C3763" s="35" t="s">
        <v>7759</v>
      </c>
      <c r="D3763" s="35" t="s">
        <v>152</v>
      </c>
      <c r="E3763" s="35" t="s">
        <v>417</v>
      </c>
      <c r="F3763" s="35">
        <v>595.0</v>
      </c>
      <c r="G3763" s="35">
        <v>9.22</v>
      </c>
      <c r="H3763" s="35">
        <v>64.5</v>
      </c>
      <c r="I3763" s="35" t="s">
        <v>62</v>
      </c>
    </row>
    <row r="3764" ht="22.5" customHeight="1">
      <c r="A3764" s="35" t="s">
        <v>7717</v>
      </c>
      <c r="B3764" s="35" t="s">
        <v>7718</v>
      </c>
      <c r="C3764" s="35" t="s">
        <v>7759</v>
      </c>
      <c r="D3764" s="35" t="s">
        <v>158</v>
      </c>
      <c r="E3764" s="35" t="s">
        <v>427</v>
      </c>
      <c r="F3764" s="35">
        <v>130.0</v>
      </c>
      <c r="G3764" s="35">
        <v>4.23</v>
      </c>
      <c r="H3764" s="35">
        <v>30.7</v>
      </c>
      <c r="I3764" s="35" t="s">
        <v>75</v>
      </c>
    </row>
    <row r="3765" ht="22.5" customHeight="1">
      <c r="A3765" s="35" t="s">
        <v>7719</v>
      </c>
      <c r="B3765" s="35" t="s">
        <v>7720</v>
      </c>
      <c r="C3765" s="35" t="s">
        <v>7759</v>
      </c>
      <c r="D3765" s="35" t="s">
        <v>229</v>
      </c>
      <c r="E3765" s="35" t="s">
        <v>400</v>
      </c>
      <c r="F3765" s="35">
        <v>96.0</v>
      </c>
      <c r="G3765" s="35">
        <v>5.71</v>
      </c>
      <c r="H3765" s="35">
        <v>16.8</v>
      </c>
      <c r="I3765" s="35" t="s">
        <v>75</v>
      </c>
    </row>
    <row r="3766" ht="22.5" customHeight="1">
      <c r="A3766" s="35" t="s">
        <v>7721</v>
      </c>
      <c r="B3766" s="35" t="s">
        <v>7722</v>
      </c>
      <c r="C3766" s="35" t="s">
        <v>7759</v>
      </c>
      <c r="D3766" s="35" t="s">
        <v>230</v>
      </c>
      <c r="E3766" s="35" t="s">
        <v>402</v>
      </c>
      <c r="F3766" s="35">
        <v>459.0</v>
      </c>
      <c r="G3766" s="35">
        <v>5.68</v>
      </c>
      <c r="H3766" s="35">
        <v>80.8</v>
      </c>
      <c r="I3766" s="35" t="s">
        <v>75</v>
      </c>
    </row>
    <row r="3767" ht="22.5" customHeight="1">
      <c r="A3767" s="35" t="s">
        <v>7723</v>
      </c>
      <c r="B3767" s="35" t="s">
        <v>7724</v>
      </c>
      <c r="C3767" s="35" t="s">
        <v>7759</v>
      </c>
      <c r="D3767" s="35" t="s">
        <v>225</v>
      </c>
      <c r="E3767" s="35" t="s">
        <v>387</v>
      </c>
      <c r="F3767" s="35">
        <v>839.0</v>
      </c>
      <c r="G3767" s="35">
        <v>20.64</v>
      </c>
      <c r="H3767" s="35">
        <v>40.6</v>
      </c>
      <c r="I3767" s="35" t="s">
        <v>62</v>
      </c>
    </row>
    <row r="3768" ht="22.5" customHeight="1">
      <c r="A3768" s="35" t="s">
        <v>7725</v>
      </c>
      <c r="B3768" s="35" t="s">
        <v>7726</v>
      </c>
      <c r="C3768" s="35" t="s">
        <v>7759</v>
      </c>
      <c r="D3768" s="35" t="s">
        <v>207</v>
      </c>
      <c r="E3768" s="35" t="s">
        <v>534</v>
      </c>
      <c r="F3768" s="35">
        <v>78.0</v>
      </c>
      <c r="G3768" s="35">
        <v>2.82</v>
      </c>
      <c r="H3768" s="35">
        <v>27.7</v>
      </c>
      <c r="I3768" s="35" t="s">
        <v>75</v>
      </c>
    </row>
    <row r="3769" ht="22.5" customHeight="1">
      <c r="A3769" s="35" t="s">
        <v>7727</v>
      </c>
      <c r="B3769" s="35" t="s">
        <v>7728</v>
      </c>
      <c r="C3769" s="35" t="s">
        <v>7759</v>
      </c>
      <c r="D3769" s="35" t="s">
        <v>210</v>
      </c>
      <c r="E3769" s="35" t="s">
        <v>537</v>
      </c>
      <c r="F3769" s="35">
        <v>743.0</v>
      </c>
      <c r="G3769" s="35">
        <v>15.33</v>
      </c>
      <c r="H3769" s="35">
        <v>48.5</v>
      </c>
      <c r="I3769" s="35" t="s">
        <v>62</v>
      </c>
    </row>
    <row r="3770" ht="22.5" customHeight="1">
      <c r="A3770" s="35" t="s">
        <v>7729</v>
      </c>
      <c r="B3770" s="35" t="s">
        <v>6185</v>
      </c>
      <c r="C3770" s="35" t="s">
        <v>7759</v>
      </c>
      <c r="D3770" s="35" t="s">
        <v>229</v>
      </c>
      <c r="E3770" s="35" t="s">
        <v>400</v>
      </c>
      <c r="F3770" s="35">
        <v>230.0</v>
      </c>
      <c r="G3770" s="35">
        <v>8.18</v>
      </c>
      <c r="H3770" s="35">
        <v>28.1</v>
      </c>
      <c r="I3770" s="35" t="s">
        <v>75</v>
      </c>
    </row>
    <row r="3771" ht="22.5" customHeight="1">
      <c r="A3771" s="35" t="s">
        <v>7730</v>
      </c>
      <c r="B3771" s="35" t="s">
        <v>7731</v>
      </c>
      <c r="C3771" s="35" t="s">
        <v>7759</v>
      </c>
      <c r="D3771" s="35" t="s">
        <v>185</v>
      </c>
      <c r="E3771" s="35" t="s">
        <v>485</v>
      </c>
      <c r="F3771" s="35">
        <v>139.0</v>
      </c>
      <c r="G3771" s="35">
        <v>3.01</v>
      </c>
      <c r="H3771" s="35">
        <v>46.2</v>
      </c>
      <c r="I3771" s="35" t="s">
        <v>75</v>
      </c>
    </row>
    <row r="3772" ht="22.5" customHeight="1">
      <c r="A3772" s="35" t="s">
        <v>7732</v>
      </c>
      <c r="B3772" s="35" t="s">
        <v>7733</v>
      </c>
      <c r="C3772" s="35" t="s">
        <v>7759</v>
      </c>
      <c r="D3772" s="35" t="s">
        <v>230</v>
      </c>
      <c r="E3772" s="35" t="s">
        <v>402</v>
      </c>
      <c r="F3772" s="35">
        <v>121.0</v>
      </c>
      <c r="G3772" s="35">
        <v>4.22</v>
      </c>
      <c r="H3772" s="35">
        <v>28.7</v>
      </c>
      <c r="I3772" s="35" t="s">
        <v>75</v>
      </c>
    </row>
    <row r="3773" ht="22.5" customHeight="1">
      <c r="A3773" s="35" t="s">
        <v>7734</v>
      </c>
      <c r="B3773" s="35" t="s">
        <v>7735</v>
      </c>
      <c r="C3773" s="35" t="s">
        <v>7759</v>
      </c>
      <c r="D3773" s="35" t="s">
        <v>230</v>
      </c>
      <c r="E3773" s="35" t="s">
        <v>402</v>
      </c>
      <c r="F3773" s="35">
        <v>249.0</v>
      </c>
      <c r="G3773" s="35">
        <v>5.89</v>
      </c>
      <c r="H3773" s="35">
        <v>42.3</v>
      </c>
      <c r="I3773" s="35" t="s">
        <v>75</v>
      </c>
    </row>
    <row r="3774" ht="22.5" customHeight="1">
      <c r="A3774" s="35" t="s">
        <v>7736</v>
      </c>
      <c r="B3774" s="35" t="s">
        <v>7737</v>
      </c>
      <c r="C3774" s="35" t="s">
        <v>7759</v>
      </c>
      <c r="D3774" s="35" t="s">
        <v>121</v>
      </c>
      <c r="E3774" s="35" t="s">
        <v>325</v>
      </c>
      <c r="F3774" s="35">
        <v>103.0</v>
      </c>
      <c r="G3774" s="35">
        <v>4.81</v>
      </c>
      <c r="H3774" s="35">
        <v>21.4</v>
      </c>
      <c r="I3774" s="35" t="s">
        <v>75</v>
      </c>
    </row>
    <row r="3775" ht="22.5" customHeight="1">
      <c r="A3775" s="35" t="s">
        <v>7738</v>
      </c>
      <c r="B3775" s="35" t="s">
        <v>7739</v>
      </c>
      <c r="C3775" s="35" t="s">
        <v>7759</v>
      </c>
      <c r="D3775" s="35" t="s">
        <v>178</v>
      </c>
      <c r="E3775" s="35" t="s">
        <v>475</v>
      </c>
      <c r="F3775" s="35">
        <v>732.0</v>
      </c>
      <c r="G3775" s="35">
        <v>16.26</v>
      </c>
      <c r="H3775" s="35">
        <v>45.0</v>
      </c>
      <c r="I3775" s="35" t="s">
        <v>62</v>
      </c>
    </row>
    <row r="3776" ht="22.5" customHeight="1">
      <c r="A3776" s="35" t="s">
        <v>7740</v>
      </c>
      <c r="B3776" s="35" t="s">
        <v>7741</v>
      </c>
      <c r="C3776" s="35" t="s">
        <v>7759</v>
      </c>
      <c r="D3776" s="35" t="s">
        <v>212</v>
      </c>
      <c r="E3776" s="35" t="s">
        <v>549</v>
      </c>
      <c r="F3776" s="35">
        <v>1302.0</v>
      </c>
      <c r="G3776" s="35">
        <v>4.22</v>
      </c>
      <c r="H3776" s="35">
        <v>308.5</v>
      </c>
      <c r="I3776" s="35" t="s">
        <v>62</v>
      </c>
    </row>
    <row r="3777" ht="22.5" customHeight="1">
      <c r="A3777" s="35" t="s">
        <v>7742</v>
      </c>
      <c r="B3777" s="35" t="s">
        <v>7743</v>
      </c>
      <c r="C3777" s="35" t="s">
        <v>7759</v>
      </c>
      <c r="D3777" s="35" t="s">
        <v>229</v>
      </c>
      <c r="E3777" s="35" t="s">
        <v>400</v>
      </c>
      <c r="F3777" s="35">
        <v>46.0</v>
      </c>
      <c r="G3777" s="35">
        <v>1.87</v>
      </c>
      <c r="H3777" s="35">
        <v>24.6</v>
      </c>
      <c r="I3777" s="35" t="s">
        <v>75</v>
      </c>
    </row>
    <row r="3778" ht="22.5" customHeight="1">
      <c r="A3778" s="35" t="s">
        <v>7744</v>
      </c>
      <c r="B3778" s="35" t="s">
        <v>7745</v>
      </c>
      <c r="C3778" s="35" t="s">
        <v>7759</v>
      </c>
      <c r="D3778" s="35" t="s">
        <v>152</v>
      </c>
      <c r="E3778" s="35" t="s">
        <v>417</v>
      </c>
      <c r="F3778" s="35">
        <v>87.0</v>
      </c>
      <c r="G3778" s="35">
        <v>2.76</v>
      </c>
      <c r="H3778" s="35">
        <v>31.5</v>
      </c>
      <c r="I3778" s="35" t="s">
        <v>75</v>
      </c>
    </row>
    <row r="3779" ht="22.5" customHeight="1">
      <c r="A3779" s="35" t="s">
        <v>7746</v>
      </c>
      <c r="B3779" s="35" t="s">
        <v>7747</v>
      </c>
      <c r="C3779" s="35" t="s">
        <v>7759</v>
      </c>
      <c r="D3779" s="35" t="s">
        <v>225</v>
      </c>
      <c r="E3779" s="35" t="s">
        <v>387</v>
      </c>
      <c r="F3779" s="35">
        <v>296.0</v>
      </c>
      <c r="G3779" s="35">
        <v>9.29</v>
      </c>
      <c r="H3779" s="35">
        <v>31.9</v>
      </c>
      <c r="I3779" s="35" t="s">
        <v>75</v>
      </c>
    </row>
    <row r="3780" ht="22.5" customHeight="1">
      <c r="A3780" s="35" t="s">
        <v>7748</v>
      </c>
      <c r="B3780" s="35" t="s">
        <v>7749</v>
      </c>
      <c r="C3780" s="35" t="s">
        <v>7759</v>
      </c>
      <c r="D3780" s="35" t="s">
        <v>225</v>
      </c>
      <c r="E3780" s="35" t="s">
        <v>387</v>
      </c>
      <c r="F3780" s="35">
        <v>130.0</v>
      </c>
      <c r="G3780" s="35">
        <v>6.08</v>
      </c>
      <c r="H3780" s="35">
        <v>21.4</v>
      </c>
      <c r="I3780" s="35" t="s">
        <v>75</v>
      </c>
    </row>
    <row r="3781" ht="22.5" customHeight="1">
      <c r="A3781" s="35" t="s">
        <v>7750</v>
      </c>
      <c r="B3781" s="35" t="s">
        <v>7751</v>
      </c>
      <c r="C3781" s="35" t="s">
        <v>7759</v>
      </c>
      <c r="D3781" s="35" t="s">
        <v>212</v>
      </c>
      <c r="E3781" s="35" t="s">
        <v>549</v>
      </c>
      <c r="F3781" s="35">
        <v>490.0</v>
      </c>
      <c r="G3781" s="35">
        <v>3.44</v>
      </c>
      <c r="H3781" s="35">
        <v>142.4</v>
      </c>
      <c r="I3781" s="35" t="s">
        <v>75</v>
      </c>
    </row>
    <row r="3782" ht="22.5" customHeight="1">
      <c r="A3782" s="35" t="s">
        <v>7752</v>
      </c>
      <c r="B3782" s="35" t="s">
        <v>7753</v>
      </c>
      <c r="C3782" s="35" t="s">
        <v>7759</v>
      </c>
      <c r="D3782" s="35" t="s">
        <v>218</v>
      </c>
      <c r="E3782" s="35" t="s">
        <v>374</v>
      </c>
      <c r="F3782" s="35">
        <v>264.0</v>
      </c>
      <c r="G3782" s="35">
        <v>5.04</v>
      </c>
      <c r="H3782" s="35">
        <v>52.4</v>
      </c>
      <c r="I3782" s="35" t="s">
        <v>75</v>
      </c>
    </row>
    <row r="3783" ht="22.5" customHeight="1">
      <c r="A3783" s="35" t="s">
        <v>7754</v>
      </c>
      <c r="B3783" s="35" t="s">
        <v>7755</v>
      </c>
      <c r="C3783" s="35" t="s">
        <v>7759</v>
      </c>
      <c r="D3783" s="35" t="s">
        <v>121</v>
      </c>
      <c r="E3783" s="35" t="s">
        <v>325</v>
      </c>
      <c r="F3783" s="35">
        <v>243.0</v>
      </c>
      <c r="G3783" s="35">
        <v>3.99</v>
      </c>
      <c r="H3783" s="35">
        <v>60.9</v>
      </c>
      <c r="I3783" s="35" t="s">
        <v>75</v>
      </c>
    </row>
  </sheetData>
  <customSheetViews>
    <customSheetView guid="{6A10AF1C-CBE8-4CBD-806B-1F91B56E607D}" filter="1" showAutoFilter="1">
      <autoFilter ref="$A$1:$I$3783"/>
      <extLst>
        <ext uri="GoogleSheetsCustomDataVersion1">
          <go:sheetsCustomData xmlns:go="http://customooxmlschemas.google.com/" filterViewId="343393700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7.88"/>
    <col customWidth="1" min="2" max="2" width="35.0"/>
    <col customWidth="1" min="3" max="4" width="18.13"/>
    <col customWidth="1" min="5" max="5" width="24.38"/>
    <col customWidth="1" min="6" max="6" width="20.5"/>
  </cols>
  <sheetData>
    <row r="1" ht="22.5" customHeight="1">
      <c r="A1" s="36" t="s">
        <v>51</v>
      </c>
      <c r="B1" s="36" t="s">
        <v>52</v>
      </c>
      <c r="C1" s="36" t="s">
        <v>273</v>
      </c>
      <c r="D1" s="36" t="s">
        <v>276</v>
      </c>
      <c r="E1" s="36" t="s">
        <v>277</v>
      </c>
      <c r="F1" s="36" t="s">
        <v>278</v>
      </c>
    </row>
    <row r="2" ht="22.5" customHeight="1">
      <c r="A2" s="37" t="s">
        <v>59</v>
      </c>
      <c r="B2" s="35" t="s">
        <v>60</v>
      </c>
      <c r="C2" s="35">
        <v>498.0</v>
      </c>
      <c r="D2" s="35">
        <v>518.0</v>
      </c>
      <c r="E2" s="35">
        <v>24700.0</v>
      </c>
      <c r="F2" s="35" t="s">
        <v>11</v>
      </c>
    </row>
    <row r="3" ht="22.5" customHeight="1">
      <c r="A3" s="37" t="s">
        <v>63</v>
      </c>
      <c r="B3" s="35" t="s">
        <v>64</v>
      </c>
      <c r="C3" s="35">
        <v>598.0</v>
      </c>
      <c r="D3" s="35">
        <v>584.0</v>
      </c>
      <c r="E3" s="35">
        <v>25260.0</v>
      </c>
      <c r="F3" s="35" t="s">
        <v>11</v>
      </c>
    </row>
    <row r="4" ht="22.5" customHeight="1">
      <c r="A4" s="37" t="s">
        <v>65</v>
      </c>
      <c r="B4" s="35" t="s">
        <v>66</v>
      </c>
      <c r="C4" s="35">
        <v>1012.0</v>
      </c>
      <c r="D4" s="35">
        <v>1004.0</v>
      </c>
      <c r="E4" s="35">
        <v>26000.0</v>
      </c>
      <c r="F4" s="35" t="s">
        <v>11</v>
      </c>
    </row>
    <row r="5" ht="22.5" customHeight="1">
      <c r="A5" s="37" t="s">
        <v>69</v>
      </c>
      <c r="B5" s="35" t="s">
        <v>70</v>
      </c>
      <c r="C5" s="35">
        <v>177.0</v>
      </c>
      <c r="D5" s="35">
        <v>189.0</v>
      </c>
      <c r="E5" s="35">
        <v>21320.0</v>
      </c>
      <c r="F5" s="35" t="s">
        <v>11</v>
      </c>
    </row>
    <row r="6" ht="22.5" customHeight="1">
      <c r="A6" s="37" t="s">
        <v>76</v>
      </c>
      <c r="B6" s="35" t="s">
        <v>77</v>
      </c>
      <c r="C6" s="35">
        <v>384.0</v>
      </c>
      <c r="D6" s="35">
        <v>417.0</v>
      </c>
      <c r="E6" s="35">
        <v>27790.0</v>
      </c>
      <c r="F6" s="35" t="s">
        <v>11</v>
      </c>
    </row>
    <row r="7" ht="22.5" customHeight="1">
      <c r="A7" s="37" t="s">
        <v>80</v>
      </c>
      <c r="B7" s="35" t="s">
        <v>81</v>
      </c>
      <c r="C7" s="35">
        <v>255.0</v>
      </c>
      <c r="D7" s="35">
        <v>259.0</v>
      </c>
      <c r="E7" s="35">
        <v>25470.0</v>
      </c>
      <c r="F7" s="35" t="s">
        <v>11</v>
      </c>
    </row>
    <row r="8" ht="22.5" customHeight="1">
      <c r="A8" s="37" t="s">
        <v>84</v>
      </c>
      <c r="B8" s="35" t="s">
        <v>85</v>
      </c>
      <c r="C8" s="35">
        <v>125.0</v>
      </c>
      <c r="D8" s="35">
        <v>118.0</v>
      </c>
      <c r="E8" s="35">
        <v>26000.0</v>
      </c>
      <c r="F8" s="35" t="s">
        <v>11</v>
      </c>
    </row>
    <row r="9" ht="22.5" customHeight="1">
      <c r="A9" s="37" t="s">
        <v>88</v>
      </c>
      <c r="B9" s="35" t="s">
        <v>89</v>
      </c>
      <c r="C9" s="35">
        <v>291.0</v>
      </c>
      <c r="D9" s="35">
        <v>306.0</v>
      </c>
      <c r="E9" s="35">
        <v>26290.0</v>
      </c>
      <c r="F9" s="35" t="s">
        <v>11</v>
      </c>
    </row>
    <row r="10" ht="22.5" customHeight="1">
      <c r="A10" s="37" t="s">
        <v>92</v>
      </c>
      <c r="B10" s="35" t="s">
        <v>93</v>
      </c>
      <c r="C10" s="35">
        <v>543.0</v>
      </c>
      <c r="D10" s="35">
        <v>517.0</v>
      </c>
      <c r="E10" s="35">
        <v>25820.0</v>
      </c>
      <c r="F10" s="35" t="s">
        <v>11</v>
      </c>
    </row>
    <row r="11" ht="22.5" customHeight="1">
      <c r="A11" s="37" t="s">
        <v>96</v>
      </c>
      <c r="B11" s="35" t="s">
        <v>97</v>
      </c>
      <c r="C11" s="35">
        <v>177.0</v>
      </c>
      <c r="D11" s="35">
        <v>163.0</v>
      </c>
      <c r="E11" s="35">
        <v>26140.0</v>
      </c>
      <c r="F11" s="35" t="s">
        <v>11</v>
      </c>
    </row>
    <row r="12" ht="22.5" customHeight="1">
      <c r="A12" s="37" t="s">
        <v>100</v>
      </c>
      <c r="B12" s="35" t="s">
        <v>101</v>
      </c>
      <c r="C12" s="35">
        <v>1155.0</v>
      </c>
      <c r="D12" s="35">
        <v>1205.0</v>
      </c>
      <c r="E12" s="35">
        <v>27570.0</v>
      </c>
      <c r="F12" s="35" t="s">
        <v>11</v>
      </c>
    </row>
    <row r="13" ht="22.5" customHeight="1">
      <c r="A13" s="37" t="s">
        <v>104</v>
      </c>
      <c r="B13" s="35" t="s">
        <v>105</v>
      </c>
      <c r="C13" s="35">
        <v>70.0</v>
      </c>
      <c r="D13" s="35">
        <v>79.0</v>
      </c>
      <c r="E13" s="35" t="s">
        <v>11</v>
      </c>
      <c r="F13" s="35" t="s">
        <v>11</v>
      </c>
    </row>
    <row r="14" ht="22.5" customHeight="1">
      <c r="A14" s="37" t="s">
        <v>108</v>
      </c>
      <c r="B14" s="35" t="s">
        <v>109</v>
      </c>
      <c r="C14" s="35">
        <v>404.0</v>
      </c>
      <c r="D14" s="35">
        <v>391.0</v>
      </c>
      <c r="E14" s="35">
        <v>27200.0</v>
      </c>
      <c r="F14" s="35" t="s">
        <v>11</v>
      </c>
    </row>
    <row r="15" ht="22.5" customHeight="1">
      <c r="A15" s="37" t="s">
        <v>111</v>
      </c>
      <c r="B15" s="35" t="s">
        <v>112</v>
      </c>
      <c r="C15" s="35">
        <v>744.0</v>
      </c>
      <c r="D15" s="35">
        <v>707.0</v>
      </c>
      <c r="E15" s="35">
        <v>25340.0</v>
      </c>
      <c r="F15" s="35" t="s">
        <v>11</v>
      </c>
    </row>
    <row r="16" ht="22.5" customHeight="1">
      <c r="A16" s="37" t="s">
        <v>113</v>
      </c>
      <c r="B16" s="35" t="s">
        <v>114</v>
      </c>
      <c r="C16" s="35">
        <v>75.0</v>
      </c>
      <c r="D16" s="35">
        <v>78.0</v>
      </c>
      <c r="E16" s="35" t="s">
        <v>11</v>
      </c>
      <c r="F16" s="35" t="s">
        <v>11</v>
      </c>
    </row>
    <row r="17" ht="22.5" customHeight="1">
      <c r="A17" s="37" t="s">
        <v>117</v>
      </c>
      <c r="B17" s="35" t="s">
        <v>119</v>
      </c>
      <c r="C17" s="35">
        <v>228.0</v>
      </c>
      <c r="D17" s="35">
        <v>212.0</v>
      </c>
      <c r="E17" s="35">
        <v>24940.0</v>
      </c>
      <c r="F17" s="35" t="s">
        <v>11</v>
      </c>
    </row>
    <row r="18" ht="22.5" customHeight="1">
      <c r="A18" s="37" t="s">
        <v>125</v>
      </c>
      <c r="B18" s="35" t="s">
        <v>126</v>
      </c>
      <c r="C18" s="35">
        <v>315.0</v>
      </c>
      <c r="D18" s="35">
        <v>274.0</v>
      </c>
      <c r="E18" s="35">
        <v>25510.0</v>
      </c>
      <c r="F18" s="35" t="s">
        <v>11</v>
      </c>
    </row>
    <row r="19" ht="22.5" customHeight="1">
      <c r="A19" s="37" t="s">
        <v>133</v>
      </c>
      <c r="B19" s="35" t="s">
        <v>134</v>
      </c>
      <c r="C19" s="35">
        <v>2533.0</v>
      </c>
      <c r="D19" s="35">
        <v>2472.0</v>
      </c>
      <c r="E19" s="35">
        <v>23090.0</v>
      </c>
      <c r="F19" s="35">
        <v>16.0</v>
      </c>
    </row>
    <row r="20" ht="22.5" customHeight="1">
      <c r="A20" s="37" t="s">
        <v>143</v>
      </c>
      <c r="B20" s="35" t="s">
        <v>144</v>
      </c>
      <c r="C20" s="35">
        <v>364.0</v>
      </c>
      <c r="D20" s="35">
        <v>349.0</v>
      </c>
      <c r="E20" s="35">
        <v>23740.0</v>
      </c>
      <c r="F20" s="35" t="s">
        <v>11</v>
      </c>
    </row>
    <row r="21" ht="22.5" customHeight="1">
      <c r="A21" s="37" t="s">
        <v>153</v>
      </c>
      <c r="B21" s="35" t="s">
        <v>154</v>
      </c>
      <c r="C21" s="35">
        <v>456.0</v>
      </c>
      <c r="D21" s="35">
        <v>456.0</v>
      </c>
      <c r="E21" s="35">
        <v>23100.0</v>
      </c>
      <c r="F21" s="35" t="s">
        <v>11</v>
      </c>
    </row>
    <row r="22" ht="22.5" customHeight="1">
      <c r="A22" s="37" t="s">
        <v>162</v>
      </c>
      <c r="B22" s="35" t="s">
        <v>164</v>
      </c>
      <c r="C22" s="35">
        <v>87.0</v>
      </c>
      <c r="D22" s="35">
        <v>76.0</v>
      </c>
      <c r="E22" s="35" t="s">
        <v>11</v>
      </c>
      <c r="F22" s="35" t="s">
        <v>11</v>
      </c>
    </row>
    <row r="23" ht="22.5" customHeight="1">
      <c r="A23" s="37" t="s">
        <v>172</v>
      </c>
      <c r="B23" s="35" t="s">
        <v>174</v>
      </c>
      <c r="C23" s="35">
        <v>403.0</v>
      </c>
      <c r="D23" s="35">
        <v>396.0</v>
      </c>
      <c r="E23" s="35">
        <v>25950.0</v>
      </c>
      <c r="F23" s="35" t="s">
        <v>11</v>
      </c>
    </row>
    <row r="24" ht="22.5" customHeight="1">
      <c r="A24" s="37" t="s">
        <v>177</v>
      </c>
      <c r="B24" s="35" t="s">
        <v>179</v>
      </c>
      <c r="C24" s="35">
        <v>103.0</v>
      </c>
      <c r="D24" s="35">
        <v>96.0</v>
      </c>
      <c r="E24" s="35" t="s">
        <v>11</v>
      </c>
      <c r="F24" s="35" t="s">
        <v>11</v>
      </c>
    </row>
    <row r="25" ht="22.5" customHeight="1">
      <c r="A25" s="37" t="s">
        <v>184</v>
      </c>
      <c r="B25" s="35" t="s">
        <v>186</v>
      </c>
      <c r="C25" s="35">
        <v>53.0</v>
      </c>
      <c r="D25" s="35">
        <v>45.0</v>
      </c>
      <c r="E25" s="35" t="s">
        <v>11</v>
      </c>
      <c r="F25" s="35" t="s">
        <v>11</v>
      </c>
    </row>
    <row r="26" ht="22.5" customHeight="1">
      <c r="A26" s="37" t="s">
        <v>193</v>
      </c>
      <c r="B26" s="35" t="s">
        <v>194</v>
      </c>
      <c r="C26" s="35">
        <v>371.0</v>
      </c>
      <c r="D26" s="35">
        <v>361.0</v>
      </c>
      <c r="E26" s="35">
        <v>26150.0</v>
      </c>
      <c r="F26" s="35" t="s">
        <v>11</v>
      </c>
    </row>
    <row r="27" ht="22.5" customHeight="1">
      <c r="A27" s="37" t="s">
        <v>199</v>
      </c>
      <c r="B27" s="35" t="s">
        <v>201</v>
      </c>
      <c r="C27" s="35">
        <v>222.0</v>
      </c>
      <c r="D27" s="35">
        <v>209.0</v>
      </c>
      <c r="E27" s="35">
        <v>22280.0</v>
      </c>
      <c r="F27" s="35" t="s">
        <v>11</v>
      </c>
    </row>
    <row r="28" ht="22.5" customHeight="1">
      <c r="A28" s="37" t="s">
        <v>208</v>
      </c>
      <c r="B28" s="35" t="s">
        <v>209</v>
      </c>
      <c r="C28" s="35">
        <v>2604.0</v>
      </c>
      <c r="D28" s="35">
        <v>2578.0</v>
      </c>
      <c r="E28" s="35">
        <v>25840.0</v>
      </c>
      <c r="F28" s="35">
        <v>11.0</v>
      </c>
    </row>
    <row r="29" ht="22.5" customHeight="1">
      <c r="A29" s="37" t="s">
        <v>213</v>
      </c>
      <c r="B29" s="35" t="s">
        <v>215</v>
      </c>
      <c r="C29" s="35">
        <v>363.0</v>
      </c>
      <c r="D29" s="35">
        <v>337.0</v>
      </c>
      <c r="E29" s="35">
        <v>27020.0</v>
      </c>
      <c r="F29" s="35" t="s">
        <v>11</v>
      </c>
    </row>
    <row r="30" ht="22.5" customHeight="1">
      <c r="A30" s="37" t="s">
        <v>221</v>
      </c>
      <c r="B30" s="35" t="s">
        <v>222</v>
      </c>
      <c r="C30" s="35">
        <v>269.0</v>
      </c>
      <c r="D30" s="35">
        <v>238.0</v>
      </c>
      <c r="E30" s="35">
        <v>25630.0</v>
      </c>
      <c r="F30" s="35" t="s">
        <v>11</v>
      </c>
    </row>
    <row r="31" ht="22.5" customHeight="1">
      <c r="A31" s="37" t="s">
        <v>226</v>
      </c>
      <c r="B31" s="35" t="s">
        <v>227</v>
      </c>
      <c r="C31" s="35">
        <v>657.0</v>
      </c>
      <c r="D31" s="35">
        <v>658.0</v>
      </c>
      <c r="E31" s="35">
        <v>20520.0</v>
      </c>
      <c r="F31" s="35" t="s">
        <v>11</v>
      </c>
    </row>
    <row r="32" ht="22.5" customHeight="1">
      <c r="A32" s="37" t="s">
        <v>232</v>
      </c>
      <c r="B32" s="35" t="s">
        <v>233</v>
      </c>
      <c r="C32" s="35">
        <v>253.0</v>
      </c>
      <c r="D32" s="35">
        <v>231.0</v>
      </c>
      <c r="E32" s="35">
        <v>21870.0</v>
      </c>
      <c r="F32" s="35" t="s">
        <v>11</v>
      </c>
    </row>
    <row r="33" ht="22.5" customHeight="1">
      <c r="A33" s="37" t="s">
        <v>238</v>
      </c>
      <c r="B33" s="35" t="s">
        <v>239</v>
      </c>
      <c r="C33" s="35">
        <v>105.0</v>
      </c>
      <c r="D33" s="35">
        <v>102.0</v>
      </c>
      <c r="E33" s="35">
        <v>27820.0</v>
      </c>
      <c r="F33" s="35" t="s">
        <v>11</v>
      </c>
    </row>
    <row r="34" ht="22.5" customHeight="1">
      <c r="A34" s="37" t="s">
        <v>240</v>
      </c>
      <c r="B34" s="35" t="s">
        <v>241</v>
      </c>
      <c r="C34" s="35">
        <v>118.0</v>
      </c>
      <c r="D34" s="35">
        <v>104.0</v>
      </c>
      <c r="E34" s="35">
        <v>26480.0</v>
      </c>
      <c r="F34" s="35" t="s">
        <v>11</v>
      </c>
    </row>
    <row r="35" ht="22.5" customHeight="1">
      <c r="A35" s="37" t="s">
        <v>242</v>
      </c>
      <c r="B35" s="35" t="s">
        <v>243</v>
      </c>
      <c r="C35" s="35">
        <v>279.0</v>
      </c>
      <c r="D35" s="35">
        <v>273.0</v>
      </c>
      <c r="E35" s="35">
        <v>24790.0</v>
      </c>
      <c r="F35" s="35" t="s">
        <v>11</v>
      </c>
    </row>
    <row r="36" ht="22.5" customHeight="1">
      <c r="A36" s="37" t="s">
        <v>244</v>
      </c>
      <c r="B36" s="35" t="s">
        <v>245</v>
      </c>
      <c r="C36" s="35">
        <v>82.0</v>
      </c>
      <c r="D36" s="35">
        <v>72.0</v>
      </c>
      <c r="E36" s="35" t="s">
        <v>11</v>
      </c>
      <c r="F36" s="35" t="s">
        <v>11</v>
      </c>
    </row>
    <row r="37" ht="22.5" customHeight="1">
      <c r="A37" s="37" t="s">
        <v>246</v>
      </c>
      <c r="B37" s="35" t="s">
        <v>247</v>
      </c>
      <c r="C37" s="35">
        <v>1422.0</v>
      </c>
      <c r="D37" s="35">
        <v>1348.0</v>
      </c>
      <c r="E37" s="35">
        <v>24480.0</v>
      </c>
      <c r="F37" s="35" t="s">
        <v>11</v>
      </c>
    </row>
    <row r="38" ht="22.5" customHeight="1">
      <c r="A38" s="37" t="s">
        <v>248</v>
      </c>
      <c r="B38" s="35" t="s">
        <v>249</v>
      </c>
      <c r="C38" s="35">
        <v>57.0</v>
      </c>
      <c r="D38" s="35">
        <v>62.0</v>
      </c>
      <c r="E38" s="35" t="s">
        <v>11</v>
      </c>
      <c r="F38" s="35" t="s">
        <v>11</v>
      </c>
    </row>
    <row r="39" ht="22.5" customHeight="1">
      <c r="A39" s="37" t="s">
        <v>250</v>
      </c>
      <c r="B39" s="35" t="s">
        <v>251</v>
      </c>
      <c r="C39" s="35">
        <v>169.0</v>
      </c>
      <c r="D39" s="35">
        <v>176.0</v>
      </c>
      <c r="E39" s="35">
        <v>21760.0</v>
      </c>
      <c r="F39" s="35" t="s">
        <v>11</v>
      </c>
    </row>
    <row r="40" ht="22.5" customHeight="1">
      <c r="A40" s="37" t="s">
        <v>252</v>
      </c>
      <c r="B40" s="35" t="s">
        <v>253</v>
      </c>
      <c r="C40" s="35">
        <v>178.0</v>
      </c>
      <c r="D40" s="35">
        <v>175.0</v>
      </c>
      <c r="E40" s="35">
        <v>23920.0</v>
      </c>
      <c r="F40" s="35" t="s">
        <v>11</v>
      </c>
    </row>
    <row r="41" ht="22.5" customHeight="1">
      <c r="A41" s="37" t="s">
        <v>256</v>
      </c>
      <c r="B41" s="35" t="s">
        <v>257</v>
      </c>
      <c r="C41" s="35">
        <v>814.0</v>
      </c>
      <c r="D41" s="35">
        <v>777.0</v>
      </c>
      <c r="E41" s="35">
        <v>25610.0</v>
      </c>
      <c r="F41" s="35" t="s">
        <v>11</v>
      </c>
    </row>
    <row r="42" ht="22.5" customHeight="1">
      <c r="A42" s="37" t="s">
        <v>258</v>
      </c>
      <c r="B42" s="35" t="s">
        <v>259</v>
      </c>
      <c r="C42" s="35">
        <v>389.0</v>
      </c>
      <c r="D42" s="35">
        <v>369.0</v>
      </c>
      <c r="E42" s="35">
        <v>27130.0</v>
      </c>
      <c r="F42" s="35" t="s">
        <v>11</v>
      </c>
    </row>
    <row r="43" ht="22.5" customHeight="1">
      <c r="A43" s="37" t="s">
        <v>260</v>
      </c>
      <c r="B43" s="35" t="s">
        <v>261</v>
      </c>
      <c r="C43" s="35">
        <v>69.0</v>
      </c>
      <c r="D43" s="35">
        <v>62.0</v>
      </c>
      <c r="E43" s="35" t="s">
        <v>11</v>
      </c>
      <c r="F43" s="35" t="s">
        <v>11</v>
      </c>
    </row>
    <row r="44" ht="22.5" customHeight="1">
      <c r="A44" s="37" t="s">
        <v>262</v>
      </c>
      <c r="B44" s="35" t="s">
        <v>263</v>
      </c>
      <c r="C44" s="35">
        <v>26.0</v>
      </c>
      <c r="D44" s="35">
        <v>26.0</v>
      </c>
      <c r="E44" s="35" t="s">
        <v>11</v>
      </c>
      <c r="F44" s="35" t="s">
        <v>11</v>
      </c>
    </row>
    <row r="45" ht="22.5" customHeight="1">
      <c r="A45" s="37" t="s">
        <v>264</v>
      </c>
      <c r="B45" s="35" t="s">
        <v>265</v>
      </c>
      <c r="C45" s="35">
        <v>555.0</v>
      </c>
      <c r="D45" s="35">
        <v>555.0</v>
      </c>
      <c r="E45" s="35">
        <v>25430.0</v>
      </c>
      <c r="F45" s="35" t="s">
        <v>11</v>
      </c>
    </row>
    <row r="46" ht="22.5" customHeight="1">
      <c r="A46" s="37" t="s">
        <v>266</v>
      </c>
      <c r="B46" s="35" t="s">
        <v>267</v>
      </c>
      <c r="C46" s="35">
        <v>114.0</v>
      </c>
      <c r="D46" s="35">
        <v>108.0</v>
      </c>
      <c r="E46" s="35">
        <v>26470.0</v>
      </c>
      <c r="F46" s="35" t="s">
        <v>11</v>
      </c>
    </row>
    <row r="47" ht="22.5" customHeight="1">
      <c r="A47" s="37" t="s">
        <v>269</v>
      </c>
      <c r="B47" s="35" t="s">
        <v>270</v>
      </c>
      <c r="C47" s="35">
        <v>134.0</v>
      </c>
      <c r="D47" s="35">
        <v>130.0</v>
      </c>
      <c r="E47" s="35">
        <v>27750.0</v>
      </c>
      <c r="F47" s="35" t="s">
        <v>11</v>
      </c>
    </row>
    <row r="48" ht="22.5" customHeight="1">
      <c r="A48" s="37" t="s">
        <v>271</v>
      </c>
      <c r="B48" s="35" t="s">
        <v>272</v>
      </c>
      <c r="C48" s="35">
        <v>740.0</v>
      </c>
      <c r="D48" s="35">
        <v>752.0</v>
      </c>
      <c r="E48" s="35">
        <v>26480.0</v>
      </c>
      <c r="F48" s="35" t="s">
        <v>11</v>
      </c>
    </row>
    <row r="49" ht="22.5" customHeight="1">
      <c r="A49" s="37" t="s">
        <v>274</v>
      </c>
      <c r="B49" s="35" t="s">
        <v>275</v>
      </c>
      <c r="C49" s="35">
        <v>330.0</v>
      </c>
      <c r="D49" s="35">
        <v>316.0</v>
      </c>
      <c r="E49" s="35">
        <v>24490.0</v>
      </c>
      <c r="F49" s="35" t="s">
        <v>11</v>
      </c>
    </row>
    <row r="50" ht="22.5" customHeight="1">
      <c r="A50" s="37" t="s">
        <v>279</v>
      </c>
      <c r="B50" s="35" t="s">
        <v>280</v>
      </c>
      <c r="C50" s="35">
        <v>384.0</v>
      </c>
      <c r="D50" s="35">
        <v>380.0</v>
      </c>
      <c r="E50" s="35">
        <v>29670.0</v>
      </c>
      <c r="F50" s="35" t="s">
        <v>11</v>
      </c>
    </row>
    <row r="51" ht="22.5" customHeight="1">
      <c r="A51" s="37" t="s">
        <v>281</v>
      </c>
      <c r="B51" s="35" t="s">
        <v>282</v>
      </c>
      <c r="C51" s="35">
        <v>139.0</v>
      </c>
      <c r="D51" s="35">
        <v>131.0</v>
      </c>
      <c r="E51" s="35">
        <v>25620.0</v>
      </c>
      <c r="F51" s="35" t="s">
        <v>11</v>
      </c>
    </row>
    <row r="52" ht="22.5" customHeight="1">
      <c r="A52" s="37" t="s">
        <v>283</v>
      </c>
      <c r="B52" s="35" t="s">
        <v>284</v>
      </c>
      <c r="C52" s="35">
        <v>570.0</v>
      </c>
      <c r="D52" s="35">
        <v>599.0</v>
      </c>
      <c r="E52" s="35">
        <v>28870.0</v>
      </c>
      <c r="F52" s="35" t="s">
        <v>11</v>
      </c>
    </row>
    <row r="53" ht="22.5" customHeight="1">
      <c r="A53" s="37" t="s">
        <v>286</v>
      </c>
      <c r="B53" s="35" t="s">
        <v>287</v>
      </c>
      <c r="C53" s="35">
        <v>538.0</v>
      </c>
      <c r="D53" s="35">
        <v>516.0</v>
      </c>
      <c r="E53" s="35">
        <v>27310.0</v>
      </c>
      <c r="F53" s="35" t="s">
        <v>11</v>
      </c>
    </row>
    <row r="54" ht="22.5" customHeight="1">
      <c r="A54" s="37" t="s">
        <v>288</v>
      </c>
      <c r="B54" s="35" t="s">
        <v>289</v>
      </c>
      <c r="C54" s="35">
        <v>92.0</v>
      </c>
      <c r="D54" s="35">
        <v>82.0</v>
      </c>
      <c r="E54" s="35" t="s">
        <v>11</v>
      </c>
      <c r="F54" s="35" t="s">
        <v>11</v>
      </c>
    </row>
    <row r="55" ht="22.5" customHeight="1">
      <c r="A55" s="37" t="s">
        <v>290</v>
      </c>
      <c r="B55" s="35" t="s">
        <v>291</v>
      </c>
      <c r="C55" s="35">
        <v>177.0</v>
      </c>
      <c r="D55" s="35">
        <v>168.0</v>
      </c>
      <c r="E55" s="35">
        <v>24770.0</v>
      </c>
      <c r="F55" s="35" t="s">
        <v>11</v>
      </c>
    </row>
    <row r="56" ht="22.5" customHeight="1">
      <c r="A56" s="37" t="s">
        <v>292</v>
      </c>
      <c r="B56" s="35" t="s">
        <v>293</v>
      </c>
      <c r="C56" s="35">
        <v>1424.0</v>
      </c>
      <c r="D56" s="35">
        <v>1281.0</v>
      </c>
      <c r="E56" s="35">
        <v>21310.0</v>
      </c>
      <c r="F56" s="35" t="s">
        <v>11</v>
      </c>
    </row>
    <row r="57" ht="22.5" customHeight="1">
      <c r="A57" s="37" t="s">
        <v>294</v>
      </c>
      <c r="B57" s="35" t="s">
        <v>295</v>
      </c>
      <c r="C57" s="35">
        <v>844.0</v>
      </c>
      <c r="D57" s="35">
        <v>794.0</v>
      </c>
      <c r="E57" s="35">
        <v>24450.0</v>
      </c>
      <c r="F57" s="35" t="s">
        <v>11</v>
      </c>
    </row>
    <row r="58" ht="22.5" customHeight="1">
      <c r="A58" s="37" t="s">
        <v>296</v>
      </c>
      <c r="B58" s="35" t="s">
        <v>297</v>
      </c>
      <c r="C58" s="35">
        <v>2699.0</v>
      </c>
      <c r="D58" s="35">
        <v>2579.0</v>
      </c>
      <c r="E58" s="35">
        <v>19790.0</v>
      </c>
      <c r="F58" s="35">
        <v>29.0</v>
      </c>
    </row>
    <row r="59" ht="22.5" customHeight="1">
      <c r="A59" s="37" t="s">
        <v>298</v>
      </c>
      <c r="B59" s="35" t="s">
        <v>299</v>
      </c>
      <c r="C59" s="35">
        <v>268.0</v>
      </c>
      <c r="D59" s="35">
        <v>263.0</v>
      </c>
      <c r="E59" s="35">
        <v>26390.0</v>
      </c>
      <c r="F59" s="35" t="s">
        <v>11</v>
      </c>
    </row>
    <row r="60" ht="22.5" customHeight="1">
      <c r="A60" s="37" t="s">
        <v>301</v>
      </c>
      <c r="B60" s="35" t="s">
        <v>302</v>
      </c>
      <c r="C60" s="35">
        <v>250.0</v>
      </c>
      <c r="D60" s="35">
        <v>268.0</v>
      </c>
      <c r="E60" s="35">
        <v>23230.0</v>
      </c>
      <c r="F60" s="35" t="s">
        <v>11</v>
      </c>
    </row>
    <row r="61" ht="22.5" customHeight="1">
      <c r="A61" s="37" t="s">
        <v>303</v>
      </c>
      <c r="B61" s="35" t="s">
        <v>304</v>
      </c>
      <c r="C61" s="35">
        <v>136.0</v>
      </c>
      <c r="D61" s="35">
        <v>131.0</v>
      </c>
      <c r="E61" s="35">
        <v>29840.0</v>
      </c>
      <c r="F61" s="35" t="s">
        <v>11</v>
      </c>
    </row>
    <row r="62" ht="22.5" customHeight="1">
      <c r="A62" s="37" t="s">
        <v>305</v>
      </c>
      <c r="B62" s="35" t="s">
        <v>306</v>
      </c>
      <c r="C62" s="35">
        <v>381.0</v>
      </c>
      <c r="D62" s="35">
        <v>378.0</v>
      </c>
      <c r="E62" s="35">
        <v>24840.0</v>
      </c>
      <c r="F62" s="35" t="s">
        <v>11</v>
      </c>
    </row>
    <row r="63" ht="22.5" customHeight="1">
      <c r="A63" s="37" t="s">
        <v>307</v>
      </c>
      <c r="B63" s="35" t="s">
        <v>308</v>
      </c>
      <c r="C63" s="35">
        <v>3810.0</v>
      </c>
      <c r="D63" s="35">
        <v>3659.0</v>
      </c>
      <c r="E63" s="35">
        <v>22680.0</v>
      </c>
      <c r="F63" s="35">
        <v>19.0</v>
      </c>
    </row>
    <row r="64" ht="22.5" customHeight="1">
      <c r="A64" s="37" t="s">
        <v>309</v>
      </c>
      <c r="B64" s="35" t="s">
        <v>310</v>
      </c>
      <c r="C64" s="35">
        <v>602.0</v>
      </c>
      <c r="D64" s="35">
        <v>560.0</v>
      </c>
      <c r="E64" s="35">
        <v>22400.0</v>
      </c>
      <c r="F64" s="35" t="s">
        <v>11</v>
      </c>
    </row>
    <row r="65" ht="22.5" customHeight="1">
      <c r="A65" s="37" t="s">
        <v>311</v>
      </c>
      <c r="B65" s="35" t="s">
        <v>313</v>
      </c>
      <c r="C65" s="35">
        <v>204.0</v>
      </c>
      <c r="D65" s="35">
        <v>191.0</v>
      </c>
      <c r="E65" s="35">
        <v>25700.0</v>
      </c>
      <c r="F65" s="35" t="s">
        <v>11</v>
      </c>
    </row>
    <row r="66" ht="22.5" customHeight="1">
      <c r="A66" s="37" t="s">
        <v>314</v>
      </c>
      <c r="B66" s="35" t="s">
        <v>315</v>
      </c>
      <c r="C66" s="35">
        <v>213.0</v>
      </c>
      <c r="D66" s="35">
        <v>205.0</v>
      </c>
      <c r="E66" s="35">
        <v>24670.0</v>
      </c>
      <c r="F66" s="35" t="s">
        <v>11</v>
      </c>
    </row>
    <row r="67" ht="22.5" customHeight="1">
      <c r="A67" s="37" t="s">
        <v>316</v>
      </c>
      <c r="B67" s="35" t="s">
        <v>317</v>
      </c>
      <c r="C67" s="35">
        <v>103.0</v>
      </c>
      <c r="D67" s="35">
        <v>85.0</v>
      </c>
      <c r="E67" s="35" t="s">
        <v>11</v>
      </c>
      <c r="F67" s="35" t="s">
        <v>11</v>
      </c>
    </row>
    <row r="68" ht="22.5" customHeight="1">
      <c r="A68" s="37" t="s">
        <v>318</v>
      </c>
      <c r="B68" s="35" t="s">
        <v>319</v>
      </c>
      <c r="C68" s="35">
        <v>111.0</v>
      </c>
      <c r="D68" s="35">
        <v>104.0</v>
      </c>
      <c r="E68" s="35" t="s">
        <v>11</v>
      </c>
      <c r="F68" s="35" t="s">
        <v>11</v>
      </c>
    </row>
    <row r="69" ht="22.5" customHeight="1">
      <c r="A69" s="37" t="s">
        <v>320</v>
      </c>
      <c r="B69" s="35" t="s">
        <v>321</v>
      </c>
      <c r="C69" s="35">
        <v>452.0</v>
      </c>
      <c r="D69" s="35">
        <v>431.0</v>
      </c>
      <c r="E69" s="35">
        <v>24430.0</v>
      </c>
      <c r="F69" s="35" t="s">
        <v>11</v>
      </c>
    </row>
    <row r="70" ht="22.5" customHeight="1">
      <c r="A70" s="37" t="s">
        <v>322</v>
      </c>
      <c r="B70" s="35" t="s">
        <v>324</v>
      </c>
      <c r="C70" s="35">
        <v>651.0</v>
      </c>
      <c r="D70" s="35">
        <v>631.0</v>
      </c>
      <c r="E70" s="35">
        <v>27780.0</v>
      </c>
      <c r="F70" s="35" t="s">
        <v>11</v>
      </c>
    </row>
    <row r="71" ht="22.5" customHeight="1">
      <c r="A71" s="37" t="s">
        <v>326</v>
      </c>
      <c r="B71" s="35" t="s">
        <v>327</v>
      </c>
      <c r="C71" s="35">
        <v>188.0</v>
      </c>
      <c r="D71" s="35">
        <v>178.0</v>
      </c>
      <c r="E71" s="35">
        <v>28150.0</v>
      </c>
      <c r="F71" s="35" t="s">
        <v>11</v>
      </c>
    </row>
    <row r="72" ht="22.5" customHeight="1">
      <c r="A72" s="37" t="s">
        <v>329</v>
      </c>
      <c r="B72" s="35" t="s">
        <v>330</v>
      </c>
      <c r="C72" s="35">
        <v>653.0</v>
      </c>
      <c r="D72" s="35">
        <v>722.0</v>
      </c>
      <c r="E72" s="35">
        <v>24880.0</v>
      </c>
      <c r="F72" s="35" t="s">
        <v>11</v>
      </c>
    </row>
    <row r="73" ht="22.5" customHeight="1">
      <c r="A73" s="37" t="s">
        <v>331</v>
      </c>
      <c r="B73" s="35" t="s">
        <v>332</v>
      </c>
      <c r="C73" s="35">
        <v>604.0</v>
      </c>
      <c r="D73" s="35">
        <v>601.0</v>
      </c>
      <c r="E73" s="35">
        <v>25070.0</v>
      </c>
      <c r="F73" s="35" t="s">
        <v>11</v>
      </c>
    </row>
    <row r="74" ht="22.5" customHeight="1">
      <c r="A74" s="37" t="s">
        <v>334</v>
      </c>
      <c r="B74" s="35" t="s">
        <v>335</v>
      </c>
      <c r="C74" s="35">
        <v>199.0</v>
      </c>
      <c r="D74" s="35">
        <v>203.0</v>
      </c>
      <c r="E74" s="35">
        <v>25930.0</v>
      </c>
      <c r="F74" s="35" t="s">
        <v>11</v>
      </c>
    </row>
    <row r="75" ht="22.5" customHeight="1">
      <c r="A75" s="37" t="s">
        <v>336</v>
      </c>
      <c r="B75" s="35" t="s">
        <v>337</v>
      </c>
      <c r="C75" s="35">
        <v>162.0</v>
      </c>
      <c r="D75" s="35">
        <v>159.0</v>
      </c>
      <c r="E75" s="35">
        <v>30200.0</v>
      </c>
      <c r="F75" s="35" t="s">
        <v>11</v>
      </c>
    </row>
    <row r="76" ht="22.5" customHeight="1">
      <c r="A76" s="37" t="s">
        <v>339</v>
      </c>
      <c r="B76" s="35" t="s">
        <v>340</v>
      </c>
      <c r="C76" s="35">
        <v>160.0</v>
      </c>
      <c r="D76" s="35">
        <v>166.0</v>
      </c>
      <c r="E76" s="35">
        <v>25090.0</v>
      </c>
      <c r="F76" s="35" t="s">
        <v>11</v>
      </c>
    </row>
    <row r="77" ht="22.5" customHeight="1">
      <c r="A77" s="37" t="s">
        <v>342</v>
      </c>
      <c r="B77" s="35" t="s">
        <v>343</v>
      </c>
      <c r="C77" s="35">
        <v>152.0</v>
      </c>
      <c r="D77" s="35">
        <v>132.0</v>
      </c>
      <c r="E77" s="35">
        <v>22520.0</v>
      </c>
      <c r="F77" s="35" t="s">
        <v>11</v>
      </c>
    </row>
    <row r="78" ht="22.5" customHeight="1">
      <c r="A78" s="37" t="s">
        <v>344</v>
      </c>
      <c r="B78" s="35" t="s">
        <v>345</v>
      </c>
      <c r="C78" s="35">
        <v>350.0</v>
      </c>
      <c r="D78" s="35">
        <v>309.0</v>
      </c>
      <c r="E78" s="35">
        <v>28770.0</v>
      </c>
      <c r="F78" s="35" t="s">
        <v>11</v>
      </c>
    </row>
    <row r="79" ht="22.5" customHeight="1">
      <c r="A79" s="37" t="s">
        <v>347</v>
      </c>
      <c r="B79" s="35" t="s">
        <v>348</v>
      </c>
      <c r="C79" s="35">
        <v>440.0</v>
      </c>
      <c r="D79" s="35">
        <v>421.0</v>
      </c>
      <c r="E79" s="35">
        <v>27460.0</v>
      </c>
      <c r="F79" s="35" t="s">
        <v>11</v>
      </c>
    </row>
    <row r="80" ht="22.5" customHeight="1">
      <c r="A80" s="37" t="s">
        <v>350</v>
      </c>
      <c r="B80" s="35" t="s">
        <v>351</v>
      </c>
      <c r="C80" s="35">
        <v>111.0</v>
      </c>
      <c r="D80" s="35">
        <v>120.0</v>
      </c>
      <c r="E80" s="35">
        <v>27560.0</v>
      </c>
      <c r="F80" s="35" t="s">
        <v>11</v>
      </c>
    </row>
    <row r="81" ht="22.5" customHeight="1">
      <c r="A81" s="37" t="s">
        <v>352</v>
      </c>
      <c r="B81" s="35" t="s">
        <v>353</v>
      </c>
      <c r="C81" s="35">
        <v>749.0</v>
      </c>
      <c r="D81" s="35">
        <v>736.0</v>
      </c>
      <c r="E81" s="35">
        <v>26620.0</v>
      </c>
      <c r="F81" s="35" t="s">
        <v>11</v>
      </c>
    </row>
    <row r="82" ht="22.5" customHeight="1">
      <c r="A82" s="37" t="s">
        <v>355</v>
      </c>
      <c r="B82" s="35" t="s">
        <v>356</v>
      </c>
      <c r="C82" s="35">
        <v>260.0</v>
      </c>
      <c r="D82" s="35">
        <v>248.0</v>
      </c>
      <c r="E82" s="35">
        <v>27910.0</v>
      </c>
      <c r="F82" s="35" t="s">
        <v>11</v>
      </c>
    </row>
    <row r="83" ht="22.5" customHeight="1">
      <c r="A83" s="37" t="s">
        <v>358</v>
      </c>
      <c r="B83" s="35" t="s">
        <v>359</v>
      </c>
      <c r="C83" s="35">
        <v>1043.0</v>
      </c>
      <c r="D83" s="35">
        <v>991.0</v>
      </c>
      <c r="E83" s="35">
        <v>26190.0</v>
      </c>
      <c r="F83" s="35" t="s">
        <v>11</v>
      </c>
    </row>
    <row r="84" ht="22.5" customHeight="1">
      <c r="A84" s="37" t="s">
        <v>361</v>
      </c>
      <c r="B84" s="35" t="s">
        <v>362</v>
      </c>
      <c r="C84" s="35">
        <v>1048.0</v>
      </c>
      <c r="D84" s="35">
        <v>979.0</v>
      </c>
      <c r="E84" s="35">
        <v>25140.0</v>
      </c>
      <c r="F84" s="35" t="s">
        <v>11</v>
      </c>
    </row>
    <row r="85" ht="22.5" customHeight="1">
      <c r="A85" s="37" t="s">
        <v>364</v>
      </c>
      <c r="B85" s="35" t="s">
        <v>365</v>
      </c>
      <c r="C85" s="35">
        <v>30.0</v>
      </c>
      <c r="D85" s="35">
        <v>31.0</v>
      </c>
      <c r="E85" s="35" t="s">
        <v>11</v>
      </c>
      <c r="F85" s="35" t="s">
        <v>11</v>
      </c>
    </row>
    <row r="86" ht="22.5" customHeight="1">
      <c r="A86" s="37" t="s">
        <v>367</v>
      </c>
      <c r="B86" s="35" t="s">
        <v>368</v>
      </c>
      <c r="C86" s="35">
        <v>88.0</v>
      </c>
      <c r="D86" s="35">
        <v>80.0</v>
      </c>
      <c r="E86" s="35" t="s">
        <v>11</v>
      </c>
      <c r="F86" s="35" t="s">
        <v>11</v>
      </c>
    </row>
    <row r="87" ht="22.5" customHeight="1">
      <c r="A87" s="37" t="s">
        <v>369</v>
      </c>
      <c r="B87" s="35" t="s">
        <v>370</v>
      </c>
      <c r="C87" s="35">
        <v>1154.0</v>
      </c>
      <c r="D87" s="35">
        <v>1130.0</v>
      </c>
      <c r="E87" s="35">
        <v>25940.0</v>
      </c>
      <c r="F87" s="35" t="s">
        <v>11</v>
      </c>
    </row>
    <row r="88" ht="22.5" customHeight="1">
      <c r="A88" s="37" t="s">
        <v>372</v>
      </c>
      <c r="B88" s="35" t="s">
        <v>373</v>
      </c>
      <c r="C88" s="35">
        <v>213.0</v>
      </c>
      <c r="D88" s="35">
        <v>194.0</v>
      </c>
      <c r="E88" s="35">
        <v>26790.0</v>
      </c>
      <c r="F88" s="35" t="s">
        <v>11</v>
      </c>
    </row>
    <row r="89" ht="22.5" customHeight="1">
      <c r="A89" s="37" t="s">
        <v>375</v>
      </c>
      <c r="B89" s="35" t="s">
        <v>376</v>
      </c>
      <c r="C89" s="35">
        <v>106.0</v>
      </c>
      <c r="D89" s="35">
        <v>98.0</v>
      </c>
      <c r="E89" s="35">
        <v>26730.0</v>
      </c>
      <c r="F89" s="35" t="s">
        <v>11</v>
      </c>
    </row>
    <row r="90" ht="22.5" customHeight="1">
      <c r="A90" s="37" t="s">
        <v>378</v>
      </c>
      <c r="B90" s="35" t="s">
        <v>379</v>
      </c>
      <c r="C90" s="35">
        <v>1290.0</v>
      </c>
      <c r="D90" s="35">
        <v>1162.0</v>
      </c>
      <c r="E90" s="35">
        <v>22560.0</v>
      </c>
      <c r="F90" s="35" t="s">
        <v>11</v>
      </c>
    </row>
    <row r="91" ht="22.5" customHeight="1">
      <c r="A91" s="37" t="s">
        <v>381</v>
      </c>
      <c r="B91" s="35" t="s">
        <v>382</v>
      </c>
      <c r="C91" s="35">
        <v>447.0</v>
      </c>
      <c r="D91" s="35">
        <v>474.0</v>
      </c>
      <c r="E91" s="35">
        <v>28400.0</v>
      </c>
      <c r="F91" s="35" t="s">
        <v>11</v>
      </c>
    </row>
    <row r="92" ht="22.5" customHeight="1">
      <c r="A92" s="37" t="s">
        <v>383</v>
      </c>
      <c r="B92" s="35" t="s">
        <v>384</v>
      </c>
      <c r="C92" s="35">
        <v>5664.0</v>
      </c>
      <c r="D92" s="35">
        <v>5605.0</v>
      </c>
      <c r="E92" s="35">
        <v>17770.0</v>
      </c>
      <c r="F92" s="35">
        <v>39.0</v>
      </c>
    </row>
    <row r="93" ht="22.5" customHeight="1">
      <c r="A93" s="37" t="s">
        <v>385</v>
      </c>
      <c r="B93" s="35" t="s">
        <v>386</v>
      </c>
      <c r="C93" s="35">
        <v>201.0</v>
      </c>
      <c r="D93" s="35">
        <v>187.0</v>
      </c>
      <c r="E93" s="35">
        <v>24700.0</v>
      </c>
      <c r="F93" s="35" t="s">
        <v>11</v>
      </c>
    </row>
    <row r="94" ht="22.5" customHeight="1">
      <c r="A94" s="37" t="s">
        <v>388</v>
      </c>
      <c r="B94" s="35" t="s">
        <v>389</v>
      </c>
      <c r="C94" s="35">
        <v>259.0</v>
      </c>
      <c r="D94" s="35">
        <v>272.0</v>
      </c>
      <c r="E94" s="35">
        <v>22700.0</v>
      </c>
      <c r="F94" s="35" t="s">
        <v>11</v>
      </c>
    </row>
    <row r="95" ht="22.5" customHeight="1">
      <c r="A95" s="37" t="s">
        <v>391</v>
      </c>
      <c r="B95" s="35" t="s">
        <v>392</v>
      </c>
      <c r="C95" s="35">
        <v>375.0</v>
      </c>
      <c r="D95" s="35">
        <v>375.0</v>
      </c>
      <c r="E95" s="35">
        <v>30380.0</v>
      </c>
      <c r="F95" s="35" t="s">
        <v>11</v>
      </c>
    </row>
    <row r="96" ht="22.5" customHeight="1">
      <c r="A96" s="37" t="s">
        <v>393</v>
      </c>
      <c r="B96" s="35" t="s">
        <v>394</v>
      </c>
      <c r="C96" s="35">
        <v>236.0</v>
      </c>
      <c r="D96" s="35">
        <v>212.0</v>
      </c>
      <c r="E96" s="35">
        <v>27020.0</v>
      </c>
      <c r="F96" s="35" t="s">
        <v>11</v>
      </c>
    </row>
    <row r="97" ht="22.5" customHeight="1">
      <c r="A97" s="37" t="s">
        <v>395</v>
      </c>
      <c r="B97" s="35" t="s">
        <v>397</v>
      </c>
      <c r="C97" s="35">
        <v>137.0</v>
      </c>
      <c r="D97" s="35">
        <v>137.0</v>
      </c>
      <c r="E97" s="35">
        <v>24390.0</v>
      </c>
      <c r="F97" s="35" t="s">
        <v>11</v>
      </c>
    </row>
    <row r="98" ht="22.5" customHeight="1">
      <c r="A98" s="37" t="s">
        <v>398</v>
      </c>
      <c r="B98" s="35" t="s">
        <v>399</v>
      </c>
      <c r="C98" s="35">
        <v>193.0</v>
      </c>
      <c r="D98" s="35">
        <v>170.0</v>
      </c>
      <c r="E98" s="35">
        <v>22910.0</v>
      </c>
      <c r="F98" s="35" t="s">
        <v>11</v>
      </c>
    </row>
    <row r="99" ht="22.5" customHeight="1">
      <c r="A99" s="37" t="s">
        <v>401</v>
      </c>
      <c r="B99" s="35" t="s">
        <v>403</v>
      </c>
      <c r="C99" s="35">
        <v>187.0</v>
      </c>
      <c r="D99" s="35">
        <v>181.0</v>
      </c>
      <c r="E99" s="35">
        <v>25270.0</v>
      </c>
      <c r="F99" s="35" t="s">
        <v>11</v>
      </c>
    </row>
    <row r="100" ht="22.5" customHeight="1">
      <c r="A100" s="37" t="s">
        <v>404</v>
      </c>
      <c r="B100" s="35" t="s">
        <v>405</v>
      </c>
      <c r="C100" s="35">
        <v>1324.0</v>
      </c>
      <c r="D100" s="35">
        <v>1315.0</v>
      </c>
      <c r="E100" s="35">
        <v>23060.0</v>
      </c>
      <c r="F100" s="35" t="s">
        <v>11</v>
      </c>
    </row>
    <row r="101" ht="22.5" customHeight="1">
      <c r="A101" s="37" t="s">
        <v>407</v>
      </c>
      <c r="B101" s="35" t="s">
        <v>408</v>
      </c>
      <c r="C101" s="35">
        <v>102.0</v>
      </c>
      <c r="D101" s="35">
        <v>96.0</v>
      </c>
      <c r="E101" s="35" t="s">
        <v>11</v>
      </c>
      <c r="F101" s="35" t="s">
        <v>11</v>
      </c>
    </row>
    <row r="102" ht="22.5" customHeight="1">
      <c r="A102" s="37" t="s">
        <v>409</v>
      </c>
      <c r="B102" s="35" t="s">
        <v>410</v>
      </c>
      <c r="C102" s="35">
        <v>202.0</v>
      </c>
      <c r="D102" s="35">
        <v>183.0</v>
      </c>
      <c r="E102" s="35">
        <v>26000.0</v>
      </c>
      <c r="F102" s="35" t="s">
        <v>11</v>
      </c>
    </row>
    <row r="103" ht="22.5" customHeight="1">
      <c r="A103" s="37" t="s">
        <v>412</v>
      </c>
      <c r="B103" s="35" t="s">
        <v>413</v>
      </c>
      <c r="C103" s="35">
        <v>822.0</v>
      </c>
      <c r="D103" s="35">
        <v>809.0</v>
      </c>
      <c r="E103" s="35">
        <v>22750.0</v>
      </c>
      <c r="F103" s="35" t="s">
        <v>11</v>
      </c>
    </row>
    <row r="104" ht="22.5" customHeight="1">
      <c r="A104" s="37" t="s">
        <v>415</v>
      </c>
      <c r="B104" s="35" t="s">
        <v>416</v>
      </c>
      <c r="C104" s="35">
        <v>103.0</v>
      </c>
      <c r="D104" s="35">
        <v>104.0</v>
      </c>
      <c r="E104" s="35" t="s">
        <v>11</v>
      </c>
      <c r="F104" s="35" t="s">
        <v>11</v>
      </c>
    </row>
    <row r="105" ht="22.5" customHeight="1">
      <c r="A105" s="37" t="s">
        <v>418</v>
      </c>
      <c r="B105" s="35" t="s">
        <v>419</v>
      </c>
      <c r="C105" s="35">
        <v>158.0</v>
      </c>
      <c r="D105" s="35">
        <v>140.0</v>
      </c>
      <c r="E105" s="35">
        <v>28970.0</v>
      </c>
      <c r="F105" s="35" t="s">
        <v>11</v>
      </c>
    </row>
    <row r="106" ht="22.5" customHeight="1">
      <c r="A106" s="37" t="s">
        <v>421</v>
      </c>
      <c r="B106" s="35" t="s">
        <v>422</v>
      </c>
      <c r="C106" s="35">
        <v>486.0</v>
      </c>
      <c r="D106" s="35">
        <v>464.0</v>
      </c>
      <c r="E106" s="35">
        <v>23760.0</v>
      </c>
      <c r="F106" s="35" t="s">
        <v>11</v>
      </c>
    </row>
    <row r="107" ht="22.5" customHeight="1">
      <c r="A107" s="37" t="s">
        <v>423</v>
      </c>
      <c r="B107" s="35" t="s">
        <v>424</v>
      </c>
      <c r="C107" s="35">
        <v>2213.0</v>
      </c>
      <c r="D107" s="35">
        <v>2248.0</v>
      </c>
      <c r="E107" s="35">
        <v>22340.0</v>
      </c>
      <c r="F107" s="35">
        <v>22.0</v>
      </c>
    </row>
    <row r="108" ht="22.5" customHeight="1">
      <c r="A108" s="37" t="s">
        <v>425</v>
      </c>
      <c r="B108" s="35" t="s">
        <v>426</v>
      </c>
      <c r="C108" s="35">
        <v>708.0</v>
      </c>
      <c r="D108" s="35">
        <v>702.0</v>
      </c>
      <c r="E108" s="35">
        <v>26750.0</v>
      </c>
      <c r="F108" s="35" t="s">
        <v>11</v>
      </c>
    </row>
    <row r="109" ht="22.5" customHeight="1">
      <c r="A109" s="37" t="s">
        <v>428</v>
      </c>
      <c r="B109" s="35" t="s">
        <v>429</v>
      </c>
      <c r="C109" s="35">
        <v>565.0</v>
      </c>
      <c r="D109" s="35">
        <v>554.0</v>
      </c>
      <c r="E109" s="35">
        <v>25730.0</v>
      </c>
      <c r="F109" s="35" t="s">
        <v>11</v>
      </c>
    </row>
    <row r="110" ht="22.5" customHeight="1">
      <c r="A110" s="37" t="s">
        <v>431</v>
      </c>
      <c r="B110" s="35" t="s">
        <v>432</v>
      </c>
      <c r="C110" s="35">
        <v>1529.0</v>
      </c>
      <c r="D110" s="35">
        <v>1788.0</v>
      </c>
      <c r="E110" s="35">
        <v>24530.0</v>
      </c>
      <c r="F110" s="35" t="s">
        <v>11</v>
      </c>
    </row>
    <row r="111" ht="22.5" customHeight="1">
      <c r="A111" s="37" t="s">
        <v>433</v>
      </c>
      <c r="B111" s="35" t="s">
        <v>434</v>
      </c>
      <c r="C111" s="35">
        <v>203.0</v>
      </c>
      <c r="D111" s="35">
        <v>195.0</v>
      </c>
      <c r="E111" s="35">
        <v>26490.0</v>
      </c>
      <c r="F111" s="35" t="s">
        <v>11</v>
      </c>
    </row>
    <row r="112" ht="22.5" customHeight="1">
      <c r="A112" s="37" t="s">
        <v>436</v>
      </c>
      <c r="B112" s="35" t="s">
        <v>437</v>
      </c>
      <c r="C112" s="35">
        <v>146.0</v>
      </c>
      <c r="D112" s="35">
        <v>131.0</v>
      </c>
      <c r="E112" s="35">
        <v>24420.0</v>
      </c>
      <c r="F112" s="35" t="s">
        <v>11</v>
      </c>
    </row>
    <row r="113" ht="22.5" customHeight="1">
      <c r="A113" s="37" t="s">
        <v>439</v>
      </c>
      <c r="B113" s="35" t="s">
        <v>440</v>
      </c>
      <c r="C113" s="35">
        <v>67.0</v>
      </c>
      <c r="D113" s="35">
        <v>64.0</v>
      </c>
      <c r="E113" s="35" t="s">
        <v>11</v>
      </c>
      <c r="F113" s="35" t="s">
        <v>11</v>
      </c>
    </row>
    <row r="114" ht="22.5" customHeight="1">
      <c r="A114" s="37" t="s">
        <v>442</v>
      </c>
      <c r="B114" s="35" t="s">
        <v>443</v>
      </c>
      <c r="C114" s="35">
        <v>121.0</v>
      </c>
      <c r="D114" s="35">
        <v>129.0</v>
      </c>
      <c r="E114" s="35">
        <v>25490.0</v>
      </c>
      <c r="F114" s="35" t="s">
        <v>11</v>
      </c>
    </row>
    <row r="115" ht="22.5" customHeight="1">
      <c r="A115" s="37" t="s">
        <v>444</v>
      </c>
      <c r="B115" s="35" t="s">
        <v>445</v>
      </c>
      <c r="C115" s="35">
        <v>340.0</v>
      </c>
      <c r="D115" s="35">
        <v>317.0</v>
      </c>
      <c r="E115" s="35">
        <v>24510.0</v>
      </c>
      <c r="F115" s="35" t="s">
        <v>11</v>
      </c>
    </row>
    <row r="116" ht="22.5" customHeight="1">
      <c r="A116" s="37" t="s">
        <v>446</v>
      </c>
      <c r="B116" s="35" t="s">
        <v>448</v>
      </c>
      <c r="C116" s="35">
        <v>195.0</v>
      </c>
      <c r="D116" s="35">
        <v>193.0</v>
      </c>
      <c r="E116" s="35">
        <v>24490.0</v>
      </c>
      <c r="F116" s="35" t="s">
        <v>11</v>
      </c>
    </row>
    <row r="117" ht="22.5" customHeight="1">
      <c r="A117" s="37" t="s">
        <v>450</v>
      </c>
      <c r="B117" s="35" t="s">
        <v>451</v>
      </c>
      <c r="C117" s="35">
        <v>244.0</v>
      </c>
      <c r="D117" s="35">
        <v>210.0</v>
      </c>
      <c r="E117" s="35">
        <v>24150.0</v>
      </c>
      <c r="F117" s="35" t="s">
        <v>11</v>
      </c>
    </row>
    <row r="118" ht="22.5" customHeight="1">
      <c r="A118" s="37" t="s">
        <v>453</v>
      </c>
      <c r="B118" s="35" t="s">
        <v>454</v>
      </c>
      <c r="C118" s="35">
        <v>53.0</v>
      </c>
      <c r="D118" s="35">
        <v>55.0</v>
      </c>
      <c r="E118" s="35" t="s">
        <v>11</v>
      </c>
      <c r="F118" s="35" t="s">
        <v>11</v>
      </c>
    </row>
    <row r="119" ht="22.5" customHeight="1">
      <c r="A119" s="37" t="s">
        <v>455</v>
      </c>
      <c r="B119" s="35" t="s">
        <v>456</v>
      </c>
      <c r="C119" s="35">
        <v>303.0</v>
      </c>
      <c r="D119" s="35">
        <v>296.0</v>
      </c>
      <c r="E119" s="35">
        <v>25710.0</v>
      </c>
      <c r="F119" s="35" t="s">
        <v>11</v>
      </c>
    </row>
    <row r="120" ht="22.5" customHeight="1">
      <c r="A120" s="37" t="s">
        <v>458</v>
      </c>
      <c r="B120" s="35" t="s">
        <v>459</v>
      </c>
      <c r="C120" s="35">
        <v>653.0</v>
      </c>
      <c r="D120" s="35">
        <v>653.0</v>
      </c>
      <c r="E120" s="35">
        <v>24240.0</v>
      </c>
      <c r="F120" s="35" t="s">
        <v>11</v>
      </c>
    </row>
    <row r="121" ht="22.5" customHeight="1">
      <c r="A121" s="37" t="s">
        <v>461</v>
      </c>
      <c r="B121" s="35" t="s">
        <v>462</v>
      </c>
      <c r="C121" s="35">
        <v>213.0</v>
      </c>
      <c r="D121" s="35">
        <v>175.0</v>
      </c>
      <c r="E121" s="35">
        <v>27220.0</v>
      </c>
      <c r="F121" s="35" t="s">
        <v>11</v>
      </c>
    </row>
    <row r="122" ht="22.5" customHeight="1">
      <c r="A122" s="37" t="s">
        <v>464</v>
      </c>
      <c r="B122" s="35" t="s">
        <v>465</v>
      </c>
      <c r="C122" s="35">
        <v>456.0</v>
      </c>
      <c r="D122" s="35">
        <v>463.0</v>
      </c>
      <c r="E122" s="35">
        <v>19930.0</v>
      </c>
      <c r="F122" s="35" t="s">
        <v>11</v>
      </c>
    </row>
    <row r="123" ht="22.5" customHeight="1">
      <c r="A123" s="37" t="s">
        <v>466</v>
      </c>
      <c r="B123" s="35" t="s">
        <v>467</v>
      </c>
      <c r="C123" s="35">
        <v>189.0</v>
      </c>
      <c r="D123" s="35">
        <v>199.0</v>
      </c>
      <c r="E123" s="35">
        <v>24000.0</v>
      </c>
      <c r="F123" s="35" t="s">
        <v>11</v>
      </c>
    </row>
    <row r="124" ht="22.5" customHeight="1">
      <c r="A124" s="37" t="s">
        <v>468</v>
      </c>
      <c r="B124" s="35" t="s">
        <v>469</v>
      </c>
      <c r="C124" s="35">
        <v>1532.0</v>
      </c>
      <c r="D124" s="35">
        <v>1411.0</v>
      </c>
      <c r="E124" s="35">
        <v>27230.0</v>
      </c>
      <c r="F124" s="35" t="s">
        <v>11</v>
      </c>
    </row>
    <row r="125" ht="22.5" customHeight="1">
      <c r="A125" s="37" t="s">
        <v>471</v>
      </c>
      <c r="B125" s="35" t="s">
        <v>472</v>
      </c>
      <c r="C125" s="35">
        <v>19.0</v>
      </c>
      <c r="D125" s="35">
        <v>20.0</v>
      </c>
      <c r="E125" s="35" t="s">
        <v>11</v>
      </c>
      <c r="F125" s="35" t="s">
        <v>11</v>
      </c>
    </row>
    <row r="126" ht="22.5" customHeight="1">
      <c r="A126" s="37" t="s">
        <v>473</v>
      </c>
      <c r="B126" s="35" t="s">
        <v>474</v>
      </c>
      <c r="C126" s="35">
        <v>193.0</v>
      </c>
      <c r="D126" s="35">
        <v>204.0</v>
      </c>
      <c r="E126" s="35">
        <v>23700.0</v>
      </c>
      <c r="F126" s="35" t="s">
        <v>11</v>
      </c>
    </row>
    <row r="127" ht="22.5" customHeight="1">
      <c r="A127" s="37" t="s">
        <v>476</v>
      </c>
      <c r="B127" s="35" t="s">
        <v>477</v>
      </c>
      <c r="C127" s="35">
        <v>1880.0</v>
      </c>
      <c r="D127" s="35">
        <v>1947.0</v>
      </c>
      <c r="E127" s="35">
        <v>26680.0</v>
      </c>
      <c r="F127" s="35" t="s">
        <v>11</v>
      </c>
    </row>
    <row r="128" ht="22.5" customHeight="1">
      <c r="A128" s="37" t="s">
        <v>478</v>
      </c>
      <c r="B128" s="35" t="s">
        <v>479</v>
      </c>
      <c r="C128" s="35">
        <v>203.0</v>
      </c>
      <c r="D128" s="35">
        <v>188.0</v>
      </c>
      <c r="E128" s="35">
        <v>27460.0</v>
      </c>
      <c r="F128" s="35" t="s">
        <v>11</v>
      </c>
    </row>
    <row r="129" ht="22.5" customHeight="1">
      <c r="A129" s="37" t="s">
        <v>480</v>
      </c>
      <c r="B129" s="35" t="s">
        <v>481</v>
      </c>
      <c r="C129" s="35">
        <v>411.0</v>
      </c>
      <c r="D129" s="35">
        <v>410.0</v>
      </c>
      <c r="E129" s="35">
        <v>21950.0</v>
      </c>
      <c r="F129" s="35" t="s">
        <v>11</v>
      </c>
    </row>
    <row r="130" ht="22.5" customHeight="1">
      <c r="A130" s="37" t="s">
        <v>483</v>
      </c>
      <c r="B130" s="35" t="s">
        <v>484</v>
      </c>
      <c r="C130" s="35">
        <v>869.0</v>
      </c>
      <c r="D130" s="35">
        <v>795.0</v>
      </c>
      <c r="E130" s="35">
        <v>23420.0</v>
      </c>
      <c r="F130" s="35" t="s">
        <v>11</v>
      </c>
    </row>
    <row r="131" ht="22.5" customHeight="1">
      <c r="A131" s="37" t="s">
        <v>486</v>
      </c>
      <c r="B131" s="35" t="s">
        <v>487</v>
      </c>
      <c r="C131" s="35">
        <v>1168.0</v>
      </c>
      <c r="D131" s="35">
        <v>1122.0</v>
      </c>
      <c r="E131" s="35">
        <v>21550.0</v>
      </c>
      <c r="F131" s="35" t="s">
        <v>11</v>
      </c>
    </row>
    <row r="132" ht="22.5" customHeight="1">
      <c r="A132" s="37" t="s">
        <v>489</v>
      </c>
      <c r="B132" s="35" t="s">
        <v>490</v>
      </c>
      <c r="C132" s="35">
        <v>128.0</v>
      </c>
      <c r="D132" s="35">
        <v>123.0</v>
      </c>
      <c r="E132" s="35">
        <v>26700.0</v>
      </c>
      <c r="F132" s="35" t="s">
        <v>11</v>
      </c>
    </row>
    <row r="133" ht="22.5" customHeight="1">
      <c r="A133" s="37" t="s">
        <v>492</v>
      </c>
      <c r="B133" s="35" t="s">
        <v>493</v>
      </c>
      <c r="C133" s="35">
        <v>152.0</v>
      </c>
      <c r="D133" s="35">
        <v>126.0</v>
      </c>
      <c r="E133" s="35">
        <v>24800.0</v>
      </c>
      <c r="F133" s="35" t="s">
        <v>11</v>
      </c>
    </row>
    <row r="134" ht="22.5" customHeight="1">
      <c r="A134" s="37" t="s">
        <v>495</v>
      </c>
      <c r="B134" s="35" t="s">
        <v>496</v>
      </c>
      <c r="C134" s="35">
        <v>190.0</v>
      </c>
      <c r="D134" s="35">
        <v>175.0</v>
      </c>
      <c r="E134" s="35">
        <v>27850.0</v>
      </c>
      <c r="F134" s="35" t="s">
        <v>11</v>
      </c>
    </row>
    <row r="135" ht="22.5" customHeight="1">
      <c r="A135" s="37" t="s">
        <v>497</v>
      </c>
      <c r="B135" s="35" t="s">
        <v>498</v>
      </c>
      <c r="C135" s="35">
        <v>438.0</v>
      </c>
      <c r="D135" s="35">
        <v>459.0</v>
      </c>
      <c r="E135" s="35">
        <v>26040.0</v>
      </c>
      <c r="F135" s="35" t="s">
        <v>11</v>
      </c>
    </row>
    <row r="136" ht="22.5" customHeight="1">
      <c r="A136" s="37" t="s">
        <v>500</v>
      </c>
      <c r="B136" s="35" t="s">
        <v>502</v>
      </c>
      <c r="C136" s="35">
        <v>454.0</v>
      </c>
      <c r="D136" s="35">
        <v>426.0</v>
      </c>
      <c r="E136" s="35">
        <v>23350.0</v>
      </c>
      <c r="F136" s="35" t="s">
        <v>11</v>
      </c>
    </row>
    <row r="137" ht="22.5" customHeight="1">
      <c r="A137" s="37" t="s">
        <v>503</v>
      </c>
      <c r="B137" s="35" t="s">
        <v>505</v>
      </c>
      <c r="C137" s="35">
        <v>1788.0</v>
      </c>
      <c r="D137" s="35">
        <v>1745.0</v>
      </c>
      <c r="E137" s="35">
        <v>20000.0</v>
      </c>
      <c r="F137" s="35" t="s">
        <v>11</v>
      </c>
    </row>
    <row r="138" ht="22.5" customHeight="1">
      <c r="A138" s="37" t="s">
        <v>506</v>
      </c>
      <c r="B138" s="35" t="s">
        <v>507</v>
      </c>
      <c r="C138" s="35">
        <v>244.0</v>
      </c>
      <c r="D138" s="35">
        <v>246.0</v>
      </c>
      <c r="E138" s="35">
        <v>28870.0</v>
      </c>
      <c r="F138" s="35" t="s">
        <v>11</v>
      </c>
    </row>
    <row r="139" ht="22.5" customHeight="1">
      <c r="A139" s="37" t="s">
        <v>510</v>
      </c>
      <c r="B139" s="35" t="s">
        <v>511</v>
      </c>
      <c r="C139" s="35">
        <v>192.0</v>
      </c>
      <c r="D139" s="35">
        <v>186.0</v>
      </c>
      <c r="E139" s="35">
        <v>20950.0</v>
      </c>
      <c r="F139" s="35" t="s">
        <v>11</v>
      </c>
    </row>
    <row r="140" ht="22.5" customHeight="1">
      <c r="A140" s="37" t="s">
        <v>512</v>
      </c>
      <c r="B140" s="35" t="s">
        <v>513</v>
      </c>
      <c r="C140" s="35">
        <v>145.0</v>
      </c>
      <c r="D140" s="35">
        <v>143.0</v>
      </c>
      <c r="E140" s="35">
        <v>25980.0</v>
      </c>
      <c r="F140" s="35" t="s">
        <v>11</v>
      </c>
    </row>
    <row r="141" ht="22.5" customHeight="1">
      <c r="A141" s="37" t="s">
        <v>515</v>
      </c>
      <c r="B141" s="35" t="s">
        <v>516</v>
      </c>
      <c r="C141" s="35">
        <v>546.0</v>
      </c>
      <c r="D141" s="35">
        <v>547.0</v>
      </c>
      <c r="E141" s="35">
        <v>26260.0</v>
      </c>
      <c r="F141" s="35" t="s">
        <v>11</v>
      </c>
    </row>
    <row r="142" ht="22.5" customHeight="1">
      <c r="A142" s="37" t="s">
        <v>518</v>
      </c>
      <c r="B142" s="35" t="s">
        <v>519</v>
      </c>
      <c r="C142" s="35">
        <v>87.0</v>
      </c>
      <c r="D142" s="35">
        <v>88.0</v>
      </c>
      <c r="E142" s="35" t="s">
        <v>11</v>
      </c>
      <c r="F142" s="35" t="s">
        <v>11</v>
      </c>
    </row>
    <row r="143" ht="22.5" customHeight="1">
      <c r="A143" s="37" t="s">
        <v>520</v>
      </c>
      <c r="B143" s="35" t="s">
        <v>521</v>
      </c>
      <c r="C143" s="35">
        <v>258.0</v>
      </c>
      <c r="D143" s="35">
        <v>248.0</v>
      </c>
      <c r="E143" s="35">
        <v>26520.0</v>
      </c>
      <c r="F143" s="35" t="s">
        <v>11</v>
      </c>
    </row>
    <row r="144" ht="22.5" customHeight="1">
      <c r="A144" s="37" t="s">
        <v>522</v>
      </c>
      <c r="B144" s="35" t="s">
        <v>523</v>
      </c>
      <c r="C144" s="35">
        <v>67.0</v>
      </c>
      <c r="D144" s="35">
        <v>58.0</v>
      </c>
      <c r="E144" s="35" t="s">
        <v>11</v>
      </c>
      <c r="F144" s="35" t="s">
        <v>11</v>
      </c>
    </row>
    <row r="145" ht="22.5" customHeight="1">
      <c r="A145" s="37" t="s">
        <v>525</v>
      </c>
      <c r="B145" s="35" t="s">
        <v>526</v>
      </c>
      <c r="C145" s="35">
        <v>64.0</v>
      </c>
      <c r="D145" s="35">
        <v>63.0</v>
      </c>
      <c r="E145" s="35" t="s">
        <v>11</v>
      </c>
      <c r="F145" s="35" t="s">
        <v>11</v>
      </c>
    </row>
    <row r="146" ht="22.5" customHeight="1">
      <c r="A146" s="37" t="s">
        <v>528</v>
      </c>
      <c r="B146" s="35" t="s">
        <v>529</v>
      </c>
      <c r="C146" s="35">
        <v>115.0</v>
      </c>
      <c r="D146" s="35">
        <v>111.0</v>
      </c>
      <c r="E146" s="35">
        <v>31620.0</v>
      </c>
      <c r="F146" s="35" t="s">
        <v>11</v>
      </c>
    </row>
    <row r="147" ht="22.5" customHeight="1">
      <c r="A147" s="37" t="s">
        <v>531</v>
      </c>
      <c r="B147" s="35" t="s">
        <v>532</v>
      </c>
      <c r="C147" s="35">
        <v>89.0</v>
      </c>
      <c r="D147" s="35">
        <v>87.0</v>
      </c>
      <c r="E147" s="35" t="s">
        <v>11</v>
      </c>
      <c r="F147" s="35" t="s">
        <v>11</v>
      </c>
    </row>
    <row r="148" ht="22.5" customHeight="1">
      <c r="A148" s="37" t="s">
        <v>535</v>
      </c>
      <c r="B148" s="35" t="s">
        <v>536</v>
      </c>
      <c r="C148" s="35">
        <v>763.0</v>
      </c>
      <c r="D148" s="35">
        <v>801.0</v>
      </c>
      <c r="E148" s="35">
        <v>26320.0</v>
      </c>
      <c r="F148" s="35" t="s">
        <v>11</v>
      </c>
    </row>
    <row r="149" ht="22.5" customHeight="1">
      <c r="A149" s="37" t="s">
        <v>538</v>
      </c>
      <c r="B149" s="35" t="s">
        <v>539</v>
      </c>
      <c r="C149" s="35">
        <v>361.0</v>
      </c>
      <c r="D149" s="35">
        <v>375.0</v>
      </c>
      <c r="E149" s="35">
        <v>25180.0</v>
      </c>
      <c r="F149" s="35" t="s">
        <v>11</v>
      </c>
    </row>
    <row r="150" ht="22.5" customHeight="1">
      <c r="A150" s="37" t="s">
        <v>540</v>
      </c>
      <c r="B150" s="35" t="s">
        <v>541</v>
      </c>
      <c r="C150" s="35">
        <v>174.0</v>
      </c>
      <c r="D150" s="35">
        <v>201.0</v>
      </c>
      <c r="E150" s="35">
        <v>25640.0</v>
      </c>
      <c r="F150" s="35" t="s">
        <v>11</v>
      </c>
    </row>
    <row r="151" ht="22.5" customHeight="1">
      <c r="A151" s="37" t="s">
        <v>542</v>
      </c>
      <c r="B151" s="35" t="s">
        <v>543</v>
      </c>
      <c r="C151" s="35">
        <v>253.0</v>
      </c>
      <c r="D151" s="35">
        <v>234.0</v>
      </c>
      <c r="E151" s="35">
        <v>25520.0</v>
      </c>
      <c r="F151" s="35" t="s">
        <v>11</v>
      </c>
    </row>
    <row r="152" ht="22.5" customHeight="1">
      <c r="A152" s="37" t="s">
        <v>545</v>
      </c>
      <c r="B152" s="35" t="s">
        <v>546</v>
      </c>
      <c r="C152" s="35">
        <v>848.0</v>
      </c>
      <c r="D152" s="35">
        <v>827.0</v>
      </c>
      <c r="E152" s="35">
        <v>26100.0</v>
      </c>
      <c r="F152" s="35" t="s">
        <v>11</v>
      </c>
    </row>
    <row r="153" ht="22.5" customHeight="1">
      <c r="A153" s="37" t="s">
        <v>547</v>
      </c>
      <c r="B153" s="35" t="s">
        <v>548</v>
      </c>
      <c r="C153" s="35">
        <v>284.0</v>
      </c>
      <c r="D153" s="35">
        <v>272.0</v>
      </c>
      <c r="E153" s="35">
        <v>22560.0</v>
      </c>
      <c r="F153" s="35" t="s">
        <v>11</v>
      </c>
    </row>
    <row r="154" ht="22.5" customHeight="1">
      <c r="A154" s="37" t="s">
        <v>550</v>
      </c>
      <c r="B154" s="35" t="s">
        <v>551</v>
      </c>
      <c r="C154" s="35">
        <v>280.0</v>
      </c>
      <c r="D154" s="35">
        <v>313.0</v>
      </c>
      <c r="E154" s="35">
        <v>23240.0</v>
      </c>
      <c r="F154" s="35" t="s">
        <v>11</v>
      </c>
    </row>
    <row r="155" ht="22.5" customHeight="1">
      <c r="A155" s="37" t="s">
        <v>553</v>
      </c>
      <c r="B155" s="35" t="s">
        <v>554</v>
      </c>
      <c r="C155" s="35">
        <v>539.0</v>
      </c>
      <c r="D155" s="35">
        <v>495.0</v>
      </c>
      <c r="E155" s="35">
        <v>21950.0</v>
      </c>
      <c r="F155" s="35" t="s">
        <v>11</v>
      </c>
    </row>
    <row r="156" ht="22.5" customHeight="1">
      <c r="A156" s="37" t="s">
        <v>556</v>
      </c>
      <c r="B156" s="35" t="s">
        <v>557</v>
      </c>
      <c r="C156" s="35">
        <v>278.0</v>
      </c>
      <c r="D156" s="35">
        <v>301.0</v>
      </c>
      <c r="E156" s="35">
        <v>24250.0</v>
      </c>
      <c r="F156" s="35" t="s">
        <v>11</v>
      </c>
    </row>
    <row r="157" ht="22.5" customHeight="1">
      <c r="A157" s="37" t="s">
        <v>559</v>
      </c>
      <c r="B157" s="35" t="s">
        <v>560</v>
      </c>
      <c r="C157" s="35">
        <v>2617.0</v>
      </c>
      <c r="D157" s="35">
        <v>2594.0</v>
      </c>
      <c r="E157" s="35">
        <v>23580.0</v>
      </c>
      <c r="F157" s="35">
        <v>17.0</v>
      </c>
    </row>
    <row r="158" ht="22.5" customHeight="1">
      <c r="A158" s="37" t="s">
        <v>561</v>
      </c>
      <c r="B158" s="35" t="s">
        <v>562</v>
      </c>
      <c r="C158" s="35">
        <v>316.0</v>
      </c>
      <c r="D158" s="35">
        <v>323.0</v>
      </c>
      <c r="E158" s="35">
        <v>26240.0</v>
      </c>
      <c r="F158" s="35" t="s">
        <v>11</v>
      </c>
    </row>
    <row r="159" ht="22.5" customHeight="1">
      <c r="A159" s="37" t="s">
        <v>563</v>
      </c>
      <c r="B159" s="35" t="s">
        <v>564</v>
      </c>
      <c r="C159" s="35">
        <v>1652.0</v>
      </c>
      <c r="D159" s="35">
        <v>1568.0</v>
      </c>
      <c r="E159" s="35">
        <v>23480.0</v>
      </c>
      <c r="F159" s="35" t="s">
        <v>11</v>
      </c>
    </row>
    <row r="160" ht="22.5" customHeight="1">
      <c r="A160" s="37" t="s">
        <v>565</v>
      </c>
      <c r="B160" s="35" t="s">
        <v>566</v>
      </c>
      <c r="C160" s="35">
        <v>352.0</v>
      </c>
      <c r="D160" s="35">
        <v>361.0</v>
      </c>
      <c r="E160" s="35">
        <v>27350.0</v>
      </c>
      <c r="F160" s="35" t="s">
        <v>11</v>
      </c>
    </row>
    <row r="161" ht="22.5" customHeight="1">
      <c r="A161" s="37" t="s">
        <v>567</v>
      </c>
      <c r="B161" s="35" t="s">
        <v>568</v>
      </c>
      <c r="C161" s="35">
        <v>881.0</v>
      </c>
      <c r="D161" s="35">
        <v>895.0</v>
      </c>
      <c r="E161" s="35">
        <v>25530.0</v>
      </c>
      <c r="F161" s="35" t="s">
        <v>11</v>
      </c>
    </row>
    <row r="162" ht="22.5" customHeight="1">
      <c r="A162" s="37" t="s">
        <v>569</v>
      </c>
      <c r="B162" s="35" t="s">
        <v>570</v>
      </c>
      <c r="C162" s="35">
        <v>15107.0</v>
      </c>
      <c r="D162" s="35">
        <v>15097.0</v>
      </c>
      <c r="E162" s="35">
        <v>20900.0</v>
      </c>
      <c r="F162" s="35">
        <v>29.0</v>
      </c>
    </row>
    <row r="163" ht="22.5" customHeight="1">
      <c r="A163" s="37" t="s">
        <v>572</v>
      </c>
      <c r="B163" s="35" t="s">
        <v>573</v>
      </c>
      <c r="C163" s="35">
        <v>83.0</v>
      </c>
      <c r="D163" s="35">
        <v>83.0</v>
      </c>
      <c r="E163" s="35" t="s">
        <v>11</v>
      </c>
      <c r="F163" s="35" t="s">
        <v>11</v>
      </c>
    </row>
    <row r="164" ht="22.5" customHeight="1">
      <c r="A164" s="37" t="s">
        <v>574</v>
      </c>
      <c r="B164" s="35" t="s">
        <v>575</v>
      </c>
      <c r="C164" s="35">
        <v>127.0</v>
      </c>
      <c r="D164" s="35">
        <v>125.0</v>
      </c>
      <c r="E164" s="35">
        <v>24420.0</v>
      </c>
      <c r="F164" s="35" t="s">
        <v>11</v>
      </c>
    </row>
    <row r="165" ht="22.5" customHeight="1">
      <c r="A165" s="37" t="s">
        <v>576</v>
      </c>
      <c r="B165" s="35" t="s">
        <v>577</v>
      </c>
      <c r="C165" s="35">
        <v>87.0</v>
      </c>
      <c r="D165" s="35">
        <v>91.0</v>
      </c>
      <c r="E165" s="35" t="s">
        <v>11</v>
      </c>
      <c r="F165" s="35" t="s">
        <v>11</v>
      </c>
    </row>
    <row r="166" ht="22.5" customHeight="1">
      <c r="A166" s="37" t="s">
        <v>578</v>
      </c>
      <c r="B166" s="35" t="s">
        <v>579</v>
      </c>
      <c r="C166" s="35">
        <v>249.0</v>
      </c>
      <c r="D166" s="35">
        <v>238.0</v>
      </c>
      <c r="E166" s="35">
        <v>27640.0</v>
      </c>
      <c r="F166" s="35" t="s">
        <v>11</v>
      </c>
    </row>
    <row r="167" ht="22.5" customHeight="1">
      <c r="A167" s="37" t="s">
        <v>580</v>
      </c>
      <c r="B167" s="35" t="s">
        <v>581</v>
      </c>
      <c r="C167" s="35">
        <v>11878.0</v>
      </c>
      <c r="D167" s="35">
        <v>11596.0</v>
      </c>
      <c r="E167" s="35">
        <v>20410.0</v>
      </c>
      <c r="F167" s="35">
        <v>30.0</v>
      </c>
    </row>
    <row r="168" ht="22.5" customHeight="1">
      <c r="A168" s="37" t="s">
        <v>582</v>
      </c>
      <c r="B168" s="35" t="s">
        <v>583</v>
      </c>
      <c r="C168" s="35">
        <v>818.0</v>
      </c>
      <c r="D168" s="35">
        <v>859.0</v>
      </c>
      <c r="E168" s="35">
        <v>24800.0</v>
      </c>
      <c r="F168" s="35" t="s">
        <v>11</v>
      </c>
    </row>
    <row r="169" ht="22.5" customHeight="1">
      <c r="A169" s="37" t="s">
        <v>584</v>
      </c>
      <c r="B169" s="35" t="s">
        <v>585</v>
      </c>
      <c r="C169" s="35">
        <v>150.0</v>
      </c>
      <c r="D169" s="35">
        <v>153.0</v>
      </c>
      <c r="E169" s="35">
        <v>23630.0</v>
      </c>
      <c r="F169" s="35" t="s">
        <v>11</v>
      </c>
    </row>
    <row r="170" ht="22.5" customHeight="1">
      <c r="A170" s="37" t="s">
        <v>586</v>
      </c>
      <c r="B170" s="35" t="s">
        <v>587</v>
      </c>
      <c r="C170" s="35">
        <v>205.0</v>
      </c>
      <c r="D170" s="35">
        <v>214.0</v>
      </c>
      <c r="E170" s="35">
        <v>21990.0</v>
      </c>
      <c r="F170" s="35" t="s">
        <v>11</v>
      </c>
    </row>
    <row r="171" ht="22.5" customHeight="1">
      <c r="A171" s="37" t="s">
        <v>588</v>
      </c>
      <c r="B171" s="35" t="s">
        <v>589</v>
      </c>
      <c r="C171" s="35">
        <v>142.0</v>
      </c>
      <c r="D171" s="35">
        <v>147.0</v>
      </c>
      <c r="E171" s="35">
        <v>25730.0</v>
      </c>
      <c r="F171" s="35" t="s">
        <v>11</v>
      </c>
    </row>
    <row r="172" ht="22.5" customHeight="1">
      <c r="A172" s="37" t="s">
        <v>590</v>
      </c>
      <c r="B172" s="35" t="s">
        <v>591</v>
      </c>
      <c r="C172" s="35">
        <v>106.0</v>
      </c>
      <c r="D172" s="35">
        <v>127.0</v>
      </c>
      <c r="E172" s="35">
        <v>27400.0</v>
      </c>
      <c r="F172" s="35" t="s">
        <v>11</v>
      </c>
    </row>
    <row r="173" ht="22.5" customHeight="1">
      <c r="A173" s="37" t="s">
        <v>592</v>
      </c>
      <c r="B173" s="35" t="s">
        <v>593</v>
      </c>
      <c r="C173" s="35">
        <v>392.0</v>
      </c>
      <c r="D173" s="35">
        <v>378.0</v>
      </c>
      <c r="E173" s="35">
        <v>25530.0</v>
      </c>
      <c r="F173" s="35" t="s">
        <v>11</v>
      </c>
    </row>
    <row r="174" ht="22.5" customHeight="1">
      <c r="A174" s="37" t="s">
        <v>594</v>
      </c>
      <c r="B174" s="35" t="s">
        <v>595</v>
      </c>
      <c r="C174" s="35">
        <v>710.0</v>
      </c>
      <c r="D174" s="35">
        <v>742.0</v>
      </c>
      <c r="E174" s="35">
        <v>25400.0</v>
      </c>
      <c r="F174" s="35" t="s">
        <v>11</v>
      </c>
    </row>
    <row r="175" ht="22.5" customHeight="1">
      <c r="A175" s="37" t="s">
        <v>596</v>
      </c>
      <c r="B175" s="35" t="s">
        <v>597</v>
      </c>
      <c r="C175" s="35">
        <v>80.0</v>
      </c>
      <c r="D175" s="35">
        <v>98.0</v>
      </c>
      <c r="E175" s="35" t="s">
        <v>11</v>
      </c>
      <c r="F175" s="35" t="s">
        <v>11</v>
      </c>
    </row>
    <row r="176" ht="22.5" customHeight="1">
      <c r="A176" s="37" t="s">
        <v>598</v>
      </c>
      <c r="B176" s="35" t="s">
        <v>599</v>
      </c>
      <c r="C176" s="35">
        <v>125.0</v>
      </c>
      <c r="D176" s="35">
        <v>136.0</v>
      </c>
      <c r="E176" s="35">
        <v>21900.0</v>
      </c>
      <c r="F176" s="35" t="s">
        <v>11</v>
      </c>
    </row>
    <row r="177" ht="22.5" customHeight="1">
      <c r="A177" s="37" t="s">
        <v>600</v>
      </c>
      <c r="B177" s="35" t="s">
        <v>601</v>
      </c>
      <c r="C177" s="35">
        <v>187.0</v>
      </c>
      <c r="D177" s="35">
        <v>197.0</v>
      </c>
      <c r="E177" s="35">
        <v>28710.0</v>
      </c>
      <c r="F177" s="35" t="s">
        <v>11</v>
      </c>
    </row>
    <row r="178" ht="22.5" customHeight="1">
      <c r="A178" s="37" t="s">
        <v>602</v>
      </c>
      <c r="B178" s="35" t="s">
        <v>603</v>
      </c>
      <c r="C178" s="35">
        <v>355.0</v>
      </c>
      <c r="D178" s="35">
        <v>329.0</v>
      </c>
      <c r="E178" s="35">
        <v>24340.0</v>
      </c>
      <c r="F178" s="35" t="s">
        <v>11</v>
      </c>
    </row>
    <row r="179" ht="22.5" customHeight="1">
      <c r="A179" s="37" t="s">
        <v>604</v>
      </c>
      <c r="B179" s="35" t="s">
        <v>605</v>
      </c>
      <c r="C179" s="35">
        <v>404.0</v>
      </c>
      <c r="D179" s="35">
        <v>389.0</v>
      </c>
      <c r="E179" s="35">
        <v>24630.0</v>
      </c>
      <c r="F179" s="35" t="s">
        <v>11</v>
      </c>
    </row>
    <row r="180" ht="22.5" customHeight="1">
      <c r="A180" s="37" t="s">
        <v>606</v>
      </c>
      <c r="B180" s="35" t="s">
        <v>607</v>
      </c>
      <c r="C180" s="35">
        <v>1353.0</v>
      </c>
      <c r="D180" s="35">
        <v>1296.0</v>
      </c>
      <c r="E180" s="35">
        <v>27010.0</v>
      </c>
      <c r="F180" s="35" t="s">
        <v>11</v>
      </c>
    </row>
    <row r="181" ht="22.5" customHeight="1">
      <c r="A181" s="37" t="s">
        <v>608</v>
      </c>
      <c r="B181" s="35" t="s">
        <v>609</v>
      </c>
      <c r="C181" s="35">
        <v>1109.0</v>
      </c>
      <c r="D181" s="35">
        <v>1195.0</v>
      </c>
      <c r="E181" s="35">
        <v>26980.0</v>
      </c>
      <c r="F181" s="35" t="s">
        <v>11</v>
      </c>
    </row>
    <row r="182" ht="22.5" customHeight="1">
      <c r="A182" s="37" t="s">
        <v>610</v>
      </c>
      <c r="B182" s="35" t="s">
        <v>611</v>
      </c>
      <c r="C182" s="35">
        <v>149.0</v>
      </c>
      <c r="D182" s="35">
        <v>140.0</v>
      </c>
      <c r="E182" s="35">
        <v>24320.0</v>
      </c>
      <c r="F182" s="35" t="s">
        <v>11</v>
      </c>
    </row>
    <row r="183" ht="22.5" customHeight="1">
      <c r="A183" s="37" t="s">
        <v>612</v>
      </c>
      <c r="B183" s="35" t="s">
        <v>613</v>
      </c>
      <c r="C183" s="35">
        <v>362.0</v>
      </c>
      <c r="D183" s="35">
        <v>359.0</v>
      </c>
      <c r="E183" s="35">
        <v>22340.0</v>
      </c>
      <c r="F183" s="35" t="s">
        <v>11</v>
      </c>
    </row>
    <row r="184" ht="22.5" customHeight="1">
      <c r="A184" s="37" t="s">
        <v>614</v>
      </c>
      <c r="B184" s="35" t="s">
        <v>615</v>
      </c>
      <c r="C184" s="35">
        <v>530.0</v>
      </c>
      <c r="D184" s="35">
        <v>526.0</v>
      </c>
      <c r="E184" s="35">
        <v>25680.0</v>
      </c>
      <c r="F184" s="35" t="s">
        <v>11</v>
      </c>
    </row>
    <row r="185" ht="22.5" customHeight="1">
      <c r="A185" s="37" t="s">
        <v>616</v>
      </c>
      <c r="B185" s="35" t="s">
        <v>617</v>
      </c>
      <c r="C185" s="35">
        <v>510.0</v>
      </c>
      <c r="D185" s="35">
        <v>484.0</v>
      </c>
      <c r="E185" s="35">
        <v>26150.0</v>
      </c>
      <c r="F185" s="35" t="s">
        <v>11</v>
      </c>
    </row>
    <row r="186" ht="22.5" customHeight="1">
      <c r="A186" s="37" t="s">
        <v>618</v>
      </c>
      <c r="B186" s="35" t="s">
        <v>619</v>
      </c>
      <c r="C186" s="35">
        <v>370.0</v>
      </c>
      <c r="D186" s="35">
        <v>364.0</v>
      </c>
      <c r="E186" s="35">
        <v>26330.0</v>
      </c>
      <c r="F186" s="35" t="s">
        <v>11</v>
      </c>
    </row>
    <row r="187" ht="22.5" customHeight="1">
      <c r="A187" s="37" t="s">
        <v>620</v>
      </c>
      <c r="B187" s="35" t="s">
        <v>621</v>
      </c>
      <c r="C187" s="35">
        <v>66.0</v>
      </c>
      <c r="D187" s="35">
        <v>62.0</v>
      </c>
      <c r="E187" s="35" t="s">
        <v>11</v>
      </c>
      <c r="F187" s="35" t="s">
        <v>11</v>
      </c>
    </row>
    <row r="188" ht="22.5" customHeight="1">
      <c r="A188" s="37" t="s">
        <v>622</v>
      </c>
      <c r="B188" s="35" t="s">
        <v>623</v>
      </c>
      <c r="C188" s="35">
        <v>193.0</v>
      </c>
      <c r="D188" s="35">
        <v>173.0</v>
      </c>
      <c r="E188" s="35">
        <v>23520.0</v>
      </c>
      <c r="F188" s="35" t="s">
        <v>11</v>
      </c>
    </row>
    <row r="189" ht="22.5" customHeight="1">
      <c r="A189" s="37" t="s">
        <v>624</v>
      </c>
      <c r="B189" s="35" t="s">
        <v>625</v>
      </c>
      <c r="C189" s="35">
        <v>930.0</v>
      </c>
      <c r="D189" s="35">
        <v>882.0</v>
      </c>
      <c r="E189" s="35">
        <v>27650.0</v>
      </c>
      <c r="F189" s="35" t="s">
        <v>11</v>
      </c>
    </row>
    <row r="190" ht="22.5" customHeight="1">
      <c r="A190" s="37" t="s">
        <v>626</v>
      </c>
      <c r="B190" s="35" t="s">
        <v>627</v>
      </c>
      <c r="C190" s="35">
        <v>314.0</v>
      </c>
      <c r="D190" s="35">
        <v>289.0</v>
      </c>
      <c r="E190" s="35">
        <v>28110.0</v>
      </c>
      <c r="F190" s="35" t="s">
        <v>11</v>
      </c>
    </row>
    <row r="191" ht="22.5" customHeight="1">
      <c r="A191" s="37" t="s">
        <v>628</v>
      </c>
      <c r="B191" s="35" t="s">
        <v>629</v>
      </c>
      <c r="C191" s="35">
        <v>552.0</v>
      </c>
      <c r="D191" s="35">
        <v>509.0</v>
      </c>
      <c r="E191" s="35">
        <v>26280.0</v>
      </c>
      <c r="F191" s="35" t="s">
        <v>11</v>
      </c>
    </row>
    <row r="192" ht="22.5" customHeight="1">
      <c r="A192" s="37" t="s">
        <v>630</v>
      </c>
      <c r="B192" s="35" t="s">
        <v>631</v>
      </c>
      <c r="C192" s="35">
        <v>228.0</v>
      </c>
      <c r="D192" s="35">
        <v>243.0</v>
      </c>
      <c r="E192" s="35">
        <v>26610.0</v>
      </c>
      <c r="F192" s="35" t="s">
        <v>11</v>
      </c>
    </row>
    <row r="193" ht="22.5" customHeight="1">
      <c r="A193" s="37" t="s">
        <v>632</v>
      </c>
      <c r="B193" s="35" t="s">
        <v>633</v>
      </c>
      <c r="C193" s="35">
        <v>635.0</v>
      </c>
      <c r="D193" s="35">
        <v>589.0</v>
      </c>
      <c r="E193" s="35">
        <v>24220.0</v>
      </c>
      <c r="F193" s="35" t="s">
        <v>11</v>
      </c>
    </row>
    <row r="194" ht="22.5" customHeight="1">
      <c r="A194" s="37" t="s">
        <v>634</v>
      </c>
      <c r="B194" s="35" t="s">
        <v>635</v>
      </c>
      <c r="C194" s="35">
        <v>120.0</v>
      </c>
      <c r="D194" s="35">
        <v>97.0</v>
      </c>
      <c r="E194" s="35" t="s">
        <v>11</v>
      </c>
      <c r="F194" s="35" t="s">
        <v>11</v>
      </c>
    </row>
    <row r="195" ht="22.5" customHeight="1">
      <c r="A195" s="37" t="s">
        <v>636</v>
      </c>
      <c r="B195" s="35" t="s">
        <v>637</v>
      </c>
      <c r="C195" s="35">
        <v>438.0</v>
      </c>
      <c r="D195" s="35">
        <v>467.0</v>
      </c>
      <c r="E195" s="35">
        <v>25560.0</v>
      </c>
      <c r="F195" s="35" t="s">
        <v>11</v>
      </c>
    </row>
    <row r="196" ht="22.5" customHeight="1">
      <c r="A196" s="37" t="s">
        <v>638</v>
      </c>
      <c r="B196" s="35" t="s">
        <v>639</v>
      </c>
      <c r="C196" s="35">
        <v>1310.0</v>
      </c>
      <c r="D196" s="35">
        <v>1308.0</v>
      </c>
      <c r="E196" s="35">
        <v>21840.0</v>
      </c>
      <c r="F196" s="35" t="s">
        <v>11</v>
      </c>
    </row>
    <row r="197" ht="22.5" customHeight="1">
      <c r="A197" s="37" t="s">
        <v>640</v>
      </c>
      <c r="B197" s="35" t="s">
        <v>641</v>
      </c>
      <c r="C197" s="35">
        <v>68.0</v>
      </c>
      <c r="D197" s="35">
        <v>61.0</v>
      </c>
      <c r="E197" s="35" t="s">
        <v>11</v>
      </c>
      <c r="F197" s="35" t="s">
        <v>11</v>
      </c>
    </row>
    <row r="198" ht="22.5" customHeight="1">
      <c r="A198" s="37" t="s">
        <v>642</v>
      </c>
      <c r="B198" s="35" t="s">
        <v>643</v>
      </c>
      <c r="C198" s="35">
        <v>248.0</v>
      </c>
      <c r="D198" s="35">
        <v>207.0</v>
      </c>
      <c r="E198" s="35">
        <v>24200.0</v>
      </c>
      <c r="F198" s="35" t="s">
        <v>11</v>
      </c>
    </row>
    <row r="199" ht="22.5" customHeight="1">
      <c r="A199" s="37" t="s">
        <v>644</v>
      </c>
      <c r="B199" s="35" t="s">
        <v>645</v>
      </c>
      <c r="C199" s="35">
        <v>78.0</v>
      </c>
      <c r="D199" s="35">
        <v>71.0</v>
      </c>
      <c r="E199" s="35" t="s">
        <v>11</v>
      </c>
      <c r="F199" s="35" t="s">
        <v>11</v>
      </c>
    </row>
    <row r="200" ht="22.5" customHeight="1">
      <c r="A200" s="37" t="s">
        <v>646</v>
      </c>
      <c r="B200" s="35" t="s">
        <v>647</v>
      </c>
      <c r="C200" s="35">
        <v>214.0</v>
      </c>
      <c r="D200" s="35">
        <v>224.0</v>
      </c>
      <c r="E200" s="35">
        <v>26920.0</v>
      </c>
      <c r="F200" s="35" t="s">
        <v>11</v>
      </c>
    </row>
    <row r="201" ht="22.5" customHeight="1">
      <c r="A201" s="37" t="s">
        <v>648</v>
      </c>
      <c r="B201" s="35" t="s">
        <v>649</v>
      </c>
      <c r="C201" s="35">
        <v>278.0</v>
      </c>
      <c r="D201" s="35">
        <v>256.0</v>
      </c>
      <c r="E201" s="35">
        <v>27400.0</v>
      </c>
      <c r="F201" s="35" t="s">
        <v>11</v>
      </c>
    </row>
    <row r="202" ht="22.5" customHeight="1">
      <c r="A202" s="37" t="s">
        <v>650</v>
      </c>
      <c r="B202" s="35" t="s">
        <v>651</v>
      </c>
      <c r="C202" s="35">
        <v>685.0</v>
      </c>
      <c r="D202" s="35">
        <v>654.0</v>
      </c>
      <c r="E202" s="35">
        <v>22790.0</v>
      </c>
      <c r="F202" s="35" t="s">
        <v>11</v>
      </c>
    </row>
    <row r="203" ht="22.5" customHeight="1">
      <c r="A203" s="37" t="s">
        <v>652</v>
      </c>
      <c r="B203" s="35" t="s">
        <v>653</v>
      </c>
      <c r="C203" s="35">
        <v>360.0</v>
      </c>
      <c r="D203" s="35">
        <v>352.0</v>
      </c>
      <c r="E203" s="35">
        <v>26370.0</v>
      </c>
      <c r="F203" s="35" t="s">
        <v>11</v>
      </c>
    </row>
    <row r="204" ht="22.5" customHeight="1">
      <c r="A204" s="37" t="s">
        <v>654</v>
      </c>
      <c r="B204" s="35" t="s">
        <v>655</v>
      </c>
      <c r="C204" s="35">
        <v>285.0</v>
      </c>
      <c r="D204" s="35">
        <v>357.0</v>
      </c>
      <c r="E204" s="35">
        <v>25320.0</v>
      </c>
      <c r="F204" s="35" t="s">
        <v>11</v>
      </c>
    </row>
    <row r="205" ht="22.5" customHeight="1">
      <c r="A205" s="37" t="s">
        <v>656</v>
      </c>
      <c r="B205" s="35" t="s">
        <v>657</v>
      </c>
      <c r="C205" s="35">
        <v>707.0</v>
      </c>
      <c r="D205" s="35">
        <v>674.0</v>
      </c>
      <c r="E205" s="35">
        <v>24500.0</v>
      </c>
      <c r="F205" s="35" t="s">
        <v>11</v>
      </c>
    </row>
    <row r="206" ht="22.5" customHeight="1">
      <c r="A206" s="37" t="s">
        <v>658</v>
      </c>
      <c r="B206" s="35" t="s">
        <v>659</v>
      </c>
      <c r="C206" s="35">
        <v>332.0</v>
      </c>
      <c r="D206" s="35">
        <v>306.0</v>
      </c>
      <c r="E206" s="35">
        <v>24810.0</v>
      </c>
      <c r="F206" s="35" t="s">
        <v>11</v>
      </c>
    </row>
    <row r="207" ht="22.5" customHeight="1">
      <c r="A207" s="37" t="s">
        <v>660</v>
      </c>
      <c r="B207" s="35" t="s">
        <v>661</v>
      </c>
      <c r="C207" s="35">
        <v>61.0</v>
      </c>
      <c r="D207" s="35">
        <v>61.0</v>
      </c>
      <c r="E207" s="35" t="s">
        <v>11</v>
      </c>
      <c r="F207" s="35" t="s">
        <v>11</v>
      </c>
    </row>
    <row r="208" ht="22.5" customHeight="1">
      <c r="A208" s="37" t="s">
        <v>662</v>
      </c>
      <c r="B208" s="35" t="s">
        <v>663</v>
      </c>
      <c r="C208" s="35">
        <v>801.0</v>
      </c>
      <c r="D208" s="35">
        <v>851.0</v>
      </c>
      <c r="E208" s="35">
        <v>25500.0</v>
      </c>
      <c r="F208" s="35" t="s">
        <v>11</v>
      </c>
    </row>
    <row r="209" ht="22.5" customHeight="1">
      <c r="A209" s="37" t="s">
        <v>664</v>
      </c>
      <c r="B209" s="35" t="s">
        <v>665</v>
      </c>
      <c r="C209" s="35">
        <v>306.0</v>
      </c>
      <c r="D209" s="35">
        <v>332.0</v>
      </c>
      <c r="E209" s="35">
        <v>26910.0</v>
      </c>
      <c r="F209" s="35" t="s">
        <v>11</v>
      </c>
    </row>
    <row r="210" ht="22.5" customHeight="1">
      <c r="A210" s="37" t="s">
        <v>666</v>
      </c>
      <c r="B210" s="35" t="s">
        <v>667</v>
      </c>
      <c r="C210" s="35">
        <v>1014.0</v>
      </c>
      <c r="D210" s="35">
        <v>990.0</v>
      </c>
      <c r="E210" s="35">
        <v>24440.0</v>
      </c>
      <c r="F210" s="35" t="s">
        <v>11</v>
      </c>
    </row>
    <row r="211" ht="22.5" customHeight="1">
      <c r="A211" s="37" t="s">
        <v>668</v>
      </c>
      <c r="B211" s="35" t="s">
        <v>669</v>
      </c>
      <c r="C211" s="35">
        <v>624.0</v>
      </c>
      <c r="D211" s="35">
        <v>649.0</v>
      </c>
      <c r="E211" s="35">
        <v>24960.0</v>
      </c>
      <c r="F211" s="35" t="s">
        <v>11</v>
      </c>
    </row>
    <row r="212" ht="22.5" customHeight="1">
      <c r="A212" s="37" t="s">
        <v>670</v>
      </c>
      <c r="B212" s="35" t="s">
        <v>671</v>
      </c>
      <c r="C212" s="35">
        <v>219.0</v>
      </c>
      <c r="D212" s="35">
        <v>194.0</v>
      </c>
      <c r="E212" s="35">
        <v>21800.0</v>
      </c>
      <c r="F212" s="35" t="s">
        <v>11</v>
      </c>
    </row>
    <row r="213" ht="22.5" customHeight="1">
      <c r="A213" s="37" t="s">
        <v>672</v>
      </c>
      <c r="B213" s="35" t="s">
        <v>673</v>
      </c>
      <c r="C213" s="35">
        <v>436.0</v>
      </c>
      <c r="D213" s="35">
        <v>443.0</v>
      </c>
      <c r="E213" s="35">
        <v>25010.0</v>
      </c>
      <c r="F213" s="35" t="s">
        <v>11</v>
      </c>
    </row>
    <row r="214" ht="22.5" customHeight="1">
      <c r="A214" s="37" t="s">
        <v>674</v>
      </c>
      <c r="B214" s="35" t="s">
        <v>675</v>
      </c>
      <c r="C214" s="35">
        <v>149.0</v>
      </c>
      <c r="D214" s="35">
        <v>161.0</v>
      </c>
      <c r="E214" s="35">
        <v>28490.0</v>
      </c>
      <c r="F214" s="35" t="s">
        <v>11</v>
      </c>
    </row>
    <row r="215" ht="22.5" customHeight="1">
      <c r="A215" s="37" t="s">
        <v>676</v>
      </c>
      <c r="B215" s="35" t="s">
        <v>677</v>
      </c>
      <c r="C215" s="35">
        <v>31.0</v>
      </c>
      <c r="D215" s="35">
        <v>39.0</v>
      </c>
      <c r="E215" s="35" t="s">
        <v>11</v>
      </c>
      <c r="F215" s="35" t="s">
        <v>11</v>
      </c>
    </row>
    <row r="216" ht="22.5" customHeight="1">
      <c r="A216" s="37" t="s">
        <v>678</v>
      </c>
      <c r="B216" s="35" t="s">
        <v>679</v>
      </c>
      <c r="C216" s="35">
        <v>300.0</v>
      </c>
      <c r="D216" s="35">
        <v>304.0</v>
      </c>
      <c r="E216" s="35">
        <v>24810.0</v>
      </c>
      <c r="F216" s="35" t="s">
        <v>11</v>
      </c>
    </row>
    <row r="217" ht="22.5" customHeight="1">
      <c r="A217" s="37" t="s">
        <v>680</v>
      </c>
      <c r="B217" s="35" t="s">
        <v>681</v>
      </c>
      <c r="C217" s="35">
        <v>350.0</v>
      </c>
      <c r="D217" s="35">
        <v>352.0</v>
      </c>
      <c r="E217" s="35">
        <v>23590.0</v>
      </c>
      <c r="F217" s="35" t="s">
        <v>11</v>
      </c>
    </row>
    <row r="218" ht="22.5" customHeight="1">
      <c r="A218" s="37" t="s">
        <v>682</v>
      </c>
      <c r="B218" s="35" t="s">
        <v>683</v>
      </c>
      <c r="C218" s="35">
        <v>88.0</v>
      </c>
      <c r="D218" s="35">
        <v>82.0</v>
      </c>
      <c r="E218" s="35" t="s">
        <v>11</v>
      </c>
      <c r="F218" s="35" t="s">
        <v>11</v>
      </c>
    </row>
    <row r="219" ht="22.5" customHeight="1">
      <c r="A219" s="37" t="s">
        <v>684</v>
      </c>
      <c r="B219" s="35" t="s">
        <v>685</v>
      </c>
      <c r="C219" s="35">
        <v>1826.0</v>
      </c>
      <c r="D219" s="35">
        <v>1808.0</v>
      </c>
      <c r="E219" s="35">
        <v>25430.0</v>
      </c>
      <c r="F219" s="35" t="s">
        <v>11</v>
      </c>
    </row>
    <row r="220" ht="22.5" customHeight="1">
      <c r="A220" s="37" t="s">
        <v>686</v>
      </c>
      <c r="B220" s="35" t="s">
        <v>687</v>
      </c>
      <c r="C220" s="35">
        <v>133.0</v>
      </c>
      <c r="D220" s="35">
        <v>126.0</v>
      </c>
      <c r="E220" s="35">
        <v>27380.0</v>
      </c>
      <c r="F220" s="35" t="s">
        <v>11</v>
      </c>
    </row>
    <row r="221" ht="22.5" customHeight="1">
      <c r="A221" s="37" t="s">
        <v>688</v>
      </c>
      <c r="B221" s="35" t="s">
        <v>689</v>
      </c>
      <c r="C221" s="35">
        <v>333.0</v>
      </c>
      <c r="D221" s="35">
        <v>361.0</v>
      </c>
      <c r="E221" s="35">
        <v>24580.0</v>
      </c>
      <c r="F221" s="35" t="s">
        <v>11</v>
      </c>
    </row>
    <row r="222" ht="22.5" customHeight="1">
      <c r="A222" s="37" t="s">
        <v>690</v>
      </c>
      <c r="B222" s="35" t="s">
        <v>691</v>
      </c>
      <c r="C222" s="35">
        <v>66.0</v>
      </c>
      <c r="D222" s="35">
        <v>78.0</v>
      </c>
      <c r="E222" s="35" t="s">
        <v>11</v>
      </c>
      <c r="F222" s="35" t="s">
        <v>11</v>
      </c>
    </row>
    <row r="223" ht="22.5" customHeight="1">
      <c r="A223" s="37" t="s">
        <v>692</v>
      </c>
      <c r="B223" s="35" t="s">
        <v>693</v>
      </c>
      <c r="C223" s="35">
        <v>188.0</v>
      </c>
      <c r="D223" s="35">
        <v>174.0</v>
      </c>
      <c r="E223" s="35">
        <v>24030.0</v>
      </c>
      <c r="F223" s="35" t="s">
        <v>11</v>
      </c>
    </row>
    <row r="224" ht="22.5" customHeight="1">
      <c r="A224" s="37" t="s">
        <v>694</v>
      </c>
      <c r="B224" s="35" t="s">
        <v>695</v>
      </c>
      <c r="C224" s="35">
        <v>938.0</v>
      </c>
      <c r="D224" s="35">
        <v>926.0</v>
      </c>
      <c r="E224" s="35">
        <v>23440.0</v>
      </c>
      <c r="F224" s="35" t="s">
        <v>11</v>
      </c>
    </row>
    <row r="225" ht="22.5" customHeight="1">
      <c r="A225" s="37" t="s">
        <v>696</v>
      </c>
      <c r="B225" s="35" t="s">
        <v>697</v>
      </c>
      <c r="C225" s="35">
        <v>344.0</v>
      </c>
      <c r="D225" s="35">
        <v>366.0</v>
      </c>
      <c r="E225" s="35">
        <v>23230.0</v>
      </c>
      <c r="F225" s="35" t="s">
        <v>11</v>
      </c>
    </row>
    <row r="226" ht="22.5" customHeight="1">
      <c r="A226" s="37" t="s">
        <v>698</v>
      </c>
      <c r="B226" s="35" t="s">
        <v>699</v>
      </c>
      <c r="C226" s="35">
        <v>143.0</v>
      </c>
      <c r="D226" s="35">
        <v>127.0</v>
      </c>
      <c r="E226" s="35">
        <v>23900.0</v>
      </c>
      <c r="F226" s="35" t="s">
        <v>11</v>
      </c>
    </row>
    <row r="227" ht="22.5" customHeight="1">
      <c r="A227" s="37" t="s">
        <v>700</v>
      </c>
      <c r="B227" s="35" t="s">
        <v>701</v>
      </c>
      <c r="C227" s="35">
        <v>82.0</v>
      </c>
      <c r="D227" s="35">
        <v>84.0</v>
      </c>
      <c r="E227" s="35" t="s">
        <v>11</v>
      </c>
      <c r="F227" s="35" t="s">
        <v>11</v>
      </c>
    </row>
    <row r="228" ht="22.5" customHeight="1">
      <c r="A228" s="37" t="s">
        <v>702</v>
      </c>
      <c r="B228" s="35" t="s">
        <v>703</v>
      </c>
      <c r="C228" s="35">
        <v>117.0</v>
      </c>
      <c r="D228" s="35">
        <v>119.0</v>
      </c>
      <c r="E228" s="35">
        <v>25270.0</v>
      </c>
      <c r="F228" s="35" t="s">
        <v>11</v>
      </c>
    </row>
    <row r="229" ht="22.5" customHeight="1">
      <c r="A229" s="37" t="s">
        <v>704</v>
      </c>
      <c r="B229" s="35" t="s">
        <v>705</v>
      </c>
      <c r="C229" s="35">
        <v>346.0</v>
      </c>
      <c r="D229" s="35">
        <v>335.0</v>
      </c>
      <c r="E229" s="35">
        <v>24640.0</v>
      </c>
      <c r="F229" s="35" t="s">
        <v>11</v>
      </c>
    </row>
    <row r="230" ht="22.5" customHeight="1">
      <c r="A230" s="37" t="s">
        <v>706</v>
      </c>
      <c r="B230" s="35" t="s">
        <v>707</v>
      </c>
      <c r="C230" s="35">
        <v>1498.0</v>
      </c>
      <c r="D230" s="35">
        <v>1472.0</v>
      </c>
      <c r="E230" s="35">
        <v>22750.0</v>
      </c>
      <c r="F230" s="35" t="s">
        <v>11</v>
      </c>
    </row>
    <row r="231" ht="22.5" customHeight="1">
      <c r="A231" s="37" t="s">
        <v>708</v>
      </c>
      <c r="B231" s="35" t="s">
        <v>709</v>
      </c>
      <c r="C231" s="35">
        <v>1837.0</v>
      </c>
      <c r="D231" s="35">
        <v>1812.0</v>
      </c>
      <c r="E231" s="35">
        <v>23700.0</v>
      </c>
      <c r="F231" s="35" t="s">
        <v>11</v>
      </c>
    </row>
    <row r="232" ht="22.5" customHeight="1">
      <c r="A232" s="37" t="s">
        <v>710</v>
      </c>
      <c r="B232" s="35" t="s">
        <v>711</v>
      </c>
      <c r="C232" s="35">
        <v>1230.0</v>
      </c>
      <c r="D232" s="35">
        <v>1166.0</v>
      </c>
      <c r="E232" s="35">
        <v>23540.0</v>
      </c>
      <c r="F232" s="35" t="s">
        <v>11</v>
      </c>
    </row>
    <row r="233" ht="22.5" customHeight="1">
      <c r="A233" s="37" t="s">
        <v>712</v>
      </c>
      <c r="B233" s="35" t="s">
        <v>713</v>
      </c>
      <c r="C233" s="35">
        <v>257.0</v>
      </c>
      <c r="D233" s="35">
        <v>183.0</v>
      </c>
      <c r="E233" s="35">
        <v>25620.0</v>
      </c>
      <c r="F233" s="35" t="s">
        <v>11</v>
      </c>
    </row>
    <row r="234" ht="22.5" customHeight="1">
      <c r="A234" s="37" t="s">
        <v>714</v>
      </c>
      <c r="B234" s="35" t="s">
        <v>715</v>
      </c>
      <c r="C234" s="35">
        <v>105.0</v>
      </c>
      <c r="D234" s="35">
        <v>87.0</v>
      </c>
      <c r="E234" s="35" t="s">
        <v>11</v>
      </c>
      <c r="F234" s="35" t="s">
        <v>11</v>
      </c>
    </row>
    <row r="235" ht="22.5" customHeight="1">
      <c r="A235" s="37" t="s">
        <v>716</v>
      </c>
      <c r="B235" s="35" t="s">
        <v>717</v>
      </c>
      <c r="C235" s="35">
        <v>647.0</v>
      </c>
      <c r="D235" s="35">
        <v>591.0</v>
      </c>
      <c r="E235" s="35">
        <v>26940.0</v>
      </c>
      <c r="F235" s="35" t="s">
        <v>11</v>
      </c>
    </row>
    <row r="236" ht="22.5" customHeight="1">
      <c r="A236" s="37" t="s">
        <v>718</v>
      </c>
      <c r="B236" s="35" t="s">
        <v>719</v>
      </c>
      <c r="C236" s="35">
        <v>2905.0</v>
      </c>
      <c r="D236" s="35">
        <v>3049.0</v>
      </c>
      <c r="E236" s="35">
        <v>23690.0</v>
      </c>
      <c r="F236" s="35">
        <v>20.0</v>
      </c>
    </row>
    <row r="237" ht="22.5" customHeight="1">
      <c r="A237" s="37" t="s">
        <v>720</v>
      </c>
      <c r="B237" s="35" t="s">
        <v>721</v>
      </c>
      <c r="C237" s="35">
        <v>64.0</v>
      </c>
      <c r="D237" s="35">
        <v>64.0</v>
      </c>
      <c r="E237" s="35" t="s">
        <v>11</v>
      </c>
      <c r="F237" s="35" t="s">
        <v>11</v>
      </c>
    </row>
    <row r="238" ht="22.5" customHeight="1">
      <c r="A238" s="37" t="s">
        <v>722</v>
      </c>
      <c r="B238" s="35" t="s">
        <v>723</v>
      </c>
      <c r="C238" s="35">
        <v>1789.0</v>
      </c>
      <c r="D238" s="35">
        <v>1733.0</v>
      </c>
      <c r="E238" s="35">
        <v>24820.0</v>
      </c>
      <c r="F238" s="35" t="s">
        <v>11</v>
      </c>
    </row>
    <row r="239" ht="22.5" customHeight="1">
      <c r="A239" s="37" t="s">
        <v>724</v>
      </c>
      <c r="B239" s="35" t="s">
        <v>725</v>
      </c>
      <c r="C239" s="35">
        <v>606.0</v>
      </c>
      <c r="D239" s="35">
        <v>607.0</v>
      </c>
      <c r="E239" s="35">
        <v>25420.0</v>
      </c>
      <c r="F239" s="35" t="s">
        <v>11</v>
      </c>
    </row>
    <row r="240" ht="22.5" customHeight="1">
      <c r="A240" s="37" t="s">
        <v>726</v>
      </c>
      <c r="B240" s="35" t="s">
        <v>727</v>
      </c>
      <c r="C240" s="35">
        <v>157.0</v>
      </c>
      <c r="D240" s="35">
        <v>152.0</v>
      </c>
      <c r="E240" s="35">
        <v>23310.0</v>
      </c>
      <c r="F240" s="35" t="s">
        <v>11</v>
      </c>
    </row>
    <row r="241" ht="22.5" customHeight="1">
      <c r="A241" s="37" t="s">
        <v>728</v>
      </c>
      <c r="B241" s="35" t="s">
        <v>729</v>
      </c>
      <c r="C241" s="35">
        <v>102.0</v>
      </c>
      <c r="D241" s="35">
        <v>102.0</v>
      </c>
      <c r="E241" s="35" t="s">
        <v>11</v>
      </c>
      <c r="F241" s="35" t="s">
        <v>11</v>
      </c>
    </row>
    <row r="242" ht="22.5" customHeight="1">
      <c r="A242" s="37" t="s">
        <v>730</v>
      </c>
      <c r="B242" s="35" t="s">
        <v>731</v>
      </c>
      <c r="C242" s="35">
        <v>76.0</v>
      </c>
      <c r="D242" s="35">
        <v>84.0</v>
      </c>
      <c r="E242" s="35" t="s">
        <v>11</v>
      </c>
      <c r="F242" s="35" t="s">
        <v>11</v>
      </c>
    </row>
    <row r="243" ht="22.5" customHeight="1">
      <c r="A243" s="37" t="s">
        <v>732</v>
      </c>
      <c r="B243" s="35" t="s">
        <v>733</v>
      </c>
      <c r="C243" s="35">
        <v>28.0</v>
      </c>
      <c r="D243" s="35">
        <v>28.0</v>
      </c>
      <c r="E243" s="35" t="s">
        <v>11</v>
      </c>
      <c r="F243" s="35" t="s">
        <v>11</v>
      </c>
    </row>
    <row r="244" ht="22.5" customHeight="1">
      <c r="A244" s="37" t="s">
        <v>734</v>
      </c>
      <c r="B244" s="35" t="s">
        <v>735</v>
      </c>
      <c r="C244" s="35">
        <v>71.0</v>
      </c>
      <c r="D244" s="35">
        <v>72.0</v>
      </c>
      <c r="E244" s="35" t="s">
        <v>11</v>
      </c>
      <c r="F244" s="35" t="s">
        <v>11</v>
      </c>
    </row>
    <row r="245" ht="22.5" customHeight="1">
      <c r="A245" s="37" t="s">
        <v>736</v>
      </c>
      <c r="B245" s="35" t="s">
        <v>737</v>
      </c>
      <c r="C245" s="35">
        <v>355.0</v>
      </c>
      <c r="D245" s="35">
        <v>361.0</v>
      </c>
      <c r="E245" s="35">
        <v>27400.0</v>
      </c>
      <c r="F245" s="35" t="s">
        <v>11</v>
      </c>
    </row>
    <row r="246" ht="22.5" customHeight="1">
      <c r="A246" s="37" t="s">
        <v>738</v>
      </c>
      <c r="B246" s="35" t="s">
        <v>739</v>
      </c>
      <c r="C246" s="35">
        <v>128.0</v>
      </c>
      <c r="D246" s="35">
        <v>126.0</v>
      </c>
      <c r="E246" s="35">
        <v>28120.0</v>
      </c>
      <c r="F246" s="35" t="s">
        <v>11</v>
      </c>
    </row>
    <row r="247" ht="22.5" customHeight="1">
      <c r="A247" s="37" t="s">
        <v>740</v>
      </c>
      <c r="B247" s="35" t="s">
        <v>741</v>
      </c>
      <c r="C247" s="35">
        <v>143.0</v>
      </c>
      <c r="D247" s="35">
        <v>161.0</v>
      </c>
      <c r="E247" s="35">
        <v>24010.0</v>
      </c>
      <c r="F247" s="35" t="s">
        <v>11</v>
      </c>
    </row>
    <row r="248" ht="22.5" customHeight="1">
      <c r="A248" s="37" t="s">
        <v>742</v>
      </c>
      <c r="B248" s="35" t="s">
        <v>743</v>
      </c>
      <c r="C248" s="35">
        <v>125.0</v>
      </c>
      <c r="D248" s="35">
        <v>123.0</v>
      </c>
      <c r="E248" s="35">
        <v>22820.0</v>
      </c>
      <c r="F248" s="35" t="s">
        <v>11</v>
      </c>
    </row>
    <row r="249" ht="22.5" customHeight="1">
      <c r="A249" s="37" t="s">
        <v>744</v>
      </c>
      <c r="B249" s="35" t="s">
        <v>745</v>
      </c>
      <c r="C249" s="35">
        <v>436.0</v>
      </c>
      <c r="D249" s="35">
        <v>424.0</v>
      </c>
      <c r="E249" s="35">
        <v>29600.0</v>
      </c>
      <c r="F249" s="35" t="s">
        <v>11</v>
      </c>
    </row>
    <row r="250" ht="22.5" customHeight="1">
      <c r="A250" s="37" t="s">
        <v>746</v>
      </c>
      <c r="B250" s="35" t="s">
        <v>747</v>
      </c>
      <c r="C250" s="35">
        <v>379.0</v>
      </c>
      <c r="D250" s="35">
        <v>378.0</v>
      </c>
      <c r="E250" s="35">
        <v>25180.0</v>
      </c>
      <c r="F250" s="35" t="s">
        <v>11</v>
      </c>
    </row>
    <row r="251" ht="22.5" customHeight="1">
      <c r="A251" s="37" t="s">
        <v>748</v>
      </c>
      <c r="B251" s="35" t="s">
        <v>749</v>
      </c>
      <c r="C251" s="35">
        <v>398.0</v>
      </c>
      <c r="D251" s="35">
        <v>370.0</v>
      </c>
      <c r="E251" s="35">
        <v>28370.0</v>
      </c>
      <c r="F251" s="35" t="s">
        <v>11</v>
      </c>
    </row>
    <row r="252" ht="22.5" customHeight="1">
      <c r="A252" s="37" t="s">
        <v>750</v>
      </c>
      <c r="B252" s="35" t="s">
        <v>751</v>
      </c>
      <c r="C252" s="35">
        <v>650.0</v>
      </c>
      <c r="D252" s="35">
        <v>609.0</v>
      </c>
      <c r="E252" s="35">
        <v>22980.0</v>
      </c>
      <c r="F252" s="35" t="s">
        <v>11</v>
      </c>
    </row>
    <row r="253" ht="22.5" customHeight="1">
      <c r="A253" s="37" t="s">
        <v>752</v>
      </c>
      <c r="B253" s="35" t="s">
        <v>753</v>
      </c>
      <c r="C253" s="35">
        <v>391.0</v>
      </c>
      <c r="D253" s="35">
        <v>392.0</v>
      </c>
      <c r="E253" s="35">
        <v>22570.0</v>
      </c>
      <c r="F253" s="35" t="s">
        <v>11</v>
      </c>
    </row>
    <row r="254" ht="22.5" customHeight="1">
      <c r="A254" s="37" t="s">
        <v>754</v>
      </c>
      <c r="B254" s="35" t="s">
        <v>755</v>
      </c>
      <c r="C254" s="35">
        <v>216.0</v>
      </c>
      <c r="D254" s="35">
        <v>208.0</v>
      </c>
      <c r="E254" s="35">
        <v>24770.0</v>
      </c>
      <c r="F254" s="35" t="s">
        <v>11</v>
      </c>
    </row>
    <row r="255" ht="22.5" customHeight="1">
      <c r="A255" s="37" t="s">
        <v>756</v>
      </c>
      <c r="B255" s="35" t="s">
        <v>757</v>
      </c>
      <c r="C255" s="35">
        <v>114.0</v>
      </c>
      <c r="D255" s="35">
        <v>114.0</v>
      </c>
      <c r="E255" s="35">
        <v>26450.0</v>
      </c>
      <c r="F255" s="35" t="s">
        <v>11</v>
      </c>
    </row>
    <row r="256" ht="22.5" customHeight="1">
      <c r="A256" s="37" t="s">
        <v>758</v>
      </c>
      <c r="B256" s="35" t="s">
        <v>759</v>
      </c>
      <c r="C256" s="35">
        <v>747.0</v>
      </c>
      <c r="D256" s="35">
        <v>717.0</v>
      </c>
      <c r="E256" s="35">
        <v>22030.0</v>
      </c>
      <c r="F256" s="35" t="s">
        <v>11</v>
      </c>
    </row>
    <row r="257" ht="22.5" customHeight="1">
      <c r="A257" s="37" t="s">
        <v>760</v>
      </c>
      <c r="B257" s="35" t="s">
        <v>761</v>
      </c>
      <c r="C257" s="35">
        <v>99.0</v>
      </c>
      <c r="D257" s="35">
        <v>84.0</v>
      </c>
      <c r="E257" s="35" t="s">
        <v>11</v>
      </c>
      <c r="F257" s="35" t="s">
        <v>11</v>
      </c>
    </row>
    <row r="258" ht="22.5" customHeight="1">
      <c r="A258" s="37" t="s">
        <v>762</v>
      </c>
      <c r="B258" s="35" t="s">
        <v>763</v>
      </c>
      <c r="C258" s="35">
        <v>49.0</v>
      </c>
      <c r="D258" s="35">
        <v>30.0</v>
      </c>
      <c r="E258" s="35" t="s">
        <v>11</v>
      </c>
      <c r="F258" s="35" t="s">
        <v>11</v>
      </c>
    </row>
    <row r="259" ht="22.5" customHeight="1">
      <c r="A259" s="37" t="s">
        <v>764</v>
      </c>
      <c r="B259" s="35" t="s">
        <v>765</v>
      </c>
      <c r="C259" s="35">
        <v>289.0</v>
      </c>
      <c r="D259" s="35">
        <v>287.0</v>
      </c>
      <c r="E259" s="35">
        <v>25930.0</v>
      </c>
      <c r="F259" s="35" t="s">
        <v>11</v>
      </c>
    </row>
    <row r="260" ht="22.5" customHeight="1">
      <c r="A260" s="37" t="s">
        <v>766</v>
      </c>
      <c r="B260" s="35" t="s">
        <v>767</v>
      </c>
      <c r="C260" s="35">
        <v>654.0</v>
      </c>
      <c r="D260" s="35">
        <v>654.0</v>
      </c>
      <c r="E260" s="35">
        <v>27190.0</v>
      </c>
      <c r="F260" s="35" t="s">
        <v>11</v>
      </c>
    </row>
    <row r="261" ht="22.5" customHeight="1">
      <c r="A261" s="37" t="s">
        <v>768</v>
      </c>
      <c r="B261" s="35" t="s">
        <v>769</v>
      </c>
      <c r="C261" s="35">
        <v>154.0</v>
      </c>
      <c r="D261" s="35">
        <v>148.0</v>
      </c>
      <c r="E261" s="35">
        <v>23650.0</v>
      </c>
      <c r="F261" s="35" t="s">
        <v>11</v>
      </c>
    </row>
    <row r="262" ht="22.5" customHeight="1">
      <c r="A262" s="37" t="s">
        <v>770</v>
      </c>
      <c r="B262" s="35" t="s">
        <v>771</v>
      </c>
      <c r="C262" s="35">
        <v>162.0</v>
      </c>
      <c r="D262" s="35">
        <v>153.0</v>
      </c>
      <c r="E262" s="35">
        <v>22910.0</v>
      </c>
      <c r="F262" s="35" t="s">
        <v>11</v>
      </c>
    </row>
    <row r="263" ht="22.5" customHeight="1">
      <c r="A263" s="37" t="s">
        <v>772</v>
      </c>
      <c r="B263" s="35" t="s">
        <v>773</v>
      </c>
      <c r="C263" s="35">
        <v>132.0</v>
      </c>
      <c r="D263" s="35">
        <v>134.0</v>
      </c>
      <c r="E263" s="35">
        <v>24540.0</v>
      </c>
      <c r="F263" s="35" t="s">
        <v>11</v>
      </c>
    </row>
    <row r="264" ht="22.5" customHeight="1">
      <c r="A264" s="37" t="s">
        <v>774</v>
      </c>
      <c r="B264" s="35" t="s">
        <v>775</v>
      </c>
      <c r="C264" s="35">
        <v>75.0</v>
      </c>
      <c r="D264" s="35">
        <v>75.0</v>
      </c>
      <c r="E264" s="35" t="s">
        <v>11</v>
      </c>
      <c r="F264" s="35" t="s">
        <v>11</v>
      </c>
    </row>
    <row r="265" ht="22.5" customHeight="1">
      <c r="A265" s="37" t="s">
        <v>776</v>
      </c>
      <c r="B265" s="35" t="s">
        <v>777</v>
      </c>
      <c r="C265" s="35">
        <v>222.0</v>
      </c>
      <c r="D265" s="35">
        <v>191.0</v>
      </c>
      <c r="E265" s="35">
        <v>24590.0</v>
      </c>
      <c r="F265" s="35" t="s">
        <v>11</v>
      </c>
    </row>
    <row r="266" ht="22.5" customHeight="1">
      <c r="A266" s="37" t="s">
        <v>778</v>
      </c>
      <c r="B266" s="35" t="s">
        <v>779</v>
      </c>
      <c r="C266" s="35">
        <v>200.0</v>
      </c>
      <c r="D266" s="35">
        <v>164.0</v>
      </c>
      <c r="E266" s="35">
        <v>24390.0</v>
      </c>
      <c r="F266" s="35" t="s">
        <v>11</v>
      </c>
    </row>
    <row r="267" ht="22.5" customHeight="1">
      <c r="A267" s="37" t="s">
        <v>780</v>
      </c>
      <c r="B267" s="35" t="s">
        <v>781</v>
      </c>
      <c r="C267" s="35">
        <v>324.0</v>
      </c>
      <c r="D267" s="35">
        <v>307.0</v>
      </c>
      <c r="E267" s="35">
        <v>18100.0</v>
      </c>
      <c r="F267" s="35" t="s">
        <v>11</v>
      </c>
    </row>
    <row r="268" ht="22.5" customHeight="1">
      <c r="A268" s="37" t="s">
        <v>782</v>
      </c>
      <c r="B268" s="35" t="s">
        <v>783</v>
      </c>
      <c r="C268" s="35">
        <v>122.0</v>
      </c>
      <c r="D268" s="35">
        <v>122.0</v>
      </c>
      <c r="E268" s="35">
        <v>25990.0</v>
      </c>
      <c r="F268" s="35" t="s">
        <v>11</v>
      </c>
    </row>
    <row r="269" ht="22.5" customHeight="1">
      <c r="A269" s="37" t="s">
        <v>784</v>
      </c>
      <c r="B269" s="35" t="s">
        <v>785</v>
      </c>
      <c r="C269" s="35">
        <v>340.0</v>
      </c>
      <c r="D269" s="35">
        <v>337.0</v>
      </c>
      <c r="E269" s="35">
        <v>23140.0</v>
      </c>
      <c r="F269" s="35" t="s">
        <v>11</v>
      </c>
    </row>
    <row r="270" ht="22.5" customHeight="1">
      <c r="A270" s="37" t="s">
        <v>786</v>
      </c>
      <c r="B270" s="35" t="s">
        <v>787</v>
      </c>
      <c r="C270" s="35">
        <v>30.0</v>
      </c>
      <c r="D270" s="35">
        <v>38.0</v>
      </c>
      <c r="E270" s="35" t="s">
        <v>11</v>
      </c>
      <c r="F270" s="35" t="s">
        <v>11</v>
      </c>
    </row>
    <row r="271" ht="22.5" customHeight="1">
      <c r="A271" s="37" t="s">
        <v>788</v>
      </c>
      <c r="B271" s="35" t="s">
        <v>789</v>
      </c>
      <c r="C271" s="35">
        <v>556.0</v>
      </c>
      <c r="D271" s="35">
        <v>534.0</v>
      </c>
      <c r="E271" s="35">
        <v>26480.0</v>
      </c>
      <c r="F271" s="35" t="s">
        <v>11</v>
      </c>
    </row>
    <row r="272" ht="22.5" customHeight="1">
      <c r="A272" s="37" t="s">
        <v>790</v>
      </c>
      <c r="B272" s="35" t="s">
        <v>791</v>
      </c>
      <c r="C272" s="35">
        <v>392.0</v>
      </c>
      <c r="D272" s="35">
        <v>395.0</v>
      </c>
      <c r="E272" s="35">
        <v>26920.0</v>
      </c>
      <c r="F272" s="35" t="s">
        <v>11</v>
      </c>
    </row>
    <row r="273" ht="22.5" customHeight="1">
      <c r="A273" s="37" t="s">
        <v>792</v>
      </c>
      <c r="B273" s="35" t="s">
        <v>793</v>
      </c>
      <c r="C273" s="35">
        <v>261.0</v>
      </c>
      <c r="D273" s="35">
        <v>241.0</v>
      </c>
      <c r="E273" s="35">
        <v>24040.0</v>
      </c>
      <c r="F273" s="35" t="s">
        <v>11</v>
      </c>
    </row>
    <row r="274" ht="22.5" customHeight="1">
      <c r="A274" s="37" t="s">
        <v>794</v>
      </c>
      <c r="B274" s="35" t="s">
        <v>795</v>
      </c>
      <c r="C274" s="35">
        <v>417.0</v>
      </c>
      <c r="D274" s="35">
        <v>438.0</v>
      </c>
      <c r="E274" s="35">
        <v>24200.0</v>
      </c>
      <c r="F274" s="35" t="s">
        <v>11</v>
      </c>
    </row>
    <row r="275" ht="22.5" customHeight="1">
      <c r="A275" s="37" t="s">
        <v>796</v>
      </c>
      <c r="B275" s="35" t="s">
        <v>797</v>
      </c>
      <c r="C275" s="35">
        <v>284.0</v>
      </c>
      <c r="D275" s="35">
        <v>278.0</v>
      </c>
      <c r="E275" s="35">
        <v>22920.0</v>
      </c>
      <c r="F275" s="35" t="s">
        <v>11</v>
      </c>
    </row>
    <row r="276" ht="22.5" customHeight="1">
      <c r="A276" s="37" t="s">
        <v>798</v>
      </c>
      <c r="B276" s="35" t="s">
        <v>799</v>
      </c>
      <c r="C276" s="35">
        <v>97.0</v>
      </c>
      <c r="D276" s="35">
        <v>98.0</v>
      </c>
      <c r="E276" s="35" t="s">
        <v>11</v>
      </c>
      <c r="F276" s="35" t="s">
        <v>11</v>
      </c>
    </row>
    <row r="277" ht="22.5" customHeight="1">
      <c r="A277" s="37" t="s">
        <v>800</v>
      </c>
      <c r="B277" s="35" t="s">
        <v>801</v>
      </c>
      <c r="C277" s="35">
        <v>858.0</v>
      </c>
      <c r="D277" s="35">
        <v>847.0</v>
      </c>
      <c r="E277" s="35">
        <v>23800.0</v>
      </c>
      <c r="F277" s="35" t="s">
        <v>11</v>
      </c>
    </row>
    <row r="278" ht="22.5" customHeight="1">
      <c r="A278" s="37" t="s">
        <v>802</v>
      </c>
      <c r="B278" s="35" t="s">
        <v>803</v>
      </c>
      <c r="C278" s="35">
        <v>1022.0</v>
      </c>
      <c r="D278" s="35">
        <v>1072.0</v>
      </c>
      <c r="E278" s="35">
        <v>27880.0</v>
      </c>
      <c r="F278" s="35" t="s">
        <v>11</v>
      </c>
    </row>
    <row r="279" ht="22.5" customHeight="1">
      <c r="A279" s="37" t="s">
        <v>804</v>
      </c>
      <c r="B279" s="35" t="s">
        <v>805</v>
      </c>
      <c r="C279" s="35">
        <v>344.0</v>
      </c>
      <c r="D279" s="35">
        <v>345.0</v>
      </c>
      <c r="E279" s="35">
        <v>24420.0</v>
      </c>
      <c r="F279" s="35" t="s">
        <v>11</v>
      </c>
    </row>
    <row r="280" ht="22.5" customHeight="1">
      <c r="A280" s="37" t="s">
        <v>806</v>
      </c>
      <c r="B280" s="35" t="s">
        <v>807</v>
      </c>
      <c r="C280" s="35">
        <v>417.0</v>
      </c>
      <c r="D280" s="35">
        <v>399.0</v>
      </c>
      <c r="E280" s="35">
        <v>27400.0</v>
      </c>
      <c r="F280" s="35" t="s">
        <v>11</v>
      </c>
    </row>
    <row r="281" ht="22.5" customHeight="1">
      <c r="A281" s="37" t="s">
        <v>808</v>
      </c>
      <c r="B281" s="35" t="s">
        <v>809</v>
      </c>
      <c r="C281" s="35">
        <v>2776.0</v>
      </c>
      <c r="D281" s="35">
        <v>2691.0</v>
      </c>
      <c r="E281" s="35">
        <v>26290.0</v>
      </c>
      <c r="F281" s="35">
        <v>11.0</v>
      </c>
    </row>
    <row r="282" ht="22.5" customHeight="1">
      <c r="A282" s="37" t="s">
        <v>810</v>
      </c>
      <c r="B282" s="35" t="s">
        <v>811</v>
      </c>
      <c r="C282" s="35">
        <v>412.0</v>
      </c>
      <c r="D282" s="35">
        <v>408.0</v>
      </c>
      <c r="E282" s="35">
        <v>23650.0</v>
      </c>
      <c r="F282" s="35" t="s">
        <v>11</v>
      </c>
    </row>
    <row r="283" ht="22.5" customHeight="1">
      <c r="A283" s="37" t="s">
        <v>812</v>
      </c>
      <c r="B283" s="35" t="s">
        <v>813</v>
      </c>
      <c r="C283" s="35">
        <v>1253.0</v>
      </c>
      <c r="D283" s="35">
        <v>1329.0</v>
      </c>
      <c r="E283" s="35">
        <v>24610.0</v>
      </c>
      <c r="F283" s="35" t="s">
        <v>11</v>
      </c>
    </row>
    <row r="284" ht="22.5" customHeight="1">
      <c r="A284" s="37" t="s">
        <v>814</v>
      </c>
      <c r="B284" s="35" t="s">
        <v>815</v>
      </c>
      <c r="C284" s="35">
        <v>557.0</v>
      </c>
      <c r="D284" s="35">
        <v>543.0</v>
      </c>
      <c r="E284" s="35">
        <v>24090.0</v>
      </c>
      <c r="F284" s="35" t="s">
        <v>11</v>
      </c>
    </row>
    <row r="285" ht="22.5" customHeight="1">
      <c r="A285" s="37" t="s">
        <v>816</v>
      </c>
      <c r="B285" s="35" t="s">
        <v>817</v>
      </c>
      <c r="C285" s="35">
        <v>213.0</v>
      </c>
      <c r="D285" s="35">
        <v>208.0</v>
      </c>
      <c r="E285" s="35">
        <v>27690.0</v>
      </c>
      <c r="F285" s="35" t="s">
        <v>11</v>
      </c>
    </row>
    <row r="286" ht="22.5" customHeight="1">
      <c r="A286" s="37" t="s">
        <v>818</v>
      </c>
      <c r="B286" s="35" t="s">
        <v>819</v>
      </c>
      <c r="C286" s="35">
        <v>859.0</v>
      </c>
      <c r="D286" s="35">
        <v>839.0</v>
      </c>
      <c r="E286" s="35">
        <v>21440.0</v>
      </c>
      <c r="F286" s="35" t="s">
        <v>11</v>
      </c>
    </row>
    <row r="287" ht="22.5" customHeight="1">
      <c r="A287" s="37" t="s">
        <v>820</v>
      </c>
      <c r="B287" s="35" t="s">
        <v>821</v>
      </c>
      <c r="C287" s="35">
        <v>1208.0</v>
      </c>
      <c r="D287" s="35">
        <v>1157.0</v>
      </c>
      <c r="E287" s="35">
        <v>26230.0</v>
      </c>
      <c r="F287" s="35" t="s">
        <v>11</v>
      </c>
    </row>
    <row r="288" ht="22.5" customHeight="1">
      <c r="A288" s="37" t="s">
        <v>822</v>
      </c>
      <c r="B288" s="35" t="s">
        <v>823</v>
      </c>
      <c r="C288" s="35">
        <v>118.0</v>
      </c>
      <c r="D288" s="35">
        <v>125.0</v>
      </c>
      <c r="E288" s="35">
        <v>26170.0</v>
      </c>
      <c r="F288" s="35" t="s">
        <v>11</v>
      </c>
    </row>
    <row r="289" ht="22.5" customHeight="1">
      <c r="A289" s="37" t="s">
        <v>824</v>
      </c>
      <c r="B289" s="35" t="s">
        <v>825</v>
      </c>
      <c r="C289" s="35">
        <v>1459.0</v>
      </c>
      <c r="D289" s="35">
        <v>1436.0</v>
      </c>
      <c r="E289" s="35">
        <v>22200.0</v>
      </c>
      <c r="F289" s="35" t="s">
        <v>11</v>
      </c>
    </row>
    <row r="290" ht="22.5" customHeight="1">
      <c r="A290" s="37" t="s">
        <v>826</v>
      </c>
      <c r="B290" s="35" t="s">
        <v>827</v>
      </c>
      <c r="C290" s="35">
        <v>570.0</v>
      </c>
      <c r="D290" s="35">
        <v>522.0</v>
      </c>
      <c r="E290" s="35">
        <v>24650.0</v>
      </c>
      <c r="F290" s="35" t="s">
        <v>11</v>
      </c>
    </row>
    <row r="291" ht="22.5" customHeight="1">
      <c r="A291" s="37" t="s">
        <v>828</v>
      </c>
      <c r="B291" s="35" t="s">
        <v>829</v>
      </c>
      <c r="C291" s="35">
        <v>317.0</v>
      </c>
      <c r="D291" s="35">
        <v>363.0</v>
      </c>
      <c r="E291" s="35">
        <v>27490.0</v>
      </c>
      <c r="F291" s="35" t="s">
        <v>11</v>
      </c>
    </row>
    <row r="292" ht="22.5" customHeight="1">
      <c r="A292" s="37" t="s">
        <v>830</v>
      </c>
      <c r="B292" s="35" t="s">
        <v>831</v>
      </c>
      <c r="C292" s="35">
        <v>654.0</v>
      </c>
      <c r="D292" s="35">
        <v>724.0</v>
      </c>
      <c r="E292" s="35">
        <v>36460.0</v>
      </c>
      <c r="F292" s="35" t="s">
        <v>11</v>
      </c>
    </row>
    <row r="293" ht="22.5" customHeight="1">
      <c r="A293" s="37" t="s">
        <v>832</v>
      </c>
      <c r="B293" s="35" t="s">
        <v>833</v>
      </c>
      <c r="C293" s="35">
        <v>2859.0</v>
      </c>
      <c r="D293" s="35">
        <v>2796.0</v>
      </c>
      <c r="E293" s="35">
        <v>18440.0</v>
      </c>
      <c r="F293" s="35">
        <v>37.0</v>
      </c>
    </row>
    <row r="294" ht="22.5" customHeight="1">
      <c r="A294" s="37" t="s">
        <v>834</v>
      </c>
      <c r="B294" s="35" t="s">
        <v>835</v>
      </c>
      <c r="C294" s="35">
        <v>3053.0</v>
      </c>
      <c r="D294" s="35">
        <v>2836.0</v>
      </c>
      <c r="E294" s="35">
        <v>21370.0</v>
      </c>
      <c r="F294" s="35">
        <v>25.0</v>
      </c>
    </row>
    <row r="295" ht="22.5" customHeight="1">
      <c r="A295" s="37" t="s">
        <v>836</v>
      </c>
      <c r="B295" s="35" t="s">
        <v>837</v>
      </c>
      <c r="C295" s="35">
        <v>542.0</v>
      </c>
      <c r="D295" s="35">
        <v>526.0</v>
      </c>
      <c r="E295" s="35">
        <v>22840.0</v>
      </c>
      <c r="F295" s="35" t="s">
        <v>11</v>
      </c>
    </row>
    <row r="296" ht="22.5" customHeight="1">
      <c r="A296" s="37" t="s">
        <v>838</v>
      </c>
      <c r="B296" s="35" t="s">
        <v>839</v>
      </c>
      <c r="C296" s="35">
        <v>2085.0</v>
      </c>
      <c r="D296" s="35">
        <v>2027.0</v>
      </c>
      <c r="E296" s="35">
        <v>25040.0</v>
      </c>
      <c r="F296" s="35" t="s">
        <v>11</v>
      </c>
    </row>
    <row r="297" ht="22.5" customHeight="1">
      <c r="A297" s="37" t="s">
        <v>840</v>
      </c>
      <c r="B297" s="35" t="s">
        <v>841</v>
      </c>
      <c r="C297" s="35">
        <v>486.0</v>
      </c>
      <c r="D297" s="35">
        <v>519.0</v>
      </c>
      <c r="E297" s="35">
        <v>23580.0</v>
      </c>
      <c r="F297" s="35" t="s">
        <v>11</v>
      </c>
    </row>
    <row r="298" ht="22.5" customHeight="1">
      <c r="A298" s="37" t="s">
        <v>842</v>
      </c>
      <c r="B298" s="35" t="s">
        <v>843</v>
      </c>
      <c r="C298" s="35">
        <v>680.0</v>
      </c>
      <c r="D298" s="35">
        <v>704.0</v>
      </c>
      <c r="E298" s="35">
        <v>24940.0</v>
      </c>
      <c r="F298" s="35" t="s">
        <v>11</v>
      </c>
    </row>
    <row r="299" ht="22.5" customHeight="1">
      <c r="A299" s="37" t="s">
        <v>844</v>
      </c>
      <c r="B299" s="35" t="s">
        <v>845</v>
      </c>
      <c r="C299" s="35">
        <v>256.0</v>
      </c>
      <c r="D299" s="35">
        <v>249.0</v>
      </c>
      <c r="E299" s="35">
        <v>24670.0</v>
      </c>
      <c r="F299" s="35" t="s">
        <v>11</v>
      </c>
    </row>
    <row r="300" ht="22.5" customHeight="1">
      <c r="A300" s="37" t="s">
        <v>846</v>
      </c>
      <c r="B300" s="35" t="s">
        <v>847</v>
      </c>
      <c r="C300" s="35">
        <v>1118.0</v>
      </c>
      <c r="D300" s="35">
        <v>1103.0</v>
      </c>
      <c r="E300" s="35">
        <v>23720.0</v>
      </c>
      <c r="F300" s="35" t="s">
        <v>11</v>
      </c>
    </row>
    <row r="301" ht="22.5" customHeight="1">
      <c r="A301" s="37" t="s">
        <v>848</v>
      </c>
      <c r="B301" s="35" t="s">
        <v>849</v>
      </c>
      <c r="C301" s="35">
        <v>468.0</v>
      </c>
      <c r="D301" s="35">
        <v>420.0</v>
      </c>
      <c r="E301" s="35">
        <v>23840.0</v>
      </c>
      <c r="F301" s="35" t="s">
        <v>11</v>
      </c>
    </row>
    <row r="302" ht="22.5" customHeight="1">
      <c r="A302" s="37" t="s">
        <v>850</v>
      </c>
      <c r="B302" s="35" t="s">
        <v>851</v>
      </c>
      <c r="C302" s="35">
        <v>1687.0</v>
      </c>
      <c r="D302" s="35">
        <v>1701.0</v>
      </c>
      <c r="E302" s="35">
        <v>23860.0</v>
      </c>
      <c r="F302" s="35" t="s">
        <v>11</v>
      </c>
    </row>
    <row r="303" ht="22.5" customHeight="1">
      <c r="A303" s="37" t="s">
        <v>852</v>
      </c>
      <c r="B303" s="35" t="s">
        <v>853</v>
      </c>
      <c r="C303" s="35">
        <v>136.0</v>
      </c>
      <c r="D303" s="35">
        <v>130.0</v>
      </c>
      <c r="E303" s="35">
        <v>28230.0</v>
      </c>
      <c r="F303" s="35" t="s">
        <v>11</v>
      </c>
    </row>
    <row r="304" ht="22.5" customHeight="1">
      <c r="A304" s="37" t="s">
        <v>854</v>
      </c>
      <c r="B304" s="35" t="s">
        <v>855</v>
      </c>
      <c r="C304" s="35">
        <v>220.0</v>
      </c>
      <c r="D304" s="35">
        <v>194.0</v>
      </c>
      <c r="E304" s="35">
        <v>28190.0</v>
      </c>
      <c r="F304" s="35" t="s">
        <v>11</v>
      </c>
    </row>
    <row r="305" ht="22.5" customHeight="1">
      <c r="A305" s="37" t="s">
        <v>856</v>
      </c>
      <c r="B305" s="35" t="s">
        <v>857</v>
      </c>
      <c r="C305" s="35">
        <v>1386.0</v>
      </c>
      <c r="D305" s="35">
        <v>1355.0</v>
      </c>
      <c r="E305" s="35">
        <v>22910.0</v>
      </c>
      <c r="F305" s="35" t="s">
        <v>11</v>
      </c>
    </row>
    <row r="306" ht="22.5" customHeight="1">
      <c r="A306" s="37" t="s">
        <v>858</v>
      </c>
      <c r="B306" s="35" t="s">
        <v>859</v>
      </c>
      <c r="C306" s="35">
        <v>469.0</v>
      </c>
      <c r="D306" s="35">
        <v>518.0</v>
      </c>
      <c r="E306" s="35">
        <v>21530.0</v>
      </c>
      <c r="F306" s="35" t="s">
        <v>11</v>
      </c>
    </row>
    <row r="307" ht="22.5" customHeight="1">
      <c r="A307" s="37" t="s">
        <v>860</v>
      </c>
      <c r="B307" s="35" t="s">
        <v>861</v>
      </c>
      <c r="C307" s="35">
        <v>250.0</v>
      </c>
      <c r="D307" s="35">
        <v>232.0</v>
      </c>
      <c r="E307" s="35">
        <v>30960.0</v>
      </c>
      <c r="F307" s="35" t="s">
        <v>11</v>
      </c>
    </row>
    <row r="308" ht="22.5" customHeight="1">
      <c r="A308" s="37" t="s">
        <v>862</v>
      </c>
      <c r="B308" s="35" t="s">
        <v>863</v>
      </c>
      <c r="C308" s="35">
        <v>913.0</v>
      </c>
      <c r="D308" s="35">
        <v>862.0</v>
      </c>
      <c r="E308" s="35">
        <v>25470.0</v>
      </c>
      <c r="F308" s="35" t="s">
        <v>11</v>
      </c>
    </row>
    <row r="309" ht="22.5" customHeight="1">
      <c r="A309" s="37" t="s">
        <v>864</v>
      </c>
      <c r="B309" s="35" t="s">
        <v>865</v>
      </c>
      <c r="C309" s="35">
        <v>389.0</v>
      </c>
      <c r="D309" s="35">
        <v>378.0</v>
      </c>
      <c r="E309" s="35">
        <v>27900.0</v>
      </c>
      <c r="F309" s="35" t="s">
        <v>11</v>
      </c>
    </row>
    <row r="310" ht="22.5" customHeight="1">
      <c r="A310" s="37" t="s">
        <v>866</v>
      </c>
      <c r="B310" s="35" t="s">
        <v>867</v>
      </c>
      <c r="C310" s="35">
        <v>127.0</v>
      </c>
      <c r="D310" s="35">
        <v>140.0</v>
      </c>
      <c r="E310" s="35">
        <v>28070.0</v>
      </c>
      <c r="F310" s="35" t="s">
        <v>11</v>
      </c>
    </row>
    <row r="311" ht="22.5" customHeight="1">
      <c r="A311" s="37" t="s">
        <v>868</v>
      </c>
      <c r="B311" s="35" t="s">
        <v>869</v>
      </c>
      <c r="C311" s="35">
        <v>277.0</v>
      </c>
      <c r="D311" s="35">
        <v>280.0</v>
      </c>
      <c r="E311" s="35">
        <v>25480.0</v>
      </c>
      <c r="F311" s="35" t="s">
        <v>11</v>
      </c>
    </row>
    <row r="312" ht="22.5" customHeight="1">
      <c r="A312" s="37" t="s">
        <v>870</v>
      </c>
      <c r="B312" s="35" t="s">
        <v>871</v>
      </c>
      <c r="C312" s="35">
        <v>489.0</v>
      </c>
      <c r="D312" s="35">
        <v>483.0</v>
      </c>
      <c r="E312" s="35">
        <v>25900.0</v>
      </c>
      <c r="F312" s="35" t="s">
        <v>11</v>
      </c>
    </row>
    <row r="313" ht="22.5" customHeight="1">
      <c r="A313" s="37" t="s">
        <v>872</v>
      </c>
      <c r="B313" s="35" t="s">
        <v>873</v>
      </c>
      <c r="C313" s="35">
        <v>165.0</v>
      </c>
      <c r="D313" s="35">
        <v>166.0</v>
      </c>
      <c r="E313" s="35">
        <v>23450.0</v>
      </c>
      <c r="F313" s="35" t="s">
        <v>11</v>
      </c>
    </row>
    <row r="314" ht="22.5" customHeight="1">
      <c r="A314" s="37" t="s">
        <v>874</v>
      </c>
      <c r="B314" s="35" t="s">
        <v>875</v>
      </c>
      <c r="C314" s="35">
        <v>524.0</v>
      </c>
      <c r="D314" s="35">
        <v>535.0</v>
      </c>
      <c r="E314" s="35">
        <v>27690.0</v>
      </c>
      <c r="F314" s="35" t="s">
        <v>11</v>
      </c>
    </row>
    <row r="315" ht="22.5" customHeight="1">
      <c r="A315" s="37" t="s">
        <v>876</v>
      </c>
      <c r="B315" s="35" t="s">
        <v>877</v>
      </c>
      <c r="C315" s="35">
        <v>419.0</v>
      </c>
      <c r="D315" s="35">
        <v>404.0</v>
      </c>
      <c r="E315" s="35">
        <v>26320.0</v>
      </c>
      <c r="F315" s="35" t="s">
        <v>11</v>
      </c>
    </row>
    <row r="316" ht="22.5" customHeight="1">
      <c r="A316" s="37" t="s">
        <v>878</v>
      </c>
      <c r="B316" s="35" t="s">
        <v>879</v>
      </c>
      <c r="C316" s="35">
        <v>474.0</v>
      </c>
      <c r="D316" s="35">
        <v>463.0</v>
      </c>
      <c r="E316" s="35">
        <v>29410.0</v>
      </c>
      <c r="F316" s="35" t="s">
        <v>11</v>
      </c>
    </row>
    <row r="317" ht="22.5" customHeight="1">
      <c r="A317" s="37" t="s">
        <v>880</v>
      </c>
      <c r="B317" s="35" t="s">
        <v>881</v>
      </c>
      <c r="C317" s="35">
        <v>113.0</v>
      </c>
      <c r="D317" s="35">
        <v>106.0</v>
      </c>
      <c r="E317" s="35">
        <v>21640.0</v>
      </c>
      <c r="F317" s="35" t="s">
        <v>11</v>
      </c>
    </row>
    <row r="318" ht="22.5" customHeight="1">
      <c r="A318" s="37" t="s">
        <v>882</v>
      </c>
      <c r="B318" s="35" t="s">
        <v>883</v>
      </c>
      <c r="C318" s="35">
        <v>268.0</v>
      </c>
      <c r="D318" s="35">
        <v>272.0</v>
      </c>
      <c r="E318" s="35">
        <v>25610.0</v>
      </c>
      <c r="F318" s="35" t="s">
        <v>11</v>
      </c>
    </row>
    <row r="319" ht="22.5" customHeight="1">
      <c r="A319" s="37" t="s">
        <v>884</v>
      </c>
      <c r="B319" s="35" t="s">
        <v>885</v>
      </c>
      <c r="C319" s="35">
        <v>161.0</v>
      </c>
      <c r="D319" s="35">
        <v>160.0</v>
      </c>
      <c r="E319" s="35">
        <v>22600.0</v>
      </c>
      <c r="F319" s="35" t="s">
        <v>11</v>
      </c>
    </row>
    <row r="320" ht="22.5" customHeight="1">
      <c r="A320" s="37" t="s">
        <v>886</v>
      </c>
      <c r="B320" s="35" t="s">
        <v>887</v>
      </c>
      <c r="C320" s="35">
        <v>2945.0</v>
      </c>
      <c r="D320" s="35">
        <v>2890.0</v>
      </c>
      <c r="E320" s="35">
        <v>21300.0</v>
      </c>
      <c r="F320" s="35">
        <v>20.0</v>
      </c>
    </row>
    <row r="321" ht="22.5" customHeight="1">
      <c r="A321" s="37" t="s">
        <v>888</v>
      </c>
      <c r="B321" s="35" t="s">
        <v>889</v>
      </c>
      <c r="C321" s="35">
        <v>192.0</v>
      </c>
      <c r="D321" s="35">
        <v>166.0</v>
      </c>
      <c r="E321" s="35">
        <v>24750.0</v>
      </c>
      <c r="F321" s="35" t="s">
        <v>11</v>
      </c>
    </row>
    <row r="322" ht="22.5" customHeight="1">
      <c r="A322" s="37" t="s">
        <v>890</v>
      </c>
      <c r="B322" s="35" t="s">
        <v>891</v>
      </c>
      <c r="C322" s="35">
        <v>998.0</v>
      </c>
      <c r="D322" s="35">
        <v>971.0</v>
      </c>
      <c r="E322" s="35">
        <v>25700.0</v>
      </c>
      <c r="F322" s="35" t="s">
        <v>11</v>
      </c>
    </row>
    <row r="323" ht="22.5" customHeight="1">
      <c r="A323" s="37" t="s">
        <v>892</v>
      </c>
      <c r="B323" s="35" t="s">
        <v>893</v>
      </c>
      <c r="C323" s="35">
        <v>176.0</v>
      </c>
      <c r="D323" s="35">
        <v>198.0</v>
      </c>
      <c r="E323" s="35">
        <v>25950.0</v>
      </c>
      <c r="F323" s="35" t="s">
        <v>11</v>
      </c>
    </row>
    <row r="324" ht="22.5" customHeight="1">
      <c r="A324" s="37" t="s">
        <v>894</v>
      </c>
      <c r="B324" s="35" t="s">
        <v>895</v>
      </c>
      <c r="C324" s="35">
        <v>261.0</v>
      </c>
      <c r="D324" s="35">
        <v>236.0</v>
      </c>
      <c r="E324" s="35">
        <v>24090.0</v>
      </c>
      <c r="F324" s="35" t="s">
        <v>11</v>
      </c>
    </row>
    <row r="325" ht="22.5" customHeight="1">
      <c r="A325" s="37" t="s">
        <v>896</v>
      </c>
      <c r="B325" s="35" t="s">
        <v>897</v>
      </c>
      <c r="C325" s="35">
        <v>687.0</v>
      </c>
      <c r="D325" s="35">
        <v>683.0</v>
      </c>
      <c r="E325" s="35">
        <v>25750.0</v>
      </c>
      <c r="F325" s="35" t="s">
        <v>11</v>
      </c>
    </row>
    <row r="326" ht="22.5" customHeight="1">
      <c r="A326" s="37" t="s">
        <v>898</v>
      </c>
      <c r="B326" s="35" t="s">
        <v>899</v>
      </c>
      <c r="C326" s="35">
        <v>5276.0</v>
      </c>
      <c r="D326" s="35">
        <v>5183.0</v>
      </c>
      <c r="E326" s="35">
        <v>23200.0</v>
      </c>
      <c r="F326" s="35">
        <v>17.0</v>
      </c>
    </row>
    <row r="327" ht="22.5" customHeight="1">
      <c r="A327" s="37" t="s">
        <v>900</v>
      </c>
      <c r="B327" s="35" t="s">
        <v>901</v>
      </c>
      <c r="C327" s="35">
        <v>277.0</v>
      </c>
      <c r="D327" s="35">
        <v>258.0</v>
      </c>
      <c r="E327" s="35">
        <v>28140.0</v>
      </c>
      <c r="F327" s="35" t="s">
        <v>11</v>
      </c>
    </row>
    <row r="328" ht="22.5" customHeight="1">
      <c r="A328" s="37" t="s">
        <v>902</v>
      </c>
      <c r="B328" s="35" t="s">
        <v>903</v>
      </c>
      <c r="C328" s="35">
        <v>135.0</v>
      </c>
      <c r="D328" s="35">
        <v>127.0</v>
      </c>
      <c r="E328" s="35">
        <v>23730.0</v>
      </c>
      <c r="F328" s="35" t="s">
        <v>11</v>
      </c>
    </row>
    <row r="329" ht="22.5" customHeight="1">
      <c r="A329" s="37" t="s">
        <v>904</v>
      </c>
      <c r="B329" s="35" t="s">
        <v>905</v>
      </c>
      <c r="C329" s="35">
        <v>81.0</v>
      </c>
      <c r="D329" s="35">
        <v>84.0</v>
      </c>
      <c r="E329" s="35" t="s">
        <v>11</v>
      </c>
      <c r="F329" s="35" t="s">
        <v>11</v>
      </c>
    </row>
    <row r="330" ht="22.5" customHeight="1">
      <c r="A330" s="37" t="s">
        <v>906</v>
      </c>
      <c r="B330" s="35" t="s">
        <v>907</v>
      </c>
      <c r="C330" s="35">
        <v>42.0</v>
      </c>
      <c r="D330" s="35">
        <v>37.0</v>
      </c>
      <c r="E330" s="35" t="s">
        <v>11</v>
      </c>
      <c r="F330" s="35" t="s">
        <v>11</v>
      </c>
    </row>
    <row r="331" ht="22.5" customHeight="1">
      <c r="A331" s="37" t="s">
        <v>908</v>
      </c>
      <c r="B331" s="35" t="s">
        <v>909</v>
      </c>
      <c r="C331" s="35">
        <v>672.0</v>
      </c>
      <c r="D331" s="35">
        <v>630.0</v>
      </c>
      <c r="E331" s="35">
        <v>25180.0</v>
      </c>
      <c r="F331" s="35" t="s">
        <v>11</v>
      </c>
    </row>
    <row r="332" ht="22.5" customHeight="1">
      <c r="A332" s="37" t="s">
        <v>910</v>
      </c>
      <c r="B332" s="35" t="s">
        <v>911</v>
      </c>
      <c r="C332" s="35">
        <v>450.0</v>
      </c>
      <c r="D332" s="35">
        <v>425.0</v>
      </c>
      <c r="E332" s="35">
        <v>27380.0</v>
      </c>
      <c r="F332" s="35" t="s">
        <v>11</v>
      </c>
    </row>
    <row r="333" ht="22.5" customHeight="1">
      <c r="A333" s="37" t="s">
        <v>912</v>
      </c>
      <c r="B333" s="35" t="s">
        <v>913</v>
      </c>
      <c r="C333" s="35">
        <v>57.0</v>
      </c>
      <c r="D333" s="35">
        <v>65.0</v>
      </c>
      <c r="E333" s="35" t="s">
        <v>11</v>
      </c>
      <c r="F333" s="35" t="s">
        <v>11</v>
      </c>
    </row>
    <row r="334" ht="22.5" customHeight="1">
      <c r="A334" s="37" t="s">
        <v>914</v>
      </c>
      <c r="B334" s="35" t="s">
        <v>915</v>
      </c>
      <c r="C334" s="35">
        <v>135.0</v>
      </c>
      <c r="D334" s="35">
        <v>140.0</v>
      </c>
      <c r="E334" s="35">
        <v>20070.0</v>
      </c>
      <c r="F334" s="35" t="s">
        <v>11</v>
      </c>
    </row>
    <row r="335" ht="22.5" customHeight="1">
      <c r="A335" s="37" t="s">
        <v>916</v>
      </c>
      <c r="B335" s="35" t="s">
        <v>917</v>
      </c>
      <c r="C335" s="35">
        <v>116.0</v>
      </c>
      <c r="D335" s="35">
        <v>120.0</v>
      </c>
      <c r="E335" s="35">
        <v>26740.0</v>
      </c>
      <c r="F335" s="35" t="s">
        <v>11</v>
      </c>
    </row>
    <row r="336" ht="22.5" customHeight="1">
      <c r="A336" s="37" t="s">
        <v>918</v>
      </c>
      <c r="B336" s="35" t="s">
        <v>919</v>
      </c>
      <c r="C336" s="35">
        <v>560.0</v>
      </c>
      <c r="D336" s="35">
        <v>572.0</v>
      </c>
      <c r="E336" s="35">
        <v>24600.0</v>
      </c>
      <c r="F336" s="35" t="s">
        <v>11</v>
      </c>
    </row>
    <row r="337" ht="22.5" customHeight="1">
      <c r="A337" s="37" t="s">
        <v>920</v>
      </c>
      <c r="B337" s="35" t="s">
        <v>921</v>
      </c>
      <c r="C337" s="35">
        <v>301.0</v>
      </c>
      <c r="D337" s="35">
        <v>275.0</v>
      </c>
      <c r="E337" s="35">
        <v>24040.0</v>
      </c>
      <c r="F337" s="35" t="s">
        <v>11</v>
      </c>
    </row>
    <row r="338" ht="22.5" customHeight="1">
      <c r="A338" s="37" t="s">
        <v>922</v>
      </c>
      <c r="B338" s="35" t="s">
        <v>923</v>
      </c>
      <c r="C338" s="35">
        <v>83.0</v>
      </c>
      <c r="D338" s="35">
        <v>80.0</v>
      </c>
      <c r="E338" s="35" t="s">
        <v>11</v>
      </c>
      <c r="F338" s="35" t="s">
        <v>11</v>
      </c>
    </row>
    <row r="339" ht="22.5" customHeight="1">
      <c r="A339" s="37" t="s">
        <v>924</v>
      </c>
      <c r="B339" s="35" t="s">
        <v>925</v>
      </c>
      <c r="C339" s="35">
        <v>980.0</v>
      </c>
      <c r="D339" s="35">
        <v>1011.0</v>
      </c>
      <c r="E339" s="35">
        <v>27280.0</v>
      </c>
      <c r="F339" s="35" t="s">
        <v>11</v>
      </c>
    </row>
    <row r="340" ht="22.5" customHeight="1">
      <c r="A340" s="37" t="s">
        <v>926</v>
      </c>
      <c r="B340" s="35" t="s">
        <v>927</v>
      </c>
      <c r="C340" s="35">
        <v>252.0</v>
      </c>
      <c r="D340" s="35">
        <v>227.0</v>
      </c>
      <c r="E340" s="35">
        <v>24210.0</v>
      </c>
      <c r="F340" s="35" t="s">
        <v>11</v>
      </c>
    </row>
    <row r="341" ht="22.5" customHeight="1">
      <c r="A341" s="37" t="s">
        <v>928</v>
      </c>
      <c r="B341" s="35" t="s">
        <v>929</v>
      </c>
      <c r="C341" s="35">
        <v>73.0</v>
      </c>
      <c r="D341" s="35">
        <v>56.0</v>
      </c>
      <c r="E341" s="35" t="s">
        <v>11</v>
      </c>
      <c r="F341" s="35" t="s">
        <v>11</v>
      </c>
    </row>
    <row r="342" ht="22.5" customHeight="1">
      <c r="A342" s="37" t="s">
        <v>930</v>
      </c>
      <c r="B342" s="35" t="s">
        <v>931</v>
      </c>
      <c r="C342" s="35">
        <v>358.0</v>
      </c>
      <c r="D342" s="35">
        <v>304.0</v>
      </c>
      <c r="E342" s="35">
        <v>22570.0</v>
      </c>
      <c r="F342" s="35" t="s">
        <v>11</v>
      </c>
    </row>
    <row r="343" ht="22.5" customHeight="1">
      <c r="A343" s="37" t="s">
        <v>932</v>
      </c>
      <c r="B343" s="35" t="s">
        <v>933</v>
      </c>
      <c r="C343" s="35">
        <v>1355.0</v>
      </c>
      <c r="D343" s="35">
        <v>1280.0</v>
      </c>
      <c r="E343" s="35">
        <v>25640.0</v>
      </c>
      <c r="F343" s="35" t="s">
        <v>11</v>
      </c>
    </row>
    <row r="344" ht="22.5" customHeight="1">
      <c r="A344" s="37" t="s">
        <v>934</v>
      </c>
      <c r="B344" s="35" t="s">
        <v>935</v>
      </c>
      <c r="C344" s="35">
        <v>2704.0</v>
      </c>
      <c r="D344" s="35">
        <v>2792.0</v>
      </c>
      <c r="E344" s="35">
        <v>26320.0</v>
      </c>
      <c r="F344" s="35">
        <v>9.0</v>
      </c>
    </row>
    <row r="345" ht="22.5" customHeight="1">
      <c r="A345" s="37" t="s">
        <v>936</v>
      </c>
      <c r="B345" s="35" t="s">
        <v>937</v>
      </c>
      <c r="C345" s="35">
        <v>4824.0</v>
      </c>
      <c r="D345" s="35">
        <v>4490.0</v>
      </c>
      <c r="E345" s="35">
        <v>19250.0</v>
      </c>
      <c r="F345" s="35">
        <v>33.0</v>
      </c>
    </row>
    <row r="346" ht="22.5" customHeight="1">
      <c r="A346" s="37" t="s">
        <v>938</v>
      </c>
      <c r="B346" s="35" t="s">
        <v>939</v>
      </c>
      <c r="C346" s="35">
        <v>243.0</v>
      </c>
      <c r="D346" s="35">
        <v>238.0</v>
      </c>
      <c r="E346" s="35">
        <v>26800.0</v>
      </c>
      <c r="F346" s="35" t="s">
        <v>11</v>
      </c>
    </row>
    <row r="347" ht="22.5" customHeight="1">
      <c r="A347" s="37" t="s">
        <v>940</v>
      </c>
      <c r="B347" s="35" t="s">
        <v>941</v>
      </c>
      <c r="C347" s="35">
        <v>423.0</v>
      </c>
      <c r="D347" s="35">
        <v>357.0</v>
      </c>
      <c r="E347" s="35">
        <v>21520.0</v>
      </c>
      <c r="F347" s="35" t="s">
        <v>11</v>
      </c>
    </row>
    <row r="348" ht="22.5" customHeight="1">
      <c r="A348" s="37" t="s">
        <v>942</v>
      </c>
      <c r="B348" s="35" t="s">
        <v>943</v>
      </c>
      <c r="C348" s="35">
        <v>253.0</v>
      </c>
      <c r="D348" s="35">
        <v>244.0</v>
      </c>
      <c r="E348" s="35">
        <v>27660.0</v>
      </c>
      <c r="F348" s="35" t="s">
        <v>11</v>
      </c>
    </row>
    <row r="349" ht="22.5" customHeight="1">
      <c r="A349" s="37" t="s">
        <v>944</v>
      </c>
      <c r="B349" s="35" t="s">
        <v>945</v>
      </c>
      <c r="C349" s="35">
        <v>318.0</v>
      </c>
      <c r="D349" s="35">
        <v>320.0</v>
      </c>
      <c r="E349" s="35">
        <v>22850.0</v>
      </c>
      <c r="F349" s="35" t="s">
        <v>11</v>
      </c>
    </row>
    <row r="350" ht="22.5" customHeight="1">
      <c r="A350" s="37" t="s">
        <v>946</v>
      </c>
      <c r="B350" s="35" t="s">
        <v>947</v>
      </c>
      <c r="C350" s="35">
        <v>133.0</v>
      </c>
      <c r="D350" s="35">
        <v>179.0</v>
      </c>
      <c r="E350" s="35">
        <v>24150.0</v>
      </c>
      <c r="F350" s="35" t="s">
        <v>11</v>
      </c>
    </row>
    <row r="351" ht="22.5" customHeight="1">
      <c r="A351" s="37" t="s">
        <v>948</v>
      </c>
      <c r="B351" s="35" t="s">
        <v>949</v>
      </c>
      <c r="C351" s="35">
        <v>580.0</v>
      </c>
      <c r="D351" s="35">
        <v>556.0</v>
      </c>
      <c r="E351" s="35">
        <v>27390.0</v>
      </c>
      <c r="F351" s="35" t="s">
        <v>11</v>
      </c>
    </row>
    <row r="352" ht="22.5" customHeight="1">
      <c r="A352" s="37" t="s">
        <v>950</v>
      </c>
      <c r="B352" s="35" t="s">
        <v>951</v>
      </c>
      <c r="C352" s="35">
        <v>242.0</v>
      </c>
      <c r="D352" s="35">
        <v>244.0</v>
      </c>
      <c r="E352" s="35">
        <v>22610.0</v>
      </c>
      <c r="F352" s="35" t="s">
        <v>11</v>
      </c>
    </row>
    <row r="353" ht="22.5" customHeight="1">
      <c r="A353" s="37" t="s">
        <v>952</v>
      </c>
      <c r="B353" s="35" t="s">
        <v>953</v>
      </c>
      <c r="C353" s="35">
        <v>598.0</v>
      </c>
      <c r="D353" s="35">
        <v>545.0</v>
      </c>
      <c r="E353" s="35">
        <v>23910.0</v>
      </c>
      <c r="F353" s="35" t="s">
        <v>11</v>
      </c>
    </row>
    <row r="354" ht="22.5" customHeight="1">
      <c r="A354" s="37" t="s">
        <v>954</v>
      </c>
      <c r="B354" s="35" t="s">
        <v>955</v>
      </c>
      <c r="C354" s="35">
        <v>1610.0</v>
      </c>
      <c r="D354" s="35">
        <v>1569.0</v>
      </c>
      <c r="E354" s="35">
        <v>23750.0</v>
      </c>
      <c r="F354" s="35" t="s">
        <v>11</v>
      </c>
    </row>
    <row r="355" ht="22.5" customHeight="1">
      <c r="A355" s="37" t="s">
        <v>956</v>
      </c>
      <c r="B355" s="35" t="s">
        <v>957</v>
      </c>
      <c r="C355" s="35">
        <v>371.0</v>
      </c>
      <c r="D355" s="35">
        <v>343.0</v>
      </c>
      <c r="E355" s="35">
        <v>26050.0</v>
      </c>
      <c r="F355" s="35" t="s">
        <v>11</v>
      </c>
    </row>
    <row r="356" ht="22.5" customHeight="1">
      <c r="A356" s="37" t="s">
        <v>958</v>
      </c>
      <c r="B356" s="35" t="s">
        <v>959</v>
      </c>
      <c r="C356" s="35">
        <v>208.0</v>
      </c>
      <c r="D356" s="35">
        <v>203.0</v>
      </c>
      <c r="E356" s="35">
        <v>25430.0</v>
      </c>
      <c r="F356" s="35" t="s">
        <v>11</v>
      </c>
    </row>
    <row r="357" ht="22.5" customHeight="1">
      <c r="A357" s="37" t="s">
        <v>960</v>
      </c>
      <c r="B357" s="35" t="s">
        <v>961</v>
      </c>
      <c r="C357" s="35">
        <v>877.0</v>
      </c>
      <c r="D357" s="35">
        <v>822.0</v>
      </c>
      <c r="E357" s="35">
        <v>22480.0</v>
      </c>
      <c r="F357" s="35" t="s">
        <v>11</v>
      </c>
    </row>
    <row r="358" ht="22.5" customHeight="1">
      <c r="A358" s="37" t="s">
        <v>962</v>
      </c>
      <c r="B358" s="35" t="s">
        <v>963</v>
      </c>
      <c r="C358" s="35">
        <v>167.0</v>
      </c>
      <c r="D358" s="35">
        <v>165.0</v>
      </c>
      <c r="E358" s="35">
        <v>27820.0</v>
      </c>
      <c r="F358" s="35" t="s">
        <v>11</v>
      </c>
    </row>
    <row r="359" ht="22.5" customHeight="1">
      <c r="A359" s="37" t="s">
        <v>964</v>
      </c>
      <c r="B359" s="35" t="s">
        <v>965</v>
      </c>
      <c r="C359" s="35">
        <v>166.0</v>
      </c>
      <c r="D359" s="35">
        <v>189.0</v>
      </c>
      <c r="E359" s="35">
        <v>23970.0</v>
      </c>
      <c r="F359" s="35" t="s">
        <v>11</v>
      </c>
    </row>
    <row r="360" ht="22.5" customHeight="1">
      <c r="A360" s="37" t="s">
        <v>966</v>
      </c>
      <c r="B360" s="35" t="s">
        <v>967</v>
      </c>
      <c r="C360" s="35">
        <v>144.0</v>
      </c>
      <c r="D360" s="35">
        <v>131.0</v>
      </c>
      <c r="E360" s="35">
        <v>24980.0</v>
      </c>
      <c r="F360" s="35" t="s">
        <v>11</v>
      </c>
    </row>
    <row r="361" ht="22.5" customHeight="1">
      <c r="A361" s="37" t="s">
        <v>968</v>
      </c>
      <c r="B361" s="35" t="s">
        <v>969</v>
      </c>
      <c r="C361" s="35">
        <v>143.0</v>
      </c>
      <c r="D361" s="35">
        <v>125.0</v>
      </c>
      <c r="E361" s="35">
        <v>22850.0</v>
      </c>
      <c r="F361" s="35" t="s">
        <v>11</v>
      </c>
    </row>
    <row r="362" ht="22.5" customHeight="1">
      <c r="A362" s="37" t="s">
        <v>970</v>
      </c>
      <c r="B362" s="35" t="s">
        <v>971</v>
      </c>
      <c r="C362" s="35">
        <v>230.0</v>
      </c>
      <c r="D362" s="35">
        <v>192.0</v>
      </c>
      <c r="E362" s="35">
        <v>23710.0</v>
      </c>
      <c r="F362" s="35" t="s">
        <v>11</v>
      </c>
    </row>
    <row r="363" ht="22.5" customHeight="1">
      <c r="A363" s="37" t="s">
        <v>972</v>
      </c>
      <c r="B363" s="35" t="s">
        <v>973</v>
      </c>
      <c r="C363" s="35">
        <v>25.0</v>
      </c>
      <c r="D363" s="35">
        <v>28.0</v>
      </c>
      <c r="E363" s="35" t="s">
        <v>11</v>
      </c>
      <c r="F363" s="35" t="s">
        <v>11</v>
      </c>
    </row>
    <row r="364" ht="22.5" customHeight="1">
      <c r="A364" s="37" t="s">
        <v>974</v>
      </c>
      <c r="B364" s="35" t="s">
        <v>975</v>
      </c>
      <c r="C364" s="35">
        <v>8813.0</v>
      </c>
      <c r="D364" s="35">
        <v>8469.0</v>
      </c>
      <c r="E364" s="35">
        <v>18280.0</v>
      </c>
      <c r="F364" s="35">
        <v>35.0</v>
      </c>
    </row>
    <row r="365" ht="22.5" customHeight="1">
      <c r="A365" s="37" t="s">
        <v>976</v>
      </c>
      <c r="B365" s="35" t="s">
        <v>977</v>
      </c>
      <c r="C365" s="35">
        <v>1387.0</v>
      </c>
      <c r="D365" s="35">
        <v>1343.0</v>
      </c>
      <c r="E365" s="35">
        <v>26900.0</v>
      </c>
      <c r="F365" s="35" t="s">
        <v>11</v>
      </c>
    </row>
    <row r="366" ht="22.5" customHeight="1">
      <c r="A366" s="37" t="s">
        <v>978</v>
      </c>
      <c r="B366" s="35" t="s">
        <v>979</v>
      </c>
      <c r="C366" s="35">
        <v>1464.0</v>
      </c>
      <c r="D366" s="35">
        <v>1412.0</v>
      </c>
      <c r="E366" s="35">
        <v>27200.0</v>
      </c>
      <c r="F366" s="35" t="s">
        <v>11</v>
      </c>
    </row>
    <row r="367" ht="22.5" customHeight="1">
      <c r="A367" s="37" t="s">
        <v>980</v>
      </c>
      <c r="B367" s="35" t="s">
        <v>981</v>
      </c>
      <c r="C367" s="35">
        <v>53.0</v>
      </c>
      <c r="D367" s="35">
        <v>57.0</v>
      </c>
      <c r="E367" s="35" t="s">
        <v>11</v>
      </c>
      <c r="F367" s="35" t="s">
        <v>11</v>
      </c>
    </row>
    <row r="368" ht="22.5" customHeight="1">
      <c r="A368" s="37" t="s">
        <v>982</v>
      </c>
      <c r="B368" s="35" t="s">
        <v>983</v>
      </c>
      <c r="C368" s="35">
        <v>149.0</v>
      </c>
      <c r="D368" s="35">
        <v>170.0</v>
      </c>
      <c r="E368" s="35">
        <v>23870.0</v>
      </c>
      <c r="F368" s="35" t="s">
        <v>11</v>
      </c>
    </row>
    <row r="369" ht="22.5" customHeight="1">
      <c r="A369" s="37" t="s">
        <v>984</v>
      </c>
      <c r="B369" s="35" t="s">
        <v>985</v>
      </c>
      <c r="C369" s="35">
        <v>239.0</v>
      </c>
      <c r="D369" s="35">
        <v>224.0</v>
      </c>
      <c r="E369" s="35">
        <v>22550.0</v>
      </c>
      <c r="F369" s="35" t="s">
        <v>11</v>
      </c>
    </row>
    <row r="370" ht="22.5" customHeight="1">
      <c r="A370" s="37" t="s">
        <v>986</v>
      </c>
      <c r="B370" s="35" t="s">
        <v>987</v>
      </c>
      <c r="C370" s="35">
        <v>1031.0</v>
      </c>
      <c r="D370" s="35">
        <v>999.0</v>
      </c>
      <c r="E370" s="35">
        <v>27960.0</v>
      </c>
      <c r="F370" s="35" t="s">
        <v>11</v>
      </c>
    </row>
    <row r="371" ht="22.5" customHeight="1">
      <c r="A371" s="37" t="s">
        <v>988</v>
      </c>
      <c r="B371" s="35" t="s">
        <v>989</v>
      </c>
      <c r="C371" s="35">
        <v>232.0</v>
      </c>
      <c r="D371" s="35">
        <v>218.0</v>
      </c>
      <c r="E371" s="35">
        <v>22720.0</v>
      </c>
      <c r="F371" s="35" t="s">
        <v>11</v>
      </c>
    </row>
    <row r="372" ht="22.5" customHeight="1">
      <c r="A372" s="37" t="s">
        <v>990</v>
      </c>
      <c r="B372" s="35" t="s">
        <v>991</v>
      </c>
      <c r="C372" s="35">
        <v>645.0</v>
      </c>
      <c r="D372" s="35">
        <v>672.0</v>
      </c>
      <c r="E372" s="35">
        <v>25410.0</v>
      </c>
      <c r="F372" s="35" t="s">
        <v>11</v>
      </c>
    </row>
    <row r="373" ht="22.5" customHeight="1">
      <c r="A373" s="37" t="s">
        <v>992</v>
      </c>
      <c r="B373" s="35" t="s">
        <v>993</v>
      </c>
      <c r="C373" s="35">
        <v>271.0</v>
      </c>
      <c r="D373" s="35">
        <v>251.0</v>
      </c>
      <c r="E373" s="35">
        <v>26340.0</v>
      </c>
      <c r="F373" s="35" t="s">
        <v>11</v>
      </c>
    </row>
    <row r="374" ht="22.5" customHeight="1">
      <c r="A374" s="37" t="s">
        <v>994</v>
      </c>
      <c r="B374" s="35" t="s">
        <v>995</v>
      </c>
      <c r="C374" s="35">
        <v>205.0</v>
      </c>
      <c r="D374" s="35">
        <v>229.0</v>
      </c>
      <c r="E374" s="35">
        <v>22690.0</v>
      </c>
      <c r="F374" s="35" t="s">
        <v>11</v>
      </c>
    </row>
    <row r="375" ht="22.5" customHeight="1">
      <c r="A375" s="37" t="s">
        <v>996</v>
      </c>
      <c r="B375" s="35" t="s">
        <v>997</v>
      </c>
      <c r="C375" s="35">
        <v>299.0</v>
      </c>
      <c r="D375" s="35">
        <v>328.0</v>
      </c>
      <c r="E375" s="35">
        <v>25670.0</v>
      </c>
      <c r="F375" s="35" t="s">
        <v>11</v>
      </c>
    </row>
    <row r="376" ht="22.5" customHeight="1">
      <c r="A376" s="37" t="s">
        <v>998</v>
      </c>
      <c r="B376" s="35" t="s">
        <v>999</v>
      </c>
      <c r="C376" s="35">
        <v>144.0</v>
      </c>
      <c r="D376" s="35">
        <v>141.0</v>
      </c>
      <c r="E376" s="35">
        <v>25070.0</v>
      </c>
      <c r="F376" s="35" t="s">
        <v>11</v>
      </c>
    </row>
    <row r="377" ht="22.5" customHeight="1">
      <c r="A377" s="37" t="s">
        <v>1000</v>
      </c>
      <c r="B377" s="35" t="s">
        <v>1001</v>
      </c>
      <c r="C377" s="35">
        <v>146.0</v>
      </c>
      <c r="D377" s="35">
        <v>120.0</v>
      </c>
      <c r="E377" s="35">
        <v>26890.0</v>
      </c>
      <c r="F377" s="35" t="s">
        <v>11</v>
      </c>
    </row>
    <row r="378" ht="22.5" customHeight="1">
      <c r="A378" s="37" t="s">
        <v>1002</v>
      </c>
      <c r="B378" s="35" t="s">
        <v>1003</v>
      </c>
      <c r="C378" s="35">
        <v>64.0</v>
      </c>
      <c r="D378" s="35">
        <v>60.0</v>
      </c>
      <c r="E378" s="35" t="s">
        <v>11</v>
      </c>
      <c r="F378" s="35" t="s">
        <v>11</v>
      </c>
    </row>
    <row r="379" ht="22.5" customHeight="1">
      <c r="A379" s="37" t="s">
        <v>1004</v>
      </c>
      <c r="B379" s="35" t="s">
        <v>1005</v>
      </c>
      <c r="C379" s="35">
        <v>1260.0</v>
      </c>
      <c r="D379" s="35">
        <v>1153.0</v>
      </c>
      <c r="E379" s="35">
        <v>24770.0</v>
      </c>
      <c r="F379" s="35" t="s">
        <v>11</v>
      </c>
    </row>
    <row r="380" ht="22.5" customHeight="1">
      <c r="A380" s="37" t="s">
        <v>1006</v>
      </c>
      <c r="B380" s="35" t="s">
        <v>1007</v>
      </c>
      <c r="C380" s="35">
        <v>277.0</v>
      </c>
      <c r="D380" s="35">
        <v>288.0</v>
      </c>
      <c r="E380" s="35">
        <v>24960.0</v>
      </c>
      <c r="F380" s="35" t="s">
        <v>11</v>
      </c>
    </row>
    <row r="381" ht="22.5" customHeight="1">
      <c r="A381" s="37" t="s">
        <v>1008</v>
      </c>
      <c r="B381" s="35" t="s">
        <v>1009</v>
      </c>
      <c r="C381" s="35">
        <v>599.0</v>
      </c>
      <c r="D381" s="35">
        <v>604.0</v>
      </c>
      <c r="E381" s="35">
        <v>25920.0</v>
      </c>
      <c r="F381" s="35" t="s">
        <v>11</v>
      </c>
    </row>
    <row r="382" ht="22.5" customHeight="1">
      <c r="A382" s="37" t="s">
        <v>1010</v>
      </c>
      <c r="B382" s="35" t="s">
        <v>1011</v>
      </c>
      <c r="C382" s="35">
        <v>149.0</v>
      </c>
      <c r="D382" s="35">
        <v>149.0</v>
      </c>
      <c r="E382" s="35">
        <v>24730.0</v>
      </c>
      <c r="F382" s="35" t="s">
        <v>11</v>
      </c>
    </row>
    <row r="383" ht="22.5" customHeight="1">
      <c r="A383" s="37" t="s">
        <v>1012</v>
      </c>
      <c r="B383" s="35" t="s">
        <v>1013</v>
      </c>
      <c r="C383" s="35">
        <v>196.0</v>
      </c>
      <c r="D383" s="35">
        <v>189.0</v>
      </c>
      <c r="E383" s="35">
        <v>26020.0</v>
      </c>
      <c r="F383" s="35" t="s">
        <v>11</v>
      </c>
    </row>
    <row r="384" ht="22.5" customHeight="1">
      <c r="A384" s="37" t="s">
        <v>1014</v>
      </c>
      <c r="B384" s="35" t="s">
        <v>1015</v>
      </c>
      <c r="C384" s="35">
        <v>37.0</v>
      </c>
      <c r="D384" s="35">
        <v>38.0</v>
      </c>
      <c r="E384" s="35" t="s">
        <v>11</v>
      </c>
      <c r="F384" s="35" t="s">
        <v>11</v>
      </c>
    </row>
    <row r="385" ht="22.5" customHeight="1">
      <c r="A385" s="37" t="s">
        <v>1016</v>
      </c>
      <c r="B385" s="35" t="s">
        <v>1017</v>
      </c>
      <c r="C385" s="35">
        <v>269.0</v>
      </c>
      <c r="D385" s="35">
        <v>241.0</v>
      </c>
      <c r="E385" s="35">
        <v>22610.0</v>
      </c>
      <c r="F385" s="35" t="s">
        <v>11</v>
      </c>
    </row>
    <row r="386" ht="22.5" customHeight="1">
      <c r="A386" s="37" t="s">
        <v>1018</v>
      </c>
      <c r="B386" s="35" t="s">
        <v>1019</v>
      </c>
      <c r="C386" s="35">
        <v>187.0</v>
      </c>
      <c r="D386" s="35">
        <v>167.0</v>
      </c>
      <c r="E386" s="35">
        <v>24840.0</v>
      </c>
      <c r="F386" s="35" t="s">
        <v>11</v>
      </c>
    </row>
    <row r="387" ht="22.5" customHeight="1">
      <c r="A387" s="37" t="s">
        <v>1020</v>
      </c>
      <c r="B387" s="35" t="s">
        <v>1021</v>
      </c>
      <c r="C387" s="35">
        <v>541.0</v>
      </c>
      <c r="D387" s="35">
        <v>503.0</v>
      </c>
      <c r="E387" s="35">
        <v>23520.0</v>
      </c>
      <c r="F387" s="35" t="s">
        <v>11</v>
      </c>
    </row>
    <row r="388" ht="22.5" customHeight="1">
      <c r="A388" s="37" t="s">
        <v>1022</v>
      </c>
      <c r="B388" s="35" t="s">
        <v>1023</v>
      </c>
      <c r="C388" s="35">
        <v>137.0</v>
      </c>
      <c r="D388" s="35">
        <v>126.0</v>
      </c>
      <c r="E388" s="35">
        <v>25800.0</v>
      </c>
      <c r="F388" s="35" t="s">
        <v>11</v>
      </c>
    </row>
    <row r="389" ht="22.5" customHeight="1">
      <c r="A389" s="37" t="s">
        <v>1024</v>
      </c>
      <c r="B389" s="35" t="s">
        <v>1025</v>
      </c>
      <c r="C389" s="35">
        <v>182.0</v>
      </c>
      <c r="D389" s="35">
        <v>216.0</v>
      </c>
      <c r="E389" s="35">
        <v>27450.0</v>
      </c>
      <c r="F389" s="35" t="s">
        <v>11</v>
      </c>
    </row>
    <row r="390" ht="22.5" customHeight="1">
      <c r="A390" s="37" t="s">
        <v>1026</v>
      </c>
      <c r="B390" s="35" t="s">
        <v>1027</v>
      </c>
      <c r="C390" s="35">
        <v>24876.0</v>
      </c>
      <c r="D390" s="35">
        <v>24220.0</v>
      </c>
      <c r="E390" s="35">
        <v>19870.0</v>
      </c>
      <c r="F390" s="35">
        <v>31.9</v>
      </c>
    </row>
    <row r="391" ht="22.5" customHeight="1">
      <c r="A391" s="37" t="s">
        <v>1028</v>
      </c>
      <c r="B391" s="35" t="s">
        <v>1029</v>
      </c>
      <c r="C391" s="35">
        <v>268.0</v>
      </c>
      <c r="D391" s="35">
        <v>283.0</v>
      </c>
      <c r="E391" s="35">
        <v>23800.0</v>
      </c>
      <c r="F391" s="35" t="s">
        <v>11</v>
      </c>
    </row>
    <row r="392" ht="22.5" customHeight="1">
      <c r="A392" s="37" t="s">
        <v>1030</v>
      </c>
      <c r="B392" s="35" t="s">
        <v>1031</v>
      </c>
      <c r="C392" s="35">
        <v>244.0</v>
      </c>
      <c r="D392" s="35">
        <v>239.0</v>
      </c>
      <c r="E392" s="35">
        <v>29010.0</v>
      </c>
      <c r="F392" s="35" t="s">
        <v>11</v>
      </c>
    </row>
    <row r="393" ht="22.5" customHeight="1">
      <c r="A393" s="37" t="s">
        <v>1032</v>
      </c>
      <c r="B393" s="35" t="s">
        <v>1033</v>
      </c>
      <c r="C393" s="35">
        <v>208.0</v>
      </c>
      <c r="D393" s="35">
        <v>198.0</v>
      </c>
      <c r="E393" s="35">
        <v>23980.0</v>
      </c>
      <c r="F393" s="35" t="s">
        <v>11</v>
      </c>
    </row>
    <row r="394" ht="22.5" customHeight="1">
      <c r="A394" s="37" t="s">
        <v>1034</v>
      </c>
      <c r="B394" s="35" t="s">
        <v>1035</v>
      </c>
      <c r="C394" s="35">
        <v>99.0</v>
      </c>
      <c r="D394" s="35">
        <v>96.0</v>
      </c>
      <c r="E394" s="35" t="s">
        <v>11</v>
      </c>
      <c r="F394" s="35" t="s">
        <v>11</v>
      </c>
    </row>
    <row r="395" ht="22.5" customHeight="1">
      <c r="A395" s="37" t="s">
        <v>1036</v>
      </c>
      <c r="B395" s="35" t="s">
        <v>1037</v>
      </c>
      <c r="C395" s="35">
        <v>250.0</v>
      </c>
      <c r="D395" s="35">
        <v>251.0</v>
      </c>
      <c r="E395" s="35">
        <v>28770.0</v>
      </c>
      <c r="F395" s="35" t="s">
        <v>11</v>
      </c>
    </row>
    <row r="396" ht="22.5" customHeight="1">
      <c r="A396" s="37" t="s">
        <v>1038</v>
      </c>
      <c r="B396" s="35" t="s">
        <v>1039</v>
      </c>
      <c r="C396" s="35">
        <v>202.0</v>
      </c>
      <c r="D396" s="35">
        <v>203.0</v>
      </c>
      <c r="E396" s="35">
        <v>23870.0</v>
      </c>
      <c r="F396" s="35" t="s">
        <v>11</v>
      </c>
    </row>
    <row r="397" ht="22.5" customHeight="1">
      <c r="A397" s="37" t="s">
        <v>1040</v>
      </c>
      <c r="B397" s="35" t="s">
        <v>1041</v>
      </c>
      <c r="C397" s="35">
        <v>159.0</v>
      </c>
      <c r="D397" s="35">
        <v>155.0</v>
      </c>
      <c r="E397" s="35">
        <v>29760.0</v>
      </c>
      <c r="F397" s="35" t="s">
        <v>11</v>
      </c>
    </row>
    <row r="398" ht="22.5" customHeight="1">
      <c r="A398" s="37" t="s">
        <v>1042</v>
      </c>
      <c r="B398" s="35" t="s">
        <v>1043</v>
      </c>
      <c r="C398" s="35">
        <v>430.0</v>
      </c>
      <c r="D398" s="35">
        <v>409.0</v>
      </c>
      <c r="E398" s="35">
        <v>23030.0</v>
      </c>
      <c r="F398" s="35" t="s">
        <v>11</v>
      </c>
    </row>
    <row r="399" ht="22.5" customHeight="1">
      <c r="A399" s="37" t="s">
        <v>1044</v>
      </c>
      <c r="B399" s="35" t="s">
        <v>1045</v>
      </c>
      <c r="C399" s="35">
        <v>100.0</v>
      </c>
      <c r="D399" s="35">
        <v>125.0</v>
      </c>
      <c r="E399" s="35">
        <v>22810.0</v>
      </c>
      <c r="F399" s="35" t="s">
        <v>11</v>
      </c>
    </row>
    <row r="400" ht="22.5" customHeight="1">
      <c r="A400" s="37" t="s">
        <v>1046</v>
      </c>
      <c r="B400" s="35" t="s">
        <v>1047</v>
      </c>
      <c r="C400" s="35">
        <v>213.0</v>
      </c>
      <c r="D400" s="35">
        <v>223.0</v>
      </c>
      <c r="E400" s="35">
        <v>25010.0</v>
      </c>
      <c r="F400" s="35" t="s">
        <v>11</v>
      </c>
    </row>
    <row r="401" ht="22.5" customHeight="1">
      <c r="A401" s="37" t="s">
        <v>1048</v>
      </c>
      <c r="B401" s="35" t="s">
        <v>1049</v>
      </c>
      <c r="C401" s="35">
        <v>270.0</v>
      </c>
      <c r="D401" s="35">
        <v>269.0</v>
      </c>
      <c r="E401" s="35">
        <v>27500.0</v>
      </c>
      <c r="F401" s="35" t="s">
        <v>11</v>
      </c>
    </row>
    <row r="402" ht="22.5" customHeight="1">
      <c r="A402" s="37" t="s">
        <v>1050</v>
      </c>
      <c r="B402" s="35" t="s">
        <v>1051</v>
      </c>
      <c r="C402" s="35">
        <v>832.0</v>
      </c>
      <c r="D402" s="35">
        <v>790.0</v>
      </c>
      <c r="E402" s="35">
        <v>27790.0</v>
      </c>
      <c r="F402" s="35" t="s">
        <v>11</v>
      </c>
    </row>
    <row r="403" ht="22.5" customHeight="1">
      <c r="A403" s="37" t="s">
        <v>1052</v>
      </c>
      <c r="B403" s="35" t="s">
        <v>1053</v>
      </c>
      <c r="C403" s="35">
        <v>102.0</v>
      </c>
      <c r="D403" s="35">
        <v>83.0</v>
      </c>
      <c r="E403" s="35" t="s">
        <v>11</v>
      </c>
      <c r="F403" s="35" t="s">
        <v>11</v>
      </c>
    </row>
    <row r="404" ht="22.5" customHeight="1">
      <c r="A404" s="37" t="s">
        <v>1054</v>
      </c>
      <c r="B404" s="35" t="s">
        <v>1055</v>
      </c>
      <c r="C404" s="35">
        <v>810.0</v>
      </c>
      <c r="D404" s="35">
        <v>754.0</v>
      </c>
      <c r="E404" s="35">
        <v>21650.0</v>
      </c>
      <c r="F404" s="35" t="s">
        <v>11</v>
      </c>
    </row>
    <row r="405" ht="22.5" customHeight="1">
      <c r="A405" s="37" t="s">
        <v>1056</v>
      </c>
      <c r="B405" s="35" t="s">
        <v>1057</v>
      </c>
      <c r="C405" s="35">
        <v>420.0</v>
      </c>
      <c r="D405" s="35">
        <v>455.0</v>
      </c>
      <c r="E405" s="35">
        <v>25750.0</v>
      </c>
      <c r="F405" s="35" t="s">
        <v>11</v>
      </c>
    </row>
    <row r="406" ht="22.5" customHeight="1">
      <c r="A406" s="37" t="s">
        <v>1058</v>
      </c>
      <c r="B406" s="35" t="s">
        <v>1059</v>
      </c>
      <c r="C406" s="35">
        <v>106.0</v>
      </c>
      <c r="D406" s="35">
        <v>101.0</v>
      </c>
      <c r="E406" s="35">
        <v>25810.0</v>
      </c>
      <c r="F406" s="35" t="s">
        <v>11</v>
      </c>
    </row>
    <row r="407" ht="22.5" customHeight="1">
      <c r="A407" s="37" t="s">
        <v>1060</v>
      </c>
      <c r="B407" s="35" t="s">
        <v>1061</v>
      </c>
      <c r="C407" s="35">
        <v>173.0</v>
      </c>
      <c r="D407" s="35">
        <v>190.0</v>
      </c>
      <c r="E407" s="35">
        <v>22120.0</v>
      </c>
      <c r="F407" s="35" t="s">
        <v>11</v>
      </c>
    </row>
    <row r="408" ht="22.5" customHeight="1">
      <c r="A408" s="37" t="s">
        <v>1062</v>
      </c>
      <c r="B408" s="35" t="s">
        <v>1063</v>
      </c>
      <c r="C408" s="35">
        <v>545.0</v>
      </c>
      <c r="D408" s="35">
        <v>543.0</v>
      </c>
      <c r="E408" s="35">
        <v>25000.0</v>
      </c>
      <c r="F408" s="35" t="s">
        <v>11</v>
      </c>
    </row>
    <row r="409" ht="22.5" customHeight="1">
      <c r="A409" s="37" t="s">
        <v>1064</v>
      </c>
      <c r="B409" s="35" t="s">
        <v>1065</v>
      </c>
      <c r="C409" s="35">
        <v>141.0</v>
      </c>
      <c r="D409" s="35">
        <v>140.0</v>
      </c>
      <c r="E409" s="35">
        <v>22540.0</v>
      </c>
      <c r="F409" s="35" t="s">
        <v>11</v>
      </c>
    </row>
    <row r="410" ht="22.5" customHeight="1">
      <c r="A410" s="37" t="s">
        <v>1066</v>
      </c>
      <c r="B410" s="35" t="s">
        <v>1067</v>
      </c>
      <c r="C410" s="35">
        <v>74.0</v>
      </c>
      <c r="D410" s="35">
        <v>65.0</v>
      </c>
      <c r="E410" s="35" t="s">
        <v>11</v>
      </c>
      <c r="F410" s="35" t="s">
        <v>11</v>
      </c>
    </row>
    <row r="411" ht="22.5" customHeight="1">
      <c r="A411" s="37" t="s">
        <v>1068</v>
      </c>
      <c r="B411" s="35" t="s">
        <v>1069</v>
      </c>
      <c r="C411" s="35">
        <v>118.0</v>
      </c>
      <c r="D411" s="35">
        <v>117.0</v>
      </c>
      <c r="E411" s="35">
        <v>26560.0</v>
      </c>
      <c r="F411" s="35" t="s">
        <v>11</v>
      </c>
    </row>
    <row r="412" ht="22.5" customHeight="1">
      <c r="A412" s="37" t="s">
        <v>1070</v>
      </c>
      <c r="B412" s="35" t="s">
        <v>1071</v>
      </c>
      <c r="C412" s="35">
        <v>1298.0</v>
      </c>
      <c r="D412" s="35">
        <v>1264.0</v>
      </c>
      <c r="E412" s="35">
        <v>22340.0</v>
      </c>
      <c r="F412" s="35" t="s">
        <v>11</v>
      </c>
    </row>
    <row r="413" ht="22.5" customHeight="1">
      <c r="A413" s="37" t="s">
        <v>1072</v>
      </c>
      <c r="B413" s="35" t="s">
        <v>1073</v>
      </c>
      <c r="C413" s="35">
        <v>391.0</v>
      </c>
      <c r="D413" s="35">
        <v>385.0</v>
      </c>
      <c r="E413" s="35">
        <v>23570.0</v>
      </c>
      <c r="F413" s="35" t="s">
        <v>11</v>
      </c>
    </row>
    <row r="414" ht="22.5" customHeight="1">
      <c r="A414" s="37" t="s">
        <v>1074</v>
      </c>
      <c r="B414" s="35" t="s">
        <v>1075</v>
      </c>
      <c r="C414" s="35">
        <v>187.0</v>
      </c>
      <c r="D414" s="35">
        <v>192.0</v>
      </c>
      <c r="E414" s="35">
        <v>26300.0</v>
      </c>
      <c r="F414" s="35" t="s">
        <v>11</v>
      </c>
    </row>
    <row r="415" ht="22.5" customHeight="1">
      <c r="A415" s="37" t="s">
        <v>1076</v>
      </c>
      <c r="B415" s="35" t="s">
        <v>1077</v>
      </c>
      <c r="C415" s="35">
        <v>225.0</v>
      </c>
      <c r="D415" s="35">
        <v>220.0</v>
      </c>
      <c r="E415" s="35">
        <v>24020.0</v>
      </c>
      <c r="F415" s="35" t="s">
        <v>11</v>
      </c>
    </row>
    <row r="416" ht="22.5" customHeight="1">
      <c r="A416" s="37" t="s">
        <v>1078</v>
      </c>
      <c r="B416" s="35" t="s">
        <v>1079</v>
      </c>
      <c r="C416" s="35">
        <v>74.0</v>
      </c>
      <c r="D416" s="35">
        <v>84.0</v>
      </c>
      <c r="E416" s="35" t="s">
        <v>11</v>
      </c>
      <c r="F416" s="35" t="s">
        <v>11</v>
      </c>
    </row>
    <row r="417" ht="22.5" customHeight="1">
      <c r="A417" s="37" t="s">
        <v>1080</v>
      </c>
      <c r="B417" s="35" t="s">
        <v>1081</v>
      </c>
      <c r="C417" s="35">
        <v>262.0</v>
      </c>
      <c r="D417" s="35">
        <v>249.0</v>
      </c>
      <c r="E417" s="35">
        <v>25690.0</v>
      </c>
      <c r="F417" s="35" t="s">
        <v>11</v>
      </c>
    </row>
    <row r="418" ht="22.5" customHeight="1">
      <c r="A418" s="37" t="s">
        <v>1082</v>
      </c>
      <c r="B418" s="35" t="s">
        <v>1083</v>
      </c>
      <c r="C418" s="35">
        <v>1180.0</v>
      </c>
      <c r="D418" s="35">
        <v>1232.0</v>
      </c>
      <c r="E418" s="35">
        <v>24680.0</v>
      </c>
      <c r="F418" s="35" t="s">
        <v>11</v>
      </c>
    </row>
    <row r="419" ht="22.5" customHeight="1">
      <c r="A419" s="37" t="s">
        <v>1084</v>
      </c>
      <c r="B419" s="35" t="s">
        <v>1085</v>
      </c>
      <c r="C419" s="35">
        <v>142.0</v>
      </c>
      <c r="D419" s="35">
        <v>141.0</v>
      </c>
      <c r="E419" s="35">
        <v>22710.0</v>
      </c>
      <c r="F419" s="35" t="s">
        <v>11</v>
      </c>
    </row>
    <row r="420" ht="22.5" customHeight="1">
      <c r="A420" s="37" t="s">
        <v>1086</v>
      </c>
      <c r="B420" s="35" t="s">
        <v>1087</v>
      </c>
      <c r="C420" s="35">
        <v>199.0</v>
      </c>
      <c r="D420" s="35">
        <v>203.0</v>
      </c>
      <c r="E420" s="35">
        <v>26720.0</v>
      </c>
      <c r="F420" s="35" t="s">
        <v>11</v>
      </c>
    </row>
    <row r="421" ht="22.5" customHeight="1">
      <c r="A421" s="37" t="s">
        <v>1088</v>
      </c>
      <c r="B421" s="35" t="s">
        <v>1089</v>
      </c>
      <c r="C421" s="35">
        <v>91.0</v>
      </c>
      <c r="D421" s="35">
        <v>85.0</v>
      </c>
      <c r="E421" s="35" t="s">
        <v>11</v>
      </c>
      <c r="F421" s="35" t="s">
        <v>11</v>
      </c>
    </row>
    <row r="422" ht="22.5" customHeight="1">
      <c r="A422" s="37" t="s">
        <v>1090</v>
      </c>
      <c r="B422" s="35" t="s">
        <v>1091</v>
      </c>
      <c r="C422" s="35">
        <v>195.0</v>
      </c>
      <c r="D422" s="35">
        <v>202.0</v>
      </c>
      <c r="E422" s="35">
        <v>30590.0</v>
      </c>
      <c r="F422" s="35" t="s">
        <v>11</v>
      </c>
    </row>
    <row r="423" ht="22.5" customHeight="1">
      <c r="A423" s="37" t="s">
        <v>1092</v>
      </c>
      <c r="B423" s="35" t="s">
        <v>1093</v>
      </c>
      <c r="C423" s="35">
        <v>114.0</v>
      </c>
      <c r="D423" s="35">
        <v>110.0</v>
      </c>
      <c r="E423" s="35">
        <v>21810.0</v>
      </c>
      <c r="F423" s="35" t="s">
        <v>11</v>
      </c>
    </row>
    <row r="424" ht="22.5" customHeight="1">
      <c r="A424" s="37" t="s">
        <v>1094</v>
      </c>
      <c r="B424" s="35" t="s">
        <v>1095</v>
      </c>
      <c r="C424" s="35">
        <v>285.0</v>
      </c>
      <c r="D424" s="35">
        <v>266.0</v>
      </c>
      <c r="E424" s="35">
        <v>22750.0</v>
      </c>
      <c r="F424" s="35" t="s">
        <v>11</v>
      </c>
    </row>
    <row r="425" ht="22.5" customHeight="1">
      <c r="A425" s="37" t="s">
        <v>1096</v>
      </c>
      <c r="B425" s="35" t="s">
        <v>1097</v>
      </c>
      <c r="C425" s="35">
        <v>121.0</v>
      </c>
      <c r="D425" s="35">
        <v>118.0</v>
      </c>
      <c r="E425" s="35">
        <v>28660.0</v>
      </c>
      <c r="F425" s="35" t="s">
        <v>11</v>
      </c>
    </row>
    <row r="426" ht="22.5" customHeight="1">
      <c r="A426" s="37" t="s">
        <v>1098</v>
      </c>
      <c r="B426" s="35" t="s">
        <v>1099</v>
      </c>
      <c r="C426" s="35">
        <v>147.0</v>
      </c>
      <c r="D426" s="35">
        <v>126.0</v>
      </c>
      <c r="E426" s="35">
        <v>23580.0</v>
      </c>
      <c r="F426" s="35" t="s">
        <v>11</v>
      </c>
    </row>
    <row r="427" ht="22.5" customHeight="1">
      <c r="A427" s="37" t="s">
        <v>1100</v>
      </c>
      <c r="B427" s="35" t="s">
        <v>1101</v>
      </c>
      <c r="C427" s="35">
        <v>122.0</v>
      </c>
      <c r="D427" s="35">
        <v>108.0</v>
      </c>
      <c r="E427" s="35">
        <v>22540.0</v>
      </c>
      <c r="F427" s="35" t="s">
        <v>11</v>
      </c>
    </row>
    <row r="428" ht="22.5" customHeight="1">
      <c r="A428" s="37" t="s">
        <v>1102</v>
      </c>
      <c r="B428" s="35" t="s">
        <v>1103</v>
      </c>
      <c r="C428" s="35">
        <v>73.0</v>
      </c>
      <c r="D428" s="35">
        <v>64.0</v>
      </c>
      <c r="E428" s="35" t="s">
        <v>11</v>
      </c>
      <c r="F428" s="35" t="s">
        <v>11</v>
      </c>
    </row>
    <row r="429" ht="22.5" customHeight="1">
      <c r="A429" s="37" t="s">
        <v>1104</v>
      </c>
      <c r="B429" s="35" t="s">
        <v>1105</v>
      </c>
      <c r="C429" s="35">
        <v>376.0</v>
      </c>
      <c r="D429" s="35">
        <v>357.0</v>
      </c>
      <c r="E429" s="35">
        <v>21710.0</v>
      </c>
      <c r="F429" s="35" t="s">
        <v>11</v>
      </c>
    </row>
    <row r="430" ht="22.5" customHeight="1">
      <c r="A430" s="37" t="s">
        <v>1106</v>
      </c>
      <c r="B430" s="35" t="s">
        <v>1107</v>
      </c>
      <c r="C430" s="35">
        <v>125.0</v>
      </c>
      <c r="D430" s="35">
        <v>122.0</v>
      </c>
      <c r="E430" s="35">
        <v>24820.0</v>
      </c>
      <c r="F430" s="35" t="s">
        <v>11</v>
      </c>
    </row>
    <row r="431" ht="22.5" customHeight="1">
      <c r="A431" s="37" t="s">
        <v>1108</v>
      </c>
      <c r="B431" s="35" t="s">
        <v>1109</v>
      </c>
      <c r="C431" s="35">
        <v>239.0</v>
      </c>
      <c r="D431" s="35">
        <v>232.0</v>
      </c>
      <c r="E431" s="35">
        <v>26110.0</v>
      </c>
      <c r="F431" s="35" t="s">
        <v>11</v>
      </c>
    </row>
    <row r="432" ht="22.5" customHeight="1">
      <c r="A432" s="37" t="s">
        <v>1110</v>
      </c>
      <c r="B432" s="35" t="s">
        <v>1111</v>
      </c>
      <c r="C432" s="35">
        <v>411.0</v>
      </c>
      <c r="D432" s="35">
        <v>392.0</v>
      </c>
      <c r="E432" s="35">
        <v>25370.0</v>
      </c>
      <c r="F432" s="35" t="s">
        <v>11</v>
      </c>
    </row>
    <row r="433" ht="22.5" customHeight="1">
      <c r="A433" s="37" t="s">
        <v>1112</v>
      </c>
      <c r="B433" s="35" t="s">
        <v>1113</v>
      </c>
      <c r="C433" s="35">
        <v>410.0</v>
      </c>
      <c r="D433" s="35">
        <v>403.0</v>
      </c>
      <c r="E433" s="35">
        <v>24410.0</v>
      </c>
      <c r="F433" s="35" t="s">
        <v>11</v>
      </c>
    </row>
    <row r="434" ht="22.5" customHeight="1">
      <c r="A434" s="37" t="s">
        <v>1114</v>
      </c>
      <c r="B434" s="35" t="s">
        <v>1115</v>
      </c>
      <c r="C434" s="35">
        <v>203.0</v>
      </c>
      <c r="D434" s="35">
        <v>178.0</v>
      </c>
      <c r="E434" s="35">
        <v>24100.0</v>
      </c>
      <c r="F434" s="35" t="s">
        <v>11</v>
      </c>
    </row>
    <row r="435" ht="22.5" customHeight="1">
      <c r="A435" s="37" t="s">
        <v>1116</v>
      </c>
      <c r="B435" s="35" t="s">
        <v>1117</v>
      </c>
      <c r="C435" s="35">
        <v>307.0</v>
      </c>
      <c r="D435" s="35">
        <v>311.0</v>
      </c>
      <c r="E435" s="35">
        <v>24150.0</v>
      </c>
      <c r="F435" s="35" t="s">
        <v>11</v>
      </c>
    </row>
    <row r="436" ht="22.5" customHeight="1">
      <c r="A436" s="37" t="s">
        <v>1118</v>
      </c>
      <c r="B436" s="35" t="s">
        <v>1119</v>
      </c>
      <c r="C436" s="35">
        <v>435.0</v>
      </c>
      <c r="D436" s="35">
        <v>389.0</v>
      </c>
      <c r="E436" s="35">
        <v>22860.0</v>
      </c>
      <c r="F436" s="35" t="s">
        <v>11</v>
      </c>
    </row>
    <row r="437" ht="22.5" customHeight="1">
      <c r="A437" s="37" t="s">
        <v>1120</v>
      </c>
      <c r="B437" s="35" t="s">
        <v>1121</v>
      </c>
      <c r="C437" s="35">
        <v>818.0</v>
      </c>
      <c r="D437" s="35">
        <v>821.0</v>
      </c>
      <c r="E437" s="35">
        <v>26150.0</v>
      </c>
      <c r="F437" s="35" t="s">
        <v>11</v>
      </c>
    </row>
    <row r="438" ht="22.5" customHeight="1">
      <c r="A438" s="37" t="s">
        <v>1122</v>
      </c>
      <c r="B438" s="35" t="s">
        <v>1123</v>
      </c>
      <c r="C438" s="35">
        <v>173.0</v>
      </c>
      <c r="D438" s="35">
        <v>151.0</v>
      </c>
      <c r="E438" s="35">
        <v>29900.0</v>
      </c>
      <c r="F438" s="35" t="s">
        <v>11</v>
      </c>
    </row>
    <row r="439" ht="22.5" customHeight="1">
      <c r="A439" s="37" t="s">
        <v>1124</v>
      </c>
      <c r="B439" s="35" t="s">
        <v>1125</v>
      </c>
      <c r="C439" s="35">
        <v>192.0</v>
      </c>
      <c r="D439" s="35">
        <v>203.0</v>
      </c>
      <c r="E439" s="35">
        <v>24430.0</v>
      </c>
      <c r="F439" s="35" t="s">
        <v>11</v>
      </c>
    </row>
    <row r="440" ht="22.5" customHeight="1">
      <c r="A440" s="37" t="s">
        <v>1126</v>
      </c>
      <c r="B440" s="35" t="s">
        <v>1127</v>
      </c>
      <c r="C440" s="35">
        <v>369.0</v>
      </c>
      <c r="D440" s="35">
        <v>341.0</v>
      </c>
      <c r="E440" s="35">
        <v>25410.0</v>
      </c>
      <c r="F440" s="35" t="s">
        <v>11</v>
      </c>
    </row>
    <row r="441" ht="22.5" customHeight="1">
      <c r="A441" s="37" t="s">
        <v>1128</v>
      </c>
      <c r="B441" s="35" t="s">
        <v>1129</v>
      </c>
      <c r="C441" s="35">
        <v>240.0</v>
      </c>
      <c r="D441" s="35">
        <v>221.0</v>
      </c>
      <c r="E441" s="35">
        <v>25990.0</v>
      </c>
      <c r="F441" s="35" t="s">
        <v>11</v>
      </c>
    </row>
    <row r="442" ht="22.5" customHeight="1">
      <c r="A442" s="37" t="s">
        <v>1130</v>
      </c>
      <c r="B442" s="35" t="s">
        <v>1131</v>
      </c>
      <c r="C442" s="35">
        <v>86.0</v>
      </c>
      <c r="D442" s="35">
        <v>83.0</v>
      </c>
      <c r="E442" s="35" t="s">
        <v>11</v>
      </c>
      <c r="F442" s="35" t="s">
        <v>11</v>
      </c>
    </row>
    <row r="443" ht="22.5" customHeight="1">
      <c r="A443" s="37" t="s">
        <v>1132</v>
      </c>
      <c r="B443" s="35" t="s">
        <v>1133</v>
      </c>
      <c r="C443" s="35">
        <v>370.0</v>
      </c>
      <c r="D443" s="35">
        <v>377.0</v>
      </c>
      <c r="E443" s="35">
        <v>25850.0</v>
      </c>
      <c r="F443" s="35" t="s">
        <v>11</v>
      </c>
    </row>
    <row r="444" ht="22.5" customHeight="1">
      <c r="A444" s="37" t="s">
        <v>1134</v>
      </c>
      <c r="B444" s="35" t="s">
        <v>1135</v>
      </c>
      <c r="C444" s="35">
        <v>485.0</v>
      </c>
      <c r="D444" s="35">
        <v>530.0</v>
      </c>
      <c r="E444" s="35">
        <v>24940.0</v>
      </c>
      <c r="F444" s="35" t="s">
        <v>11</v>
      </c>
    </row>
    <row r="445" ht="22.5" customHeight="1">
      <c r="A445" s="37" t="s">
        <v>1136</v>
      </c>
      <c r="B445" s="35" t="s">
        <v>1137</v>
      </c>
      <c r="C445" s="35">
        <v>130.0</v>
      </c>
      <c r="D445" s="35">
        <v>125.0</v>
      </c>
      <c r="E445" s="35">
        <v>26920.0</v>
      </c>
      <c r="F445" s="35" t="s">
        <v>11</v>
      </c>
    </row>
    <row r="446" ht="22.5" customHeight="1">
      <c r="A446" s="37" t="s">
        <v>1138</v>
      </c>
      <c r="B446" s="35" t="s">
        <v>1139</v>
      </c>
      <c r="C446" s="35">
        <v>50.0</v>
      </c>
      <c r="D446" s="35">
        <v>47.0</v>
      </c>
      <c r="E446" s="35" t="s">
        <v>11</v>
      </c>
      <c r="F446" s="35" t="s">
        <v>11</v>
      </c>
    </row>
    <row r="447" ht="22.5" customHeight="1">
      <c r="A447" s="37" t="s">
        <v>1140</v>
      </c>
      <c r="B447" s="35" t="s">
        <v>1141</v>
      </c>
      <c r="C447" s="35">
        <v>2268.0</v>
      </c>
      <c r="D447" s="35">
        <v>2229.0</v>
      </c>
      <c r="E447" s="35">
        <v>21320.0</v>
      </c>
      <c r="F447" s="35">
        <v>25.0</v>
      </c>
    </row>
    <row r="448" ht="22.5" customHeight="1">
      <c r="A448" s="37" t="s">
        <v>1142</v>
      </c>
      <c r="B448" s="35" t="s">
        <v>1143</v>
      </c>
      <c r="C448" s="35">
        <v>475.0</v>
      </c>
      <c r="D448" s="35">
        <v>483.0</v>
      </c>
      <c r="E448" s="35">
        <v>20840.0</v>
      </c>
      <c r="F448" s="35" t="s">
        <v>11</v>
      </c>
    </row>
    <row r="449" ht="22.5" customHeight="1">
      <c r="A449" s="37" t="s">
        <v>1144</v>
      </c>
      <c r="B449" s="35" t="s">
        <v>1145</v>
      </c>
      <c r="C449" s="35">
        <v>434.0</v>
      </c>
      <c r="D449" s="35">
        <v>410.0</v>
      </c>
      <c r="E449" s="35">
        <v>23270.0</v>
      </c>
      <c r="F449" s="35" t="s">
        <v>11</v>
      </c>
    </row>
    <row r="450" ht="22.5" customHeight="1">
      <c r="A450" s="37" t="s">
        <v>1146</v>
      </c>
      <c r="B450" s="35" t="s">
        <v>1147</v>
      </c>
      <c r="C450" s="35">
        <v>124.0</v>
      </c>
      <c r="D450" s="35">
        <v>130.0</v>
      </c>
      <c r="E450" s="35">
        <v>25510.0</v>
      </c>
      <c r="F450" s="35" t="s">
        <v>11</v>
      </c>
    </row>
    <row r="451" ht="22.5" customHeight="1">
      <c r="A451" s="37" t="s">
        <v>1148</v>
      </c>
      <c r="B451" s="35" t="s">
        <v>1149</v>
      </c>
      <c r="C451" s="35">
        <v>420.0</v>
      </c>
      <c r="D451" s="35">
        <v>398.0</v>
      </c>
      <c r="E451" s="35">
        <v>23090.0</v>
      </c>
      <c r="F451" s="35" t="s">
        <v>11</v>
      </c>
    </row>
    <row r="452" ht="22.5" customHeight="1">
      <c r="A452" s="37" t="s">
        <v>1150</v>
      </c>
      <c r="B452" s="35" t="s">
        <v>1151</v>
      </c>
      <c r="C452" s="35">
        <v>211.0</v>
      </c>
      <c r="D452" s="35">
        <v>207.0</v>
      </c>
      <c r="E452" s="35">
        <v>23670.0</v>
      </c>
      <c r="F452" s="35" t="s">
        <v>11</v>
      </c>
    </row>
    <row r="453" ht="22.5" customHeight="1">
      <c r="A453" s="37" t="s">
        <v>1152</v>
      </c>
      <c r="B453" s="35" t="s">
        <v>1153</v>
      </c>
      <c r="C453" s="35">
        <v>408.0</v>
      </c>
      <c r="D453" s="35">
        <v>419.0</v>
      </c>
      <c r="E453" s="35">
        <v>24420.0</v>
      </c>
      <c r="F453" s="35" t="s">
        <v>11</v>
      </c>
    </row>
    <row r="454" ht="22.5" customHeight="1">
      <c r="A454" s="37" t="s">
        <v>1154</v>
      </c>
      <c r="B454" s="35" t="s">
        <v>1155</v>
      </c>
      <c r="C454" s="35">
        <v>651.0</v>
      </c>
      <c r="D454" s="35">
        <v>637.0</v>
      </c>
      <c r="E454" s="35">
        <v>21930.0</v>
      </c>
      <c r="F454" s="35" t="s">
        <v>11</v>
      </c>
    </row>
    <row r="455" ht="22.5" customHeight="1">
      <c r="A455" s="37" t="s">
        <v>1156</v>
      </c>
      <c r="B455" s="35" t="s">
        <v>1157</v>
      </c>
      <c r="C455" s="35">
        <v>962.0</v>
      </c>
      <c r="D455" s="35">
        <v>935.0</v>
      </c>
      <c r="E455" s="35">
        <v>28840.0</v>
      </c>
      <c r="F455" s="35" t="s">
        <v>11</v>
      </c>
    </row>
    <row r="456" ht="22.5" customHeight="1">
      <c r="A456" s="37" t="s">
        <v>1158</v>
      </c>
      <c r="B456" s="35" t="s">
        <v>1159</v>
      </c>
      <c r="C456" s="35">
        <v>259.0</v>
      </c>
      <c r="D456" s="35">
        <v>253.0</v>
      </c>
      <c r="E456" s="35">
        <v>23770.0</v>
      </c>
      <c r="F456" s="35" t="s">
        <v>11</v>
      </c>
    </row>
    <row r="457" ht="22.5" customHeight="1">
      <c r="A457" s="37" t="s">
        <v>1160</v>
      </c>
      <c r="B457" s="35" t="s">
        <v>1161</v>
      </c>
      <c r="C457" s="35">
        <v>305.0</v>
      </c>
      <c r="D457" s="35">
        <v>320.0</v>
      </c>
      <c r="E457" s="35">
        <v>25640.0</v>
      </c>
      <c r="F457" s="35" t="s">
        <v>11</v>
      </c>
    </row>
    <row r="458" ht="22.5" customHeight="1">
      <c r="A458" s="37" t="s">
        <v>1162</v>
      </c>
      <c r="B458" s="35" t="s">
        <v>1163</v>
      </c>
      <c r="C458" s="35">
        <v>476.0</v>
      </c>
      <c r="D458" s="35">
        <v>435.0</v>
      </c>
      <c r="E458" s="35">
        <v>32860.0</v>
      </c>
      <c r="F458" s="35" t="s">
        <v>11</v>
      </c>
    </row>
    <row r="459" ht="22.5" customHeight="1">
      <c r="A459" s="37" t="s">
        <v>1164</v>
      </c>
      <c r="B459" s="35" t="s">
        <v>1165</v>
      </c>
      <c r="C459" s="35">
        <v>52.0</v>
      </c>
      <c r="D459" s="35">
        <v>56.0</v>
      </c>
      <c r="E459" s="35" t="s">
        <v>11</v>
      </c>
      <c r="F459" s="35" t="s">
        <v>11</v>
      </c>
    </row>
    <row r="460" ht="22.5" customHeight="1">
      <c r="A460" s="37" t="s">
        <v>1166</v>
      </c>
      <c r="B460" s="35" t="s">
        <v>1167</v>
      </c>
      <c r="C460" s="35">
        <v>516.0</v>
      </c>
      <c r="D460" s="35">
        <v>507.0</v>
      </c>
      <c r="E460" s="35">
        <v>26130.0</v>
      </c>
      <c r="F460" s="35" t="s">
        <v>11</v>
      </c>
    </row>
    <row r="461" ht="22.5" customHeight="1">
      <c r="A461" s="37" t="s">
        <v>1168</v>
      </c>
      <c r="B461" s="35" t="s">
        <v>1169</v>
      </c>
      <c r="C461" s="35">
        <v>517.0</v>
      </c>
      <c r="D461" s="35">
        <v>558.0</v>
      </c>
      <c r="E461" s="35">
        <v>24690.0</v>
      </c>
      <c r="F461" s="35" t="s">
        <v>11</v>
      </c>
    </row>
    <row r="462" ht="22.5" customHeight="1">
      <c r="A462" s="37" t="s">
        <v>1170</v>
      </c>
      <c r="B462" s="35" t="s">
        <v>1171</v>
      </c>
      <c r="C462" s="35">
        <v>97.0</v>
      </c>
      <c r="D462" s="35">
        <v>100.0</v>
      </c>
      <c r="E462" s="35">
        <v>28270.0</v>
      </c>
      <c r="F462" s="35" t="s">
        <v>11</v>
      </c>
    </row>
    <row r="463" ht="22.5" customHeight="1">
      <c r="A463" s="37" t="s">
        <v>1172</v>
      </c>
      <c r="B463" s="35" t="s">
        <v>1173</v>
      </c>
      <c r="C463" s="35">
        <v>108.0</v>
      </c>
      <c r="D463" s="35">
        <v>107.0</v>
      </c>
      <c r="E463" s="35">
        <v>24130.0</v>
      </c>
      <c r="F463" s="35" t="s">
        <v>11</v>
      </c>
    </row>
    <row r="464" ht="22.5" customHeight="1">
      <c r="A464" s="37" t="s">
        <v>1174</v>
      </c>
      <c r="B464" s="35" t="s">
        <v>1175</v>
      </c>
      <c r="C464" s="35">
        <v>640.0</v>
      </c>
      <c r="D464" s="35">
        <v>625.0</v>
      </c>
      <c r="E464" s="35">
        <v>27660.0</v>
      </c>
      <c r="F464" s="35" t="s">
        <v>11</v>
      </c>
    </row>
    <row r="465" ht="22.5" customHeight="1">
      <c r="A465" s="37" t="s">
        <v>1176</v>
      </c>
      <c r="B465" s="35" t="s">
        <v>1177</v>
      </c>
      <c r="C465" s="35">
        <v>152.0</v>
      </c>
      <c r="D465" s="35">
        <v>161.0</v>
      </c>
      <c r="E465" s="35">
        <v>23360.0</v>
      </c>
      <c r="F465" s="35" t="s">
        <v>11</v>
      </c>
    </row>
    <row r="466" ht="22.5" customHeight="1">
      <c r="A466" s="37" t="s">
        <v>1178</v>
      </c>
      <c r="B466" s="35" t="s">
        <v>1179</v>
      </c>
      <c r="C466" s="35">
        <v>329.0</v>
      </c>
      <c r="D466" s="35">
        <v>359.0</v>
      </c>
      <c r="E466" s="35">
        <v>28140.0</v>
      </c>
      <c r="F466" s="35" t="s">
        <v>11</v>
      </c>
    </row>
    <row r="467" ht="22.5" customHeight="1">
      <c r="A467" s="37" t="s">
        <v>1180</v>
      </c>
      <c r="B467" s="35" t="s">
        <v>1181</v>
      </c>
      <c r="C467" s="35">
        <v>131.0</v>
      </c>
      <c r="D467" s="35">
        <v>122.0</v>
      </c>
      <c r="E467" s="35">
        <v>31820.0</v>
      </c>
      <c r="F467" s="35" t="s">
        <v>11</v>
      </c>
    </row>
    <row r="468" ht="22.5" customHeight="1">
      <c r="A468" s="37" t="s">
        <v>1182</v>
      </c>
      <c r="B468" s="35" t="s">
        <v>1183</v>
      </c>
      <c r="C468" s="35">
        <v>319.0</v>
      </c>
      <c r="D468" s="35">
        <v>320.0</v>
      </c>
      <c r="E468" s="35">
        <v>23550.0</v>
      </c>
      <c r="F468" s="35" t="s">
        <v>11</v>
      </c>
    </row>
    <row r="469" ht="22.5" customHeight="1">
      <c r="A469" s="37" t="s">
        <v>1184</v>
      </c>
      <c r="B469" s="35" t="s">
        <v>1185</v>
      </c>
      <c r="C469" s="35">
        <v>473.0</v>
      </c>
      <c r="D469" s="35">
        <v>426.0</v>
      </c>
      <c r="E469" s="35">
        <v>23590.0</v>
      </c>
      <c r="F469" s="35" t="s">
        <v>11</v>
      </c>
    </row>
    <row r="470" ht="22.5" customHeight="1">
      <c r="A470" s="37" t="s">
        <v>1186</v>
      </c>
      <c r="B470" s="35" t="s">
        <v>1187</v>
      </c>
      <c r="C470" s="35">
        <v>220.0</v>
      </c>
      <c r="D470" s="35">
        <v>211.0</v>
      </c>
      <c r="E470" s="35">
        <v>25350.0</v>
      </c>
      <c r="F470" s="35" t="s">
        <v>11</v>
      </c>
    </row>
    <row r="471" ht="22.5" customHeight="1">
      <c r="A471" s="37" t="s">
        <v>1188</v>
      </c>
      <c r="B471" s="35" t="s">
        <v>1189</v>
      </c>
      <c r="C471" s="35">
        <v>128.0</v>
      </c>
      <c r="D471" s="35">
        <v>132.0</v>
      </c>
      <c r="E471" s="35">
        <v>24870.0</v>
      </c>
      <c r="F471" s="35" t="s">
        <v>11</v>
      </c>
    </row>
    <row r="472" ht="22.5" customHeight="1">
      <c r="A472" s="37" t="s">
        <v>1190</v>
      </c>
      <c r="B472" s="35" t="s">
        <v>1191</v>
      </c>
      <c r="C472" s="35">
        <v>1040.0</v>
      </c>
      <c r="D472" s="35">
        <v>1028.0</v>
      </c>
      <c r="E472" s="35">
        <v>23970.0</v>
      </c>
      <c r="F472" s="35" t="s">
        <v>11</v>
      </c>
    </row>
    <row r="473" ht="22.5" customHeight="1">
      <c r="A473" s="37" t="s">
        <v>1192</v>
      </c>
      <c r="B473" s="35" t="s">
        <v>1193</v>
      </c>
      <c r="C473" s="35">
        <v>104.0</v>
      </c>
      <c r="D473" s="35">
        <v>90.0</v>
      </c>
      <c r="E473" s="35" t="s">
        <v>11</v>
      </c>
      <c r="F473" s="35" t="s">
        <v>11</v>
      </c>
    </row>
    <row r="474" ht="22.5" customHeight="1">
      <c r="A474" s="37" t="s">
        <v>1194</v>
      </c>
      <c r="B474" s="35" t="s">
        <v>1195</v>
      </c>
      <c r="C474" s="35">
        <v>1152.0</v>
      </c>
      <c r="D474" s="35">
        <v>1146.0</v>
      </c>
      <c r="E474" s="35">
        <v>27030.0</v>
      </c>
      <c r="F474" s="35" t="s">
        <v>11</v>
      </c>
    </row>
    <row r="475" ht="22.5" customHeight="1">
      <c r="A475" s="37" t="s">
        <v>1196</v>
      </c>
      <c r="B475" s="35" t="s">
        <v>1197</v>
      </c>
      <c r="C475" s="35">
        <v>761.0</v>
      </c>
      <c r="D475" s="35">
        <v>766.0</v>
      </c>
      <c r="E475" s="35">
        <v>24970.0</v>
      </c>
      <c r="F475" s="35" t="s">
        <v>11</v>
      </c>
    </row>
    <row r="476" ht="22.5" customHeight="1">
      <c r="A476" s="37" t="s">
        <v>1198</v>
      </c>
      <c r="B476" s="35" t="s">
        <v>1199</v>
      </c>
      <c r="C476" s="35">
        <v>44.0</v>
      </c>
      <c r="D476" s="35">
        <v>39.0</v>
      </c>
      <c r="E476" s="35" t="s">
        <v>11</v>
      </c>
      <c r="F476" s="35" t="s">
        <v>11</v>
      </c>
    </row>
    <row r="477" ht="22.5" customHeight="1">
      <c r="A477" s="37" t="s">
        <v>1200</v>
      </c>
      <c r="B477" s="35" t="s">
        <v>1201</v>
      </c>
      <c r="C477" s="35">
        <v>810.0</v>
      </c>
      <c r="D477" s="35">
        <v>816.0</v>
      </c>
      <c r="E477" s="35">
        <v>23540.0</v>
      </c>
      <c r="F477" s="35" t="s">
        <v>11</v>
      </c>
    </row>
    <row r="478" ht="22.5" customHeight="1">
      <c r="A478" s="37" t="s">
        <v>1202</v>
      </c>
      <c r="B478" s="35" t="s">
        <v>1203</v>
      </c>
      <c r="C478" s="35">
        <v>84.0</v>
      </c>
      <c r="D478" s="35">
        <v>63.0</v>
      </c>
      <c r="E478" s="35" t="s">
        <v>11</v>
      </c>
      <c r="F478" s="35" t="s">
        <v>11</v>
      </c>
    </row>
    <row r="479" ht="22.5" customHeight="1">
      <c r="A479" s="37" t="s">
        <v>1204</v>
      </c>
      <c r="B479" s="35" t="s">
        <v>1205</v>
      </c>
      <c r="C479" s="35">
        <v>1338.0</v>
      </c>
      <c r="D479" s="35">
        <v>1207.0</v>
      </c>
      <c r="E479" s="35">
        <v>20040.0</v>
      </c>
      <c r="F479" s="35" t="s">
        <v>11</v>
      </c>
    </row>
    <row r="480" ht="22.5" customHeight="1">
      <c r="A480" s="37" t="s">
        <v>1206</v>
      </c>
      <c r="B480" s="35" t="s">
        <v>1207</v>
      </c>
      <c r="C480" s="35">
        <v>847.0</v>
      </c>
      <c r="D480" s="35">
        <v>839.0</v>
      </c>
      <c r="E480" s="35">
        <v>21290.0</v>
      </c>
      <c r="F480" s="35" t="s">
        <v>11</v>
      </c>
    </row>
    <row r="481" ht="22.5" customHeight="1">
      <c r="A481" s="37" t="s">
        <v>1208</v>
      </c>
      <c r="B481" s="35" t="s">
        <v>1209</v>
      </c>
      <c r="C481" s="35">
        <v>1648.0</v>
      </c>
      <c r="D481" s="35">
        <v>1606.0</v>
      </c>
      <c r="E481" s="35">
        <v>24130.0</v>
      </c>
      <c r="F481" s="35" t="s">
        <v>11</v>
      </c>
    </row>
    <row r="482" ht="22.5" customHeight="1">
      <c r="A482" s="37" t="s">
        <v>1210</v>
      </c>
      <c r="B482" s="35" t="s">
        <v>1211</v>
      </c>
      <c r="C482" s="35">
        <v>203.0</v>
      </c>
      <c r="D482" s="35">
        <v>209.0</v>
      </c>
      <c r="E482" s="35">
        <v>27450.0</v>
      </c>
      <c r="F482" s="35" t="s">
        <v>11</v>
      </c>
    </row>
    <row r="483" ht="22.5" customHeight="1">
      <c r="A483" s="37" t="s">
        <v>1212</v>
      </c>
      <c r="B483" s="35" t="s">
        <v>1213</v>
      </c>
      <c r="C483" s="35">
        <v>193.0</v>
      </c>
      <c r="D483" s="35">
        <v>200.0</v>
      </c>
      <c r="E483" s="35">
        <v>30300.0</v>
      </c>
      <c r="F483" s="35" t="s">
        <v>11</v>
      </c>
    </row>
    <row r="484" ht="22.5" customHeight="1">
      <c r="A484" s="37" t="s">
        <v>1214</v>
      </c>
      <c r="B484" s="35" t="s">
        <v>1215</v>
      </c>
      <c r="C484" s="35">
        <v>32.0</v>
      </c>
      <c r="D484" s="35">
        <v>30.0</v>
      </c>
      <c r="E484" s="35" t="s">
        <v>11</v>
      </c>
      <c r="F484" s="35" t="s">
        <v>11</v>
      </c>
    </row>
    <row r="485" ht="22.5" customHeight="1">
      <c r="A485" s="37" t="s">
        <v>1216</v>
      </c>
      <c r="B485" s="35" t="s">
        <v>1217</v>
      </c>
      <c r="C485" s="35">
        <v>152.0</v>
      </c>
      <c r="D485" s="35">
        <v>140.0</v>
      </c>
      <c r="E485" s="35">
        <v>28390.0</v>
      </c>
      <c r="F485" s="35" t="s">
        <v>11</v>
      </c>
    </row>
    <row r="486" ht="22.5" customHeight="1">
      <c r="A486" s="37" t="s">
        <v>1218</v>
      </c>
      <c r="B486" s="35" t="s">
        <v>1219</v>
      </c>
      <c r="C486" s="35">
        <v>161.0</v>
      </c>
      <c r="D486" s="35">
        <v>157.0</v>
      </c>
      <c r="E486" s="35">
        <v>25340.0</v>
      </c>
      <c r="F486" s="35" t="s">
        <v>11</v>
      </c>
    </row>
    <row r="487" ht="22.5" customHeight="1">
      <c r="A487" s="37" t="s">
        <v>1220</v>
      </c>
      <c r="B487" s="35" t="s">
        <v>1221</v>
      </c>
      <c r="C487" s="35">
        <v>151.0</v>
      </c>
      <c r="D487" s="35">
        <v>135.0</v>
      </c>
      <c r="E487" s="35">
        <v>27320.0</v>
      </c>
      <c r="F487" s="35" t="s">
        <v>11</v>
      </c>
    </row>
    <row r="488" ht="22.5" customHeight="1">
      <c r="A488" s="37" t="s">
        <v>1222</v>
      </c>
      <c r="B488" s="35" t="s">
        <v>1223</v>
      </c>
      <c r="C488" s="35">
        <v>291.0</v>
      </c>
      <c r="D488" s="35">
        <v>317.0</v>
      </c>
      <c r="E488" s="35">
        <v>23830.0</v>
      </c>
      <c r="F488" s="35" t="s">
        <v>11</v>
      </c>
    </row>
    <row r="489" ht="22.5" customHeight="1">
      <c r="A489" s="37" t="s">
        <v>1224</v>
      </c>
      <c r="B489" s="35" t="s">
        <v>1225</v>
      </c>
      <c r="C489" s="35">
        <v>274.0</v>
      </c>
      <c r="D489" s="35">
        <v>273.0</v>
      </c>
      <c r="E489" s="35">
        <v>25380.0</v>
      </c>
      <c r="F489" s="35" t="s">
        <v>11</v>
      </c>
    </row>
    <row r="490" ht="22.5" customHeight="1">
      <c r="A490" s="37" t="s">
        <v>1226</v>
      </c>
      <c r="B490" s="35" t="s">
        <v>1227</v>
      </c>
      <c r="C490" s="35">
        <v>142.0</v>
      </c>
      <c r="D490" s="35">
        <v>141.0</v>
      </c>
      <c r="E490" s="35">
        <v>23880.0</v>
      </c>
      <c r="F490" s="35" t="s">
        <v>11</v>
      </c>
    </row>
    <row r="491" ht="22.5" customHeight="1">
      <c r="A491" s="37" t="s">
        <v>1228</v>
      </c>
      <c r="B491" s="35" t="s">
        <v>1229</v>
      </c>
      <c r="C491" s="35">
        <v>702.0</v>
      </c>
      <c r="D491" s="35">
        <v>674.0</v>
      </c>
      <c r="E491" s="35">
        <v>25400.0</v>
      </c>
      <c r="F491" s="35" t="s">
        <v>11</v>
      </c>
    </row>
    <row r="492" ht="22.5" customHeight="1">
      <c r="A492" s="37" t="s">
        <v>1230</v>
      </c>
      <c r="B492" s="35" t="s">
        <v>1231</v>
      </c>
      <c r="C492" s="35">
        <v>59.0</v>
      </c>
      <c r="D492" s="35">
        <v>51.0</v>
      </c>
      <c r="E492" s="35" t="s">
        <v>11</v>
      </c>
      <c r="F492" s="35" t="s">
        <v>11</v>
      </c>
    </row>
    <row r="493" ht="22.5" customHeight="1">
      <c r="A493" s="37" t="s">
        <v>1232</v>
      </c>
      <c r="B493" s="35" t="s">
        <v>1233</v>
      </c>
      <c r="C493" s="35">
        <v>63.0</v>
      </c>
      <c r="D493" s="35">
        <v>71.0</v>
      </c>
      <c r="E493" s="35" t="s">
        <v>11</v>
      </c>
      <c r="F493" s="35" t="s">
        <v>11</v>
      </c>
    </row>
    <row r="494" ht="22.5" customHeight="1">
      <c r="A494" s="37" t="s">
        <v>1234</v>
      </c>
      <c r="B494" s="35" t="s">
        <v>1235</v>
      </c>
      <c r="C494" s="35">
        <v>315.0</v>
      </c>
      <c r="D494" s="35">
        <v>306.0</v>
      </c>
      <c r="E494" s="35">
        <v>23110.0</v>
      </c>
      <c r="F494" s="35" t="s">
        <v>11</v>
      </c>
    </row>
    <row r="495" ht="22.5" customHeight="1">
      <c r="A495" s="37" t="s">
        <v>1236</v>
      </c>
      <c r="B495" s="35" t="s">
        <v>1237</v>
      </c>
      <c r="C495" s="35">
        <v>301.0</v>
      </c>
      <c r="D495" s="35">
        <v>279.0</v>
      </c>
      <c r="E495" s="35">
        <v>25520.0</v>
      </c>
      <c r="F495" s="35" t="s">
        <v>11</v>
      </c>
    </row>
    <row r="496" ht="22.5" customHeight="1">
      <c r="A496" s="37" t="s">
        <v>1238</v>
      </c>
      <c r="B496" s="35" t="s">
        <v>1239</v>
      </c>
      <c r="C496" s="35">
        <v>187.0</v>
      </c>
      <c r="D496" s="35">
        <v>193.0</v>
      </c>
      <c r="E496" s="35">
        <v>18430.0</v>
      </c>
      <c r="F496" s="35" t="s">
        <v>11</v>
      </c>
    </row>
    <row r="497" ht="22.5" customHeight="1">
      <c r="A497" s="37" t="s">
        <v>1240</v>
      </c>
      <c r="B497" s="35" t="s">
        <v>1241</v>
      </c>
      <c r="C497" s="35">
        <v>736.0</v>
      </c>
      <c r="D497" s="35">
        <v>751.0</v>
      </c>
      <c r="E497" s="35">
        <v>24700.0</v>
      </c>
      <c r="F497" s="35" t="s">
        <v>11</v>
      </c>
    </row>
    <row r="498" ht="22.5" customHeight="1">
      <c r="A498" s="37" t="s">
        <v>1242</v>
      </c>
      <c r="B498" s="35" t="s">
        <v>1243</v>
      </c>
      <c r="C498" s="35">
        <v>1369.0</v>
      </c>
      <c r="D498" s="35">
        <v>1305.0</v>
      </c>
      <c r="E498" s="35">
        <v>26710.0</v>
      </c>
      <c r="F498" s="35" t="s">
        <v>11</v>
      </c>
    </row>
    <row r="499" ht="22.5" customHeight="1">
      <c r="A499" s="37" t="s">
        <v>1244</v>
      </c>
      <c r="B499" s="35" t="s">
        <v>1245</v>
      </c>
      <c r="C499" s="35">
        <v>75.0</v>
      </c>
      <c r="D499" s="35">
        <v>79.0</v>
      </c>
      <c r="E499" s="35" t="s">
        <v>11</v>
      </c>
      <c r="F499" s="35" t="s">
        <v>11</v>
      </c>
    </row>
    <row r="500" ht="22.5" customHeight="1">
      <c r="A500" s="37" t="s">
        <v>1246</v>
      </c>
      <c r="B500" s="35" t="s">
        <v>1247</v>
      </c>
      <c r="C500" s="35">
        <v>74.0</v>
      </c>
      <c r="D500" s="35">
        <v>70.0</v>
      </c>
      <c r="E500" s="35" t="s">
        <v>11</v>
      </c>
      <c r="F500" s="35" t="s">
        <v>11</v>
      </c>
    </row>
    <row r="501" ht="22.5" customHeight="1">
      <c r="A501" s="37" t="s">
        <v>1248</v>
      </c>
      <c r="B501" s="35" t="s">
        <v>1249</v>
      </c>
      <c r="C501" s="35">
        <v>700.0</v>
      </c>
      <c r="D501" s="35">
        <v>684.0</v>
      </c>
      <c r="E501" s="35">
        <v>26590.0</v>
      </c>
      <c r="F501" s="35" t="s">
        <v>11</v>
      </c>
    </row>
    <row r="502" ht="22.5" customHeight="1">
      <c r="A502" s="37" t="s">
        <v>1250</v>
      </c>
      <c r="B502" s="35" t="s">
        <v>1251</v>
      </c>
      <c r="C502" s="35">
        <v>574.0</v>
      </c>
      <c r="D502" s="35">
        <v>544.0</v>
      </c>
      <c r="E502" s="35">
        <v>28410.0</v>
      </c>
      <c r="F502" s="35" t="s">
        <v>11</v>
      </c>
    </row>
    <row r="503" ht="22.5" customHeight="1">
      <c r="A503" s="37" t="s">
        <v>1252</v>
      </c>
      <c r="B503" s="35" t="s">
        <v>1253</v>
      </c>
      <c r="C503" s="35">
        <v>89.0</v>
      </c>
      <c r="D503" s="35">
        <v>98.0</v>
      </c>
      <c r="E503" s="35" t="s">
        <v>11</v>
      </c>
      <c r="F503" s="35" t="s">
        <v>11</v>
      </c>
    </row>
    <row r="504" ht="22.5" customHeight="1">
      <c r="A504" s="37" t="s">
        <v>1254</v>
      </c>
      <c r="B504" s="35" t="s">
        <v>1255</v>
      </c>
      <c r="C504" s="35">
        <v>444.0</v>
      </c>
      <c r="D504" s="35">
        <v>469.0</v>
      </c>
      <c r="E504" s="35">
        <v>25950.0</v>
      </c>
      <c r="F504" s="35" t="s">
        <v>11</v>
      </c>
    </row>
    <row r="505" ht="22.5" customHeight="1">
      <c r="A505" s="37" t="s">
        <v>1256</v>
      </c>
      <c r="B505" s="35" t="s">
        <v>1257</v>
      </c>
      <c r="C505" s="35">
        <v>233.0</v>
      </c>
      <c r="D505" s="35">
        <v>208.0</v>
      </c>
      <c r="E505" s="35">
        <v>25330.0</v>
      </c>
      <c r="F505" s="35" t="s">
        <v>11</v>
      </c>
    </row>
    <row r="506" ht="22.5" customHeight="1">
      <c r="A506" s="37" t="s">
        <v>1258</v>
      </c>
      <c r="B506" s="35" t="s">
        <v>1259</v>
      </c>
      <c r="C506" s="35">
        <v>187.0</v>
      </c>
      <c r="D506" s="35">
        <v>185.0</v>
      </c>
      <c r="E506" s="35">
        <v>25670.0</v>
      </c>
      <c r="F506" s="35" t="s">
        <v>11</v>
      </c>
    </row>
    <row r="507" ht="22.5" customHeight="1">
      <c r="A507" s="37" t="s">
        <v>1260</v>
      </c>
      <c r="B507" s="35" t="s">
        <v>1261</v>
      </c>
      <c r="C507" s="35">
        <v>76.0</v>
      </c>
      <c r="D507" s="35">
        <v>74.0</v>
      </c>
      <c r="E507" s="35" t="s">
        <v>11</v>
      </c>
      <c r="F507" s="35" t="s">
        <v>11</v>
      </c>
    </row>
    <row r="508" ht="22.5" customHeight="1">
      <c r="A508" s="37" t="s">
        <v>1262</v>
      </c>
      <c r="B508" s="35" t="s">
        <v>1263</v>
      </c>
      <c r="C508" s="35">
        <v>123.0</v>
      </c>
      <c r="D508" s="35">
        <v>141.0</v>
      </c>
      <c r="E508" s="35">
        <v>26050.0</v>
      </c>
      <c r="F508" s="35" t="s">
        <v>11</v>
      </c>
    </row>
    <row r="509" ht="22.5" customHeight="1">
      <c r="A509" s="37" t="s">
        <v>1264</v>
      </c>
      <c r="B509" s="35" t="s">
        <v>1265</v>
      </c>
      <c r="C509" s="35">
        <v>975.0</v>
      </c>
      <c r="D509" s="35">
        <v>994.0</v>
      </c>
      <c r="E509" s="35">
        <v>25620.0</v>
      </c>
      <c r="F509" s="35" t="s">
        <v>11</v>
      </c>
    </row>
    <row r="510" ht="22.5" customHeight="1">
      <c r="A510" s="37" t="s">
        <v>1266</v>
      </c>
      <c r="B510" s="35" t="s">
        <v>1267</v>
      </c>
      <c r="C510" s="35">
        <v>119.0</v>
      </c>
      <c r="D510" s="35">
        <v>117.0</v>
      </c>
      <c r="E510" s="35">
        <v>25830.0</v>
      </c>
      <c r="F510" s="35" t="s">
        <v>11</v>
      </c>
    </row>
    <row r="511" ht="22.5" customHeight="1">
      <c r="A511" s="37" t="s">
        <v>1268</v>
      </c>
      <c r="B511" s="35" t="s">
        <v>1269</v>
      </c>
      <c r="C511" s="35">
        <v>52.0</v>
      </c>
      <c r="D511" s="35">
        <v>44.0</v>
      </c>
      <c r="E511" s="35" t="s">
        <v>11</v>
      </c>
      <c r="F511" s="35" t="s">
        <v>11</v>
      </c>
    </row>
    <row r="512" ht="22.5" customHeight="1">
      <c r="A512" s="37" t="s">
        <v>1270</v>
      </c>
      <c r="B512" s="35" t="s">
        <v>1271</v>
      </c>
      <c r="C512" s="35">
        <v>118.0</v>
      </c>
      <c r="D512" s="35">
        <v>115.0</v>
      </c>
      <c r="E512" s="35" t="s">
        <v>11</v>
      </c>
      <c r="F512" s="35" t="s">
        <v>11</v>
      </c>
    </row>
    <row r="513" ht="22.5" customHeight="1">
      <c r="A513" s="37" t="s">
        <v>1272</v>
      </c>
      <c r="B513" s="35" t="s">
        <v>1273</v>
      </c>
      <c r="C513" s="35">
        <v>103.0</v>
      </c>
      <c r="D513" s="35">
        <v>88.0</v>
      </c>
      <c r="E513" s="35" t="s">
        <v>11</v>
      </c>
      <c r="F513" s="35" t="s">
        <v>11</v>
      </c>
    </row>
    <row r="514" ht="22.5" customHeight="1">
      <c r="A514" s="37" t="s">
        <v>1274</v>
      </c>
      <c r="B514" s="35" t="s">
        <v>1275</v>
      </c>
      <c r="C514" s="35">
        <v>193.0</v>
      </c>
      <c r="D514" s="35">
        <v>186.0</v>
      </c>
      <c r="E514" s="35">
        <v>25680.0</v>
      </c>
      <c r="F514" s="35" t="s">
        <v>11</v>
      </c>
    </row>
    <row r="515" ht="22.5" customHeight="1">
      <c r="A515" s="37" t="s">
        <v>1276</v>
      </c>
      <c r="B515" s="35" t="s">
        <v>1277</v>
      </c>
      <c r="C515" s="35">
        <v>62.0</v>
      </c>
      <c r="D515" s="35">
        <v>86.0</v>
      </c>
      <c r="E515" s="35" t="s">
        <v>11</v>
      </c>
      <c r="F515" s="35" t="s">
        <v>11</v>
      </c>
    </row>
    <row r="516" ht="22.5" customHeight="1">
      <c r="A516" s="37" t="s">
        <v>1278</v>
      </c>
      <c r="B516" s="35" t="s">
        <v>1279</v>
      </c>
      <c r="C516" s="35">
        <v>703.0</v>
      </c>
      <c r="D516" s="35">
        <v>659.0</v>
      </c>
      <c r="E516" s="35">
        <v>24530.0</v>
      </c>
      <c r="F516" s="35" t="s">
        <v>11</v>
      </c>
    </row>
    <row r="517" ht="22.5" customHeight="1">
      <c r="A517" s="37" t="s">
        <v>1280</v>
      </c>
      <c r="B517" s="35" t="s">
        <v>1281</v>
      </c>
      <c r="C517" s="35">
        <v>1230.0</v>
      </c>
      <c r="D517" s="35">
        <v>1189.0</v>
      </c>
      <c r="E517" s="35">
        <v>27800.0</v>
      </c>
      <c r="F517" s="35" t="s">
        <v>11</v>
      </c>
    </row>
    <row r="518" ht="22.5" customHeight="1">
      <c r="A518" s="37" t="s">
        <v>1282</v>
      </c>
      <c r="B518" s="35" t="s">
        <v>1283</v>
      </c>
      <c r="C518" s="35">
        <v>423.0</v>
      </c>
      <c r="D518" s="35">
        <v>424.0</v>
      </c>
      <c r="E518" s="35">
        <v>25870.0</v>
      </c>
      <c r="F518" s="35" t="s">
        <v>11</v>
      </c>
    </row>
    <row r="519" ht="22.5" customHeight="1">
      <c r="A519" s="37" t="s">
        <v>1284</v>
      </c>
      <c r="B519" s="35" t="s">
        <v>1285</v>
      </c>
      <c r="C519" s="35">
        <v>91.0</v>
      </c>
      <c r="D519" s="35">
        <v>80.0</v>
      </c>
      <c r="E519" s="35" t="s">
        <v>11</v>
      </c>
      <c r="F519" s="35" t="s">
        <v>11</v>
      </c>
    </row>
    <row r="520" ht="22.5" customHeight="1">
      <c r="A520" s="37" t="s">
        <v>1286</v>
      </c>
      <c r="B520" s="35" t="s">
        <v>1287</v>
      </c>
      <c r="C520" s="35">
        <v>2078.0</v>
      </c>
      <c r="D520" s="35">
        <v>1943.0</v>
      </c>
      <c r="E520" s="35">
        <v>23500.0</v>
      </c>
      <c r="F520" s="35" t="s">
        <v>11</v>
      </c>
    </row>
    <row r="521" ht="22.5" customHeight="1">
      <c r="A521" s="37" t="s">
        <v>1288</v>
      </c>
      <c r="B521" s="35" t="s">
        <v>1289</v>
      </c>
      <c r="C521" s="35">
        <v>611.0</v>
      </c>
      <c r="D521" s="35">
        <v>602.0</v>
      </c>
      <c r="E521" s="35">
        <v>19970.0</v>
      </c>
      <c r="F521" s="35" t="s">
        <v>11</v>
      </c>
    </row>
    <row r="522" ht="22.5" customHeight="1">
      <c r="A522" s="37" t="s">
        <v>1290</v>
      </c>
      <c r="B522" s="35" t="s">
        <v>1291</v>
      </c>
      <c r="C522" s="35">
        <v>187.0</v>
      </c>
      <c r="D522" s="35">
        <v>187.0</v>
      </c>
      <c r="E522" s="35">
        <v>24460.0</v>
      </c>
      <c r="F522" s="35" t="s">
        <v>11</v>
      </c>
    </row>
    <row r="523" ht="22.5" customHeight="1">
      <c r="A523" s="37" t="s">
        <v>1292</v>
      </c>
      <c r="B523" s="35" t="s">
        <v>1293</v>
      </c>
      <c r="C523" s="35">
        <v>197.0</v>
      </c>
      <c r="D523" s="35">
        <v>197.0</v>
      </c>
      <c r="E523" s="35">
        <v>23450.0</v>
      </c>
      <c r="F523" s="35" t="s">
        <v>11</v>
      </c>
    </row>
    <row r="524" ht="22.5" customHeight="1">
      <c r="A524" s="37" t="s">
        <v>1294</v>
      </c>
      <c r="B524" s="35" t="s">
        <v>1295</v>
      </c>
      <c r="C524" s="35">
        <v>67.0</v>
      </c>
      <c r="D524" s="35">
        <v>61.0</v>
      </c>
      <c r="E524" s="35" t="s">
        <v>11</v>
      </c>
      <c r="F524" s="35" t="s">
        <v>11</v>
      </c>
    </row>
    <row r="525" ht="22.5" customHeight="1">
      <c r="A525" s="37" t="s">
        <v>1296</v>
      </c>
      <c r="B525" s="35" t="s">
        <v>1297</v>
      </c>
      <c r="C525" s="35">
        <v>380.0</v>
      </c>
      <c r="D525" s="35">
        <v>394.0</v>
      </c>
      <c r="E525" s="35">
        <v>22690.0</v>
      </c>
      <c r="F525" s="35" t="s">
        <v>11</v>
      </c>
    </row>
    <row r="526" ht="22.5" customHeight="1">
      <c r="A526" s="37" t="s">
        <v>1298</v>
      </c>
      <c r="B526" s="35" t="s">
        <v>1299</v>
      </c>
      <c r="C526" s="35">
        <v>842.0</v>
      </c>
      <c r="D526" s="35">
        <v>848.0</v>
      </c>
      <c r="E526" s="35">
        <v>27560.0</v>
      </c>
      <c r="F526" s="35" t="s">
        <v>11</v>
      </c>
    </row>
    <row r="527" ht="22.5" customHeight="1">
      <c r="A527" s="37" t="s">
        <v>1300</v>
      </c>
      <c r="B527" s="35" t="s">
        <v>1301</v>
      </c>
      <c r="C527" s="35">
        <v>105.0</v>
      </c>
      <c r="D527" s="35">
        <v>121.0</v>
      </c>
      <c r="E527" s="35">
        <v>22140.0</v>
      </c>
      <c r="F527" s="35" t="s">
        <v>11</v>
      </c>
    </row>
    <row r="528" ht="22.5" customHeight="1">
      <c r="A528" s="37" t="s">
        <v>1302</v>
      </c>
      <c r="B528" s="35" t="s">
        <v>1303</v>
      </c>
      <c r="C528" s="35">
        <v>117.0</v>
      </c>
      <c r="D528" s="35">
        <v>116.0</v>
      </c>
      <c r="E528" s="35">
        <v>23800.0</v>
      </c>
      <c r="F528" s="35" t="s">
        <v>11</v>
      </c>
    </row>
    <row r="529" ht="22.5" customHeight="1">
      <c r="A529" s="37" t="s">
        <v>1304</v>
      </c>
      <c r="B529" s="35" t="s">
        <v>1305</v>
      </c>
      <c r="C529" s="35">
        <v>186.0</v>
      </c>
      <c r="D529" s="35">
        <v>170.0</v>
      </c>
      <c r="E529" s="35">
        <v>26460.0</v>
      </c>
      <c r="F529" s="35" t="s">
        <v>11</v>
      </c>
    </row>
    <row r="530" ht="22.5" customHeight="1">
      <c r="A530" s="37" t="s">
        <v>1306</v>
      </c>
      <c r="B530" s="35" t="s">
        <v>1307</v>
      </c>
      <c r="C530" s="35">
        <v>244.0</v>
      </c>
      <c r="D530" s="35">
        <v>225.0</v>
      </c>
      <c r="E530" s="35">
        <v>23710.0</v>
      </c>
      <c r="F530" s="35" t="s">
        <v>11</v>
      </c>
    </row>
    <row r="531" ht="22.5" customHeight="1">
      <c r="A531" s="37" t="s">
        <v>1308</v>
      </c>
      <c r="B531" s="35" t="s">
        <v>1309</v>
      </c>
      <c r="C531" s="35">
        <v>1012.0</v>
      </c>
      <c r="D531" s="35">
        <v>1106.0</v>
      </c>
      <c r="E531" s="35">
        <v>27060.0</v>
      </c>
      <c r="F531" s="35" t="s">
        <v>11</v>
      </c>
    </row>
    <row r="532" ht="22.5" customHeight="1">
      <c r="A532" s="37" t="s">
        <v>1310</v>
      </c>
      <c r="B532" s="35" t="s">
        <v>1311</v>
      </c>
      <c r="C532" s="35">
        <v>2167.0</v>
      </c>
      <c r="D532" s="35">
        <v>2134.0</v>
      </c>
      <c r="E532" s="35">
        <v>24120.0</v>
      </c>
      <c r="F532" s="35" t="s">
        <v>11</v>
      </c>
    </row>
    <row r="533" ht="22.5" customHeight="1">
      <c r="A533" s="37" t="s">
        <v>1312</v>
      </c>
      <c r="B533" s="35" t="s">
        <v>1313</v>
      </c>
      <c r="C533" s="35">
        <v>81.0</v>
      </c>
      <c r="D533" s="35">
        <v>68.0</v>
      </c>
      <c r="E533" s="35" t="s">
        <v>11</v>
      </c>
      <c r="F533" s="35" t="s">
        <v>11</v>
      </c>
    </row>
    <row r="534" ht="22.5" customHeight="1">
      <c r="A534" s="37" t="s">
        <v>1314</v>
      </c>
      <c r="B534" s="35" t="s">
        <v>1315</v>
      </c>
      <c r="C534" s="35">
        <v>130.0</v>
      </c>
      <c r="D534" s="35">
        <v>124.0</v>
      </c>
      <c r="E534" s="35">
        <v>21850.0</v>
      </c>
      <c r="F534" s="35" t="s">
        <v>11</v>
      </c>
    </row>
    <row r="535" ht="22.5" customHeight="1">
      <c r="A535" s="37" t="s">
        <v>1316</v>
      </c>
      <c r="B535" s="35" t="s">
        <v>1317</v>
      </c>
      <c r="C535" s="35">
        <v>2602.0</v>
      </c>
      <c r="D535" s="35">
        <v>2468.0</v>
      </c>
      <c r="E535" s="35">
        <v>21420.0</v>
      </c>
      <c r="F535" s="35">
        <v>23.0</v>
      </c>
    </row>
    <row r="536" ht="22.5" customHeight="1">
      <c r="A536" s="37" t="s">
        <v>1318</v>
      </c>
      <c r="B536" s="35" t="s">
        <v>1319</v>
      </c>
      <c r="C536" s="35">
        <v>474.0</v>
      </c>
      <c r="D536" s="35">
        <v>527.0</v>
      </c>
      <c r="E536" s="35">
        <v>22460.0</v>
      </c>
      <c r="F536" s="35" t="s">
        <v>11</v>
      </c>
    </row>
    <row r="537" ht="22.5" customHeight="1">
      <c r="A537" s="37" t="s">
        <v>1320</v>
      </c>
      <c r="B537" s="35" t="s">
        <v>1321</v>
      </c>
      <c r="C537" s="35">
        <v>249.0</v>
      </c>
      <c r="D537" s="35">
        <v>239.0</v>
      </c>
      <c r="E537" s="35">
        <v>24850.0</v>
      </c>
      <c r="F537" s="35" t="s">
        <v>11</v>
      </c>
    </row>
    <row r="538" ht="22.5" customHeight="1">
      <c r="A538" s="37" t="s">
        <v>1322</v>
      </c>
      <c r="B538" s="35" t="s">
        <v>1323</v>
      </c>
      <c r="C538" s="35">
        <v>165.0</v>
      </c>
      <c r="D538" s="35">
        <v>143.0</v>
      </c>
      <c r="E538" s="35">
        <v>30920.0</v>
      </c>
      <c r="F538" s="35" t="s">
        <v>11</v>
      </c>
    </row>
    <row r="539" ht="22.5" customHeight="1">
      <c r="A539" s="37" t="s">
        <v>1324</v>
      </c>
      <c r="B539" s="35" t="s">
        <v>1325</v>
      </c>
      <c r="C539" s="35">
        <v>225.0</v>
      </c>
      <c r="D539" s="35">
        <v>202.0</v>
      </c>
      <c r="E539" s="35">
        <v>25090.0</v>
      </c>
      <c r="F539" s="35" t="s">
        <v>11</v>
      </c>
    </row>
    <row r="540" ht="22.5" customHeight="1">
      <c r="A540" s="37" t="s">
        <v>1326</v>
      </c>
      <c r="B540" s="35" t="s">
        <v>1327</v>
      </c>
      <c r="C540" s="35">
        <v>167.0</v>
      </c>
      <c r="D540" s="35">
        <v>132.0</v>
      </c>
      <c r="E540" s="35">
        <v>22630.0</v>
      </c>
      <c r="F540" s="35" t="s">
        <v>11</v>
      </c>
    </row>
    <row r="541" ht="22.5" customHeight="1">
      <c r="A541" s="37" t="s">
        <v>1328</v>
      </c>
      <c r="B541" s="35" t="s">
        <v>1329</v>
      </c>
      <c r="C541" s="35">
        <v>887.0</v>
      </c>
      <c r="D541" s="35">
        <v>825.0</v>
      </c>
      <c r="E541" s="35">
        <v>27270.0</v>
      </c>
      <c r="F541" s="35" t="s">
        <v>11</v>
      </c>
    </row>
    <row r="542" ht="22.5" customHeight="1">
      <c r="A542" s="37" t="s">
        <v>1330</v>
      </c>
      <c r="B542" s="35" t="s">
        <v>1331</v>
      </c>
      <c r="C542" s="35">
        <v>290.0</v>
      </c>
      <c r="D542" s="35">
        <v>293.0</v>
      </c>
      <c r="E542" s="35">
        <v>25140.0</v>
      </c>
      <c r="F542" s="35" t="s">
        <v>11</v>
      </c>
    </row>
    <row r="543" ht="22.5" customHeight="1">
      <c r="A543" s="37" t="s">
        <v>1332</v>
      </c>
      <c r="B543" s="35" t="s">
        <v>1333</v>
      </c>
      <c r="C543" s="35">
        <v>1113.0</v>
      </c>
      <c r="D543" s="35">
        <v>1109.0</v>
      </c>
      <c r="E543" s="35">
        <v>25860.0</v>
      </c>
      <c r="F543" s="35" t="s">
        <v>11</v>
      </c>
    </row>
    <row r="544" ht="22.5" customHeight="1">
      <c r="A544" s="37" t="s">
        <v>1334</v>
      </c>
      <c r="B544" s="35" t="s">
        <v>1335</v>
      </c>
      <c r="C544" s="35">
        <v>303.0</v>
      </c>
      <c r="D544" s="35">
        <v>269.0</v>
      </c>
      <c r="E544" s="35">
        <v>22110.0</v>
      </c>
      <c r="F544" s="35" t="s">
        <v>11</v>
      </c>
    </row>
    <row r="545" ht="22.5" customHeight="1">
      <c r="A545" s="37" t="s">
        <v>1336</v>
      </c>
      <c r="B545" s="35" t="s">
        <v>1337</v>
      </c>
      <c r="C545" s="35">
        <v>155.0</v>
      </c>
      <c r="D545" s="35">
        <v>176.0</v>
      </c>
      <c r="E545" s="35">
        <v>28990.0</v>
      </c>
      <c r="F545" s="35" t="s">
        <v>11</v>
      </c>
    </row>
    <row r="546" ht="22.5" customHeight="1">
      <c r="A546" s="37" t="s">
        <v>1338</v>
      </c>
      <c r="B546" s="35" t="s">
        <v>1339</v>
      </c>
      <c r="C546" s="35">
        <v>466.0</v>
      </c>
      <c r="D546" s="35">
        <v>438.0</v>
      </c>
      <c r="E546" s="35">
        <v>22430.0</v>
      </c>
      <c r="F546" s="35" t="s">
        <v>11</v>
      </c>
    </row>
    <row r="547" ht="22.5" customHeight="1">
      <c r="A547" s="37" t="s">
        <v>1340</v>
      </c>
      <c r="B547" s="35" t="s">
        <v>1341</v>
      </c>
      <c r="C547" s="35">
        <v>184.0</v>
      </c>
      <c r="D547" s="35">
        <v>169.0</v>
      </c>
      <c r="E547" s="35">
        <v>23100.0</v>
      </c>
      <c r="F547" s="35" t="s">
        <v>11</v>
      </c>
    </row>
    <row r="548" ht="22.5" customHeight="1">
      <c r="A548" s="37" t="s">
        <v>1342</v>
      </c>
      <c r="B548" s="35" t="s">
        <v>1343</v>
      </c>
      <c r="C548" s="35">
        <v>714.0</v>
      </c>
      <c r="D548" s="35">
        <v>660.0</v>
      </c>
      <c r="E548" s="35">
        <v>27690.0</v>
      </c>
      <c r="F548" s="35" t="s">
        <v>11</v>
      </c>
    </row>
    <row r="549" ht="22.5" customHeight="1">
      <c r="A549" s="37" t="s">
        <v>1344</v>
      </c>
      <c r="B549" s="35" t="s">
        <v>1345</v>
      </c>
      <c r="C549" s="35">
        <v>507.0</v>
      </c>
      <c r="D549" s="35">
        <v>490.0</v>
      </c>
      <c r="E549" s="35">
        <v>30060.0</v>
      </c>
      <c r="F549" s="35" t="s">
        <v>11</v>
      </c>
    </row>
    <row r="550" ht="22.5" customHeight="1">
      <c r="A550" s="37" t="s">
        <v>1346</v>
      </c>
      <c r="B550" s="35" t="s">
        <v>1347</v>
      </c>
      <c r="C550" s="35">
        <v>66.0</v>
      </c>
      <c r="D550" s="35">
        <v>53.0</v>
      </c>
      <c r="E550" s="35" t="s">
        <v>11</v>
      </c>
      <c r="F550" s="35" t="s">
        <v>11</v>
      </c>
    </row>
    <row r="551" ht="22.5" customHeight="1">
      <c r="A551" s="37" t="s">
        <v>1348</v>
      </c>
      <c r="B551" s="35" t="s">
        <v>1349</v>
      </c>
      <c r="C551" s="35">
        <v>1453.0</v>
      </c>
      <c r="D551" s="35">
        <v>1354.0</v>
      </c>
      <c r="E551" s="35">
        <v>22560.0</v>
      </c>
      <c r="F551" s="35" t="s">
        <v>11</v>
      </c>
    </row>
    <row r="552" ht="22.5" customHeight="1">
      <c r="A552" s="37" t="s">
        <v>1350</v>
      </c>
      <c r="B552" s="35" t="s">
        <v>1351</v>
      </c>
      <c r="C552" s="35">
        <v>1685.0</v>
      </c>
      <c r="D552" s="35">
        <v>1587.0</v>
      </c>
      <c r="E552" s="35">
        <v>20380.0</v>
      </c>
      <c r="F552" s="35" t="s">
        <v>11</v>
      </c>
    </row>
    <row r="553" ht="22.5" customHeight="1">
      <c r="A553" s="37" t="s">
        <v>1352</v>
      </c>
      <c r="B553" s="35" t="s">
        <v>1353</v>
      </c>
      <c r="C553" s="35">
        <v>326.0</v>
      </c>
      <c r="D553" s="35">
        <v>325.0</v>
      </c>
      <c r="E553" s="35">
        <v>26930.0</v>
      </c>
      <c r="F553" s="35" t="s">
        <v>11</v>
      </c>
    </row>
    <row r="554" ht="22.5" customHeight="1">
      <c r="A554" s="37" t="s">
        <v>1354</v>
      </c>
      <c r="B554" s="35" t="s">
        <v>1355</v>
      </c>
      <c r="C554" s="35">
        <v>80.0</v>
      </c>
      <c r="D554" s="35">
        <v>92.0</v>
      </c>
      <c r="E554" s="35" t="s">
        <v>11</v>
      </c>
      <c r="F554" s="35" t="s">
        <v>11</v>
      </c>
    </row>
    <row r="555" ht="22.5" customHeight="1">
      <c r="A555" s="37" t="s">
        <v>1356</v>
      </c>
      <c r="B555" s="35" t="s">
        <v>1357</v>
      </c>
      <c r="C555" s="35">
        <v>85.0</v>
      </c>
      <c r="D555" s="35">
        <v>80.0</v>
      </c>
      <c r="E555" s="35" t="s">
        <v>11</v>
      </c>
      <c r="F555" s="35" t="s">
        <v>11</v>
      </c>
    </row>
    <row r="556" ht="22.5" customHeight="1">
      <c r="A556" s="37" t="s">
        <v>1358</v>
      </c>
      <c r="B556" s="35" t="s">
        <v>1359</v>
      </c>
      <c r="C556" s="35">
        <v>122.0</v>
      </c>
      <c r="D556" s="35">
        <v>131.0</v>
      </c>
      <c r="E556" s="35">
        <v>24020.0</v>
      </c>
      <c r="F556" s="35" t="s">
        <v>11</v>
      </c>
    </row>
    <row r="557" ht="22.5" customHeight="1">
      <c r="A557" s="37" t="s">
        <v>1360</v>
      </c>
      <c r="B557" s="35" t="s">
        <v>1361</v>
      </c>
      <c r="C557" s="35">
        <v>823.0</v>
      </c>
      <c r="D557" s="35">
        <v>785.0</v>
      </c>
      <c r="E557" s="35">
        <v>23910.0</v>
      </c>
      <c r="F557" s="35" t="s">
        <v>11</v>
      </c>
    </row>
    <row r="558" ht="22.5" customHeight="1">
      <c r="A558" s="37" t="s">
        <v>1362</v>
      </c>
      <c r="B558" s="35" t="s">
        <v>1363</v>
      </c>
      <c r="C558" s="35">
        <v>314.0</v>
      </c>
      <c r="D558" s="35">
        <v>309.0</v>
      </c>
      <c r="E558" s="35">
        <v>28360.0</v>
      </c>
      <c r="F558" s="35" t="s">
        <v>11</v>
      </c>
    </row>
    <row r="559" ht="22.5" customHeight="1">
      <c r="A559" s="37" t="s">
        <v>1364</v>
      </c>
      <c r="B559" s="35" t="s">
        <v>1365</v>
      </c>
      <c r="C559" s="35">
        <v>75.0</v>
      </c>
      <c r="D559" s="35">
        <v>80.0</v>
      </c>
      <c r="E559" s="35" t="s">
        <v>11</v>
      </c>
      <c r="F559" s="35" t="s">
        <v>11</v>
      </c>
    </row>
    <row r="560" ht="22.5" customHeight="1">
      <c r="A560" s="37" t="s">
        <v>1366</v>
      </c>
      <c r="B560" s="35" t="s">
        <v>1367</v>
      </c>
      <c r="C560" s="35">
        <v>56.0</v>
      </c>
      <c r="D560" s="35">
        <v>60.0</v>
      </c>
      <c r="E560" s="35" t="s">
        <v>11</v>
      </c>
      <c r="F560" s="35" t="s">
        <v>11</v>
      </c>
    </row>
    <row r="561" ht="22.5" customHeight="1">
      <c r="A561" s="37" t="s">
        <v>1368</v>
      </c>
      <c r="B561" s="35" t="s">
        <v>1369</v>
      </c>
      <c r="C561" s="35">
        <v>128.0</v>
      </c>
      <c r="D561" s="35">
        <v>114.0</v>
      </c>
      <c r="E561" s="35">
        <v>28900.0</v>
      </c>
      <c r="F561" s="35" t="s">
        <v>11</v>
      </c>
    </row>
    <row r="562" ht="22.5" customHeight="1">
      <c r="A562" s="37" t="s">
        <v>1370</v>
      </c>
      <c r="B562" s="35" t="s">
        <v>1371</v>
      </c>
      <c r="C562" s="35">
        <v>256.0</v>
      </c>
      <c r="D562" s="35">
        <v>245.0</v>
      </c>
      <c r="E562" s="35">
        <v>27290.0</v>
      </c>
      <c r="F562" s="35" t="s">
        <v>11</v>
      </c>
    </row>
    <row r="563" ht="22.5" customHeight="1">
      <c r="A563" s="37" t="s">
        <v>1372</v>
      </c>
      <c r="B563" s="35" t="s">
        <v>1373</v>
      </c>
      <c r="C563" s="35">
        <v>142.0</v>
      </c>
      <c r="D563" s="35">
        <v>143.0</v>
      </c>
      <c r="E563" s="35">
        <v>27570.0</v>
      </c>
      <c r="F563" s="35" t="s">
        <v>11</v>
      </c>
    </row>
    <row r="564" ht="22.5" customHeight="1">
      <c r="A564" s="37" t="s">
        <v>1374</v>
      </c>
      <c r="B564" s="35" t="s">
        <v>1375</v>
      </c>
      <c r="C564" s="35">
        <v>352.0</v>
      </c>
      <c r="D564" s="35">
        <v>353.0</v>
      </c>
      <c r="E564" s="35">
        <v>24780.0</v>
      </c>
      <c r="F564" s="35" t="s">
        <v>11</v>
      </c>
    </row>
    <row r="565" ht="22.5" customHeight="1">
      <c r="A565" s="37" t="s">
        <v>1376</v>
      </c>
      <c r="B565" s="35" t="s">
        <v>1377</v>
      </c>
      <c r="C565" s="35">
        <v>74.0</v>
      </c>
      <c r="D565" s="35">
        <v>66.0</v>
      </c>
      <c r="E565" s="35" t="s">
        <v>11</v>
      </c>
      <c r="F565" s="35" t="s">
        <v>11</v>
      </c>
    </row>
    <row r="566" ht="22.5" customHeight="1">
      <c r="A566" s="37" t="s">
        <v>1378</v>
      </c>
      <c r="B566" s="35" t="s">
        <v>1379</v>
      </c>
      <c r="C566" s="35">
        <v>388.0</v>
      </c>
      <c r="D566" s="35">
        <v>367.0</v>
      </c>
      <c r="E566" s="35">
        <v>26740.0</v>
      </c>
      <c r="F566" s="35" t="s">
        <v>11</v>
      </c>
    </row>
    <row r="567" ht="22.5" customHeight="1">
      <c r="A567" s="37" t="s">
        <v>1380</v>
      </c>
      <c r="B567" s="35" t="s">
        <v>1381</v>
      </c>
      <c r="C567" s="35">
        <v>170.0</v>
      </c>
      <c r="D567" s="35">
        <v>174.0</v>
      </c>
      <c r="E567" s="35">
        <v>25730.0</v>
      </c>
      <c r="F567" s="35" t="s">
        <v>11</v>
      </c>
    </row>
    <row r="568" ht="22.5" customHeight="1">
      <c r="A568" s="37" t="s">
        <v>1382</v>
      </c>
      <c r="B568" s="35" t="s">
        <v>1383</v>
      </c>
      <c r="C568" s="35">
        <v>131.0</v>
      </c>
      <c r="D568" s="35">
        <v>142.0</v>
      </c>
      <c r="E568" s="35">
        <v>22330.0</v>
      </c>
      <c r="F568" s="35" t="s">
        <v>11</v>
      </c>
    </row>
    <row r="569" ht="22.5" customHeight="1">
      <c r="A569" s="37" t="s">
        <v>1384</v>
      </c>
      <c r="B569" s="35" t="s">
        <v>1385</v>
      </c>
      <c r="C569" s="35">
        <v>189.0</v>
      </c>
      <c r="D569" s="35">
        <v>191.0</v>
      </c>
      <c r="E569" s="35">
        <v>23810.0</v>
      </c>
      <c r="F569" s="35" t="s">
        <v>11</v>
      </c>
    </row>
    <row r="570" ht="22.5" customHeight="1">
      <c r="A570" s="37" t="s">
        <v>1386</v>
      </c>
      <c r="B570" s="35" t="s">
        <v>1387</v>
      </c>
      <c r="C570" s="35">
        <v>1019.0</v>
      </c>
      <c r="D570" s="35">
        <v>1100.0</v>
      </c>
      <c r="E570" s="35">
        <v>26640.0</v>
      </c>
      <c r="F570" s="35" t="s">
        <v>11</v>
      </c>
    </row>
    <row r="571" ht="22.5" customHeight="1">
      <c r="A571" s="37" t="s">
        <v>1388</v>
      </c>
      <c r="B571" s="35" t="s">
        <v>1389</v>
      </c>
      <c r="C571" s="35">
        <v>148.0</v>
      </c>
      <c r="D571" s="35">
        <v>131.0</v>
      </c>
      <c r="E571" s="35">
        <v>26760.0</v>
      </c>
      <c r="F571" s="35" t="s">
        <v>11</v>
      </c>
    </row>
    <row r="572" ht="22.5" customHeight="1">
      <c r="A572" s="37" t="s">
        <v>1390</v>
      </c>
      <c r="B572" s="35" t="s">
        <v>1391</v>
      </c>
      <c r="C572" s="35">
        <v>126.0</v>
      </c>
      <c r="D572" s="35">
        <v>139.0</v>
      </c>
      <c r="E572" s="35">
        <v>27700.0</v>
      </c>
      <c r="F572" s="35" t="s">
        <v>11</v>
      </c>
    </row>
    <row r="573" ht="22.5" customHeight="1">
      <c r="A573" s="37" t="s">
        <v>1392</v>
      </c>
      <c r="B573" s="35" t="s">
        <v>1393</v>
      </c>
      <c r="C573" s="35">
        <v>781.0</v>
      </c>
      <c r="D573" s="35">
        <v>745.0</v>
      </c>
      <c r="E573" s="35">
        <v>24460.0</v>
      </c>
      <c r="F573" s="35" t="s">
        <v>11</v>
      </c>
    </row>
    <row r="574" ht="22.5" customHeight="1">
      <c r="A574" s="37" t="s">
        <v>1394</v>
      </c>
      <c r="B574" s="35" t="s">
        <v>1395</v>
      </c>
      <c r="C574" s="35">
        <v>650.0</v>
      </c>
      <c r="D574" s="35">
        <v>682.0</v>
      </c>
      <c r="E574" s="35">
        <v>28250.0</v>
      </c>
      <c r="F574" s="35" t="s">
        <v>11</v>
      </c>
    </row>
    <row r="575" ht="22.5" customHeight="1">
      <c r="A575" s="37" t="s">
        <v>1396</v>
      </c>
      <c r="B575" s="35" t="s">
        <v>1397</v>
      </c>
      <c r="C575" s="35">
        <v>279.0</v>
      </c>
      <c r="D575" s="35">
        <v>250.0</v>
      </c>
      <c r="E575" s="35">
        <v>24470.0</v>
      </c>
      <c r="F575" s="35" t="s">
        <v>11</v>
      </c>
    </row>
    <row r="576" ht="22.5" customHeight="1">
      <c r="A576" s="37" t="s">
        <v>1398</v>
      </c>
      <c r="B576" s="35" t="s">
        <v>1399</v>
      </c>
      <c r="C576" s="35">
        <v>370.0</v>
      </c>
      <c r="D576" s="35">
        <v>341.0</v>
      </c>
      <c r="E576" s="35">
        <v>24120.0</v>
      </c>
      <c r="F576" s="35" t="s">
        <v>11</v>
      </c>
    </row>
    <row r="577" ht="22.5" customHeight="1">
      <c r="A577" s="37" t="s">
        <v>1400</v>
      </c>
      <c r="B577" s="35" t="s">
        <v>1401</v>
      </c>
      <c r="C577" s="35">
        <v>197.0</v>
      </c>
      <c r="D577" s="35">
        <v>173.0</v>
      </c>
      <c r="E577" s="35">
        <v>25510.0</v>
      </c>
      <c r="F577" s="35" t="s">
        <v>11</v>
      </c>
    </row>
    <row r="578" ht="22.5" customHeight="1">
      <c r="A578" s="37" t="s">
        <v>1402</v>
      </c>
      <c r="B578" s="35" t="s">
        <v>1403</v>
      </c>
      <c r="C578" s="35">
        <v>1765.0</v>
      </c>
      <c r="D578" s="35">
        <v>1637.0</v>
      </c>
      <c r="E578" s="35">
        <v>22930.0</v>
      </c>
      <c r="F578" s="35" t="s">
        <v>11</v>
      </c>
    </row>
    <row r="579" ht="22.5" customHeight="1">
      <c r="A579" s="37" t="s">
        <v>1404</v>
      </c>
      <c r="B579" s="35" t="s">
        <v>1405</v>
      </c>
      <c r="C579" s="35">
        <v>83.0</v>
      </c>
      <c r="D579" s="35">
        <v>78.0</v>
      </c>
      <c r="E579" s="35" t="s">
        <v>11</v>
      </c>
      <c r="F579" s="35" t="s">
        <v>11</v>
      </c>
    </row>
    <row r="580" ht="22.5" customHeight="1">
      <c r="A580" s="37" t="s">
        <v>1406</v>
      </c>
      <c r="B580" s="35" t="s">
        <v>1407</v>
      </c>
      <c r="C580" s="35">
        <v>172.0</v>
      </c>
      <c r="D580" s="35">
        <v>186.0</v>
      </c>
      <c r="E580" s="35">
        <v>24590.0</v>
      </c>
      <c r="F580" s="35" t="s">
        <v>11</v>
      </c>
    </row>
    <row r="581" ht="22.5" customHeight="1">
      <c r="A581" s="37" t="s">
        <v>1408</v>
      </c>
      <c r="B581" s="35" t="s">
        <v>1409</v>
      </c>
      <c r="C581" s="35">
        <v>71.0</v>
      </c>
      <c r="D581" s="35">
        <v>93.0</v>
      </c>
      <c r="E581" s="35" t="s">
        <v>11</v>
      </c>
      <c r="F581" s="35" t="s">
        <v>11</v>
      </c>
    </row>
    <row r="582" ht="22.5" customHeight="1">
      <c r="A582" s="37" t="s">
        <v>1410</v>
      </c>
      <c r="B582" s="35" t="s">
        <v>1411</v>
      </c>
      <c r="C582" s="35">
        <v>77.0</v>
      </c>
      <c r="D582" s="35">
        <v>100.0</v>
      </c>
      <c r="E582" s="35">
        <v>25330.0</v>
      </c>
      <c r="F582" s="35" t="s">
        <v>11</v>
      </c>
    </row>
    <row r="583" ht="22.5" customHeight="1">
      <c r="A583" s="37" t="s">
        <v>1412</v>
      </c>
      <c r="B583" s="35" t="s">
        <v>1413</v>
      </c>
      <c r="C583" s="35">
        <v>462.0</v>
      </c>
      <c r="D583" s="35">
        <v>432.0</v>
      </c>
      <c r="E583" s="35">
        <v>22220.0</v>
      </c>
      <c r="F583" s="35" t="s">
        <v>11</v>
      </c>
    </row>
    <row r="584" ht="22.5" customHeight="1">
      <c r="A584" s="37" t="s">
        <v>1414</v>
      </c>
      <c r="B584" s="35" t="s">
        <v>1415</v>
      </c>
      <c r="C584" s="35">
        <v>21.0</v>
      </c>
      <c r="D584" s="35">
        <v>24.0</v>
      </c>
      <c r="E584" s="35" t="s">
        <v>11</v>
      </c>
      <c r="F584" s="35" t="s">
        <v>11</v>
      </c>
    </row>
    <row r="585" ht="22.5" customHeight="1">
      <c r="A585" s="37" t="s">
        <v>1416</v>
      </c>
      <c r="B585" s="35" t="s">
        <v>1417</v>
      </c>
      <c r="C585" s="35">
        <v>688.0</v>
      </c>
      <c r="D585" s="35">
        <v>726.0</v>
      </c>
      <c r="E585" s="35">
        <v>25310.0</v>
      </c>
      <c r="F585" s="35" t="s">
        <v>11</v>
      </c>
    </row>
    <row r="586" ht="22.5" customHeight="1">
      <c r="A586" s="37" t="s">
        <v>1418</v>
      </c>
      <c r="B586" s="35" t="s">
        <v>1419</v>
      </c>
      <c r="C586" s="35">
        <v>127.0</v>
      </c>
      <c r="D586" s="35">
        <v>115.0</v>
      </c>
      <c r="E586" s="35">
        <v>23960.0</v>
      </c>
      <c r="F586" s="35" t="s">
        <v>11</v>
      </c>
    </row>
    <row r="587" ht="22.5" customHeight="1">
      <c r="A587" s="37" t="s">
        <v>1420</v>
      </c>
      <c r="B587" s="35" t="s">
        <v>1421</v>
      </c>
      <c r="C587" s="35">
        <v>610.0</v>
      </c>
      <c r="D587" s="35">
        <v>605.0</v>
      </c>
      <c r="E587" s="35">
        <v>26770.0</v>
      </c>
      <c r="F587" s="35" t="s">
        <v>11</v>
      </c>
    </row>
    <row r="588" ht="22.5" customHeight="1">
      <c r="A588" s="37" t="s">
        <v>1422</v>
      </c>
      <c r="B588" s="35" t="s">
        <v>1423</v>
      </c>
      <c r="C588" s="35">
        <v>251.0</v>
      </c>
      <c r="D588" s="35">
        <v>290.0</v>
      </c>
      <c r="E588" s="35">
        <v>24820.0</v>
      </c>
      <c r="F588" s="35" t="s">
        <v>11</v>
      </c>
    </row>
    <row r="589" ht="22.5" customHeight="1">
      <c r="A589" s="37" t="s">
        <v>1424</v>
      </c>
      <c r="B589" s="35" t="s">
        <v>1425</v>
      </c>
      <c r="C589" s="35">
        <v>344.0</v>
      </c>
      <c r="D589" s="35">
        <v>353.0</v>
      </c>
      <c r="E589" s="35">
        <v>30540.0</v>
      </c>
      <c r="F589" s="35" t="s">
        <v>11</v>
      </c>
    </row>
    <row r="590" ht="22.5" customHeight="1">
      <c r="A590" s="37" t="s">
        <v>1426</v>
      </c>
      <c r="B590" s="35" t="s">
        <v>1427</v>
      </c>
      <c r="C590" s="35">
        <v>205.0</v>
      </c>
      <c r="D590" s="35">
        <v>176.0</v>
      </c>
      <c r="E590" s="35">
        <v>24730.0</v>
      </c>
      <c r="F590" s="35" t="s">
        <v>11</v>
      </c>
    </row>
    <row r="591" ht="22.5" customHeight="1">
      <c r="A591" s="37" t="s">
        <v>1428</v>
      </c>
      <c r="B591" s="35" t="s">
        <v>1429</v>
      </c>
      <c r="C591" s="35">
        <v>502.0</v>
      </c>
      <c r="D591" s="35">
        <v>490.0</v>
      </c>
      <c r="E591" s="35">
        <v>26430.0</v>
      </c>
      <c r="F591" s="35" t="s">
        <v>11</v>
      </c>
    </row>
    <row r="592" ht="22.5" customHeight="1">
      <c r="A592" s="37" t="s">
        <v>1430</v>
      </c>
      <c r="B592" s="35" t="s">
        <v>1431</v>
      </c>
      <c r="C592" s="35">
        <v>700.0</v>
      </c>
      <c r="D592" s="35">
        <v>683.0</v>
      </c>
      <c r="E592" s="35">
        <v>23230.0</v>
      </c>
      <c r="F592" s="35" t="s">
        <v>11</v>
      </c>
    </row>
    <row r="593" ht="22.5" customHeight="1">
      <c r="A593" s="37" t="s">
        <v>1432</v>
      </c>
      <c r="B593" s="35" t="s">
        <v>1433</v>
      </c>
      <c r="C593" s="35">
        <v>661.0</v>
      </c>
      <c r="D593" s="35">
        <v>594.0</v>
      </c>
      <c r="E593" s="35">
        <v>25840.0</v>
      </c>
      <c r="F593" s="35" t="s">
        <v>11</v>
      </c>
    </row>
    <row r="594" ht="22.5" customHeight="1">
      <c r="A594" s="37" t="s">
        <v>1434</v>
      </c>
      <c r="B594" s="35" t="s">
        <v>1435</v>
      </c>
      <c r="C594" s="35">
        <v>360.0</v>
      </c>
      <c r="D594" s="35">
        <v>320.0</v>
      </c>
      <c r="E594" s="35">
        <v>23480.0</v>
      </c>
      <c r="F594" s="35" t="s">
        <v>11</v>
      </c>
    </row>
    <row r="595" ht="22.5" customHeight="1">
      <c r="A595" s="37" t="s">
        <v>1436</v>
      </c>
      <c r="B595" s="35" t="s">
        <v>1437</v>
      </c>
      <c r="C595" s="35">
        <v>385.0</v>
      </c>
      <c r="D595" s="35">
        <v>401.0</v>
      </c>
      <c r="E595" s="35">
        <v>30270.0</v>
      </c>
      <c r="F595" s="35" t="s">
        <v>11</v>
      </c>
    </row>
    <row r="596" ht="22.5" customHeight="1">
      <c r="A596" s="37" t="s">
        <v>1438</v>
      </c>
      <c r="B596" s="35" t="s">
        <v>1439</v>
      </c>
      <c r="C596" s="35">
        <v>52.0</v>
      </c>
      <c r="D596" s="35">
        <v>56.0</v>
      </c>
      <c r="E596" s="35" t="s">
        <v>11</v>
      </c>
      <c r="F596" s="35" t="s">
        <v>11</v>
      </c>
    </row>
    <row r="597" ht="22.5" customHeight="1">
      <c r="A597" s="37" t="s">
        <v>1440</v>
      </c>
      <c r="B597" s="35" t="s">
        <v>1441</v>
      </c>
      <c r="C597" s="35">
        <v>103.0</v>
      </c>
      <c r="D597" s="35">
        <v>94.0</v>
      </c>
      <c r="E597" s="35" t="s">
        <v>11</v>
      </c>
      <c r="F597" s="35" t="s">
        <v>11</v>
      </c>
    </row>
    <row r="598" ht="22.5" customHeight="1">
      <c r="A598" s="37" t="s">
        <v>1442</v>
      </c>
      <c r="B598" s="35" t="s">
        <v>1443</v>
      </c>
      <c r="C598" s="35">
        <v>274.0</v>
      </c>
      <c r="D598" s="35">
        <v>276.0</v>
      </c>
      <c r="E598" s="35">
        <v>24360.0</v>
      </c>
      <c r="F598" s="35" t="s">
        <v>11</v>
      </c>
    </row>
    <row r="599" ht="22.5" customHeight="1">
      <c r="A599" s="37" t="s">
        <v>1444</v>
      </c>
      <c r="B599" s="35" t="s">
        <v>1445</v>
      </c>
      <c r="C599" s="35">
        <v>144.0</v>
      </c>
      <c r="D599" s="35">
        <v>146.0</v>
      </c>
      <c r="E599" s="35">
        <v>23330.0</v>
      </c>
      <c r="F599" s="35" t="s">
        <v>11</v>
      </c>
    </row>
    <row r="600" ht="22.5" customHeight="1">
      <c r="A600" s="37" t="s">
        <v>1446</v>
      </c>
      <c r="B600" s="35" t="s">
        <v>1447</v>
      </c>
      <c r="C600" s="35">
        <v>319.0</v>
      </c>
      <c r="D600" s="35">
        <v>346.0</v>
      </c>
      <c r="E600" s="35">
        <v>27160.0</v>
      </c>
      <c r="F600" s="35" t="s">
        <v>11</v>
      </c>
    </row>
    <row r="601" ht="22.5" customHeight="1">
      <c r="A601" s="37" t="s">
        <v>1448</v>
      </c>
      <c r="B601" s="35" t="s">
        <v>1449</v>
      </c>
      <c r="C601" s="35">
        <v>120.0</v>
      </c>
      <c r="D601" s="35">
        <v>136.0</v>
      </c>
      <c r="E601" s="35">
        <v>26070.0</v>
      </c>
      <c r="F601" s="35" t="s">
        <v>11</v>
      </c>
    </row>
    <row r="602" ht="22.5" customHeight="1">
      <c r="A602" s="37" t="s">
        <v>1450</v>
      </c>
      <c r="B602" s="35" t="s">
        <v>1451</v>
      </c>
      <c r="C602" s="35">
        <v>214.0</v>
      </c>
      <c r="D602" s="35">
        <v>219.0</v>
      </c>
      <c r="E602" s="35">
        <v>27850.0</v>
      </c>
      <c r="F602" s="35" t="s">
        <v>11</v>
      </c>
    </row>
    <row r="603" ht="22.5" customHeight="1">
      <c r="A603" s="37" t="s">
        <v>1452</v>
      </c>
      <c r="B603" s="35" t="s">
        <v>1453</v>
      </c>
      <c r="C603" s="35">
        <v>289.0</v>
      </c>
      <c r="D603" s="35">
        <v>331.0</v>
      </c>
      <c r="E603" s="35">
        <v>21480.0</v>
      </c>
      <c r="F603" s="35" t="s">
        <v>11</v>
      </c>
    </row>
    <row r="604" ht="22.5" customHeight="1">
      <c r="A604" s="37" t="s">
        <v>1454</v>
      </c>
      <c r="B604" s="35" t="s">
        <v>1455</v>
      </c>
      <c r="C604" s="35">
        <v>420.0</v>
      </c>
      <c r="D604" s="35">
        <v>428.0</v>
      </c>
      <c r="E604" s="35">
        <v>22610.0</v>
      </c>
      <c r="F604" s="35" t="s">
        <v>11</v>
      </c>
    </row>
    <row r="605" ht="22.5" customHeight="1">
      <c r="A605" s="37" t="s">
        <v>1456</v>
      </c>
      <c r="B605" s="35" t="s">
        <v>1457</v>
      </c>
      <c r="C605" s="35">
        <v>60.0</v>
      </c>
      <c r="D605" s="35">
        <v>53.0</v>
      </c>
      <c r="E605" s="35" t="s">
        <v>11</v>
      </c>
      <c r="F605" s="35" t="s">
        <v>11</v>
      </c>
    </row>
    <row r="606" ht="22.5" customHeight="1">
      <c r="A606" s="37" t="s">
        <v>1458</v>
      </c>
      <c r="B606" s="35" t="s">
        <v>1459</v>
      </c>
      <c r="C606" s="35">
        <v>61.0</v>
      </c>
      <c r="D606" s="35">
        <v>62.0</v>
      </c>
      <c r="E606" s="35" t="s">
        <v>11</v>
      </c>
      <c r="F606" s="35" t="s">
        <v>11</v>
      </c>
    </row>
    <row r="607" ht="22.5" customHeight="1">
      <c r="A607" s="37" t="s">
        <v>1460</v>
      </c>
      <c r="B607" s="35" t="s">
        <v>1461</v>
      </c>
      <c r="C607" s="35">
        <v>79.0</v>
      </c>
      <c r="D607" s="35">
        <v>89.0</v>
      </c>
      <c r="E607" s="35" t="s">
        <v>11</v>
      </c>
      <c r="F607" s="35" t="s">
        <v>11</v>
      </c>
    </row>
    <row r="608" ht="22.5" customHeight="1">
      <c r="A608" s="37" t="s">
        <v>1462</v>
      </c>
      <c r="B608" s="35" t="s">
        <v>1463</v>
      </c>
      <c r="C608" s="35">
        <v>150.0</v>
      </c>
      <c r="D608" s="35">
        <v>146.0</v>
      </c>
      <c r="E608" s="35">
        <v>24230.0</v>
      </c>
      <c r="F608" s="35" t="s">
        <v>11</v>
      </c>
    </row>
    <row r="609" ht="22.5" customHeight="1">
      <c r="A609" s="37" t="s">
        <v>1464</v>
      </c>
      <c r="B609" s="35" t="s">
        <v>1465</v>
      </c>
      <c r="C609" s="35">
        <v>201.0</v>
      </c>
      <c r="D609" s="35">
        <v>187.0</v>
      </c>
      <c r="E609" s="35">
        <v>29350.0</v>
      </c>
      <c r="F609" s="35" t="s">
        <v>11</v>
      </c>
    </row>
    <row r="610" ht="22.5" customHeight="1">
      <c r="A610" s="37" t="s">
        <v>1466</v>
      </c>
      <c r="B610" s="35" t="s">
        <v>1467</v>
      </c>
      <c r="C610" s="35">
        <v>299.0</v>
      </c>
      <c r="D610" s="35">
        <v>265.0</v>
      </c>
      <c r="E610" s="35">
        <v>28920.0</v>
      </c>
      <c r="F610" s="35" t="s">
        <v>11</v>
      </c>
    </row>
    <row r="611" ht="22.5" customHeight="1">
      <c r="A611" s="37" t="s">
        <v>1468</v>
      </c>
      <c r="B611" s="35" t="s">
        <v>1469</v>
      </c>
      <c r="C611" s="35">
        <v>235.0</v>
      </c>
      <c r="D611" s="35">
        <v>241.0</v>
      </c>
      <c r="E611" s="35">
        <v>24000.0</v>
      </c>
      <c r="F611" s="35" t="s">
        <v>11</v>
      </c>
    </row>
    <row r="612" ht="22.5" customHeight="1">
      <c r="A612" s="37" t="s">
        <v>1470</v>
      </c>
      <c r="B612" s="35" t="s">
        <v>1471</v>
      </c>
      <c r="C612" s="35">
        <v>351.0</v>
      </c>
      <c r="D612" s="35">
        <v>339.0</v>
      </c>
      <c r="E612" s="35">
        <v>26210.0</v>
      </c>
      <c r="F612" s="35" t="s">
        <v>11</v>
      </c>
    </row>
    <row r="613" ht="22.5" customHeight="1">
      <c r="A613" s="37" t="s">
        <v>1472</v>
      </c>
      <c r="B613" s="35" t="s">
        <v>1473</v>
      </c>
      <c r="C613" s="35">
        <v>164.0</v>
      </c>
      <c r="D613" s="35">
        <v>144.0</v>
      </c>
      <c r="E613" s="35">
        <v>22570.0</v>
      </c>
      <c r="F613" s="35" t="s">
        <v>11</v>
      </c>
    </row>
    <row r="614" ht="22.5" customHeight="1">
      <c r="A614" s="37" t="s">
        <v>1474</v>
      </c>
      <c r="B614" s="35" t="s">
        <v>1475</v>
      </c>
      <c r="C614" s="35">
        <v>113.0</v>
      </c>
      <c r="D614" s="35">
        <v>135.0</v>
      </c>
      <c r="E614" s="35">
        <v>20140.0</v>
      </c>
      <c r="F614" s="35" t="s">
        <v>11</v>
      </c>
    </row>
    <row r="615" ht="22.5" customHeight="1">
      <c r="A615" s="37" t="s">
        <v>1476</v>
      </c>
      <c r="B615" s="35" t="s">
        <v>1477</v>
      </c>
      <c r="C615" s="35">
        <v>186.0</v>
      </c>
      <c r="D615" s="35">
        <v>157.0</v>
      </c>
      <c r="E615" s="35">
        <v>22120.0</v>
      </c>
      <c r="F615" s="35" t="s">
        <v>11</v>
      </c>
    </row>
    <row r="616" ht="22.5" customHeight="1">
      <c r="A616" s="37" t="s">
        <v>1478</v>
      </c>
      <c r="B616" s="35" t="s">
        <v>1479</v>
      </c>
      <c r="C616" s="35">
        <v>772.0</v>
      </c>
      <c r="D616" s="35">
        <v>790.0</v>
      </c>
      <c r="E616" s="35">
        <v>25900.0</v>
      </c>
      <c r="F616" s="35" t="s">
        <v>11</v>
      </c>
    </row>
    <row r="617" ht="22.5" customHeight="1">
      <c r="A617" s="37" t="s">
        <v>1480</v>
      </c>
      <c r="B617" s="35" t="s">
        <v>1481</v>
      </c>
      <c r="C617" s="35">
        <v>359.0</v>
      </c>
      <c r="D617" s="35">
        <v>360.0</v>
      </c>
      <c r="E617" s="35">
        <v>27140.0</v>
      </c>
      <c r="F617" s="35" t="s">
        <v>11</v>
      </c>
    </row>
    <row r="618" ht="22.5" customHeight="1">
      <c r="A618" s="37" t="s">
        <v>1482</v>
      </c>
      <c r="B618" s="35" t="s">
        <v>1483</v>
      </c>
      <c r="C618" s="35">
        <v>201.0</v>
      </c>
      <c r="D618" s="35">
        <v>225.0</v>
      </c>
      <c r="E618" s="35">
        <v>24800.0</v>
      </c>
      <c r="F618" s="35" t="s">
        <v>11</v>
      </c>
    </row>
    <row r="619" ht="22.5" customHeight="1">
      <c r="A619" s="37" t="s">
        <v>1484</v>
      </c>
      <c r="B619" s="35" t="s">
        <v>1485</v>
      </c>
      <c r="C619" s="35">
        <v>63.0</v>
      </c>
      <c r="D619" s="35">
        <v>86.0</v>
      </c>
      <c r="E619" s="35" t="s">
        <v>11</v>
      </c>
      <c r="F619" s="35" t="s">
        <v>11</v>
      </c>
    </row>
    <row r="620" ht="22.5" customHeight="1">
      <c r="A620" s="37" t="s">
        <v>1486</v>
      </c>
      <c r="B620" s="35" t="s">
        <v>1487</v>
      </c>
      <c r="C620" s="35">
        <v>1982.0</v>
      </c>
      <c r="D620" s="35">
        <v>1931.0</v>
      </c>
      <c r="E620" s="35">
        <v>22440.0</v>
      </c>
      <c r="F620" s="35" t="s">
        <v>11</v>
      </c>
    </row>
    <row r="621" ht="22.5" customHeight="1">
      <c r="A621" s="37" t="s">
        <v>1488</v>
      </c>
      <c r="B621" s="35" t="s">
        <v>1489</v>
      </c>
      <c r="C621" s="35">
        <v>289.0</v>
      </c>
      <c r="D621" s="35">
        <v>299.0</v>
      </c>
      <c r="E621" s="35">
        <v>25310.0</v>
      </c>
      <c r="F621" s="35" t="s">
        <v>11</v>
      </c>
    </row>
    <row r="622" ht="22.5" customHeight="1">
      <c r="A622" s="37" t="s">
        <v>1490</v>
      </c>
      <c r="B622" s="35" t="s">
        <v>1491</v>
      </c>
      <c r="C622" s="35">
        <v>361.0</v>
      </c>
      <c r="D622" s="35">
        <v>359.0</v>
      </c>
      <c r="E622" s="35">
        <v>24650.0</v>
      </c>
      <c r="F622" s="35" t="s">
        <v>11</v>
      </c>
    </row>
    <row r="623" ht="22.5" customHeight="1">
      <c r="A623" s="37" t="s">
        <v>1492</v>
      </c>
      <c r="B623" s="35" t="s">
        <v>1493</v>
      </c>
      <c r="C623" s="35">
        <v>105.0</v>
      </c>
      <c r="D623" s="35">
        <v>88.0</v>
      </c>
      <c r="E623" s="35" t="s">
        <v>11</v>
      </c>
      <c r="F623" s="35" t="s">
        <v>11</v>
      </c>
    </row>
    <row r="624" ht="22.5" customHeight="1">
      <c r="A624" s="37" t="s">
        <v>1494</v>
      </c>
      <c r="B624" s="35" t="s">
        <v>1495</v>
      </c>
      <c r="C624" s="35">
        <v>112.0</v>
      </c>
      <c r="D624" s="35">
        <v>95.0</v>
      </c>
      <c r="E624" s="35" t="s">
        <v>11</v>
      </c>
      <c r="F624" s="35" t="s">
        <v>11</v>
      </c>
    </row>
    <row r="625" ht="22.5" customHeight="1">
      <c r="A625" s="37" t="s">
        <v>1496</v>
      </c>
      <c r="B625" s="35" t="s">
        <v>1497</v>
      </c>
      <c r="C625" s="35">
        <v>504.0</v>
      </c>
      <c r="D625" s="35">
        <v>450.0</v>
      </c>
      <c r="E625" s="35">
        <v>25880.0</v>
      </c>
      <c r="F625" s="35" t="s">
        <v>11</v>
      </c>
    </row>
    <row r="626" ht="22.5" customHeight="1">
      <c r="A626" s="37" t="s">
        <v>1498</v>
      </c>
      <c r="B626" s="35" t="s">
        <v>1499</v>
      </c>
      <c r="C626" s="35">
        <v>82.0</v>
      </c>
      <c r="D626" s="35">
        <v>83.0</v>
      </c>
      <c r="E626" s="35" t="s">
        <v>11</v>
      </c>
      <c r="F626" s="35" t="s">
        <v>11</v>
      </c>
    </row>
    <row r="627" ht="22.5" customHeight="1">
      <c r="A627" s="37" t="s">
        <v>1500</v>
      </c>
      <c r="B627" s="35" t="s">
        <v>1501</v>
      </c>
      <c r="C627" s="35">
        <v>112.0</v>
      </c>
      <c r="D627" s="35">
        <v>155.0</v>
      </c>
      <c r="E627" s="35">
        <v>26000.0</v>
      </c>
      <c r="F627" s="35" t="s">
        <v>11</v>
      </c>
    </row>
    <row r="628" ht="22.5" customHeight="1">
      <c r="A628" s="37" t="s">
        <v>1502</v>
      </c>
      <c r="B628" s="35" t="s">
        <v>1503</v>
      </c>
      <c r="C628" s="35">
        <v>394.0</v>
      </c>
      <c r="D628" s="35">
        <v>365.0</v>
      </c>
      <c r="E628" s="35">
        <v>30200.0</v>
      </c>
      <c r="F628" s="35" t="s">
        <v>11</v>
      </c>
    </row>
    <row r="629" ht="22.5" customHeight="1">
      <c r="A629" s="37" t="s">
        <v>1504</v>
      </c>
      <c r="B629" s="35" t="s">
        <v>1505</v>
      </c>
      <c r="C629" s="35">
        <v>243.0</v>
      </c>
      <c r="D629" s="35">
        <v>200.0</v>
      </c>
      <c r="E629" s="35">
        <v>22610.0</v>
      </c>
      <c r="F629" s="35" t="s">
        <v>11</v>
      </c>
    </row>
    <row r="630" ht="22.5" customHeight="1">
      <c r="A630" s="37" t="s">
        <v>1506</v>
      </c>
      <c r="B630" s="35" t="s">
        <v>1507</v>
      </c>
      <c r="C630" s="35">
        <v>230.0</v>
      </c>
      <c r="D630" s="35">
        <v>237.0</v>
      </c>
      <c r="E630" s="35">
        <v>27170.0</v>
      </c>
      <c r="F630" s="35" t="s">
        <v>11</v>
      </c>
    </row>
    <row r="631" ht="22.5" customHeight="1">
      <c r="A631" s="37" t="s">
        <v>1508</v>
      </c>
      <c r="B631" s="35" t="s">
        <v>1509</v>
      </c>
      <c r="C631" s="35">
        <v>510.0</v>
      </c>
      <c r="D631" s="35">
        <v>506.0</v>
      </c>
      <c r="E631" s="35">
        <v>29410.0</v>
      </c>
      <c r="F631" s="35" t="s">
        <v>11</v>
      </c>
    </row>
    <row r="632" ht="22.5" customHeight="1">
      <c r="A632" s="37" t="s">
        <v>1510</v>
      </c>
      <c r="B632" s="35" t="s">
        <v>1511</v>
      </c>
      <c r="C632" s="35">
        <v>39.0</v>
      </c>
      <c r="D632" s="35">
        <v>45.0</v>
      </c>
      <c r="E632" s="35" t="s">
        <v>11</v>
      </c>
      <c r="F632" s="35" t="s">
        <v>11</v>
      </c>
    </row>
    <row r="633" ht="22.5" customHeight="1">
      <c r="A633" s="37" t="s">
        <v>1512</v>
      </c>
      <c r="B633" s="35" t="s">
        <v>1513</v>
      </c>
      <c r="C633" s="35">
        <v>252.0</v>
      </c>
      <c r="D633" s="35">
        <v>226.0</v>
      </c>
      <c r="E633" s="35">
        <v>27040.0</v>
      </c>
      <c r="F633" s="35" t="s">
        <v>11</v>
      </c>
    </row>
    <row r="634" ht="22.5" customHeight="1">
      <c r="A634" s="37" t="s">
        <v>1514</v>
      </c>
      <c r="B634" s="35" t="s">
        <v>1515</v>
      </c>
      <c r="C634" s="35">
        <v>309.0</v>
      </c>
      <c r="D634" s="35">
        <v>335.0</v>
      </c>
      <c r="E634" s="35">
        <v>24630.0</v>
      </c>
      <c r="F634" s="35" t="s">
        <v>11</v>
      </c>
    </row>
    <row r="635" ht="22.5" customHeight="1">
      <c r="A635" s="37" t="s">
        <v>1516</v>
      </c>
      <c r="B635" s="35" t="s">
        <v>1517</v>
      </c>
      <c r="C635" s="35">
        <v>227.0</v>
      </c>
      <c r="D635" s="35">
        <v>239.0</v>
      </c>
      <c r="E635" s="35">
        <v>26320.0</v>
      </c>
      <c r="F635" s="35" t="s">
        <v>11</v>
      </c>
    </row>
    <row r="636" ht="22.5" customHeight="1">
      <c r="A636" s="37" t="s">
        <v>1518</v>
      </c>
      <c r="B636" s="35" t="s">
        <v>1519</v>
      </c>
      <c r="C636" s="35">
        <v>116.0</v>
      </c>
      <c r="D636" s="35">
        <v>122.0</v>
      </c>
      <c r="E636" s="35">
        <v>28130.0</v>
      </c>
      <c r="F636" s="35" t="s">
        <v>11</v>
      </c>
    </row>
    <row r="637" ht="22.5" customHeight="1">
      <c r="A637" s="37" t="s">
        <v>1520</v>
      </c>
      <c r="B637" s="35" t="s">
        <v>1521</v>
      </c>
      <c r="C637" s="35">
        <v>304.0</v>
      </c>
      <c r="D637" s="35">
        <v>299.0</v>
      </c>
      <c r="E637" s="35">
        <v>26110.0</v>
      </c>
      <c r="F637" s="35" t="s">
        <v>11</v>
      </c>
    </row>
    <row r="638" ht="22.5" customHeight="1">
      <c r="A638" s="37" t="s">
        <v>1522</v>
      </c>
      <c r="B638" s="35" t="s">
        <v>1523</v>
      </c>
      <c r="C638" s="35">
        <v>1007.0</v>
      </c>
      <c r="D638" s="35">
        <v>917.0</v>
      </c>
      <c r="E638" s="35">
        <v>19720.0</v>
      </c>
      <c r="F638" s="35" t="s">
        <v>11</v>
      </c>
    </row>
    <row r="639" ht="22.5" customHeight="1">
      <c r="A639" s="37" t="s">
        <v>1524</v>
      </c>
      <c r="B639" s="35" t="s">
        <v>1525</v>
      </c>
      <c r="C639" s="35">
        <v>228.0</v>
      </c>
      <c r="D639" s="35">
        <v>202.0</v>
      </c>
      <c r="E639" s="35">
        <v>29730.0</v>
      </c>
      <c r="F639" s="35" t="s">
        <v>11</v>
      </c>
    </row>
    <row r="640" ht="22.5" customHeight="1">
      <c r="A640" s="37" t="s">
        <v>1526</v>
      </c>
      <c r="B640" s="35" t="s">
        <v>1527</v>
      </c>
      <c r="C640" s="35">
        <v>1043.0</v>
      </c>
      <c r="D640" s="35">
        <v>923.0</v>
      </c>
      <c r="E640" s="35">
        <v>22150.0</v>
      </c>
      <c r="F640" s="35" t="s">
        <v>11</v>
      </c>
    </row>
    <row r="641" ht="22.5" customHeight="1">
      <c r="A641" s="37" t="s">
        <v>1528</v>
      </c>
      <c r="B641" s="35" t="s">
        <v>1529</v>
      </c>
      <c r="C641" s="35">
        <v>156.0</v>
      </c>
      <c r="D641" s="35">
        <v>148.0</v>
      </c>
      <c r="E641" s="35">
        <v>25160.0</v>
      </c>
      <c r="F641" s="35" t="s">
        <v>11</v>
      </c>
    </row>
    <row r="642" ht="22.5" customHeight="1">
      <c r="A642" s="37" t="s">
        <v>1530</v>
      </c>
      <c r="B642" s="35" t="s">
        <v>1531</v>
      </c>
      <c r="C642" s="35">
        <v>291.0</v>
      </c>
      <c r="D642" s="35">
        <v>276.0</v>
      </c>
      <c r="E642" s="35">
        <v>23090.0</v>
      </c>
      <c r="F642" s="35" t="s">
        <v>11</v>
      </c>
    </row>
    <row r="643" ht="22.5" customHeight="1">
      <c r="A643" s="37" t="s">
        <v>1532</v>
      </c>
      <c r="B643" s="35" t="s">
        <v>1533</v>
      </c>
      <c r="C643" s="35">
        <v>267.0</v>
      </c>
      <c r="D643" s="35">
        <v>234.0</v>
      </c>
      <c r="E643" s="35">
        <v>26640.0</v>
      </c>
      <c r="F643" s="35" t="s">
        <v>11</v>
      </c>
    </row>
    <row r="644" ht="22.5" customHeight="1">
      <c r="A644" s="37" t="s">
        <v>1534</v>
      </c>
      <c r="B644" s="35" t="s">
        <v>1535</v>
      </c>
      <c r="C644" s="35">
        <v>447.0</v>
      </c>
      <c r="D644" s="35">
        <v>441.0</v>
      </c>
      <c r="E644" s="35">
        <v>25300.0</v>
      </c>
      <c r="F644" s="35" t="s">
        <v>11</v>
      </c>
    </row>
    <row r="645" ht="22.5" customHeight="1">
      <c r="A645" s="37" t="s">
        <v>1536</v>
      </c>
      <c r="B645" s="35" t="s">
        <v>1537</v>
      </c>
      <c r="C645" s="35">
        <v>50.0</v>
      </c>
      <c r="D645" s="35">
        <v>44.0</v>
      </c>
      <c r="E645" s="35" t="s">
        <v>11</v>
      </c>
      <c r="F645" s="35" t="s">
        <v>11</v>
      </c>
    </row>
    <row r="646" ht="22.5" customHeight="1">
      <c r="A646" s="37" t="s">
        <v>1538</v>
      </c>
      <c r="B646" s="35" t="s">
        <v>1539</v>
      </c>
      <c r="C646" s="35">
        <v>130.0</v>
      </c>
      <c r="D646" s="35">
        <v>127.0</v>
      </c>
      <c r="E646" s="35">
        <v>24720.0</v>
      </c>
      <c r="F646" s="35" t="s">
        <v>11</v>
      </c>
    </row>
    <row r="647" ht="22.5" customHeight="1">
      <c r="A647" s="37" t="s">
        <v>1540</v>
      </c>
      <c r="B647" s="35" t="s">
        <v>1541</v>
      </c>
      <c r="C647" s="35">
        <v>1726.0</v>
      </c>
      <c r="D647" s="35">
        <v>1697.0</v>
      </c>
      <c r="E647" s="35">
        <v>23190.0</v>
      </c>
      <c r="F647" s="35" t="s">
        <v>11</v>
      </c>
    </row>
    <row r="648" ht="22.5" customHeight="1">
      <c r="A648" s="37" t="s">
        <v>1542</v>
      </c>
      <c r="B648" s="35" t="s">
        <v>1543</v>
      </c>
      <c r="C648" s="35">
        <v>244.0</v>
      </c>
      <c r="D648" s="35">
        <v>232.0</v>
      </c>
      <c r="E648" s="35">
        <v>24850.0</v>
      </c>
      <c r="F648" s="35" t="s">
        <v>11</v>
      </c>
    </row>
    <row r="649" ht="22.5" customHeight="1">
      <c r="A649" s="37" t="s">
        <v>1544</v>
      </c>
      <c r="B649" s="35" t="s">
        <v>1545</v>
      </c>
      <c r="C649" s="35">
        <v>71.0</v>
      </c>
      <c r="D649" s="35">
        <v>73.0</v>
      </c>
      <c r="E649" s="35" t="s">
        <v>11</v>
      </c>
      <c r="F649" s="35" t="s">
        <v>11</v>
      </c>
    </row>
    <row r="650" ht="22.5" customHeight="1">
      <c r="A650" s="37" t="s">
        <v>1546</v>
      </c>
      <c r="B650" s="35" t="s">
        <v>1547</v>
      </c>
      <c r="C650" s="35">
        <v>148.0</v>
      </c>
      <c r="D650" s="35">
        <v>152.0</v>
      </c>
      <c r="E650" s="35">
        <v>25330.0</v>
      </c>
      <c r="F650" s="35" t="s">
        <v>11</v>
      </c>
    </row>
    <row r="651" ht="22.5" customHeight="1">
      <c r="A651" s="37" t="s">
        <v>1548</v>
      </c>
      <c r="B651" s="35" t="s">
        <v>1549</v>
      </c>
      <c r="C651" s="35">
        <v>2282.0</v>
      </c>
      <c r="D651" s="35">
        <v>2288.0</v>
      </c>
      <c r="E651" s="35">
        <v>23750.0</v>
      </c>
      <c r="F651" s="35" t="s">
        <v>11</v>
      </c>
    </row>
    <row r="652" ht="22.5" customHeight="1">
      <c r="A652" s="37" t="s">
        <v>1550</v>
      </c>
      <c r="B652" s="35" t="s">
        <v>1551</v>
      </c>
      <c r="C652" s="35">
        <v>267.0</v>
      </c>
      <c r="D652" s="35">
        <v>281.0</v>
      </c>
      <c r="E652" s="35">
        <v>20500.0</v>
      </c>
      <c r="F652" s="35" t="s">
        <v>11</v>
      </c>
    </row>
    <row r="653" ht="22.5" customHeight="1">
      <c r="A653" s="37" t="s">
        <v>1552</v>
      </c>
      <c r="B653" s="35" t="s">
        <v>1553</v>
      </c>
      <c r="C653" s="35">
        <v>112.0</v>
      </c>
      <c r="D653" s="35">
        <v>116.0</v>
      </c>
      <c r="E653" s="35">
        <v>23850.0</v>
      </c>
      <c r="F653" s="35" t="s">
        <v>11</v>
      </c>
    </row>
    <row r="654" ht="22.5" customHeight="1">
      <c r="A654" s="37" t="s">
        <v>1554</v>
      </c>
      <c r="B654" s="35" t="s">
        <v>1555</v>
      </c>
      <c r="C654" s="35">
        <v>115.0</v>
      </c>
      <c r="D654" s="35">
        <v>118.0</v>
      </c>
      <c r="E654" s="35">
        <v>18860.0</v>
      </c>
      <c r="F654" s="35" t="s">
        <v>11</v>
      </c>
    </row>
    <row r="655" ht="22.5" customHeight="1">
      <c r="A655" s="37" t="s">
        <v>1556</v>
      </c>
      <c r="B655" s="35" t="s">
        <v>1557</v>
      </c>
      <c r="C655" s="35">
        <v>3417.0</v>
      </c>
      <c r="D655" s="35">
        <v>3199.0</v>
      </c>
      <c r="E655" s="35">
        <v>20370.0</v>
      </c>
      <c r="F655" s="35">
        <v>25.0</v>
      </c>
    </row>
    <row r="656" ht="22.5" customHeight="1">
      <c r="A656" s="37" t="s">
        <v>1558</v>
      </c>
      <c r="B656" s="35" t="s">
        <v>1559</v>
      </c>
      <c r="C656" s="35">
        <v>119.0</v>
      </c>
      <c r="D656" s="35">
        <v>110.0</v>
      </c>
      <c r="E656" s="35">
        <v>23310.0</v>
      </c>
      <c r="F656" s="35" t="s">
        <v>11</v>
      </c>
    </row>
    <row r="657" ht="22.5" customHeight="1">
      <c r="A657" s="37" t="s">
        <v>1560</v>
      </c>
      <c r="B657" s="35" t="s">
        <v>1561</v>
      </c>
      <c r="C657" s="35">
        <v>389.0</v>
      </c>
      <c r="D657" s="35">
        <v>370.0</v>
      </c>
      <c r="E657" s="35">
        <v>25730.0</v>
      </c>
      <c r="F657" s="35" t="s">
        <v>11</v>
      </c>
    </row>
    <row r="658" ht="22.5" customHeight="1">
      <c r="A658" s="37" t="s">
        <v>1562</v>
      </c>
      <c r="B658" s="35" t="s">
        <v>1563</v>
      </c>
      <c r="C658" s="35">
        <v>334.0</v>
      </c>
      <c r="D658" s="35">
        <v>328.0</v>
      </c>
      <c r="E658" s="35">
        <v>29740.0</v>
      </c>
      <c r="F658" s="35" t="s">
        <v>11</v>
      </c>
    </row>
    <row r="659" ht="22.5" customHeight="1">
      <c r="A659" s="37" t="s">
        <v>1564</v>
      </c>
      <c r="B659" s="35" t="s">
        <v>1565</v>
      </c>
      <c r="C659" s="35">
        <v>53.0</v>
      </c>
      <c r="D659" s="35">
        <v>39.0</v>
      </c>
      <c r="E659" s="35" t="s">
        <v>11</v>
      </c>
      <c r="F659" s="35" t="s">
        <v>11</v>
      </c>
    </row>
    <row r="660" ht="22.5" customHeight="1">
      <c r="A660" s="37" t="s">
        <v>1566</v>
      </c>
      <c r="B660" s="35" t="s">
        <v>1567</v>
      </c>
      <c r="C660" s="35">
        <v>43.0</v>
      </c>
      <c r="D660" s="35">
        <v>41.0</v>
      </c>
      <c r="E660" s="35" t="s">
        <v>11</v>
      </c>
      <c r="F660" s="35" t="s">
        <v>11</v>
      </c>
    </row>
    <row r="661" ht="22.5" customHeight="1">
      <c r="A661" s="37" t="s">
        <v>1568</v>
      </c>
      <c r="B661" s="35" t="s">
        <v>1569</v>
      </c>
      <c r="C661" s="35">
        <v>82.0</v>
      </c>
      <c r="D661" s="35">
        <v>67.0</v>
      </c>
      <c r="E661" s="35" t="s">
        <v>11</v>
      </c>
      <c r="F661" s="35" t="s">
        <v>11</v>
      </c>
    </row>
    <row r="662" ht="22.5" customHeight="1">
      <c r="A662" s="37" t="s">
        <v>1570</v>
      </c>
      <c r="B662" s="35" t="s">
        <v>1571</v>
      </c>
      <c r="C662" s="35">
        <v>53816.0</v>
      </c>
      <c r="D662" s="35">
        <v>52813.0</v>
      </c>
      <c r="E662" s="35">
        <v>20470.0</v>
      </c>
      <c r="F662" s="35">
        <v>30.1</v>
      </c>
    </row>
    <row r="663" ht="22.5" customHeight="1">
      <c r="A663" s="37" t="s">
        <v>1572</v>
      </c>
      <c r="B663" s="35" t="s">
        <v>1573</v>
      </c>
      <c r="C663" s="35">
        <v>219.0</v>
      </c>
      <c r="D663" s="35">
        <v>226.0</v>
      </c>
      <c r="E663" s="35">
        <v>26270.0</v>
      </c>
      <c r="F663" s="35" t="s">
        <v>11</v>
      </c>
    </row>
    <row r="664" ht="22.5" customHeight="1">
      <c r="A664" s="37" t="s">
        <v>1574</v>
      </c>
      <c r="B664" s="35" t="s">
        <v>1575</v>
      </c>
      <c r="C664" s="35">
        <v>635.0</v>
      </c>
      <c r="D664" s="35">
        <v>593.0</v>
      </c>
      <c r="E664" s="35">
        <v>25090.0</v>
      </c>
      <c r="F664" s="35" t="s">
        <v>11</v>
      </c>
    </row>
    <row r="665" ht="22.5" customHeight="1">
      <c r="A665" s="37" t="s">
        <v>1576</v>
      </c>
      <c r="B665" s="35" t="s">
        <v>1577</v>
      </c>
      <c r="C665" s="35">
        <v>80.0</v>
      </c>
      <c r="D665" s="35">
        <v>71.0</v>
      </c>
      <c r="E665" s="35" t="s">
        <v>11</v>
      </c>
      <c r="F665" s="35" t="s">
        <v>11</v>
      </c>
    </row>
    <row r="666" ht="22.5" customHeight="1">
      <c r="A666" s="37" t="s">
        <v>1578</v>
      </c>
      <c r="B666" s="35" t="s">
        <v>1579</v>
      </c>
      <c r="C666" s="35">
        <v>387.0</v>
      </c>
      <c r="D666" s="35">
        <v>384.0</v>
      </c>
      <c r="E666" s="35">
        <v>26730.0</v>
      </c>
      <c r="F666" s="35" t="s">
        <v>11</v>
      </c>
    </row>
    <row r="667" ht="22.5" customHeight="1">
      <c r="A667" s="37" t="s">
        <v>1580</v>
      </c>
      <c r="B667" s="35" t="s">
        <v>1581</v>
      </c>
      <c r="C667" s="35">
        <v>100.0</v>
      </c>
      <c r="D667" s="35">
        <v>101.0</v>
      </c>
      <c r="E667" s="35">
        <v>23250.0</v>
      </c>
      <c r="F667" s="35" t="s">
        <v>11</v>
      </c>
    </row>
    <row r="668" ht="22.5" customHeight="1">
      <c r="A668" s="37" t="s">
        <v>1582</v>
      </c>
      <c r="B668" s="35" t="s">
        <v>1583</v>
      </c>
      <c r="C668" s="35">
        <v>289.0</v>
      </c>
      <c r="D668" s="35">
        <v>266.0</v>
      </c>
      <c r="E668" s="35">
        <v>24110.0</v>
      </c>
      <c r="F668" s="35" t="s">
        <v>11</v>
      </c>
    </row>
    <row r="669" ht="22.5" customHeight="1">
      <c r="A669" s="37" t="s">
        <v>1584</v>
      </c>
      <c r="B669" s="35" t="s">
        <v>1585</v>
      </c>
      <c r="C669" s="35">
        <v>724.0</v>
      </c>
      <c r="D669" s="35">
        <v>687.0</v>
      </c>
      <c r="E669" s="35">
        <v>25940.0</v>
      </c>
      <c r="F669" s="35" t="s">
        <v>11</v>
      </c>
    </row>
    <row r="670" ht="22.5" customHeight="1">
      <c r="A670" s="37" t="s">
        <v>1586</v>
      </c>
      <c r="B670" s="35" t="s">
        <v>1587</v>
      </c>
      <c r="C670" s="35">
        <v>609.0</v>
      </c>
      <c r="D670" s="35">
        <v>618.0</v>
      </c>
      <c r="E670" s="35">
        <v>27110.0</v>
      </c>
      <c r="F670" s="35" t="s">
        <v>11</v>
      </c>
    </row>
    <row r="671" ht="22.5" customHeight="1">
      <c r="A671" s="37" t="s">
        <v>1588</v>
      </c>
      <c r="B671" s="35" t="s">
        <v>1589</v>
      </c>
      <c r="C671" s="35">
        <v>1097.0</v>
      </c>
      <c r="D671" s="35">
        <v>1087.0</v>
      </c>
      <c r="E671" s="35">
        <v>23070.0</v>
      </c>
      <c r="F671" s="35" t="s">
        <v>11</v>
      </c>
    </row>
    <row r="672" ht="22.5" customHeight="1">
      <c r="A672" s="37" t="s">
        <v>1590</v>
      </c>
      <c r="B672" s="35" t="s">
        <v>1591</v>
      </c>
      <c r="C672" s="35">
        <v>250.0</v>
      </c>
      <c r="D672" s="35">
        <v>202.0</v>
      </c>
      <c r="E672" s="35">
        <v>23680.0</v>
      </c>
      <c r="F672" s="35" t="s">
        <v>11</v>
      </c>
    </row>
    <row r="673" ht="22.5" customHeight="1">
      <c r="A673" s="37" t="s">
        <v>1592</v>
      </c>
      <c r="B673" s="35" t="s">
        <v>1593</v>
      </c>
      <c r="C673" s="35">
        <v>217.0</v>
      </c>
      <c r="D673" s="35">
        <v>201.0</v>
      </c>
      <c r="E673" s="35">
        <v>24440.0</v>
      </c>
      <c r="F673" s="35" t="s">
        <v>11</v>
      </c>
    </row>
    <row r="674" ht="22.5" customHeight="1">
      <c r="A674" s="37" t="s">
        <v>1594</v>
      </c>
      <c r="B674" s="35" t="s">
        <v>1595</v>
      </c>
      <c r="C674" s="35">
        <v>560.0</v>
      </c>
      <c r="D674" s="35">
        <v>576.0</v>
      </c>
      <c r="E674" s="35">
        <v>25860.0</v>
      </c>
      <c r="F674" s="35" t="s">
        <v>11</v>
      </c>
    </row>
    <row r="675" ht="22.5" customHeight="1">
      <c r="A675" s="37" t="s">
        <v>1596</v>
      </c>
      <c r="B675" s="35" t="s">
        <v>1597</v>
      </c>
      <c r="C675" s="35">
        <v>179.0</v>
      </c>
      <c r="D675" s="35">
        <v>179.0</v>
      </c>
      <c r="E675" s="35">
        <v>25480.0</v>
      </c>
      <c r="F675" s="35" t="s">
        <v>11</v>
      </c>
    </row>
    <row r="676" ht="22.5" customHeight="1">
      <c r="A676" s="37" t="s">
        <v>1598</v>
      </c>
      <c r="B676" s="35" t="s">
        <v>1599</v>
      </c>
      <c r="C676" s="35">
        <v>209.0</v>
      </c>
      <c r="D676" s="35">
        <v>219.0</v>
      </c>
      <c r="E676" s="35">
        <v>29110.0</v>
      </c>
      <c r="F676" s="35" t="s">
        <v>11</v>
      </c>
    </row>
    <row r="677" ht="22.5" customHeight="1">
      <c r="A677" s="37" t="s">
        <v>1600</v>
      </c>
      <c r="B677" s="35" t="s">
        <v>1601</v>
      </c>
      <c r="C677" s="35">
        <v>405.0</v>
      </c>
      <c r="D677" s="35">
        <v>380.0</v>
      </c>
      <c r="E677" s="35">
        <v>22270.0</v>
      </c>
      <c r="F677" s="35" t="s">
        <v>11</v>
      </c>
    </row>
    <row r="678" ht="22.5" customHeight="1">
      <c r="A678" s="37" t="s">
        <v>1602</v>
      </c>
      <c r="B678" s="35" t="s">
        <v>1603</v>
      </c>
      <c r="C678" s="35">
        <v>769.0</v>
      </c>
      <c r="D678" s="35">
        <v>706.0</v>
      </c>
      <c r="E678" s="35">
        <v>24550.0</v>
      </c>
      <c r="F678" s="35" t="s">
        <v>11</v>
      </c>
    </row>
    <row r="679" ht="22.5" customHeight="1">
      <c r="A679" s="37" t="s">
        <v>1604</v>
      </c>
      <c r="B679" s="35" t="s">
        <v>1605</v>
      </c>
      <c r="C679" s="35">
        <v>309.0</v>
      </c>
      <c r="D679" s="35">
        <v>273.0</v>
      </c>
      <c r="E679" s="35">
        <v>26880.0</v>
      </c>
      <c r="F679" s="35" t="s">
        <v>11</v>
      </c>
    </row>
    <row r="680" ht="22.5" customHeight="1">
      <c r="A680" s="37" t="s">
        <v>1606</v>
      </c>
      <c r="B680" s="35" t="s">
        <v>1607</v>
      </c>
      <c r="C680" s="35">
        <v>151.0</v>
      </c>
      <c r="D680" s="35">
        <v>139.0</v>
      </c>
      <c r="E680" s="35">
        <v>26700.0</v>
      </c>
      <c r="F680" s="35" t="s">
        <v>11</v>
      </c>
    </row>
    <row r="681" ht="22.5" customHeight="1">
      <c r="A681" s="37" t="s">
        <v>1608</v>
      </c>
      <c r="B681" s="35" t="s">
        <v>1609</v>
      </c>
      <c r="C681" s="35">
        <v>276.0</v>
      </c>
      <c r="D681" s="35">
        <v>273.0</v>
      </c>
      <c r="E681" s="35">
        <v>24060.0</v>
      </c>
      <c r="F681" s="35" t="s">
        <v>11</v>
      </c>
    </row>
    <row r="682" ht="22.5" customHeight="1">
      <c r="A682" s="37" t="s">
        <v>1610</v>
      </c>
      <c r="B682" s="35" t="s">
        <v>1611</v>
      </c>
      <c r="C682" s="35">
        <v>349.0</v>
      </c>
      <c r="D682" s="35">
        <v>340.0</v>
      </c>
      <c r="E682" s="35">
        <v>24270.0</v>
      </c>
      <c r="F682" s="35" t="s">
        <v>11</v>
      </c>
    </row>
    <row r="683" ht="22.5" customHeight="1">
      <c r="A683" s="37" t="s">
        <v>1612</v>
      </c>
      <c r="B683" s="35" t="s">
        <v>1613</v>
      </c>
      <c r="C683" s="35">
        <v>52.0</v>
      </c>
      <c r="D683" s="35">
        <v>42.0</v>
      </c>
      <c r="E683" s="35" t="s">
        <v>11</v>
      </c>
      <c r="F683" s="35" t="s">
        <v>11</v>
      </c>
    </row>
    <row r="684" ht="22.5" customHeight="1">
      <c r="A684" s="37" t="s">
        <v>1614</v>
      </c>
      <c r="B684" s="35" t="s">
        <v>1615</v>
      </c>
      <c r="C684" s="35">
        <v>287.0</v>
      </c>
      <c r="D684" s="35">
        <v>287.0</v>
      </c>
      <c r="E684" s="35">
        <v>28140.0</v>
      </c>
      <c r="F684" s="35" t="s">
        <v>11</v>
      </c>
    </row>
    <row r="685" ht="22.5" customHeight="1">
      <c r="A685" s="37" t="s">
        <v>1616</v>
      </c>
      <c r="B685" s="35" t="s">
        <v>1617</v>
      </c>
      <c r="C685" s="35">
        <v>576.0</v>
      </c>
      <c r="D685" s="35">
        <v>601.0</v>
      </c>
      <c r="E685" s="35">
        <v>25160.0</v>
      </c>
      <c r="F685" s="35" t="s">
        <v>11</v>
      </c>
    </row>
    <row r="686" ht="22.5" customHeight="1">
      <c r="A686" s="37" t="s">
        <v>1618</v>
      </c>
      <c r="B686" s="35" t="s">
        <v>1619</v>
      </c>
      <c r="C686" s="35">
        <v>126.0</v>
      </c>
      <c r="D686" s="35">
        <v>112.0</v>
      </c>
      <c r="E686" s="35">
        <v>27740.0</v>
      </c>
      <c r="F686" s="35" t="s">
        <v>11</v>
      </c>
    </row>
    <row r="687" ht="22.5" customHeight="1">
      <c r="A687" s="37" t="s">
        <v>1620</v>
      </c>
      <c r="B687" s="35" t="s">
        <v>1621</v>
      </c>
      <c r="C687" s="35">
        <v>2040.0</v>
      </c>
      <c r="D687" s="35">
        <v>2005.0</v>
      </c>
      <c r="E687" s="35">
        <v>24240.0</v>
      </c>
      <c r="F687" s="35">
        <v>15.0</v>
      </c>
    </row>
    <row r="688" ht="22.5" customHeight="1">
      <c r="A688" s="37" t="s">
        <v>1622</v>
      </c>
      <c r="B688" s="35" t="s">
        <v>1623</v>
      </c>
      <c r="C688" s="35">
        <v>2055.0</v>
      </c>
      <c r="D688" s="35">
        <v>2065.0</v>
      </c>
      <c r="E688" s="35">
        <v>20220.0</v>
      </c>
      <c r="F688" s="35" t="s">
        <v>11</v>
      </c>
    </row>
    <row r="689" ht="22.5" customHeight="1">
      <c r="A689" s="37" t="s">
        <v>1624</v>
      </c>
      <c r="B689" s="35" t="s">
        <v>1625</v>
      </c>
      <c r="C689" s="35">
        <v>476.0</v>
      </c>
      <c r="D689" s="35">
        <v>505.0</v>
      </c>
      <c r="E689" s="35">
        <v>27050.0</v>
      </c>
      <c r="F689" s="35" t="s">
        <v>11</v>
      </c>
    </row>
    <row r="690" ht="22.5" customHeight="1">
      <c r="A690" s="37" t="s">
        <v>1626</v>
      </c>
      <c r="B690" s="35" t="s">
        <v>1627</v>
      </c>
      <c r="C690" s="35">
        <v>28530.0</v>
      </c>
      <c r="D690" s="35">
        <v>28046.0</v>
      </c>
      <c r="E690" s="35">
        <v>19970.0</v>
      </c>
      <c r="F690" s="35">
        <v>32.5</v>
      </c>
    </row>
    <row r="691" ht="22.5" customHeight="1">
      <c r="A691" s="37" t="s">
        <v>1628</v>
      </c>
      <c r="B691" s="35" t="s">
        <v>1629</v>
      </c>
      <c r="C691" s="35">
        <v>101.0</v>
      </c>
      <c r="D691" s="35">
        <v>95.0</v>
      </c>
      <c r="E691" s="35" t="s">
        <v>11</v>
      </c>
      <c r="F691" s="35" t="s">
        <v>11</v>
      </c>
    </row>
    <row r="692" ht="22.5" customHeight="1">
      <c r="A692" s="37" t="s">
        <v>1630</v>
      </c>
      <c r="B692" s="35" t="s">
        <v>1631</v>
      </c>
      <c r="C692" s="35">
        <v>61.0</v>
      </c>
      <c r="D692" s="35">
        <v>56.0</v>
      </c>
      <c r="E692" s="35" t="s">
        <v>11</v>
      </c>
      <c r="F692" s="35" t="s">
        <v>11</v>
      </c>
    </row>
    <row r="693" ht="22.5" customHeight="1">
      <c r="A693" s="37" t="s">
        <v>1632</v>
      </c>
      <c r="B693" s="35" t="s">
        <v>1633</v>
      </c>
      <c r="C693" s="35">
        <v>142.0</v>
      </c>
      <c r="D693" s="35">
        <v>134.0</v>
      </c>
      <c r="E693" s="35">
        <v>24180.0</v>
      </c>
      <c r="F693" s="35" t="s">
        <v>11</v>
      </c>
    </row>
    <row r="694" ht="22.5" customHeight="1">
      <c r="A694" s="37" t="s">
        <v>1634</v>
      </c>
      <c r="B694" s="35" t="s">
        <v>1635</v>
      </c>
      <c r="C694" s="35">
        <v>193.0</v>
      </c>
      <c r="D694" s="35">
        <v>178.0</v>
      </c>
      <c r="E694" s="35">
        <v>27070.0</v>
      </c>
      <c r="F694" s="35" t="s">
        <v>11</v>
      </c>
    </row>
    <row r="695" ht="22.5" customHeight="1">
      <c r="A695" s="37" t="s">
        <v>1636</v>
      </c>
      <c r="B695" s="35" t="s">
        <v>1637</v>
      </c>
      <c r="C695" s="35">
        <v>240.0</v>
      </c>
      <c r="D695" s="35">
        <v>205.0</v>
      </c>
      <c r="E695" s="35">
        <v>22030.0</v>
      </c>
      <c r="F695" s="35" t="s">
        <v>11</v>
      </c>
    </row>
    <row r="696" ht="22.5" customHeight="1">
      <c r="A696" s="37" t="s">
        <v>1638</v>
      </c>
      <c r="B696" s="35" t="s">
        <v>1639</v>
      </c>
      <c r="C696" s="35">
        <v>274.0</v>
      </c>
      <c r="D696" s="35">
        <v>266.0</v>
      </c>
      <c r="E696" s="35">
        <v>24590.0</v>
      </c>
      <c r="F696" s="35" t="s">
        <v>11</v>
      </c>
    </row>
    <row r="697" ht="22.5" customHeight="1">
      <c r="A697" s="37" t="s">
        <v>1640</v>
      </c>
      <c r="B697" s="35" t="s">
        <v>1641</v>
      </c>
      <c r="C697" s="35">
        <v>97.0</v>
      </c>
      <c r="D697" s="35">
        <v>74.0</v>
      </c>
      <c r="E697" s="35" t="s">
        <v>11</v>
      </c>
      <c r="F697" s="35" t="s">
        <v>11</v>
      </c>
    </row>
    <row r="698" ht="22.5" customHeight="1">
      <c r="A698" s="37" t="s">
        <v>1642</v>
      </c>
      <c r="B698" s="35" t="s">
        <v>1643</v>
      </c>
      <c r="C698" s="35">
        <v>273.0</v>
      </c>
      <c r="D698" s="35">
        <v>272.0</v>
      </c>
      <c r="E698" s="35">
        <v>23490.0</v>
      </c>
      <c r="F698" s="35" t="s">
        <v>11</v>
      </c>
    </row>
    <row r="699" ht="22.5" customHeight="1">
      <c r="A699" s="37" t="s">
        <v>1644</v>
      </c>
      <c r="B699" s="35" t="s">
        <v>1645</v>
      </c>
      <c r="C699" s="35">
        <v>168.0</v>
      </c>
      <c r="D699" s="35">
        <v>155.0</v>
      </c>
      <c r="E699" s="35">
        <v>26610.0</v>
      </c>
      <c r="F699" s="35" t="s">
        <v>11</v>
      </c>
    </row>
    <row r="700" ht="22.5" customHeight="1">
      <c r="A700" s="37" t="s">
        <v>1646</v>
      </c>
      <c r="B700" s="35" t="s">
        <v>1647</v>
      </c>
      <c r="C700" s="35">
        <v>102.0</v>
      </c>
      <c r="D700" s="35">
        <v>92.0</v>
      </c>
      <c r="E700" s="35" t="s">
        <v>11</v>
      </c>
      <c r="F700" s="35" t="s">
        <v>11</v>
      </c>
    </row>
    <row r="701" ht="22.5" customHeight="1">
      <c r="A701" s="37" t="s">
        <v>1648</v>
      </c>
      <c r="B701" s="35" t="s">
        <v>1649</v>
      </c>
      <c r="C701" s="35">
        <v>276.0</v>
      </c>
      <c r="D701" s="35">
        <v>257.0</v>
      </c>
      <c r="E701" s="35">
        <v>26530.0</v>
      </c>
      <c r="F701" s="35" t="s">
        <v>11</v>
      </c>
    </row>
    <row r="702" ht="22.5" customHeight="1">
      <c r="A702" s="37" t="s">
        <v>1650</v>
      </c>
      <c r="B702" s="35" t="s">
        <v>1651</v>
      </c>
      <c r="C702" s="35">
        <v>16.0</v>
      </c>
      <c r="D702" s="35">
        <v>16.0</v>
      </c>
      <c r="E702" s="35" t="s">
        <v>11</v>
      </c>
      <c r="F702" s="35" t="s">
        <v>11</v>
      </c>
    </row>
    <row r="703" ht="22.5" customHeight="1">
      <c r="A703" s="37" t="s">
        <v>1652</v>
      </c>
      <c r="B703" s="35" t="s">
        <v>1653</v>
      </c>
      <c r="C703" s="35">
        <v>166.0</v>
      </c>
      <c r="D703" s="35">
        <v>162.0</v>
      </c>
      <c r="E703" s="35">
        <v>24560.0</v>
      </c>
      <c r="F703" s="35" t="s">
        <v>11</v>
      </c>
    </row>
    <row r="704" ht="22.5" customHeight="1">
      <c r="A704" s="37" t="s">
        <v>1654</v>
      </c>
      <c r="B704" s="35" t="s">
        <v>1655</v>
      </c>
      <c r="C704" s="35">
        <v>569.0</v>
      </c>
      <c r="D704" s="35">
        <v>543.0</v>
      </c>
      <c r="E704" s="35">
        <v>22040.0</v>
      </c>
      <c r="F704" s="35" t="s">
        <v>11</v>
      </c>
    </row>
    <row r="705" ht="22.5" customHeight="1">
      <c r="A705" s="37" t="s">
        <v>1656</v>
      </c>
      <c r="B705" s="35" t="s">
        <v>1657</v>
      </c>
      <c r="C705" s="35">
        <v>13456.0</v>
      </c>
      <c r="D705" s="35">
        <v>13045.0</v>
      </c>
      <c r="E705" s="35">
        <v>20680.0</v>
      </c>
      <c r="F705" s="35">
        <v>27.0</v>
      </c>
    </row>
    <row r="706" ht="22.5" customHeight="1">
      <c r="A706" s="37" t="s">
        <v>1658</v>
      </c>
      <c r="B706" s="35" t="s">
        <v>1659</v>
      </c>
      <c r="C706" s="35">
        <v>330.0</v>
      </c>
      <c r="D706" s="35">
        <v>317.0</v>
      </c>
      <c r="E706" s="35">
        <v>27900.0</v>
      </c>
      <c r="F706" s="35" t="s">
        <v>11</v>
      </c>
    </row>
    <row r="707" ht="22.5" customHeight="1">
      <c r="A707" s="37" t="s">
        <v>1660</v>
      </c>
      <c r="B707" s="35" t="s">
        <v>1661</v>
      </c>
      <c r="C707" s="35">
        <v>220.0</v>
      </c>
      <c r="D707" s="35">
        <v>220.0</v>
      </c>
      <c r="E707" s="35">
        <v>24110.0</v>
      </c>
      <c r="F707" s="35" t="s">
        <v>11</v>
      </c>
    </row>
    <row r="708" ht="22.5" customHeight="1">
      <c r="A708" s="37" t="s">
        <v>1662</v>
      </c>
      <c r="B708" s="35" t="s">
        <v>1663</v>
      </c>
      <c r="C708" s="35">
        <v>550.0</v>
      </c>
      <c r="D708" s="35">
        <v>541.0</v>
      </c>
      <c r="E708" s="35">
        <v>20410.0</v>
      </c>
      <c r="F708" s="35" t="s">
        <v>11</v>
      </c>
    </row>
    <row r="709" ht="22.5" customHeight="1">
      <c r="A709" s="37" t="s">
        <v>1664</v>
      </c>
      <c r="B709" s="35" t="s">
        <v>1665</v>
      </c>
      <c r="C709" s="35">
        <v>102.0</v>
      </c>
      <c r="D709" s="35">
        <v>122.0</v>
      </c>
      <c r="E709" s="35">
        <v>17360.0</v>
      </c>
      <c r="F709" s="35" t="s">
        <v>11</v>
      </c>
    </row>
    <row r="710" ht="22.5" customHeight="1">
      <c r="A710" s="37" t="s">
        <v>1666</v>
      </c>
      <c r="B710" s="35" t="s">
        <v>1667</v>
      </c>
      <c r="C710" s="35">
        <v>168.0</v>
      </c>
      <c r="D710" s="35">
        <v>158.0</v>
      </c>
      <c r="E710" s="35">
        <v>23210.0</v>
      </c>
      <c r="F710" s="35" t="s">
        <v>11</v>
      </c>
    </row>
    <row r="711" ht="22.5" customHeight="1">
      <c r="A711" s="37" t="s">
        <v>1668</v>
      </c>
      <c r="B711" s="35" t="s">
        <v>1669</v>
      </c>
      <c r="C711" s="35">
        <v>73.0</v>
      </c>
      <c r="D711" s="35">
        <v>81.0</v>
      </c>
      <c r="E711" s="35" t="s">
        <v>11</v>
      </c>
      <c r="F711" s="35" t="s">
        <v>11</v>
      </c>
    </row>
    <row r="712" ht="22.5" customHeight="1">
      <c r="A712" s="37" t="s">
        <v>1670</v>
      </c>
      <c r="B712" s="35" t="s">
        <v>1671</v>
      </c>
      <c r="C712" s="35">
        <v>128.0</v>
      </c>
      <c r="D712" s="35">
        <v>110.0</v>
      </c>
      <c r="E712" s="35">
        <v>22240.0</v>
      </c>
      <c r="F712" s="35" t="s">
        <v>11</v>
      </c>
    </row>
    <row r="713" ht="22.5" customHeight="1">
      <c r="A713" s="37" t="s">
        <v>1672</v>
      </c>
      <c r="B713" s="35" t="s">
        <v>1673</v>
      </c>
      <c r="C713" s="35">
        <v>670.0</v>
      </c>
      <c r="D713" s="35">
        <v>685.0</v>
      </c>
      <c r="E713" s="35">
        <v>24970.0</v>
      </c>
      <c r="F713" s="35" t="s">
        <v>11</v>
      </c>
    </row>
    <row r="714" ht="22.5" customHeight="1">
      <c r="A714" s="37" t="s">
        <v>1674</v>
      </c>
      <c r="B714" s="35" t="s">
        <v>1675</v>
      </c>
      <c r="C714" s="35">
        <v>85.0</v>
      </c>
      <c r="D714" s="35">
        <v>80.0</v>
      </c>
      <c r="E714" s="35" t="s">
        <v>11</v>
      </c>
      <c r="F714" s="35" t="s">
        <v>11</v>
      </c>
    </row>
    <row r="715" ht="22.5" customHeight="1">
      <c r="A715" s="37" t="s">
        <v>1676</v>
      </c>
      <c r="B715" s="35" t="s">
        <v>1677</v>
      </c>
      <c r="C715" s="35">
        <v>948.0</v>
      </c>
      <c r="D715" s="35">
        <v>952.0</v>
      </c>
      <c r="E715" s="35">
        <v>27000.0</v>
      </c>
      <c r="F715" s="35" t="s">
        <v>11</v>
      </c>
    </row>
    <row r="716" ht="22.5" customHeight="1">
      <c r="A716" s="37" t="s">
        <v>1678</v>
      </c>
      <c r="B716" s="35" t="s">
        <v>1679</v>
      </c>
      <c r="C716" s="35">
        <v>224.0</v>
      </c>
      <c r="D716" s="35">
        <v>207.0</v>
      </c>
      <c r="E716" s="35">
        <v>27230.0</v>
      </c>
      <c r="F716" s="35" t="s">
        <v>11</v>
      </c>
    </row>
    <row r="717" ht="22.5" customHeight="1">
      <c r="A717" s="37" t="s">
        <v>1680</v>
      </c>
      <c r="B717" s="35" t="s">
        <v>1681</v>
      </c>
      <c r="C717" s="35">
        <v>613.0</v>
      </c>
      <c r="D717" s="35">
        <v>541.0</v>
      </c>
      <c r="E717" s="35">
        <v>22880.0</v>
      </c>
      <c r="F717" s="35" t="s">
        <v>11</v>
      </c>
    </row>
    <row r="718" ht="22.5" customHeight="1">
      <c r="A718" s="37" t="s">
        <v>1682</v>
      </c>
      <c r="B718" s="35" t="s">
        <v>1683</v>
      </c>
      <c r="C718" s="35">
        <v>145.0</v>
      </c>
      <c r="D718" s="35">
        <v>139.0</v>
      </c>
      <c r="E718" s="35">
        <v>26340.0</v>
      </c>
      <c r="F718" s="35" t="s">
        <v>11</v>
      </c>
    </row>
    <row r="719" ht="22.5" customHeight="1">
      <c r="A719" s="37" t="s">
        <v>1684</v>
      </c>
      <c r="B719" s="35" t="s">
        <v>1685</v>
      </c>
      <c r="C719" s="35">
        <v>275.0</v>
      </c>
      <c r="D719" s="35">
        <v>282.0</v>
      </c>
      <c r="E719" s="35">
        <v>22060.0</v>
      </c>
      <c r="F719" s="35" t="s">
        <v>11</v>
      </c>
    </row>
    <row r="720" ht="22.5" customHeight="1">
      <c r="A720" s="37" t="s">
        <v>1686</v>
      </c>
      <c r="B720" s="35" t="s">
        <v>1687</v>
      </c>
      <c r="C720" s="35">
        <v>335.0</v>
      </c>
      <c r="D720" s="35">
        <v>341.0</v>
      </c>
      <c r="E720" s="35">
        <v>21600.0</v>
      </c>
      <c r="F720" s="35" t="s">
        <v>11</v>
      </c>
    </row>
    <row r="721" ht="22.5" customHeight="1">
      <c r="A721" s="37" t="s">
        <v>1688</v>
      </c>
      <c r="B721" s="35" t="s">
        <v>1689</v>
      </c>
      <c r="C721" s="35">
        <v>182.0</v>
      </c>
      <c r="D721" s="35">
        <v>187.0</v>
      </c>
      <c r="E721" s="35">
        <v>25270.0</v>
      </c>
      <c r="F721" s="35" t="s">
        <v>11</v>
      </c>
    </row>
    <row r="722" ht="22.5" customHeight="1">
      <c r="A722" s="37" t="s">
        <v>1690</v>
      </c>
      <c r="B722" s="35" t="s">
        <v>1691</v>
      </c>
      <c r="C722" s="35">
        <v>585.0</v>
      </c>
      <c r="D722" s="35">
        <v>534.0</v>
      </c>
      <c r="E722" s="35">
        <v>24930.0</v>
      </c>
      <c r="F722" s="35" t="s">
        <v>11</v>
      </c>
    </row>
    <row r="723" ht="22.5" customHeight="1">
      <c r="A723" s="37" t="s">
        <v>1692</v>
      </c>
      <c r="B723" s="35" t="s">
        <v>1693</v>
      </c>
      <c r="C723" s="35">
        <v>659.0</v>
      </c>
      <c r="D723" s="35">
        <v>687.0</v>
      </c>
      <c r="E723" s="35">
        <v>26520.0</v>
      </c>
      <c r="F723" s="35" t="s">
        <v>11</v>
      </c>
    </row>
    <row r="724" ht="22.5" customHeight="1">
      <c r="A724" s="37" t="s">
        <v>1694</v>
      </c>
      <c r="B724" s="35" t="s">
        <v>1695</v>
      </c>
      <c r="C724" s="35">
        <v>540.0</v>
      </c>
      <c r="D724" s="35">
        <v>505.0</v>
      </c>
      <c r="E724" s="35">
        <v>21320.0</v>
      </c>
      <c r="F724" s="35" t="s">
        <v>11</v>
      </c>
    </row>
    <row r="725" ht="22.5" customHeight="1">
      <c r="A725" s="37" t="s">
        <v>1696</v>
      </c>
      <c r="B725" s="35" t="s">
        <v>1697</v>
      </c>
      <c r="C725" s="35">
        <v>2003.0</v>
      </c>
      <c r="D725" s="35">
        <v>2050.0</v>
      </c>
      <c r="E725" s="35">
        <v>23580.0</v>
      </c>
      <c r="F725" s="35">
        <v>18.0</v>
      </c>
    </row>
    <row r="726" ht="22.5" customHeight="1">
      <c r="A726" s="37" t="s">
        <v>1698</v>
      </c>
      <c r="B726" s="35" t="s">
        <v>1699</v>
      </c>
      <c r="C726" s="35">
        <v>365.0</v>
      </c>
      <c r="D726" s="35">
        <v>355.0</v>
      </c>
      <c r="E726" s="35">
        <v>22020.0</v>
      </c>
      <c r="F726" s="35" t="s">
        <v>11</v>
      </c>
    </row>
    <row r="727" ht="22.5" customHeight="1">
      <c r="A727" s="37" t="s">
        <v>1700</v>
      </c>
      <c r="B727" s="35" t="s">
        <v>1701</v>
      </c>
      <c r="C727" s="35">
        <v>148.0</v>
      </c>
      <c r="D727" s="35">
        <v>152.0</v>
      </c>
      <c r="E727" s="35">
        <v>21580.0</v>
      </c>
      <c r="F727" s="35" t="s">
        <v>11</v>
      </c>
    </row>
    <row r="728" ht="22.5" customHeight="1">
      <c r="A728" s="37" t="s">
        <v>1702</v>
      </c>
      <c r="B728" s="35" t="s">
        <v>1703</v>
      </c>
      <c r="C728" s="35">
        <v>197.0</v>
      </c>
      <c r="D728" s="35">
        <v>217.0</v>
      </c>
      <c r="E728" s="35">
        <v>28310.0</v>
      </c>
      <c r="F728" s="35" t="s">
        <v>11</v>
      </c>
    </row>
    <row r="729" ht="22.5" customHeight="1">
      <c r="A729" s="37" t="s">
        <v>1704</v>
      </c>
      <c r="B729" s="35" t="s">
        <v>1705</v>
      </c>
      <c r="C729" s="35">
        <v>151.0</v>
      </c>
      <c r="D729" s="35">
        <v>172.0</v>
      </c>
      <c r="E729" s="35">
        <v>23400.0</v>
      </c>
      <c r="F729" s="35" t="s">
        <v>11</v>
      </c>
    </row>
    <row r="730" ht="22.5" customHeight="1">
      <c r="A730" s="37" t="s">
        <v>1706</v>
      </c>
      <c r="B730" s="35" t="s">
        <v>1707</v>
      </c>
      <c r="C730" s="35">
        <v>215.0</v>
      </c>
      <c r="D730" s="35">
        <v>197.0</v>
      </c>
      <c r="E730" s="35">
        <v>26390.0</v>
      </c>
      <c r="F730" s="35" t="s">
        <v>11</v>
      </c>
    </row>
    <row r="731" ht="22.5" customHeight="1">
      <c r="A731" s="37" t="s">
        <v>1708</v>
      </c>
      <c r="B731" s="35" t="s">
        <v>1709</v>
      </c>
      <c r="C731" s="35">
        <v>87.0</v>
      </c>
      <c r="D731" s="35">
        <v>92.0</v>
      </c>
      <c r="E731" s="35" t="s">
        <v>11</v>
      </c>
      <c r="F731" s="35" t="s">
        <v>11</v>
      </c>
    </row>
    <row r="732" ht="22.5" customHeight="1">
      <c r="A732" s="37" t="s">
        <v>1710</v>
      </c>
      <c r="B732" s="35" t="s">
        <v>1711</v>
      </c>
      <c r="C732" s="35">
        <v>265.0</v>
      </c>
      <c r="D732" s="35">
        <v>230.0</v>
      </c>
      <c r="E732" s="35">
        <v>28130.0</v>
      </c>
      <c r="F732" s="35" t="s">
        <v>11</v>
      </c>
    </row>
    <row r="733" ht="22.5" customHeight="1">
      <c r="A733" s="37" t="s">
        <v>1712</v>
      </c>
      <c r="B733" s="35" t="s">
        <v>1713</v>
      </c>
      <c r="C733" s="35">
        <v>238.0</v>
      </c>
      <c r="D733" s="35">
        <v>237.0</v>
      </c>
      <c r="E733" s="35">
        <v>24950.0</v>
      </c>
      <c r="F733" s="35" t="s">
        <v>11</v>
      </c>
    </row>
    <row r="734" ht="22.5" customHeight="1">
      <c r="A734" s="37" t="s">
        <v>1714</v>
      </c>
      <c r="B734" s="35" t="s">
        <v>1715</v>
      </c>
      <c r="C734" s="35">
        <v>324.0</v>
      </c>
      <c r="D734" s="35">
        <v>323.0</v>
      </c>
      <c r="E734" s="35">
        <v>27760.0</v>
      </c>
      <c r="F734" s="35" t="s">
        <v>11</v>
      </c>
    </row>
    <row r="735" ht="22.5" customHeight="1">
      <c r="A735" s="37" t="s">
        <v>1716</v>
      </c>
      <c r="B735" s="35" t="s">
        <v>1717</v>
      </c>
      <c r="C735" s="35">
        <v>540.0</v>
      </c>
      <c r="D735" s="35">
        <v>498.0</v>
      </c>
      <c r="E735" s="35">
        <v>25500.0</v>
      </c>
      <c r="F735" s="35" t="s">
        <v>11</v>
      </c>
    </row>
    <row r="736" ht="22.5" customHeight="1">
      <c r="A736" s="37" t="s">
        <v>1718</v>
      </c>
      <c r="B736" s="35" t="s">
        <v>1719</v>
      </c>
      <c r="C736" s="35">
        <v>923.0</v>
      </c>
      <c r="D736" s="35">
        <v>924.0</v>
      </c>
      <c r="E736" s="35">
        <v>21620.0</v>
      </c>
      <c r="F736" s="35" t="s">
        <v>11</v>
      </c>
    </row>
    <row r="737" ht="22.5" customHeight="1">
      <c r="A737" s="37" t="s">
        <v>1720</v>
      </c>
      <c r="B737" s="35" t="s">
        <v>1721</v>
      </c>
      <c r="C737" s="35">
        <v>786.0</v>
      </c>
      <c r="D737" s="35">
        <v>763.0</v>
      </c>
      <c r="E737" s="35">
        <v>28530.0</v>
      </c>
      <c r="F737" s="35" t="s">
        <v>11</v>
      </c>
    </row>
    <row r="738" ht="22.5" customHeight="1">
      <c r="A738" s="37" t="s">
        <v>1722</v>
      </c>
      <c r="B738" s="35" t="s">
        <v>1723</v>
      </c>
      <c r="C738" s="35">
        <v>153.0</v>
      </c>
      <c r="D738" s="35">
        <v>142.0</v>
      </c>
      <c r="E738" s="35">
        <v>26450.0</v>
      </c>
      <c r="F738" s="35" t="s">
        <v>11</v>
      </c>
    </row>
    <row r="739" ht="22.5" customHeight="1">
      <c r="A739" s="37" t="s">
        <v>1724</v>
      </c>
      <c r="B739" s="35" t="s">
        <v>1725</v>
      </c>
      <c r="C739" s="35">
        <v>39.0</v>
      </c>
      <c r="D739" s="35">
        <v>43.0</v>
      </c>
      <c r="E739" s="35" t="s">
        <v>11</v>
      </c>
      <c r="F739" s="35" t="s">
        <v>11</v>
      </c>
    </row>
    <row r="740" ht="22.5" customHeight="1">
      <c r="A740" s="37" t="s">
        <v>1726</v>
      </c>
      <c r="B740" s="35" t="s">
        <v>1727</v>
      </c>
      <c r="C740" s="35">
        <v>117.0</v>
      </c>
      <c r="D740" s="35">
        <v>123.0</v>
      </c>
      <c r="E740" s="35">
        <v>25190.0</v>
      </c>
      <c r="F740" s="35" t="s">
        <v>11</v>
      </c>
    </row>
    <row r="741" ht="22.5" customHeight="1">
      <c r="A741" s="37" t="s">
        <v>1728</v>
      </c>
      <c r="B741" s="35" t="s">
        <v>1729</v>
      </c>
      <c r="C741" s="35">
        <v>951.0</v>
      </c>
      <c r="D741" s="35">
        <v>923.0</v>
      </c>
      <c r="E741" s="35">
        <v>25310.0</v>
      </c>
      <c r="F741" s="35" t="s">
        <v>11</v>
      </c>
    </row>
    <row r="742" ht="22.5" customHeight="1">
      <c r="A742" s="37" t="s">
        <v>1730</v>
      </c>
      <c r="B742" s="35" t="s">
        <v>1731</v>
      </c>
      <c r="C742" s="35">
        <v>556.0</v>
      </c>
      <c r="D742" s="35">
        <v>585.0</v>
      </c>
      <c r="E742" s="35">
        <v>22980.0</v>
      </c>
      <c r="F742" s="35" t="s">
        <v>11</v>
      </c>
    </row>
    <row r="743" ht="22.5" customHeight="1">
      <c r="A743" s="37" t="s">
        <v>1732</v>
      </c>
      <c r="B743" s="35" t="s">
        <v>1733</v>
      </c>
      <c r="C743" s="35">
        <v>160.0</v>
      </c>
      <c r="D743" s="35">
        <v>133.0</v>
      </c>
      <c r="E743" s="35">
        <v>25910.0</v>
      </c>
      <c r="F743" s="35" t="s">
        <v>11</v>
      </c>
    </row>
    <row r="744" ht="22.5" customHeight="1">
      <c r="A744" s="37" t="s">
        <v>1734</v>
      </c>
      <c r="B744" s="35" t="s">
        <v>1735</v>
      </c>
      <c r="C744" s="35">
        <v>102.0</v>
      </c>
      <c r="D744" s="35">
        <v>101.0</v>
      </c>
      <c r="E744" s="35" t="s">
        <v>11</v>
      </c>
      <c r="F744" s="35" t="s">
        <v>11</v>
      </c>
    </row>
    <row r="745" ht="22.5" customHeight="1">
      <c r="A745" s="37" t="s">
        <v>1736</v>
      </c>
      <c r="B745" s="35" t="s">
        <v>1737</v>
      </c>
      <c r="C745" s="35">
        <v>223.0</v>
      </c>
      <c r="D745" s="35">
        <v>229.0</v>
      </c>
      <c r="E745" s="35">
        <v>20540.0</v>
      </c>
      <c r="F745" s="35" t="s">
        <v>11</v>
      </c>
    </row>
    <row r="746" ht="22.5" customHeight="1">
      <c r="A746" s="37" t="s">
        <v>1738</v>
      </c>
      <c r="B746" s="35" t="s">
        <v>1739</v>
      </c>
      <c r="C746" s="35">
        <v>1378.0</v>
      </c>
      <c r="D746" s="35">
        <v>1324.0</v>
      </c>
      <c r="E746" s="35">
        <v>22590.0</v>
      </c>
      <c r="F746" s="35" t="s">
        <v>11</v>
      </c>
    </row>
    <row r="747" ht="22.5" customHeight="1">
      <c r="A747" s="37" t="s">
        <v>1740</v>
      </c>
      <c r="B747" s="35" t="s">
        <v>1741</v>
      </c>
      <c r="C747" s="35">
        <v>461.0</v>
      </c>
      <c r="D747" s="35">
        <v>443.0</v>
      </c>
      <c r="E747" s="35">
        <v>25710.0</v>
      </c>
      <c r="F747" s="35" t="s">
        <v>11</v>
      </c>
    </row>
    <row r="748" ht="22.5" customHeight="1">
      <c r="A748" s="37" t="s">
        <v>1742</v>
      </c>
      <c r="B748" s="35" t="s">
        <v>1743</v>
      </c>
      <c r="C748" s="35">
        <v>219.0</v>
      </c>
      <c r="D748" s="35">
        <v>212.0</v>
      </c>
      <c r="E748" s="35">
        <v>23320.0</v>
      </c>
      <c r="F748" s="35" t="s">
        <v>11</v>
      </c>
    </row>
    <row r="749" ht="22.5" customHeight="1">
      <c r="A749" s="37" t="s">
        <v>1744</v>
      </c>
      <c r="B749" s="35" t="s">
        <v>1745</v>
      </c>
      <c r="C749" s="35">
        <v>138.0</v>
      </c>
      <c r="D749" s="35">
        <v>124.0</v>
      </c>
      <c r="E749" s="35">
        <v>20880.0</v>
      </c>
      <c r="F749" s="35" t="s">
        <v>11</v>
      </c>
    </row>
    <row r="750" ht="22.5" customHeight="1">
      <c r="A750" s="37" t="s">
        <v>1746</v>
      </c>
      <c r="B750" s="35" t="s">
        <v>1747</v>
      </c>
      <c r="C750" s="35">
        <v>149.0</v>
      </c>
      <c r="D750" s="35">
        <v>155.0</v>
      </c>
      <c r="E750" s="35">
        <v>22890.0</v>
      </c>
      <c r="F750" s="35" t="s">
        <v>11</v>
      </c>
    </row>
    <row r="751" ht="22.5" customHeight="1">
      <c r="A751" s="37" t="s">
        <v>1748</v>
      </c>
      <c r="B751" s="35" t="s">
        <v>1749</v>
      </c>
      <c r="C751" s="35">
        <v>1092.0</v>
      </c>
      <c r="D751" s="35">
        <v>1104.0</v>
      </c>
      <c r="E751" s="35">
        <v>24550.0</v>
      </c>
      <c r="F751" s="35" t="s">
        <v>11</v>
      </c>
    </row>
    <row r="752" ht="22.5" customHeight="1">
      <c r="A752" s="37" t="s">
        <v>1750</v>
      </c>
      <c r="B752" s="35" t="s">
        <v>1751</v>
      </c>
      <c r="C752" s="35">
        <v>129.0</v>
      </c>
      <c r="D752" s="35">
        <v>139.0</v>
      </c>
      <c r="E752" s="35">
        <v>24500.0</v>
      </c>
      <c r="F752" s="35" t="s">
        <v>11</v>
      </c>
    </row>
    <row r="753" ht="22.5" customHeight="1">
      <c r="A753" s="37" t="s">
        <v>1752</v>
      </c>
      <c r="B753" s="35" t="s">
        <v>1753</v>
      </c>
      <c r="C753" s="35">
        <v>254.0</v>
      </c>
      <c r="D753" s="35">
        <v>249.0</v>
      </c>
      <c r="E753" s="35">
        <v>26430.0</v>
      </c>
      <c r="F753" s="35" t="s">
        <v>11</v>
      </c>
    </row>
    <row r="754" ht="22.5" customHeight="1">
      <c r="A754" s="37" t="s">
        <v>1754</v>
      </c>
      <c r="B754" s="35" t="s">
        <v>1755</v>
      </c>
      <c r="C754" s="35">
        <v>468.0</v>
      </c>
      <c r="D754" s="35">
        <v>470.0</v>
      </c>
      <c r="E754" s="35">
        <v>24310.0</v>
      </c>
      <c r="F754" s="35" t="s">
        <v>11</v>
      </c>
    </row>
    <row r="755" ht="22.5" customHeight="1">
      <c r="A755" s="37" t="s">
        <v>1756</v>
      </c>
      <c r="B755" s="35" t="s">
        <v>1757</v>
      </c>
      <c r="C755" s="35">
        <v>2552.0</v>
      </c>
      <c r="D755" s="35">
        <v>2549.0</v>
      </c>
      <c r="E755" s="35">
        <v>20340.0</v>
      </c>
      <c r="F755" s="35">
        <v>27.0</v>
      </c>
    </row>
    <row r="756" ht="22.5" customHeight="1">
      <c r="A756" s="37" t="s">
        <v>1758</v>
      </c>
      <c r="B756" s="35" t="s">
        <v>1759</v>
      </c>
      <c r="C756" s="35">
        <v>231.0</v>
      </c>
      <c r="D756" s="35">
        <v>235.0</v>
      </c>
      <c r="E756" s="35">
        <v>25580.0</v>
      </c>
      <c r="F756" s="35" t="s">
        <v>11</v>
      </c>
    </row>
    <row r="757" ht="22.5" customHeight="1">
      <c r="A757" s="37" t="s">
        <v>1760</v>
      </c>
      <c r="B757" s="35" t="s">
        <v>1761</v>
      </c>
      <c r="C757" s="35">
        <v>242.0</v>
      </c>
      <c r="D757" s="35">
        <v>270.0</v>
      </c>
      <c r="E757" s="35">
        <v>25820.0</v>
      </c>
      <c r="F757" s="35" t="s">
        <v>11</v>
      </c>
    </row>
    <row r="758" ht="22.5" customHeight="1">
      <c r="A758" s="37" t="s">
        <v>1762</v>
      </c>
      <c r="B758" s="35" t="s">
        <v>1763</v>
      </c>
      <c r="C758" s="35">
        <v>155.0</v>
      </c>
      <c r="D758" s="35">
        <v>155.0</v>
      </c>
      <c r="E758" s="35">
        <v>24690.0</v>
      </c>
      <c r="F758" s="35" t="s">
        <v>11</v>
      </c>
    </row>
    <row r="759" ht="22.5" customHeight="1">
      <c r="A759" s="37" t="s">
        <v>1764</v>
      </c>
      <c r="B759" s="35" t="s">
        <v>1765</v>
      </c>
      <c r="C759" s="35">
        <v>125.0</v>
      </c>
      <c r="D759" s="35">
        <v>113.0</v>
      </c>
      <c r="E759" s="35">
        <v>27340.0</v>
      </c>
      <c r="F759" s="35" t="s">
        <v>11</v>
      </c>
    </row>
    <row r="760" ht="22.5" customHeight="1">
      <c r="A760" s="37" t="s">
        <v>1766</v>
      </c>
      <c r="B760" s="35" t="s">
        <v>1767</v>
      </c>
      <c r="C760" s="35">
        <v>185.0</v>
      </c>
      <c r="D760" s="35">
        <v>181.0</v>
      </c>
      <c r="E760" s="35">
        <v>27300.0</v>
      </c>
      <c r="F760" s="35" t="s">
        <v>11</v>
      </c>
    </row>
    <row r="761" ht="22.5" customHeight="1">
      <c r="A761" s="37" t="s">
        <v>1768</v>
      </c>
      <c r="B761" s="35" t="s">
        <v>1769</v>
      </c>
      <c r="C761" s="35">
        <v>1645.0</v>
      </c>
      <c r="D761" s="35">
        <v>1608.0</v>
      </c>
      <c r="E761" s="35">
        <v>24090.0</v>
      </c>
      <c r="F761" s="35" t="s">
        <v>11</v>
      </c>
    </row>
    <row r="762" ht="22.5" customHeight="1">
      <c r="A762" s="37" t="s">
        <v>1770</v>
      </c>
      <c r="B762" s="35" t="s">
        <v>1771</v>
      </c>
      <c r="C762" s="35">
        <v>87.0</v>
      </c>
      <c r="D762" s="35">
        <v>93.0</v>
      </c>
      <c r="E762" s="35" t="s">
        <v>11</v>
      </c>
      <c r="F762" s="35" t="s">
        <v>11</v>
      </c>
    </row>
    <row r="763" ht="22.5" customHeight="1">
      <c r="A763" s="37" t="s">
        <v>1772</v>
      </c>
      <c r="B763" s="35" t="s">
        <v>1773</v>
      </c>
      <c r="C763" s="35">
        <v>179.0</v>
      </c>
      <c r="D763" s="35">
        <v>166.0</v>
      </c>
      <c r="E763" s="35">
        <v>25060.0</v>
      </c>
      <c r="F763" s="35" t="s">
        <v>11</v>
      </c>
    </row>
    <row r="764" ht="22.5" customHeight="1">
      <c r="A764" s="37" t="s">
        <v>1774</v>
      </c>
      <c r="B764" s="35" t="s">
        <v>1775</v>
      </c>
      <c r="C764" s="35">
        <v>1234.0</v>
      </c>
      <c r="D764" s="35">
        <v>1192.0</v>
      </c>
      <c r="E764" s="35">
        <v>24770.0</v>
      </c>
      <c r="F764" s="35" t="s">
        <v>11</v>
      </c>
    </row>
    <row r="765" ht="22.5" customHeight="1">
      <c r="A765" s="37" t="s">
        <v>1776</v>
      </c>
      <c r="B765" s="35" t="s">
        <v>1777</v>
      </c>
      <c r="C765" s="35">
        <v>435.0</v>
      </c>
      <c r="D765" s="35">
        <v>384.0</v>
      </c>
      <c r="E765" s="35">
        <v>24280.0</v>
      </c>
      <c r="F765" s="35" t="s">
        <v>11</v>
      </c>
    </row>
    <row r="766" ht="22.5" customHeight="1">
      <c r="A766" s="37" t="s">
        <v>1778</v>
      </c>
      <c r="B766" s="35" t="s">
        <v>1779</v>
      </c>
      <c r="C766" s="35">
        <v>320.0</v>
      </c>
      <c r="D766" s="35">
        <v>310.0</v>
      </c>
      <c r="E766" s="35">
        <v>27330.0</v>
      </c>
      <c r="F766" s="35" t="s">
        <v>11</v>
      </c>
    </row>
    <row r="767" ht="22.5" customHeight="1">
      <c r="A767" s="37" t="s">
        <v>1780</v>
      </c>
      <c r="B767" s="35" t="s">
        <v>1781</v>
      </c>
      <c r="C767" s="35">
        <v>268.0</v>
      </c>
      <c r="D767" s="35">
        <v>262.0</v>
      </c>
      <c r="E767" s="35">
        <v>23700.0</v>
      </c>
      <c r="F767" s="35" t="s">
        <v>11</v>
      </c>
    </row>
    <row r="768" ht="22.5" customHeight="1">
      <c r="A768" s="37" t="s">
        <v>1782</v>
      </c>
      <c r="B768" s="35" t="s">
        <v>1783</v>
      </c>
      <c r="C768" s="35">
        <v>207.0</v>
      </c>
      <c r="D768" s="35">
        <v>204.0</v>
      </c>
      <c r="E768" s="35">
        <v>23590.0</v>
      </c>
      <c r="F768" s="35" t="s">
        <v>11</v>
      </c>
    </row>
    <row r="769" ht="22.5" customHeight="1">
      <c r="A769" s="37" t="s">
        <v>1784</v>
      </c>
      <c r="B769" s="35" t="s">
        <v>1785</v>
      </c>
      <c r="C769" s="35">
        <v>143.0</v>
      </c>
      <c r="D769" s="35">
        <v>150.0</v>
      </c>
      <c r="E769" s="35">
        <v>28010.0</v>
      </c>
      <c r="F769" s="35" t="s">
        <v>11</v>
      </c>
    </row>
    <row r="770" ht="22.5" customHeight="1">
      <c r="A770" s="37" t="s">
        <v>1786</v>
      </c>
      <c r="B770" s="35" t="s">
        <v>1787</v>
      </c>
      <c r="C770" s="35">
        <v>186.0</v>
      </c>
      <c r="D770" s="35">
        <v>219.0</v>
      </c>
      <c r="E770" s="35">
        <v>24710.0</v>
      </c>
      <c r="F770" s="35" t="s">
        <v>11</v>
      </c>
    </row>
    <row r="771" ht="22.5" customHeight="1">
      <c r="A771" s="37" t="s">
        <v>1788</v>
      </c>
      <c r="B771" s="35" t="s">
        <v>1789</v>
      </c>
      <c r="C771" s="35">
        <v>2490.0</v>
      </c>
      <c r="D771" s="35">
        <v>2616.0</v>
      </c>
      <c r="E771" s="35">
        <v>22730.0</v>
      </c>
      <c r="F771" s="35">
        <v>22.0</v>
      </c>
    </row>
    <row r="772" ht="22.5" customHeight="1">
      <c r="A772" s="37" t="s">
        <v>1790</v>
      </c>
      <c r="B772" s="35" t="s">
        <v>1791</v>
      </c>
      <c r="C772" s="35">
        <v>285.0</v>
      </c>
      <c r="D772" s="35">
        <v>277.0</v>
      </c>
      <c r="E772" s="35">
        <v>24150.0</v>
      </c>
      <c r="F772" s="35" t="s">
        <v>11</v>
      </c>
    </row>
    <row r="773" ht="22.5" customHeight="1">
      <c r="A773" s="37" t="s">
        <v>1792</v>
      </c>
      <c r="B773" s="35" t="s">
        <v>1793</v>
      </c>
      <c r="C773" s="35">
        <v>646.0</v>
      </c>
      <c r="D773" s="35">
        <v>684.0</v>
      </c>
      <c r="E773" s="35">
        <v>27550.0</v>
      </c>
      <c r="F773" s="35" t="s">
        <v>11</v>
      </c>
    </row>
    <row r="774" ht="22.5" customHeight="1">
      <c r="A774" s="37" t="s">
        <v>1794</v>
      </c>
      <c r="B774" s="35" t="s">
        <v>1795</v>
      </c>
      <c r="C774" s="35">
        <v>300.0</v>
      </c>
      <c r="D774" s="35">
        <v>263.0</v>
      </c>
      <c r="E774" s="35">
        <v>22270.0</v>
      </c>
      <c r="F774" s="35" t="s">
        <v>11</v>
      </c>
    </row>
    <row r="775" ht="22.5" customHeight="1">
      <c r="A775" s="37" t="s">
        <v>1796</v>
      </c>
      <c r="B775" s="35" t="s">
        <v>1797</v>
      </c>
      <c r="C775" s="35">
        <v>74.0</v>
      </c>
      <c r="D775" s="35">
        <v>75.0</v>
      </c>
      <c r="E775" s="35" t="s">
        <v>11</v>
      </c>
      <c r="F775" s="35" t="s">
        <v>11</v>
      </c>
    </row>
    <row r="776" ht="22.5" customHeight="1">
      <c r="A776" s="37" t="s">
        <v>1798</v>
      </c>
      <c r="B776" s="35" t="s">
        <v>1799</v>
      </c>
      <c r="C776" s="35">
        <v>10872.0</v>
      </c>
      <c r="D776" s="35">
        <v>10489.0</v>
      </c>
      <c r="E776" s="35">
        <v>22720.0</v>
      </c>
      <c r="F776" s="35">
        <v>20.0</v>
      </c>
    </row>
    <row r="777" ht="22.5" customHeight="1">
      <c r="A777" s="37" t="s">
        <v>1800</v>
      </c>
      <c r="B777" s="35" t="s">
        <v>1801</v>
      </c>
      <c r="C777" s="35">
        <v>217.0</v>
      </c>
      <c r="D777" s="35">
        <v>193.0</v>
      </c>
      <c r="E777" s="35">
        <v>27860.0</v>
      </c>
      <c r="F777" s="35" t="s">
        <v>11</v>
      </c>
    </row>
    <row r="778" ht="22.5" customHeight="1">
      <c r="A778" s="37" t="s">
        <v>1802</v>
      </c>
      <c r="B778" s="35" t="s">
        <v>1803</v>
      </c>
      <c r="C778" s="35">
        <v>267.0</v>
      </c>
      <c r="D778" s="35">
        <v>262.0</v>
      </c>
      <c r="E778" s="35">
        <v>23750.0</v>
      </c>
      <c r="F778" s="35" t="s">
        <v>11</v>
      </c>
    </row>
    <row r="779" ht="22.5" customHeight="1">
      <c r="A779" s="37" t="s">
        <v>1804</v>
      </c>
      <c r="B779" s="35" t="s">
        <v>1805</v>
      </c>
      <c r="C779" s="35">
        <v>169.0</v>
      </c>
      <c r="D779" s="35">
        <v>166.0</v>
      </c>
      <c r="E779" s="35">
        <v>27160.0</v>
      </c>
      <c r="F779" s="35" t="s">
        <v>11</v>
      </c>
    </row>
    <row r="780" ht="22.5" customHeight="1">
      <c r="A780" s="37" t="s">
        <v>1806</v>
      </c>
      <c r="B780" s="35" t="s">
        <v>1807</v>
      </c>
      <c r="C780" s="35">
        <v>435.0</v>
      </c>
      <c r="D780" s="35">
        <v>418.0</v>
      </c>
      <c r="E780" s="35">
        <v>26060.0</v>
      </c>
      <c r="F780" s="35" t="s">
        <v>11</v>
      </c>
    </row>
    <row r="781" ht="22.5" customHeight="1">
      <c r="A781" s="37" t="s">
        <v>1808</v>
      </c>
      <c r="B781" s="35" t="s">
        <v>1809</v>
      </c>
      <c r="C781" s="35">
        <v>527.0</v>
      </c>
      <c r="D781" s="35">
        <v>508.0</v>
      </c>
      <c r="E781" s="35">
        <v>24750.0</v>
      </c>
      <c r="F781" s="35" t="s">
        <v>11</v>
      </c>
    </row>
    <row r="782" ht="22.5" customHeight="1">
      <c r="A782" s="37" t="s">
        <v>1810</v>
      </c>
      <c r="B782" s="35" t="s">
        <v>1811</v>
      </c>
      <c r="C782" s="35">
        <v>82.0</v>
      </c>
      <c r="D782" s="35">
        <v>84.0</v>
      </c>
      <c r="E782" s="35" t="s">
        <v>11</v>
      </c>
      <c r="F782" s="35" t="s">
        <v>11</v>
      </c>
    </row>
    <row r="783" ht="22.5" customHeight="1">
      <c r="A783" s="37" t="s">
        <v>1812</v>
      </c>
      <c r="B783" s="35" t="s">
        <v>1813</v>
      </c>
      <c r="C783" s="35">
        <v>1127.0</v>
      </c>
      <c r="D783" s="35">
        <v>997.0</v>
      </c>
      <c r="E783" s="35">
        <v>26790.0</v>
      </c>
      <c r="F783" s="35" t="s">
        <v>11</v>
      </c>
    </row>
    <row r="784" ht="22.5" customHeight="1">
      <c r="A784" s="37" t="s">
        <v>1814</v>
      </c>
      <c r="B784" s="35" t="s">
        <v>1815</v>
      </c>
      <c r="C784" s="35">
        <v>117.0</v>
      </c>
      <c r="D784" s="35">
        <v>101.0</v>
      </c>
      <c r="E784" s="35" t="s">
        <v>11</v>
      </c>
      <c r="F784" s="35" t="s">
        <v>11</v>
      </c>
    </row>
    <row r="785" ht="22.5" customHeight="1">
      <c r="A785" s="37" t="s">
        <v>1816</v>
      </c>
      <c r="B785" s="35" t="s">
        <v>1817</v>
      </c>
      <c r="C785" s="35">
        <v>1695.0</v>
      </c>
      <c r="D785" s="35">
        <v>1651.0</v>
      </c>
      <c r="E785" s="35">
        <v>26210.0</v>
      </c>
      <c r="F785" s="35" t="s">
        <v>11</v>
      </c>
    </row>
    <row r="786" ht="22.5" customHeight="1">
      <c r="A786" s="37" t="s">
        <v>1818</v>
      </c>
      <c r="B786" s="35" t="s">
        <v>1819</v>
      </c>
      <c r="C786" s="35">
        <v>698.0</v>
      </c>
      <c r="D786" s="35">
        <v>654.0</v>
      </c>
      <c r="E786" s="35">
        <v>25200.0</v>
      </c>
      <c r="F786" s="35" t="s">
        <v>11</v>
      </c>
    </row>
    <row r="787" ht="22.5" customHeight="1">
      <c r="A787" s="37" t="s">
        <v>1820</v>
      </c>
      <c r="B787" s="35" t="s">
        <v>1821</v>
      </c>
      <c r="C787" s="35">
        <v>394.0</v>
      </c>
      <c r="D787" s="35">
        <v>403.0</v>
      </c>
      <c r="E787" s="35">
        <v>28240.0</v>
      </c>
      <c r="F787" s="35" t="s">
        <v>11</v>
      </c>
    </row>
    <row r="788" ht="22.5" customHeight="1">
      <c r="A788" s="37" t="s">
        <v>1822</v>
      </c>
      <c r="B788" s="35" t="s">
        <v>1823</v>
      </c>
      <c r="C788" s="35">
        <v>73.0</v>
      </c>
      <c r="D788" s="35">
        <v>70.0</v>
      </c>
      <c r="E788" s="35" t="s">
        <v>11</v>
      </c>
      <c r="F788" s="35" t="s">
        <v>11</v>
      </c>
    </row>
    <row r="789" ht="22.5" customHeight="1">
      <c r="A789" s="37" t="s">
        <v>1824</v>
      </c>
      <c r="B789" s="35" t="s">
        <v>1825</v>
      </c>
      <c r="C789" s="35">
        <v>370.0</v>
      </c>
      <c r="D789" s="35">
        <v>383.0</v>
      </c>
      <c r="E789" s="35">
        <v>28650.0</v>
      </c>
      <c r="F789" s="35" t="s">
        <v>11</v>
      </c>
    </row>
    <row r="790" ht="22.5" customHeight="1">
      <c r="A790" s="37" t="s">
        <v>1826</v>
      </c>
      <c r="B790" s="35" t="s">
        <v>1827</v>
      </c>
      <c r="C790" s="35">
        <v>372.0</v>
      </c>
      <c r="D790" s="35">
        <v>348.0</v>
      </c>
      <c r="E790" s="35">
        <v>23850.0</v>
      </c>
      <c r="F790" s="35" t="s">
        <v>11</v>
      </c>
    </row>
    <row r="791" ht="22.5" customHeight="1">
      <c r="A791" s="37" t="s">
        <v>1828</v>
      </c>
      <c r="B791" s="35" t="s">
        <v>1829</v>
      </c>
      <c r="C791" s="35">
        <v>324.0</v>
      </c>
      <c r="D791" s="35">
        <v>312.0</v>
      </c>
      <c r="E791" s="35">
        <v>24010.0</v>
      </c>
      <c r="F791" s="35" t="s">
        <v>11</v>
      </c>
    </row>
    <row r="792" ht="22.5" customHeight="1">
      <c r="A792" s="37" t="s">
        <v>1830</v>
      </c>
      <c r="B792" s="35" t="s">
        <v>1831</v>
      </c>
      <c r="C792" s="35">
        <v>93.0</v>
      </c>
      <c r="D792" s="35">
        <v>89.0</v>
      </c>
      <c r="E792" s="35" t="s">
        <v>11</v>
      </c>
      <c r="F792" s="35" t="s">
        <v>11</v>
      </c>
    </row>
    <row r="793" ht="22.5" customHeight="1">
      <c r="A793" s="37" t="s">
        <v>1832</v>
      </c>
      <c r="B793" s="35" t="s">
        <v>1833</v>
      </c>
      <c r="C793" s="35">
        <v>43.0</v>
      </c>
      <c r="D793" s="35">
        <v>43.0</v>
      </c>
      <c r="E793" s="35" t="s">
        <v>11</v>
      </c>
      <c r="F793" s="35" t="s">
        <v>11</v>
      </c>
    </row>
    <row r="794" ht="22.5" customHeight="1">
      <c r="A794" s="37" t="s">
        <v>1834</v>
      </c>
      <c r="B794" s="35" t="s">
        <v>1835</v>
      </c>
      <c r="C794" s="35">
        <v>959.0</v>
      </c>
      <c r="D794" s="35">
        <v>927.0</v>
      </c>
      <c r="E794" s="35">
        <v>21480.0</v>
      </c>
      <c r="F794" s="35" t="s">
        <v>11</v>
      </c>
    </row>
    <row r="795" ht="22.5" customHeight="1">
      <c r="A795" s="37" t="s">
        <v>1836</v>
      </c>
      <c r="B795" s="35" t="s">
        <v>1837</v>
      </c>
      <c r="C795" s="35">
        <v>379.0</v>
      </c>
      <c r="D795" s="35">
        <v>350.0</v>
      </c>
      <c r="E795" s="35">
        <v>22810.0</v>
      </c>
      <c r="F795" s="35" t="s">
        <v>11</v>
      </c>
    </row>
    <row r="796" ht="22.5" customHeight="1">
      <c r="A796" s="37" t="s">
        <v>1838</v>
      </c>
      <c r="B796" s="35" t="s">
        <v>1839</v>
      </c>
      <c r="C796" s="35">
        <v>200.0</v>
      </c>
      <c r="D796" s="35">
        <v>179.0</v>
      </c>
      <c r="E796" s="35">
        <v>23290.0</v>
      </c>
      <c r="F796" s="35" t="s">
        <v>11</v>
      </c>
    </row>
    <row r="797" ht="22.5" customHeight="1">
      <c r="A797" s="37" t="s">
        <v>1840</v>
      </c>
      <c r="B797" s="35" t="s">
        <v>1841</v>
      </c>
      <c r="C797" s="35">
        <v>487.0</v>
      </c>
      <c r="D797" s="35">
        <v>460.0</v>
      </c>
      <c r="E797" s="35">
        <v>23730.0</v>
      </c>
      <c r="F797" s="35" t="s">
        <v>11</v>
      </c>
    </row>
    <row r="798" ht="22.5" customHeight="1">
      <c r="A798" s="37" t="s">
        <v>1842</v>
      </c>
      <c r="B798" s="35" t="s">
        <v>1843</v>
      </c>
      <c r="C798" s="35">
        <v>167.0</v>
      </c>
      <c r="D798" s="35">
        <v>145.0</v>
      </c>
      <c r="E798" s="35">
        <v>27030.0</v>
      </c>
      <c r="F798" s="35" t="s">
        <v>11</v>
      </c>
    </row>
    <row r="799" ht="22.5" customHeight="1">
      <c r="A799" s="37" t="s">
        <v>1844</v>
      </c>
      <c r="B799" s="35" t="s">
        <v>1845</v>
      </c>
      <c r="C799" s="35">
        <v>463.0</v>
      </c>
      <c r="D799" s="35">
        <v>441.0</v>
      </c>
      <c r="E799" s="35">
        <v>29250.0</v>
      </c>
      <c r="F799" s="35" t="s">
        <v>11</v>
      </c>
    </row>
    <row r="800" ht="22.5" customHeight="1">
      <c r="A800" s="37" t="s">
        <v>1846</v>
      </c>
      <c r="B800" s="35" t="s">
        <v>1847</v>
      </c>
      <c r="C800" s="35">
        <v>4447.0</v>
      </c>
      <c r="D800" s="35">
        <v>4108.0</v>
      </c>
      <c r="E800" s="35">
        <v>21730.0</v>
      </c>
      <c r="F800" s="35">
        <v>21.0</v>
      </c>
    </row>
    <row r="801" ht="22.5" customHeight="1">
      <c r="A801" s="37" t="s">
        <v>1848</v>
      </c>
      <c r="B801" s="35" t="s">
        <v>1849</v>
      </c>
      <c r="C801" s="35">
        <v>370.0</v>
      </c>
      <c r="D801" s="35">
        <v>350.0</v>
      </c>
      <c r="E801" s="35">
        <v>25830.0</v>
      </c>
      <c r="F801" s="35" t="s">
        <v>11</v>
      </c>
    </row>
    <row r="802" ht="22.5" customHeight="1">
      <c r="A802" s="37" t="s">
        <v>1850</v>
      </c>
      <c r="B802" s="35" t="s">
        <v>1851</v>
      </c>
      <c r="C802" s="35">
        <v>1220.0</v>
      </c>
      <c r="D802" s="35">
        <v>1338.0</v>
      </c>
      <c r="E802" s="35">
        <v>32510.0</v>
      </c>
      <c r="F802" s="35" t="s">
        <v>11</v>
      </c>
    </row>
    <row r="803" ht="22.5" customHeight="1">
      <c r="A803" s="37" t="s">
        <v>1852</v>
      </c>
      <c r="B803" s="35" t="s">
        <v>1853</v>
      </c>
      <c r="C803" s="35">
        <v>3460.0</v>
      </c>
      <c r="D803" s="35">
        <v>3545.0</v>
      </c>
      <c r="E803" s="35">
        <v>29230.0</v>
      </c>
      <c r="F803" s="35">
        <v>6.0</v>
      </c>
    </row>
    <row r="804" ht="22.5" customHeight="1">
      <c r="A804" s="37" t="s">
        <v>1854</v>
      </c>
      <c r="B804" s="35" t="s">
        <v>1855</v>
      </c>
      <c r="C804" s="35">
        <v>596.0</v>
      </c>
      <c r="D804" s="35">
        <v>619.0</v>
      </c>
      <c r="E804" s="35">
        <v>29170.0</v>
      </c>
      <c r="F804" s="35" t="s">
        <v>11</v>
      </c>
    </row>
    <row r="805" ht="22.5" customHeight="1">
      <c r="A805" s="37" t="s">
        <v>1856</v>
      </c>
      <c r="B805" s="35" t="s">
        <v>1857</v>
      </c>
      <c r="C805" s="35">
        <v>898.0</v>
      </c>
      <c r="D805" s="35">
        <v>888.0</v>
      </c>
      <c r="E805" s="35">
        <v>24170.0</v>
      </c>
      <c r="F805" s="35" t="s">
        <v>11</v>
      </c>
    </row>
    <row r="806" ht="22.5" customHeight="1">
      <c r="A806" s="37" t="s">
        <v>1858</v>
      </c>
      <c r="B806" s="35" t="s">
        <v>1859</v>
      </c>
      <c r="C806" s="35">
        <v>10244.0</v>
      </c>
      <c r="D806" s="35">
        <v>9963.0</v>
      </c>
      <c r="E806" s="35">
        <v>20060.0</v>
      </c>
      <c r="F806" s="35">
        <v>28.0</v>
      </c>
    </row>
    <row r="807" ht="22.5" customHeight="1">
      <c r="A807" s="37" t="s">
        <v>1860</v>
      </c>
      <c r="B807" s="35" t="s">
        <v>1861</v>
      </c>
      <c r="C807" s="35">
        <v>63408.0</v>
      </c>
      <c r="D807" s="35">
        <v>62868.0</v>
      </c>
      <c r="E807" s="35">
        <v>23900.0</v>
      </c>
      <c r="F807" s="35">
        <v>24.0</v>
      </c>
    </row>
    <row r="808" ht="22.5" customHeight="1">
      <c r="A808" s="37" t="s">
        <v>1862</v>
      </c>
      <c r="B808" s="35" t="s">
        <v>1863</v>
      </c>
      <c r="C808" s="35">
        <v>272.0</v>
      </c>
      <c r="D808" s="35">
        <v>258.0</v>
      </c>
      <c r="E808" s="35">
        <v>26690.0</v>
      </c>
      <c r="F808" s="35" t="s">
        <v>11</v>
      </c>
    </row>
    <row r="809" ht="22.5" customHeight="1">
      <c r="A809" s="37" t="s">
        <v>1864</v>
      </c>
      <c r="B809" s="35" t="s">
        <v>1865</v>
      </c>
      <c r="C809" s="35">
        <v>10428.0</v>
      </c>
      <c r="D809" s="35">
        <v>10847.0</v>
      </c>
      <c r="E809" s="35">
        <v>26210.0</v>
      </c>
      <c r="F809" s="35">
        <v>12.0</v>
      </c>
    </row>
    <row r="810" ht="22.5" customHeight="1">
      <c r="A810" s="37" t="s">
        <v>1866</v>
      </c>
      <c r="B810" s="35" t="s">
        <v>1867</v>
      </c>
      <c r="C810" s="35">
        <v>3220.0</v>
      </c>
      <c r="D810" s="35">
        <v>3099.0</v>
      </c>
      <c r="E810" s="35">
        <v>20800.0</v>
      </c>
      <c r="F810" s="35">
        <v>28.0</v>
      </c>
    </row>
    <row r="811" ht="22.5" customHeight="1">
      <c r="A811" s="37" t="s">
        <v>1868</v>
      </c>
      <c r="B811" s="35" t="s">
        <v>1869</v>
      </c>
      <c r="C811" s="35">
        <v>1469.0</v>
      </c>
      <c r="D811" s="35">
        <v>1631.0</v>
      </c>
      <c r="E811" s="35">
        <v>31400.0</v>
      </c>
      <c r="F811" s="35" t="s">
        <v>11</v>
      </c>
    </row>
    <row r="812" ht="22.5" customHeight="1">
      <c r="A812" s="37" t="s">
        <v>1870</v>
      </c>
      <c r="B812" s="35" t="s">
        <v>1871</v>
      </c>
      <c r="C812" s="35">
        <v>13305.0</v>
      </c>
      <c r="D812" s="35">
        <v>13183.0</v>
      </c>
      <c r="E812" s="35">
        <v>18450.0</v>
      </c>
      <c r="F812" s="35">
        <v>34.0</v>
      </c>
    </row>
    <row r="813" ht="22.5" customHeight="1">
      <c r="A813" s="37" t="s">
        <v>1872</v>
      </c>
      <c r="B813" s="35" t="s">
        <v>1873</v>
      </c>
      <c r="C813" s="35">
        <v>3219.0</v>
      </c>
      <c r="D813" s="35">
        <v>3125.0</v>
      </c>
      <c r="E813" s="35">
        <v>24890.0</v>
      </c>
      <c r="F813" s="35">
        <v>13.0</v>
      </c>
    </row>
    <row r="814" ht="22.5" customHeight="1">
      <c r="A814" s="37" t="s">
        <v>1874</v>
      </c>
      <c r="B814" s="35" t="s">
        <v>1875</v>
      </c>
      <c r="C814" s="35">
        <v>2281.0</v>
      </c>
      <c r="D814" s="35">
        <v>2077.0</v>
      </c>
      <c r="E814" s="35">
        <v>28160.0</v>
      </c>
      <c r="F814" s="35">
        <v>5.0</v>
      </c>
    </row>
    <row r="815" ht="22.5" customHeight="1">
      <c r="A815" s="37" t="s">
        <v>1876</v>
      </c>
      <c r="B815" s="35" t="s">
        <v>1877</v>
      </c>
      <c r="C815" s="35">
        <v>24882.0</v>
      </c>
      <c r="D815" s="35">
        <v>26998.0</v>
      </c>
      <c r="E815" s="35">
        <v>21040.0</v>
      </c>
      <c r="F815" s="35">
        <v>27.3</v>
      </c>
    </row>
    <row r="816" ht="22.5" customHeight="1">
      <c r="A816" s="37" t="s">
        <v>1878</v>
      </c>
      <c r="B816" s="35" t="s">
        <v>1879</v>
      </c>
      <c r="C816" s="35">
        <v>1617.0</v>
      </c>
      <c r="D816" s="35">
        <v>1594.0</v>
      </c>
      <c r="E816" s="35">
        <v>24780.0</v>
      </c>
      <c r="F816" s="35" t="s">
        <v>11</v>
      </c>
    </row>
    <row r="817" ht="22.5" customHeight="1">
      <c r="A817" s="37" t="s">
        <v>1880</v>
      </c>
      <c r="B817" s="35" t="s">
        <v>1881</v>
      </c>
      <c r="C817" s="35">
        <v>1057.0</v>
      </c>
      <c r="D817" s="35">
        <v>1082.0</v>
      </c>
      <c r="E817" s="35">
        <v>27680.0</v>
      </c>
      <c r="F817" s="35" t="s">
        <v>11</v>
      </c>
    </row>
    <row r="818" ht="22.5" customHeight="1">
      <c r="A818" s="37" t="s">
        <v>1882</v>
      </c>
      <c r="B818" s="35" t="s">
        <v>1883</v>
      </c>
      <c r="C818" s="35">
        <v>1825.0</v>
      </c>
      <c r="D818" s="35">
        <v>1769.0</v>
      </c>
      <c r="E818" s="35">
        <v>23400.0</v>
      </c>
      <c r="F818" s="35" t="s">
        <v>11</v>
      </c>
    </row>
    <row r="819" ht="22.5" customHeight="1">
      <c r="A819" s="37" t="s">
        <v>1884</v>
      </c>
      <c r="B819" s="35" t="s">
        <v>1885</v>
      </c>
      <c r="C819" s="35">
        <v>2275.0</v>
      </c>
      <c r="D819" s="35">
        <v>2245.0</v>
      </c>
      <c r="E819" s="35">
        <v>30470.0</v>
      </c>
      <c r="F819" s="35">
        <v>8.0</v>
      </c>
    </row>
    <row r="820" ht="22.5" customHeight="1">
      <c r="A820" s="37" t="s">
        <v>1886</v>
      </c>
      <c r="B820" s="35" t="s">
        <v>1887</v>
      </c>
      <c r="C820" s="35">
        <v>535.0</v>
      </c>
      <c r="D820" s="35">
        <v>549.0</v>
      </c>
      <c r="E820" s="35">
        <v>27020.0</v>
      </c>
      <c r="F820" s="35" t="s">
        <v>11</v>
      </c>
    </row>
    <row r="821" ht="22.5" customHeight="1">
      <c r="A821" s="37" t="s">
        <v>1888</v>
      </c>
      <c r="B821" s="35" t="s">
        <v>1889</v>
      </c>
      <c r="C821" s="35">
        <v>4448.0</v>
      </c>
      <c r="D821" s="35">
        <v>4626.0</v>
      </c>
      <c r="E821" s="35">
        <v>22230.0</v>
      </c>
      <c r="F821" s="35">
        <v>20.0</v>
      </c>
    </row>
    <row r="822" ht="22.5" customHeight="1">
      <c r="A822" s="37" t="s">
        <v>1890</v>
      </c>
      <c r="B822" s="35" t="s">
        <v>1891</v>
      </c>
      <c r="C822" s="35">
        <v>1651.0</v>
      </c>
      <c r="D822" s="35">
        <v>1749.0</v>
      </c>
      <c r="E822" s="35">
        <v>31990.0</v>
      </c>
      <c r="F822" s="35" t="s">
        <v>11</v>
      </c>
    </row>
    <row r="823" ht="22.5" customHeight="1">
      <c r="A823" s="37" t="s">
        <v>1892</v>
      </c>
      <c r="B823" s="35" t="s">
        <v>1893</v>
      </c>
      <c r="C823" s="35">
        <v>1178.0</v>
      </c>
      <c r="D823" s="35">
        <v>1143.0</v>
      </c>
      <c r="E823" s="35">
        <v>25420.0</v>
      </c>
      <c r="F823" s="35" t="s">
        <v>11</v>
      </c>
    </row>
    <row r="824" ht="22.5" customHeight="1">
      <c r="A824" s="37" t="s">
        <v>1894</v>
      </c>
      <c r="B824" s="35" t="s">
        <v>1895</v>
      </c>
      <c r="C824" s="35">
        <v>1679.0</v>
      </c>
      <c r="D824" s="35">
        <v>1705.0</v>
      </c>
      <c r="E824" s="35">
        <v>28230.0</v>
      </c>
      <c r="F824" s="35" t="s">
        <v>11</v>
      </c>
    </row>
    <row r="825" ht="22.5" customHeight="1">
      <c r="A825" s="37" t="s">
        <v>1896</v>
      </c>
      <c r="B825" s="35" t="s">
        <v>1897</v>
      </c>
      <c r="C825" s="35">
        <v>7274.0</v>
      </c>
      <c r="D825" s="35">
        <v>7083.0</v>
      </c>
      <c r="E825" s="35">
        <v>20870.0</v>
      </c>
      <c r="F825" s="35">
        <v>26.0</v>
      </c>
    </row>
    <row r="826" ht="22.5" customHeight="1">
      <c r="A826" s="37" t="s">
        <v>1898</v>
      </c>
      <c r="B826" s="35" t="s">
        <v>1899</v>
      </c>
      <c r="C826" s="35">
        <v>1521.0</v>
      </c>
      <c r="D826" s="35">
        <v>1599.0</v>
      </c>
      <c r="E826" s="35">
        <v>31230.0</v>
      </c>
      <c r="F826" s="35" t="s">
        <v>11</v>
      </c>
    </row>
    <row r="827" ht="22.5" customHeight="1">
      <c r="A827" s="37" t="s">
        <v>1900</v>
      </c>
      <c r="B827" s="35" t="s">
        <v>1901</v>
      </c>
      <c r="C827" s="35">
        <v>366.0</v>
      </c>
      <c r="D827" s="35">
        <v>359.0</v>
      </c>
      <c r="E827" s="35">
        <v>30720.0</v>
      </c>
      <c r="F827" s="35" t="s">
        <v>11</v>
      </c>
    </row>
    <row r="828" ht="22.5" customHeight="1">
      <c r="A828" s="37" t="s">
        <v>1902</v>
      </c>
      <c r="B828" s="35" t="s">
        <v>1903</v>
      </c>
      <c r="C828" s="35">
        <v>7341.0</v>
      </c>
      <c r="D828" s="35">
        <v>7080.0</v>
      </c>
      <c r="E828" s="35">
        <v>21550.0</v>
      </c>
      <c r="F828" s="35">
        <v>25.0</v>
      </c>
    </row>
    <row r="829" ht="22.5" customHeight="1">
      <c r="A829" s="37" t="s">
        <v>1904</v>
      </c>
      <c r="B829" s="35" t="s">
        <v>1905</v>
      </c>
      <c r="C829" s="35">
        <v>8811.0</v>
      </c>
      <c r="D829" s="35">
        <v>8612.0</v>
      </c>
      <c r="E829" s="35">
        <v>20520.0</v>
      </c>
      <c r="F829" s="35">
        <v>26.0</v>
      </c>
    </row>
    <row r="830" ht="22.5" customHeight="1">
      <c r="A830" s="37" t="s">
        <v>1906</v>
      </c>
      <c r="B830" s="35" t="s">
        <v>1907</v>
      </c>
      <c r="C830" s="35">
        <v>2690.0</v>
      </c>
      <c r="D830" s="35">
        <v>2561.0</v>
      </c>
      <c r="E830" s="35">
        <v>33510.0</v>
      </c>
      <c r="F830" s="35">
        <v>3.0</v>
      </c>
    </row>
    <row r="831" ht="22.5" customHeight="1">
      <c r="A831" s="37" t="s">
        <v>1908</v>
      </c>
      <c r="B831" s="35" t="s">
        <v>1909</v>
      </c>
      <c r="C831" s="35">
        <v>2495.0</v>
      </c>
      <c r="D831" s="35">
        <v>2232.0</v>
      </c>
      <c r="E831" s="35">
        <v>22690.0</v>
      </c>
      <c r="F831" s="35">
        <v>19.0</v>
      </c>
    </row>
    <row r="832" ht="22.5" customHeight="1">
      <c r="A832" s="37" t="s">
        <v>1910</v>
      </c>
      <c r="B832" s="35" t="s">
        <v>1911</v>
      </c>
      <c r="C832" s="35">
        <v>4495.0</v>
      </c>
      <c r="D832" s="35">
        <v>4012.0</v>
      </c>
      <c r="E832" s="35">
        <v>17650.0</v>
      </c>
      <c r="F832" s="35">
        <v>40.0</v>
      </c>
    </row>
    <row r="833" ht="22.5" customHeight="1">
      <c r="A833" s="37" t="s">
        <v>1912</v>
      </c>
      <c r="B833" s="35" t="s">
        <v>1913</v>
      </c>
      <c r="C833" s="35">
        <v>3640.0</v>
      </c>
      <c r="D833" s="35">
        <v>3562.0</v>
      </c>
      <c r="E833" s="35">
        <v>21900.0</v>
      </c>
      <c r="F833" s="35">
        <v>20.0</v>
      </c>
    </row>
    <row r="834" ht="22.5" customHeight="1">
      <c r="A834" s="37" t="s">
        <v>1914</v>
      </c>
      <c r="B834" s="35" t="s">
        <v>1915</v>
      </c>
      <c r="C834" s="35">
        <v>1458.0</v>
      </c>
      <c r="D834" s="35">
        <v>1458.0</v>
      </c>
      <c r="E834" s="35">
        <v>25280.0</v>
      </c>
      <c r="F834" s="35" t="s">
        <v>11</v>
      </c>
    </row>
    <row r="835" ht="22.5" customHeight="1">
      <c r="A835" s="37" t="s">
        <v>1916</v>
      </c>
      <c r="B835" s="35" t="s">
        <v>1917</v>
      </c>
      <c r="C835" s="35">
        <v>817.0</v>
      </c>
      <c r="D835" s="35">
        <v>757.0</v>
      </c>
      <c r="E835" s="35">
        <v>29190.0</v>
      </c>
      <c r="F835" s="35" t="s">
        <v>11</v>
      </c>
    </row>
    <row r="836" ht="22.5" customHeight="1">
      <c r="A836" s="37" t="s">
        <v>1918</v>
      </c>
      <c r="B836" s="35" t="s">
        <v>1919</v>
      </c>
      <c r="C836" s="35">
        <v>2324.0</v>
      </c>
      <c r="D836" s="35">
        <v>2230.0</v>
      </c>
      <c r="E836" s="35">
        <v>21190.0</v>
      </c>
      <c r="F836" s="35">
        <v>24.0</v>
      </c>
    </row>
    <row r="837" ht="22.5" customHeight="1">
      <c r="A837" s="37" t="s">
        <v>1920</v>
      </c>
      <c r="B837" s="35" t="s">
        <v>1921</v>
      </c>
      <c r="C837" s="35">
        <v>1702.0</v>
      </c>
      <c r="D837" s="35">
        <v>1898.0</v>
      </c>
      <c r="E837" s="35">
        <v>30630.0</v>
      </c>
      <c r="F837" s="35" t="s">
        <v>11</v>
      </c>
    </row>
    <row r="838" ht="22.5" customHeight="1">
      <c r="A838" s="37" t="s">
        <v>1922</v>
      </c>
      <c r="B838" s="35" t="s">
        <v>1923</v>
      </c>
      <c r="C838" s="35">
        <v>14769.0</v>
      </c>
      <c r="D838" s="35">
        <v>14732.0</v>
      </c>
      <c r="E838" s="35">
        <v>26050.0</v>
      </c>
      <c r="F838" s="35">
        <v>12.0</v>
      </c>
    </row>
    <row r="839" ht="22.5" customHeight="1">
      <c r="A839" s="37" t="s">
        <v>1924</v>
      </c>
      <c r="B839" s="35" t="s">
        <v>1925</v>
      </c>
      <c r="C839" s="35">
        <v>4765.0</v>
      </c>
      <c r="D839" s="35">
        <v>5545.0</v>
      </c>
      <c r="E839" s="35">
        <v>29280.0</v>
      </c>
      <c r="F839" s="35">
        <v>7.0</v>
      </c>
    </row>
    <row r="840" ht="22.5" customHeight="1">
      <c r="A840" s="37" t="s">
        <v>1926</v>
      </c>
      <c r="B840" s="35" t="s">
        <v>1927</v>
      </c>
      <c r="C840" s="35">
        <v>167.0</v>
      </c>
      <c r="D840" s="35">
        <v>158.0</v>
      </c>
      <c r="E840" s="35">
        <v>24940.0</v>
      </c>
      <c r="F840" s="35" t="s">
        <v>11</v>
      </c>
    </row>
    <row r="841" ht="22.5" customHeight="1">
      <c r="A841" s="37" t="s">
        <v>1928</v>
      </c>
      <c r="B841" s="35" t="s">
        <v>1929</v>
      </c>
      <c r="C841" s="35">
        <v>770.0</v>
      </c>
      <c r="D841" s="35">
        <v>845.0</v>
      </c>
      <c r="E841" s="35">
        <v>24760.0</v>
      </c>
      <c r="F841" s="35" t="s">
        <v>11</v>
      </c>
    </row>
    <row r="842" ht="22.5" customHeight="1">
      <c r="A842" s="37" t="s">
        <v>1930</v>
      </c>
      <c r="B842" s="35" t="s">
        <v>1931</v>
      </c>
      <c r="C842" s="35">
        <v>344.0</v>
      </c>
      <c r="D842" s="35">
        <v>339.0</v>
      </c>
      <c r="E842" s="35">
        <v>24790.0</v>
      </c>
      <c r="F842" s="35" t="s">
        <v>11</v>
      </c>
    </row>
    <row r="843" ht="22.5" customHeight="1">
      <c r="A843" s="37" t="s">
        <v>1932</v>
      </c>
      <c r="B843" s="35" t="s">
        <v>1933</v>
      </c>
      <c r="C843" s="35">
        <v>510.0</v>
      </c>
      <c r="D843" s="35">
        <v>494.0</v>
      </c>
      <c r="E843" s="35">
        <v>27920.0</v>
      </c>
      <c r="F843" s="35" t="s">
        <v>11</v>
      </c>
    </row>
    <row r="844" ht="22.5" customHeight="1">
      <c r="A844" s="37" t="s">
        <v>1934</v>
      </c>
      <c r="B844" s="35" t="s">
        <v>1935</v>
      </c>
      <c r="C844" s="35">
        <v>426.0</v>
      </c>
      <c r="D844" s="35">
        <v>441.0</v>
      </c>
      <c r="E844" s="35">
        <v>23840.0</v>
      </c>
      <c r="F844" s="35" t="s">
        <v>11</v>
      </c>
    </row>
    <row r="845" ht="22.5" customHeight="1">
      <c r="A845" s="37" t="s">
        <v>1936</v>
      </c>
      <c r="B845" s="35" t="s">
        <v>1937</v>
      </c>
      <c r="C845" s="35">
        <v>349.0</v>
      </c>
      <c r="D845" s="35">
        <v>348.0</v>
      </c>
      <c r="E845" s="35">
        <v>26670.0</v>
      </c>
      <c r="F845" s="35" t="s">
        <v>11</v>
      </c>
    </row>
    <row r="846" ht="22.5" customHeight="1">
      <c r="A846" s="37" t="s">
        <v>1938</v>
      </c>
      <c r="B846" s="35" t="s">
        <v>1939</v>
      </c>
      <c r="C846" s="35">
        <v>6402.0</v>
      </c>
      <c r="D846" s="35">
        <v>6650.0</v>
      </c>
      <c r="E846" s="35">
        <v>23350.0</v>
      </c>
      <c r="F846" s="35">
        <v>18.0</v>
      </c>
    </row>
    <row r="847" ht="22.5" customHeight="1">
      <c r="A847" s="37" t="s">
        <v>1940</v>
      </c>
      <c r="B847" s="35" t="s">
        <v>1941</v>
      </c>
      <c r="C847" s="35">
        <v>5180.0</v>
      </c>
      <c r="D847" s="35">
        <v>5249.0</v>
      </c>
      <c r="E847" s="35">
        <v>24930.0</v>
      </c>
      <c r="F847" s="35">
        <v>12.0</v>
      </c>
    </row>
    <row r="848" ht="22.5" customHeight="1">
      <c r="A848" s="37" t="s">
        <v>1942</v>
      </c>
      <c r="B848" s="35" t="s">
        <v>1943</v>
      </c>
      <c r="C848" s="35">
        <v>3326.0</v>
      </c>
      <c r="D848" s="35">
        <v>3249.0</v>
      </c>
      <c r="E848" s="35">
        <v>23060.0</v>
      </c>
      <c r="F848" s="35">
        <v>20.0</v>
      </c>
    </row>
    <row r="849" ht="22.5" customHeight="1">
      <c r="A849" s="37" t="s">
        <v>1944</v>
      </c>
      <c r="B849" s="35" t="s">
        <v>1945</v>
      </c>
      <c r="C849" s="35">
        <v>972.0</v>
      </c>
      <c r="D849" s="35">
        <v>1045.0</v>
      </c>
      <c r="E849" s="35">
        <v>24390.0</v>
      </c>
      <c r="F849" s="35" t="s">
        <v>11</v>
      </c>
    </row>
    <row r="850" ht="22.5" customHeight="1">
      <c r="A850" s="37" t="s">
        <v>1946</v>
      </c>
      <c r="B850" s="35" t="s">
        <v>1947</v>
      </c>
      <c r="C850" s="35">
        <v>525.0</v>
      </c>
      <c r="D850" s="35">
        <v>551.0</v>
      </c>
      <c r="E850" s="35">
        <v>22610.0</v>
      </c>
      <c r="F850" s="35" t="s">
        <v>11</v>
      </c>
    </row>
    <row r="851" ht="22.5" customHeight="1">
      <c r="A851" s="37" t="s">
        <v>1948</v>
      </c>
      <c r="B851" s="35" t="s">
        <v>1949</v>
      </c>
      <c r="C851" s="35">
        <v>856.0</v>
      </c>
      <c r="D851" s="35">
        <v>845.0</v>
      </c>
      <c r="E851" s="35">
        <v>34950.0</v>
      </c>
      <c r="F851" s="35" t="s">
        <v>11</v>
      </c>
    </row>
    <row r="852" ht="22.5" customHeight="1">
      <c r="A852" s="37" t="s">
        <v>1950</v>
      </c>
      <c r="B852" s="35" t="s">
        <v>1951</v>
      </c>
      <c r="C852" s="35">
        <v>564.0</v>
      </c>
      <c r="D852" s="35">
        <v>574.0</v>
      </c>
      <c r="E852" s="35">
        <v>27150.0</v>
      </c>
      <c r="F852" s="35" t="s">
        <v>11</v>
      </c>
    </row>
    <row r="853" ht="22.5" customHeight="1">
      <c r="A853" s="37" t="s">
        <v>1952</v>
      </c>
      <c r="B853" s="35" t="s">
        <v>1953</v>
      </c>
      <c r="C853" s="35">
        <v>1000.0</v>
      </c>
      <c r="D853" s="35">
        <v>995.0</v>
      </c>
      <c r="E853" s="35">
        <v>26230.0</v>
      </c>
      <c r="F853" s="35" t="s">
        <v>11</v>
      </c>
    </row>
    <row r="854" ht="22.5" customHeight="1">
      <c r="A854" s="37" t="s">
        <v>1954</v>
      </c>
      <c r="B854" s="35" t="s">
        <v>1955</v>
      </c>
      <c r="C854" s="35">
        <v>446.0</v>
      </c>
      <c r="D854" s="35">
        <v>458.0</v>
      </c>
      <c r="E854" s="35">
        <v>22210.0</v>
      </c>
      <c r="F854" s="35" t="s">
        <v>11</v>
      </c>
    </row>
    <row r="855" ht="22.5" customHeight="1">
      <c r="A855" s="37" t="s">
        <v>1956</v>
      </c>
      <c r="B855" s="35" t="s">
        <v>1957</v>
      </c>
      <c r="C855" s="35">
        <v>231.0</v>
      </c>
      <c r="D855" s="35">
        <v>234.0</v>
      </c>
      <c r="E855" s="35">
        <v>24400.0</v>
      </c>
      <c r="F855" s="35" t="s">
        <v>11</v>
      </c>
    </row>
    <row r="856" ht="22.5" customHeight="1">
      <c r="A856" s="37" t="s">
        <v>1958</v>
      </c>
      <c r="B856" s="35" t="s">
        <v>1959</v>
      </c>
      <c r="C856" s="35">
        <v>260.0</v>
      </c>
      <c r="D856" s="35">
        <v>272.0</v>
      </c>
      <c r="E856" s="35">
        <v>22830.0</v>
      </c>
      <c r="F856" s="35" t="s">
        <v>11</v>
      </c>
    </row>
    <row r="857" ht="22.5" customHeight="1">
      <c r="A857" s="37" t="s">
        <v>1960</v>
      </c>
      <c r="B857" s="35" t="s">
        <v>295</v>
      </c>
      <c r="C857" s="35">
        <v>165.0</v>
      </c>
      <c r="D857" s="35">
        <v>169.0</v>
      </c>
      <c r="E857" s="35">
        <v>26100.0</v>
      </c>
      <c r="F857" s="35" t="s">
        <v>11</v>
      </c>
    </row>
    <row r="858" ht="22.5" customHeight="1">
      <c r="A858" s="37" t="s">
        <v>1961</v>
      </c>
      <c r="B858" s="35" t="s">
        <v>1962</v>
      </c>
      <c r="C858" s="35">
        <v>2072.0</v>
      </c>
      <c r="D858" s="35">
        <v>1933.0</v>
      </c>
      <c r="E858" s="35">
        <v>21900.0</v>
      </c>
      <c r="F858" s="35" t="s">
        <v>11</v>
      </c>
    </row>
    <row r="859" ht="22.5" customHeight="1">
      <c r="A859" s="37" t="s">
        <v>1963</v>
      </c>
      <c r="B859" s="35" t="s">
        <v>1964</v>
      </c>
      <c r="C859" s="35">
        <v>1239.0</v>
      </c>
      <c r="D859" s="35">
        <v>1301.0</v>
      </c>
      <c r="E859" s="35">
        <v>24310.0</v>
      </c>
      <c r="F859" s="35" t="s">
        <v>11</v>
      </c>
    </row>
    <row r="860" ht="22.5" customHeight="1">
      <c r="A860" s="37" t="s">
        <v>1965</v>
      </c>
      <c r="B860" s="35" t="s">
        <v>1966</v>
      </c>
      <c r="C860" s="35">
        <v>827.0</v>
      </c>
      <c r="D860" s="35">
        <v>810.0</v>
      </c>
      <c r="E860" s="35">
        <v>26250.0</v>
      </c>
      <c r="F860" s="35" t="s">
        <v>11</v>
      </c>
    </row>
    <row r="861" ht="22.5" customHeight="1">
      <c r="A861" s="37" t="s">
        <v>1967</v>
      </c>
      <c r="B861" s="35" t="s">
        <v>1968</v>
      </c>
      <c r="C861" s="35">
        <v>146.0</v>
      </c>
      <c r="D861" s="35">
        <v>163.0</v>
      </c>
      <c r="E861" s="35">
        <v>27540.0</v>
      </c>
      <c r="F861" s="35" t="s">
        <v>11</v>
      </c>
    </row>
    <row r="862" ht="22.5" customHeight="1">
      <c r="A862" s="37" t="s">
        <v>1969</v>
      </c>
      <c r="B862" s="35" t="s">
        <v>1970</v>
      </c>
      <c r="C862" s="35">
        <v>3653.0</v>
      </c>
      <c r="D862" s="35">
        <v>3525.0</v>
      </c>
      <c r="E862" s="35">
        <v>24240.0</v>
      </c>
      <c r="F862" s="35">
        <v>16.0</v>
      </c>
    </row>
    <row r="863" ht="22.5" customHeight="1">
      <c r="A863" s="37" t="s">
        <v>1971</v>
      </c>
      <c r="B863" s="35" t="s">
        <v>1972</v>
      </c>
      <c r="C863" s="35">
        <v>3130.0</v>
      </c>
      <c r="D863" s="35">
        <v>3159.0</v>
      </c>
      <c r="E863" s="35">
        <v>22650.0</v>
      </c>
      <c r="F863" s="35">
        <v>18.0</v>
      </c>
    </row>
    <row r="864" ht="22.5" customHeight="1">
      <c r="A864" s="37" t="s">
        <v>1973</v>
      </c>
      <c r="B864" s="35" t="s">
        <v>1974</v>
      </c>
      <c r="C864" s="35">
        <v>723.0</v>
      </c>
      <c r="D864" s="35">
        <v>778.0</v>
      </c>
      <c r="E864" s="35">
        <v>26300.0</v>
      </c>
      <c r="F864" s="35" t="s">
        <v>11</v>
      </c>
    </row>
    <row r="865" ht="22.5" customHeight="1">
      <c r="A865" s="37" t="s">
        <v>1975</v>
      </c>
      <c r="B865" s="35" t="s">
        <v>1976</v>
      </c>
      <c r="C865" s="35">
        <v>2230.0</v>
      </c>
      <c r="D865" s="35">
        <v>2318.0</v>
      </c>
      <c r="E865" s="35">
        <v>31270.0</v>
      </c>
      <c r="F865" s="35">
        <v>6.0</v>
      </c>
    </row>
    <row r="866" ht="22.5" customHeight="1">
      <c r="A866" s="37" t="s">
        <v>1977</v>
      </c>
      <c r="B866" s="35" t="s">
        <v>1978</v>
      </c>
      <c r="C866" s="35">
        <v>252.0</v>
      </c>
      <c r="D866" s="35">
        <v>237.0</v>
      </c>
      <c r="E866" s="35">
        <v>27820.0</v>
      </c>
      <c r="F866" s="35" t="s">
        <v>11</v>
      </c>
    </row>
    <row r="867" ht="22.5" customHeight="1">
      <c r="A867" s="37" t="s">
        <v>1979</v>
      </c>
      <c r="B867" s="35" t="s">
        <v>1980</v>
      </c>
      <c r="C867" s="35">
        <v>551.0</v>
      </c>
      <c r="D867" s="35">
        <v>627.0</v>
      </c>
      <c r="E867" s="35">
        <v>27720.0</v>
      </c>
      <c r="F867" s="35" t="s">
        <v>11</v>
      </c>
    </row>
    <row r="868" ht="22.5" customHeight="1">
      <c r="A868" s="37" t="s">
        <v>1981</v>
      </c>
      <c r="B868" s="35" t="s">
        <v>1982</v>
      </c>
      <c r="C868" s="35">
        <v>2177.0</v>
      </c>
      <c r="D868" s="35">
        <v>2140.0</v>
      </c>
      <c r="E868" s="35">
        <v>22710.0</v>
      </c>
      <c r="F868" s="35">
        <v>19.0</v>
      </c>
    </row>
    <row r="869" ht="22.5" customHeight="1">
      <c r="A869" s="37" t="s">
        <v>1983</v>
      </c>
      <c r="B869" s="35" t="s">
        <v>1984</v>
      </c>
      <c r="C869" s="35">
        <v>749.0</v>
      </c>
      <c r="D869" s="35">
        <v>689.0</v>
      </c>
      <c r="E869" s="35">
        <v>24400.0</v>
      </c>
      <c r="F869" s="35" t="s">
        <v>11</v>
      </c>
    </row>
    <row r="870" ht="22.5" customHeight="1">
      <c r="A870" s="37" t="s">
        <v>1985</v>
      </c>
      <c r="B870" s="35" t="s">
        <v>1986</v>
      </c>
      <c r="C870" s="35">
        <v>310.0</v>
      </c>
      <c r="D870" s="35">
        <v>343.0</v>
      </c>
      <c r="E870" s="35">
        <v>21770.0</v>
      </c>
      <c r="F870" s="35" t="s">
        <v>11</v>
      </c>
    </row>
    <row r="871" ht="22.5" customHeight="1">
      <c r="A871" s="37" t="s">
        <v>1987</v>
      </c>
      <c r="B871" s="35" t="s">
        <v>1988</v>
      </c>
      <c r="C871" s="35">
        <v>252.0</v>
      </c>
      <c r="D871" s="35">
        <v>253.0</v>
      </c>
      <c r="E871" s="35">
        <v>24140.0</v>
      </c>
      <c r="F871" s="35" t="s">
        <v>11</v>
      </c>
    </row>
    <row r="872" ht="22.5" customHeight="1">
      <c r="A872" s="37" t="s">
        <v>1989</v>
      </c>
      <c r="B872" s="35" t="s">
        <v>1990</v>
      </c>
      <c r="C872" s="35">
        <v>635.0</v>
      </c>
      <c r="D872" s="35">
        <v>599.0</v>
      </c>
      <c r="E872" s="35">
        <v>24620.0</v>
      </c>
      <c r="F872" s="35" t="s">
        <v>11</v>
      </c>
    </row>
    <row r="873" ht="22.5" customHeight="1">
      <c r="A873" s="37" t="s">
        <v>1991</v>
      </c>
      <c r="B873" s="35" t="s">
        <v>1992</v>
      </c>
      <c r="C873" s="35">
        <v>6740.0</v>
      </c>
      <c r="D873" s="35">
        <v>6796.0</v>
      </c>
      <c r="E873" s="35">
        <v>19030.0</v>
      </c>
      <c r="F873" s="35">
        <v>33.0</v>
      </c>
    </row>
    <row r="874" ht="22.5" customHeight="1">
      <c r="A874" s="37" t="s">
        <v>1993</v>
      </c>
      <c r="B874" s="35" t="s">
        <v>1994</v>
      </c>
      <c r="C874" s="35">
        <v>2758.0</v>
      </c>
      <c r="D874" s="35">
        <v>2861.0</v>
      </c>
      <c r="E874" s="35">
        <v>28750.0</v>
      </c>
      <c r="F874" s="35">
        <v>7.0</v>
      </c>
    </row>
    <row r="875" ht="22.5" customHeight="1">
      <c r="A875" s="37" t="s">
        <v>1995</v>
      </c>
      <c r="B875" s="35" t="s">
        <v>1996</v>
      </c>
      <c r="C875" s="35">
        <v>562.0</v>
      </c>
      <c r="D875" s="35">
        <v>529.0</v>
      </c>
      <c r="E875" s="35">
        <v>23310.0</v>
      </c>
      <c r="F875" s="35" t="s">
        <v>11</v>
      </c>
    </row>
    <row r="876" ht="22.5" customHeight="1">
      <c r="A876" s="37" t="s">
        <v>1997</v>
      </c>
      <c r="B876" s="35" t="s">
        <v>1998</v>
      </c>
      <c r="C876" s="35">
        <v>1831.0</v>
      </c>
      <c r="D876" s="35">
        <v>1716.0</v>
      </c>
      <c r="E876" s="35">
        <v>28650.0</v>
      </c>
      <c r="F876" s="35" t="s">
        <v>11</v>
      </c>
    </row>
    <row r="877" ht="22.5" customHeight="1">
      <c r="A877" s="37" t="s">
        <v>1999</v>
      </c>
      <c r="B877" s="35" t="s">
        <v>2000</v>
      </c>
      <c r="C877" s="35">
        <v>247.0</v>
      </c>
      <c r="D877" s="35">
        <v>239.0</v>
      </c>
      <c r="E877" s="35">
        <v>28200.0</v>
      </c>
      <c r="F877" s="35" t="s">
        <v>11</v>
      </c>
    </row>
    <row r="878" ht="22.5" customHeight="1">
      <c r="A878" s="37" t="s">
        <v>2001</v>
      </c>
      <c r="B878" s="35" t="s">
        <v>2002</v>
      </c>
      <c r="C878" s="35">
        <v>2069.0</v>
      </c>
      <c r="D878" s="35">
        <v>2008.0</v>
      </c>
      <c r="E878" s="35">
        <v>25340.0</v>
      </c>
      <c r="F878" s="35">
        <v>10.0</v>
      </c>
    </row>
    <row r="879" ht="22.5" customHeight="1">
      <c r="A879" s="37" t="s">
        <v>2003</v>
      </c>
      <c r="B879" s="35" t="s">
        <v>2004</v>
      </c>
      <c r="C879" s="35">
        <v>306.0</v>
      </c>
      <c r="D879" s="35">
        <v>313.0</v>
      </c>
      <c r="E879" s="35">
        <v>27720.0</v>
      </c>
      <c r="F879" s="35" t="s">
        <v>11</v>
      </c>
    </row>
    <row r="880" ht="22.5" customHeight="1">
      <c r="A880" s="37" t="s">
        <v>2005</v>
      </c>
      <c r="B880" s="35" t="s">
        <v>2006</v>
      </c>
      <c r="C880" s="35">
        <v>2183.0</v>
      </c>
      <c r="D880" s="35">
        <v>2244.0</v>
      </c>
      <c r="E880" s="35">
        <v>26920.0</v>
      </c>
      <c r="F880" s="35">
        <v>9.0</v>
      </c>
    </row>
    <row r="881" ht="22.5" customHeight="1">
      <c r="A881" s="37" t="s">
        <v>2007</v>
      </c>
      <c r="B881" s="35" t="s">
        <v>2008</v>
      </c>
      <c r="C881" s="35">
        <v>748.0</v>
      </c>
      <c r="D881" s="35">
        <v>766.0</v>
      </c>
      <c r="E881" s="35">
        <v>24970.0</v>
      </c>
      <c r="F881" s="35" t="s">
        <v>11</v>
      </c>
    </row>
    <row r="882" ht="22.5" customHeight="1">
      <c r="A882" s="37" t="s">
        <v>2009</v>
      </c>
      <c r="B882" s="35" t="s">
        <v>2010</v>
      </c>
      <c r="C882" s="35">
        <v>1612.0</v>
      </c>
      <c r="D882" s="35">
        <v>1775.0</v>
      </c>
      <c r="E882" s="35">
        <v>32340.0</v>
      </c>
      <c r="F882" s="35" t="s">
        <v>11</v>
      </c>
    </row>
    <row r="883" ht="22.5" customHeight="1">
      <c r="A883" s="37" t="s">
        <v>2011</v>
      </c>
      <c r="B883" s="35" t="s">
        <v>2012</v>
      </c>
      <c r="C883" s="35">
        <v>1435.0</v>
      </c>
      <c r="D883" s="35">
        <v>1445.0</v>
      </c>
      <c r="E883" s="35">
        <v>24590.0</v>
      </c>
      <c r="F883" s="35" t="s">
        <v>11</v>
      </c>
    </row>
    <row r="884" ht="22.5" customHeight="1">
      <c r="A884" s="37" t="s">
        <v>2013</v>
      </c>
      <c r="B884" s="35" t="s">
        <v>2014</v>
      </c>
      <c r="C884" s="35">
        <v>10103.0</v>
      </c>
      <c r="D884" s="35">
        <v>9747.0</v>
      </c>
      <c r="E884" s="35">
        <v>38630.0</v>
      </c>
      <c r="F884" s="35">
        <v>7.0</v>
      </c>
    </row>
    <row r="885" ht="22.5" customHeight="1">
      <c r="A885" s="37" t="s">
        <v>2015</v>
      </c>
      <c r="B885" s="35" t="s">
        <v>2016</v>
      </c>
      <c r="C885" s="35">
        <v>591.0</v>
      </c>
      <c r="D885" s="35">
        <v>553.0</v>
      </c>
      <c r="E885" s="35">
        <v>28200.0</v>
      </c>
      <c r="F885" s="35" t="s">
        <v>11</v>
      </c>
    </row>
    <row r="886" ht="22.5" customHeight="1">
      <c r="A886" s="37" t="s">
        <v>2017</v>
      </c>
      <c r="B886" s="35" t="s">
        <v>2018</v>
      </c>
      <c r="C886" s="35">
        <v>3952.0</v>
      </c>
      <c r="D886" s="35">
        <v>4113.0</v>
      </c>
      <c r="E886" s="35">
        <v>23250.0</v>
      </c>
      <c r="F886" s="35">
        <v>17.0</v>
      </c>
    </row>
    <row r="887" ht="22.5" customHeight="1">
      <c r="A887" s="37" t="s">
        <v>2019</v>
      </c>
      <c r="B887" s="35" t="s">
        <v>2020</v>
      </c>
      <c r="C887" s="35">
        <v>339.0</v>
      </c>
      <c r="D887" s="35">
        <v>291.0</v>
      </c>
      <c r="E887" s="35">
        <v>24260.0</v>
      </c>
      <c r="F887" s="35" t="s">
        <v>11</v>
      </c>
    </row>
    <row r="888" ht="22.5" customHeight="1">
      <c r="A888" s="37" t="s">
        <v>2021</v>
      </c>
      <c r="B888" s="35" t="s">
        <v>2022</v>
      </c>
      <c r="C888" s="35">
        <v>7097.0</v>
      </c>
      <c r="D888" s="35">
        <v>6931.0</v>
      </c>
      <c r="E888" s="35">
        <v>22350.0</v>
      </c>
      <c r="F888" s="35">
        <v>20.0</v>
      </c>
    </row>
    <row r="889" ht="22.5" customHeight="1">
      <c r="A889" s="37" t="s">
        <v>2023</v>
      </c>
      <c r="B889" s="35" t="s">
        <v>2024</v>
      </c>
      <c r="C889" s="35">
        <v>1664.0</v>
      </c>
      <c r="D889" s="35">
        <v>1682.0</v>
      </c>
      <c r="E889" s="35">
        <v>33970.0</v>
      </c>
      <c r="F889" s="35" t="s">
        <v>11</v>
      </c>
    </row>
    <row r="890" ht="22.5" customHeight="1">
      <c r="A890" s="37" t="s">
        <v>2025</v>
      </c>
      <c r="B890" s="35" t="s">
        <v>2026</v>
      </c>
      <c r="C890" s="35">
        <v>394.0</v>
      </c>
      <c r="D890" s="35">
        <v>360.0</v>
      </c>
      <c r="E890" s="35">
        <v>25360.0</v>
      </c>
      <c r="F890" s="35" t="s">
        <v>11</v>
      </c>
    </row>
    <row r="891" ht="22.5" customHeight="1">
      <c r="A891" s="37" t="s">
        <v>2027</v>
      </c>
      <c r="B891" s="35" t="s">
        <v>2028</v>
      </c>
      <c r="C891" s="35">
        <v>4831.0</v>
      </c>
      <c r="D891" s="35">
        <v>4978.0</v>
      </c>
      <c r="E891" s="35">
        <v>27810.0</v>
      </c>
      <c r="F891" s="35">
        <v>9.0</v>
      </c>
    </row>
    <row r="892" ht="22.5" customHeight="1">
      <c r="A892" s="37" t="s">
        <v>2029</v>
      </c>
      <c r="B892" s="35" t="s">
        <v>2030</v>
      </c>
      <c r="C892" s="35">
        <v>1738.0</v>
      </c>
      <c r="D892" s="35">
        <v>1769.0</v>
      </c>
      <c r="E892" s="35">
        <v>22670.0</v>
      </c>
      <c r="F892" s="35" t="s">
        <v>11</v>
      </c>
    </row>
    <row r="893" ht="22.5" customHeight="1">
      <c r="A893" s="37" t="s">
        <v>2031</v>
      </c>
      <c r="B893" s="35" t="s">
        <v>2032</v>
      </c>
      <c r="C893" s="35">
        <v>333.0</v>
      </c>
      <c r="D893" s="35">
        <v>339.0</v>
      </c>
      <c r="E893" s="35">
        <v>32220.0</v>
      </c>
      <c r="F893" s="35" t="s">
        <v>11</v>
      </c>
    </row>
    <row r="894" ht="22.5" customHeight="1">
      <c r="A894" s="37" t="s">
        <v>2033</v>
      </c>
      <c r="B894" s="35" t="s">
        <v>2034</v>
      </c>
      <c r="C894" s="35">
        <v>402.0</v>
      </c>
      <c r="D894" s="35">
        <v>369.0</v>
      </c>
      <c r="E894" s="35">
        <v>27290.0</v>
      </c>
      <c r="F894" s="35" t="s">
        <v>11</v>
      </c>
    </row>
    <row r="895" ht="22.5" customHeight="1">
      <c r="A895" s="37" t="s">
        <v>2035</v>
      </c>
      <c r="B895" s="35" t="s">
        <v>2036</v>
      </c>
      <c r="C895" s="35">
        <v>422.0</v>
      </c>
      <c r="D895" s="35">
        <v>436.0</v>
      </c>
      <c r="E895" s="35">
        <v>24520.0</v>
      </c>
      <c r="F895" s="35" t="s">
        <v>11</v>
      </c>
    </row>
    <row r="896" ht="22.5" customHeight="1">
      <c r="A896" s="37" t="s">
        <v>2037</v>
      </c>
      <c r="B896" s="35" t="s">
        <v>2038</v>
      </c>
      <c r="C896" s="35">
        <v>524.0</v>
      </c>
      <c r="D896" s="35">
        <v>522.0</v>
      </c>
      <c r="E896" s="35">
        <v>27130.0</v>
      </c>
      <c r="F896" s="35" t="s">
        <v>11</v>
      </c>
    </row>
    <row r="897" ht="22.5" customHeight="1">
      <c r="A897" s="37" t="s">
        <v>2039</v>
      </c>
      <c r="B897" s="35" t="s">
        <v>2040</v>
      </c>
      <c r="C897" s="35">
        <v>3231.0</v>
      </c>
      <c r="D897" s="35">
        <v>3123.0</v>
      </c>
      <c r="E897" s="35">
        <v>21690.0</v>
      </c>
      <c r="F897" s="35">
        <v>23.0</v>
      </c>
    </row>
    <row r="898" ht="22.5" customHeight="1">
      <c r="A898" s="37" t="s">
        <v>2041</v>
      </c>
      <c r="B898" s="35" t="s">
        <v>2042</v>
      </c>
      <c r="C898" s="35">
        <v>1535.0</v>
      </c>
      <c r="D898" s="35">
        <v>1580.0</v>
      </c>
      <c r="E898" s="35">
        <v>30200.0</v>
      </c>
      <c r="F898" s="35" t="s">
        <v>11</v>
      </c>
    </row>
    <row r="899" ht="22.5" customHeight="1">
      <c r="A899" s="37" t="s">
        <v>2043</v>
      </c>
      <c r="B899" s="35" t="s">
        <v>2044</v>
      </c>
      <c r="C899" s="35">
        <v>775.0</v>
      </c>
      <c r="D899" s="35">
        <v>766.0</v>
      </c>
      <c r="E899" s="35">
        <v>33390.0</v>
      </c>
      <c r="F899" s="35" t="s">
        <v>11</v>
      </c>
    </row>
    <row r="900" ht="22.5" customHeight="1">
      <c r="A900" s="37" t="s">
        <v>2045</v>
      </c>
      <c r="B900" s="35" t="s">
        <v>2046</v>
      </c>
      <c r="C900" s="35">
        <v>4483.0</v>
      </c>
      <c r="D900" s="35">
        <v>4189.0</v>
      </c>
      <c r="E900" s="35">
        <v>25360.0</v>
      </c>
      <c r="F900" s="35">
        <v>16.0</v>
      </c>
    </row>
    <row r="901" ht="22.5" customHeight="1">
      <c r="A901" s="37" t="s">
        <v>2047</v>
      </c>
      <c r="B901" s="35" t="s">
        <v>2048</v>
      </c>
      <c r="C901" s="35">
        <v>748.0</v>
      </c>
      <c r="D901" s="35">
        <v>689.0</v>
      </c>
      <c r="E901" s="35">
        <v>22740.0</v>
      </c>
      <c r="F901" s="35" t="s">
        <v>11</v>
      </c>
    </row>
    <row r="902" ht="22.5" customHeight="1">
      <c r="A902" s="37" t="s">
        <v>2049</v>
      </c>
      <c r="B902" s="35" t="s">
        <v>2050</v>
      </c>
      <c r="C902" s="35">
        <v>738.0</v>
      </c>
      <c r="D902" s="35">
        <v>771.0</v>
      </c>
      <c r="E902" s="35">
        <v>31430.0</v>
      </c>
      <c r="F902" s="35" t="s">
        <v>11</v>
      </c>
    </row>
    <row r="903" ht="22.5" customHeight="1">
      <c r="A903" s="37" t="s">
        <v>2051</v>
      </c>
      <c r="B903" s="35" t="s">
        <v>2052</v>
      </c>
      <c r="C903" s="35">
        <v>1375.0</v>
      </c>
      <c r="D903" s="35">
        <v>1452.0</v>
      </c>
      <c r="E903" s="35">
        <v>29830.0</v>
      </c>
      <c r="F903" s="35" t="s">
        <v>11</v>
      </c>
    </row>
    <row r="904" ht="22.5" customHeight="1">
      <c r="A904" s="37" t="s">
        <v>2053</v>
      </c>
      <c r="B904" s="35" t="s">
        <v>2054</v>
      </c>
      <c r="C904" s="35">
        <v>403.0</v>
      </c>
      <c r="D904" s="35">
        <v>425.0</v>
      </c>
      <c r="E904" s="35">
        <v>24390.0</v>
      </c>
      <c r="F904" s="35" t="s">
        <v>11</v>
      </c>
    </row>
    <row r="905" ht="22.5" customHeight="1">
      <c r="A905" s="37" t="s">
        <v>2055</v>
      </c>
      <c r="B905" s="35" t="s">
        <v>2056</v>
      </c>
      <c r="C905" s="35">
        <v>11449.0</v>
      </c>
      <c r="D905" s="35">
        <v>11644.0</v>
      </c>
      <c r="E905" s="35">
        <v>19440.0</v>
      </c>
      <c r="F905" s="35">
        <v>30.0</v>
      </c>
    </row>
    <row r="906" ht="22.5" customHeight="1">
      <c r="A906" s="37" t="s">
        <v>2057</v>
      </c>
      <c r="B906" s="35" t="s">
        <v>2058</v>
      </c>
      <c r="C906" s="35">
        <v>1345.0</v>
      </c>
      <c r="D906" s="35">
        <v>1340.0</v>
      </c>
      <c r="E906" s="35">
        <v>23250.0</v>
      </c>
      <c r="F906" s="35" t="s">
        <v>11</v>
      </c>
    </row>
    <row r="907" ht="22.5" customHeight="1">
      <c r="A907" s="37" t="s">
        <v>2059</v>
      </c>
      <c r="B907" s="35" t="s">
        <v>2060</v>
      </c>
      <c r="C907" s="35">
        <v>1671.0</v>
      </c>
      <c r="D907" s="35">
        <v>1698.0</v>
      </c>
      <c r="E907" s="35">
        <v>26650.0</v>
      </c>
      <c r="F907" s="35" t="s">
        <v>11</v>
      </c>
    </row>
    <row r="908" ht="22.5" customHeight="1">
      <c r="A908" s="37" t="s">
        <v>2061</v>
      </c>
      <c r="B908" s="35" t="s">
        <v>2062</v>
      </c>
      <c r="C908" s="35">
        <v>711.0</v>
      </c>
      <c r="D908" s="35">
        <v>704.0</v>
      </c>
      <c r="E908" s="35">
        <v>25770.0</v>
      </c>
      <c r="F908" s="35" t="s">
        <v>11</v>
      </c>
    </row>
    <row r="909" ht="22.5" customHeight="1">
      <c r="A909" s="37" t="s">
        <v>2063</v>
      </c>
      <c r="B909" s="35" t="s">
        <v>2064</v>
      </c>
      <c r="C909" s="35">
        <v>417.0</v>
      </c>
      <c r="D909" s="35">
        <v>390.0</v>
      </c>
      <c r="E909" s="35">
        <v>31630.0</v>
      </c>
      <c r="F909" s="35" t="s">
        <v>11</v>
      </c>
    </row>
    <row r="910" ht="22.5" customHeight="1">
      <c r="A910" s="37" t="s">
        <v>2065</v>
      </c>
      <c r="B910" s="35" t="s">
        <v>2066</v>
      </c>
      <c r="C910" s="35">
        <v>1030.0</v>
      </c>
      <c r="D910" s="35">
        <v>1095.0</v>
      </c>
      <c r="E910" s="35">
        <v>25030.0</v>
      </c>
      <c r="F910" s="35" t="s">
        <v>11</v>
      </c>
    </row>
    <row r="911" ht="22.5" customHeight="1">
      <c r="A911" s="37" t="s">
        <v>2067</v>
      </c>
      <c r="B911" s="35" t="s">
        <v>2068</v>
      </c>
      <c r="C911" s="35">
        <v>2482.0</v>
      </c>
      <c r="D911" s="35">
        <v>2435.0</v>
      </c>
      <c r="E911" s="35">
        <v>21410.0</v>
      </c>
      <c r="F911" s="35">
        <v>25.0</v>
      </c>
    </row>
    <row r="912" ht="22.5" customHeight="1">
      <c r="A912" s="37" t="s">
        <v>2069</v>
      </c>
      <c r="B912" s="35" t="s">
        <v>2070</v>
      </c>
      <c r="C912" s="35">
        <v>583.0</v>
      </c>
      <c r="D912" s="35">
        <v>582.0</v>
      </c>
      <c r="E912" s="35">
        <v>25560.0</v>
      </c>
      <c r="F912" s="35" t="s">
        <v>11</v>
      </c>
    </row>
    <row r="913" ht="22.5" customHeight="1">
      <c r="A913" s="37" t="s">
        <v>2071</v>
      </c>
      <c r="B913" s="35" t="s">
        <v>2072</v>
      </c>
      <c r="C913" s="35">
        <v>1980.0</v>
      </c>
      <c r="D913" s="35">
        <v>1951.0</v>
      </c>
      <c r="E913" s="35">
        <v>28030.0</v>
      </c>
      <c r="F913" s="35" t="s">
        <v>11</v>
      </c>
    </row>
    <row r="914" ht="22.5" customHeight="1">
      <c r="A914" s="37" t="s">
        <v>2073</v>
      </c>
      <c r="B914" s="35" t="s">
        <v>2074</v>
      </c>
      <c r="C914" s="35">
        <v>611.0</v>
      </c>
      <c r="D914" s="35">
        <v>663.0</v>
      </c>
      <c r="E914" s="35">
        <v>27240.0</v>
      </c>
      <c r="F914" s="35" t="s">
        <v>11</v>
      </c>
    </row>
    <row r="915" ht="22.5" customHeight="1">
      <c r="A915" s="37" t="s">
        <v>2075</v>
      </c>
      <c r="B915" s="35" t="s">
        <v>2076</v>
      </c>
      <c r="C915" s="35">
        <v>32558.0</v>
      </c>
      <c r="D915" s="35">
        <v>31134.0</v>
      </c>
      <c r="E915" s="35">
        <v>21930.0</v>
      </c>
      <c r="F915" s="35">
        <v>24.2</v>
      </c>
    </row>
    <row r="916" ht="22.5" customHeight="1">
      <c r="A916" s="37" t="s">
        <v>2077</v>
      </c>
      <c r="B916" s="35" t="s">
        <v>2078</v>
      </c>
      <c r="C916" s="35">
        <v>1660.0</v>
      </c>
      <c r="D916" s="35">
        <v>1737.0</v>
      </c>
      <c r="E916" s="35">
        <v>29530.0</v>
      </c>
      <c r="F916" s="35" t="s">
        <v>11</v>
      </c>
    </row>
    <row r="917" ht="22.5" customHeight="1">
      <c r="A917" s="37" t="s">
        <v>2079</v>
      </c>
      <c r="B917" s="35" t="s">
        <v>2080</v>
      </c>
      <c r="C917" s="35">
        <v>2452.0</v>
      </c>
      <c r="D917" s="35">
        <v>2518.0</v>
      </c>
      <c r="E917" s="35">
        <v>33150.0</v>
      </c>
      <c r="F917" s="35">
        <v>6.0</v>
      </c>
    </row>
    <row r="918" ht="22.5" customHeight="1">
      <c r="A918" s="37" t="s">
        <v>2081</v>
      </c>
      <c r="B918" s="35" t="s">
        <v>2082</v>
      </c>
      <c r="C918" s="35">
        <v>399.0</v>
      </c>
      <c r="D918" s="35">
        <v>410.0</v>
      </c>
      <c r="E918" s="35">
        <v>26820.0</v>
      </c>
      <c r="F918" s="35" t="s">
        <v>11</v>
      </c>
    </row>
    <row r="919" ht="22.5" customHeight="1">
      <c r="A919" s="37" t="s">
        <v>2083</v>
      </c>
      <c r="B919" s="35" t="s">
        <v>2084</v>
      </c>
      <c r="C919" s="35">
        <v>1577.0</v>
      </c>
      <c r="D919" s="35">
        <v>1741.0</v>
      </c>
      <c r="E919" s="35">
        <v>24370.0</v>
      </c>
      <c r="F919" s="35" t="s">
        <v>11</v>
      </c>
    </row>
    <row r="920" ht="22.5" customHeight="1">
      <c r="A920" s="37" t="s">
        <v>2085</v>
      </c>
      <c r="B920" s="35" t="s">
        <v>2086</v>
      </c>
      <c r="C920" s="35">
        <v>153.0</v>
      </c>
      <c r="D920" s="35">
        <v>135.0</v>
      </c>
      <c r="E920" s="35">
        <v>27470.0</v>
      </c>
      <c r="F920" s="35" t="s">
        <v>11</v>
      </c>
    </row>
    <row r="921" ht="22.5" customHeight="1">
      <c r="A921" s="37" t="s">
        <v>2087</v>
      </c>
      <c r="B921" s="35" t="s">
        <v>2088</v>
      </c>
      <c r="C921" s="35">
        <v>2495.0</v>
      </c>
      <c r="D921" s="35">
        <v>2728.0</v>
      </c>
      <c r="E921" s="35">
        <v>28640.0</v>
      </c>
      <c r="F921" s="35">
        <v>12.0</v>
      </c>
    </row>
    <row r="922" ht="22.5" customHeight="1">
      <c r="A922" s="37" t="s">
        <v>2089</v>
      </c>
      <c r="B922" s="35" t="s">
        <v>2090</v>
      </c>
      <c r="C922" s="35">
        <v>2232.0</v>
      </c>
      <c r="D922" s="35">
        <v>2257.0</v>
      </c>
      <c r="E922" s="35">
        <v>30780.0</v>
      </c>
      <c r="F922" s="35">
        <v>5.0</v>
      </c>
    </row>
    <row r="923" ht="22.5" customHeight="1">
      <c r="A923" s="37" t="s">
        <v>2091</v>
      </c>
      <c r="B923" s="35" t="s">
        <v>2092</v>
      </c>
      <c r="C923" s="35">
        <v>1166.0</v>
      </c>
      <c r="D923" s="35">
        <v>1169.0</v>
      </c>
      <c r="E923" s="35">
        <v>25240.0</v>
      </c>
      <c r="F923" s="35" t="s">
        <v>11</v>
      </c>
    </row>
    <row r="924" ht="22.5" customHeight="1">
      <c r="A924" s="37" t="s">
        <v>2093</v>
      </c>
      <c r="B924" s="35" t="s">
        <v>2094</v>
      </c>
      <c r="C924" s="35">
        <v>7899.0</v>
      </c>
      <c r="D924" s="35">
        <v>7839.0</v>
      </c>
      <c r="E924" s="35">
        <v>23460.0</v>
      </c>
      <c r="F924" s="35">
        <v>18.0</v>
      </c>
    </row>
    <row r="925" ht="22.5" customHeight="1">
      <c r="A925" s="37" t="s">
        <v>2095</v>
      </c>
      <c r="B925" s="35" t="s">
        <v>2096</v>
      </c>
      <c r="C925" s="35">
        <v>1073.0</v>
      </c>
      <c r="D925" s="35">
        <v>983.0</v>
      </c>
      <c r="E925" s="35">
        <v>25280.0</v>
      </c>
      <c r="F925" s="35" t="s">
        <v>11</v>
      </c>
    </row>
    <row r="926" ht="22.5" customHeight="1">
      <c r="A926" s="37" t="s">
        <v>2097</v>
      </c>
      <c r="B926" s="35" t="s">
        <v>2098</v>
      </c>
      <c r="C926" s="35">
        <v>1008.0</v>
      </c>
      <c r="D926" s="35">
        <v>1105.0</v>
      </c>
      <c r="E926" s="35">
        <v>32020.0</v>
      </c>
      <c r="F926" s="35" t="s">
        <v>11</v>
      </c>
    </row>
    <row r="927" ht="22.5" customHeight="1">
      <c r="A927" s="37" t="s">
        <v>2099</v>
      </c>
      <c r="B927" s="35" t="s">
        <v>2100</v>
      </c>
      <c r="C927" s="35">
        <v>1253.0</v>
      </c>
      <c r="D927" s="35">
        <v>1209.0</v>
      </c>
      <c r="E927" s="35">
        <v>23940.0</v>
      </c>
      <c r="F927" s="35" t="s">
        <v>11</v>
      </c>
    </row>
    <row r="928" ht="22.5" customHeight="1">
      <c r="A928" s="37" t="s">
        <v>2101</v>
      </c>
      <c r="B928" s="35" t="s">
        <v>2102</v>
      </c>
      <c r="C928" s="35">
        <v>2289.0</v>
      </c>
      <c r="D928" s="35">
        <v>2198.0</v>
      </c>
      <c r="E928" s="35">
        <v>26430.0</v>
      </c>
      <c r="F928" s="35">
        <v>14.0</v>
      </c>
    </row>
    <row r="929" ht="22.5" customHeight="1">
      <c r="A929" s="37" t="s">
        <v>2103</v>
      </c>
      <c r="B929" s="35" t="s">
        <v>2104</v>
      </c>
      <c r="C929" s="35">
        <v>6933.0</v>
      </c>
      <c r="D929" s="35">
        <v>6764.0</v>
      </c>
      <c r="E929" s="35">
        <v>18770.0</v>
      </c>
      <c r="F929" s="35">
        <v>34.0</v>
      </c>
    </row>
    <row r="930" ht="22.5" customHeight="1">
      <c r="A930" s="37" t="s">
        <v>2105</v>
      </c>
      <c r="B930" s="35" t="s">
        <v>2106</v>
      </c>
      <c r="C930" s="35">
        <v>840.0</v>
      </c>
      <c r="D930" s="35">
        <v>781.0</v>
      </c>
      <c r="E930" s="35">
        <v>21480.0</v>
      </c>
      <c r="F930" s="35" t="s">
        <v>11</v>
      </c>
    </row>
    <row r="931" ht="22.5" customHeight="1">
      <c r="A931" s="37" t="s">
        <v>2107</v>
      </c>
      <c r="B931" s="35" t="s">
        <v>2108</v>
      </c>
      <c r="C931" s="35">
        <v>670.0</v>
      </c>
      <c r="D931" s="35">
        <v>689.0</v>
      </c>
      <c r="E931" s="35">
        <v>25170.0</v>
      </c>
      <c r="F931" s="35" t="s">
        <v>11</v>
      </c>
    </row>
    <row r="932" ht="22.5" customHeight="1">
      <c r="A932" s="37" t="s">
        <v>2109</v>
      </c>
      <c r="B932" s="35" t="s">
        <v>2110</v>
      </c>
      <c r="C932" s="35">
        <v>14591.0</v>
      </c>
      <c r="D932" s="35">
        <v>13833.0</v>
      </c>
      <c r="E932" s="35">
        <v>20040.0</v>
      </c>
      <c r="F932" s="35">
        <v>29.0</v>
      </c>
    </row>
    <row r="933" ht="22.5" customHeight="1">
      <c r="A933" s="37" t="s">
        <v>2111</v>
      </c>
      <c r="B933" s="35" t="s">
        <v>2112</v>
      </c>
      <c r="C933" s="35">
        <v>454.0</v>
      </c>
      <c r="D933" s="35">
        <v>467.0</v>
      </c>
      <c r="E933" s="35">
        <v>22760.0</v>
      </c>
      <c r="F933" s="35" t="s">
        <v>11</v>
      </c>
    </row>
    <row r="934" ht="22.5" customHeight="1">
      <c r="A934" s="37" t="s">
        <v>2113</v>
      </c>
      <c r="B934" s="35" t="s">
        <v>2114</v>
      </c>
      <c r="C934" s="35">
        <v>570.0</v>
      </c>
      <c r="D934" s="35">
        <v>579.0</v>
      </c>
      <c r="E934" s="35">
        <v>27060.0</v>
      </c>
      <c r="F934" s="35" t="s">
        <v>11</v>
      </c>
    </row>
    <row r="935" ht="22.5" customHeight="1">
      <c r="A935" s="37" t="s">
        <v>2115</v>
      </c>
      <c r="B935" s="35" t="s">
        <v>2116</v>
      </c>
      <c r="C935" s="35">
        <v>688.0</v>
      </c>
      <c r="D935" s="35">
        <v>646.0</v>
      </c>
      <c r="E935" s="35">
        <v>27560.0</v>
      </c>
      <c r="F935" s="35" t="s">
        <v>11</v>
      </c>
    </row>
    <row r="936" ht="22.5" customHeight="1">
      <c r="A936" s="37" t="s">
        <v>2117</v>
      </c>
      <c r="B936" s="35" t="s">
        <v>2118</v>
      </c>
      <c r="C936" s="35">
        <v>8590.0</v>
      </c>
      <c r="D936" s="35">
        <v>8754.0</v>
      </c>
      <c r="E936" s="35">
        <v>26610.0</v>
      </c>
      <c r="F936" s="35">
        <v>13.0</v>
      </c>
    </row>
    <row r="937" ht="22.5" customHeight="1">
      <c r="A937" s="37" t="s">
        <v>2119</v>
      </c>
      <c r="B937" s="35" t="s">
        <v>2120</v>
      </c>
      <c r="C937" s="35">
        <v>874.0</v>
      </c>
      <c r="D937" s="35">
        <v>917.0</v>
      </c>
      <c r="E937" s="35">
        <v>29670.0</v>
      </c>
      <c r="F937" s="35" t="s">
        <v>11</v>
      </c>
    </row>
    <row r="938" ht="22.5" customHeight="1">
      <c r="A938" s="37" t="s">
        <v>2121</v>
      </c>
      <c r="B938" s="35" t="s">
        <v>2122</v>
      </c>
      <c r="C938" s="35">
        <v>768.0</v>
      </c>
      <c r="D938" s="35">
        <v>766.0</v>
      </c>
      <c r="E938" s="35">
        <v>32430.0</v>
      </c>
      <c r="F938" s="35" t="s">
        <v>11</v>
      </c>
    </row>
    <row r="939" ht="22.5" customHeight="1">
      <c r="A939" s="37" t="s">
        <v>2123</v>
      </c>
      <c r="B939" s="35" t="s">
        <v>2124</v>
      </c>
      <c r="C939" s="35">
        <v>2990.0</v>
      </c>
      <c r="D939" s="35">
        <v>3078.0</v>
      </c>
      <c r="E939" s="35">
        <v>33960.0</v>
      </c>
      <c r="F939" s="35">
        <v>5.0</v>
      </c>
    </row>
    <row r="940" ht="22.5" customHeight="1">
      <c r="A940" s="37" t="s">
        <v>2125</v>
      </c>
      <c r="B940" s="35" t="s">
        <v>2126</v>
      </c>
      <c r="C940" s="35">
        <v>52.0</v>
      </c>
      <c r="D940" s="35">
        <v>43.0</v>
      </c>
      <c r="E940" s="35" t="s">
        <v>11</v>
      </c>
      <c r="F940" s="35" t="s">
        <v>11</v>
      </c>
    </row>
    <row r="941" ht="22.5" customHeight="1">
      <c r="A941" s="37" t="s">
        <v>2127</v>
      </c>
      <c r="B941" s="35" t="s">
        <v>2128</v>
      </c>
      <c r="C941" s="35">
        <v>371.0</v>
      </c>
      <c r="D941" s="35">
        <v>357.0</v>
      </c>
      <c r="E941" s="35">
        <v>23400.0</v>
      </c>
      <c r="F941" s="35" t="s">
        <v>11</v>
      </c>
    </row>
    <row r="942" ht="22.5" customHeight="1">
      <c r="A942" s="37" t="s">
        <v>2129</v>
      </c>
      <c r="B942" s="35" t="s">
        <v>2130</v>
      </c>
      <c r="C942" s="35">
        <v>1092.0</v>
      </c>
      <c r="D942" s="35">
        <v>1088.0</v>
      </c>
      <c r="E942" s="35">
        <v>25090.0</v>
      </c>
      <c r="F942" s="35" t="s">
        <v>11</v>
      </c>
    </row>
    <row r="943" ht="22.5" customHeight="1">
      <c r="A943" s="37" t="s">
        <v>2131</v>
      </c>
      <c r="B943" s="35" t="s">
        <v>2132</v>
      </c>
      <c r="C943" s="35">
        <v>521.0</v>
      </c>
      <c r="D943" s="35">
        <v>563.0</v>
      </c>
      <c r="E943" s="35">
        <v>33690.0</v>
      </c>
      <c r="F943" s="35" t="s">
        <v>11</v>
      </c>
    </row>
    <row r="944" ht="22.5" customHeight="1">
      <c r="A944" s="37" t="s">
        <v>2133</v>
      </c>
      <c r="B944" s="35" t="s">
        <v>2134</v>
      </c>
      <c r="C944" s="35">
        <v>1615.0</v>
      </c>
      <c r="D944" s="35">
        <v>1541.0</v>
      </c>
      <c r="E944" s="35">
        <v>25150.0</v>
      </c>
      <c r="F944" s="35" t="s">
        <v>11</v>
      </c>
    </row>
    <row r="945" ht="22.5" customHeight="1">
      <c r="A945" s="37" t="s">
        <v>2135</v>
      </c>
      <c r="B945" s="35" t="s">
        <v>2136</v>
      </c>
      <c r="C945" s="35">
        <v>12358.0</v>
      </c>
      <c r="D945" s="35">
        <v>12731.0</v>
      </c>
      <c r="E945" s="35">
        <v>25070.0</v>
      </c>
      <c r="F945" s="35">
        <v>16.0</v>
      </c>
    </row>
    <row r="946" ht="22.5" customHeight="1">
      <c r="A946" s="37" t="s">
        <v>2137</v>
      </c>
      <c r="B946" s="35" t="s">
        <v>2138</v>
      </c>
      <c r="C946" s="35">
        <v>9698.0</v>
      </c>
      <c r="D946" s="35">
        <v>9253.0</v>
      </c>
      <c r="E946" s="35">
        <v>18400.0</v>
      </c>
      <c r="F946" s="35">
        <v>36.0</v>
      </c>
    </row>
    <row r="947" ht="22.5" customHeight="1">
      <c r="A947" s="37" t="s">
        <v>2139</v>
      </c>
      <c r="B947" s="35" t="s">
        <v>2140</v>
      </c>
      <c r="C947" s="35">
        <v>21134.0</v>
      </c>
      <c r="D947" s="35">
        <v>20787.0</v>
      </c>
      <c r="E947" s="35">
        <v>23300.0</v>
      </c>
      <c r="F947" s="35">
        <v>17.0</v>
      </c>
    </row>
    <row r="948" ht="22.5" customHeight="1">
      <c r="A948" s="37" t="s">
        <v>2141</v>
      </c>
      <c r="B948" s="35" t="s">
        <v>2142</v>
      </c>
      <c r="C948" s="35">
        <v>2809.0</v>
      </c>
      <c r="D948" s="35">
        <v>2855.0</v>
      </c>
      <c r="E948" s="35">
        <v>24560.0</v>
      </c>
      <c r="F948" s="35">
        <v>14.0</v>
      </c>
    </row>
    <row r="949" ht="22.5" customHeight="1">
      <c r="A949" s="37" t="s">
        <v>2143</v>
      </c>
      <c r="B949" s="35" t="s">
        <v>2144</v>
      </c>
      <c r="C949" s="35">
        <v>2270.0</v>
      </c>
      <c r="D949" s="35">
        <v>2153.0</v>
      </c>
      <c r="E949" s="35">
        <v>22280.0</v>
      </c>
      <c r="F949" s="35" t="s">
        <v>11</v>
      </c>
    </row>
    <row r="950" ht="22.5" customHeight="1">
      <c r="A950" s="37" t="s">
        <v>2145</v>
      </c>
      <c r="B950" s="35" t="s">
        <v>2146</v>
      </c>
      <c r="C950" s="35">
        <v>3014.0</v>
      </c>
      <c r="D950" s="35">
        <v>3436.0</v>
      </c>
      <c r="E950" s="35">
        <v>30450.0</v>
      </c>
      <c r="F950" s="35">
        <v>6.0</v>
      </c>
    </row>
    <row r="951" ht="22.5" customHeight="1">
      <c r="A951" s="37" t="s">
        <v>2147</v>
      </c>
      <c r="B951" s="35" t="s">
        <v>2148</v>
      </c>
      <c r="C951" s="35">
        <v>694.0</v>
      </c>
      <c r="D951" s="35">
        <v>791.0</v>
      </c>
      <c r="E951" s="35">
        <v>25970.0</v>
      </c>
      <c r="F951" s="35" t="s">
        <v>11</v>
      </c>
    </row>
    <row r="952" ht="22.5" customHeight="1">
      <c r="A952" s="37" t="s">
        <v>2149</v>
      </c>
      <c r="B952" s="35" t="s">
        <v>2150</v>
      </c>
      <c r="C952" s="35">
        <v>4532.0</v>
      </c>
      <c r="D952" s="35">
        <v>4532.0</v>
      </c>
      <c r="E952" s="35">
        <v>20050.0</v>
      </c>
      <c r="F952" s="35">
        <v>29.0</v>
      </c>
    </row>
    <row r="953" ht="22.5" customHeight="1">
      <c r="A953" s="37" t="s">
        <v>2151</v>
      </c>
      <c r="B953" s="35" t="s">
        <v>2152</v>
      </c>
      <c r="C953" s="35">
        <v>744.0</v>
      </c>
      <c r="D953" s="35">
        <v>716.0</v>
      </c>
      <c r="E953" s="35">
        <v>26440.0</v>
      </c>
      <c r="F953" s="35" t="s">
        <v>11</v>
      </c>
    </row>
    <row r="954" ht="22.5" customHeight="1">
      <c r="A954" s="37" t="s">
        <v>2153</v>
      </c>
      <c r="B954" s="35" t="s">
        <v>2154</v>
      </c>
      <c r="C954" s="35">
        <v>667.0</v>
      </c>
      <c r="D954" s="35">
        <v>659.0</v>
      </c>
      <c r="E954" s="35">
        <v>29510.0</v>
      </c>
      <c r="F954" s="35" t="s">
        <v>11</v>
      </c>
    </row>
    <row r="955" ht="22.5" customHeight="1">
      <c r="A955" s="37" t="s">
        <v>2155</v>
      </c>
      <c r="B955" s="35" t="s">
        <v>2156</v>
      </c>
      <c r="C955" s="35">
        <v>21041.0</v>
      </c>
      <c r="D955" s="35">
        <v>20566.0</v>
      </c>
      <c r="E955" s="35">
        <v>25770.0</v>
      </c>
      <c r="F955" s="35">
        <v>17.8</v>
      </c>
    </row>
    <row r="956" ht="22.5" customHeight="1">
      <c r="A956" s="37" t="s">
        <v>2157</v>
      </c>
      <c r="B956" s="35" t="s">
        <v>2158</v>
      </c>
      <c r="C956" s="35">
        <v>257.0</v>
      </c>
      <c r="D956" s="35">
        <v>238.0</v>
      </c>
      <c r="E956" s="35">
        <v>26290.0</v>
      </c>
      <c r="F956" s="35" t="s">
        <v>11</v>
      </c>
    </row>
    <row r="957" ht="22.5" customHeight="1">
      <c r="A957" s="37" t="s">
        <v>2159</v>
      </c>
      <c r="B957" s="35" t="s">
        <v>2160</v>
      </c>
      <c r="C957" s="35">
        <v>6435.0</v>
      </c>
      <c r="D957" s="35">
        <v>6467.0</v>
      </c>
      <c r="E957" s="35">
        <v>25490.0</v>
      </c>
      <c r="F957" s="35">
        <v>16.0</v>
      </c>
    </row>
    <row r="958" ht="22.5" customHeight="1">
      <c r="A958" s="37" t="s">
        <v>2161</v>
      </c>
      <c r="B958" s="35" t="s">
        <v>2162</v>
      </c>
      <c r="C958" s="35">
        <v>1218.0</v>
      </c>
      <c r="D958" s="35">
        <v>1333.0</v>
      </c>
      <c r="E958" s="35">
        <v>29930.0</v>
      </c>
      <c r="F958" s="35" t="s">
        <v>11</v>
      </c>
    </row>
    <row r="959" ht="22.5" customHeight="1">
      <c r="A959" s="37" t="s">
        <v>2163</v>
      </c>
      <c r="B959" s="35" t="s">
        <v>2164</v>
      </c>
      <c r="C959" s="35">
        <v>201.0</v>
      </c>
      <c r="D959" s="35">
        <v>177.0</v>
      </c>
      <c r="E959" s="35">
        <v>26680.0</v>
      </c>
      <c r="F959" s="35" t="s">
        <v>11</v>
      </c>
    </row>
    <row r="960" ht="22.5" customHeight="1">
      <c r="A960" s="37" t="s">
        <v>2165</v>
      </c>
      <c r="B960" s="35" t="s">
        <v>2166</v>
      </c>
      <c r="C960" s="35">
        <v>4968.0</v>
      </c>
      <c r="D960" s="35">
        <v>4839.0</v>
      </c>
      <c r="E960" s="35">
        <v>30060.0</v>
      </c>
      <c r="F960" s="35">
        <v>7.0</v>
      </c>
    </row>
    <row r="961" ht="22.5" customHeight="1">
      <c r="A961" s="37" t="s">
        <v>2167</v>
      </c>
      <c r="B961" s="35" t="s">
        <v>2168</v>
      </c>
      <c r="C961" s="35">
        <v>193.0</v>
      </c>
      <c r="D961" s="35">
        <v>205.0</v>
      </c>
      <c r="E961" s="35">
        <v>21900.0</v>
      </c>
      <c r="F961" s="35" t="s">
        <v>11</v>
      </c>
    </row>
    <row r="962" ht="22.5" customHeight="1">
      <c r="A962" s="37" t="s">
        <v>2169</v>
      </c>
      <c r="B962" s="35" t="s">
        <v>2170</v>
      </c>
      <c r="C962" s="35">
        <v>5324.0</v>
      </c>
      <c r="D962" s="35">
        <v>5338.0</v>
      </c>
      <c r="E962" s="35">
        <v>19680.0</v>
      </c>
      <c r="F962" s="35">
        <v>30.0</v>
      </c>
    </row>
    <row r="963" ht="22.5" customHeight="1">
      <c r="A963" s="37" t="s">
        <v>2171</v>
      </c>
      <c r="B963" s="35" t="s">
        <v>2172</v>
      </c>
      <c r="C963" s="35">
        <v>39.0</v>
      </c>
      <c r="D963" s="35">
        <v>43.0</v>
      </c>
      <c r="E963" s="35" t="s">
        <v>11</v>
      </c>
      <c r="F963" s="35" t="s">
        <v>11</v>
      </c>
    </row>
    <row r="964" ht="22.5" customHeight="1">
      <c r="A964" s="37" t="s">
        <v>2173</v>
      </c>
      <c r="B964" s="35" t="s">
        <v>2174</v>
      </c>
      <c r="C964" s="35">
        <v>19825.0</v>
      </c>
      <c r="D964" s="35">
        <v>20665.0</v>
      </c>
      <c r="E964" s="35">
        <v>16330.0</v>
      </c>
      <c r="F964" s="35">
        <v>45.0</v>
      </c>
    </row>
    <row r="965" ht="22.5" customHeight="1">
      <c r="A965" s="37" t="s">
        <v>2175</v>
      </c>
      <c r="B965" s="35" t="s">
        <v>2176</v>
      </c>
      <c r="C965" s="35">
        <v>1769.0</v>
      </c>
      <c r="D965" s="35">
        <v>1778.0</v>
      </c>
      <c r="E965" s="35">
        <v>29290.0</v>
      </c>
      <c r="F965" s="35" t="s">
        <v>11</v>
      </c>
    </row>
    <row r="966" ht="22.5" customHeight="1">
      <c r="A966" s="37" t="s">
        <v>2177</v>
      </c>
      <c r="B966" s="35" t="s">
        <v>2178</v>
      </c>
      <c r="C966" s="35">
        <v>339.0</v>
      </c>
      <c r="D966" s="35">
        <v>327.0</v>
      </c>
      <c r="E966" s="35">
        <v>27230.0</v>
      </c>
      <c r="F966" s="35" t="s">
        <v>11</v>
      </c>
    </row>
    <row r="967" ht="22.5" customHeight="1">
      <c r="A967" s="37" t="s">
        <v>2179</v>
      </c>
      <c r="B967" s="35" t="s">
        <v>2180</v>
      </c>
      <c r="C967" s="35">
        <v>314.0</v>
      </c>
      <c r="D967" s="35">
        <v>289.0</v>
      </c>
      <c r="E967" s="35">
        <v>26210.0</v>
      </c>
      <c r="F967" s="35" t="s">
        <v>11</v>
      </c>
    </row>
    <row r="968" ht="22.5" customHeight="1">
      <c r="A968" s="37" t="s">
        <v>2181</v>
      </c>
      <c r="B968" s="35" t="s">
        <v>2182</v>
      </c>
      <c r="C968" s="35">
        <v>333.0</v>
      </c>
      <c r="D968" s="35">
        <v>325.0</v>
      </c>
      <c r="E968" s="35">
        <v>26270.0</v>
      </c>
      <c r="F968" s="35" t="s">
        <v>11</v>
      </c>
    </row>
    <row r="969" ht="22.5" customHeight="1">
      <c r="A969" s="37" t="s">
        <v>2183</v>
      </c>
      <c r="B969" s="35" t="s">
        <v>2184</v>
      </c>
      <c r="C969" s="35">
        <v>860.0</v>
      </c>
      <c r="D969" s="35">
        <v>815.0</v>
      </c>
      <c r="E969" s="35">
        <v>24070.0</v>
      </c>
      <c r="F969" s="35" t="s">
        <v>11</v>
      </c>
    </row>
    <row r="970" ht="22.5" customHeight="1">
      <c r="A970" s="37" t="s">
        <v>2185</v>
      </c>
      <c r="B970" s="35" t="s">
        <v>2186</v>
      </c>
      <c r="C970" s="35">
        <v>39700.0</v>
      </c>
      <c r="D970" s="35">
        <v>40250.0</v>
      </c>
      <c r="E970" s="35">
        <v>20230.0</v>
      </c>
      <c r="F970" s="35">
        <v>31.4</v>
      </c>
    </row>
    <row r="971" ht="22.5" customHeight="1">
      <c r="A971" s="37" t="s">
        <v>2187</v>
      </c>
      <c r="B971" s="35" t="s">
        <v>2188</v>
      </c>
      <c r="C971" s="35">
        <v>10558.0</v>
      </c>
      <c r="D971" s="35">
        <v>10109.0</v>
      </c>
      <c r="E971" s="35">
        <v>19780.0</v>
      </c>
      <c r="F971" s="35">
        <v>29.0</v>
      </c>
    </row>
    <row r="972" ht="22.5" customHeight="1">
      <c r="A972" s="37" t="s">
        <v>2189</v>
      </c>
      <c r="B972" s="35" t="s">
        <v>2190</v>
      </c>
      <c r="C972" s="35">
        <v>1478.0</v>
      </c>
      <c r="D972" s="35">
        <v>1436.0</v>
      </c>
      <c r="E972" s="35">
        <v>28760.0</v>
      </c>
      <c r="F972" s="35" t="s">
        <v>11</v>
      </c>
    </row>
    <row r="973" ht="22.5" customHeight="1">
      <c r="A973" s="37" t="s">
        <v>2191</v>
      </c>
      <c r="B973" s="35" t="s">
        <v>2192</v>
      </c>
      <c r="C973" s="35">
        <v>569.0</v>
      </c>
      <c r="D973" s="35">
        <v>536.0</v>
      </c>
      <c r="E973" s="35">
        <v>25630.0</v>
      </c>
      <c r="F973" s="35" t="s">
        <v>11</v>
      </c>
    </row>
    <row r="974" ht="22.5" customHeight="1">
      <c r="A974" s="37" t="s">
        <v>2193</v>
      </c>
      <c r="B974" s="35" t="s">
        <v>2194</v>
      </c>
      <c r="C974" s="35">
        <v>250.0</v>
      </c>
      <c r="D974" s="35">
        <v>281.0</v>
      </c>
      <c r="E974" s="35">
        <v>24670.0</v>
      </c>
      <c r="F974" s="35" t="s">
        <v>11</v>
      </c>
    </row>
    <row r="975" ht="22.5" customHeight="1">
      <c r="A975" s="37" t="s">
        <v>2195</v>
      </c>
      <c r="B975" s="35" t="s">
        <v>2196</v>
      </c>
      <c r="C975" s="35">
        <v>87353.0</v>
      </c>
      <c r="D975" s="35">
        <v>86263.0</v>
      </c>
      <c r="E975" s="35">
        <v>22790.0</v>
      </c>
      <c r="F975" s="35">
        <v>22.7</v>
      </c>
    </row>
    <row r="976" ht="22.5" customHeight="1">
      <c r="A976" s="37" t="s">
        <v>2197</v>
      </c>
      <c r="B976" s="35" t="s">
        <v>2198</v>
      </c>
      <c r="C976" s="35">
        <v>673.0</v>
      </c>
      <c r="D976" s="35">
        <v>660.0</v>
      </c>
      <c r="E976" s="35">
        <v>25890.0</v>
      </c>
      <c r="F976" s="35" t="s">
        <v>11</v>
      </c>
    </row>
    <row r="977" ht="22.5" customHeight="1">
      <c r="A977" s="37" t="s">
        <v>2199</v>
      </c>
      <c r="B977" s="35" t="s">
        <v>2200</v>
      </c>
      <c r="C977" s="35">
        <v>1937.0</v>
      </c>
      <c r="D977" s="35">
        <v>1869.0</v>
      </c>
      <c r="E977" s="35">
        <v>21560.0</v>
      </c>
      <c r="F977" s="35" t="s">
        <v>11</v>
      </c>
    </row>
    <row r="978" ht="22.5" customHeight="1">
      <c r="A978" s="37" t="s">
        <v>2201</v>
      </c>
      <c r="B978" s="35" t="s">
        <v>2202</v>
      </c>
      <c r="C978" s="35">
        <v>84.0</v>
      </c>
      <c r="D978" s="35">
        <v>94.0</v>
      </c>
      <c r="E978" s="35" t="s">
        <v>11</v>
      </c>
      <c r="F978" s="35" t="s">
        <v>11</v>
      </c>
    </row>
    <row r="979" ht="22.5" customHeight="1">
      <c r="A979" s="37" t="s">
        <v>2203</v>
      </c>
      <c r="B979" s="35" t="s">
        <v>2204</v>
      </c>
      <c r="C979" s="35">
        <v>292.0</v>
      </c>
      <c r="D979" s="35">
        <v>269.0</v>
      </c>
      <c r="E979" s="35">
        <v>27580.0</v>
      </c>
      <c r="F979" s="35" t="s">
        <v>11</v>
      </c>
    </row>
    <row r="980" ht="22.5" customHeight="1">
      <c r="A980" s="37" t="s">
        <v>2205</v>
      </c>
      <c r="B980" s="35" t="s">
        <v>2206</v>
      </c>
      <c r="C980" s="35">
        <v>140.0</v>
      </c>
      <c r="D980" s="35">
        <v>145.0</v>
      </c>
      <c r="E980" s="35">
        <v>27230.0</v>
      </c>
      <c r="F980" s="35" t="s">
        <v>11</v>
      </c>
    </row>
    <row r="981" ht="22.5" customHeight="1">
      <c r="A981" s="37" t="s">
        <v>2207</v>
      </c>
      <c r="B981" s="35" t="s">
        <v>2208</v>
      </c>
      <c r="C981" s="35">
        <v>1219.0</v>
      </c>
      <c r="D981" s="35">
        <v>1213.0</v>
      </c>
      <c r="E981" s="35">
        <v>28900.0</v>
      </c>
      <c r="F981" s="35" t="s">
        <v>11</v>
      </c>
    </row>
    <row r="982" ht="22.5" customHeight="1">
      <c r="A982" s="37" t="s">
        <v>2209</v>
      </c>
      <c r="B982" s="35" t="s">
        <v>2210</v>
      </c>
      <c r="C982" s="35">
        <v>980.0</v>
      </c>
      <c r="D982" s="35">
        <v>1013.0</v>
      </c>
      <c r="E982" s="35">
        <v>29650.0</v>
      </c>
      <c r="F982" s="35" t="s">
        <v>11</v>
      </c>
    </row>
    <row r="983" ht="22.5" customHeight="1">
      <c r="A983" s="37" t="s">
        <v>2211</v>
      </c>
      <c r="B983" s="35" t="s">
        <v>2212</v>
      </c>
      <c r="C983" s="35">
        <v>625.0</v>
      </c>
      <c r="D983" s="35">
        <v>606.0</v>
      </c>
      <c r="E983" s="35">
        <v>21450.0</v>
      </c>
      <c r="F983" s="35" t="s">
        <v>11</v>
      </c>
    </row>
    <row r="984" ht="22.5" customHeight="1">
      <c r="A984" s="37" t="s">
        <v>2213</v>
      </c>
      <c r="B984" s="35" t="s">
        <v>2214</v>
      </c>
      <c r="C984" s="35">
        <v>886.0</v>
      </c>
      <c r="D984" s="35">
        <v>804.0</v>
      </c>
      <c r="E984" s="35">
        <v>23680.0</v>
      </c>
      <c r="F984" s="35" t="s">
        <v>11</v>
      </c>
    </row>
    <row r="985" ht="22.5" customHeight="1">
      <c r="A985" s="37" t="s">
        <v>2215</v>
      </c>
      <c r="B985" s="35" t="s">
        <v>2216</v>
      </c>
      <c r="C985" s="35">
        <v>3172.0</v>
      </c>
      <c r="D985" s="35">
        <v>3026.0</v>
      </c>
      <c r="E985" s="35">
        <v>29410.0</v>
      </c>
      <c r="F985" s="35">
        <v>6.0</v>
      </c>
    </row>
    <row r="986" ht="22.5" customHeight="1">
      <c r="A986" s="37" t="s">
        <v>2217</v>
      </c>
      <c r="B986" s="35" t="s">
        <v>2218</v>
      </c>
      <c r="C986" s="35">
        <v>1304.0</v>
      </c>
      <c r="D986" s="35">
        <v>1291.0</v>
      </c>
      <c r="E986" s="35">
        <v>23180.0</v>
      </c>
      <c r="F986" s="35" t="s">
        <v>11</v>
      </c>
    </row>
    <row r="987" ht="22.5" customHeight="1">
      <c r="A987" s="37" t="s">
        <v>2219</v>
      </c>
      <c r="B987" s="35" t="s">
        <v>2220</v>
      </c>
      <c r="C987" s="35">
        <v>609.0</v>
      </c>
      <c r="D987" s="35">
        <v>618.0</v>
      </c>
      <c r="E987" s="35">
        <v>32560.0</v>
      </c>
      <c r="F987" s="35" t="s">
        <v>11</v>
      </c>
    </row>
    <row r="988" ht="22.5" customHeight="1">
      <c r="A988" s="37" t="s">
        <v>2221</v>
      </c>
      <c r="B988" s="35" t="s">
        <v>2222</v>
      </c>
      <c r="C988" s="35">
        <v>1311.0</v>
      </c>
      <c r="D988" s="35">
        <v>1280.0</v>
      </c>
      <c r="E988" s="35">
        <v>34210.0</v>
      </c>
      <c r="F988" s="35" t="s">
        <v>11</v>
      </c>
    </row>
    <row r="989" ht="22.5" customHeight="1">
      <c r="A989" s="37" t="s">
        <v>2223</v>
      </c>
      <c r="B989" s="35" t="s">
        <v>2224</v>
      </c>
      <c r="C989" s="35">
        <v>2185.0</v>
      </c>
      <c r="D989" s="35">
        <v>2416.0</v>
      </c>
      <c r="E989" s="35">
        <v>32780.0</v>
      </c>
      <c r="F989" s="35">
        <v>4.0</v>
      </c>
    </row>
    <row r="990" ht="22.5" customHeight="1">
      <c r="A990" s="37" t="s">
        <v>2225</v>
      </c>
      <c r="B990" s="35" t="s">
        <v>2226</v>
      </c>
      <c r="C990" s="35">
        <v>267.0</v>
      </c>
      <c r="D990" s="35">
        <v>237.0</v>
      </c>
      <c r="E990" s="35">
        <v>27070.0</v>
      </c>
      <c r="F990" s="35" t="s">
        <v>11</v>
      </c>
    </row>
    <row r="991" ht="22.5" customHeight="1">
      <c r="A991" s="37" t="s">
        <v>2227</v>
      </c>
      <c r="B991" s="35" t="s">
        <v>2228</v>
      </c>
      <c r="C991" s="35">
        <v>692.0</v>
      </c>
      <c r="D991" s="35">
        <v>670.0</v>
      </c>
      <c r="E991" s="35">
        <v>28950.0</v>
      </c>
      <c r="F991" s="35" t="s">
        <v>11</v>
      </c>
    </row>
    <row r="992" ht="22.5" customHeight="1">
      <c r="A992" s="37" t="s">
        <v>2229</v>
      </c>
      <c r="B992" s="35" t="s">
        <v>2230</v>
      </c>
      <c r="C992" s="35">
        <v>479.0</v>
      </c>
      <c r="D992" s="35">
        <v>462.0</v>
      </c>
      <c r="E992" s="35">
        <v>25710.0</v>
      </c>
      <c r="F992" s="35" t="s">
        <v>11</v>
      </c>
    </row>
    <row r="993" ht="22.5" customHeight="1">
      <c r="A993" s="37" t="s">
        <v>2231</v>
      </c>
      <c r="B993" s="35" t="s">
        <v>2232</v>
      </c>
      <c r="C993" s="35">
        <v>600.0</v>
      </c>
      <c r="D993" s="35">
        <v>620.0</v>
      </c>
      <c r="E993" s="35">
        <v>31840.0</v>
      </c>
      <c r="F993" s="35" t="s">
        <v>11</v>
      </c>
    </row>
    <row r="994" ht="22.5" customHeight="1">
      <c r="A994" s="37" t="s">
        <v>2233</v>
      </c>
      <c r="B994" s="35" t="s">
        <v>2234</v>
      </c>
      <c r="C994" s="35">
        <v>5158.0</v>
      </c>
      <c r="D994" s="35">
        <v>5341.0</v>
      </c>
      <c r="E994" s="35">
        <v>25920.0</v>
      </c>
      <c r="F994" s="35">
        <v>9.0</v>
      </c>
    </row>
    <row r="995" ht="22.5" customHeight="1">
      <c r="A995" s="37" t="s">
        <v>2235</v>
      </c>
      <c r="B995" s="35" t="s">
        <v>2236</v>
      </c>
      <c r="C995" s="35">
        <v>1592.0</v>
      </c>
      <c r="D995" s="35">
        <v>1586.0</v>
      </c>
      <c r="E995" s="35">
        <v>25600.0</v>
      </c>
      <c r="F995" s="35" t="s">
        <v>11</v>
      </c>
    </row>
    <row r="996" ht="22.5" customHeight="1">
      <c r="A996" s="37" t="s">
        <v>2237</v>
      </c>
      <c r="B996" s="35" t="s">
        <v>2238</v>
      </c>
      <c r="C996" s="35">
        <v>470.0</v>
      </c>
      <c r="D996" s="35">
        <v>479.0</v>
      </c>
      <c r="E996" s="35">
        <v>27200.0</v>
      </c>
      <c r="F996" s="35" t="s">
        <v>11</v>
      </c>
    </row>
    <row r="997" ht="22.5" customHeight="1">
      <c r="A997" s="37" t="s">
        <v>2239</v>
      </c>
      <c r="B997" s="35" t="s">
        <v>2240</v>
      </c>
      <c r="C997" s="35">
        <v>9619.0</v>
      </c>
      <c r="D997" s="35">
        <v>9039.0</v>
      </c>
      <c r="E997" s="35">
        <v>19690.0</v>
      </c>
      <c r="F997" s="35">
        <v>30.0</v>
      </c>
    </row>
    <row r="998" ht="22.5" customHeight="1">
      <c r="A998" s="37" t="s">
        <v>2241</v>
      </c>
      <c r="B998" s="35" t="s">
        <v>2242</v>
      </c>
      <c r="C998" s="35">
        <v>3257.0</v>
      </c>
      <c r="D998" s="35">
        <v>3171.0</v>
      </c>
      <c r="E998" s="35">
        <v>22420.0</v>
      </c>
      <c r="F998" s="35">
        <v>20.0</v>
      </c>
    </row>
    <row r="999" ht="22.5" customHeight="1">
      <c r="A999" s="37" t="s">
        <v>2243</v>
      </c>
      <c r="B999" s="35" t="s">
        <v>2244</v>
      </c>
      <c r="C999" s="35">
        <v>4192.0</v>
      </c>
      <c r="D999" s="35">
        <v>4202.0</v>
      </c>
      <c r="E999" s="35">
        <v>17960.0</v>
      </c>
      <c r="F999" s="35">
        <v>36.0</v>
      </c>
    </row>
    <row r="1000" ht="22.5" customHeight="1">
      <c r="A1000" s="37" t="s">
        <v>2245</v>
      </c>
      <c r="B1000" s="35" t="s">
        <v>2246</v>
      </c>
      <c r="C1000" s="35">
        <v>299.0</v>
      </c>
      <c r="D1000" s="35">
        <v>302.0</v>
      </c>
      <c r="E1000" s="35">
        <v>40440.0</v>
      </c>
      <c r="F1000" s="35" t="s">
        <v>11</v>
      </c>
    </row>
    <row r="1001" ht="22.5" customHeight="1">
      <c r="A1001" s="37" t="s">
        <v>2247</v>
      </c>
      <c r="B1001" s="35" t="s">
        <v>2248</v>
      </c>
      <c r="C1001" s="35">
        <v>679.0</v>
      </c>
      <c r="D1001" s="35">
        <v>656.0</v>
      </c>
      <c r="E1001" s="35">
        <v>24040.0</v>
      </c>
      <c r="F1001" s="35" t="s">
        <v>11</v>
      </c>
    </row>
    <row r="1002" ht="22.5" customHeight="1">
      <c r="A1002" s="37" t="s">
        <v>2249</v>
      </c>
      <c r="B1002" s="35" t="s">
        <v>2250</v>
      </c>
      <c r="C1002" s="35">
        <v>2115.0</v>
      </c>
      <c r="D1002" s="35">
        <v>2137.0</v>
      </c>
      <c r="E1002" s="35">
        <v>26920.0</v>
      </c>
      <c r="F1002" s="35">
        <v>11.0</v>
      </c>
    </row>
    <row r="1003" ht="22.5" customHeight="1">
      <c r="A1003" s="37" t="s">
        <v>2251</v>
      </c>
      <c r="B1003" s="35" t="s">
        <v>2252</v>
      </c>
      <c r="C1003" s="35">
        <v>891.0</v>
      </c>
      <c r="D1003" s="35">
        <v>893.0</v>
      </c>
      <c r="E1003" s="35">
        <v>26740.0</v>
      </c>
      <c r="F1003" s="35" t="s">
        <v>11</v>
      </c>
    </row>
    <row r="1004" ht="22.5" customHeight="1">
      <c r="A1004" s="37" t="s">
        <v>2253</v>
      </c>
      <c r="B1004" s="35" t="s">
        <v>2254</v>
      </c>
      <c r="C1004" s="35">
        <v>6379.0</v>
      </c>
      <c r="D1004" s="35">
        <v>6525.0</v>
      </c>
      <c r="E1004" s="35">
        <v>24530.0</v>
      </c>
      <c r="F1004" s="35">
        <v>13.0</v>
      </c>
    </row>
    <row r="1005" ht="22.5" customHeight="1">
      <c r="A1005" s="37" t="s">
        <v>2255</v>
      </c>
      <c r="B1005" s="35" t="s">
        <v>2256</v>
      </c>
      <c r="C1005" s="35">
        <v>461.0</v>
      </c>
      <c r="D1005" s="35">
        <v>475.0</v>
      </c>
      <c r="E1005" s="35">
        <v>27120.0</v>
      </c>
      <c r="F1005" s="35" t="s">
        <v>11</v>
      </c>
    </row>
    <row r="1006" ht="22.5" customHeight="1">
      <c r="A1006" s="37" t="s">
        <v>2257</v>
      </c>
      <c r="B1006" s="35" t="s">
        <v>811</v>
      </c>
      <c r="C1006" s="35">
        <v>1112.0</v>
      </c>
      <c r="D1006" s="35">
        <v>1134.0</v>
      </c>
      <c r="E1006" s="35">
        <v>28340.0</v>
      </c>
      <c r="F1006" s="35" t="s">
        <v>11</v>
      </c>
    </row>
    <row r="1007" ht="22.5" customHeight="1">
      <c r="A1007" s="37" t="s">
        <v>2258</v>
      </c>
      <c r="B1007" s="35" t="s">
        <v>2259</v>
      </c>
      <c r="C1007" s="35">
        <v>956.0</v>
      </c>
      <c r="D1007" s="35">
        <v>937.0</v>
      </c>
      <c r="E1007" s="35">
        <v>31680.0</v>
      </c>
      <c r="F1007" s="35" t="s">
        <v>11</v>
      </c>
    </row>
    <row r="1008" ht="22.5" customHeight="1">
      <c r="A1008" s="37" t="s">
        <v>2260</v>
      </c>
      <c r="B1008" s="35" t="s">
        <v>2261</v>
      </c>
      <c r="C1008" s="35">
        <v>352.0</v>
      </c>
      <c r="D1008" s="35">
        <v>363.0</v>
      </c>
      <c r="E1008" s="35">
        <v>28550.0</v>
      </c>
      <c r="F1008" s="35" t="s">
        <v>11</v>
      </c>
    </row>
    <row r="1009" ht="22.5" customHeight="1">
      <c r="A1009" s="37" t="s">
        <v>2262</v>
      </c>
      <c r="B1009" s="35" t="s">
        <v>2263</v>
      </c>
      <c r="C1009" s="35">
        <v>340.0</v>
      </c>
      <c r="D1009" s="35">
        <v>328.0</v>
      </c>
      <c r="E1009" s="35">
        <v>36880.0</v>
      </c>
      <c r="F1009" s="35" t="s">
        <v>11</v>
      </c>
    </row>
    <row r="1010" ht="22.5" customHeight="1">
      <c r="A1010" s="37" t="s">
        <v>2264</v>
      </c>
      <c r="B1010" s="35" t="s">
        <v>2265</v>
      </c>
      <c r="C1010" s="35">
        <v>1319.0</v>
      </c>
      <c r="D1010" s="35">
        <v>1233.0</v>
      </c>
      <c r="E1010" s="35">
        <v>23040.0</v>
      </c>
      <c r="F1010" s="35" t="s">
        <v>11</v>
      </c>
    </row>
    <row r="1011" ht="22.5" customHeight="1">
      <c r="A1011" s="37" t="s">
        <v>2266</v>
      </c>
      <c r="B1011" s="35" t="s">
        <v>2267</v>
      </c>
      <c r="C1011" s="35">
        <v>709.0</v>
      </c>
      <c r="D1011" s="35">
        <v>725.0</v>
      </c>
      <c r="E1011" s="35">
        <v>28590.0</v>
      </c>
      <c r="F1011" s="35" t="s">
        <v>11</v>
      </c>
    </row>
    <row r="1012" ht="22.5" customHeight="1">
      <c r="A1012" s="37" t="s">
        <v>2268</v>
      </c>
      <c r="B1012" s="35" t="s">
        <v>2269</v>
      </c>
      <c r="C1012" s="35">
        <v>17835.0</v>
      </c>
      <c r="D1012" s="35">
        <v>18619.0</v>
      </c>
      <c r="E1012" s="35">
        <v>24290.0</v>
      </c>
      <c r="F1012" s="35">
        <v>20.0</v>
      </c>
    </row>
    <row r="1013" ht="22.5" customHeight="1">
      <c r="A1013" s="37" t="s">
        <v>2270</v>
      </c>
      <c r="B1013" s="35" t="s">
        <v>2271</v>
      </c>
      <c r="C1013" s="35">
        <v>2517.0</v>
      </c>
      <c r="D1013" s="35">
        <v>2474.0</v>
      </c>
      <c r="E1013" s="35">
        <v>27390.0</v>
      </c>
      <c r="F1013" s="35">
        <v>16.0</v>
      </c>
    </row>
    <row r="1014" ht="22.5" customHeight="1">
      <c r="A1014" s="37" t="s">
        <v>2272</v>
      </c>
      <c r="B1014" s="35" t="s">
        <v>2273</v>
      </c>
      <c r="C1014" s="35">
        <v>2172.0</v>
      </c>
      <c r="D1014" s="35">
        <v>2278.0</v>
      </c>
      <c r="E1014" s="35">
        <v>30940.0</v>
      </c>
      <c r="F1014" s="35">
        <v>5.0</v>
      </c>
    </row>
    <row r="1015" ht="22.5" customHeight="1">
      <c r="A1015" s="37" t="s">
        <v>2274</v>
      </c>
      <c r="B1015" s="35" t="s">
        <v>2275</v>
      </c>
      <c r="C1015" s="35">
        <v>511.0</v>
      </c>
      <c r="D1015" s="35">
        <v>506.0</v>
      </c>
      <c r="E1015" s="35">
        <v>23090.0</v>
      </c>
      <c r="F1015" s="35" t="s">
        <v>11</v>
      </c>
    </row>
    <row r="1016" ht="22.5" customHeight="1">
      <c r="A1016" s="37" t="s">
        <v>2276</v>
      </c>
      <c r="B1016" s="35" t="s">
        <v>2277</v>
      </c>
      <c r="C1016" s="35">
        <v>1745.0</v>
      </c>
      <c r="D1016" s="35">
        <v>1635.0</v>
      </c>
      <c r="E1016" s="35">
        <v>24690.0</v>
      </c>
      <c r="F1016" s="35" t="s">
        <v>11</v>
      </c>
    </row>
    <row r="1017" ht="22.5" customHeight="1">
      <c r="A1017" s="37" t="s">
        <v>2278</v>
      </c>
      <c r="B1017" s="35" t="s">
        <v>2279</v>
      </c>
      <c r="C1017" s="35">
        <v>6881.0</v>
      </c>
      <c r="D1017" s="35">
        <v>6703.0</v>
      </c>
      <c r="E1017" s="35">
        <v>21780.0</v>
      </c>
      <c r="F1017" s="35">
        <v>25.0</v>
      </c>
    </row>
    <row r="1018" ht="22.5" customHeight="1">
      <c r="A1018" s="37" t="s">
        <v>2280</v>
      </c>
      <c r="B1018" s="35" t="s">
        <v>2281</v>
      </c>
      <c r="C1018" s="35">
        <v>1420.0</v>
      </c>
      <c r="D1018" s="35">
        <v>1433.0</v>
      </c>
      <c r="E1018" s="35">
        <v>24460.0</v>
      </c>
      <c r="F1018" s="35" t="s">
        <v>11</v>
      </c>
    </row>
    <row r="1019" ht="22.5" customHeight="1">
      <c r="A1019" s="37" t="s">
        <v>2282</v>
      </c>
      <c r="B1019" s="35" t="s">
        <v>2283</v>
      </c>
      <c r="C1019" s="35">
        <v>5385.0</v>
      </c>
      <c r="D1019" s="35">
        <v>5441.0</v>
      </c>
      <c r="E1019" s="35">
        <v>22250.0</v>
      </c>
      <c r="F1019" s="35">
        <v>19.0</v>
      </c>
    </row>
    <row r="1020" ht="22.5" customHeight="1">
      <c r="A1020" s="37" t="s">
        <v>2284</v>
      </c>
      <c r="B1020" s="35" t="s">
        <v>2285</v>
      </c>
      <c r="C1020" s="35">
        <v>1455.0</v>
      </c>
      <c r="D1020" s="35">
        <v>1432.0</v>
      </c>
      <c r="E1020" s="35">
        <v>27930.0</v>
      </c>
      <c r="F1020" s="35" t="s">
        <v>11</v>
      </c>
    </row>
    <row r="1021" ht="22.5" customHeight="1">
      <c r="A1021" s="37" t="s">
        <v>2286</v>
      </c>
      <c r="B1021" s="35" t="s">
        <v>2287</v>
      </c>
      <c r="C1021" s="35">
        <v>567.0</v>
      </c>
      <c r="D1021" s="35">
        <v>514.0</v>
      </c>
      <c r="E1021" s="35">
        <v>23920.0</v>
      </c>
      <c r="F1021" s="35" t="s">
        <v>11</v>
      </c>
    </row>
    <row r="1022" ht="22.5" customHeight="1">
      <c r="A1022" s="37" t="s">
        <v>2288</v>
      </c>
      <c r="B1022" s="35" t="s">
        <v>2289</v>
      </c>
      <c r="C1022" s="35">
        <v>5301.0</v>
      </c>
      <c r="D1022" s="35">
        <v>5131.0</v>
      </c>
      <c r="E1022" s="35">
        <v>21330.0</v>
      </c>
      <c r="F1022" s="35">
        <v>25.0</v>
      </c>
    </row>
    <row r="1023" ht="22.5" customHeight="1">
      <c r="A1023" s="37" t="s">
        <v>2290</v>
      </c>
      <c r="B1023" s="35" t="s">
        <v>2291</v>
      </c>
      <c r="C1023" s="35">
        <v>1066.0</v>
      </c>
      <c r="D1023" s="35">
        <v>1024.0</v>
      </c>
      <c r="E1023" s="35">
        <v>23320.0</v>
      </c>
      <c r="F1023" s="35" t="s">
        <v>11</v>
      </c>
    </row>
    <row r="1024" ht="22.5" customHeight="1">
      <c r="A1024" s="37" t="s">
        <v>2292</v>
      </c>
      <c r="B1024" s="35" t="s">
        <v>847</v>
      </c>
      <c r="C1024" s="35">
        <v>420.0</v>
      </c>
      <c r="D1024" s="35">
        <v>431.0</v>
      </c>
      <c r="E1024" s="35">
        <v>28240.0</v>
      </c>
      <c r="F1024" s="35" t="s">
        <v>11</v>
      </c>
    </row>
    <row r="1025" ht="22.5" customHeight="1">
      <c r="A1025" s="37" t="s">
        <v>2293</v>
      </c>
      <c r="B1025" s="35" t="s">
        <v>2294</v>
      </c>
      <c r="C1025" s="35">
        <v>382.0</v>
      </c>
      <c r="D1025" s="35">
        <v>342.0</v>
      </c>
      <c r="E1025" s="35">
        <v>23850.0</v>
      </c>
      <c r="F1025" s="35" t="s">
        <v>11</v>
      </c>
    </row>
    <row r="1026" ht="22.5" customHeight="1">
      <c r="A1026" s="37" t="s">
        <v>2295</v>
      </c>
      <c r="B1026" s="35" t="s">
        <v>2296</v>
      </c>
      <c r="C1026" s="35">
        <v>5856.0</v>
      </c>
      <c r="D1026" s="35">
        <v>5424.0</v>
      </c>
      <c r="E1026" s="35">
        <v>21660.0</v>
      </c>
      <c r="F1026" s="35">
        <v>23.0</v>
      </c>
    </row>
    <row r="1027" ht="22.5" customHeight="1">
      <c r="A1027" s="37" t="s">
        <v>2297</v>
      </c>
      <c r="B1027" s="35" t="s">
        <v>2298</v>
      </c>
      <c r="C1027" s="35">
        <v>261.0</v>
      </c>
      <c r="D1027" s="35">
        <v>276.0</v>
      </c>
      <c r="E1027" s="35">
        <v>25830.0</v>
      </c>
      <c r="F1027" s="35" t="s">
        <v>11</v>
      </c>
    </row>
    <row r="1028" ht="22.5" customHeight="1">
      <c r="A1028" s="37" t="s">
        <v>2299</v>
      </c>
      <c r="B1028" s="35" t="s">
        <v>2300</v>
      </c>
      <c r="C1028" s="35">
        <v>972.0</v>
      </c>
      <c r="D1028" s="35">
        <v>923.0</v>
      </c>
      <c r="E1028" s="35">
        <v>28370.0</v>
      </c>
      <c r="F1028" s="35" t="s">
        <v>11</v>
      </c>
    </row>
    <row r="1029" ht="22.5" customHeight="1">
      <c r="A1029" s="37" t="s">
        <v>2301</v>
      </c>
      <c r="B1029" s="35" t="s">
        <v>2302</v>
      </c>
      <c r="C1029" s="35">
        <v>1646.0</v>
      </c>
      <c r="D1029" s="35">
        <v>1685.0</v>
      </c>
      <c r="E1029" s="35">
        <v>27200.0</v>
      </c>
      <c r="F1029" s="35" t="s">
        <v>11</v>
      </c>
    </row>
    <row r="1030" ht="22.5" customHeight="1">
      <c r="A1030" s="37" t="s">
        <v>2303</v>
      </c>
      <c r="B1030" s="35" t="s">
        <v>2304</v>
      </c>
      <c r="C1030" s="35">
        <v>5570.0</v>
      </c>
      <c r="D1030" s="35">
        <v>5745.0</v>
      </c>
      <c r="E1030" s="35">
        <v>26580.0</v>
      </c>
      <c r="F1030" s="35">
        <v>11.0</v>
      </c>
    </row>
    <row r="1031" ht="22.5" customHeight="1">
      <c r="A1031" s="37" t="s">
        <v>2305</v>
      </c>
      <c r="B1031" s="35" t="s">
        <v>2306</v>
      </c>
      <c r="C1031" s="35">
        <v>128.0</v>
      </c>
      <c r="D1031" s="35">
        <v>131.0</v>
      </c>
      <c r="E1031" s="35">
        <v>30310.0</v>
      </c>
      <c r="F1031" s="35" t="s">
        <v>11</v>
      </c>
    </row>
    <row r="1032" ht="22.5" customHeight="1">
      <c r="A1032" s="37" t="s">
        <v>2307</v>
      </c>
      <c r="B1032" s="35" t="s">
        <v>2308</v>
      </c>
      <c r="C1032" s="35">
        <v>532.0</v>
      </c>
      <c r="D1032" s="35">
        <v>505.0</v>
      </c>
      <c r="E1032" s="35">
        <v>22990.0</v>
      </c>
      <c r="F1032" s="35" t="s">
        <v>11</v>
      </c>
    </row>
    <row r="1033" ht="22.5" customHeight="1">
      <c r="A1033" s="37" t="s">
        <v>2309</v>
      </c>
      <c r="B1033" s="35" t="s">
        <v>2310</v>
      </c>
      <c r="C1033" s="35">
        <v>682.0</v>
      </c>
      <c r="D1033" s="35">
        <v>687.0</v>
      </c>
      <c r="E1033" s="35">
        <v>25780.0</v>
      </c>
      <c r="F1033" s="35" t="s">
        <v>11</v>
      </c>
    </row>
    <row r="1034" ht="22.5" customHeight="1">
      <c r="A1034" s="37" t="s">
        <v>2311</v>
      </c>
      <c r="B1034" s="35" t="s">
        <v>2312</v>
      </c>
      <c r="C1034" s="35">
        <v>1215.0</v>
      </c>
      <c r="D1034" s="35">
        <v>1214.0</v>
      </c>
      <c r="E1034" s="35">
        <v>23820.0</v>
      </c>
      <c r="F1034" s="35" t="s">
        <v>11</v>
      </c>
    </row>
    <row r="1035" ht="22.5" customHeight="1">
      <c r="A1035" s="37" t="s">
        <v>2313</v>
      </c>
      <c r="B1035" s="35" t="s">
        <v>865</v>
      </c>
      <c r="C1035" s="35">
        <v>1780.0</v>
      </c>
      <c r="D1035" s="35">
        <v>1754.0</v>
      </c>
      <c r="E1035" s="35">
        <v>26030.0</v>
      </c>
      <c r="F1035" s="35" t="s">
        <v>11</v>
      </c>
    </row>
    <row r="1036" ht="22.5" customHeight="1">
      <c r="A1036" s="37" t="s">
        <v>2314</v>
      </c>
      <c r="B1036" s="35" t="s">
        <v>2315</v>
      </c>
      <c r="C1036" s="35">
        <v>565.0</v>
      </c>
      <c r="D1036" s="35">
        <v>549.0</v>
      </c>
      <c r="E1036" s="35">
        <v>25060.0</v>
      </c>
      <c r="F1036" s="35" t="s">
        <v>11</v>
      </c>
    </row>
    <row r="1037" ht="22.5" customHeight="1">
      <c r="A1037" s="37" t="s">
        <v>2316</v>
      </c>
      <c r="B1037" s="35" t="s">
        <v>2317</v>
      </c>
      <c r="C1037" s="35">
        <v>1457.0</v>
      </c>
      <c r="D1037" s="35">
        <v>1662.0</v>
      </c>
      <c r="E1037" s="35">
        <v>31300.0</v>
      </c>
      <c r="F1037" s="35" t="s">
        <v>11</v>
      </c>
    </row>
    <row r="1038" ht="22.5" customHeight="1">
      <c r="A1038" s="37" t="s">
        <v>2318</v>
      </c>
      <c r="B1038" s="35" t="s">
        <v>2319</v>
      </c>
      <c r="C1038" s="35">
        <v>11727.0</v>
      </c>
      <c r="D1038" s="35">
        <v>11449.0</v>
      </c>
      <c r="E1038" s="35">
        <v>18550.0</v>
      </c>
      <c r="F1038" s="35">
        <v>35.0</v>
      </c>
    </row>
    <row r="1039" ht="22.5" customHeight="1">
      <c r="A1039" s="37" t="s">
        <v>2320</v>
      </c>
      <c r="B1039" s="35" t="s">
        <v>2321</v>
      </c>
      <c r="C1039" s="35">
        <v>2220.0</v>
      </c>
      <c r="D1039" s="35">
        <v>2179.0</v>
      </c>
      <c r="E1039" s="35">
        <v>33410.0</v>
      </c>
      <c r="F1039" s="35">
        <v>4.0</v>
      </c>
    </row>
    <row r="1040" ht="22.5" customHeight="1">
      <c r="A1040" s="37" t="s">
        <v>2322</v>
      </c>
      <c r="B1040" s="35" t="s">
        <v>2323</v>
      </c>
      <c r="C1040" s="35">
        <v>378.0</v>
      </c>
      <c r="D1040" s="35">
        <v>389.0</v>
      </c>
      <c r="E1040" s="35">
        <v>28410.0</v>
      </c>
      <c r="F1040" s="35" t="s">
        <v>11</v>
      </c>
    </row>
    <row r="1041" ht="22.5" customHeight="1">
      <c r="A1041" s="37" t="s">
        <v>2324</v>
      </c>
      <c r="B1041" s="35" t="s">
        <v>2325</v>
      </c>
      <c r="C1041" s="35">
        <v>2415.0</v>
      </c>
      <c r="D1041" s="35">
        <v>2609.0</v>
      </c>
      <c r="E1041" s="35">
        <v>28360.0</v>
      </c>
      <c r="F1041" s="35">
        <v>8.0</v>
      </c>
    </row>
    <row r="1042" ht="22.5" customHeight="1">
      <c r="A1042" s="37" t="s">
        <v>2326</v>
      </c>
      <c r="B1042" s="35" t="s">
        <v>2327</v>
      </c>
      <c r="C1042" s="35">
        <v>7565.0</v>
      </c>
      <c r="D1042" s="35">
        <v>7354.0</v>
      </c>
      <c r="E1042" s="35">
        <v>20160.0</v>
      </c>
      <c r="F1042" s="35">
        <v>28.0</v>
      </c>
    </row>
    <row r="1043" ht="22.5" customHeight="1">
      <c r="A1043" s="37" t="s">
        <v>2328</v>
      </c>
      <c r="B1043" s="35" t="s">
        <v>2329</v>
      </c>
      <c r="C1043" s="35">
        <v>877.0</v>
      </c>
      <c r="D1043" s="35">
        <v>919.0</v>
      </c>
      <c r="E1043" s="35">
        <v>27010.0</v>
      </c>
      <c r="F1043" s="35" t="s">
        <v>11</v>
      </c>
    </row>
    <row r="1044" ht="22.5" customHeight="1">
      <c r="A1044" s="37" t="s">
        <v>2330</v>
      </c>
      <c r="B1044" s="35" t="s">
        <v>2331</v>
      </c>
      <c r="C1044" s="35">
        <v>572.0</v>
      </c>
      <c r="D1044" s="35">
        <v>571.0</v>
      </c>
      <c r="E1044" s="35">
        <v>25910.0</v>
      </c>
      <c r="F1044" s="35" t="s">
        <v>11</v>
      </c>
    </row>
    <row r="1045" ht="22.5" customHeight="1">
      <c r="A1045" s="37" t="s">
        <v>2332</v>
      </c>
      <c r="B1045" s="35" t="s">
        <v>2333</v>
      </c>
      <c r="C1045" s="35">
        <v>3380.0</v>
      </c>
      <c r="D1045" s="35">
        <v>3214.0</v>
      </c>
      <c r="E1045" s="35">
        <v>29130.0</v>
      </c>
      <c r="F1045" s="35">
        <v>8.0</v>
      </c>
    </row>
    <row r="1046" ht="22.5" customHeight="1">
      <c r="A1046" s="37" t="s">
        <v>2334</v>
      </c>
      <c r="B1046" s="35" t="s">
        <v>2335</v>
      </c>
      <c r="C1046" s="35">
        <v>958.0</v>
      </c>
      <c r="D1046" s="35">
        <v>1161.0</v>
      </c>
      <c r="E1046" s="35">
        <v>31990.0</v>
      </c>
      <c r="F1046" s="35" t="s">
        <v>11</v>
      </c>
    </row>
    <row r="1047" ht="22.5" customHeight="1">
      <c r="A1047" s="37" t="s">
        <v>2336</v>
      </c>
      <c r="B1047" s="35" t="s">
        <v>2337</v>
      </c>
      <c r="C1047" s="35">
        <v>2702.0</v>
      </c>
      <c r="D1047" s="35">
        <v>2803.0</v>
      </c>
      <c r="E1047" s="35">
        <v>31380.0</v>
      </c>
      <c r="F1047" s="35">
        <v>5.0</v>
      </c>
    </row>
    <row r="1048" ht="22.5" customHeight="1">
      <c r="A1048" s="37" t="s">
        <v>2338</v>
      </c>
      <c r="B1048" s="35" t="s">
        <v>2339</v>
      </c>
      <c r="C1048" s="35">
        <v>520.0</v>
      </c>
      <c r="D1048" s="35">
        <v>505.0</v>
      </c>
      <c r="E1048" s="35">
        <v>30310.0</v>
      </c>
      <c r="F1048" s="35" t="s">
        <v>11</v>
      </c>
    </row>
    <row r="1049" ht="22.5" customHeight="1">
      <c r="A1049" s="37" t="s">
        <v>2340</v>
      </c>
      <c r="B1049" s="35" t="s">
        <v>2341</v>
      </c>
      <c r="C1049" s="35">
        <v>4193.0</v>
      </c>
      <c r="D1049" s="35">
        <v>4133.0</v>
      </c>
      <c r="E1049" s="35">
        <v>26930.0</v>
      </c>
      <c r="F1049" s="35">
        <v>9.0</v>
      </c>
    </row>
    <row r="1050" ht="22.5" customHeight="1">
      <c r="A1050" s="37" t="s">
        <v>2342</v>
      </c>
      <c r="B1050" s="35" t="s">
        <v>2343</v>
      </c>
      <c r="C1050" s="35">
        <v>1807.0</v>
      </c>
      <c r="D1050" s="35">
        <v>1699.0</v>
      </c>
      <c r="E1050" s="35">
        <v>21310.0</v>
      </c>
      <c r="F1050" s="35" t="s">
        <v>11</v>
      </c>
    </row>
    <row r="1051" ht="22.5" customHeight="1">
      <c r="A1051" s="37" t="s">
        <v>2344</v>
      </c>
      <c r="B1051" s="35" t="s">
        <v>2345</v>
      </c>
      <c r="C1051" s="35">
        <v>2051.0</v>
      </c>
      <c r="D1051" s="35">
        <v>2024.0</v>
      </c>
      <c r="E1051" s="35">
        <v>26880.0</v>
      </c>
      <c r="F1051" s="35" t="s">
        <v>11</v>
      </c>
    </row>
    <row r="1052" ht="22.5" customHeight="1">
      <c r="A1052" s="37" t="s">
        <v>2346</v>
      </c>
      <c r="B1052" s="35" t="s">
        <v>2347</v>
      </c>
      <c r="C1052" s="35">
        <v>1026.0</v>
      </c>
      <c r="D1052" s="35">
        <v>1070.0</v>
      </c>
      <c r="E1052" s="35">
        <v>29160.0</v>
      </c>
      <c r="F1052" s="35" t="s">
        <v>11</v>
      </c>
    </row>
    <row r="1053" ht="22.5" customHeight="1">
      <c r="A1053" s="37" t="s">
        <v>2348</v>
      </c>
      <c r="B1053" s="35" t="s">
        <v>2349</v>
      </c>
      <c r="C1053" s="35">
        <v>752.0</v>
      </c>
      <c r="D1053" s="35">
        <v>723.0</v>
      </c>
      <c r="E1053" s="35">
        <v>26430.0</v>
      </c>
      <c r="F1053" s="35" t="s">
        <v>11</v>
      </c>
    </row>
    <row r="1054" ht="22.5" customHeight="1">
      <c r="A1054" s="37" t="s">
        <v>2350</v>
      </c>
      <c r="B1054" s="35" t="s">
        <v>2351</v>
      </c>
      <c r="C1054" s="35">
        <v>2301.0</v>
      </c>
      <c r="D1054" s="35">
        <v>2264.0</v>
      </c>
      <c r="E1054" s="35">
        <v>28200.0</v>
      </c>
      <c r="F1054" s="35">
        <v>10.0</v>
      </c>
    </row>
    <row r="1055" ht="22.5" customHeight="1">
      <c r="A1055" s="37" t="s">
        <v>2352</v>
      </c>
      <c r="B1055" s="35" t="s">
        <v>2353</v>
      </c>
      <c r="C1055" s="35">
        <v>4055.0</v>
      </c>
      <c r="D1055" s="35">
        <v>4148.0</v>
      </c>
      <c r="E1055" s="35">
        <v>28710.0</v>
      </c>
      <c r="F1055" s="35">
        <v>7.0</v>
      </c>
    </row>
    <row r="1056" ht="22.5" customHeight="1">
      <c r="A1056" s="37" t="s">
        <v>2354</v>
      </c>
      <c r="B1056" s="35" t="s">
        <v>2355</v>
      </c>
      <c r="C1056" s="35">
        <v>309.0</v>
      </c>
      <c r="D1056" s="35">
        <v>279.0</v>
      </c>
      <c r="E1056" s="35">
        <v>24830.0</v>
      </c>
      <c r="F1056" s="35" t="s">
        <v>11</v>
      </c>
    </row>
    <row r="1057" ht="22.5" customHeight="1">
      <c r="A1057" s="37" t="s">
        <v>2356</v>
      </c>
      <c r="B1057" s="35" t="s">
        <v>2357</v>
      </c>
      <c r="C1057" s="35">
        <v>5635.0</v>
      </c>
      <c r="D1057" s="35">
        <v>5616.0</v>
      </c>
      <c r="E1057" s="35">
        <v>24600.0</v>
      </c>
      <c r="F1057" s="35">
        <v>12.0</v>
      </c>
    </row>
    <row r="1058" ht="22.5" customHeight="1">
      <c r="A1058" s="37" t="s">
        <v>2358</v>
      </c>
      <c r="B1058" s="35" t="s">
        <v>2359</v>
      </c>
      <c r="C1058" s="35">
        <v>1511.0</v>
      </c>
      <c r="D1058" s="35">
        <v>1413.0</v>
      </c>
      <c r="E1058" s="35">
        <v>23730.0</v>
      </c>
      <c r="F1058" s="35" t="s">
        <v>11</v>
      </c>
    </row>
    <row r="1059" ht="22.5" customHeight="1">
      <c r="A1059" s="37" t="s">
        <v>2360</v>
      </c>
      <c r="B1059" s="35" t="s">
        <v>2361</v>
      </c>
      <c r="C1059" s="35">
        <v>505.0</v>
      </c>
      <c r="D1059" s="35">
        <v>473.0</v>
      </c>
      <c r="E1059" s="35">
        <v>23440.0</v>
      </c>
      <c r="F1059" s="35" t="s">
        <v>11</v>
      </c>
    </row>
    <row r="1060" ht="22.5" customHeight="1">
      <c r="A1060" s="37" t="s">
        <v>2362</v>
      </c>
      <c r="B1060" s="35" t="s">
        <v>2363</v>
      </c>
      <c r="C1060" s="35">
        <v>22966.0</v>
      </c>
      <c r="D1060" s="35">
        <v>20239.0</v>
      </c>
      <c r="E1060" s="35">
        <v>18630.0</v>
      </c>
      <c r="F1060" s="35">
        <v>35.0</v>
      </c>
    </row>
    <row r="1061" ht="22.5" customHeight="1">
      <c r="A1061" s="37" t="s">
        <v>2364</v>
      </c>
      <c r="B1061" s="35" t="s">
        <v>2365</v>
      </c>
      <c r="C1061" s="35">
        <v>5048.0</v>
      </c>
      <c r="D1061" s="35">
        <v>4887.0</v>
      </c>
      <c r="E1061" s="35">
        <v>22490.0</v>
      </c>
      <c r="F1061" s="35">
        <v>19.0</v>
      </c>
    </row>
    <row r="1062" ht="22.5" customHeight="1">
      <c r="A1062" s="37" t="s">
        <v>2366</v>
      </c>
      <c r="B1062" s="35" t="s">
        <v>2367</v>
      </c>
      <c r="C1062" s="35">
        <v>11166.0</v>
      </c>
      <c r="D1062" s="35">
        <v>11430.0</v>
      </c>
      <c r="E1062" s="35">
        <v>24460.0</v>
      </c>
      <c r="F1062" s="35">
        <v>16.0</v>
      </c>
    </row>
    <row r="1063" ht="22.5" customHeight="1">
      <c r="A1063" s="37" t="s">
        <v>2368</v>
      </c>
      <c r="B1063" s="35" t="s">
        <v>2369</v>
      </c>
      <c r="C1063" s="35">
        <v>481.0</v>
      </c>
      <c r="D1063" s="35">
        <v>464.0</v>
      </c>
      <c r="E1063" s="35">
        <v>25500.0</v>
      </c>
      <c r="F1063" s="35" t="s">
        <v>11</v>
      </c>
    </row>
    <row r="1064" ht="22.5" customHeight="1">
      <c r="A1064" s="37" t="s">
        <v>2370</v>
      </c>
      <c r="B1064" s="35" t="s">
        <v>2371</v>
      </c>
      <c r="C1064" s="35">
        <v>1309.0</v>
      </c>
      <c r="D1064" s="35">
        <v>1207.0</v>
      </c>
      <c r="E1064" s="35">
        <v>38610.0</v>
      </c>
      <c r="F1064" s="35" t="s">
        <v>11</v>
      </c>
    </row>
    <row r="1065" ht="22.5" customHeight="1">
      <c r="A1065" s="37" t="s">
        <v>2372</v>
      </c>
      <c r="B1065" s="35" t="s">
        <v>2373</v>
      </c>
      <c r="C1065" s="35">
        <v>4677.0</v>
      </c>
      <c r="D1065" s="35">
        <v>4635.0</v>
      </c>
      <c r="E1065" s="35">
        <v>20990.0</v>
      </c>
      <c r="F1065" s="35">
        <v>25.0</v>
      </c>
    </row>
    <row r="1066" ht="22.5" customHeight="1">
      <c r="A1066" s="37" t="s">
        <v>2374</v>
      </c>
      <c r="B1066" s="35" t="s">
        <v>2375</v>
      </c>
      <c r="C1066" s="35">
        <v>334.0</v>
      </c>
      <c r="D1066" s="35">
        <v>353.0</v>
      </c>
      <c r="E1066" s="35">
        <v>29380.0</v>
      </c>
      <c r="F1066" s="35" t="s">
        <v>11</v>
      </c>
    </row>
    <row r="1067" ht="22.5" customHeight="1">
      <c r="A1067" s="37" t="s">
        <v>2376</v>
      </c>
      <c r="B1067" s="35" t="s">
        <v>2377</v>
      </c>
      <c r="C1067" s="35">
        <v>4436.0</v>
      </c>
      <c r="D1067" s="35">
        <v>4683.0</v>
      </c>
      <c r="E1067" s="35">
        <v>27180.0</v>
      </c>
      <c r="F1067" s="35">
        <v>8.0</v>
      </c>
    </row>
    <row r="1068" ht="22.5" customHeight="1">
      <c r="A1068" s="37" t="s">
        <v>2378</v>
      </c>
      <c r="B1068" s="35" t="s">
        <v>2379</v>
      </c>
      <c r="C1068" s="35">
        <v>20800.0</v>
      </c>
      <c r="D1068" s="35">
        <v>20715.0</v>
      </c>
      <c r="E1068" s="35">
        <v>23950.0</v>
      </c>
      <c r="F1068" s="35">
        <v>19.0</v>
      </c>
    </row>
    <row r="1069" ht="22.5" customHeight="1">
      <c r="A1069" s="37" t="s">
        <v>2380</v>
      </c>
      <c r="B1069" s="35" t="s">
        <v>2381</v>
      </c>
      <c r="C1069" s="35">
        <v>786.0</v>
      </c>
      <c r="D1069" s="35">
        <v>797.0</v>
      </c>
      <c r="E1069" s="35">
        <v>26210.0</v>
      </c>
      <c r="F1069" s="35" t="s">
        <v>11</v>
      </c>
    </row>
    <row r="1070" ht="22.5" customHeight="1">
      <c r="A1070" s="37" t="s">
        <v>2382</v>
      </c>
      <c r="B1070" s="35" t="s">
        <v>2383</v>
      </c>
      <c r="C1070" s="35">
        <v>1304.0</v>
      </c>
      <c r="D1070" s="35">
        <v>1244.0</v>
      </c>
      <c r="E1070" s="35">
        <v>27460.0</v>
      </c>
      <c r="F1070" s="35" t="s">
        <v>11</v>
      </c>
    </row>
    <row r="1071" ht="22.5" customHeight="1">
      <c r="A1071" s="37" t="s">
        <v>2384</v>
      </c>
      <c r="B1071" s="35" t="s">
        <v>2385</v>
      </c>
      <c r="C1071" s="35">
        <v>381.0</v>
      </c>
      <c r="D1071" s="35">
        <v>385.0</v>
      </c>
      <c r="E1071" s="35">
        <v>27210.0</v>
      </c>
      <c r="F1071" s="35" t="s">
        <v>11</v>
      </c>
    </row>
    <row r="1072" ht="22.5" customHeight="1">
      <c r="A1072" s="37" t="s">
        <v>2386</v>
      </c>
      <c r="B1072" s="35" t="s">
        <v>2387</v>
      </c>
      <c r="C1072" s="35">
        <v>607.0</v>
      </c>
      <c r="D1072" s="35">
        <v>599.0</v>
      </c>
      <c r="E1072" s="35">
        <v>28710.0</v>
      </c>
      <c r="F1072" s="35" t="s">
        <v>11</v>
      </c>
    </row>
    <row r="1073" ht="22.5" customHeight="1">
      <c r="A1073" s="37" t="s">
        <v>2388</v>
      </c>
      <c r="B1073" s="35" t="s">
        <v>2389</v>
      </c>
      <c r="C1073" s="35">
        <v>3862.0</v>
      </c>
      <c r="D1073" s="35">
        <v>3849.0</v>
      </c>
      <c r="E1073" s="35">
        <v>26080.0</v>
      </c>
      <c r="F1073" s="35">
        <v>11.0</v>
      </c>
    </row>
    <row r="1074" ht="22.5" customHeight="1">
      <c r="A1074" s="37" t="s">
        <v>2390</v>
      </c>
      <c r="B1074" s="35" t="s">
        <v>2391</v>
      </c>
      <c r="C1074" s="35">
        <v>2739.0</v>
      </c>
      <c r="D1074" s="35">
        <v>2626.0</v>
      </c>
      <c r="E1074" s="35">
        <v>24280.0</v>
      </c>
      <c r="F1074" s="35">
        <v>16.0</v>
      </c>
    </row>
    <row r="1075" ht="22.5" customHeight="1">
      <c r="A1075" s="37" t="s">
        <v>2392</v>
      </c>
      <c r="B1075" s="35" t="s">
        <v>2393</v>
      </c>
      <c r="C1075" s="35">
        <v>14936.0</v>
      </c>
      <c r="D1075" s="35">
        <v>15074.0</v>
      </c>
      <c r="E1075" s="35">
        <v>23630.0</v>
      </c>
      <c r="F1075" s="35">
        <v>18.0</v>
      </c>
    </row>
    <row r="1076" ht="22.5" customHeight="1">
      <c r="A1076" s="37" t="s">
        <v>2394</v>
      </c>
      <c r="B1076" s="35" t="s">
        <v>2395</v>
      </c>
      <c r="C1076" s="35">
        <v>198.0</v>
      </c>
      <c r="D1076" s="35">
        <v>193.0</v>
      </c>
      <c r="E1076" s="35">
        <v>25460.0</v>
      </c>
      <c r="F1076" s="35" t="s">
        <v>11</v>
      </c>
    </row>
    <row r="1077" ht="22.5" customHeight="1">
      <c r="A1077" s="37" t="s">
        <v>2396</v>
      </c>
      <c r="B1077" s="35" t="s">
        <v>2397</v>
      </c>
      <c r="C1077" s="35">
        <v>2306.0</v>
      </c>
      <c r="D1077" s="35">
        <v>2281.0</v>
      </c>
      <c r="E1077" s="35">
        <v>23810.0</v>
      </c>
      <c r="F1077" s="35">
        <v>18.0</v>
      </c>
    </row>
    <row r="1078" ht="22.5" customHeight="1">
      <c r="A1078" s="37" t="s">
        <v>2398</v>
      </c>
      <c r="B1078" s="35" t="s">
        <v>2399</v>
      </c>
      <c r="C1078" s="35">
        <v>1531.0</v>
      </c>
      <c r="D1078" s="35">
        <v>1451.0</v>
      </c>
      <c r="E1078" s="35">
        <v>24040.0</v>
      </c>
      <c r="F1078" s="35" t="s">
        <v>11</v>
      </c>
    </row>
    <row r="1079" ht="22.5" customHeight="1">
      <c r="A1079" s="37" t="s">
        <v>2400</v>
      </c>
      <c r="B1079" s="35" t="s">
        <v>2401</v>
      </c>
      <c r="C1079" s="35">
        <v>391.0</v>
      </c>
      <c r="D1079" s="35">
        <v>361.0</v>
      </c>
      <c r="E1079" s="35">
        <v>25670.0</v>
      </c>
      <c r="F1079" s="35" t="s">
        <v>11</v>
      </c>
    </row>
    <row r="1080" ht="22.5" customHeight="1">
      <c r="A1080" s="37" t="s">
        <v>2402</v>
      </c>
      <c r="B1080" s="35" t="s">
        <v>2403</v>
      </c>
      <c r="C1080" s="35">
        <v>14574.0</v>
      </c>
      <c r="D1080" s="35">
        <v>14152.0</v>
      </c>
      <c r="E1080" s="35">
        <v>18300.0</v>
      </c>
      <c r="F1080" s="35">
        <v>35.0</v>
      </c>
    </row>
    <row r="1081" ht="22.5" customHeight="1">
      <c r="A1081" s="37" t="s">
        <v>2404</v>
      </c>
      <c r="B1081" s="35" t="s">
        <v>2405</v>
      </c>
      <c r="C1081" s="35">
        <v>3174.0</v>
      </c>
      <c r="D1081" s="35">
        <v>3222.0</v>
      </c>
      <c r="E1081" s="35">
        <v>20070.0</v>
      </c>
      <c r="F1081" s="35">
        <v>28.0</v>
      </c>
    </row>
    <row r="1082" ht="22.5" customHeight="1">
      <c r="A1082" s="37" t="s">
        <v>2406</v>
      </c>
      <c r="B1082" s="35" t="s">
        <v>2407</v>
      </c>
      <c r="C1082" s="35">
        <v>1425.0</v>
      </c>
      <c r="D1082" s="35">
        <v>1376.0</v>
      </c>
      <c r="E1082" s="35">
        <v>26460.0</v>
      </c>
      <c r="F1082" s="35" t="s">
        <v>11</v>
      </c>
    </row>
    <row r="1083" ht="22.5" customHeight="1">
      <c r="A1083" s="37" t="s">
        <v>2408</v>
      </c>
      <c r="B1083" s="35" t="s">
        <v>2409</v>
      </c>
      <c r="C1083" s="35">
        <v>321.0</v>
      </c>
      <c r="D1083" s="35">
        <v>307.0</v>
      </c>
      <c r="E1083" s="35">
        <v>27340.0</v>
      </c>
      <c r="F1083" s="35" t="s">
        <v>11</v>
      </c>
    </row>
    <row r="1084" ht="22.5" customHeight="1">
      <c r="A1084" s="37" t="s">
        <v>2410</v>
      </c>
      <c r="B1084" s="35" t="s">
        <v>2411</v>
      </c>
      <c r="C1084" s="35">
        <v>21441.0</v>
      </c>
      <c r="D1084" s="35">
        <v>21912.0</v>
      </c>
      <c r="E1084" s="35">
        <v>23680.0</v>
      </c>
      <c r="F1084" s="35">
        <v>15.9</v>
      </c>
    </row>
    <row r="1085" ht="22.5" customHeight="1">
      <c r="A1085" s="37" t="s">
        <v>2412</v>
      </c>
      <c r="B1085" s="35" t="s">
        <v>2413</v>
      </c>
      <c r="C1085" s="35">
        <v>360.0</v>
      </c>
      <c r="D1085" s="35">
        <v>353.0</v>
      </c>
      <c r="E1085" s="35">
        <v>25450.0</v>
      </c>
      <c r="F1085" s="35" t="s">
        <v>11</v>
      </c>
    </row>
    <row r="1086" ht="22.5" customHeight="1">
      <c r="A1086" s="37" t="s">
        <v>2414</v>
      </c>
      <c r="B1086" s="35" t="s">
        <v>2415</v>
      </c>
      <c r="C1086" s="35">
        <v>1975.0</v>
      </c>
      <c r="D1086" s="35">
        <v>1907.0</v>
      </c>
      <c r="E1086" s="35">
        <v>25510.0</v>
      </c>
      <c r="F1086" s="35" t="s">
        <v>11</v>
      </c>
    </row>
    <row r="1087" ht="22.5" customHeight="1">
      <c r="A1087" s="37" t="s">
        <v>2416</v>
      </c>
      <c r="B1087" s="35" t="s">
        <v>2417</v>
      </c>
      <c r="C1087" s="35">
        <v>18617.0</v>
      </c>
      <c r="D1087" s="35">
        <v>18582.0</v>
      </c>
      <c r="E1087" s="35">
        <v>25750.0</v>
      </c>
      <c r="F1087" s="35">
        <v>18.0</v>
      </c>
    </row>
    <row r="1088" ht="22.5" customHeight="1">
      <c r="A1088" s="37" t="s">
        <v>2418</v>
      </c>
      <c r="B1088" s="35" t="s">
        <v>2419</v>
      </c>
      <c r="C1088" s="35">
        <v>565.0</v>
      </c>
      <c r="D1088" s="35">
        <v>565.0</v>
      </c>
      <c r="E1088" s="35">
        <v>23660.0</v>
      </c>
      <c r="F1088" s="35" t="s">
        <v>11</v>
      </c>
    </row>
    <row r="1089" ht="22.5" customHeight="1">
      <c r="A1089" s="37" t="s">
        <v>2420</v>
      </c>
      <c r="B1089" s="35" t="s">
        <v>2421</v>
      </c>
      <c r="C1089" s="35">
        <v>4437.0</v>
      </c>
      <c r="D1089" s="35">
        <v>4479.0</v>
      </c>
      <c r="E1089" s="35">
        <v>25380.0</v>
      </c>
      <c r="F1089" s="35">
        <v>16.0</v>
      </c>
    </row>
    <row r="1090" ht="22.5" customHeight="1">
      <c r="A1090" s="37" t="s">
        <v>2422</v>
      </c>
      <c r="B1090" s="35" t="s">
        <v>2423</v>
      </c>
      <c r="C1090" s="35">
        <v>4135.0</v>
      </c>
      <c r="D1090" s="35">
        <v>4169.0</v>
      </c>
      <c r="E1090" s="35">
        <v>22380.0</v>
      </c>
      <c r="F1090" s="35">
        <v>21.0</v>
      </c>
    </row>
    <row r="1091" ht="22.5" customHeight="1">
      <c r="A1091" s="37" t="s">
        <v>2424</v>
      </c>
      <c r="B1091" s="35" t="s">
        <v>2425</v>
      </c>
      <c r="C1091" s="35">
        <v>2399.0</v>
      </c>
      <c r="D1091" s="35">
        <v>2267.0</v>
      </c>
      <c r="E1091" s="35">
        <v>30310.0</v>
      </c>
      <c r="F1091" s="35">
        <v>8.0</v>
      </c>
    </row>
    <row r="1092" ht="22.5" customHeight="1">
      <c r="A1092" s="37" t="s">
        <v>2426</v>
      </c>
      <c r="B1092" s="35" t="s">
        <v>2427</v>
      </c>
      <c r="C1092" s="35">
        <v>421.0</v>
      </c>
      <c r="D1092" s="35">
        <v>425.0</v>
      </c>
      <c r="E1092" s="35">
        <v>31620.0</v>
      </c>
      <c r="F1092" s="35" t="s">
        <v>11</v>
      </c>
    </row>
    <row r="1093" ht="22.5" customHeight="1">
      <c r="A1093" s="37" t="s">
        <v>2428</v>
      </c>
      <c r="B1093" s="35" t="s">
        <v>2429</v>
      </c>
      <c r="C1093" s="35">
        <v>1640.0</v>
      </c>
      <c r="D1093" s="35">
        <v>1638.0</v>
      </c>
      <c r="E1093" s="35">
        <v>26990.0</v>
      </c>
      <c r="F1093" s="35" t="s">
        <v>11</v>
      </c>
    </row>
    <row r="1094" ht="22.5" customHeight="1">
      <c r="A1094" s="37" t="s">
        <v>2430</v>
      </c>
      <c r="B1094" s="35" t="s">
        <v>2431</v>
      </c>
      <c r="C1094" s="35">
        <v>294.0</v>
      </c>
      <c r="D1094" s="35">
        <v>288.0</v>
      </c>
      <c r="E1094" s="35">
        <v>24760.0</v>
      </c>
      <c r="F1094" s="35" t="s">
        <v>11</v>
      </c>
    </row>
    <row r="1095" ht="22.5" customHeight="1">
      <c r="A1095" s="37" t="s">
        <v>2432</v>
      </c>
      <c r="B1095" s="35" t="s">
        <v>2433</v>
      </c>
      <c r="C1095" s="35">
        <v>896.0</v>
      </c>
      <c r="D1095" s="35">
        <v>837.0</v>
      </c>
      <c r="E1095" s="35">
        <v>24200.0</v>
      </c>
      <c r="F1095" s="35" t="s">
        <v>11</v>
      </c>
    </row>
    <row r="1096" ht="22.5" customHeight="1">
      <c r="A1096" s="37" t="s">
        <v>2434</v>
      </c>
      <c r="B1096" s="35" t="s">
        <v>2435</v>
      </c>
      <c r="C1096" s="35">
        <v>951.0</v>
      </c>
      <c r="D1096" s="35">
        <v>916.0</v>
      </c>
      <c r="E1096" s="35">
        <v>28680.0</v>
      </c>
      <c r="F1096" s="35" t="s">
        <v>11</v>
      </c>
    </row>
    <row r="1097" ht="22.5" customHeight="1">
      <c r="A1097" s="37" t="s">
        <v>2436</v>
      </c>
      <c r="B1097" s="35" t="s">
        <v>2437</v>
      </c>
      <c r="C1097" s="35">
        <v>4083.0</v>
      </c>
      <c r="D1097" s="35">
        <v>3957.0</v>
      </c>
      <c r="E1097" s="35">
        <v>23730.0</v>
      </c>
      <c r="F1097" s="35">
        <v>17.0</v>
      </c>
    </row>
    <row r="1098" ht="22.5" customHeight="1">
      <c r="A1098" s="37" t="s">
        <v>2438</v>
      </c>
      <c r="B1098" s="35" t="s">
        <v>2439</v>
      </c>
      <c r="C1098" s="35">
        <v>858.0</v>
      </c>
      <c r="D1098" s="35">
        <v>867.0</v>
      </c>
      <c r="E1098" s="35">
        <v>29400.0</v>
      </c>
      <c r="F1098" s="35" t="s">
        <v>11</v>
      </c>
    </row>
    <row r="1099" ht="22.5" customHeight="1">
      <c r="A1099" s="37" t="s">
        <v>2440</v>
      </c>
      <c r="B1099" s="35" t="s">
        <v>2441</v>
      </c>
      <c r="C1099" s="35">
        <v>549.0</v>
      </c>
      <c r="D1099" s="35">
        <v>541.0</v>
      </c>
      <c r="E1099" s="35">
        <v>20650.0</v>
      </c>
      <c r="F1099" s="35" t="s">
        <v>11</v>
      </c>
    </row>
    <row r="1100" ht="22.5" customHeight="1">
      <c r="A1100" s="37" t="s">
        <v>2442</v>
      </c>
      <c r="B1100" s="35" t="s">
        <v>2443</v>
      </c>
      <c r="C1100" s="35">
        <v>794.0</v>
      </c>
      <c r="D1100" s="35">
        <v>710.0</v>
      </c>
      <c r="E1100" s="35">
        <v>23310.0</v>
      </c>
      <c r="F1100" s="35" t="s">
        <v>11</v>
      </c>
    </row>
    <row r="1101" ht="22.5" customHeight="1">
      <c r="A1101" s="37" t="s">
        <v>2444</v>
      </c>
      <c r="B1101" s="35" t="s">
        <v>2445</v>
      </c>
      <c r="C1101" s="35">
        <v>1396.0</v>
      </c>
      <c r="D1101" s="35">
        <v>1446.0</v>
      </c>
      <c r="E1101" s="35">
        <v>24960.0</v>
      </c>
      <c r="F1101" s="35" t="s">
        <v>11</v>
      </c>
    </row>
    <row r="1102" ht="22.5" customHeight="1">
      <c r="A1102" s="37" t="s">
        <v>2446</v>
      </c>
      <c r="B1102" s="35" t="s">
        <v>2447</v>
      </c>
      <c r="C1102" s="35">
        <v>3553.0</v>
      </c>
      <c r="D1102" s="35">
        <v>3496.0</v>
      </c>
      <c r="E1102" s="35">
        <v>22960.0</v>
      </c>
      <c r="F1102" s="35">
        <v>19.0</v>
      </c>
    </row>
    <row r="1103" ht="22.5" customHeight="1">
      <c r="A1103" s="37" t="s">
        <v>2448</v>
      </c>
      <c r="B1103" s="35" t="s">
        <v>2449</v>
      </c>
      <c r="C1103" s="35">
        <v>875.0</v>
      </c>
      <c r="D1103" s="35">
        <v>902.0</v>
      </c>
      <c r="E1103" s="35">
        <v>26650.0</v>
      </c>
      <c r="F1103" s="35" t="s">
        <v>11</v>
      </c>
    </row>
    <row r="1104" ht="22.5" customHeight="1">
      <c r="A1104" s="37" t="s">
        <v>2450</v>
      </c>
      <c r="B1104" s="35" t="s">
        <v>2451</v>
      </c>
      <c r="C1104" s="35">
        <v>3409.0</v>
      </c>
      <c r="D1104" s="35">
        <v>3326.0</v>
      </c>
      <c r="E1104" s="35">
        <v>28770.0</v>
      </c>
      <c r="F1104" s="35">
        <v>7.0</v>
      </c>
    </row>
    <row r="1105" ht="22.5" customHeight="1">
      <c r="A1105" s="37" t="s">
        <v>2452</v>
      </c>
      <c r="B1105" s="35" t="s">
        <v>2453</v>
      </c>
      <c r="C1105" s="35">
        <v>7805.0</v>
      </c>
      <c r="D1105" s="35">
        <v>7921.0</v>
      </c>
      <c r="E1105" s="35">
        <v>24980.0</v>
      </c>
      <c r="F1105" s="35">
        <v>14.0</v>
      </c>
    </row>
    <row r="1106" ht="22.5" customHeight="1">
      <c r="A1106" s="37" t="s">
        <v>2454</v>
      </c>
      <c r="B1106" s="35" t="s">
        <v>2455</v>
      </c>
      <c r="C1106" s="35">
        <v>994.0</v>
      </c>
      <c r="D1106" s="35">
        <v>978.0</v>
      </c>
      <c r="E1106" s="35">
        <v>26630.0</v>
      </c>
      <c r="F1106" s="35" t="s">
        <v>11</v>
      </c>
    </row>
    <row r="1107" ht="22.5" customHeight="1">
      <c r="A1107" s="37" t="s">
        <v>2456</v>
      </c>
      <c r="B1107" s="35" t="s">
        <v>2457</v>
      </c>
      <c r="C1107" s="35">
        <v>3214.0</v>
      </c>
      <c r="D1107" s="35">
        <v>3259.0</v>
      </c>
      <c r="E1107" s="35">
        <v>27780.0</v>
      </c>
      <c r="F1107" s="35">
        <v>6.0</v>
      </c>
    </row>
    <row r="1108" ht="22.5" customHeight="1">
      <c r="A1108" s="37" t="s">
        <v>2458</v>
      </c>
      <c r="B1108" s="35" t="s">
        <v>2459</v>
      </c>
      <c r="C1108" s="35">
        <v>1624.0</v>
      </c>
      <c r="D1108" s="35">
        <v>1712.0</v>
      </c>
      <c r="E1108" s="35">
        <v>27420.0</v>
      </c>
      <c r="F1108" s="35" t="s">
        <v>11</v>
      </c>
    </row>
    <row r="1109" ht="22.5" customHeight="1">
      <c r="A1109" s="37" t="s">
        <v>2460</v>
      </c>
      <c r="B1109" s="35" t="s">
        <v>2461</v>
      </c>
      <c r="C1109" s="35">
        <v>741.0</v>
      </c>
      <c r="D1109" s="35">
        <v>619.0</v>
      </c>
      <c r="E1109" s="35">
        <v>22700.0</v>
      </c>
      <c r="F1109" s="35" t="s">
        <v>11</v>
      </c>
    </row>
    <row r="1110" ht="22.5" customHeight="1">
      <c r="A1110" s="37" t="s">
        <v>2462</v>
      </c>
      <c r="B1110" s="35" t="s">
        <v>2463</v>
      </c>
      <c r="C1110" s="35">
        <v>3348.0</v>
      </c>
      <c r="D1110" s="35">
        <v>3403.0</v>
      </c>
      <c r="E1110" s="35">
        <v>22640.0</v>
      </c>
      <c r="F1110" s="35">
        <v>17.0</v>
      </c>
    </row>
    <row r="1111" ht="22.5" customHeight="1">
      <c r="A1111" s="37" t="s">
        <v>2464</v>
      </c>
      <c r="B1111" s="35" t="s">
        <v>2465</v>
      </c>
      <c r="C1111" s="35">
        <v>1137.0</v>
      </c>
      <c r="D1111" s="35">
        <v>1115.0</v>
      </c>
      <c r="E1111" s="35">
        <v>30260.0</v>
      </c>
      <c r="F1111" s="35" t="s">
        <v>11</v>
      </c>
    </row>
    <row r="1112" ht="22.5" customHeight="1">
      <c r="A1112" s="37" t="s">
        <v>2466</v>
      </c>
      <c r="B1112" s="35" t="s">
        <v>2467</v>
      </c>
      <c r="C1112" s="35">
        <v>10159.0</v>
      </c>
      <c r="D1112" s="35">
        <v>10160.0</v>
      </c>
      <c r="E1112" s="35">
        <v>19020.0</v>
      </c>
      <c r="F1112" s="35">
        <v>36.0</v>
      </c>
    </row>
    <row r="1113" ht="22.5" customHeight="1">
      <c r="A1113" s="37" t="s">
        <v>2468</v>
      </c>
      <c r="B1113" s="35" t="s">
        <v>2469</v>
      </c>
      <c r="C1113" s="35">
        <v>867.0</v>
      </c>
      <c r="D1113" s="35">
        <v>856.0</v>
      </c>
      <c r="E1113" s="35">
        <v>28720.0</v>
      </c>
      <c r="F1113" s="35" t="s">
        <v>11</v>
      </c>
    </row>
    <row r="1114" ht="22.5" customHeight="1">
      <c r="A1114" s="37" t="s">
        <v>2470</v>
      </c>
      <c r="B1114" s="35" t="s">
        <v>2471</v>
      </c>
      <c r="C1114" s="35">
        <v>1116.0</v>
      </c>
      <c r="D1114" s="35">
        <v>1164.0</v>
      </c>
      <c r="E1114" s="35">
        <v>24000.0</v>
      </c>
      <c r="F1114" s="35" t="s">
        <v>11</v>
      </c>
    </row>
    <row r="1115" ht="22.5" customHeight="1">
      <c r="A1115" s="37" t="s">
        <v>2472</v>
      </c>
      <c r="B1115" s="35" t="s">
        <v>2473</v>
      </c>
      <c r="C1115" s="35">
        <v>6231.0</v>
      </c>
      <c r="D1115" s="35">
        <v>6287.0</v>
      </c>
      <c r="E1115" s="35">
        <v>20880.0</v>
      </c>
      <c r="F1115" s="35">
        <v>24.0</v>
      </c>
    </row>
    <row r="1116" ht="22.5" customHeight="1">
      <c r="A1116" s="37" t="s">
        <v>2474</v>
      </c>
      <c r="B1116" s="35" t="s">
        <v>2475</v>
      </c>
      <c r="C1116" s="35">
        <v>27649.0</v>
      </c>
      <c r="D1116" s="35">
        <v>27090.0</v>
      </c>
      <c r="E1116" s="35">
        <v>31550.0</v>
      </c>
      <c r="F1116" s="35">
        <v>11.1</v>
      </c>
    </row>
    <row r="1117" ht="22.5" customHeight="1">
      <c r="A1117" s="37" t="s">
        <v>2476</v>
      </c>
      <c r="B1117" s="35" t="s">
        <v>2477</v>
      </c>
      <c r="C1117" s="35">
        <v>5125.0</v>
      </c>
      <c r="D1117" s="35">
        <v>4883.0</v>
      </c>
      <c r="E1117" s="35">
        <v>25240.0</v>
      </c>
      <c r="F1117" s="35">
        <v>14.0</v>
      </c>
    </row>
    <row r="1118" ht="22.5" customHeight="1">
      <c r="A1118" s="37" t="s">
        <v>2478</v>
      </c>
      <c r="B1118" s="35" t="s">
        <v>2479</v>
      </c>
      <c r="C1118" s="35">
        <v>2399.0</v>
      </c>
      <c r="D1118" s="35">
        <v>2518.0</v>
      </c>
      <c r="E1118" s="35">
        <v>30150.0</v>
      </c>
      <c r="F1118" s="35">
        <v>5.0</v>
      </c>
    </row>
    <row r="1119" ht="22.5" customHeight="1">
      <c r="A1119" s="37" t="s">
        <v>2480</v>
      </c>
      <c r="B1119" s="35" t="s">
        <v>2481</v>
      </c>
      <c r="C1119" s="35">
        <v>3483.0</v>
      </c>
      <c r="D1119" s="35">
        <v>3407.0</v>
      </c>
      <c r="E1119" s="35">
        <v>20210.0</v>
      </c>
      <c r="F1119" s="35">
        <v>28.0</v>
      </c>
    </row>
    <row r="1120" ht="22.5" customHeight="1">
      <c r="A1120" s="37" t="s">
        <v>2482</v>
      </c>
      <c r="B1120" s="35" t="s">
        <v>2483</v>
      </c>
      <c r="C1120" s="35">
        <v>1773.0</v>
      </c>
      <c r="D1120" s="35">
        <v>1812.0</v>
      </c>
      <c r="E1120" s="35">
        <v>22040.0</v>
      </c>
      <c r="F1120" s="35" t="s">
        <v>11</v>
      </c>
    </row>
    <row r="1121" ht="22.5" customHeight="1">
      <c r="A1121" s="37" t="s">
        <v>2484</v>
      </c>
      <c r="B1121" s="35" t="s">
        <v>2485</v>
      </c>
      <c r="C1121" s="35">
        <v>252.0</v>
      </c>
      <c r="D1121" s="35">
        <v>231.0</v>
      </c>
      <c r="E1121" s="35">
        <v>25040.0</v>
      </c>
      <c r="F1121" s="35" t="s">
        <v>11</v>
      </c>
    </row>
    <row r="1122" ht="22.5" customHeight="1">
      <c r="A1122" s="37" t="s">
        <v>2486</v>
      </c>
      <c r="B1122" s="35" t="s">
        <v>2487</v>
      </c>
      <c r="C1122" s="35">
        <v>1679.0</v>
      </c>
      <c r="D1122" s="35">
        <v>1608.0</v>
      </c>
      <c r="E1122" s="35">
        <v>26200.0</v>
      </c>
      <c r="F1122" s="35" t="s">
        <v>11</v>
      </c>
    </row>
    <row r="1123" ht="22.5" customHeight="1">
      <c r="A1123" s="37" t="s">
        <v>2488</v>
      </c>
      <c r="B1123" s="35" t="s">
        <v>2489</v>
      </c>
      <c r="C1123" s="35">
        <v>2810.0</v>
      </c>
      <c r="D1123" s="35">
        <v>3046.0</v>
      </c>
      <c r="E1123" s="35">
        <v>29730.0</v>
      </c>
      <c r="F1123" s="35">
        <v>6.0</v>
      </c>
    </row>
    <row r="1124" ht="22.5" customHeight="1">
      <c r="A1124" s="37" t="s">
        <v>2490</v>
      </c>
      <c r="B1124" s="35" t="s">
        <v>2491</v>
      </c>
      <c r="C1124" s="35">
        <v>1372.0</v>
      </c>
      <c r="D1124" s="35">
        <v>1346.0</v>
      </c>
      <c r="E1124" s="35">
        <v>23450.0</v>
      </c>
      <c r="F1124" s="35" t="s">
        <v>11</v>
      </c>
    </row>
    <row r="1125" ht="22.5" customHeight="1">
      <c r="A1125" s="37" t="s">
        <v>2492</v>
      </c>
      <c r="B1125" s="35" t="s">
        <v>2493</v>
      </c>
      <c r="C1125" s="35">
        <v>676.0</v>
      </c>
      <c r="D1125" s="35">
        <v>703.0</v>
      </c>
      <c r="E1125" s="35">
        <v>26120.0</v>
      </c>
      <c r="F1125" s="35" t="s">
        <v>11</v>
      </c>
    </row>
    <row r="1126" ht="22.5" customHeight="1">
      <c r="A1126" s="37" t="s">
        <v>2494</v>
      </c>
      <c r="B1126" s="35" t="s">
        <v>2495</v>
      </c>
      <c r="C1126" s="35">
        <v>661.0</v>
      </c>
      <c r="D1126" s="35">
        <v>611.0</v>
      </c>
      <c r="E1126" s="35">
        <v>28140.0</v>
      </c>
      <c r="F1126" s="35" t="s">
        <v>11</v>
      </c>
    </row>
    <row r="1127" ht="22.5" customHeight="1">
      <c r="A1127" s="37" t="s">
        <v>2496</v>
      </c>
      <c r="B1127" s="35" t="s">
        <v>2497</v>
      </c>
      <c r="C1127" s="35">
        <v>9473.0</v>
      </c>
      <c r="D1127" s="35">
        <v>9521.0</v>
      </c>
      <c r="E1127" s="35">
        <v>27220.0</v>
      </c>
      <c r="F1127" s="35">
        <v>9.0</v>
      </c>
    </row>
    <row r="1128" ht="22.5" customHeight="1">
      <c r="A1128" s="37" t="s">
        <v>2498</v>
      </c>
      <c r="B1128" s="35" t="s">
        <v>2499</v>
      </c>
      <c r="C1128" s="35">
        <v>4262.0</v>
      </c>
      <c r="D1128" s="35">
        <v>4078.0</v>
      </c>
      <c r="E1128" s="35">
        <v>26850.0</v>
      </c>
      <c r="F1128" s="35">
        <v>11.0</v>
      </c>
    </row>
    <row r="1129" ht="22.5" customHeight="1">
      <c r="A1129" s="37" t="s">
        <v>2500</v>
      </c>
      <c r="B1129" s="35" t="s">
        <v>2501</v>
      </c>
      <c r="C1129" s="35">
        <v>417.0</v>
      </c>
      <c r="D1129" s="35">
        <v>432.0</v>
      </c>
      <c r="E1129" s="35">
        <v>27040.0</v>
      </c>
      <c r="F1129" s="35" t="s">
        <v>11</v>
      </c>
    </row>
    <row r="1130" ht="22.5" customHeight="1">
      <c r="A1130" s="37" t="s">
        <v>2502</v>
      </c>
      <c r="B1130" s="35" t="s">
        <v>2503</v>
      </c>
      <c r="C1130" s="35">
        <v>229.0</v>
      </c>
      <c r="D1130" s="35">
        <v>236.0</v>
      </c>
      <c r="E1130" s="35">
        <v>25540.0</v>
      </c>
      <c r="F1130" s="35" t="s">
        <v>11</v>
      </c>
    </row>
    <row r="1131" ht="22.5" customHeight="1">
      <c r="A1131" s="37" t="s">
        <v>2504</v>
      </c>
      <c r="B1131" s="35" t="s">
        <v>2505</v>
      </c>
      <c r="C1131" s="35">
        <v>8259.0</v>
      </c>
      <c r="D1131" s="35">
        <v>9600.0</v>
      </c>
      <c r="E1131" s="35">
        <v>28480.0</v>
      </c>
      <c r="F1131" s="35">
        <v>10.0</v>
      </c>
    </row>
    <row r="1132" ht="22.5" customHeight="1">
      <c r="A1132" s="37" t="s">
        <v>2506</v>
      </c>
      <c r="B1132" s="35" t="s">
        <v>2507</v>
      </c>
      <c r="C1132" s="35">
        <v>2455.0</v>
      </c>
      <c r="D1132" s="35">
        <v>2474.0</v>
      </c>
      <c r="E1132" s="35">
        <v>21610.0</v>
      </c>
      <c r="F1132" s="35">
        <v>19.0</v>
      </c>
    </row>
    <row r="1133" ht="22.5" customHeight="1">
      <c r="A1133" s="37" t="s">
        <v>2508</v>
      </c>
      <c r="B1133" s="35" t="s">
        <v>2509</v>
      </c>
      <c r="C1133" s="35">
        <v>2425.0</v>
      </c>
      <c r="D1133" s="35">
        <v>2353.0</v>
      </c>
      <c r="E1133" s="35">
        <v>23480.0</v>
      </c>
      <c r="F1133" s="35">
        <v>21.0</v>
      </c>
    </row>
    <row r="1134" ht="22.5" customHeight="1">
      <c r="A1134" s="37" t="s">
        <v>2510</v>
      </c>
      <c r="B1134" s="35" t="s">
        <v>2511</v>
      </c>
      <c r="C1134" s="35">
        <v>3104.0</v>
      </c>
      <c r="D1134" s="35">
        <v>2978.0</v>
      </c>
      <c r="E1134" s="35">
        <v>28990.0</v>
      </c>
      <c r="F1134" s="35">
        <v>7.0</v>
      </c>
    </row>
    <row r="1135" ht="22.5" customHeight="1">
      <c r="A1135" s="37" t="s">
        <v>2512</v>
      </c>
      <c r="B1135" s="35" t="s">
        <v>2513</v>
      </c>
      <c r="C1135" s="35">
        <v>533.0</v>
      </c>
      <c r="D1135" s="35">
        <v>527.0</v>
      </c>
      <c r="E1135" s="35">
        <v>25940.0</v>
      </c>
      <c r="F1135" s="35" t="s">
        <v>11</v>
      </c>
    </row>
    <row r="1136" ht="22.5" customHeight="1">
      <c r="A1136" s="37" t="s">
        <v>2514</v>
      </c>
      <c r="B1136" s="35" t="s">
        <v>2515</v>
      </c>
      <c r="C1136" s="35">
        <v>1349.0</v>
      </c>
      <c r="D1136" s="35">
        <v>1462.0</v>
      </c>
      <c r="E1136" s="35">
        <v>25280.0</v>
      </c>
      <c r="F1136" s="35" t="s">
        <v>11</v>
      </c>
    </row>
    <row r="1137" ht="22.5" customHeight="1">
      <c r="A1137" s="37" t="s">
        <v>2516</v>
      </c>
      <c r="B1137" s="35" t="s">
        <v>2517</v>
      </c>
      <c r="C1137" s="35">
        <v>1894.0</v>
      </c>
      <c r="D1137" s="35">
        <v>1847.0</v>
      </c>
      <c r="E1137" s="35">
        <v>23280.0</v>
      </c>
      <c r="F1137" s="35" t="s">
        <v>11</v>
      </c>
    </row>
    <row r="1138" ht="22.5" customHeight="1">
      <c r="A1138" s="37" t="s">
        <v>2518</v>
      </c>
      <c r="B1138" s="35" t="s">
        <v>2519</v>
      </c>
      <c r="C1138" s="35">
        <v>232787.0</v>
      </c>
      <c r="D1138" s="35">
        <v>238246.0</v>
      </c>
      <c r="E1138" s="35">
        <v>22470.0</v>
      </c>
      <c r="F1138" s="35">
        <v>28.6</v>
      </c>
    </row>
    <row r="1139" ht="22.5" customHeight="1">
      <c r="A1139" s="37" t="s">
        <v>2520</v>
      </c>
      <c r="B1139" s="35" t="s">
        <v>2521</v>
      </c>
      <c r="C1139" s="35">
        <v>563.0</v>
      </c>
      <c r="D1139" s="35">
        <v>525.0</v>
      </c>
      <c r="E1139" s="35">
        <v>26460.0</v>
      </c>
      <c r="F1139" s="35" t="s">
        <v>11</v>
      </c>
    </row>
    <row r="1140" ht="22.5" customHeight="1">
      <c r="A1140" s="37" t="s">
        <v>2522</v>
      </c>
      <c r="B1140" s="35" t="s">
        <v>2523</v>
      </c>
      <c r="C1140" s="35">
        <v>8371.0</v>
      </c>
      <c r="D1140" s="35">
        <v>8161.0</v>
      </c>
      <c r="E1140" s="35">
        <v>28230.0</v>
      </c>
      <c r="F1140" s="35">
        <v>9.0</v>
      </c>
    </row>
    <row r="1141" ht="22.5" customHeight="1">
      <c r="A1141" s="37" t="s">
        <v>2524</v>
      </c>
      <c r="B1141" s="35" t="s">
        <v>2525</v>
      </c>
      <c r="C1141" s="35">
        <v>374.0</v>
      </c>
      <c r="D1141" s="35">
        <v>301.0</v>
      </c>
      <c r="E1141" s="35">
        <v>24180.0</v>
      </c>
      <c r="F1141" s="35" t="s">
        <v>11</v>
      </c>
    </row>
    <row r="1142" ht="22.5" customHeight="1">
      <c r="A1142" s="37" t="s">
        <v>2526</v>
      </c>
      <c r="B1142" s="35" t="s">
        <v>2527</v>
      </c>
      <c r="C1142" s="35">
        <v>729.0</v>
      </c>
      <c r="D1142" s="35">
        <v>712.0</v>
      </c>
      <c r="E1142" s="35">
        <v>29100.0</v>
      </c>
      <c r="F1142" s="35" t="s">
        <v>11</v>
      </c>
    </row>
    <row r="1143" ht="22.5" customHeight="1">
      <c r="A1143" s="37" t="s">
        <v>2528</v>
      </c>
      <c r="B1143" s="35" t="s">
        <v>2529</v>
      </c>
      <c r="C1143" s="35">
        <v>2299.0</v>
      </c>
      <c r="D1143" s="35">
        <v>2155.0</v>
      </c>
      <c r="E1143" s="35">
        <v>38140.0</v>
      </c>
      <c r="F1143" s="35">
        <v>5.0</v>
      </c>
    </row>
    <row r="1144" ht="22.5" customHeight="1">
      <c r="A1144" s="37" t="s">
        <v>2530</v>
      </c>
      <c r="B1144" s="35" t="s">
        <v>2531</v>
      </c>
      <c r="C1144" s="35">
        <v>2097.0</v>
      </c>
      <c r="D1144" s="35">
        <v>2057.0</v>
      </c>
      <c r="E1144" s="35">
        <v>26110.0</v>
      </c>
      <c r="F1144" s="35" t="s">
        <v>11</v>
      </c>
    </row>
    <row r="1145" ht="22.5" customHeight="1">
      <c r="A1145" s="37" t="s">
        <v>2532</v>
      </c>
      <c r="B1145" s="35" t="s">
        <v>2533</v>
      </c>
      <c r="C1145" s="35">
        <v>1178.0</v>
      </c>
      <c r="D1145" s="35">
        <v>1228.0</v>
      </c>
      <c r="E1145" s="35">
        <v>25610.0</v>
      </c>
      <c r="F1145" s="35" t="s">
        <v>11</v>
      </c>
    </row>
    <row r="1146" ht="22.5" customHeight="1">
      <c r="A1146" s="37" t="s">
        <v>2534</v>
      </c>
      <c r="B1146" s="35" t="s">
        <v>2535</v>
      </c>
      <c r="C1146" s="35">
        <v>6193.0</v>
      </c>
      <c r="D1146" s="35">
        <v>5952.0</v>
      </c>
      <c r="E1146" s="35">
        <v>24560.0</v>
      </c>
      <c r="F1146" s="35">
        <v>12.0</v>
      </c>
    </row>
    <row r="1147" ht="22.5" customHeight="1">
      <c r="A1147" s="37" t="s">
        <v>2536</v>
      </c>
      <c r="B1147" s="35" t="s">
        <v>2537</v>
      </c>
      <c r="C1147" s="35">
        <v>22233.0</v>
      </c>
      <c r="D1147" s="35">
        <v>22567.0</v>
      </c>
      <c r="E1147" s="35">
        <v>21930.0</v>
      </c>
      <c r="F1147" s="35">
        <v>25.0</v>
      </c>
    </row>
    <row r="1148" ht="22.5" customHeight="1">
      <c r="A1148" s="37" t="s">
        <v>2538</v>
      </c>
      <c r="B1148" s="35" t="s">
        <v>2539</v>
      </c>
      <c r="C1148" s="35">
        <v>3949.0</v>
      </c>
      <c r="D1148" s="35">
        <v>3734.0</v>
      </c>
      <c r="E1148" s="35">
        <v>17280.0</v>
      </c>
      <c r="F1148" s="35">
        <v>39.0</v>
      </c>
    </row>
    <row r="1149" ht="22.5" customHeight="1">
      <c r="A1149" s="37" t="s">
        <v>2540</v>
      </c>
      <c r="B1149" s="35" t="s">
        <v>2541</v>
      </c>
      <c r="C1149" s="35">
        <v>933.0</v>
      </c>
      <c r="D1149" s="35">
        <v>899.0</v>
      </c>
      <c r="E1149" s="35">
        <v>26590.0</v>
      </c>
      <c r="F1149" s="35" t="s">
        <v>11</v>
      </c>
    </row>
    <row r="1150" ht="22.5" customHeight="1">
      <c r="A1150" s="37" t="s">
        <v>2542</v>
      </c>
      <c r="B1150" s="35" t="s">
        <v>2543</v>
      </c>
      <c r="C1150" s="35">
        <v>826.0</v>
      </c>
      <c r="D1150" s="35">
        <v>922.0</v>
      </c>
      <c r="E1150" s="35">
        <v>35980.0</v>
      </c>
      <c r="F1150" s="35" t="s">
        <v>11</v>
      </c>
    </row>
    <row r="1151" ht="22.5" customHeight="1">
      <c r="A1151" s="37" t="s">
        <v>2544</v>
      </c>
      <c r="B1151" s="35" t="s">
        <v>2545</v>
      </c>
      <c r="C1151" s="35">
        <v>6481.0</v>
      </c>
      <c r="D1151" s="35">
        <v>6294.0</v>
      </c>
      <c r="E1151" s="35">
        <v>16460.0</v>
      </c>
      <c r="F1151" s="35">
        <v>45.0</v>
      </c>
    </row>
    <row r="1152" ht="22.5" customHeight="1">
      <c r="A1152" s="37" t="s">
        <v>2546</v>
      </c>
      <c r="B1152" s="35" t="s">
        <v>2547</v>
      </c>
      <c r="C1152" s="35">
        <v>758.0</v>
      </c>
      <c r="D1152" s="35">
        <v>783.0</v>
      </c>
      <c r="E1152" s="35">
        <v>26750.0</v>
      </c>
      <c r="F1152" s="35" t="s">
        <v>11</v>
      </c>
    </row>
    <row r="1153" ht="22.5" customHeight="1">
      <c r="A1153" s="37" t="s">
        <v>2548</v>
      </c>
      <c r="B1153" s="35" t="s">
        <v>2549</v>
      </c>
      <c r="C1153" s="35">
        <v>13422.0</v>
      </c>
      <c r="D1153" s="35">
        <v>14050.0</v>
      </c>
      <c r="E1153" s="35">
        <v>24770.0</v>
      </c>
      <c r="F1153" s="35">
        <v>17.0</v>
      </c>
    </row>
    <row r="1154" ht="22.5" customHeight="1">
      <c r="A1154" s="37" t="s">
        <v>2550</v>
      </c>
      <c r="B1154" s="35" t="s">
        <v>2551</v>
      </c>
      <c r="C1154" s="35">
        <v>21173.0</v>
      </c>
      <c r="D1154" s="35">
        <v>21790.0</v>
      </c>
      <c r="E1154" s="35">
        <v>28500.0</v>
      </c>
      <c r="F1154" s="35">
        <v>14.3</v>
      </c>
    </row>
    <row r="1155" ht="22.5" customHeight="1">
      <c r="A1155" s="37" t="s">
        <v>2552</v>
      </c>
      <c r="B1155" s="35" t="s">
        <v>2553</v>
      </c>
      <c r="C1155" s="35">
        <v>4112.0</v>
      </c>
      <c r="D1155" s="35">
        <v>3954.0</v>
      </c>
      <c r="E1155" s="35">
        <v>25710.0</v>
      </c>
      <c r="F1155" s="35">
        <v>15.0</v>
      </c>
    </row>
    <row r="1156" ht="22.5" customHeight="1">
      <c r="A1156" s="37" t="s">
        <v>2554</v>
      </c>
      <c r="B1156" s="35" t="s">
        <v>2555</v>
      </c>
      <c r="C1156" s="35">
        <v>735.0</v>
      </c>
      <c r="D1156" s="35">
        <v>699.0</v>
      </c>
      <c r="E1156" s="35">
        <v>30660.0</v>
      </c>
      <c r="F1156" s="35" t="s">
        <v>11</v>
      </c>
    </row>
    <row r="1157" ht="22.5" customHeight="1">
      <c r="A1157" s="37" t="s">
        <v>2556</v>
      </c>
      <c r="B1157" s="35" t="s">
        <v>2557</v>
      </c>
      <c r="C1157" s="35">
        <v>642.0</v>
      </c>
      <c r="D1157" s="35">
        <v>628.0</v>
      </c>
      <c r="E1157" s="35">
        <v>35780.0</v>
      </c>
      <c r="F1157" s="35" t="s">
        <v>11</v>
      </c>
    </row>
    <row r="1158" ht="22.5" customHeight="1">
      <c r="A1158" s="37" t="s">
        <v>2558</v>
      </c>
      <c r="B1158" s="35" t="s">
        <v>2559</v>
      </c>
      <c r="C1158" s="35">
        <v>504.0</v>
      </c>
      <c r="D1158" s="35">
        <v>498.0</v>
      </c>
      <c r="E1158" s="35">
        <v>23650.0</v>
      </c>
      <c r="F1158" s="35" t="s">
        <v>11</v>
      </c>
    </row>
    <row r="1159" ht="22.5" customHeight="1">
      <c r="A1159" s="37" t="s">
        <v>2560</v>
      </c>
      <c r="B1159" s="35" t="s">
        <v>2561</v>
      </c>
      <c r="C1159" s="35">
        <v>482.0</v>
      </c>
      <c r="D1159" s="35">
        <v>461.0</v>
      </c>
      <c r="E1159" s="35">
        <v>26280.0</v>
      </c>
      <c r="F1159" s="35" t="s">
        <v>11</v>
      </c>
    </row>
    <row r="1160" ht="22.5" customHeight="1">
      <c r="A1160" s="37" t="s">
        <v>2562</v>
      </c>
      <c r="B1160" s="35" t="s">
        <v>2563</v>
      </c>
      <c r="C1160" s="35">
        <v>4590.0</v>
      </c>
      <c r="D1160" s="35">
        <v>4507.0</v>
      </c>
      <c r="E1160" s="35">
        <v>26510.0</v>
      </c>
      <c r="F1160" s="35">
        <v>11.0</v>
      </c>
    </row>
    <row r="1161" ht="22.5" customHeight="1">
      <c r="A1161" s="37" t="s">
        <v>2564</v>
      </c>
      <c r="B1161" s="35" t="s">
        <v>2565</v>
      </c>
      <c r="C1161" s="35">
        <v>1888.0</v>
      </c>
      <c r="D1161" s="35">
        <v>1841.0</v>
      </c>
      <c r="E1161" s="35">
        <v>23940.0</v>
      </c>
      <c r="F1161" s="35" t="s">
        <v>11</v>
      </c>
    </row>
    <row r="1162" ht="22.5" customHeight="1">
      <c r="A1162" s="37" t="s">
        <v>2566</v>
      </c>
      <c r="B1162" s="35" t="s">
        <v>2567</v>
      </c>
      <c r="C1162" s="35">
        <v>38617.0</v>
      </c>
      <c r="D1162" s="35">
        <v>40184.0</v>
      </c>
      <c r="E1162" s="35">
        <v>33330.0</v>
      </c>
      <c r="F1162" s="35">
        <v>10.7</v>
      </c>
    </row>
    <row r="1163" ht="22.5" customHeight="1">
      <c r="A1163" s="37" t="s">
        <v>2568</v>
      </c>
      <c r="B1163" s="35" t="s">
        <v>2569</v>
      </c>
      <c r="C1163" s="35">
        <v>736.0</v>
      </c>
      <c r="D1163" s="35">
        <v>741.0</v>
      </c>
      <c r="E1163" s="35">
        <v>25670.0</v>
      </c>
      <c r="F1163" s="35" t="s">
        <v>11</v>
      </c>
    </row>
    <row r="1164" ht="22.5" customHeight="1">
      <c r="A1164" s="37" t="s">
        <v>2570</v>
      </c>
      <c r="B1164" s="35" t="s">
        <v>2571</v>
      </c>
      <c r="C1164" s="35">
        <v>820.0</v>
      </c>
      <c r="D1164" s="35">
        <v>808.0</v>
      </c>
      <c r="E1164" s="35">
        <v>27320.0</v>
      </c>
      <c r="F1164" s="35" t="s">
        <v>11</v>
      </c>
    </row>
    <row r="1165" ht="22.5" customHeight="1">
      <c r="A1165" s="37" t="s">
        <v>2572</v>
      </c>
      <c r="B1165" s="35" t="s">
        <v>2573</v>
      </c>
      <c r="C1165" s="35">
        <v>1457.0</v>
      </c>
      <c r="D1165" s="35">
        <v>1402.0</v>
      </c>
      <c r="E1165" s="35">
        <v>21890.0</v>
      </c>
      <c r="F1165" s="35" t="s">
        <v>11</v>
      </c>
    </row>
    <row r="1166" ht="22.5" customHeight="1">
      <c r="A1166" s="37" t="s">
        <v>2574</v>
      </c>
      <c r="B1166" s="35" t="s">
        <v>2575</v>
      </c>
      <c r="C1166" s="35">
        <v>11855.0</v>
      </c>
      <c r="D1166" s="35">
        <v>11995.0</v>
      </c>
      <c r="E1166" s="35">
        <v>22190.0</v>
      </c>
      <c r="F1166" s="35">
        <v>22.0</v>
      </c>
    </row>
    <row r="1167" ht="22.5" customHeight="1">
      <c r="A1167" s="37" t="s">
        <v>2576</v>
      </c>
      <c r="B1167" s="35" t="s">
        <v>2577</v>
      </c>
      <c r="C1167" s="35">
        <v>1403.0</v>
      </c>
      <c r="D1167" s="35">
        <v>1454.0</v>
      </c>
      <c r="E1167" s="35">
        <v>24660.0</v>
      </c>
      <c r="F1167" s="35" t="s">
        <v>11</v>
      </c>
    </row>
    <row r="1168" ht="22.5" customHeight="1">
      <c r="A1168" s="37" t="s">
        <v>2578</v>
      </c>
      <c r="B1168" s="35" t="s">
        <v>2579</v>
      </c>
      <c r="C1168" s="35">
        <v>2748.0</v>
      </c>
      <c r="D1168" s="35">
        <v>2653.0</v>
      </c>
      <c r="E1168" s="35">
        <v>21760.0</v>
      </c>
      <c r="F1168" s="35">
        <v>26.0</v>
      </c>
    </row>
    <row r="1169" ht="22.5" customHeight="1">
      <c r="A1169" s="37" t="s">
        <v>2580</v>
      </c>
      <c r="B1169" s="35" t="s">
        <v>2581</v>
      </c>
      <c r="C1169" s="35">
        <v>10376.0</v>
      </c>
      <c r="D1169" s="35">
        <v>12622.0</v>
      </c>
      <c r="E1169" s="35">
        <v>26690.0</v>
      </c>
      <c r="F1169" s="35">
        <v>12.0</v>
      </c>
    </row>
    <row r="1170" ht="22.5" customHeight="1">
      <c r="A1170" s="37" t="s">
        <v>2582</v>
      </c>
      <c r="B1170" s="35" t="s">
        <v>2583</v>
      </c>
      <c r="C1170" s="35">
        <v>1873.0</v>
      </c>
      <c r="D1170" s="35">
        <v>1943.0</v>
      </c>
      <c r="E1170" s="35">
        <v>23150.0</v>
      </c>
      <c r="F1170" s="35" t="s">
        <v>11</v>
      </c>
    </row>
    <row r="1171" ht="22.5" customHeight="1">
      <c r="A1171" s="37" t="s">
        <v>2584</v>
      </c>
      <c r="B1171" s="35" t="s">
        <v>2585</v>
      </c>
      <c r="C1171" s="35">
        <v>1997.0</v>
      </c>
      <c r="D1171" s="35">
        <v>1961.0</v>
      </c>
      <c r="E1171" s="35">
        <v>29240.0</v>
      </c>
      <c r="F1171" s="35" t="s">
        <v>11</v>
      </c>
    </row>
    <row r="1172" ht="22.5" customHeight="1">
      <c r="A1172" s="37" t="s">
        <v>2586</v>
      </c>
      <c r="B1172" s="35" t="s">
        <v>2587</v>
      </c>
      <c r="C1172" s="35">
        <v>2717.0</v>
      </c>
      <c r="D1172" s="35">
        <v>2689.0</v>
      </c>
      <c r="E1172" s="35">
        <v>22680.0</v>
      </c>
      <c r="F1172" s="35">
        <v>17.0</v>
      </c>
    </row>
    <row r="1173" ht="22.5" customHeight="1">
      <c r="A1173" s="37" t="s">
        <v>2588</v>
      </c>
      <c r="B1173" s="35" t="s">
        <v>2589</v>
      </c>
      <c r="C1173" s="35">
        <v>4143.0</v>
      </c>
      <c r="D1173" s="35">
        <v>3999.0</v>
      </c>
      <c r="E1173" s="35">
        <v>20290.0</v>
      </c>
      <c r="F1173" s="35">
        <v>28.0</v>
      </c>
    </row>
    <row r="1174" ht="22.5" customHeight="1">
      <c r="A1174" s="37" t="s">
        <v>2590</v>
      </c>
      <c r="B1174" s="35" t="s">
        <v>2591</v>
      </c>
      <c r="C1174" s="35">
        <v>865.0</v>
      </c>
      <c r="D1174" s="35">
        <v>911.0</v>
      </c>
      <c r="E1174" s="35">
        <v>26140.0</v>
      </c>
      <c r="F1174" s="35" t="s">
        <v>11</v>
      </c>
    </row>
    <row r="1175" ht="22.5" customHeight="1">
      <c r="A1175" s="37" t="s">
        <v>2592</v>
      </c>
      <c r="B1175" s="35" t="s">
        <v>2593</v>
      </c>
      <c r="C1175" s="35">
        <v>29944.0</v>
      </c>
      <c r="D1175" s="35">
        <v>28767.0</v>
      </c>
      <c r="E1175" s="35">
        <v>17930.0</v>
      </c>
      <c r="F1175" s="35">
        <v>37.7</v>
      </c>
    </row>
    <row r="1176" ht="22.5" customHeight="1">
      <c r="A1176" s="37" t="s">
        <v>2594</v>
      </c>
      <c r="B1176" s="35" t="s">
        <v>2595</v>
      </c>
      <c r="C1176" s="35">
        <v>1026.0</v>
      </c>
      <c r="D1176" s="35">
        <v>949.0</v>
      </c>
      <c r="E1176" s="35">
        <v>26850.0</v>
      </c>
      <c r="F1176" s="35" t="s">
        <v>11</v>
      </c>
    </row>
    <row r="1177" ht="22.5" customHeight="1">
      <c r="A1177" s="37" t="s">
        <v>2596</v>
      </c>
      <c r="B1177" s="35" t="s">
        <v>2597</v>
      </c>
      <c r="C1177" s="35">
        <v>395.0</v>
      </c>
      <c r="D1177" s="35">
        <v>405.0</v>
      </c>
      <c r="E1177" s="35">
        <v>22220.0</v>
      </c>
      <c r="F1177" s="35" t="s">
        <v>11</v>
      </c>
    </row>
    <row r="1178" ht="22.5" customHeight="1">
      <c r="A1178" s="37" t="s">
        <v>2598</v>
      </c>
      <c r="B1178" s="35" t="s">
        <v>2599</v>
      </c>
      <c r="C1178" s="35">
        <v>304.0</v>
      </c>
      <c r="D1178" s="35">
        <v>279.0</v>
      </c>
      <c r="E1178" s="35">
        <v>23980.0</v>
      </c>
      <c r="F1178" s="35" t="s">
        <v>11</v>
      </c>
    </row>
    <row r="1179" ht="22.5" customHeight="1">
      <c r="A1179" s="37" t="s">
        <v>2600</v>
      </c>
      <c r="B1179" s="35" t="s">
        <v>2601</v>
      </c>
      <c r="C1179" s="35">
        <v>702.0</v>
      </c>
      <c r="D1179" s="35">
        <v>695.0</v>
      </c>
      <c r="E1179" s="35">
        <v>27320.0</v>
      </c>
      <c r="F1179" s="35" t="s">
        <v>11</v>
      </c>
    </row>
    <row r="1180" ht="22.5" customHeight="1">
      <c r="A1180" s="37" t="s">
        <v>2602</v>
      </c>
      <c r="B1180" s="35" t="s">
        <v>2603</v>
      </c>
      <c r="C1180" s="35">
        <v>593.0</v>
      </c>
      <c r="D1180" s="35">
        <v>615.0</v>
      </c>
      <c r="E1180" s="35">
        <v>27300.0</v>
      </c>
      <c r="F1180" s="35" t="s">
        <v>11</v>
      </c>
    </row>
    <row r="1181" ht="22.5" customHeight="1">
      <c r="A1181" s="37" t="s">
        <v>2604</v>
      </c>
      <c r="B1181" s="35" t="s">
        <v>2605</v>
      </c>
      <c r="C1181" s="35">
        <v>3065.0</v>
      </c>
      <c r="D1181" s="35">
        <v>3527.0</v>
      </c>
      <c r="E1181" s="35">
        <v>39030.0</v>
      </c>
      <c r="F1181" s="35">
        <v>4.0</v>
      </c>
    </row>
    <row r="1182" ht="22.5" customHeight="1">
      <c r="A1182" s="37" t="s">
        <v>2606</v>
      </c>
      <c r="B1182" s="35" t="s">
        <v>2607</v>
      </c>
      <c r="C1182" s="35">
        <v>1018.0</v>
      </c>
      <c r="D1182" s="35">
        <v>1106.0</v>
      </c>
      <c r="E1182" s="35">
        <v>28570.0</v>
      </c>
      <c r="F1182" s="35" t="s">
        <v>11</v>
      </c>
    </row>
    <row r="1183" ht="22.5" customHeight="1">
      <c r="A1183" s="37" t="s">
        <v>2608</v>
      </c>
      <c r="B1183" s="35" t="s">
        <v>2609</v>
      </c>
      <c r="C1183" s="35">
        <v>9720.0</v>
      </c>
      <c r="D1183" s="35">
        <v>9808.0</v>
      </c>
      <c r="E1183" s="35">
        <v>23420.0</v>
      </c>
      <c r="F1183" s="35">
        <v>17.0</v>
      </c>
    </row>
    <row r="1184" ht="22.5" customHeight="1">
      <c r="A1184" s="37" t="s">
        <v>2610</v>
      </c>
      <c r="B1184" s="35" t="s">
        <v>2611</v>
      </c>
      <c r="C1184" s="35">
        <v>2314.0</v>
      </c>
      <c r="D1184" s="35">
        <v>2231.0</v>
      </c>
      <c r="E1184" s="35">
        <v>29100.0</v>
      </c>
      <c r="F1184" s="35">
        <v>8.0</v>
      </c>
    </row>
    <row r="1185" ht="22.5" customHeight="1">
      <c r="A1185" s="37" t="s">
        <v>2612</v>
      </c>
      <c r="B1185" s="35" t="s">
        <v>2613</v>
      </c>
      <c r="C1185" s="35">
        <v>813.0</v>
      </c>
      <c r="D1185" s="35">
        <v>838.0</v>
      </c>
      <c r="E1185" s="35">
        <v>26370.0</v>
      </c>
      <c r="F1185" s="35" t="s">
        <v>11</v>
      </c>
    </row>
    <row r="1186" ht="22.5" customHeight="1">
      <c r="A1186" s="37" t="s">
        <v>2614</v>
      </c>
      <c r="B1186" s="35" t="s">
        <v>2615</v>
      </c>
      <c r="C1186" s="35">
        <v>715.0</v>
      </c>
      <c r="D1186" s="35">
        <v>705.0</v>
      </c>
      <c r="E1186" s="35">
        <v>28250.0</v>
      </c>
      <c r="F1186" s="35" t="s">
        <v>11</v>
      </c>
    </row>
    <row r="1187" ht="22.5" customHeight="1">
      <c r="A1187" s="37" t="s">
        <v>2616</v>
      </c>
      <c r="B1187" s="35" t="s">
        <v>2617</v>
      </c>
      <c r="C1187" s="35">
        <v>465.0</v>
      </c>
      <c r="D1187" s="35">
        <v>490.0</v>
      </c>
      <c r="E1187" s="35">
        <v>25450.0</v>
      </c>
      <c r="F1187" s="35" t="s">
        <v>11</v>
      </c>
    </row>
    <row r="1188" ht="22.5" customHeight="1">
      <c r="A1188" s="37" t="s">
        <v>2618</v>
      </c>
      <c r="B1188" s="35" t="s">
        <v>2619</v>
      </c>
      <c r="C1188" s="35">
        <v>495.0</v>
      </c>
      <c r="D1188" s="35">
        <v>419.0</v>
      </c>
      <c r="E1188" s="35">
        <v>24820.0</v>
      </c>
      <c r="F1188" s="35" t="s">
        <v>11</v>
      </c>
    </row>
    <row r="1189" ht="22.5" customHeight="1">
      <c r="A1189" s="37" t="s">
        <v>2620</v>
      </c>
      <c r="B1189" s="35" t="s">
        <v>2621</v>
      </c>
      <c r="C1189" s="35">
        <v>541.0</v>
      </c>
      <c r="D1189" s="35">
        <v>616.0</v>
      </c>
      <c r="E1189" s="35">
        <v>31120.0</v>
      </c>
      <c r="F1189" s="35" t="s">
        <v>11</v>
      </c>
    </row>
    <row r="1190" ht="22.5" customHeight="1">
      <c r="A1190" s="37" t="s">
        <v>2622</v>
      </c>
      <c r="B1190" s="35" t="s">
        <v>2623</v>
      </c>
      <c r="C1190" s="35">
        <v>1536.0</v>
      </c>
      <c r="D1190" s="35">
        <v>1663.0</v>
      </c>
      <c r="E1190" s="35">
        <v>30840.0</v>
      </c>
      <c r="F1190" s="35" t="s">
        <v>11</v>
      </c>
    </row>
    <row r="1191" ht="22.5" customHeight="1">
      <c r="A1191" s="37" t="s">
        <v>2624</v>
      </c>
      <c r="B1191" s="35" t="s">
        <v>2625</v>
      </c>
      <c r="C1191" s="35">
        <v>2502.0</v>
      </c>
      <c r="D1191" s="35">
        <v>2516.0</v>
      </c>
      <c r="E1191" s="35">
        <v>22830.0</v>
      </c>
      <c r="F1191" s="35">
        <v>17.0</v>
      </c>
    </row>
    <row r="1192" ht="22.5" customHeight="1">
      <c r="A1192" s="37" t="s">
        <v>2626</v>
      </c>
      <c r="B1192" s="35" t="s">
        <v>2627</v>
      </c>
      <c r="C1192" s="35">
        <v>20782.0</v>
      </c>
      <c r="D1192" s="35">
        <v>21105.0</v>
      </c>
      <c r="E1192" s="35">
        <v>21770.0</v>
      </c>
      <c r="F1192" s="35">
        <v>28.0</v>
      </c>
    </row>
    <row r="1193" ht="22.5" customHeight="1">
      <c r="A1193" s="37" t="s">
        <v>2628</v>
      </c>
      <c r="B1193" s="35" t="s">
        <v>2629</v>
      </c>
      <c r="C1193" s="35">
        <v>2134.0</v>
      </c>
      <c r="D1193" s="35">
        <v>2075.0</v>
      </c>
      <c r="E1193" s="35">
        <v>32180.0</v>
      </c>
      <c r="F1193" s="35">
        <v>5.0</v>
      </c>
    </row>
    <row r="1194" ht="22.5" customHeight="1">
      <c r="A1194" s="37" t="s">
        <v>2630</v>
      </c>
      <c r="B1194" s="35" t="s">
        <v>2631</v>
      </c>
      <c r="C1194" s="35">
        <v>290.0</v>
      </c>
      <c r="D1194" s="35">
        <v>276.0</v>
      </c>
      <c r="E1194" s="35">
        <v>20920.0</v>
      </c>
      <c r="F1194" s="35" t="s">
        <v>11</v>
      </c>
    </row>
    <row r="1195" ht="22.5" customHeight="1">
      <c r="A1195" s="37" t="s">
        <v>2632</v>
      </c>
      <c r="B1195" s="35" t="s">
        <v>2633</v>
      </c>
      <c r="C1195" s="35">
        <v>562.0</v>
      </c>
      <c r="D1195" s="35">
        <v>552.0</v>
      </c>
      <c r="E1195" s="35">
        <v>25080.0</v>
      </c>
      <c r="F1195" s="35" t="s">
        <v>11</v>
      </c>
    </row>
    <row r="1196" ht="22.5" customHeight="1">
      <c r="A1196" s="37" t="s">
        <v>2634</v>
      </c>
      <c r="B1196" s="35" t="s">
        <v>2635</v>
      </c>
      <c r="C1196" s="35">
        <v>4801.0</v>
      </c>
      <c r="D1196" s="35">
        <v>4495.0</v>
      </c>
      <c r="E1196" s="35">
        <v>22050.0</v>
      </c>
      <c r="F1196" s="35">
        <v>22.0</v>
      </c>
    </row>
    <row r="1197" ht="22.5" customHeight="1">
      <c r="A1197" s="37" t="s">
        <v>2636</v>
      </c>
      <c r="B1197" s="35" t="s">
        <v>2637</v>
      </c>
      <c r="C1197" s="35">
        <v>224.0</v>
      </c>
      <c r="D1197" s="35">
        <v>228.0</v>
      </c>
      <c r="E1197" s="35">
        <v>25530.0</v>
      </c>
      <c r="F1197" s="35" t="s">
        <v>11</v>
      </c>
    </row>
    <row r="1198" ht="22.5" customHeight="1">
      <c r="A1198" s="37" t="s">
        <v>2638</v>
      </c>
      <c r="B1198" s="35" t="s">
        <v>2639</v>
      </c>
      <c r="C1198" s="35">
        <v>2538.0</v>
      </c>
      <c r="D1198" s="35">
        <v>2573.0</v>
      </c>
      <c r="E1198" s="35">
        <v>27040.0</v>
      </c>
      <c r="F1198" s="35">
        <v>8.0</v>
      </c>
    </row>
    <row r="1199" ht="22.5" customHeight="1">
      <c r="A1199" s="37" t="s">
        <v>2640</v>
      </c>
      <c r="B1199" s="35" t="s">
        <v>2641</v>
      </c>
      <c r="C1199" s="35">
        <v>1626.0</v>
      </c>
      <c r="D1199" s="35">
        <v>1599.0</v>
      </c>
      <c r="E1199" s="35">
        <v>21410.0</v>
      </c>
      <c r="F1199" s="35" t="s">
        <v>11</v>
      </c>
    </row>
    <row r="1200" ht="22.5" customHeight="1">
      <c r="A1200" s="37" t="s">
        <v>2642</v>
      </c>
      <c r="B1200" s="35" t="s">
        <v>2643</v>
      </c>
      <c r="C1200" s="35">
        <v>1392.0</v>
      </c>
      <c r="D1200" s="35">
        <v>1491.0</v>
      </c>
      <c r="E1200" s="35">
        <v>31120.0</v>
      </c>
      <c r="F1200" s="35" t="s">
        <v>11</v>
      </c>
    </row>
    <row r="1201" ht="22.5" customHeight="1">
      <c r="A1201" s="37" t="s">
        <v>2644</v>
      </c>
      <c r="B1201" s="35" t="s">
        <v>2645</v>
      </c>
      <c r="C1201" s="35">
        <v>59.0</v>
      </c>
      <c r="D1201" s="35">
        <v>61.0</v>
      </c>
      <c r="E1201" s="35" t="s">
        <v>11</v>
      </c>
      <c r="F1201" s="35" t="s">
        <v>11</v>
      </c>
    </row>
    <row r="1202" ht="22.5" customHeight="1">
      <c r="A1202" s="37" t="s">
        <v>2646</v>
      </c>
      <c r="B1202" s="35" t="s">
        <v>2647</v>
      </c>
      <c r="C1202" s="35">
        <v>13151.0</v>
      </c>
      <c r="D1202" s="35">
        <v>13369.0</v>
      </c>
      <c r="E1202" s="35">
        <v>32540.0</v>
      </c>
      <c r="F1202" s="35">
        <v>9.0</v>
      </c>
    </row>
    <row r="1203" ht="22.5" customHeight="1">
      <c r="A1203" s="37" t="s">
        <v>2648</v>
      </c>
      <c r="B1203" s="35" t="s">
        <v>2649</v>
      </c>
      <c r="C1203" s="35">
        <v>636.0</v>
      </c>
      <c r="D1203" s="35">
        <v>620.0</v>
      </c>
      <c r="E1203" s="35">
        <v>26610.0</v>
      </c>
      <c r="F1203" s="35" t="s">
        <v>11</v>
      </c>
    </row>
    <row r="1204" ht="22.5" customHeight="1">
      <c r="A1204" s="37" t="s">
        <v>2650</v>
      </c>
      <c r="B1204" s="35" t="s">
        <v>2651</v>
      </c>
      <c r="C1204" s="35">
        <v>1234.0</v>
      </c>
      <c r="D1204" s="35">
        <v>1417.0</v>
      </c>
      <c r="E1204" s="35">
        <v>25540.0</v>
      </c>
      <c r="F1204" s="35" t="s">
        <v>11</v>
      </c>
    </row>
    <row r="1205" ht="22.5" customHeight="1">
      <c r="A1205" s="37" t="s">
        <v>2652</v>
      </c>
      <c r="B1205" s="35" t="s">
        <v>2653</v>
      </c>
      <c r="C1205" s="35">
        <v>1330.0</v>
      </c>
      <c r="D1205" s="35">
        <v>1286.0</v>
      </c>
      <c r="E1205" s="35">
        <v>20530.0</v>
      </c>
      <c r="F1205" s="35" t="s">
        <v>11</v>
      </c>
    </row>
    <row r="1206" ht="22.5" customHeight="1">
      <c r="A1206" s="37" t="s">
        <v>2654</v>
      </c>
      <c r="B1206" s="35" t="s">
        <v>2655</v>
      </c>
      <c r="C1206" s="35">
        <v>304.0</v>
      </c>
      <c r="D1206" s="35">
        <v>298.0</v>
      </c>
      <c r="E1206" s="35">
        <v>27180.0</v>
      </c>
      <c r="F1206" s="35" t="s">
        <v>11</v>
      </c>
    </row>
    <row r="1207" ht="22.5" customHeight="1">
      <c r="A1207" s="37" t="s">
        <v>2656</v>
      </c>
      <c r="B1207" s="35" t="s">
        <v>2657</v>
      </c>
      <c r="C1207" s="35">
        <v>10284.0</v>
      </c>
      <c r="D1207" s="35">
        <v>10002.0</v>
      </c>
      <c r="E1207" s="35">
        <v>27570.0</v>
      </c>
      <c r="F1207" s="35">
        <v>7.0</v>
      </c>
    </row>
    <row r="1208" ht="22.5" customHeight="1">
      <c r="A1208" s="37" t="s">
        <v>2658</v>
      </c>
      <c r="B1208" s="35" t="s">
        <v>2659</v>
      </c>
      <c r="C1208" s="35">
        <v>646.0</v>
      </c>
      <c r="D1208" s="35">
        <v>593.0</v>
      </c>
      <c r="E1208" s="35">
        <v>30970.0</v>
      </c>
      <c r="F1208" s="35" t="s">
        <v>11</v>
      </c>
    </row>
    <row r="1209" ht="22.5" customHeight="1">
      <c r="A1209" s="37" t="s">
        <v>2660</v>
      </c>
      <c r="B1209" s="35" t="s">
        <v>2661</v>
      </c>
      <c r="C1209" s="35">
        <v>3803.0</v>
      </c>
      <c r="D1209" s="35">
        <v>4012.0</v>
      </c>
      <c r="E1209" s="35">
        <v>21590.0</v>
      </c>
      <c r="F1209" s="35">
        <v>22.0</v>
      </c>
    </row>
    <row r="1210" ht="22.5" customHeight="1">
      <c r="A1210" s="37" t="s">
        <v>2662</v>
      </c>
      <c r="B1210" s="35" t="s">
        <v>2663</v>
      </c>
      <c r="C1210" s="35">
        <v>2702.0</v>
      </c>
      <c r="D1210" s="35">
        <v>2901.0</v>
      </c>
      <c r="E1210" s="35">
        <v>21950.0</v>
      </c>
      <c r="F1210" s="35">
        <v>16.0</v>
      </c>
    </row>
    <row r="1211" ht="22.5" customHeight="1">
      <c r="A1211" s="37" t="s">
        <v>2664</v>
      </c>
      <c r="B1211" s="35" t="s">
        <v>2665</v>
      </c>
      <c r="C1211" s="35">
        <v>1113.0</v>
      </c>
      <c r="D1211" s="35">
        <v>1103.0</v>
      </c>
      <c r="E1211" s="35">
        <v>23260.0</v>
      </c>
      <c r="F1211" s="35" t="s">
        <v>11</v>
      </c>
    </row>
    <row r="1212" ht="22.5" customHeight="1">
      <c r="A1212" s="37" t="s">
        <v>2666</v>
      </c>
      <c r="B1212" s="35" t="s">
        <v>2667</v>
      </c>
      <c r="C1212" s="35">
        <v>7476.0</v>
      </c>
      <c r="D1212" s="35">
        <v>7764.0</v>
      </c>
      <c r="E1212" s="35">
        <v>26140.0</v>
      </c>
      <c r="F1212" s="35">
        <v>12.0</v>
      </c>
    </row>
    <row r="1213" ht="22.5" customHeight="1">
      <c r="A1213" s="37" t="s">
        <v>2668</v>
      </c>
      <c r="B1213" s="35" t="s">
        <v>2669</v>
      </c>
      <c r="C1213" s="35">
        <v>509.0</v>
      </c>
      <c r="D1213" s="35">
        <v>509.0</v>
      </c>
      <c r="E1213" s="35">
        <v>28550.0</v>
      </c>
      <c r="F1213" s="35" t="s">
        <v>11</v>
      </c>
    </row>
    <row r="1214" ht="22.5" customHeight="1">
      <c r="A1214" s="37" t="s">
        <v>2670</v>
      </c>
      <c r="B1214" s="35" t="s">
        <v>2671</v>
      </c>
      <c r="C1214" s="35">
        <v>937.0</v>
      </c>
      <c r="D1214" s="35">
        <v>908.0</v>
      </c>
      <c r="E1214" s="35">
        <v>23090.0</v>
      </c>
      <c r="F1214" s="35" t="s">
        <v>11</v>
      </c>
    </row>
    <row r="1215" ht="22.5" customHeight="1">
      <c r="A1215" s="37" t="s">
        <v>2672</v>
      </c>
      <c r="B1215" s="35" t="s">
        <v>2673</v>
      </c>
      <c r="C1215" s="35">
        <v>1318.0</v>
      </c>
      <c r="D1215" s="35">
        <v>1406.0</v>
      </c>
      <c r="E1215" s="35">
        <v>29630.0</v>
      </c>
      <c r="F1215" s="35" t="s">
        <v>11</v>
      </c>
    </row>
    <row r="1216" ht="22.5" customHeight="1">
      <c r="A1216" s="37" t="s">
        <v>2674</v>
      </c>
      <c r="B1216" s="35" t="s">
        <v>2675</v>
      </c>
      <c r="C1216" s="35">
        <v>2521.0</v>
      </c>
      <c r="D1216" s="35">
        <v>2651.0</v>
      </c>
      <c r="E1216" s="35">
        <v>30860.0</v>
      </c>
      <c r="F1216" s="35">
        <v>8.0</v>
      </c>
    </row>
    <row r="1217" ht="22.5" customHeight="1">
      <c r="A1217" s="37" t="s">
        <v>2676</v>
      </c>
      <c r="B1217" s="35" t="s">
        <v>2677</v>
      </c>
      <c r="C1217" s="35">
        <v>788.0</v>
      </c>
      <c r="D1217" s="35">
        <v>825.0</v>
      </c>
      <c r="E1217" s="35">
        <v>24400.0</v>
      </c>
      <c r="F1217" s="35" t="s">
        <v>11</v>
      </c>
    </row>
    <row r="1218" ht="22.5" customHeight="1">
      <c r="A1218" s="37" t="s">
        <v>2678</v>
      </c>
      <c r="B1218" s="35" t="s">
        <v>2679</v>
      </c>
      <c r="C1218" s="35">
        <v>873.0</v>
      </c>
      <c r="D1218" s="35">
        <v>838.0</v>
      </c>
      <c r="E1218" s="35">
        <v>31150.0</v>
      </c>
      <c r="F1218" s="35" t="s">
        <v>11</v>
      </c>
    </row>
    <row r="1219" ht="22.5" customHeight="1">
      <c r="A1219" s="37" t="s">
        <v>2680</v>
      </c>
      <c r="B1219" s="35" t="s">
        <v>2681</v>
      </c>
      <c r="C1219" s="35">
        <v>803.0</v>
      </c>
      <c r="D1219" s="35">
        <v>816.0</v>
      </c>
      <c r="E1219" s="35">
        <v>25600.0</v>
      </c>
      <c r="F1219" s="35" t="s">
        <v>11</v>
      </c>
    </row>
    <row r="1220" ht="22.5" customHeight="1">
      <c r="A1220" s="37" t="s">
        <v>2682</v>
      </c>
      <c r="B1220" s="35" t="s">
        <v>2683</v>
      </c>
      <c r="C1220" s="35">
        <v>278.0</v>
      </c>
      <c r="D1220" s="35">
        <v>283.0</v>
      </c>
      <c r="E1220" s="35">
        <v>25470.0</v>
      </c>
      <c r="F1220" s="35" t="s">
        <v>11</v>
      </c>
    </row>
    <row r="1221" ht="22.5" customHeight="1">
      <c r="A1221" s="37" t="s">
        <v>2684</v>
      </c>
      <c r="B1221" s="35" t="s">
        <v>2685</v>
      </c>
      <c r="C1221" s="35">
        <v>705.0</v>
      </c>
      <c r="D1221" s="35">
        <v>657.0</v>
      </c>
      <c r="E1221" s="35">
        <v>24260.0</v>
      </c>
      <c r="F1221" s="35" t="s">
        <v>11</v>
      </c>
    </row>
    <row r="1222" ht="22.5" customHeight="1">
      <c r="A1222" s="37" t="s">
        <v>2686</v>
      </c>
      <c r="B1222" s="35" t="s">
        <v>2687</v>
      </c>
      <c r="C1222" s="35">
        <v>686.0</v>
      </c>
      <c r="D1222" s="35">
        <v>660.0</v>
      </c>
      <c r="E1222" s="35">
        <v>28850.0</v>
      </c>
      <c r="F1222" s="35" t="s">
        <v>11</v>
      </c>
    </row>
    <row r="1223" ht="22.5" customHeight="1">
      <c r="A1223" s="37" t="s">
        <v>2688</v>
      </c>
      <c r="B1223" s="35" t="s">
        <v>2689</v>
      </c>
      <c r="C1223" s="35">
        <v>268.0</v>
      </c>
      <c r="D1223" s="35">
        <v>283.0</v>
      </c>
      <c r="E1223" s="35">
        <v>29240.0</v>
      </c>
      <c r="F1223" s="35" t="s">
        <v>11</v>
      </c>
    </row>
    <row r="1224" ht="22.5" customHeight="1">
      <c r="A1224" s="37" t="s">
        <v>2690</v>
      </c>
      <c r="B1224" s="35" t="s">
        <v>2691</v>
      </c>
      <c r="C1224" s="35">
        <v>383.0</v>
      </c>
      <c r="D1224" s="35">
        <v>351.0</v>
      </c>
      <c r="E1224" s="35">
        <v>27080.0</v>
      </c>
      <c r="F1224" s="35" t="s">
        <v>11</v>
      </c>
    </row>
    <row r="1225" ht="22.5" customHeight="1">
      <c r="A1225" s="37" t="s">
        <v>2692</v>
      </c>
      <c r="B1225" s="35" t="s">
        <v>2693</v>
      </c>
      <c r="C1225" s="35">
        <v>936.0</v>
      </c>
      <c r="D1225" s="35">
        <v>945.0</v>
      </c>
      <c r="E1225" s="35">
        <v>23410.0</v>
      </c>
      <c r="F1225" s="35" t="s">
        <v>11</v>
      </c>
    </row>
    <row r="1226" ht="22.5" customHeight="1">
      <c r="A1226" s="37" t="s">
        <v>2694</v>
      </c>
      <c r="B1226" s="35" t="s">
        <v>2695</v>
      </c>
      <c r="C1226" s="35">
        <v>1199.0</v>
      </c>
      <c r="D1226" s="35">
        <v>1171.0</v>
      </c>
      <c r="E1226" s="35">
        <v>23220.0</v>
      </c>
      <c r="F1226" s="35" t="s">
        <v>11</v>
      </c>
    </row>
    <row r="1227" ht="22.5" customHeight="1">
      <c r="A1227" s="37" t="s">
        <v>2696</v>
      </c>
      <c r="B1227" s="35" t="s">
        <v>1339</v>
      </c>
      <c r="C1227" s="35">
        <v>614.0</v>
      </c>
      <c r="D1227" s="35">
        <v>699.0</v>
      </c>
      <c r="E1227" s="35">
        <v>30090.0</v>
      </c>
      <c r="F1227" s="35" t="s">
        <v>11</v>
      </c>
    </row>
    <row r="1228" ht="22.5" customHeight="1">
      <c r="A1228" s="37" t="s">
        <v>2697</v>
      </c>
      <c r="B1228" s="35" t="s">
        <v>2698</v>
      </c>
      <c r="C1228" s="35">
        <v>8797.0</v>
      </c>
      <c r="D1228" s="35">
        <v>8479.0</v>
      </c>
      <c r="E1228" s="35">
        <v>21220.0</v>
      </c>
      <c r="F1228" s="35">
        <v>25.0</v>
      </c>
    </row>
    <row r="1229" ht="22.5" customHeight="1">
      <c r="A1229" s="37" t="s">
        <v>2699</v>
      </c>
      <c r="B1229" s="35" t="s">
        <v>2700</v>
      </c>
      <c r="C1229" s="35">
        <v>465.0</v>
      </c>
      <c r="D1229" s="35">
        <v>463.0</v>
      </c>
      <c r="E1229" s="35">
        <v>24750.0</v>
      </c>
      <c r="F1229" s="35" t="s">
        <v>11</v>
      </c>
    </row>
    <row r="1230" ht="22.5" customHeight="1">
      <c r="A1230" s="37" t="s">
        <v>2701</v>
      </c>
      <c r="B1230" s="35" t="s">
        <v>2702</v>
      </c>
      <c r="C1230" s="35">
        <v>8828.0</v>
      </c>
      <c r="D1230" s="35">
        <v>8396.0</v>
      </c>
      <c r="E1230" s="35">
        <v>24880.0</v>
      </c>
      <c r="F1230" s="35">
        <v>14.0</v>
      </c>
    </row>
    <row r="1231" ht="22.5" customHeight="1">
      <c r="A1231" s="37" t="s">
        <v>2703</v>
      </c>
      <c r="B1231" s="35" t="s">
        <v>2704</v>
      </c>
      <c r="C1231" s="35">
        <v>643.0</v>
      </c>
      <c r="D1231" s="35">
        <v>644.0</v>
      </c>
      <c r="E1231" s="35">
        <v>24150.0</v>
      </c>
      <c r="F1231" s="35" t="s">
        <v>11</v>
      </c>
    </row>
    <row r="1232" ht="22.5" customHeight="1">
      <c r="A1232" s="37" t="s">
        <v>2705</v>
      </c>
      <c r="B1232" s="35" t="s">
        <v>2706</v>
      </c>
      <c r="C1232" s="35">
        <v>548.0</v>
      </c>
      <c r="D1232" s="35">
        <v>564.0</v>
      </c>
      <c r="E1232" s="35">
        <v>30310.0</v>
      </c>
      <c r="F1232" s="35" t="s">
        <v>11</v>
      </c>
    </row>
    <row r="1233" ht="22.5" customHeight="1">
      <c r="A1233" s="37" t="s">
        <v>2707</v>
      </c>
      <c r="B1233" s="35" t="s">
        <v>2708</v>
      </c>
      <c r="C1233" s="35">
        <v>5372.0</v>
      </c>
      <c r="D1233" s="35">
        <v>6097.0</v>
      </c>
      <c r="E1233" s="35">
        <v>21160.0</v>
      </c>
      <c r="F1233" s="35">
        <v>25.0</v>
      </c>
    </row>
    <row r="1234" ht="22.5" customHeight="1">
      <c r="A1234" s="37" t="s">
        <v>2709</v>
      </c>
      <c r="B1234" s="35" t="s">
        <v>2710</v>
      </c>
      <c r="C1234" s="35">
        <v>686.0</v>
      </c>
      <c r="D1234" s="35">
        <v>690.0</v>
      </c>
      <c r="E1234" s="35">
        <v>26400.0</v>
      </c>
      <c r="F1234" s="35" t="s">
        <v>11</v>
      </c>
    </row>
    <row r="1235" ht="22.5" customHeight="1">
      <c r="A1235" s="37" t="s">
        <v>2711</v>
      </c>
      <c r="B1235" s="35" t="s">
        <v>2712</v>
      </c>
      <c r="C1235" s="35">
        <v>519.0</v>
      </c>
      <c r="D1235" s="35">
        <v>540.0</v>
      </c>
      <c r="E1235" s="35">
        <v>25020.0</v>
      </c>
      <c r="F1235" s="35" t="s">
        <v>11</v>
      </c>
    </row>
    <row r="1236" ht="22.5" customHeight="1">
      <c r="A1236" s="37" t="s">
        <v>2713</v>
      </c>
      <c r="B1236" s="35" t="s">
        <v>2714</v>
      </c>
      <c r="C1236" s="35">
        <v>991.0</v>
      </c>
      <c r="D1236" s="35">
        <v>1030.0</v>
      </c>
      <c r="E1236" s="35">
        <v>26060.0</v>
      </c>
      <c r="F1236" s="35" t="s">
        <v>11</v>
      </c>
    </row>
    <row r="1237" ht="22.5" customHeight="1">
      <c r="A1237" s="37" t="s">
        <v>2715</v>
      </c>
      <c r="B1237" s="35" t="s">
        <v>2716</v>
      </c>
      <c r="C1237" s="35">
        <v>6011.0</v>
      </c>
      <c r="D1237" s="35">
        <v>6092.0</v>
      </c>
      <c r="E1237" s="35">
        <v>19880.0</v>
      </c>
      <c r="F1237" s="35">
        <v>28.0</v>
      </c>
    </row>
    <row r="1238" ht="22.5" customHeight="1">
      <c r="A1238" s="37" t="s">
        <v>2717</v>
      </c>
      <c r="B1238" s="35" t="s">
        <v>2718</v>
      </c>
      <c r="C1238" s="35">
        <v>8424.0</v>
      </c>
      <c r="D1238" s="35">
        <v>8455.0</v>
      </c>
      <c r="E1238" s="35">
        <v>26590.0</v>
      </c>
      <c r="F1238" s="35">
        <v>12.0</v>
      </c>
    </row>
    <row r="1239" ht="22.5" customHeight="1">
      <c r="A1239" s="37" t="s">
        <v>2719</v>
      </c>
      <c r="B1239" s="35" t="s">
        <v>2720</v>
      </c>
      <c r="C1239" s="35">
        <v>908.0</v>
      </c>
      <c r="D1239" s="35">
        <v>1025.0</v>
      </c>
      <c r="E1239" s="35">
        <v>32820.0</v>
      </c>
      <c r="F1239" s="35" t="s">
        <v>11</v>
      </c>
    </row>
    <row r="1240" ht="22.5" customHeight="1">
      <c r="A1240" s="37" t="s">
        <v>2721</v>
      </c>
      <c r="B1240" s="35" t="s">
        <v>2722</v>
      </c>
      <c r="C1240" s="35">
        <v>4877.0</v>
      </c>
      <c r="D1240" s="35">
        <v>5054.0</v>
      </c>
      <c r="E1240" s="35">
        <v>23640.0</v>
      </c>
      <c r="F1240" s="35">
        <v>18.0</v>
      </c>
    </row>
    <row r="1241" ht="22.5" customHeight="1">
      <c r="A1241" s="37" t="s">
        <v>2723</v>
      </c>
      <c r="B1241" s="35" t="s">
        <v>2724</v>
      </c>
      <c r="C1241" s="35">
        <v>309.0</v>
      </c>
      <c r="D1241" s="35">
        <v>286.0</v>
      </c>
      <c r="E1241" s="35">
        <v>25580.0</v>
      </c>
      <c r="F1241" s="35" t="s">
        <v>11</v>
      </c>
    </row>
    <row r="1242" ht="22.5" customHeight="1">
      <c r="A1242" s="37" t="s">
        <v>2725</v>
      </c>
      <c r="B1242" s="35" t="s">
        <v>2726</v>
      </c>
      <c r="C1242" s="35">
        <v>4729.0</v>
      </c>
      <c r="D1242" s="35">
        <v>4847.0</v>
      </c>
      <c r="E1242" s="35">
        <v>30080.0</v>
      </c>
      <c r="F1242" s="35">
        <v>6.0</v>
      </c>
    </row>
    <row r="1243" ht="22.5" customHeight="1">
      <c r="A1243" s="37" t="s">
        <v>2727</v>
      </c>
      <c r="B1243" s="35" t="s">
        <v>2728</v>
      </c>
      <c r="C1243" s="35">
        <v>966.0</v>
      </c>
      <c r="D1243" s="35">
        <v>1007.0</v>
      </c>
      <c r="E1243" s="35">
        <v>26510.0</v>
      </c>
      <c r="F1243" s="35" t="s">
        <v>11</v>
      </c>
    </row>
    <row r="1244" ht="22.5" customHeight="1">
      <c r="A1244" s="37" t="s">
        <v>2729</v>
      </c>
      <c r="B1244" s="35" t="s">
        <v>2730</v>
      </c>
      <c r="C1244" s="35">
        <v>2203.0</v>
      </c>
      <c r="D1244" s="35">
        <v>2126.0</v>
      </c>
      <c r="E1244" s="35">
        <v>21300.0</v>
      </c>
      <c r="F1244" s="35">
        <v>26.0</v>
      </c>
    </row>
    <row r="1245" ht="22.5" customHeight="1">
      <c r="A1245" s="37" t="s">
        <v>2731</v>
      </c>
      <c r="B1245" s="35" t="s">
        <v>2732</v>
      </c>
      <c r="C1245" s="35">
        <v>770.0</v>
      </c>
      <c r="D1245" s="35">
        <v>765.0</v>
      </c>
      <c r="E1245" s="35">
        <v>23140.0</v>
      </c>
      <c r="F1245" s="35" t="s">
        <v>11</v>
      </c>
    </row>
    <row r="1246" ht="22.5" customHeight="1">
      <c r="A1246" s="37" t="s">
        <v>2733</v>
      </c>
      <c r="B1246" s="35" t="s">
        <v>2734</v>
      </c>
      <c r="C1246" s="35">
        <v>2884.0</v>
      </c>
      <c r="D1246" s="35">
        <v>3016.0</v>
      </c>
      <c r="E1246" s="35">
        <v>28660.0</v>
      </c>
      <c r="F1246" s="35">
        <v>7.0</v>
      </c>
    </row>
    <row r="1247" ht="22.5" customHeight="1">
      <c r="A1247" s="37" t="s">
        <v>2735</v>
      </c>
      <c r="B1247" s="35" t="s">
        <v>2736</v>
      </c>
      <c r="C1247" s="35">
        <v>2541.0</v>
      </c>
      <c r="D1247" s="35">
        <v>2371.0</v>
      </c>
      <c r="E1247" s="35">
        <v>23610.0</v>
      </c>
      <c r="F1247" s="35">
        <v>19.0</v>
      </c>
    </row>
    <row r="1248" ht="22.5" customHeight="1">
      <c r="A1248" s="37" t="s">
        <v>2737</v>
      </c>
      <c r="B1248" s="35" t="s">
        <v>2738</v>
      </c>
      <c r="C1248" s="35">
        <v>395.0</v>
      </c>
      <c r="D1248" s="35">
        <v>439.0</v>
      </c>
      <c r="E1248" s="35">
        <v>29150.0</v>
      </c>
      <c r="F1248" s="35" t="s">
        <v>11</v>
      </c>
    </row>
    <row r="1249" ht="22.5" customHeight="1">
      <c r="A1249" s="37" t="s">
        <v>2739</v>
      </c>
      <c r="B1249" s="35" t="s">
        <v>2740</v>
      </c>
      <c r="C1249" s="35">
        <v>390.0</v>
      </c>
      <c r="D1249" s="35">
        <v>399.0</v>
      </c>
      <c r="E1249" s="35">
        <v>28770.0</v>
      </c>
      <c r="F1249" s="35" t="s">
        <v>11</v>
      </c>
    </row>
    <row r="1250" ht="22.5" customHeight="1">
      <c r="A1250" s="37" t="s">
        <v>2741</v>
      </c>
      <c r="B1250" s="35" t="s">
        <v>2742</v>
      </c>
      <c r="C1250" s="35">
        <v>2130.0</v>
      </c>
      <c r="D1250" s="35">
        <v>2031.0</v>
      </c>
      <c r="E1250" s="35">
        <v>31120.0</v>
      </c>
      <c r="F1250" s="35">
        <v>5.0</v>
      </c>
    </row>
    <row r="1251" ht="22.5" customHeight="1">
      <c r="A1251" s="37" t="s">
        <v>2743</v>
      </c>
      <c r="B1251" s="35" t="s">
        <v>2744</v>
      </c>
      <c r="C1251" s="35">
        <v>1932.0</v>
      </c>
      <c r="D1251" s="35">
        <v>2100.0</v>
      </c>
      <c r="E1251" s="35">
        <v>28640.0</v>
      </c>
      <c r="F1251" s="35">
        <v>8.0</v>
      </c>
    </row>
    <row r="1252" ht="22.5" customHeight="1">
      <c r="A1252" s="37" t="s">
        <v>2745</v>
      </c>
      <c r="B1252" s="35" t="s">
        <v>2746</v>
      </c>
      <c r="C1252" s="35">
        <v>844.0</v>
      </c>
      <c r="D1252" s="35">
        <v>832.0</v>
      </c>
      <c r="E1252" s="35">
        <v>23780.0</v>
      </c>
      <c r="F1252" s="35" t="s">
        <v>11</v>
      </c>
    </row>
    <row r="1253" ht="22.5" customHeight="1">
      <c r="A1253" s="37" t="s">
        <v>2747</v>
      </c>
      <c r="B1253" s="35" t="s">
        <v>2748</v>
      </c>
      <c r="C1253" s="35">
        <v>314.0</v>
      </c>
      <c r="D1253" s="35">
        <v>300.0</v>
      </c>
      <c r="E1253" s="35">
        <v>30790.0</v>
      </c>
      <c r="F1253" s="35" t="s">
        <v>11</v>
      </c>
    </row>
    <row r="1254" ht="22.5" customHeight="1">
      <c r="A1254" s="37" t="s">
        <v>2749</v>
      </c>
      <c r="B1254" s="35" t="s">
        <v>2750</v>
      </c>
      <c r="C1254" s="35">
        <v>1081.0</v>
      </c>
      <c r="D1254" s="35">
        <v>1000.0</v>
      </c>
      <c r="E1254" s="35">
        <v>22980.0</v>
      </c>
      <c r="F1254" s="35" t="s">
        <v>11</v>
      </c>
    </row>
    <row r="1255" ht="22.5" customHeight="1">
      <c r="A1255" s="37" t="s">
        <v>2751</v>
      </c>
      <c r="B1255" s="35" t="s">
        <v>2752</v>
      </c>
      <c r="C1255" s="35">
        <v>2282.0</v>
      </c>
      <c r="D1255" s="35">
        <v>2178.0</v>
      </c>
      <c r="E1255" s="35">
        <v>23660.0</v>
      </c>
      <c r="F1255" s="35">
        <v>16.0</v>
      </c>
    </row>
    <row r="1256" ht="22.5" customHeight="1">
      <c r="A1256" s="37" t="s">
        <v>2753</v>
      </c>
      <c r="B1256" s="35" t="s">
        <v>2754</v>
      </c>
      <c r="C1256" s="35">
        <v>3163.0</v>
      </c>
      <c r="D1256" s="35">
        <v>3206.0</v>
      </c>
      <c r="E1256" s="35">
        <v>26610.0</v>
      </c>
      <c r="F1256" s="35">
        <v>11.0</v>
      </c>
    </row>
    <row r="1257" ht="22.5" customHeight="1">
      <c r="A1257" s="37" t="s">
        <v>2755</v>
      </c>
      <c r="B1257" s="35" t="s">
        <v>2756</v>
      </c>
      <c r="C1257" s="35">
        <v>4234.0</v>
      </c>
      <c r="D1257" s="35">
        <v>4428.0</v>
      </c>
      <c r="E1257" s="35">
        <v>24880.0</v>
      </c>
      <c r="F1257" s="35">
        <v>13.0</v>
      </c>
    </row>
    <row r="1258" ht="22.5" customHeight="1">
      <c r="A1258" s="37" t="s">
        <v>2757</v>
      </c>
      <c r="B1258" s="35" t="s">
        <v>2758</v>
      </c>
      <c r="C1258" s="35">
        <v>1095.0</v>
      </c>
      <c r="D1258" s="35">
        <v>1108.0</v>
      </c>
      <c r="E1258" s="35">
        <v>27470.0</v>
      </c>
      <c r="F1258" s="35" t="s">
        <v>11</v>
      </c>
    </row>
    <row r="1259" ht="22.5" customHeight="1">
      <c r="A1259" s="37" t="s">
        <v>2759</v>
      </c>
      <c r="B1259" s="35" t="s">
        <v>2760</v>
      </c>
      <c r="C1259" s="35">
        <v>2992.0</v>
      </c>
      <c r="D1259" s="35">
        <v>3145.0</v>
      </c>
      <c r="E1259" s="35">
        <v>24640.0</v>
      </c>
      <c r="F1259" s="35">
        <v>14.0</v>
      </c>
    </row>
    <row r="1260" ht="22.5" customHeight="1">
      <c r="A1260" s="37" t="s">
        <v>2761</v>
      </c>
      <c r="B1260" s="35" t="s">
        <v>2762</v>
      </c>
      <c r="C1260" s="35">
        <v>886.0</v>
      </c>
      <c r="D1260" s="35">
        <v>865.0</v>
      </c>
      <c r="E1260" s="35">
        <v>30340.0</v>
      </c>
      <c r="F1260" s="35" t="s">
        <v>11</v>
      </c>
    </row>
    <row r="1261" ht="22.5" customHeight="1">
      <c r="A1261" s="37" t="s">
        <v>2763</v>
      </c>
      <c r="B1261" s="35" t="s">
        <v>2764</v>
      </c>
      <c r="C1261" s="35">
        <v>4934.0</v>
      </c>
      <c r="D1261" s="35">
        <v>4878.0</v>
      </c>
      <c r="E1261" s="35">
        <v>22010.0</v>
      </c>
      <c r="F1261" s="35">
        <v>22.0</v>
      </c>
    </row>
    <row r="1262" ht="22.5" customHeight="1">
      <c r="A1262" s="37" t="s">
        <v>2765</v>
      </c>
      <c r="B1262" s="35" t="s">
        <v>2766</v>
      </c>
      <c r="C1262" s="35">
        <v>6758.0</v>
      </c>
      <c r="D1262" s="35">
        <v>6805.0</v>
      </c>
      <c r="E1262" s="35">
        <v>28410.0</v>
      </c>
      <c r="F1262" s="35">
        <v>10.0</v>
      </c>
    </row>
    <row r="1263" ht="22.5" customHeight="1">
      <c r="A1263" s="37" t="s">
        <v>2767</v>
      </c>
      <c r="B1263" s="35" t="s">
        <v>2768</v>
      </c>
      <c r="C1263" s="35">
        <v>131.0</v>
      </c>
      <c r="D1263" s="35">
        <v>135.0</v>
      </c>
      <c r="E1263" s="35">
        <v>28220.0</v>
      </c>
      <c r="F1263" s="35" t="s">
        <v>11</v>
      </c>
    </row>
    <row r="1264" ht="22.5" customHeight="1">
      <c r="A1264" s="37" t="s">
        <v>2769</v>
      </c>
      <c r="B1264" s="35" t="s">
        <v>2770</v>
      </c>
      <c r="C1264" s="35">
        <v>6366.0</v>
      </c>
      <c r="D1264" s="35">
        <v>5949.0</v>
      </c>
      <c r="E1264" s="35">
        <v>18600.0</v>
      </c>
      <c r="F1264" s="35">
        <v>33.0</v>
      </c>
    </row>
    <row r="1265" ht="22.5" customHeight="1">
      <c r="A1265" s="37" t="s">
        <v>2771</v>
      </c>
      <c r="B1265" s="35" t="s">
        <v>2772</v>
      </c>
      <c r="C1265" s="35">
        <v>1783.0</v>
      </c>
      <c r="D1265" s="35">
        <v>1803.0</v>
      </c>
      <c r="E1265" s="35">
        <v>22850.0</v>
      </c>
      <c r="F1265" s="35" t="s">
        <v>11</v>
      </c>
    </row>
    <row r="1266" ht="22.5" customHeight="1">
      <c r="A1266" s="37" t="s">
        <v>2773</v>
      </c>
      <c r="B1266" s="35" t="s">
        <v>2774</v>
      </c>
      <c r="C1266" s="35">
        <v>2740.0</v>
      </c>
      <c r="D1266" s="35">
        <v>2672.0</v>
      </c>
      <c r="E1266" s="35">
        <v>24680.0</v>
      </c>
      <c r="F1266" s="35">
        <v>12.0</v>
      </c>
    </row>
    <row r="1267" ht="22.5" customHeight="1">
      <c r="A1267" s="37" t="s">
        <v>2775</v>
      </c>
      <c r="B1267" s="35" t="s">
        <v>2776</v>
      </c>
      <c r="C1267" s="35">
        <v>1406.0</v>
      </c>
      <c r="D1267" s="35">
        <v>1410.0</v>
      </c>
      <c r="E1267" s="35">
        <v>35850.0</v>
      </c>
      <c r="F1267" s="35" t="s">
        <v>11</v>
      </c>
    </row>
    <row r="1268" ht="22.5" customHeight="1">
      <c r="A1268" s="37" t="s">
        <v>2777</v>
      </c>
      <c r="B1268" s="35" t="s">
        <v>2778</v>
      </c>
      <c r="C1268" s="35">
        <v>2238.0</v>
      </c>
      <c r="D1268" s="35">
        <v>2127.0</v>
      </c>
      <c r="E1268" s="35">
        <v>25480.0</v>
      </c>
      <c r="F1268" s="35">
        <v>13.0</v>
      </c>
    </row>
    <row r="1269" ht="22.5" customHeight="1">
      <c r="A1269" s="37" t="s">
        <v>2779</v>
      </c>
      <c r="B1269" s="35" t="s">
        <v>2780</v>
      </c>
      <c r="C1269" s="35">
        <v>4002.0</v>
      </c>
      <c r="D1269" s="35">
        <v>4000.0</v>
      </c>
      <c r="E1269" s="35">
        <v>27120.0</v>
      </c>
      <c r="F1269" s="35">
        <v>12.0</v>
      </c>
    </row>
    <row r="1270" ht="22.5" customHeight="1">
      <c r="A1270" s="37" t="s">
        <v>2781</v>
      </c>
      <c r="B1270" s="35" t="s">
        <v>2782</v>
      </c>
      <c r="C1270" s="35">
        <v>182.0</v>
      </c>
      <c r="D1270" s="35">
        <v>197.0</v>
      </c>
      <c r="E1270" s="35">
        <v>24330.0</v>
      </c>
      <c r="F1270" s="35" t="s">
        <v>11</v>
      </c>
    </row>
    <row r="1271" ht="22.5" customHeight="1">
      <c r="A1271" s="37" t="s">
        <v>2783</v>
      </c>
      <c r="B1271" s="35" t="s">
        <v>2784</v>
      </c>
      <c r="C1271" s="35">
        <v>12587.0</v>
      </c>
      <c r="D1271" s="35">
        <v>12199.0</v>
      </c>
      <c r="E1271" s="35">
        <v>20000.0</v>
      </c>
      <c r="F1271" s="35">
        <v>30.0</v>
      </c>
    </row>
    <row r="1272" ht="22.5" customHeight="1">
      <c r="A1272" s="37" t="s">
        <v>2785</v>
      </c>
      <c r="B1272" s="35" t="s">
        <v>2786</v>
      </c>
      <c r="C1272" s="35">
        <v>600.0</v>
      </c>
      <c r="D1272" s="35">
        <v>579.0</v>
      </c>
      <c r="E1272" s="35">
        <v>24530.0</v>
      </c>
      <c r="F1272" s="35" t="s">
        <v>11</v>
      </c>
    </row>
    <row r="1273" ht="22.5" customHeight="1">
      <c r="A1273" s="37" t="s">
        <v>2787</v>
      </c>
      <c r="B1273" s="35" t="s">
        <v>2788</v>
      </c>
      <c r="C1273" s="35">
        <v>228.0</v>
      </c>
      <c r="D1273" s="35">
        <v>220.0</v>
      </c>
      <c r="E1273" s="35">
        <v>23240.0</v>
      </c>
      <c r="F1273" s="35" t="s">
        <v>11</v>
      </c>
    </row>
    <row r="1274" ht="22.5" customHeight="1">
      <c r="A1274" s="37" t="s">
        <v>2789</v>
      </c>
      <c r="B1274" s="35" t="s">
        <v>2790</v>
      </c>
      <c r="C1274" s="35">
        <v>173.0</v>
      </c>
      <c r="D1274" s="35">
        <v>150.0</v>
      </c>
      <c r="E1274" s="35">
        <v>23480.0</v>
      </c>
      <c r="F1274" s="35" t="s">
        <v>11</v>
      </c>
    </row>
    <row r="1275" ht="22.5" customHeight="1">
      <c r="A1275" s="37" t="s">
        <v>2791</v>
      </c>
      <c r="B1275" s="35" t="s">
        <v>2792</v>
      </c>
      <c r="C1275" s="35">
        <v>2413.0</v>
      </c>
      <c r="D1275" s="35">
        <v>2338.0</v>
      </c>
      <c r="E1275" s="35">
        <v>20830.0</v>
      </c>
      <c r="F1275" s="35">
        <v>26.0</v>
      </c>
    </row>
    <row r="1276" ht="22.5" customHeight="1">
      <c r="A1276" s="37" t="s">
        <v>2793</v>
      </c>
      <c r="B1276" s="35" t="s">
        <v>2794</v>
      </c>
      <c r="C1276" s="35">
        <v>261.0</v>
      </c>
      <c r="D1276" s="35">
        <v>241.0</v>
      </c>
      <c r="E1276" s="35">
        <v>23650.0</v>
      </c>
      <c r="F1276" s="35" t="s">
        <v>11</v>
      </c>
    </row>
    <row r="1277" ht="22.5" customHeight="1">
      <c r="A1277" s="37" t="s">
        <v>2795</v>
      </c>
      <c r="B1277" s="35" t="s">
        <v>2796</v>
      </c>
      <c r="C1277" s="35">
        <v>2080.0</v>
      </c>
      <c r="D1277" s="35">
        <v>2113.0</v>
      </c>
      <c r="E1277" s="35">
        <v>25320.0</v>
      </c>
      <c r="F1277" s="35">
        <v>10.0</v>
      </c>
    </row>
    <row r="1278" ht="22.5" customHeight="1">
      <c r="A1278" s="37" t="s">
        <v>2797</v>
      </c>
      <c r="B1278" s="35" t="s">
        <v>2798</v>
      </c>
      <c r="C1278" s="35">
        <v>363.0</v>
      </c>
      <c r="D1278" s="35">
        <v>337.0</v>
      </c>
      <c r="E1278" s="35">
        <v>23700.0</v>
      </c>
      <c r="F1278" s="35" t="s">
        <v>11</v>
      </c>
    </row>
    <row r="1279" ht="22.5" customHeight="1">
      <c r="A1279" s="37" t="s">
        <v>2799</v>
      </c>
      <c r="B1279" s="35" t="s">
        <v>2800</v>
      </c>
      <c r="C1279" s="35">
        <v>2001.0</v>
      </c>
      <c r="D1279" s="35">
        <v>1976.0</v>
      </c>
      <c r="E1279" s="35">
        <v>25580.0</v>
      </c>
      <c r="F1279" s="35" t="s">
        <v>11</v>
      </c>
    </row>
    <row r="1280" ht="22.5" customHeight="1">
      <c r="A1280" s="37" t="s">
        <v>2801</v>
      </c>
      <c r="B1280" s="35" t="s">
        <v>2802</v>
      </c>
      <c r="C1280" s="35">
        <v>373.0</v>
      </c>
      <c r="D1280" s="35">
        <v>380.0</v>
      </c>
      <c r="E1280" s="35">
        <v>25510.0</v>
      </c>
      <c r="F1280" s="35" t="s">
        <v>11</v>
      </c>
    </row>
    <row r="1281" ht="22.5" customHeight="1">
      <c r="A1281" s="37" t="s">
        <v>2803</v>
      </c>
      <c r="B1281" s="35" t="s">
        <v>2804</v>
      </c>
      <c r="C1281" s="35">
        <v>1327.0</v>
      </c>
      <c r="D1281" s="35">
        <v>1261.0</v>
      </c>
      <c r="E1281" s="35">
        <v>25240.0</v>
      </c>
      <c r="F1281" s="35" t="s">
        <v>11</v>
      </c>
    </row>
    <row r="1282" ht="22.5" customHeight="1">
      <c r="A1282" s="37" t="s">
        <v>2805</v>
      </c>
      <c r="B1282" s="35" t="s">
        <v>2806</v>
      </c>
      <c r="C1282" s="35">
        <v>1445.0</v>
      </c>
      <c r="D1282" s="35">
        <v>1425.0</v>
      </c>
      <c r="E1282" s="35">
        <v>23980.0</v>
      </c>
      <c r="F1282" s="35" t="s">
        <v>11</v>
      </c>
    </row>
    <row r="1283" ht="22.5" customHeight="1">
      <c r="A1283" s="37" t="s">
        <v>2807</v>
      </c>
      <c r="B1283" s="35" t="s">
        <v>2808</v>
      </c>
      <c r="C1283" s="35">
        <v>184.0</v>
      </c>
      <c r="D1283" s="35">
        <v>201.0</v>
      </c>
      <c r="E1283" s="35">
        <v>25230.0</v>
      </c>
      <c r="F1283" s="35" t="s">
        <v>11</v>
      </c>
    </row>
    <row r="1284" ht="22.5" customHeight="1">
      <c r="A1284" s="37" t="s">
        <v>2809</v>
      </c>
      <c r="B1284" s="35" t="s">
        <v>2810</v>
      </c>
      <c r="C1284" s="35">
        <v>3830.0</v>
      </c>
      <c r="D1284" s="35">
        <v>3743.0</v>
      </c>
      <c r="E1284" s="35">
        <v>21690.0</v>
      </c>
      <c r="F1284" s="35">
        <v>22.0</v>
      </c>
    </row>
    <row r="1285" ht="22.5" customHeight="1">
      <c r="A1285" s="37" t="s">
        <v>2811</v>
      </c>
      <c r="B1285" s="35" t="s">
        <v>2812</v>
      </c>
      <c r="C1285" s="35">
        <v>760.0</v>
      </c>
      <c r="D1285" s="35">
        <v>741.0</v>
      </c>
      <c r="E1285" s="35">
        <v>29910.0</v>
      </c>
      <c r="F1285" s="35" t="s">
        <v>11</v>
      </c>
    </row>
    <row r="1286" ht="22.5" customHeight="1">
      <c r="A1286" s="37" t="s">
        <v>2813</v>
      </c>
      <c r="B1286" s="35" t="s">
        <v>2814</v>
      </c>
      <c r="C1286" s="35">
        <v>450.0</v>
      </c>
      <c r="D1286" s="35">
        <v>471.0</v>
      </c>
      <c r="E1286" s="35">
        <v>26410.0</v>
      </c>
      <c r="F1286" s="35" t="s">
        <v>11</v>
      </c>
    </row>
    <row r="1287" ht="22.5" customHeight="1">
      <c r="A1287" s="37" t="s">
        <v>2815</v>
      </c>
      <c r="B1287" s="35" t="s">
        <v>2816</v>
      </c>
      <c r="C1287" s="35">
        <v>19220.0</v>
      </c>
      <c r="D1287" s="35">
        <v>19787.0</v>
      </c>
      <c r="E1287" s="35">
        <v>24210.0</v>
      </c>
      <c r="F1287" s="35">
        <v>21.0</v>
      </c>
    </row>
    <row r="1288" ht="22.5" customHeight="1">
      <c r="A1288" s="37" t="s">
        <v>2817</v>
      </c>
      <c r="B1288" s="35" t="s">
        <v>2818</v>
      </c>
      <c r="C1288" s="35">
        <v>13388.0</v>
      </c>
      <c r="D1288" s="35">
        <v>14075.0</v>
      </c>
      <c r="E1288" s="35">
        <v>27760.0</v>
      </c>
      <c r="F1288" s="35">
        <v>10.0</v>
      </c>
    </row>
    <row r="1289" ht="22.5" customHeight="1">
      <c r="A1289" s="37" t="s">
        <v>2819</v>
      </c>
      <c r="B1289" s="35" t="s">
        <v>2820</v>
      </c>
      <c r="C1289" s="35">
        <v>6141.0</v>
      </c>
      <c r="D1289" s="35">
        <v>5956.0</v>
      </c>
      <c r="E1289" s="35">
        <v>23390.0</v>
      </c>
      <c r="F1289" s="35">
        <v>17.0</v>
      </c>
    </row>
    <row r="1290" ht="22.5" customHeight="1">
      <c r="A1290" s="37" t="s">
        <v>2821</v>
      </c>
      <c r="B1290" s="35" t="s">
        <v>2822</v>
      </c>
      <c r="C1290" s="35">
        <v>1911.0</v>
      </c>
      <c r="D1290" s="35">
        <v>2022.0</v>
      </c>
      <c r="E1290" s="35">
        <v>30140.0</v>
      </c>
      <c r="F1290" s="35">
        <v>5.0</v>
      </c>
    </row>
    <row r="1291" ht="22.5" customHeight="1">
      <c r="A1291" s="37" t="s">
        <v>2823</v>
      </c>
      <c r="B1291" s="35" t="s">
        <v>2824</v>
      </c>
      <c r="C1291" s="35">
        <v>96990.0</v>
      </c>
      <c r="D1291" s="35">
        <v>98286.0</v>
      </c>
      <c r="E1291" s="35">
        <v>16080.0</v>
      </c>
      <c r="F1291" s="35">
        <v>47.4</v>
      </c>
    </row>
    <row r="1292" ht="22.5" customHeight="1">
      <c r="A1292" s="37" t="s">
        <v>2825</v>
      </c>
      <c r="B1292" s="35" t="s">
        <v>2826</v>
      </c>
      <c r="C1292" s="35">
        <v>454.0</v>
      </c>
      <c r="D1292" s="35">
        <v>456.0</v>
      </c>
      <c r="E1292" s="35">
        <v>28660.0</v>
      </c>
      <c r="F1292" s="35" t="s">
        <v>11</v>
      </c>
    </row>
    <row r="1293" ht="22.5" customHeight="1">
      <c r="A1293" s="37" t="s">
        <v>2827</v>
      </c>
      <c r="B1293" s="35" t="s">
        <v>2828</v>
      </c>
      <c r="C1293" s="35">
        <v>4016.0</v>
      </c>
      <c r="D1293" s="35">
        <v>3980.0</v>
      </c>
      <c r="E1293" s="35">
        <v>24000.0</v>
      </c>
      <c r="F1293" s="35">
        <v>18.0</v>
      </c>
    </row>
    <row r="1294" ht="22.5" customHeight="1">
      <c r="A1294" s="37" t="s">
        <v>2829</v>
      </c>
      <c r="B1294" s="35" t="s">
        <v>2830</v>
      </c>
      <c r="C1294" s="35">
        <v>655.0</v>
      </c>
      <c r="D1294" s="35">
        <v>655.0</v>
      </c>
      <c r="E1294" s="35">
        <v>23960.0</v>
      </c>
      <c r="F1294" s="35" t="s">
        <v>11</v>
      </c>
    </row>
    <row r="1295" ht="22.5" customHeight="1">
      <c r="A1295" s="37" t="s">
        <v>2831</v>
      </c>
      <c r="B1295" s="35" t="s">
        <v>2832</v>
      </c>
      <c r="C1295" s="35">
        <v>939.0</v>
      </c>
      <c r="D1295" s="35">
        <v>899.0</v>
      </c>
      <c r="E1295" s="35">
        <v>25670.0</v>
      </c>
      <c r="F1295" s="35" t="s">
        <v>11</v>
      </c>
    </row>
    <row r="1296" ht="22.5" customHeight="1">
      <c r="A1296" s="37" t="s">
        <v>2833</v>
      </c>
      <c r="B1296" s="35" t="s">
        <v>2834</v>
      </c>
      <c r="C1296" s="35">
        <v>801.0</v>
      </c>
      <c r="D1296" s="35">
        <v>737.0</v>
      </c>
      <c r="E1296" s="35">
        <v>26140.0</v>
      </c>
      <c r="F1296" s="35" t="s">
        <v>11</v>
      </c>
    </row>
    <row r="1297" ht="22.5" customHeight="1">
      <c r="A1297" s="37" t="s">
        <v>2835</v>
      </c>
      <c r="B1297" s="35" t="s">
        <v>2836</v>
      </c>
      <c r="C1297" s="35">
        <v>450.0</v>
      </c>
      <c r="D1297" s="35">
        <v>448.0</v>
      </c>
      <c r="E1297" s="35">
        <v>26910.0</v>
      </c>
      <c r="F1297" s="35" t="s">
        <v>11</v>
      </c>
    </row>
    <row r="1298" ht="22.5" customHeight="1">
      <c r="A1298" s="37" t="s">
        <v>2837</v>
      </c>
      <c r="B1298" s="35" t="s">
        <v>2838</v>
      </c>
      <c r="C1298" s="35">
        <v>1797.0</v>
      </c>
      <c r="D1298" s="35">
        <v>1722.0</v>
      </c>
      <c r="E1298" s="35">
        <v>29330.0</v>
      </c>
      <c r="F1298" s="35" t="s">
        <v>11</v>
      </c>
    </row>
    <row r="1299" ht="22.5" customHeight="1">
      <c r="A1299" s="37" t="s">
        <v>2839</v>
      </c>
      <c r="B1299" s="35" t="s">
        <v>2840</v>
      </c>
      <c r="C1299" s="35">
        <v>1453.0</v>
      </c>
      <c r="D1299" s="35">
        <v>1431.0</v>
      </c>
      <c r="E1299" s="35">
        <v>24190.0</v>
      </c>
      <c r="F1299" s="35" t="s">
        <v>11</v>
      </c>
    </row>
    <row r="1300" ht="22.5" customHeight="1">
      <c r="A1300" s="37" t="s">
        <v>2841</v>
      </c>
      <c r="B1300" s="35" t="s">
        <v>2842</v>
      </c>
      <c r="C1300" s="35">
        <v>471.0</v>
      </c>
      <c r="D1300" s="35">
        <v>409.0</v>
      </c>
      <c r="E1300" s="35">
        <v>25370.0</v>
      </c>
      <c r="F1300" s="35" t="s">
        <v>11</v>
      </c>
    </row>
    <row r="1301" ht="22.5" customHeight="1">
      <c r="A1301" s="37" t="s">
        <v>2843</v>
      </c>
      <c r="B1301" s="35" t="s">
        <v>2844</v>
      </c>
      <c r="C1301" s="35">
        <v>1849.0</v>
      </c>
      <c r="D1301" s="35">
        <v>1923.0</v>
      </c>
      <c r="E1301" s="35">
        <v>34480.0</v>
      </c>
      <c r="F1301" s="35" t="s">
        <v>11</v>
      </c>
    </row>
    <row r="1302" ht="22.5" customHeight="1">
      <c r="A1302" s="37" t="s">
        <v>2845</v>
      </c>
      <c r="B1302" s="35" t="s">
        <v>2846</v>
      </c>
      <c r="C1302" s="35">
        <v>2760.0</v>
      </c>
      <c r="D1302" s="35">
        <v>2840.0</v>
      </c>
      <c r="E1302" s="35">
        <v>35020.0</v>
      </c>
      <c r="F1302" s="35">
        <v>6.0</v>
      </c>
    </row>
    <row r="1303" ht="22.5" customHeight="1">
      <c r="A1303" s="37" t="s">
        <v>2847</v>
      </c>
      <c r="B1303" s="35" t="s">
        <v>2848</v>
      </c>
      <c r="C1303" s="35">
        <v>5586.0</v>
      </c>
      <c r="D1303" s="35">
        <v>5638.0</v>
      </c>
      <c r="E1303" s="35">
        <v>27820.0</v>
      </c>
      <c r="F1303" s="35">
        <v>8.0</v>
      </c>
    </row>
    <row r="1304" ht="22.5" customHeight="1">
      <c r="A1304" s="37" t="s">
        <v>2849</v>
      </c>
      <c r="B1304" s="35" t="s">
        <v>2850</v>
      </c>
      <c r="C1304" s="35">
        <v>2892.0</v>
      </c>
      <c r="D1304" s="35">
        <v>2755.0</v>
      </c>
      <c r="E1304" s="35">
        <v>20660.0</v>
      </c>
      <c r="F1304" s="35">
        <v>29.0</v>
      </c>
    </row>
    <row r="1305" ht="22.5" customHeight="1">
      <c r="A1305" s="37" t="s">
        <v>2851</v>
      </c>
      <c r="B1305" s="35" t="s">
        <v>2852</v>
      </c>
      <c r="C1305" s="35">
        <v>15889.0</v>
      </c>
      <c r="D1305" s="35">
        <v>15974.0</v>
      </c>
      <c r="E1305" s="35">
        <v>23310.0</v>
      </c>
      <c r="F1305" s="35">
        <v>19.0</v>
      </c>
    </row>
    <row r="1306" ht="22.5" customHeight="1">
      <c r="A1306" s="37" t="s">
        <v>2853</v>
      </c>
      <c r="B1306" s="35" t="s">
        <v>2854</v>
      </c>
      <c r="C1306" s="35">
        <v>12608.0</v>
      </c>
      <c r="D1306" s="35">
        <v>13233.0</v>
      </c>
      <c r="E1306" s="35">
        <v>27780.0</v>
      </c>
      <c r="F1306" s="35">
        <v>12.0</v>
      </c>
    </row>
    <row r="1307" ht="22.5" customHeight="1">
      <c r="A1307" s="37" t="s">
        <v>2855</v>
      </c>
      <c r="B1307" s="35" t="s">
        <v>2856</v>
      </c>
      <c r="C1307" s="35">
        <v>1570.0</v>
      </c>
      <c r="D1307" s="35">
        <v>1570.0</v>
      </c>
      <c r="E1307" s="35">
        <v>23480.0</v>
      </c>
      <c r="F1307" s="35" t="s">
        <v>11</v>
      </c>
    </row>
    <row r="1308" ht="22.5" customHeight="1">
      <c r="A1308" s="37" t="s">
        <v>2857</v>
      </c>
      <c r="B1308" s="35" t="s">
        <v>1531</v>
      </c>
      <c r="C1308" s="35">
        <v>363.0</v>
      </c>
      <c r="D1308" s="35">
        <v>328.0</v>
      </c>
      <c r="E1308" s="35">
        <v>28310.0</v>
      </c>
      <c r="F1308" s="35" t="s">
        <v>11</v>
      </c>
    </row>
    <row r="1309" ht="22.5" customHeight="1">
      <c r="A1309" s="37" t="s">
        <v>2858</v>
      </c>
      <c r="B1309" s="35" t="s">
        <v>2859</v>
      </c>
      <c r="C1309" s="35">
        <v>379.0</v>
      </c>
      <c r="D1309" s="35">
        <v>328.0</v>
      </c>
      <c r="E1309" s="35">
        <v>27440.0</v>
      </c>
      <c r="F1309" s="35" t="s">
        <v>11</v>
      </c>
    </row>
    <row r="1310" ht="22.5" customHeight="1">
      <c r="A1310" s="37" t="s">
        <v>2860</v>
      </c>
      <c r="B1310" s="35" t="s">
        <v>2861</v>
      </c>
      <c r="C1310" s="35">
        <v>340.0</v>
      </c>
      <c r="D1310" s="35">
        <v>343.0</v>
      </c>
      <c r="E1310" s="35">
        <v>22540.0</v>
      </c>
      <c r="F1310" s="35" t="s">
        <v>11</v>
      </c>
    </row>
    <row r="1311" ht="22.5" customHeight="1">
      <c r="A1311" s="37" t="s">
        <v>2862</v>
      </c>
      <c r="B1311" s="35" t="s">
        <v>2863</v>
      </c>
      <c r="C1311" s="35">
        <v>307.0</v>
      </c>
      <c r="D1311" s="35">
        <v>287.0</v>
      </c>
      <c r="E1311" s="35">
        <v>24570.0</v>
      </c>
      <c r="F1311" s="35" t="s">
        <v>11</v>
      </c>
    </row>
    <row r="1312" ht="22.5" customHeight="1">
      <c r="A1312" s="37" t="s">
        <v>2864</v>
      </c>
      <c r="B1312" s="35" t="s">
        <v>2865</v>
      </c>
      <c r="C1312" s="35">
        <v>1602.0</v>
      </c>
      <c r="D1312" s="35">
        <v>1558.0</v>
      </c>
      <c r="E1312" s="35">
        <v>23280.0</v>
      </c>
      <c r="F1312" s="35" t="s">
        <v>11</v>
      </c>
    </row>
    <row r="1313" ht="22.5" customHeight="1">
      <c r="A1313" s="37" t="s">
        <v>2866</v>
      </c>
      <c r="B1313" s="35" t="s">
        <v>2867</v>
      </c>
      <c r="C1313" s="35">
        <v>823.0</v>
      </c>
      <c r="D1313" s="35">
        <v>733.0</v>
      </c>
      <c r="E1313" s="35">
        <v>24430.0</v>
      </c>
      <c r="F1313" s="35" t="s">
        <v>11</v>
      </c>
    </row>
    <row r="1314" ht="22.5" customHeight="1">
      <c r="A1314" s="37" t="s">
        <v>2868</v>
      </c>
      <c r="B1314" s="35" t="s">
        <v>2869</v>
      </c>
      <c r="C1314" s="35">
        <v>1722.0</v>
      </c>
      <c r="D1314" s="35">
        <v>1598.0</v>
      </c>
      <c r="E1314" s="35">
        <v>28980.0</v>
      </c>
      <c r="F1314" s="35" t="s">
        <v>11</v>
      </c>
    </row>
    <row r="1315" ht="22.5" customHeight="1">
      <c r="A1315" s="37" t="s">
        <v>2870</v>
      </c>
      <c r="B1315" s="35" t="s">
        <v>2871</v>
      </c>
      <c r="C1315" s="35">
        <v>877.0</v>
      </c>
      <c r="D1315" s="35">
        <v>825.0</v>
      </c>
      <c r="E1315" s="35">
        <v>29600.0</v>
      </c>
      <c r="F1315" s="35" t="s">
        <v>11</v>
      </c>
    </row>
    <row r="1316" ht="22.5" customHeight="1">
      <c r="A1316" s="37" t="s">
        <v>2872</v>
      </c>
      <c r="B1316" s="35" t="s">
        <v>2873</v>
      </c>
      <c r="C1316" s="35">
        <v>515.0</v>
      </c>
      <c r="D1316" s="35">
        <v>483.0</v>
      </c>
      <c r="E1316" s="35">
        <v>28350.0</v>
      </c>
      <c r="F1316" s="35" t="s">
        <v>11</v>
      </c>
    </row>
    <row r="1317" ht="22.5" customHeight="1">
      <c r="A1317" s="37" t="s">
        <v>2874</v>
      </c>
      <c r="B1317" s="35" t="s">
        <v>2875</v>
      </c>
      <c r="C1317" s="35">
        <v>462.0</v>
      </c>
      <c r="D1317" s="35">
        <v>410.0</v>
      </c>
      <c r="E1317" s="35">
        <v>22670.0</v>
      </c>
      <c r="F1317" s="35" t="s">
        <v>11</v>
      </c>
    </row>
    <row r="1318" ht="22.5" customHeight="1">
      <c r="A1318" s="37" t="s">
        <v>2876</v>
      </c>
      <c r="B1318" s="35" t="s">
        <v>2877</v>
      </c>
      <c r="C1318" s="35">
        <v>995.0</v>
      </c>
      <c r="D1318" s="35">
        <v>989.0</v>
      </c>
      <c r="E1318" s="35">
        <v>26180.0</v>
      </c>
      <c r="F1318" s="35" t="s">
        <v>11</v>
      </c>
    </row>
    <row r="1319" ht="22.5" customHeight="1">
      <c r="A1319" s="37" t="s">
        <v>2878</v>
      </c>
      <c r="B1319" s="35" t="s">
        <v>2879</v>
      </c>
      <c r="C1319" s="35">
        <v>1016.0</v>
      </c>
      <c r="D1319" s="35">
        <v>978.0</v>
      </c>
      <c r="E1319" s="35">
        <v>23020.0</v>
      </c>
      <c r="F1319" s="35" t="s">
        <v>11</v>
      </c>
    </row>
    <row r="1320" ht="22.5" customHeight="1">
      <c r="A1320" s="37" t="s">
        <v>2880</v>
      </c>
      <c r="B1320" s="35" t="s">
        <v>2881</v>
      </c>
      <c r="C1320" s="35">
        <v>510.0</v>
      </c>
      <c r="D1320" s="35">
        <v>469.0</v>
      </c>
      <c r="E1320" s="35">
        <v>25140.0</v>
      </c>
      <c r="F1320" s="35" t="s">
        <v>11</v>
      </c>
    </row>
    <row r="1321" ht="22.5" customHeight="1">
      <c r="A1321" s="37" t="s">
        <v>2882</v>
      </c>
      <c r="B1321" s="35" t="s">
        <v>2883</v>
      </c>
      <c r="C1321" s="35">
        <v>1115.0</v>
      </c>
      <c r="D1321" s="35">
        <v>1054.0</v>
      </c>
      <c r="E1321" s="35">
        <v>25190.0</v>
      </c>
      <c r="F1321" s="35" t="s">
        <v>11</v>
      </c>
    </row>
    <row r="1322" ht="22.5" customHeight="1">
      <c r="A1322" s="37" t="s">
        <v>2884</v>
      </c>
      <c r="B1322" s="35" t="s">
        <v>2885</v>
      </c>
      <c r="C1322" s="35">
        <v>11207.0</v>
      </c>
      <c r="D1322" s="35">
        <v>10947.0</v>
      </c>
      <c r="E1322" s="35">
        <v>24410.0</v>
      </c>
      <c r="F1322" s="35">
        <v>19.0</v>
      </c>
    </row>
    <row r="1323" ht="22.5" customHeight="1">
      <c r="A1323" s="37" t="s">
        <v>2886</v>
      </c>
      <c r="B1323" s="35" t="s">
        <v>2887</v>
      </c>
      <c r="C1323" s="35">
        <v>1230.0</v>
      </c>
      <c r="D1323" s="35">
        <v>1191.0</v>
      </c>
      <c r="E1323" s="35">
        <v>21610.0</v>
      </c>
      <c r="F1323" s="35" t="s">
        <v>11</v>
      </c>
    </row>
    <row r="1324" ht="22.5" customHeight="1">
      <c r="A1324" s="37" t="s">
        <v>2888</v>
      </c>
      <c r="B1324" s="35" t="s">
        <v>2889</v>
      </c>
      <c r="C1324" s="35">
        <v>1180.0</v>
      </c>
      <c r="D1324" s="35">
        <v>1144.0</v>
      </c>
      <c r="E1324" s="35">
        <v>26310.0</v>
      </c>
      <c r="F1324" s="35" t="s">
        <v>11</v>
      </c>
    </row>
    <row r="1325" ht="22.5" customHeight="1">
      <c r="A1325" s="37" t="s">
        <v>2890</v>
      </c>
      <c r="B1325" s="35" t="s">
        <v>2891</v>
      </c>
      <c r="C1325" s="35">
        <v>888.0</v>
      </c>
      <c r="D1325" s="35">
        <v>871.0</v>
      </c>
      <c r="E1325" s="35">
        <v>23970.0</v>
      </c>
      <c r="F1325" s="35" t="s">
        <v>11</v>
      </c>
    </row>
    <row r="1326" ht="22.5" customHeight="1">
      <c r="A1326" s="37" t="s">
        <v>2892</v>
      </c>
      <c r="B1326" s="35" t="s">
        <v>2893</v>
      </c>
      <c r="C1326" s="35">
        <v>636.0</v>
      </c>
      <c r="D1326" s="35">
        <v>686.0</v>
      </c>
      <c r="E1326" s="35">
        <v>27020.0</v>
      </c>
      <c r="F1326" s="35" t="s">
        <v>11</v>
      </c>
    </row>
    <row r="1327" ht="22.5" customHeight="1">
      <c r="A1327" s="37" t="s">
        <v>2894</v>
      </c>
      <c r="B1327" s="35" t="s">
        <v>2895</v>
      </c>
      <c r="C1327" s="35">
        <v>303.0</v>
      </c>
      <c r="D1327" s="35">
        <v>327.0</v>
      </c>
      <c r="E1327" s="35">
        <v>25150.0</v>
      </c>
      <c r="F1327" s="35" t="s">
        <v>11</v>
      </c>
    </row>
    <row r="1328" ht="22.5" customHeight="1">
      <c r="A1328" s="37" t="s">
        <v>2896</v>
      </c>
      <c r="B1328" s="35" t="s">
        <v>2897</v>
      </c>
      <c r="C1328" s="35">
        <v>2969.0</v>
      </c>
      <c r="D1328" s="35">
        <v>3182.0</v>
      </c>
      <c r="E1328" s="35">
        <v>25180.0</v>
      </c>
      <c r="F1328" s="35">
        <v>13.0</v>
      </c>
    </row>
    <row r="1329" ht="22.5" customHeight="1">
      <c r="A1329" s="37" t="s">
        <v>2898</v>
      </c>
      <c r="B1329" s="35" t="s">
        <v>2899</v>
      </c>
      <c r="C1329" s="35">
        <v>1672.0</v>
      </c>
      <c r="D1329" s="35">
        <v>1704.0</v>
      </c>
      <c r="E1329" s="35">
        <v>31330.0</v>
      </c>
      <c r="F1329" s="35" t="s">
        <v>11</v>
      </c>
    </row>
    <row r="1330" ht="22.5" customHeight="1">
      <c r="A1330" s="37" t="s">
        <v>2900</v>
      </c>
      <c r="B1330" s="35" t="s">
        <v>2901</v>
      </c>
      <c r="C1330" s="35">
        <v>197.0</v>
      </c>
      <c r="D1330" s="35">
        <v>190.0</v>
      </c>
      <c r="E1330" s="35">
        <v>24580.0</v>
      </c>
      <c r="F1330" s="35" t="s">
        <v>11</v>
      </c>
    </row>
    <row r="1331" ht="22.5" customHeight="1">
      <c r="A1331" s="37" t="s">
        <v>2902</v>
      </c>
      <c r="B1331" s="35" t="s">
        <v>2903</v>
      </c>
      <c r="C1331" s="35">
        <v>5724.0</v>
      </c>
      <c r="D1331" s="35">
        <v>5652.0</v>
      </c>
      <c r="E1331" s="35">
        <v>29810.0</v>
      </c>
      <c r="F1331" s="35">
        <v>6.0</v>
      </c>
    </row>
    <row r="1332" ht="22.5" customHeight="1">
      <c r="A1332" s="37" t="s">
        <v>2904</v>
      </c>
      <c r="B1332" s="35" t="s">
        <v>2905</v>
      </c>
      <c r="C1332" s="35">
        <v>588.0</v>
      </c>
      <c r="D1332" s="35">
        <v>620.0</v>
      </c>
      <c r="E1332" s="35">
        <v>31780.0</v>
      </c>
      <c r="F1332" s="35" t="s">
        <v>11</v>
      </c>
    </row>
    <row r="1333" ht="22.5" customHeight="1">
      <c r="A1333" s="37" t="s">
        <v>2906</v>
      </c>
      <c r="B1333" s="35" t="s">
        <v>2907</v>
      </c>
      <c r="C1333" s="35">
        <v>1441.0</v>
      </c>
      <c r="D1333" s="35">
        <v>1402.0</v>
      </c>
      <c r="E1333" s="35">
        <v>19650.0</v>
      </c>
      <c r="F1333" s="35" t="s">
        <v>11</v>
      </c>
    </row>
    <row r="1334" ht="22.5" customHeight="1">
      <c r="A1334" s="37" t="s">
        <v>2908</v>
      </c>
      <c r="B1334" s="35" t="s">
        <v>2909</v>
      </c>
      <c r="C1334" s="35">
        <v>269.0</v>
      </c>
      <c r="D1334" s="35">
        <v>260.0</v>
      </c>
      <c r="E1334" s="35">
        <v>24340.0</v>
      </c>
      <c r="F1334" s="35" t="s">
        <v>11</v>
      </c>
    </row>
    <row r="1335" ht="22.5" customHeight="1">
      <c r="A1335" s="37" t="s">
        <v>2910</v>
      </c>
      <c r="B1335" s="35" t="s">
        <v>2911</v>
      </c>
      <c r="C1335" s="35">
        <v>2398.0</v>
      </c>
      <c r="D1335" s="35">
        <v>2499.0</v>
      </c>
      <c r="E1335" s="35">
        <v>26820.0</v>
      </c>
      <c r="F1335" s="35">
        <v>11.0</v>
      </c>
    </row>
    <row r="1336" ht="22.5" customHeight="1">
      <c r="A1336" s="37" t="s">
        <v>2912</v>
      </c>
      <c r="B1336" s="35" t="s">
        <v>2913</v>
      </c>
      <c r="C1336" s="35">
        <v>1753.0</v>
      </c>
      <c r="D1336" s="35">
        <v>1672.0</v>
      </c>
      <c r="E1336" s="35">
        <v>25440.0</v>
      </c>
      <c r="F1336" s="35" t="s">
        <v>11</v>
      </c>
    </row>
    <row r="1337" ht="22.5" customHeight="1">
      <c r="A1337" s="37" t="s">
        <v>2914</v>
      </c>
      <c r="B1337" s="35" t="s">
        <v>2915</v>
      </c>
      <c r="C1337" s="35">
        <v>1969.0</v>
      </c>
      <c r="D1337" s="35">
        <v>1967.0</v>
      </c>
      <c r="E1337" s="35">
        <v>34210.0</v>
      </c>
      <c r="F1337" s="35" t="s">
        <v>11</v>
      </c>
    </row>
    <row r="1338" ht="22.5" customHeight="1">
      <c r="A1338" s="37" t="s">
        <v>2916</v>
      </c>
      <c r="B1338" s="35" t="s">
        <v>2917</v>
      </c>
      <c r="C1338" s="35">
        <v>12414.0</v>
      </c>
      <c r="D1338" s="35">
        <v>13261.0</v>
      </c>
      <c r="E1338" s="35">
        <v>24790.0</v>
      </c>
      <c r="F1338" s="35">
        <v>17.0</v>
      </c>
    </row>
    <row r="1339" ht="22.5" customHeight="1">
      <c r="A1339" s="37" t="s">
        <v>2918</v>
      </c>
      <c r="B1339" s="35" t="s">
        <v>2919</v>
      </c>
      <c r="C1339" s="35">
        <v>546.0</v>
      </c>
      <c r="D1339" s="35">
        <v>520.0</v>
      </c>
      <c r="E1339" s="35">
        <v>26550.0</v>
      </c>
      <c r="F1339" s="35" t="s">
        <v>11</v>
      </c>
    </row>
    <row r="1340" ht="22.5" customHeight="1">
      <c r="A1340" s="37" t="s">
        <v>2920</v>
      </c>
      <c r="B1340" s="35" t="s">
        <v>2921</v>
      </c>
      <c r="C1340" s="35">
        <v>243.0</v>
      </c>
      <c r="D1340" s="35">
        <v>227.0</v>
      </c>
      <c r="E1340" s="35">
        <v>27540.0</v>
      </c>
      <c r="F1340" s="35" t="s">
        <v>11</v>
      </c>
    </row>
    <row r="1341" ht="22.5" customHeight="1">
      <c r="A1341" s="37" t="s">
        <v>2922</v>
      </c>
      <c r="B1341" s="35" t="s">
        <v>2923</v>
      </c>
      <c r="C1341" s="35">
        <v>3136.0</v>
      </c>
      <c r="D1341" s="35">
        <v>3103.0</v>
      </c>
      <c r="E1341" s="35">
        <v>20760.0</v>
      </c>
      <c r="F1341" s="35">
        <v>27.0</v>
      </c>
    </row>
    <row r="1342" ht="22.5" customHeight="1">
      <c r="A1342" s="37" t="s">
        <v>2924</v>
      </c>
      <c r="B1342" s="35" t="s">
        <v>2925</v>
      </c>
      <c r="C1342" s="35">
        <v>663.0</v>
      </c>
      <c r="D1342" s="35">
        <v>640.0</v>
      </c>
      <c r="E1342" s="35">
        <v>28440.0</v>
      </c>
      <c r="F1342" s="35" t="s">
        <v>11</v>
      </c>
    </row>
    <row r="1343" ht="22.5" customHeight="1">
      <c r="A1343" s="37" t="s">
        <v>2926</v>
      </c>
      <c r="B1343" s="35" t="s">
        <v>2927</v>
      </c>
      <c r="C1343" s="35">
        <v>4712.0</v>
      </c>
      <c r="D1343" s="35">
        <v>4675.0</v>
      </c>
      <c r="E1343" s="35">
        <v>27970.0</v>
      </c>
      <c r="F1343" s="35">
        <v>7.0</v>
      </c>
    </row>
    <row r="1344" ht="22.5" customHeight="1">
      <c r="A1344" s="37" t="s">
        <v>2928</v>
      </c>
      <c r="B1344" s="35" t="s">
        <v>2929</v>
      </c>
      <c r="C1344" s="35">
        <v>411.0</v>
      </c>
      <c r="D1344" s="35">
        <v>416.0</v>
      </c>
      <c r="E1344" s="35">
        <v>27470.0</v>
      </c>
      <c r="F1344" s="35" t="s">
        <v>11</v>
      </c>
    </row>
    <row r="1345" ht="22.5" customHeight="1">
      <c r="A1345" s="37" t="s">
        <v>2930</v>
      </c>
      <c r="B1345" s="35" t="s">
        <v>2931</v>
      </c>
      <c r="C1345" s="35">
        <v>461.0</v>
      </c>
      <c r="D1345" s="35">
        <v>486.0</v>
      </c>
      <c r="E1345" s="35">
        <v>27200.0</v>
      </c>
      <c r="F1345" s="35" t="s">
        <v>11</v>
      </c>
    </row>
    <row r="1346" ht="22.5" customHeight="1">
      <c r="A1346" s="37" t="s">
        <v>2932</v>
      </c>
      <c r="B1346" s="35" t="s">
        <v>2933</v>
      </c>
      <c r="C1346" s="35">
        <v>15682.0</v>
      </c>
      <c r="D1346" s="35">
        <v>16076.0</v>
      </c>
      <c r="E1346" s="35">
        <v>20760.0</v>
      </c>
      <c r="F1346" s="35">
        <v>26.0</v>
      </c>
    </row>
    <row r="1347" ht="22.5" customHeight="1">
      <c r="A1347" s="37" t="s">
        <v>2934</v>
      </c>
      <c r="B1347" s="35" t="s">
        <v>2935</v>
      </c>
      <c r="C1347" s="35">
        <v>938.0</v>
      </c>
      <c r="D1347" s="35">
        <v>869.0</v>
      </c>
      <c r="E1347" s="35">
        <v>33190.0</v>
      </c>
      <c r="F1347" s="35" t="s">
        <v>11</v>
      </c>
    </row>
    <row r="1348" ht="22.5" customHeight="1">
      <c r="A1348" s="37" t="s">
        <v>2936</v>
      </c>
      <c r="B1348" s="35" t="s">
        <v>2937</v>
      </c>
      <c r="C1348" s="35">
        <v>4338.0</v>
      </c>
      <c r="D1348" s="35">
        <v>4142.0</v>
      </c>
      <c r="E1348" s="35">
        <v>21470.0</v>
      </c>
      <c r="F1348" s="35">
        <v>20.0</v>
      </c>
    </row>
    <row r="1349" ht="22.5" customHeight="1">
      <c r="A1349" s="37" t="s">
        <v>2938</v>
      </c>
      <c r="B1349" s="35" t="s">
        <v>2939</v>
      </c>
      <c r="C1349" s="35">
        <v>1815.0</v>
      </c>
      <c r="D1349" s="35">
        <v>1796.0</v>
      </c>
      <c r="E1349" s="35">
        <v>22720.0</v>
      </c>
      <c r="F1349" s="35" t="s">
        <v>11</v>
      </c>
    </row>
    <row r="1350" ht="22.5" customHeight="1">
      <c r="A1350" s="37" t="s">
        <v>2940</v>
      </c>
      <c r="B1350" s="35" t="s">
        <v>2941</v>
      </c>
      <c r="C1350" s="35">
        <v>135.0</v>
      </c>
      <c r="D1350" s="35">
        <v>142.0</v>
      </c>
      <c r="E1350" s="35">
        <v>27250.0</v>
      </c>
      <c r="F1350" s="35" t="s">
        <v>11</v>
      </c>
    </row>
    <row r="1351" ht="22.5" customHeight="1">
      <c r="A1351" s="37" t="s">
        <v>2942</v>
      </c>
      <c r="B1351" s="35" t="s">
        <v>2943</v>
      </c>
      <c r="C1351" s="35">
        <v>12151.0</v>
      </c>
      <c r="D1351" s="35">
        <v>11766.0</v>
      </c>
      <c r="E1351" s="35">
        <v>21160.0</v>
      </c>
      <c r="F1351" s="35">
        <v>24.0</v>
      </c>
    </row>
    <row r="1352" ht="22.5" customHeight="1">
      <c r="A1352" s="37" t="s">
        <v>2944</v>
      </c>
      <c r="B1352" s="35" t="s">
        <v>2945</v>
      </c>
      <c r="C1352" s="35">
        <v>413.0</v>
      </c>
      <c r="D1352" s="35">
        <v>397.0</v>
      </c>
      <c r="E1352" s="35">
        <v>28730.0</v>
      </c>
      <c r="F1352" s="35" t="s">
        <v>11</v>
      </c>
    </row>
    <row r="1353" ht="22.5" customHeight="1">
      <c r="A1353" s="37" t="s">
        <v>2946</v>
      </c>
      <c r="B1353" s="35" t="s">
        <v>2947</v>
      </c>
      <c r="C1353" s="35">
        <v>1807.0</v>
      </c>
      <c r="D1353" s="35">
        <v>1718.0</v>
      </c>
      <c r="E1353" s="35">
        <v>27880.0</v>
      </c>
      <c r="F1353" s="35" t="s">
        <v>11</v>
      </c>
    </row>
    <row r="1354" ht="22.5" customHeight="1">
      <c r="A1354" s="37" t="s">
        <v>2948</v>
      </c>
      <c r="B1354" s="35" t="s">
        <v>2949</v>
      </c>
      <c r="C1354" s="35">
        <v>658.0</v>
      </c>
      <c r="D1354" s="35">
        <v>756.0</v>
      </c>
      <c r="E1354" s="35">
        <v>25510.0</v>
      </c>
      <c r="F1354" s="35" t="s">
        <v>11</v>
      </c>
    </row>
    <row r="1355" ht="22.5" customHeight="1">
      <c r="A1355" s="37" t="s">
        <v>2950</v>
      </c>
      <c r="B1355" s="35" t="s">
        <v>2951</v>
      </c>
      <c r="C1355" s="35">
        <v>1690.0</v>
      </c>
      <c r="D1355" s="35">
        <v>1602.0</v>
      </c>
      <c r="E1355" s="35">
        <v>25910.0</v>
      </c>
      <c r="F1355" s="35" t="s">
        <v>11</v>
      </c>
    </row>
    <row r="1356" ht="22.5" customHeight="1">
      <c r="A1356" s="37" t="s">
        <v>2952</v>
      </c>
      <c r="B1356" s="35" t="s">
        <v>2953</v>
      </c>
      <c r="C1356" s="35">
        <v>1354.0</v>
      </c>
      <c r="D1356" s="35">
        <v>1405.0</v>
      </c>
      <c r="E1356" s="35">
        <v>27190.0</v>
      </c>
      <c r="F1356" s="35" t="s">
        <v>11</v>
      </c>
    </row>
    <row r="1357" ht="22.5" customHeight="1">
      <c r="A1357" s="37" t="s">
        <v>2954</v>
      </c>
      <c r="B1357" s="35" t="s">
        <v>2955</v>
      </c>
      <c r="C1357" s="35">
        <v>4368.0</v>
      </c>
      <c r="D1357" s="35">
        <v>4332.0</v>
      </c>
      <c r="E1357" s="35">
        <v>25720.0</v>
      </c>
      <c r="F1357" s="35">
        <v>13.0</v>
      </c>
    </row>
    <row r="1358" ht="22.5" customHeight="1">
      <c r="A1358" s="37" t="s">
        <v>2956</v>
      </c>
      <c r="B1358" s="35" t="s">
        <v>2957</v>
      </c>
      <c r="C1358" s="35">
        <v>3673.0</v>
      </c>
      <c r="D1358" s="35">
        <v>3450.0</v>
      </c>
      <c r="E1358" s="35">
        <v>27470.0</v>
      </c>
      <c r="F1358" s="35">
        <v>8.0</v>
      </c>
    </row>
    <row r="1359" ht="22.5" customHeight="1">
      <c r="A1359" s="37" t="s">
        <v>2958</v>
      </c>
      <c r="B1359" s="35" t="s">
        <v>2959</v>
      </c>
      <c r="C1359" s="35">
        <v>945.0</v>
      </c>
      <c r="D1359" s="35">
        <v>942.0</v>
      </c>
      <c r="E1359" s="35">
        <v>27720.0</v>
      </c>
      <c r="F1359" s="35" t="s">
        <v>11</v>
      </c>
    </row>
    <row r="1360" ht="22.5" customHeight="1">
      <c r="A1360" s="37" t="s">
        <v>2960</v>
      </c>
      <c r="B1360" s="35" t="s">
        <v>2961</v>
      </c>
      <c r="C1360" s="35">
        <v>466.0</v>
      </c>
      <c r="D1360" s="35">
        <v>475.0</v>
      </c>
      <c r="E1360" s="35">
        <v>23730.0</v>
      </c>
      <c r="F1360" s="35" t="s">
        <v>11</v>
      </c>
    </row>
    <row r="1361" ht="22.5" customHeight="1">
      <c r="A1361" s="37" t="s">
        <v>2962</v>
      </c>
      <c r="B1361" s="35" t="s">
        <v>2963</v>
      </c>
      <c r="C1361" s="35">
        <v>971.0</v>
      </c>
      <c r="D1361" s="35">
        <v>963.0</v>
      </c>
      <c r="E1361" s="35">
        <v>28780.0</v>
      </c>
      <c r="F1361" s="35" t="s">
        <v>11</v>
      </c>
    </row>
    <row r="1362" ht="22.5" customHeight="1">
      <c r="A1362" s="37" t="s">
        <v>2964</v>
      </c>
      <c r="B1362" s="35" t="s">
        <v>2965</v>
      </c>
      <c r="C1362" s="35">
        <v>3344.0</v>
      </c>
      <c r="D1362" s="35">
        <v>3669.0</v>
      </c>
      <c r="E1362" s="35">
        <v>29110.0</v>
      </c>
      <c r="F1362" s="35">
        <v>9.0</v>
      </c>
    </row>
    <row r="1363" ht="22.5" customHeight="1">
      <c r="A1363" s="37" t="s">
        <v>2966</v>
      </c>
      <c r="B1363" s="35" t="s">
        <v>2967</v>
      </c>
      <c r="C1363" s="35">
        <v>6059.0</v>
      </c>
      <c r="D1363" s="35">
        <v>7202.0</v>
      </c>
      <c r="E1363" s="35">
        <v>29670.0</v>
      </c>
      <c r="F1363" s="35">
        <v>7.0</v>
      </c>
    </row>
    <row r="1364" ht="22.5" customHeight="1">
      <c r="A1364" s="37" t="s">
        <v>2968</v>
      </c>
      <c r="B1364" s="35" t="s">
        <v>2969</v>
      </c>
      <c r="C1364" s="35">
        <v>532.0</v>
      </c>
      <c r="D1364" s="35">
        <v>519.0</v>
      </c>
      <c r="E1364" s="35">
        <v>28020.0</v>
      </c>
      <c r="F1364" s="35" t="s">
        <v>11</v>
      </c>
    </row>
    <row r="1365" ht="22.5" customHeight="1">
      <c r="A1365" s="37" t="s">
        <v>2970</v>
      </c>
      <c r="B1365" s="35" t="s">
        <v>2971</v>
      </c>
      <c r="C1365" s="35">
        <v>8341.0</v>
      </c>
      <c r="D1365" s="35">
        <v>8247.0</v>
      </c>
      <c r="E1365" s="35">
        <v>29680.0</v>
      </c>
      <c r="F1365" s="35">
        <v>9.0</v>
      </c>
    </row>
    <row r="1366" ht="22.5" customHeight="1">
      <c r="A1366" s="37" t="s">
        <v>2972</v>
      </c>
      <c r="B1366" s="35" t="s">
        <v>2973</v>
      </c>
      <c r="C1366" s="35">
        <v>2917.0</v>
      </c>
      <c r="D1366" s="35">
        <v>2914.0</v>
      </c>
      <c r="E1366" s="35">
        <v>23970.0</v>
      </c>
      <c r="F1366" s="35">
        <v>15.0</v>
      </c>
    </row>
    <row r="1367" ht="22.5" customHeight="1">
      <c r="A1367" s="37" t="s">
        <v>2974</v>
      </c>
      <c r="B1367" s="35" t="s">
        <v>2975</v>
      </c>
      <c r="C1367" s="35">
        <v>908.0</v>
      </c>
      <c r="D1367" s="35">
        <v>920.0</v>
      </c>
      <c r="E1367" s="35">
        <v>24600.0</v>
      </c>
      <c r="F1367" s="35" t="s">
        <v>11</v>
      </c>
    </row>
    <row r="1368" ht="22.5" customHeight="1">
      <c r="A1368" s="37" t="s">
        <v>2976</v>
      </c>
      <c r="B1368" s="35" t="s">
        <v>2977</v>
      </c>
      <c r="C1368" s="35">
        <v>846.0</v>
      </c>
      <c r="D1368" s="35">
        <v>817.0</v>
      </c>
      <c r="E1368" s="35">
        <v>20870.0</v>
      </c>
      <c r="F1368" s="35" t="s">
        <v>11</v>
      </c>
    </row>
    <row r="1369" ht="22.5" customHeight="1">
      <c r="A1369" s="37" t="s">
        <v>2978</v>
      </c>
      <c r="B1369" s="35" t="s">
        <v>2979</v>
      </c>
      <c r="C1369" s="35">
        <v>3900.0</v>
      </c>
      <c r="D1369" s="35">
        <v>4170.0</v>
      </c>
      <c r="E1369" s="35">
        <v>27860.0</v>
      </c>
      <c r="F1369" s="35">
        <v>7.0</v>
      </c>
    </row>
    <row r="1370" ht="22.5" customHeight="1">
      <c r="A1370" s="37" t="s">
        <v>2980</v>
      </c>
      <c r="B1370" s="35" t="s">
        <v>2981</v>
      </c>
      <c r="C1370" s="35">
        <v>754.0</v>
      </c>
      <c r="D1370" s="35">
        <v>788.0</v>
      </c>
      <c r="E1370" s="35">
        <v>27670.0</v>
      </c>
      <c r="F1370" s="35" t="s">
        <v>11</v>
      </c>
    </row>
    <row r="1371" ht="22.5" customHeight="1">
      <c r="A1371" s="37" t="s">
        <v>2982</v>
      </c>
      <c r="B1371" s="35" t="s">
        <v>2983</v>
      </c>
      <c r="C1371" s="35">
        <v>1125.0</v>
      </c>
      <c r="D1371" s="35">
        <v>1106.0</v>
      </c>
      <c r="E1371" s="35">
        <v>25910.0</v>
      </c>
      <c r="F1371" s="35" t="s">
        <v>11</v>
      </c>
    </row>
    <row r="1372" ht="22.5" customHeight="1">
      <c r="A1372" s="37" t="s">
        <v>2984</v>
      </c>
      <c r="B1372" s="35" t="s">
        <v>2985</v>
      </c>
      <c r="C1372" s="35">
        <v>518.0</v>
      </c>
      <c r="D1372" s="35">
        <v>543.0</v>
      </c>
      <c r="E1372" s="35">
        <v>28640.0</v>
      </c>
      <c r="F1372" s="35" t="s">
        <v>11</v>
      </c>
    </row>
    <row r="1373" ht="22.5" customHeight="1">
      <c r="A1373" s="37" t="s">
        <v>2986</v>
      </c>
      <c r="B1373" s="35" t="s">
        <v>2987</v>
      </c>
      <c r="C1373" s="35">
        <v>518.0</v>
      </c>
      <c r="D1373" s="35">
        <v>536.0</v>
      </c>
      <c r="E1373" s="35">
        <v>34290.0</v>
      </c>
      <c r="F1373" s="35" t="s">
        <v>11</v>
      </c>
    </row>
    <row r="1374" ht="22.5" customHeight="1">
      <c r="A1374" s="37" t="s">
        <v>2988</v>
      </c>
      <c r="B1374" s="35" t="s">
        <v>2989</v>
      </c>
      <c r="C1374" s="35">
        <v>590.0</v>
      </c>
      <c r="D1374" s="35">
        <v>695.0</v>
      </c>
      <c r="E1374" s="35">
        <v>30090.0</v>
      </c>
      <c r="F1374" s="35" t="s">
        <v>11</v>
      </c>
    </row>
    <row r="1375" ht="22.5" customHeight="1">
      <c r="A1375" s="37" t="s">
        <v>2990</v>
      </c>
      <c r="B1375" s="35" t="s">
        <v>2991</v>
      </c>
      <c r="C1375" s="35">
        <v>3905.0</v>
      </c>
      <c r="D1375" s="35">
        <v>3957.0</v>
      </c>
      <c r="E1375" s="35">
        <v>27400.0</v>
      </c>
      <c r="F1375" s="35">
        <v>9.0</v>
      </c>
    </row>
    <row r="1376" ht="22.5" customHeight="1">
      <c r="A1376" s="37" t="s">
        <v>2992</v>
      </c>
      <c r="B1376" s="35" t="s">
        <v>2993</v>
      </c>
      <c r="C1376" s="35">
        <v>97368.0</v>
      </c>
      <c r="D1376" s="35">
        <v>98772.0</v>
      </c>
      <c r="E1376" s="35">
        <v>20250.0</v>
      </c>
      <c r="F1376" s="35">
        <v>30.3</v>
      </c>
    </row>
    <row r="1377" ht="22.5" customHeight="1">
      <c r="A1377" s="37" t="s">
        <v>2994</v>
      </c>
      <c r="B1377" s="35" t="s">
        <v>2995</v>
      </c>
      <c r="C1377" s="35">
        <v>888.0</v>
      </c>
      <c r="D1377" s="35">
        <v>936.0</v>
      </c>
      <c r="E1377" s="35">
        <v>34190.0</v>
      </c>
      <c r="F1377" s="35" t="s">
        <v>11</v>
      </c>
    </row>
    <row r="1378" ht="22.5" customHeight="1">
      <c r="A1378" s="37" t="s">
        <v>2996</v>
      </c>
      <c r="B1378" s="35" t="s">
        <v>2997</v>
      </c>
      <c r="C1378" s="35">
        <v>2856.0</v>
      </c>
      <c r="D1378" s="35">
        <v>2604.0</v>
      </c>
      <c r="E1378" s="35">
        <v>21310.0</v>
      </c>
      <c r="F1378" s="35">
        <v>22.0</v>
      </c>
    </row>
    <row r="1379" ht="22.5" customHeight="1">
      <c r="A1379" s="37" t="s">
        <v>2998</v>
      </c>
      <c r="B1379" s="35" t="s">
        <v>2999</v>
      </c>
      <c r="C1379" s="35">
        <v>1408.0</v>
      </c>
      <c r="D1379" s="35">
        <v>1386.0</v>
      </c>
      <c r="E1379" s="35">
        <v>32930.0</v>
      </c>
      <c r="F1379" s="35" t="s">
        <v>11</v>
      </c>
    </row>
    <row r="1380" ht="22.5" customHeight="1">
      <c r="A1380" s="37" t="s">
        <v>3000</v>
      </c>
      <c r="B1380" s="35" t="s">
        <v>3001</v>
      </c>
      <c r="C1380" s="35">
        <v>6215.0</v>
      </c>
      <c r="D1380" s="35">
        <v>6019.0</v>
      </c>
      <c r="E1380" s="35">
        <v>22480.0</v>
      </c>
      <c r="F1380" s="35">
        <v>20.0</v>
      </c>
    </row>
    <row r="1381" ht="22.5" customHeight="1">
      <c r="A1381" s="37" t="s">
        <v>3002</v>
      </c>
      <c r="B1381" s="35" t="s">
        <v>3003</v>
      </c>
      <c r="C1381" s="35">
        <v>841.0</v>
      </c>
      <c r="D1381" s="35">
        <v>805.0</v>
      </c>
      <c r="E1381" s="35">
        <v>23460.0</v>
      </c>
      <c r="F1381" s="35" t="s">
        <v>11</v>
      </c>
    </row>
    <row r="1382" ht="22.5" customHeight="1">
      <c r="A1382" s="37" t="s">
        <v>3004</v>
      </c>
      <c r="B1382" s="35" t="s">
        <v>3005</v>
      </c>
      <c r="C1382" s="35">
        <v>1411.0</v>
      </c>
      <c r="D1382" s="35">
        <v>1518.0</v>
      </c>
      <c r="E1382" s="35">
        <v>29210.0</v>
      </c>
      <c r="F1382" s="35" t="s">
        <v>11</v>
      </c>
    </row>
    <row r="1383" ht="22.5" customHeight="1">
      <c r="A1383" s="37" t="s">
        <v>3006</v>
      </c>
      <c r="B1383" s="35" t="s">
        <v>3007</v>
      </c>
      <c r="C1383" s="35">
        <v>43336.0</v>
      </c>
      <c r="D1383" s="35">
        <v>43468.0</v>
      </c>
      <c r="E1383" s="35">
        <v>22180.0</v>
      </c>
      <c r="F1383" s="35">
        <v>27.8</v>
      </c>
    </row>
    <row r="1384" ht="22.5" customHeight="1">
      <c r="A1384" s="37" t="s">
        <v>3008</v>
      </c>
      <c r="B1384" s="35" t="s">
        <v>3009</v>
      </c>
      <c r="C1384" s="35">
        <v>487.0</v>
      </c>
      <c r="D1384" s="35">
        <v>482.0</v>
      </c>
      <c r="E1384" s="35">
        <v>27380.0</v>
      </c>
      <c r="F1384" s="35" t="s">
        <v>11</v>
      </c>
    </row>
    <row r="1385" ht="22.5" customHeight="1">
      <c r="A1385" s="37" t="s">
        <v>3010</v>
      </c>
      <c r="B1385" s="35" t="s">
        <v>3011</v>
      </c>
      <c r="C1385" s="35">
        <v>1068.0</v>
      </c>
      <c r="D1385" s="35">
        <v>1123.0</v>
      </c>
      <c r="E1385" s="35">
        <v>29220.0</v>
      </c>
      <c r="F1385" s="35" t="s">
        <v>11</v>
      </c>
    </row>
    <row r="1386" ht="22.5" customHeight="1">
      <c r="A1386" s="37" t="s">
        <v>3012</v>
      </c>
      <c r="B1386" s="35" t="s">
        <v>3013</v>
      </c>
      <c r="C1386" s="35">
        <v>1606.0</v>
      </c>
      <c r="D1386" s="35">
        <v>1654.0</v>
      </c>
      <c r="E1386" s="35">
        <v>31710.0</v>
      </c>
      <c r="F1386" s="35" t="s">
        <v>11</v>
      </c>
    </row>
    <row r="1387" ht="22.5" customHeight="1">
      <c r="A1387" s="37" t="s">
        <v>3014</v>
      </c>
      <c r="B1387" s="35" t="s">
        <v>3015</v>
      </c>
      <c r="C1387" s="35">
        <v>1013.0</v>
      </c>
      <c r="D1387" s="35">
        <v>1103.0</v>
      </c>
      <c r="E1387" s="35">
        <v>27680.0</v>
      </c>
      <c r="F1387" s="35" t="s">
        <v>11</v>
      </c>
    </row>
    <row r="1388" ht="22.5" customHeight="1">
      <c r="A1388" s="37" t="s">
        <v>3016</v>
      </c>
      <c r="B1388" s="35" t="s">
        <v>3017</v>
      </c>
      <c r="C1388" s="35">
        <v>2460.0</v>
      </c>
      <c r="D1388" s="35">
        <v>2682.0</v>
      </c>
      <c r="E1388" s="35">
        <v>34180.0</v>
      </c>
      <c r="F1388" s="35">
        <v>6.0</v>
      </c>
    </row>
    <row r="1389" ht="22.5" customHeight="1">
      <c r="A1389" s="37" t="s">
        <v>3018</v>
      </c>
      <c r="B1389" s="35" t="s">
        <v>3019</v>
      </c>
      <c r="C1389" s="35">
        <v>517.0</v>
      </c>
      <c r="D1389" s="35">
        <v>535.0</v>
      </c>
      <c r="E1389" s="35">
        <v>27410.0</v>
      </c>
      <c r="F1389" s="35" t="s">
        <v>11</v>
      </c>
    </row>
    <row r="1390" ht="22.5" customHeight="1">
      <c r="A1390" s="37" t="s">
        <v>3020</v>
      </c>
      <c r="B1390" s="35" t="s">
        <v>3021</v>
      </c>
      <c r="C1390" s="35">
        <v>1492.0</v>
      </c>
      <c r="D1390" s="35">
        <v>1464.0</v>
      </c>
      <c r="E1390" s="35">
        <v>24440.0</v>
      </c>
      <c r="F1390" s="35" t="s">
        <v>11</v>
      </c>
    </row>
    <row r="1391" ht="22.5" customHeight="1">
      <c r="A1391" s="37" t="s">
        <v>3022</v>
      </c>
      <c r="B1391" s="35" t="s">
        <v>3023</v>
      </c>
      <c r="C1391" s="35">
        <v>1506.0</v>
      </c>
      <c r="D1391" s="35">
        <v>1364.0</v>
      </c>
      <c r="E1391" s="35">
        <v>23340.0</v>
      </c>
      <c r="F1391" s="35" t="s">
        <v>11</v>
      </c>
    </row>
    <row r="1392" ht="22.5" customHeight="1">
      <c r="A1392" s="37" t="s">
        <v>3024</v>
      </c>
      <c r="B1392" s="35" t="s">
        <v>3025</v>
      </c>
      <c r="C1392" s="35">
        <v>2507.0</v>
      </c>
      <c r="D1392" s="35">
        <v>2628.0</v>
      </c>
      <c r="E1392" s="35">
        <v>27660.0</v>
      </c>
      <c r="F1392" s="35">
        <v>7.0</v>
      </c>
    </row>
    <row r="1393" ht="22.5" customHeight="1">
      <c r="A1393" s="37" t="s">
        <v>3026</v>
      </c>
      <c r="B1393" s="35" t="s">
        <v>3027</v>
      </c>
      <c r="C1393" s="35">
        <v>10469.0</v>
      </c>
      <c r="D1393" s="35">
        <v>10617.0</v>
      </c>
      <c r="E1393" s="35">
        <v>20530.0</v>
      </c>
      <c r="F1393" s="35">
        <v>28.0</v>
      </c>
    </row>
    <row r="1394" ht="22.5" customHeight="1">
      <c r="A1394" s="37" t="s">
        <v>3028</v>
      </c>
      <c r="B1394" s="35" t="s">
        <v>3029</v>
      </c>
      <c r="C1394" s="35">
        <v>636.0</v>
      </c>
      <c r="D1394" s="35">
        <v>641.0</v>
      </c>
      <c r="E1394" s="35">
        <v>26060.0</v>
      </c>
      <c r="F1394" s="35" t="s">
        <v>11</v>
      </c>
    </row>
    <row r="1395" ht="22.5" customHeight="1">
      <c r="A1395" s="37" t="s">
        <v>3030</v>
      </c>
      <c r="B1395" s="35" t="s">
        <v>3031</v>
      </c>
      <c r="C1395" s="35">
        <v>848.0</v>
      </c>
      <c r="D1395" s="35">
        <v>938.0</v>
      </c>
      <c r="E1395" s="35">
        <v>25620.0</v>
      </c>
      <c r="F1395" s="35" t="s">
        <v>11</v>
      </c>
    </row>
    <row r="1396" ht="22.5" customHeight="1">
      <c r="A1396" s="37" t="s">
        <v>3032</v>
      </c>
      <c r="B1396" s="35" t="s">
        <v>3033</v>
      </c>
      <c r="C1396" s="35">
        <v>996.0</v>
      </c>
      <c r="D1396" s="35">
        <v>1084.0</v>
      </c>
      <c r="E1396" s="35">
        <v>28490.0</v>
      </c>
      <c r="F1396" s="35" t="s">
        <v>11</v>
      </c>
    </row>
    <row r="1397" ht="22.5" customHeight="1">
      <c r="A1397" s="37" t="s">
        <v>3034</v>
      </c>
      <c r="B1397" s="35" t="s">
        <v>3035</v>
      </c>
      <c r="C1397" s="35">
        <v>630.0</v>
      </c>
      <c r="D1397" s="35">
        <v>670.0</v>
      </c>
      <c r="E1397" s="35">
        <v>27730.0</v>
      </c>
      <c r="F1397" s="35" t="s">
        <v>11</v>
      </c>
    </row>
    <row r="1398" ht="22.5" customHeight="1">
      <c r="A1398" s="37" t="s">
        <v>3036</v>
      </c>
      <c r="B1398" s="35" t="s">
        <v>3037</v>
      </c>
      <c r="C1398" s="35">
        <v>1248.0</v>
      </c>
      <c r="D1398" s="35">
        <v>1151.0</v>
      </c>
      <c r="E1398" s="35">
        <v>24460.0</v>
      </c>
      <c r="F1398" s="35" t="s">
        <v>11</v>
      </c>
    </row>
    <row r="1399" ht="22.5" customHeight="1">
      <c r="A1399" s="37" t="s">
        <v>3038</v>
      </c>
      <c r="B1399" s="35" t="s">
        <v>3039</v>
      </c>
      <c r="C1399" s="35">
        <v>696.0</v>
      </c>
      <c r="D1399" s="35">
        <v>684.0</v>
      </c>
      <c r="E1399" s="35">
        <v>23400.0</v>
      </c>
      <c r="F1399" s="35" t="s">
        <v>11</v>
      </c>
    </row>
    <row r="1400" ht="22.5" customHeight="1">
      <c r="A1400" s="37" t="s">
        <v>3040</v>
      </c>
      <c r="B1400" s="35" t="s">
        <v>3041</v>
      </c>
      <c r="C1400" s="35">
        <v>2110.0</v>
      </c>
      <c r="D1400" s="35">
        <v>2117.0</v>
      </c>
      <c r="E1400" s="35">
        <v>21700.0</v>
      </c>
      <c r="F1400" s="35">
        <v>20.0</v>
      </c>
    </row>
    <row r="1401" ht="22.5" customHeight="1">
      <c r="A1401" s="37" t="s">
        <v>3042</v>
      </c>
      <c r="B1401" s="35" t="s">
        <v>3043</v>
      </c>
      <c r="C1401" s="35">
        <v>404.0</v>
      </c>
      <c r="D1401" s="35">
        <v>390.0</v>
      </c>
      <c r="E1401" s="35">
        <v>25920.0</v>
      </c>
      <c r="F1401" s="35" t="s">
        <v>11</v>
      </c>
    </row>
    <row r="1402" ht="22.5" customHeight="1">
      <c r="A1402" s="37" t="s">
        <v>3044</v>
      </c>
      <c r="B1402" s="35" t="s">
        <v>3045</v>
      </c>
      <c r="C1402" s="35">
        <v>1276.0</v>
      </c>
      <c r="D1402" s="35">
        <v>1197.0</v>
      </c>
      <c r="E1402" s="35">
        <v>30430.0</v>
      </c>
      <c r="F1402" s="35" t="s">
        <v>11</v>
      </c>
    </row>
    <row r="1403" ht="22.5" customHeight="1">
      <c r="A1403" s="37" t="s">
        <v>3046</v>
      </c>
      <c r="B1403" s="35" t="s">
        <v>3047</v>
      </c>
      <c r="C1403" s="35">
        <v>978.0</v>
      </c>
      <c r="D1403" s="35">
        <v>1009.0</v>
      </c>
      <c r="E1403" s="35">
        <v>25340.0</v>
      </c>
      <c r="F1403" s="35" t="s">
        <v>11</v>
      </c>
    </row>
    <row r="1404" ht="22.5" customHeight="1">
      <c r="A1404" s="37" t="s">
        <v>3048</v>
      </c>
      <c r="B1404" s="35" t="s">
        <v>3049</v>
      </c>
      <c r="C1404" s="35">
        <v>567.0</v>
      </c>
      <c r="D1404" s="35">
        <v>573.0</v>
      </c>
      <c r="E1404" s="35">
        <v>27690.0</v>
      </c>
      <c r="F1404" s="35" t="s">
        <v>11</v>
      </c>
    </row>
    <row r="1405" ht="22.5" customHeight="1">
      <c r="A1405" s="37" t="s">
        <v>3050</v>
      </c>
      <c r="B1405" s="35" t="s">
        <v>3051</v>
      </c>
      <c r="C1405" s="35">
        <v>1375.0</v>
      </c>
      <c r="D1405" s="35">
        <v>1302.0</v>
      </c>
      <c r="E1405" s="35">
        <v>26600.0</v>
      </c>
      <c r="F1405" s="35" t="s">
        <v>11</v>
      </c>
    </row>
    <row r="1406" ht="22.5" customHeight="1">
      <c r="A1406" s="37" t="s">
        <v>3052</v>
      </c>
      <c r="B1406" s="35" t="s">
        <v>3053</v>
      </c>
      <c r="C1406" s="35">
        <v>2598.0</v>
      </c>
      <c r="D1406" s="35">
        <v>2613.0</v>
      </c>
      <c r="E1406" s="35">
        <v>26550.0</v>
      </c>
      <c r="F1406" s="35">
        <v>10.0</v>
      </c>
    </row>
    <row r="1407" ht="22.5" customHeight="1">
      <c r="A1407" s="37" t="s">
        <v>3054</v>
      </c>
      <c r="B1407" s="35" t="s">
        <v>3055</v>
      </c>
      <c r="C1407" s="35">
        <v>2136.0</v>
      </c>
      <c r="D1407" s="35">
        <v>2081.0</v>
      </c>
      <c r="E1407" s="35">
        <v>21970.0</v>
      </c>
      <c r="F1407" s="35">
        <v>20.0</v>
      </c>
    </row>
    <row r="1408" ht="22.5" customHeight="1">
      <c r="A1408" s="37" t="s">
        <v>3056</v>
      </c>
      <c r="B1408" s="35" t="s">
        <v>3057</v>
      </c>
      <c r="C1408" s="35">
        <v>5526.0</v>
      </c>
      <c r="D1408" s="35">
        <v>5633.0</v>
      </c>
      <c r="E1408" s="35">
        <v>22860.0</v>
      </c>
      <c r="F1408" s="35">
        <v>20.0</v>
      </c>
    </row>
    <row r="1409" ht="22.5" customHeight="1">
      <c r="A1409" s="37" t="s">
        <v>3058</v>
      </c>
      <c r="B1409" s="35" t="s">
        <v>3059</v>
      </c>
      <c r="C1409" s="35">
        <v>286.0</v>
      </c>
      <c r="D1409" s="35">
        <v>284.0</v>
      </c>
      <c r="E1409" s="35">
        <v>25640.0</v>
      </c>
      <c r="F1409" s="35" t="s">
        <v>11</v>
      </c>
    </row>
    <row r="1410" ht="22.5" customHeight="1">
      <c r="A1410" s="37" t="s">
        <v>3060</v>
      </c>
      <c r="B1410" s="35" t="s">
        <v>3061</v>
      </c>
      <c r="C1410" s="35">
        <v>811.0</v>
      </c>
      <c r="D1410" s="35">
        <v>808.0</v>
      </c>
      <c r="E1410" s="35">
        <v>28180.0</v>
      </c>
      <c r="F1410" s="35" t="s">
        <v>11</v>
      </c>
    </row>
    <row r="1411" ht="22.5" customHeight="1">
      <c r="A1411" s="37" t="s">
        <v>3062</v>
      </c>
      <c r="B1411" s="35" t="s">
        <v>3063</v>
      </c>
      <c r="C1411" s="35">
        <v>374.0</v>
      </c>
      <c r="D1411" s="35">
        <v>381.0</v>
      </c>
      <c r="E1411" s="35">
        <v>28190.0</v>
      </c>
      <c r="F1411" s="35" t="s">
        <v>11</v>
      </c>
    </row>
    <row r="1412" ht="22.5" customHeight="1">
      <c r="A1412" s="37" t="s">
        <v>3064</v>
      </c>
      <c r="B1412" s="35" t="s">
        <v>3065</v>
      </c>
      <c r="C1412" s="35">
        <v>10948.0</v>
      </c>
      <c r="D1412" s="35">
        <v>11012.0</v>
      </c>
      <c r="E1412" s="35">
        <v>29610.0</v>
      </c>
      <c r="F1412" s="35">
        <v>8.0</v>
      </c>
    </row>
    <row r="1413" ht="22.5" customHeight="1">
      <c r="A1413" s="37" t="s">
        <v>3066</v>
      </c>
      <c r="B1413" s="35" t="s">
        <v>3067</v>
      </c>
      <c r="C1413" s="35">
        <v>1302.0</v>
      </c>
      <c r="D1413" s="35">
        <v>1301.0</v>
      </c>
      <c r="E1413" s="35">
        <v>28560.0</v>
      </c>
      <c r="F1413" s="35" t="s">
        <v>11</v>
      </c>
    </row>
    <row r="1414" ht="22.5" customHeight="1">
      <c r="A1414" s="37" t="s">
        <v>3068</v>
      </c>
      <c r="B1414" s="35" t="s">
        <v>3069</v>
      </c>
      <c r="C1414" s="35">
        <v>1272.0</v>
      </c>
      <c r="D1414" s="35">
        <v>1338.0</v>
      </c>
      <c r="E1414" s="35">
        <v>30150.0</v>
      </c>
      <c r="F1414" s="35" t="s">
        <v>11</v>
      </c>
    </row>
    <row r="1415" ht="22.5" customHeight="1">
      <c r="A1415" s="37" t="s">
        <v>3070</v>
      </c>
      <c r="B1415" s="35" t="s">
        <v>3071</v>
      </c>
      <c r="C1415" s="35">
        <v>1101.0</v>
      </c>
      <c r="D1415" s="35">
        <v>1125.0</v>
      </c>
      <c r="E1415" s="35">
        <v>29450.0</v>
      </c>
      <c r="F1415" s="35" t="s">
        <v>11</v>
      </c>
    </row>
    <row r="1416" ht="22.5" customHeight="1">
      <c r="A1416" s="37" t="s">
        <v>3072</v>
      </c>
      <c r="B1416" s="35" t="s">
        <v>3073</v>
      </c>
      <c r="C1416" s="35">
        <v>759.0</v>
      </c>
      <c r="D1416" s="35">
        <v>771.0</v>
      </c>
      <c r="E1416" s="35">
        <v>28730.0</v>
      </c>
      <c r="F1416" s="35" t="s">
        <v>11</v>
      </c>
    </row>
    <row r="1417" ht="22.5" customHeight="1">
      <c r="A1417" s="37" t="s">
        <v>3074</v>
      </c>
      <c r="B1417" s="35" t="s">
        <v>3075</v>
      </c>
      <c r="C1417" s="35">
        <v>2032.0</v>
      </c>
      <c r="D1417" s="35">
        <v>2020.0</v>
      </c>
      <c r="E1417" s="35">
        <v>26990.0</v>
      </c>
      <c r="F1417" s="35" t="s">
        <v>11</v>
      </c>
    </row>
    <row r="1418" ht="22.5" customHeight="1">
      <c r="A1418" s="37" t="s">
        <v>3076</v>
      </c>
      <c r="B1418" s="35" t="s">
        <v>3077</v>
      </c>
      <c r="C1418" s="35">
        <v>579.0</v>
      </c>
      <c r="D1418" s="35">
        <v>603.0</v>
      </c>
      <c r="E1418" s="35">
        <v>30510.0</v>
      </c>
      <c r="F1418" s="35" t="s">
        <v>11</v>
      </c>
    </row>
    <row r="1419" ht="22.5" customHeight="1">
      <c r="A1419" s="37" t="s">
        <v>3078</v>
      </c>
      <c r="B1419" s="35" t="s">
        <v>3079</v>
      </c>
      <c r="C1419" s="35">
        <v>239.0</v>
      </c>
      <c r="D1419" s="35">
        <v>231.0</v>
      </c>
      <c r="E1419" s="35">
        <v>28370.0</v>
      </c>
      <c r="F1419" s="35" t="s">
        <v>11</v>
      </c>
    </row>
    <row r="1420" ht="22.5" customHeight="1">
      <c r="A1420" s="37" t="s">
        <v>3080</v>
      </c>
      <c r="B1420" s="35" t="s">
        <v>3081</v>
      </c>
      <c r="C1420" s="35">
        <v>609.0</v>
      </c>
      <c r="D1420" s="35">
        <v>604.0</v>
      </c>
      <c r="E1420" s="35">
        <v>26020.0</v>
      </c>
      <c r="F1420" s="35" t="s">
        <v>11</v>
      </c>
    </row>
    <row r="1421" ht="22.5" customHeight="1">
      <c r="A1421" s="37" t="s">
        <v>3082</v>
      </c>
      <c r="B1421" s="35" t="s">
        <v>3083</v>
      </c>
      <c r="C1421" s="35">
        <v>20479.0</v>
      </c>
      <c r="D1421" s="35">
        <v>20726.0</v>
      </c>
      <c r="E1421" s="35">
        <v>28800.0</v>
      </c>
      <c r="F1421" s="35">
        <v>12.1</v>
      </c>
    </row>
    <row r="1422" ht="22.5" customHeight="1">
      <c r="A1422" s="37" t="s">
        <v>3084</v>
      </c>
      <c r="B1422" s="35" t="s">
        <v>3085</v>
      </c>
      <c r="C1422" s="35">
        <v>2563.0</v>
      </c>
      <c r="D1422" s="35">
        <v>2564.0</v>
      </c>
      <c r="E1422" s="35">
        <v>21420.0</v>
      </c>
      <c r="F1422" s="35">
        <v>19.0</v>
      </c>
    </row>
    <row r="1423" ht="22.5" customHeight="1">
      <c r="A1423" s="37" t="s">
        <v>3086</v>
      </c>
      <c r="B1423" s="35" t="s">
        <v>3087</v>
      </c>
      <c r="C1423" s="35">
        <v>14549.0</v>
      </c>
      <c r="D1423" s="35">
        <v>15525.0</v>
      </c>
      <c r="E1423" s="35">
        <v>24100.0</v>
      </c>
      <c r="F1423" s="35">
        <v>22.0</v>
      </c>
    </row>
    <row r="1424" ht="22.5" customHeight="1">
      <c r="A1424" s="37" t="s">
        <v>3088</v>
      </c>
      <c r="B1424" s="35" t="s">
        <v>3089</v>
      </c>
      <c r="C1424" s="35">
        <v>243.0</v>
      </c>
      <c r="D1424" s="35">
        <v>240.0</v>
      </c>
      <c r="E1424" s="35">
        <v>27580.0</v>
      </c>
      <c r="F1424" s="35" t="s">
        <v>11</v>
      </c>
    </row>
    <row r="1425" ht="22.5" customHeight="1">
      <c r="A1425" s="37" t="s">
        <v>3090</v>
      </c>
      <c r="B1425" s="35" t="s">
        <v>3091</v>
      </c>
      <c r="C1425" s="35">
        <v>40958.0</v>
      </c>
      <c r="D1425" s="35">
        <v>40847.0</v>
      </c>
      <c r="E1425" s="35">
        <v>21660.0</v>
      </c>
      <c r="F1425" s="35">
        <v>23.8</v>
      </c>
    </row>
    <row r="1426" ht="22.5" customHeight="1">
      <c r="A1426" s="37" t="s">
        <v>3092</v>
      </c>
      <c r="B1426" s="35" t="s">
        <v>3093</v>
      </c>
      <c r="C1426" s="35">
        <v>1661.0</v>
      </c>
      <c r="D1426" s="35">
        <v>1599.0</v>
      </c>
      <c r="E1426" s="35">
        <v>20340.0</v>
      </c>
      <c r="F1426" s="35" t="s">
        <v>11</v>
      </c>
    </row>
    <row r="1427" ht="22.5" customHeight="1">
      <c r="A1427" s="37" t="s">
        <v>3094</v>
      </c>
      <c r="B1427" s="35" t="s">
        <v>3095</v>
      </c>
      <c r="C1427" s="35">
        <v>386.0</v>
      </c>
      <c r="D1427" s="35">
        <v>440.0</v>
      </c>
      <c r="E1427" s="35">
        <v>25190.0</v>
      </c>
      <c r="F1427" s="35" t="s">
        <v>11</v>
      </c>
    </row>
    <row r="1428" ht="22.5" customHeight="1">
      <c r="A1428" s="37" t="s">
        <v>3096</v>
      </c>
      <c r="B1428" s="35" t="s">
        <v>3097</v>
      </c>
      <c r="C1428" s="35">
        <v>7676.0</v>
      </c>
      <c r="D1428" s="35">
        <v>7758.0</v>
      </c>
      <c r="E1428" s="35">
        <v>26660.0</v>
      </c>
      <c r="F1428" s="35">
        <v>12.0</v>
      </c>
    </row>
    <row r="1429" ht="22.5" customHeight="1">
      <c r="A1429" s="37" t="s">
        <v>3098</v>
      </c>
      <c r="B1429" s="35" t="s">
        <v>3099</v>
      </c>
      <c r="C1429" s="35">
        <v>7452.0</v>
      </c>
      <c r="D1429" s="35">
        <v>7266.0</v>
      </c>
      <c r="E1429" s="35">
        <v>18410.0</v>
      </c>
      <c r="F1429" s="35">
        <v>33.0</v>
      </c>
    </row>
    <row r="1430" ht="22.5" customHeight="1">
      <c r="A1430" s="37" t="s">
        <v>3100</v>
      </c>
      <c r="B1430" s="35" t="s">
        <v>3101</v>
      </c>
      <c r="C1430" s="35">
        <v>252.0</v>
      </c>
      <c r="D1430" s="35">
        <v>225.0</v>
      </c>
      <c r="E1430" s="35">
        <v>27220.0</v>
      </c>
      <c r="F1430" s="35" t="s">
        <v>11</v>
      </c>
    </row>
    <row r="1431" ht="22.5" customHeight="1">
      <c r="A1431" s="37" t="s">
        <v>3102</v>
      </c>
      <c r="B1431" s="35" t="s">
        <v>3103</v>
      </c>
      <c r="C1431" s="35">
        <v>5413.0</v>
      </c>
      <c r="D1431" s="35">
        <v>5426.0</v>
      </c>
      <c r="E1431" s="35">
        <v>26770.0</v>
      </c>
      <c r="F1431" s="35">
        <v>15.0</v>
      </c>
    </row>
    <row r="1432" ht="22.5" customHeight="1">
      <c r="A1432" s="37" t="s">
        <v>3104</v>
      </c>
      <c r="B1432" s="35" t="s">
        <v>3105</v>
      </c>
      <c r="C1432" s="35">
        <v>628.0</v>
      </c>
      <c r="D1432" s="35">
        <v>644.0</v>
      </c>
      <c r="E1432" s="35">
        <v>26450.0</v>
      </c>
      <c r="F1432" s="35" t="s">
        <v>11</v>
      </c>
    </row>
    <row r="1433" ht="22.5" customHeight="1">
      <c r="A1433" s="37" t="s">
        <v>3106</v>
      </c>
      <c r="B1433" s="35" t="s">
        <v>3107</v>
      </c>
      <c r="C1433" s="35">
        <v>498.0</v>
      </c>
      <c r="D1433" s="35">
        <v>581.0</v>
      </c>
      <c r="E1433" s="35">
        <v>29850.0</v>
      </c>
      <c r="F1433" s="35" t="s">
        <v>11</v>
      </c>
    </row>
    <row r="1434" ht="22.5" customHeight="1">
      <c r="A1434" s="37" t="s">
        <v>3108</v>
      </c>
      <c r="B1434" s="35" t="s">
        <v>3109</v>
      </c>
      <c r="C1434" s="35">
        <v>2903.0</v>
      </c>
      <c r="D1434" s="35">
        <v>2804.0</v>
      </c>
      <c r="E1434" s="35">
        <v>19990.0</v>
      </c>
      <c r="F1434" s="35">
        <v>29.0</v>
      </c>
    </row>
    <row r="1435" ht="22.5" customHeight="1">
      <c r="A1435" s="37" t="s">
        <v>3110</v>
      </c>
      <c r="B1435" s="35" t="s">
        <v>3111</v>
      </c>
      <c r="C1435" s="35">
        <v>3021.0</v>
      </c>
      <c r="D1435" s="35">
        <v>2941.0</v>
      </c>
      <c r="E1435" s="35">
        <v>28750.0</v>
      </c>
      <c r="F1435" s="35">
        <v>10.0</v>
      </c>
    </row>
    <row r="1436" ht="22.5" customHeight="1">
      <c r="A1436" s="37" t="s">
        <v>3112</v>
      </c>
      <c r="B1436" s="35" t="s">
        <v>3113</v>
      </c>
      <c r="C1436" s="35">
        <v>148.0</v>
      </c>
      <c r="D1436" s="35">
        <v>128.0</v>
      </c>
      <c r="E1436" s="35">
        <v>24520.0</v>
      </c>
      <c r="F1436" s="35" t="s">
        <v>11</v>
      </c>
    </row>
    <row r="1437" ht="22.5" customHeight="1">
      <c r="A1437" s="37" t="s">
        <v>3114</v>
      </c>
      <c r="B1437" s="35" t="s">
        <v>3115</v>
      </c>
      <c r="C1437" s="35">
        <v>1306.0</v>
      </c>
      <c r="D1437" s="35">
        <v>1261.0</v>
      </c>
      <c r="E1437" s="35">
        <v>26500.0</v>
      </c>
      <c r="F1437" s="35" t="s">
        <v>11</v>
      </c>
    </row>
    <row r="1438" ht="22.5" customHeight="1">
      <c r="A1438" s="37" t="s">
        <v>3116</v>
      </c>
      <c r="B1438" s="35" t="s">
        <v>3117</v>
      </c>
      <c r="C1438" s="35">
        <v>5632.0</v>
      </c>
      <c r="D1438" s="35">
        <v>5584.0</v>
      </c>
      <c r="E1438" s="35">
        <v>26280.0</v>
      </c>
      <c r="F1438" s="35">
        <v>9.0</v>
      </c>
    </row>
    <row r="1439" ht="22.5" customHeight="1">
      <c r="A1439" s="37" t="s">
        <v>3118</v>
      </c>
      <c r="B1439" s="35" t="s">
        <v>3119</v>
      </c>
      <c r="C1439" s="35">
        <v>309.0</v>
      </c>
      <c r="D1439" s="35">
        <v>334.0</v>
      </c>
      <c r="E1439" s="35">
        <v>24230.0</v>
      </c>
      <c r="F1439" s="35" t="s">
        <v>11</v>
      </c>
    </row>
    <row r="1440" ht="22.5" customHeight="1">
      <c r="A1440" s="37" t="s">
        <v>3120</v>
      </c>
      <c r="B1440" s="35" t="s">
        <v>3121</v>
      </c>
      <c r="C1440" s="35">
        <v>291.0</v>
      </c>
      <c r="D1440" s="35">
        <v>298.0</v>
      </c>
      <c r="E1440" s="35">
        <v>25470.0</v>
      </c>
      <c r="F1440" s="35" t="s">
        <v>11</v>
      </c>
    </row>
    <row r="1441" ht="22.5" customHeight="1">
      <c r="A1441" s="37" t="s">
        <v>3122</v>
      </c>
      <c r="B1441" s="35" t="s">
        <v>3123</v>
      </c>
      <c r="C1441" s="35">
        <v>1529.0</v>
      </c>
      <c r="D1441" s="35">
        <v>1562.0</v>
      </c>
      <c r="E1441" s="35">
        <v>27550.0</v>
      </c>
      <c r="F1441" s="35" t="s">
        <v>11</v>
      </c>
    </row>
    <row r="1442" ht="22.5" customHeight="1">
      <c r="A1442" s="37" t="s">
        <v>3124</v>
      </c>
      <c r="B1442" s="35" t="s">
        <v>3125</v>
      </c>
      <c r="C1442" s="35">
        <v>223.0</v>
      </c>
      <c r="D1442" s="35">
        <v>252.0</v>
      </c>
      <c r="E1442" s="35">
        <v>29250.0</v>
      </c>
      <c r="F1442" s="35" t="s">
        <v>11</v>
      </c>
    </row>
    <row r="1443" ht="22.5" customHeight="1">
      <c r="A1443" s="37" t="s">
        <v>3126</v>
      </c>
      <c r="B1443" s="35" t="s">
        <v>3127</v>
      </c>
      <c r="C1443" s="35">
        <v>1677.0</v>
      </c>
      <c r="D1443" s="35">
        <v>1630.0</v>
      </c>
      <c r="E1443" s="35">
        <v>27730.0</v>
      </c>
      <c r="F1443" s="35" t="s">
        <v>11</v>
      </c>
    </row>
    <row r="1444" ht="22.5" customHeight="1">
      <c r="A1444" s="37" t="s">
        <v>3128</v>
      </c>
      <c r="B1444" s="35" t="s">
        <v>3129</v>
      </c>
      <c r="C1444" s="35">
        <v>524.0</v>
      </c>
      <c r="D1444" s="35">
        <v>557.0</v>
      </c>
      <c r="E1444" s="35">
        <v>25260.0</v>
      </c>
      <c r="F1444" s="35" t="s">
        <v>11</v>
      </c>
    </row>
    <row r="1445" ht="22.5" customHeight="1">
      <c r="A1445" s="37" t="s">
        <v>3130</v>
      </c>
      <c r="B1445" s="35" t="s">
        <v>3131</v>
      </c>
      <c r="C1445" s="35">
        <v>1287.0</v>
      </c>
      <c r="D1445" s="35">
        <v>1387.0</v>
      </c>
      <c r="E1445" s="35">
        <v>27570.0</v>
      </c>
      <c r="F1445" s="35" t="s">
        <v>11</v>
      </c>
    </row>
    <row r="1446" ht="22.5" customHeight="1">
      <c r="A1446" s="37" t="s">
        <v>3132</v>
      </c>
      <c r="B1446" s="35" t="s">
        <v>1845</v>
      </c>
      <c r="C1446" s="35">
        <v>651.0</v>
      </c>
      <c r="D1446" s="35">
        <v>569.0</v>
      </c>
      <c r="E1446" s="35">
        <v>22970.0</v>
      </c>
      <c r="F1446" s="35" t="s">
        <v>11</v>
      </c>
    </row>
    <row r="1447" ht="22.5" customHeight="1">
      <c r="A1447" s="37" t="s">
        <v>3133</v>
      </c>
      <c r="B1447" s="35" t="s">
        <v>3134</v>
      </c>
      <c r="C1447" s="35">
        <v>787.0</v>
      </c>
      <c r="D1447" s="35">
        <v>879.0</v>
      </c>
      <c r="E1447" s="35">
        <v>29050.0</v>
      </c>
      <c r="F1447" s="35" t="s">
        <v>11</v>
      </c>
    </row>
    <row r="1448" ht="22.5" customHeight="1">
      <c r="A1448" s="37" t="s">
        <v>3135</v>
      </c>
      <c r="B1448" s="35" t="s">
        <v>3136</v>
      </c>
      <c r="C1448" s="35">
        <v>490.0</v>
      </c>
      <c r="D1448" s="35">
        <v>499.0</v>
      </c>
      <c r="E1448" s="35">
        <v>29790.0</v>
      </c>
      <c r="F1448" s="35" t="s">
        <v>11</v>
      </c>
    </row>
    <row r="1449" ht="22.5" customHeight="1">
      <c r="A1449" s="37" t="s">
        <v>3137</v>
      </c>
      <c r="B1449" s="35" t="s">
        <v>3138</v>
      </c>
      <c r="C1449" s="35">
        <v>402.0</v>
      </c>
      <c r="D1449" s="35">
        <v>408.0</v>
      </c>
      <c r="E1449" s="35">
        <v>26720.0</v>
      </c>
      <c r="F1449" s="35" t="s">
        <v>11</v>
      </c>
    </row>
    <row r="1450" ht="22.5" customHeight="1">
      <c r="A1450" s="37" t="s">
        <v>3139</v>
      </c>
      <c r="B1450" s="35" t="s">
        <v>3140</v>
      </c>
      <c r="C1450" s="35">
        <v>849.0</v>
      </c>
      <c r="D1450" s="35">
        <v>821.0</v>
      </c>
      <c r="E1450" s="35">
        <v>27550.0</v>
      </c>
      <c r="F1450" s="35" t="s">
        <v>11</v>
      </c>
    </row>
    <row r="1451" ht="22.5" customHeight="1">
      <c r="A1451" s="37" t="s">
        <v>3141</v>
      </c>
      <c r="B1451" s="35" t="s">
        <v>3142</v>
      </c>
      <c r="C1451" s="35">
        <v>1179.0</v>
      </c>
      <c r="D1451" s="35">
        <v>1153.0</v>
      </c>
      <c r="E1451" s="35">
        <v>27630.0</v>
      </c>
      <c r="F1451" s="35" t="s">
        <v>11</v>
      </c>
    </row>
    <row r="1452" ht="22.5" customHeight="1">
      <c r="A1452" s="37" t="s">
        <v>3143</v>
      </c>
      <c r="B1452" s="35" t="s">
        <v>3144</v>
      </c>
      <c r="C1452" s="35">
        <v>3050.0</v>
      </c>
      <c r="D1452" s="35">
        <v>3058.0</v>
      </c>
      <c r="E1452" s="35">
        <v>30860.0</v>
      </c>
      <c r="F1452" s="35">
        <v>5.0</v>
      </c>
    </row>
    <row r="1453" ht="22.5" customHeight="1">
      <c r="A1453" s="37" t="s">
        <v>3145</v>
      </c>
      <c r="B1453" s="35" t="s">
        <v>3146</v>
      </c>
      <c r="C1453" s="35">
        <v>399.0</v>
      </c>
      <c r="D1453" s="35">
        <v>409.0</v>
      </c>
      <c r="E1453" s="35">
        <v>29640.0</v>
      </c>
      <c r="F1453" s="35" t="s">
        <v>11</v>
      </c>
    </row>
    <row r="1454" ht="22.5" customHeight="1">
      <c r="A1454" s="37" t="s">
        <v>3147</v>
      </c>
      <c r="B1454" s="35" t="s">
        <v>3148</v>
      </c>
      <c r="C1454" s="35">
        <v>1572.0</v>
      </c>
      <c r="D1454" s="35">
        <v>1767.0</v>
      </c>
      <c r="E1454" s="35">
        <v>27930.0</v>
      </c>
      <c r="F1454" s="35" t="s">
        <v>11</v>
      </c>
    </row>
    <row r="1455" ht="22.5" customHeight="1">
      <c r="A1455" s="37" t="s">
        <v>3149</v>
      </c>
      <c r="B1455" s="35" t="s">
        <v>3150</v>
      </c>
      <c r="C1455" s="35">
        <v>1740.0</v>
      </c>
      <c r="D1455" s="35">
        <v>1805.0</v>
      </c>
      <c r="E1455" s="35">
        <v>29590.0</v>
      </c>
      <c r="F1455" s="35" t="s">
        <v>11</v>
      </c>
    </row>
    <row r="1456" ht="22.5" customHeight="1">
      <c r="A1456" s="37" t="s">
        <v>3151</v>
      </c>
      <c r="B1456" s="35" t="s">
        <v>3152</v>
      </c>
      <c r="C1456" s="35">
        <v>392.0</v>
      </c>
      <c r="D1456" s="35">
        <v>419.0</v>
      </c>
      <c r="E1456" s="35">
        <v>24630.0</v>
      </c>
      <c r="F1456" s="35" t="s">
        <v>11</v>
      </c>
    </row>
    <row r="1457" ht="22.5" customHeight="1">
      <c r="A1457" s="37" t="s">
        <v>3153</v>
      </c>
      <c r="B1457" s="35" t="s">
        <v>3154</v>
      </c>
      <c r="C1457" s="35">
        <v>3227.0</v>
      </c>
      <c r="D1457" s="35">
        <v>3434.0</v>
      </c>
      <c r="E1457" s="35">
        <v>28060.0</v>
      </c>
      <c r="F1457" s="35">
        <v>7.0</v>
      </c>
    </row>
    <row r="1458" ht="22.5" customHeight="1">
      <c r="A1458" s="37" t="s">
        <v>3155</v>
      </c>
      <c r="B1458" s="35" t="s">
        <v>3156</v>
      </c>
      <c r="C1458" s="35">
        <v>1396.0</v>
      </c>
      <c r="D1458" s="35">
        <v>1345.0</v>
      </c>
      <c r="E1458" s="35">
        <v>30100.0</v>
      </c>
      <c r="F1458" s="35" t="s">
        <v>11</v>
      </c>
    </row>
    <row r="1459" ht="22.5" customHeight="1">
      <c r="A1459" s="37" t="s">
        <v>3157</v>
      </c>
      <c r="B1459" s="35" t="s">
        <v>3158</v>
      </c>
      <c r="C1459" s="35">
        <v>185.0</v>
      </c>
      <c r="D1459" s="35">
        <v>155.0</v>
      </c>
      <c r="E1459" s="35">
        <v>26770.0</v>
      </c>
      <c r="F1459" s="35" t="s">
        <v>11</v>
      </c>
    </row>
    <row r="1460" ht="22.5" customHeight="1">
      <c r="A1460" s="37" t="s">
        <v>3159</v>
      </c>
      <c r="B1460" s="35" t="s">
        <v>3160</v>
      </c>
      <c r="C1460" s="35">
        <v>1172.0</v>
      </c>
      <c r="D1460" s="35">
        <v>1124.0</v>
      </c>
      <c r="E1460" s="35">
        <v>27290.0</v>
      </c>
      <c r="F1460" s="35" t="s">
        <v>11</v>
      </c>
    </row>
    <row r="1461" ht="22.5" customHeight="1">
      <c r="A1461" s="37" t="s">
        <v>3161</v>
      </c>
      <c r="B1461" s="35" t="s">
        <v>3162</v>
      </c>
      <c r="C1461" s="35">
        <v>276.0</v>
      </c>
      <c r="D1461" s="35">
        <v>273.0</v>
      </c>
      <c r="E1461" s="35">
        <v>31020.0</v>
      </c>
      <c r="F1461" s="35" t="s">
        <v>11</v>
      </c>
    </row>
    <row r="1462" ht="22.5" customHeight="1">
      <c r="A1462" s="37" t="s">
        <v>3163</v>
      </c>
      <c r="B1462" s="35" t="s">
        <v>3164</v>
      </c>
      <c r="C1462" s="35">
        <v>1197.0</v>
      </c>
      <c r="D1462" s="35">
        <v>1134.0</v>
      </c>
      <c r="E1462" s="35">
        <v>25300.0</v>
      </c>
      <c r="F1462" s="35" t="s">
        <v>11</v>
      </c>
    </row>
    <row r="1463" ht="22.5" customHeight="1">
      <c r="A1463" s="37" t="s">
        <v>3165</v>
      </c>
      <c r="B1463" s="35" t="s">
        <v>3166</v>
      </c>
      <c r="C1463" s="35">
        <v>409.0</v>
      </c>
      <c r="D1463" s="35">
        <v>408.0</v>
      </c>
      <c r="E1463" s="35">
        <v>27310.0</v>
      </c>
      <c r="F1463" s="35" t="s">
        <v>11</v>
      </c>
    </row>
    <row r="1464" ht="22.5" customHeight="1">
      <c r="A1464" s="37" t="s">
        <v>3167</v>
      </c>
      <c r="B1464" s="35" t="s">
        <v>3168</v>
      </c>
      <c r="C1464" s="35">
        <v>264.0</v>
      </c>
      <c r="D1464" s="35">
        <v>273.0</v>
      </c>
      <c r="E1464" s="35">
        <v>28640.0</v>
      </c>
      <c r="F1464" s="35" t="s">
        <v>11</v>
      </c>
    </row>
    <row r="1465" ht="22.5" customHeight="1">
      <c r="A1465" s="37" t="s">
        <v>3169</v>
      </c>
      <c r="B1465" s="35" t="s">
        <v>3170</v>
      </c>
      <c r="C1465" s="35">
        <v>542.0</v>
      </c>
      <c r="D1465" s="35">
        <v>498.0</v>
      </c>
      <c r="E1465" s="35">
        <v>24370.0</v>
      </c>
      <c r="F1465" s="35" t="s">
        <v>11</v>
      </c>
    </row>
    <row r="1466" ht="22.5" customHeight="1">
      <c r="A1466" s="37" t="s">
        <v>3171</v>
      </c>
      <c r="B1466" s="35" t="s">
        <v>3172</v>
      </c>
      <c r="C1466" s="35">
        <v>660.0</v>
      </c>
      <c r="D1466" s="35">
        <v>636.0</v>
      </c>
      <c r="E1466" s="35">
        <v>37050.0</v>
      </c>
      <c r="F1466" s="35" t="s">
        <v>11</v>
      </c>
    </row>
    <row r="1467" ht="22.5" customHeight="1">
      <c r="A1467" s="37" t="s">
        <v>3173</v>
      </c>
      <c r="B1467" s="35" t="s">
        <v>3174</v>
      </c>
      <c r="C1467" s="35">
        <v>563.0</v>
      </c>
      <c r="D1467" s="35">
        <v>548.0</v>
      </c>
      <c r="E1467" s="35">
        <v>29820.0</v>
      </c>
      <c r="F1467" s="35" t="s">
        <v>11</v>
      </c>
    </row>
    <row r="1468" ht="22.5" customHeight="1">
      <c r="A1468" s="37" t="s">
        <v>3175</v>
      </c>
      <c r="B1468" s="35" t="s">
        <v>3176</v>
      </c>
      <c r="C1468" s="35">
        <v>770.0</v>
      </c>
      <c r="D1468" s="35">
        <v>832.0</v>
      </c>
      <c r="E1468" s="35">
        <v>27500.0</v>
      </c>
      <c r="F1468" s="35" t="s">
        <v>11</v>
      </c>
    </row>
    <row r="1469" ht="22.5" customHeight="1">
      <c r="A1469" s="37" t="s">
        <v>3177</v>
      </c>
      <c r="B1469" s="35" t="s">
        <v>3178</v>
      </c>
      <c r="C1469" s="35">
        <v>1880.0</v>
      </c>
      <c r="D1469" s="35">
        <v>1857.0</v>
      </c>
      <c r="E1469" s="35">
        <v>26740.0</v>
      </c>
      <c r="F1469" s="35" t="s">
        <v>11</v>
      </c>
    </row>
    <row r="1470" ht="22.5" customHeight="1">
      <c r="A1470" s="37" t="s">
        <v>3179</v>
      </c>
      <c r="B1470" s="35" t="s">
        <v>3180</v>
      </c>
      <c r="C1470" s="35">
        <v>592.0</v>
      </c>
      <c r="D1470" s="35">
        <v>562.0</v>
      </c>
      <c r="E1470" s="35">
        <v>24970.0</v>
      </c>
      <c r="F1470" s="35" t="s">
        <v>11</v>
      </c>
    </row>
    <row r="1471" ht="22.5" customHeight="1">
      <c r="A1471" s="37" t="s">
        <v>3181</v>
      </c>
      <c r="B1471" s="35" t="s">
        <v>3182</v>
      </c>
      <c r="C1471" s="35">
        <v>518.0</v>
      </c>
      <c r="D1471" s="35">
        <v>515.0</v>
      </c>
      <c r="E1471" s="35">
        <v>31850.0</v>
      </c>
      <c r="F1471" s="35" t="s">
        <v>11</v>
      </c>
    </row>
    <row r="1472" ht="22.5" customHeight="1">
      <c r="A1472" s="37" t="s">
        <v>3183</v>
      </c>
      <c r="B1472" s="35" t="s">
        <v>3184</v>
      </c>
      <c r="C1472" s="35">
        <v>476.0</v>
      </c>
      <c r="D1472" s="35">
        <v>567.0</v>
      </c>
      <c r="E1472" s="35">
        <v>42250.0</v>
      </c>
      <c r="F1472" s="35" t="s">
        <v>11</v>
      </c>
    </row>
    <row r="1473" ht="22.5" customHeight="1">
      <c r="A1473" s="37" t="s">
        <v>3185</v>
      </c>
      <c r="B1473" s="35" t="s">
        <v>3186</v>
      </c>
      <c r="C1473" s="35">
        <v>2892.0</v>
      </c>
      <c r="D1473" s="35">
        <v>2898.0</v>
      </c>
      <c r="E1473" s="35">
        <v>26150.0</v>
      </c>
      <c r="F1473" s="35">
        <v>13.0</v>
      </c>
    </row>
    <row r="1474" ht="22.5" customHeight="1">
      <c r="A1474" s="37" t="s">
        <v>3187</v>
      </c>
      <c r="B1474" s="35" t="s">
        <v>3188</v>
      </c>
      <c r="C1474" s="35">
        <v>554.0</v>
      </c>
      <c r="D1474" s="35">
        <v>554.0</v>
      </c>
      <c r="E1474" s="35">
        <v>27420.0</v>
      </c>
      <c r="F1474" s="35" t="s">
        <v>11</v>
      </c>
    </row>
    <row r="1475" ht="22.5" customHeight="1">
      <c r="A1475" s="37" t="s">
        <v>3189</v>
      </c>
      <c r="B1475" s="35" t="s">
        <v>3190</v>
      </c>
      <c r="C1475" s="35">
        <v>272.0</v>
      </c>
      <c r="D1475" s="35">
        <v>265.0</v>
      </c>
      <c r="E1475" s="35">
        <v>28760.0</v>
      </c>
      <c r="F1475" s="35" t="s">
        <v>11</v>
      </c>
    </row>
    <row r="1476" ht="22.5" customHeight="1">
      <c r="A1476" s="37" t="s">
        <v>3191</v>
      </c>
      <c r="B1476" s="35" t="s">
        <v>3192</v>
      </c>
      <c r="C1476" s="35">
        <v>733.0</v>
      </c>
      <c r="D1476" s="35">
        <v>738.0</v>
      </c>
      <c r="E1476" s="35">
        <v>25940.0</v>
      </c>
      <c r="F1476" s="35" t="s">
        <v>11</v>
      </c>
    </row>
    <row r="1477" ht="22.5" customHeight="1">
      <c r="A1477" s="37" t="s">
        <v>3193</v>
      </c>
      <c r="B1477" s="35" t="s">
        <v>3194</v>
      </c>
      <c r="C1477" s="35">
        <v>887.0</v>
      </c>
      <c r="D1477" s="35">
        <v>852.0</v>
      </c>
      <c r="E1477" s="35">
        <v>37150.0</v>
      </c>
      <c r="F1477" s="35" t="s">
        <v>11</v>
      </c>
    </row>
    <row r="1478" ht="22.5" customHeight="1">
      <c r="A1478" s="37" t="s">
        <v>3195</v>
      </c>
      <c r="B1478" s="35" t="s">
        <v>3196</v>
      </c>
      <c r="C1478" s="35">
        <v>1150.0</v>
      </c>
      <c r="D1478" s="35">
        <v>1147.0</v>
      </c>
      <c r="E1478" s="35">
        <v>28320.0</v>
      </c>
      <c r="F1478" s="35" t="s">
        <v>11</v>
      </c>
    </row>
    <row r="1479" ht="22.5" customHeight="1">
      <c r="A1479" s="37" t="s">
        <v>3197</v>
      </c>
      <c r="B1479" s="35" t="s">
        <v>3198</v>
      </c>
      <c r="C1479" s="35">
        <v>260.0</v>
      </c>
      <c r="D1479" s="35">
        <v>232.0</v>
      </c>
      <c r="E1479" s="35">
        <v>21330.0</v>
      </c>
      <c r="F1479" s="35" t="s">
        <v>11</v>
      </c>
    </row>
    <row r="1480" ht="22.5" customHeight="1">
      <c r="A1480" s="37" t="s">
        <v>3199</v>
      </c>
      <c r="B1480" s="35" t="s">
        <v>3200</v>
      </c>
      <c r="C1480" s="35">
        <v>373.0</v>
      </c>
      <c r="D1480" s="35">
        <v>404.0</v>
      </c>
      <c r="E1480" s="35">
        <v>30370.0</v>
      </c>
      <c r="F1480" s="35" t="s">
        <v>11</v>
      </c>
    </row>
    <row r="1481" ht="22.5" customHeight="1">
      <c r="A1481" s="37" t="s">
        <v>3201</v>
      </c>
      <c r="B1481" s="35" t="s">
        <v>3202</v>
      </c>
      <c r="C1481" s="35">
        <v>520.0</v>
      </c>
      <c r="D1481" s="35">
        <v>508.0</v>
      </c>
      <c r="E1481" s="35">
        <v>26220.0</v>
      </c>
      <c r="F1481" s="35" t="s">
        <v>11</v>
      </c>
    </row>
    <row r="1482" ht="22.5" customHeight="1">
      <c r="A1482" s="37" t="s">
        <v>3203</v>
      </c>
      <c r="B1482" s="35" t="s">
        <v>3204</v>
      </c>
      <c r="C1482" s="35">
        <v>492.0</v>
      </c>
      <c r="D1482" s="35">
        <v>477.0</v>
      </c>
      <c r="E1482" s="35">
        <v>23870.0</v>
      </c>
      <c r="F1482" s="35" t="s">
        <v>11</v>
      </c>
    </row>
    <row r="1483" ht="22.5" customHeight="1">
      <c r="A1483" s="37" t="s">
        <v>3205</v>
      </c>
      <c r="B1483" s="35" t="s">
        <v>3206</v>
      </c>
      <c r="C1483" s="35">
        <v>642.0</v>
      </c>
      <c r="D1483" s="35">
        <v>645.0</v>
      </c>
      <c r="E1483" s="35">
        <v>28440.0</v>
      </c>
      <c r="F1483" s="35" t="s">
        <v>11</v>
      </c>
    </row>
    <row r="1484" ht="22.5" customHeight="1">
      <c r="A1484" s="37" t="s">
        <v>3207</v>
      </c>
      <c r="B1484" s="35" t="s">
        <v>3208</v>
      </c>
      <c r="C1484" s="35">
        <v>2175.0</v>
      </c>
      <c r="D1484" s="35">
        <v>2330.0</v>
      </c>
      <c r="E1484" s="35">
        <v>25830.0</v>
      </c>
      <c r="F1484" s="35">
        <v>10.0</v>
      </c>
    </row>
    <row r="1485" ht="22.5" customHeight="1">
      <c r="A1485" s="37" t="s">
        <v>3209</v>
      </c>
      <c r="B1485" s="35" t="s">
        <v>3210</v>
      </c>
      <c r="C1485" s="35">
        <v>1477.0</v>
      </c>
      <c r="D1485" s="35">
        <v>1483.0</v>
      </c>
      <c r="E1485" s="35">
        <v>29070.0</v>
      </c>
      <c r="F1485" s="35" t="s">
        <v>11</v>
      </c>
    </row>
    <row r="1486" ht="22.5" customHeight="1">
      <c r="A1486" s="37" t="s">
        <v>3211</v>
      </c>
      <c r="B1486" s="35" t="s">
        <v>3212</v>
      </c>
      <c r="C1486" s="35">
        <v>636.0</v>
      </c>
      <c r="D1486" s="35">
        <v>599.0</v>
      </c>
      <c r="E1486" s="35">
        <v>27480.0</v>
      </c>
      <c r="F1486" s="35" t="s">
        <v>11</v>
      </c>
    </row>
    <row r="1487" ht="22.5" customHeight="1">
      <c r="A1487" s="37" t="s">
        <v>3213</v>
      </c>
      <c r="B1487" s="35" t="s">
        <v>3214</v>
      </c>
      <c r="C1487" s="35">
        <v>1723.0</v>
      </c>
      <c r="D1487" s="35">
        <v>1628.0</v>
      </c>
      <c r="E1487" s="35">
        <v>25740.0</v>
      </c>
      <c r="F1487" s="35" t="s">
        <v>11</v>
      </c>
    </row>
    <row r="1488" ht="22.5" customHeight="1">
      <c r="A1488" s="37" t="s">
        <v>3215</v>
      </c>
      <c r="B1488" s="35" t="s">
        <v>3216</v>
      </c>
      <c r="C1488" s="35">
        <v>572.0</v>
      </c>
      <c r="D1488" s="35">
        <v>528.0</v>
      </c>
      <c r="E1488" s="35">
        <v>33470.0</v>
      </c>
      <c r="F1488" s="35" t="s">
        <v>11</v>
      </c>
    </row>
    <row r="1489" ht="22.5" customHeight="1">
      <c r="A1489" s="37" t="s">
        <v>3217</v>
      </c>
      <c r="B1489" s="35" t="s">
        <v>3218</v>
      </c>
      <c r="C1489" s="35">
        <v>332.0</v>
      </c>
      <c r="D1489" s="35">
        <v>324.0</v>
      </c>
      <c r="E1489" s="35">
        <v>30240.0</v>
      </c>
      <c r="F1489" s="35" t="s">
        <v>11</v>
      </c>
    </row>
    <row r="1490" ht="22.5" customHeight="1">
      <c r="A1490" s="37" t="s">
        <v>3219</v>
      </c>
      <c r="B1490" s="35" t="s">
        <v>3220</v>
      </c>
      <c r="C1490" s="35">
        <v>760.0</v>
      </c>
      <c r="D1490" s="35">
        <v>729.0</v>
      </c>
      <c r="E1490" s="35">
        <v>32930.0</v>
      </c>
      <c r="F1490" s="35" t="s">
        <v>11</v>
      </c>
    </row>
    <row r="1491" ht="22.5" customHeight="1">
      <c r="A1491" s="37" t="s">
        <v>3221</v>
      </c>
      <c r="B1491" s="35" t="s">
        <v>3222</v>
      </c>
      <c r="C1491" s="35">
        <v>241.0</v>
      </c>
      <c r="D1491" s="35">
        <v>286.0</v>
      </c>
      <c r="E1491" s="35">
        <v>27900.0</v>
      </c>
      <c r="F1491" s="35" t="s">
        <v>11</v>
      </c>
    </row>
    <row r="1492" ht="22.5" customHeight="1">
      <c r="A1492" s="37" t="s">
        <v>3223</v>
      </c>
      <c r="B1492" s="35" t="s">
        <v>3224</v>
      </c>
      <c r="C1492" s="35">
        <v>129.0</v>
      </c>
      <c r="D1492" s="35">
        <v>100.0</v>
      </c>
      <c r="E1492" s="35" t="s">
        <v>11</v>
      </c>
      <c r="F1492" s="35" t="s">
        <v>11</v>
      </c>
    </row>
    <row r="1493" ht="22.5" customHeight="1">
      <c r="A1493" s="37" t="s">
        <v>3225</v>
      </c>
      <c r="B1493" s="35" t="s">
        <v>3226</v>
      </c>
      <c r="C1493" s="35">
        <v>337.0</v>
      </c>
      <c r="D1493" s="35">
        <v>388.0</v>
      </c>
      <c r="E1493" s="35">
        <v>28380.0</v>
      </c>
      <c r="F1493" s="35" t="s">
        <v>11</v>
      </c>
    </row>
    <row r="1494" ht="22.5" customHeight="1">
      <c r="A1494" s="37" t="s">
        <v>3227</v>
      </c>
      <c r="B1494" s="35" t="s">
        <v>3228</v>
      </c>
      <c r="C1494" s="35">
        <v>204.0</v>
      </c>
      <c r="D1494" s="35">
        <v>173.0</v>
      </c>
      <c r="E1494" s="35">
        <v>24820.0</v>
      </c>
      <c r="F1494" s="35" t="s">
        <v>11</v>
      </c>
    </row>
    <row r="1495" ht="22.5" customHeight="1">
      <c r="A1495" s="37" t="s">
        <v>3229</v>
      </c>
      <c r="B1495" s="35" t="s">
        <v>3230</v>
      </c>
      <c r="C1495" s="35">
        <v>101.0</v>
      </c>
      <c r="D1495" s="35">
        <v>104.0</v>
      </c>
      <c r="E1495" s="35">
        <v>27490.0</v>
      </c>
      <c r="F1495" s="35" t="s">
        <v>11</v>
      </c>
    </row>
    <row r="1496" ht="22.5" customHeight="1">
      <c r="A1496" s="37" t="s">
        <v>3231</v>
      </c>
      <c r="B1496" s="35" t="s">
        <v>3232</v>
      </c>
      <c r="C1496" s="35">
        <v>609.0</v>
      </c>
      <c r="D1496" s="35">
        <v>563.0</v>
      </c>
      <c r="E1496" s="35">
        <v>25230.0</v>
      </c>
      <c r="F1496" s="35" t="s">
        <v>11</v>
      </c>
    </row>
    <row r="1497" ht="22.5" customHeight="1">
      <c r="A1497" s="37" t="s">
        <v>3233</v>
      </c>
      <c r="B1497" s="35" t="s">
        <v>3234</v>
      </c>
      <c r="C1497" s="35">
        <v>343.0</v>
      </c>
      <c r="D1497" s="35">
        <v>339.0</v>
      </c>
      <c r="E1497" s="35">
        <v>28600.0</v>
      </c>
      <c r="F1497" s="35" t="s">
        <v>11</v>
      </c>
    </row>
    <row r="1498" ht="22.5" customHeight="1">
      <c r="A1498" s="37" t="s">
        <v>3235</v>
      </c>
      <c r="B1498" s="35" t="s">
        <v>3236</v>
      </c>
      <c r="C1498" s="35">
        <v>338.0</v>
      </c>
      <c r="D1498" s="35">
        <v>341.0</v>
      </c>
      <c r="E1498" s="35">
        <v>25810.0</v>
      </c>
      <c r="F1498" s="35" t="s">
        <v>11</v>
      </c>
    </row>
    <row r="1499" ht="22.5" customHeight="1">
      <c r="A1499" s="37" t="s">
        <v>3237</v>
      </c>
      <c r="B1499" s="35" t="s">
        <v>3238</v>
      </c>
      <c r="C1499" s="35">
        <v>67.0</v>
      </c>
      <c r="D1499" s="35">
        <v>63.0</v>
      </c>
      <c r="E1499" s="35" t="s">
        <v>11</v>
      </c>
      <c r="F1499" s="35" t="s">
        <v>11</v>
      </c>
    </row>
    <row r="1500" ht="22.5" customHeight="1">
      <c r="A1500" s="37" t="s">
        <v>3239</v>
      </c>
      <c r="B1500" s="35" t="s">
        <v>3240</v>
      </c>
      <c r="C1500" s="35">
        <v>56254.0</v>
      </c>
      <c r="D1500" s="35">
        <v>55550.0</v>
      </c>
      <c r="E1500" s="35">
        <v>21400.0</v>
      </c>
      <c r="F1500" s="35">
        <v>27.3</v>
      </c>
    </row>
    <row r="1501" ht="22.5" customHeight="1">
      <c r="A1501" s="37" t="s">
        <v>3241</v>
      </c>
      <c r="B1501" s="35" t="s">
        <v>3242</v>
      </c>
      <c r="C1501" s="35">
        <v>238.0</v>
      </c>
      <c r="D1501" s="35">
        <v>239.0</v>
      </c>
      <c r="E1501" s="35">
        <v>28450.0</v>
      </c>
      <c r="F1501" s="35" t="s">
        <v>11</v>
      </c>
    </row>
    <row r="1502" ht="22.5" customHeight="1">
      <c r="A1502" s="37" t="s">
        <v>3243</v>
      </c>
      <c r="B1502" s="35" t="s">
        <v>3244</v>
      </c>
      <c r="C1502" s="35">
        <v>209.0</v>
      </c>
      <c r="D1502" s="35">
        <v>192.0</v>
      </c>
      <c r="E1502" s="35">
        <v>27610.0</v>
      </c>
      <c r="F1502" s="35" t="s">
        <v>11</v>
      </c>
    </row>
    <row r="1503" ht="22.5" customHeight="1">
      <c r="A1503" s="37" t="s">
        <v>3245</v>
      </c>
      <c r="B1503" s="35" t="s">
        <v>3246</v>
      </c>
      <c r="C1503" s="35">
        <v>609.0</v>
      </c>
      <c r="D1503" s="35">
        <v>730.0</v>
      </c>
      <c r="E1503" s="35">
        <v>30190.0</v>
      </c>
      <c r="F1503" s="35" t="s">
        <v>11</v>
      </c>
    </row>
    <row r="1504" ht="22.5" customHeight="1">
      <c r="A1504" s="37" t="s">
        <v>3247</v>
      </c>
      <c r="B1504" s="35" t="s">
        <v>3248</v>
      </c>
      <c r="C1504" s="35">
        <v>94.0</v>
      </c>
      <c r="D1504" s="35">
        <v>68.0</v>
      </c>
      <c r="E1504" s="35" t="s">
        <v>11</v>
      </c>
      <c r="F1504" s="35" t="s">
        <v>11</v>
      </c>
    </row>
    <row r="1505" ht="22.5" customHeight="1">
      <c r="A1505" s="37" t="s">
        <v>3249</v>
      </c>
      <c r="B1505" s="35" t="s">
        <v>317</v>
      </c>
      <c r="C1505" s="35">
        <v>331.0</v>
      </c>
      <c r="D1505" s="35">
        <v>310.0</v>
      </c>
      <c r="E1505" s="35">
        <v>23900.0</v>
      </c>
      <c r="F1505" s="35" t="s">
        <v>11</v>
      </c>
    </row>
    <row r="1506" ht="22.5" customHeight="1">
      <c r="A1506" s="37" t="s">
        <v>3250</v>
      </c>
      <c r="B1506" s="35" t="s">
        <v>3251</v>
      </c>
      <c r="C1506" s="35">
        <v>788.0</v>
      </c>
      <c r="D1506" s="35">
        <v>813.0</v>
      </c>
      <c r="E1506" s="35">
        <v>29520.0</v>
      </c>
      <c r="F1506" s="35" t="s">
        <v>11</v>
      </c>
    </row>
    <row r="1507" ht="22.5" customHeight="1">
      <c r="A1507" s="37" t="s">
        <v>3252</v>
      </c>
      <c r="B1507" s="35" t="s">
        <v>3253</v>
      </c>
      <c r="C1507" s="35">
        <v>1004.0</v>
      </c>
      <c r="D1507" s="35">
        <v>912.0</v>
      </c>
      <c r="E1507" s="35">
        <v>27230.0</v>
      </c>
      <c r="F1507" s="35" t="s">
        <v>11</v>
      </c>
    </row>
    <row r="1508" ht="22.5" customHeight="1">
      <c r="A1508" s="37" t="s">
        <v>3254</v>
      </c>
      <c r="B1508" s="35" t="s">
        <v>3255</v>
      </c>
      <c r="C1508" s="35">
        <v>1633.0</v>
      </c>
      <c r="D1508" s="35">
        <v>1564.0</v>
      </c>
      <c r="E1508" s="35">
        <v>25410.0</v>
      </c>
      <c r="F1508" s="35" t="s">
        <v>11</v>
      </c>
    </row>
    <row r="1509" ht="22.5" customHeight="1">
      <c r="A1509" s="37" t="s">
        <v>3256</v>
      </c>
      <c r="B1509" s="35" t="s">
        <v>3257</v>
      </c>
      <c r="C1509" s="35">
        <v>218.0</v>
      </c>
      <c r="D1509" s="35">
        <v>214.0</v>
      </c>
      <c r="E1509" s="35">
        <v>32620.0</v>
      </c>
      <c r="F1509" s="35" t="s">
        <v>11</v>
      </c>
    </row>
    <row r="1510" ht="22.5" customHeight="1">
      <c r="A1510" s="37" t="s">
        <v>3258</v>
      </c>
      <c r="B1510" s="35" t="s">
        <v>3259</v>
      </c>
      <c r="C1510" s="35">
        <v>1060.0</v>
      </c>
      <c r="D1510" s="35">
        <v>996.0</v>
      </c>
      <c r="E1510" s="35">
        <v>27850.0</v>
      </c>
      <c r="F1510" s="35" t="s">
        <v>11</v>
      </c>
    </row>
    <row r="1511" ht="22.5" customHeight="1">
      <c r="A1511" s="37" t="s">
        <v>3260</v>
      </c>
      <c r="B1511" s="35" t="s">
        <v>3261</v>
      </c>
      <c r="C1511" s="35">
        <v>3078.0</v>
      </c>
      <c r="D1511" s="35">
        <v>3111.0</v>
      </c>
      <c r="E1511" s="35">
        <v>24630.0</v>
      </c>
      <c r="F1511" s="35">
        <v>14.0</v>
      </c>
    </row>
    <row r="1512" ht="22.5" customHeight="1">
      <c r="A1512" s="37" t="s">
        <v>3262</v>
      </c>
      <c r="B1512" s="35" t="s">
        <v>3263</v>
      </c>
      <c r="C1512" s="35">
        <v>1161.0</v>
      </c>
      <c r="D1512" s="35">
        <v>1100.0</v>
      </c>
      <c r="E1512" s="35">
        <v>29360.0</v>
      </c>
      <c r="F1512" s="35" t="s">
        <v>11</v>
      </c>
    </row>
    <row r="1513" ht="22.5" customHeight="1">
      <c r="A1513" s="37" t="s">
        <v>3264</v>
      </c>
      <c r="B1513" s="35" t="s">
        <v>3265</v>
      </c>
      <c r="C1513" s="35">
        <v>442.0</v>
      </c>
      <c r="D1513" s="35">
        <v>495.0</v>
      </c>
      <c r="E1513" s="35">
        <v>28940.0</v>
      </c>
      <c r="F1513" s="35" t="s">
        <v>11</v>
      </c>
    </row>
    <row r="1514" ht="22.5" customHeight="1">
      <c r="A1514" s="37" t="s">
        <v>3266</v>
      </c>
      <c r="B1514" s="35" t="s">
        <v>3267</v>
      </c>
      <c r="C1514" s="35">
        <v>175.0</v>
      </c>
      <c r="D1514" s="35">
        <v>160.0</v>
      </c>
      <c r="E1514" s="35">
        <v>28130.0</v>
      </c>
      <c r="F1514" s="35" t="s">
        <v>11</v>
      </c>
    </row>
    <row r="1515" ht="22.5" customHeight="1">
      <c r="A1515" s="37" t="s">
        <v>3268</v>
      </c>
      <c r="B1515" s="35" t="s">
        <v>3269</v>
      </c>
      <c r="C1515" s="35">
        <v>317.0</v>
      </c>
      <c r="D1515" s="35">
        <v>308.0</v>
      </c>
      <c r="E1515" s="35">
        <v>27600.0</v>
      </c>
      <c r="F1515" s="35" t="s">
        <v>11</v>
      </c>
    </row>
    <row r="1516" ht="22.5" customHeight="1">
      <c r="A1516" s="37" t="s">
        <v>3270</v>
      </c>
      <c r="B1516" s="35" t="s">
        <v>3271</v>
      </c>
      <c r="C1516" s="35">
        <v>602.0</v>
      </c>
      <c r="D1516" s="35">
        <v>592.0</v>
      </c>
      <c r="E1516" s="35">
        <v>26430.0</v>
      </c>
      <c r="F1516" s="35" t="s">
        <v>11</v>
      </c>
    </row>
    <row r="1517" ht="22.5" customHeight="1">
      <c r="A1517" s="37" t="s">
        <v>3272</v>
      </c>
      <c r="B1517" s="35" t="s">
        <v>3273</v>
      </c>
      <c r="C1517" s="35">
        <v>1190.0</v>
      </c>
      <c r="D1517" s="35">
        <v>1189.0</v>
      </c>
      <c r="E1517" s="35">
        <v>31100.0</v>
      </c>
      <c r="F1517" s="35" t="s">
        <v>11</v>
      </c>
    </row>
    <row r="1518" ht="22.5" customHeight="1">
      <c r="A1518" s="37" t="s">
        <v>3274</v>
      </c>
      <c r="B1518" s="35" t="s">
        <v>3275</v>
      </c>
      <c r="C1518" s="35">
        <v>146.0</v>
      </c>
      <c r="D1518" s="35">
        <v>143.0</v>
      </c>
      <c r="E1518" s="35">
        <v>22080.0</v>
      </c>
      <c r="F1518" s="35" t="s">
        <v>11</v>
      </c>
    </row>
    <row r="1519" ht="22.5" customHeight="1">
      <c r="A1519" s="37" t="s">
        <v>3276</v>
      </c>
      <c r="B1519" s="35" t="s">
        <v>3277</v>
      </c>
      <c r="C1519" s="35">
        <v>533.0</v>
      </c>
      <c r="D1519" s="35">
        <v>498.0</v>
      </c>
      <c r="E1519" s="35">
        <v>23940.0</v>
      </c>
      <c r="F1519" s="35" t="s">
        <v>11</v>
      </c>
    </row>
    <row r="1520" ht="22.5" customHeight="1">
      <c r="A1520" s="37" t="s">
        <v>3278</v>
      </c>
      <c r="B1520" s="35" t="s">
        <v>3279</v>
      </c>
      <c r="C1520" s="35">
        <v>349.0</v>
      </c>
      <c r="D1520" s="35">
        <v>356.0</v>
      </c>
      <c r="E1520" s="35">
        <v>27030.0</v>
      </c>
      <c r="F1520" s="35" t="s">
        <v>11</v>
      </c>
    </row>
    <row r="1521" ht="22.5" customHeight="1">
      <c r="A1521" s="37" t="s">
        <v>3280</v>
      </c>
      <c r="B1521" s="35" t="s">
        <v>3281</v>
      </c>
      <c r="C1521" s="35">
        <v>93.0</v>
      </c>
      <c r="D1521" s="35">
        <v>125.0</v>
      </c>
      <c r="E1521" s="35">
        <v>26280.0</v>
      </c>
      <c r="F1521" s="35" t="s">
        <v>11</v>
      </c>
    </row>
    <row r="1522" ht="22.5" customHeight="1">
      <c r="A1522" s="37" t="s">
        <v>3282</v>
      </c>
      <c r="B1522" s="35" t="s">
        <v>3283</v>
      </c>
      <c r="C1522" s="35">
        <v>999.0</v>
      </c>
      <c r="D1522" s="35">
        <v>942.0</v>
      </c>
      <c r="E1522" s="35">
        <v>29360.0</v>
      </c>
      <c r="F1522" s="35" t="s">
        <v>11</v>
      </c>
    </row>
    <row r="1523" ht="22.5" customHeight="1">
      <c r="A1523" s="37" t="s">
        <v>3284</v>
      </c>
      <c r="B1523" s="35" t="s">
        <v>3285</v>
      </c>
      <c r="C1523" s="35">
        <v>474.0</v>
      </c>
      <c r="D1523" s="35">
        <v>467.0</v>
      </c>
      <c r="E1523" s="35">
        <v>29330.0</v>
      </c>
      <c r="F1523" s="35" t="s">
        <v>11</v>
      </c>
    </row>
    <row r="1524" ht="22.5" customHeight="1">
      <c r="A1524" s="37" t="s">
        <v>3286</v>
      </c>
      <c r="B1524" s="35" t="s">
        <v>3287</v>
      </c>
      <c r="C1524" s="35">
        <v>805.0</v>
      </c>
      <c r="D1524" s="35">
        <v>787.0</v>
      </c>
      <c r="E1524" s="35">
        <v>26320.0</v>
      </c>
      <c r="F1524" s="35" t="s">
        <v>11</v>
      </c>
    </row>
    <row r="1525" ht="22.5" customHeight="1">
      <c r="A1525" s="37" t="s">
        <v>3288</v>
      </c>
      <c r="B1525" s="35" t="s">
        <v>3289</v>
      </c>
      <c r="C1525" s="35">
        <v>1025.0</v>
      </c>
      <c r="D1525" s="35">
        <v>986.0</v>
      </c>
      <c r="E1525" s="35">
        <v>28300.0</v>
      </c>
      <c r="F1525" s="35" t="s">
        <v>11</v>
      </c>
    </row>
    <row r="1526" ht="22.5" customHeight="1">
      <c r="A1526" s="37" t="s">
        <v>3290</v>
      </c>
      <c r="B1526" s="35" t="s">
        <v>3291</v>
      </c>
      <c r="C1526" s="35">
        <v>169.0</v>
      </c>
      <c r="D1526" s="35">
        <v>201.0</v>
      </c>
      <c r="E1526" s="35">
        <v>28600.0</v>
      </c>
      <c r="F1526" s="35" t="s">
        <v>11</v>
      </c>
    </row>
    <row r="1527" ht="22.5" customHeight="1">
      <c r="A1527" s="37" t="s">
        <v>3292</v>
      </c>
      <c r="B1527" s="35" t="s">
        <v>3293</v>
      </c>
      <c r="C1527" s="35">
        <v>204.0</v>
      </c>
      <c r="D1527" s="35">
        <v>189.0</v>
      </c>
      <c r="E1527" s="35">
        <v>28090.0</v>
      </c>
      <c r="F1527" s="35" t="s">
        <v>11</v>
      </c>
    </row>
    <row r="1528" ht="22.5" customHeight="1">
      <c r="A1528" s="37" t="s">
        <v>3294</v>
      </c>
      <c r="B1528" s="35" t="s">
        <v>3295</v>
      </c>
      <c r="C1528" s="35">
        <v>2165.0</v>
      </c>
      <c r="D1528" s="35">
        <v>2135.0</v>
      </c>
      <c r="E1528" s="35">
        <v>29290.0</v>
      </c>
      <c r="F1528" s="35" t="s">
        <v>11</v>
      </c>
    </row>
    <row r="1529" ht="22.5" customHeight="1">
      <c r="A1529" s="37" t="s">
        <v>3296</v>
      </c>
      <c r="B1529" s="35" t="s">
        <v>3297</v>
      </c>
      <c r="C1529" s="35">
        <v>334.0</v>
      </c>
      <c r="D1529" s="35">
        <v>367.0</v>
      </c>
      <c r="E1529" s="35">
        <v>39980.0</v>
      </c>
      <c r="F1529" s="35" t="s">
        <v>11</v>
      </c>
    </row>
    <row r="1530" ht="22.5" customHeight="1">
      <c r="A1530" s="37" t="s">
        <v>3298</v>
      </c>
      <c r="B1530" s="35" t="s">
        <v>3299</v>
      </c>
      <c r="C1530" s="35">
        <v>4817.0</v>
      </c>
      <c r="D1530" s="35">
        <v>4832.0</v>
      </c>
      <c r="E1530" s="35">
        <v>27960.0</v>
      </c>
      <c r="F1530" s="35">
        <v>7.0</v>
      </c>
    </row>
    <row r="1531" ht="22.5" customHeight="1">
      <c r="A1531" s="37" t="s">
        <v>3300</v>
      </c>
      <c r="B1531" s="35" t="s">
        <v>3301</v>
      </c>
      <c r="C1531" s="35">
        <v>412.0</v>
      </c>
      <c r="D1531" s="35">
        <v>382.0</v>
      </c>
      <c r="E1531" s="35">
        <v>30690.0</v>
      </c>
      <c r="F1531" s="35" t="s">
        <v>11</v>
      </c>
    </row>
    <row r="1532" ht="22.5" customHeight="1">
      <c r="A1532" s="37" t="s">
        <v>3302</v>
      </c>
      <c r="B1532" s="35" t="s">
        <v>3303</v>
      </c>
      <c r="C1532" s="35">
        <v>387.0</v>
      </c>
      <c r="D1532" s="35">
        <v>423.0</v>
      </c>
      <c r="E1532" s="35">
        <v>29470.0</v>
      </c>
      <c r="F1532" s="35" t="s">
        <v>11</v>
      </c>
    </row>
    <row r="1533" ht="22.5" customHeight="1">
      <c r="A1533" s="37" t="s">
        <v>3304</v>
      </c>
      <c r="B1533" s="35" t="s">
        <v>3305</v>
      </c>
      <c r="C1533" s="35">
        <v>382.0</v>
      </c>
      <c r="D1533" s="35">
        <v>429.0</v>
      </c>
      <c r="E1533" s="35">
        <v>32220.0</v>
      </c>
      <c r="F1533" s="35" t="s">
        <v>11</v>
      </c>
    </row>
    <row r="1534" ht="22.5" customHeight="1">
      <c r="A1534" s="37" t="s">
        <v>3306</v>
      </c>
      <c r="B1534" s="35" t="s">
        <v>3307</v>
      </c>
      <c r="C1534" s="35">
        <v>223.0</v>
      </c>
      <c r="D1534" s="35">
        <v>194.0</v>
      </c>
      <c r="E1534" s="35">
        <v>28470.0</v>
      </c>
      <c r="F1534" s="35" t="s">
        <v>11</v>
      </c>
    </row>
    <row r="1535" ht="22.5" customHeight="1">
      <c r="A1535" s="37" t="s">
        <v>3308</v>
      </c>
      <c r="B1535" s="35" t="s">
        <v>3309</v>
      </c>
      <c r="C1535" s="35">
        <v>471.0</v>
      </c>
      <c r="D1535" s="35">
        <v>472.0</v>
      </c>
      <c r="E1535" s="35">
        <v>26000.0</v>
      </c>
      <c r="F1535" s="35" t="s">
        <v>11</v>
      </c>
    </row>
    <row r="1536" ht="22.5" customHeight="1">
      <c r="A1536" s="37" t="s">
        <v>3310</v>
      </c>
      <c r="B1536" s="35" t="s">
        <v>3311</v>
      </c>
      <c r="C1536" s="35">
        <v>300.0</v>
      </c>
      <c r="D1536" s="35">
        <v>303.0</v>
      </c>
      <c r="E1536" s="35">
        <v>31140.0</v>
      </c>
      <c r="F1536" s="35" t="s">
        <v>11</v>
      </c>
    </row>
    <row r="1537" ht="22.5" customHeight="1">
      <c r="A1537" s="37" t="s">
        <v>3312</v>
      </c>
      <c r="B1537" s="35" t="s">
        <v>3313</v>
      </c>
      <c r="C1537" s="35">
        <v>341.0</v>
      </c>
      <c r="D1537" s="35">
        <v>343.0</v>
      </c>
      <c r="E1537" s="35">
        <v>29740.0</v>
      </c>
      <c r="F1537" s="35" t="s">
        <v>11</v>
      </c>
    </row>
    <row r="1538" ht="22.5" customHeight="1">
      <c r="A1538" s="37" t="s">
        <v>3314</v>
      </c>
      <c r="B1538" s="35" t="s">
        <v>3315</v>
      </c>
      <c r="C1538" s="35">
        <v>220.0</v>
      </c>
      <c r="D1538" s="35">
        <v>213.0</v>
      </c>
      <c r="E1538" s="35">
        <v>30880.0</v>
      </c>
      <c r="F1538" s="35" t="s">
        <v>11</v>
      </c>
    </row>
    <row r="1539" ht="22.5" customHeight="1">
      <c r="A1539" s="37" t="s">
        <v>3316</v>
      </c>
      <c r="B1539" s="35" t="s">
        <v>3317</v>
      </c>
      <c r="C1539" s="35">
        <v>160.0</v>
      </c>
      <c r="D1539" s="35">
        <v>170.0</v>
      </c>
      <c r="E1539" s="35">
        <v>27810.0</v>
      </c>
      <c r="F1539" s="35" t="s">
        <v>11</v>
      </c>
    </row>
    <row r="1540" ht="22.5" customHeight="1">
      <c r="A1540" s="37" t="s">
        <v>3318</v>
      </c>
      <c r="B1540" s="35" t="s">
        <v>3319</v>
      </c>
      <c r="C1540" s="35">
        <v>169.0</v>
      </c>
      <c r="D1540" s="35">
        <v>174.0</v>
      </c>
      <c r="E1540" s="35">
        <v>28720.0</v>
      </c>
      <c r="F1540" s="35" t="s">
        <v>11</v>
      </c>
    </row>
    <row r="1541" ht="22.5" customHeight="1">
      <c r="A1541" s="37" t="s">
        <v>3320</v>
      </c>
      <c r="B1541" s="35" t="s">
        <v>3321</v>
      </c>
      <c r="C1541" s="35">
        <v>107.0</v>
      </c>
      <c r="D1541" s="35">
        <v>110.0</v>
      </c>
      <c r="E1541" s="35">
        <v>31220.0</v>
      </c>
      <c r="F1541" s="35" t="s">
        <v>11</v>
      </c>
    </row>
    <row r="1542" ht="22.5" customHeight="1">
      <c r="A1542" s="37" t="s">
        <v>3322</v>
      </c>
      <c r="B1542" s="35" t="s">
        <v>3323</v>
      </c>
      <c r="C1542" s="35">
        <v>636.0</v>
      </c>
      <c r="D1542" s="35">
        <v>627.0</v>
      </c>
      <c r="E1542" s="35">
        <v>27910.0</v>
      </c>
      <c r="F1542" s="35" t="s">
        <v>11</v>
      </c>
    </row>
    <row r="1543" ht="22.5" customHeight="1">
      <c r="A1543" s="37" t="s">
        <v>3324</v>
      </c>
      <c r="B1543" s="35" t="s">
        <v>3325</v>
      </c>
      <c r="C1543" s="35">
        <v>2016.0</v>
      </c>
      <c r="D1543" s="35">
        <v>2105.0</v>
      </c>
      <c r="E1543" s="35">
        <v>27190.0</v>
      </c>
      <c r="F1543" s="35">
        <v>8.0</v>
      </c>
    </row>
    <row r="1544" ht="22.5" customHeight="1">
      <c r="A1544" s="37" t="s">
        <v>3326</v>
      </c>
      <c r="B1544" s="35" t="s">
        <v>3327</v>
      </c>
      <c r="C1544" s="35">
        <v>4147.0</v>
      </c>
      <c r="D1544" s="35">
        <v>4029.0</v>
      </c>
      <c r="E1544" s="35">
        <v>25000.0</v>
      </c>
      <c r="F1544" s="35">
        <v>13.0</v>
      </c>
    </row>
    <row r="1545" ht="22.5" customHeight="1">
      <c r="A1545" s="37" t="s">
        <v>3328</v>
      </c>
      <c r="B1545" s="35" t="s">
        <v>3329</v>
      </c>
      <c r="C1545" s="35">
        <v>4340.0</v>
      </c>
      <c r="D1545" s="35">
        <v>4222.0</v>
      </c>
      <c r="E1545" s="35">
        <v>21230.0</v>
      </c>
      <c r="F1545" s="35">
        <v>24.0</v>
      </c>
    </row>
    <row r="1546" ht="22.5" customHeight="1">
      <c r="A1546" s="37" t="s">
        <v>3330</v>
      </c>
      <c r="B1546" s="35" t="s">
        <v>3331</v>
      </c>
      <c r="C1546" s="35">
        <v>410.0</v>
      </c>
      <c r="D1546" s="35">
        <v>435.0</v>
      </c>
      <c r="E1546" s="35">
        <v>23070.0</v>
      </c>
      <c r="F1546" s="35" t="s">
        <v>11</v>
      </c>
    </row>
    <row r="1547" ht="22.5" customHeight="1">
      <c r="A1547" s="37" t="s">
        <v>3332</v>
      </c>
      <c r="B1547" s="35" t="s">
        <v>3333</v>
      </c>
      <c r="C1547" s="35">
        <v>2648.0</v>
      </c>
      <c r="D1547" s="35">
        <v>2467.0</v>
      </c>
      <c r="E1547" s="35">
        <v>28220.0</v>
      </c>
      <c r="F1547" s="35">
        <v>6.0</v>
      </c>
    </row>
    <row r="1548" ht="22.5" customHeight="1">
      <c r="A1548" s="37" t="s">
        <v>3334</v>
      </c>
      <c r="B1548" s="35" t="s">
        <v>3335</v>
      </c>
      <c r="C1548" s="35">
        <v>3087.0</v>
      </c>
      <c r="D1548" s="35">
        <v>3183.0</v>
      </c>
      <c r="E1548" s="35">
        <v>29280.0</v>
      </c>
      <c r="F1548" s="35">
        <v>6.0</v>
      </c>
    </row>
    <row r="1549" ht="22.5" customHeight="1">
      <c r="A1549" s="37" t="s">
        <v>3336</v>
      </c>
      <c r="B1549" s="35" t="s">
        <v>3337</v>
      </c>
      <c r="C1549" s="35">
        <v>283.0</v>
      </c>
      <c r="D1549" s="35">
        <v>302.0</v>
      </c>
      <c r="E1549" s="35">
        <v>25450.0</v>
      </c>
      <c r="F1549" s="35" t="s">
        <v>11</v>
      </c>
    </row>
    <row r="1550" ht="22.5" customHeight="1">
      <c r="A1550" s="37" t="s">
        <v>3338</v>
      </c>
      <c r="B1550" s="35" t="s">
        <v>3339</v>
      </c>
      <c r="C1550" s="35">
        <v>256.0</v>
      </c>
      <c r="D1550" s="35">
        <v>244.0</v>
      </c>
      <c r="E1550" s="35">
        <v>25830.0</v>
      </c>
      <c r="F1550" s="35" t="s">
        <v>11</v>
      </c>
    </row>
    <row r="1551" ht="22.5" customHeight="1">
      <c r="A1551" s="37" t="s">
        <v>3340</v>
      </c>
      <c r="B1551" s="35" t="s">
        <v>3341</v>
      </c>
      <c r="C1551" s="35">
        <v>242.0</v>
      </c>
      <c r="D1551" s="35">
        <v>231.0</v>
      </c>
      <c r="E1551" s="35">
        <v>24290.0</v>
      </c>
      <c r="F1551" s="35" t="s">
        <v>11</v>
      </c>
    </row>
    <row r="1552" ht="22.5" customHeight="1">
      <c r="A1552" s="37" t="s">
        <v>3342</v>
      </c>
      <c r="B1552" s="35" t="s">
        <v>3343</v>
      </c>
      <c r="C1552" s="35">
        <v>172.0</v>
      </c>
      <c r="D1552" s="35">
        <v>150.0</v>
      </c>
      <c r="E1552" s="35">
        <v>24440.0</v>
      </c>
      <c r="F1552" s="35" t="s">
        <v>11</v>
      </c>
    </row>
    <row r="1553" ht="22.5" customHeight="1">
      <c r="A1553" s="37" t="s">
        <v>3344</v>
      </c>
      <c r="B1553" s="35" t="s">
        <v>3345</v>
      </c>
      <c r="C1553" s="35">
        <v>344.0</v>
      </c>
      <c r="D1553" s="35">
        <v>335.0</v>
      </c>
      <c r="E1553" s="35">
        <v>24150.0</v>
      </c>
      <c r="F1553" s="35" t="s">
        <v>11</v>
      </c>
    </row>
    <row r="1554" ht="22.5" customHeight="1">
      <c r="A1554" s="37" t="s">
        <v>3346</v>
      </c>
      <c r="B1554" s="35" t="s">
        <v>3347</v>
      </c>
      <c r="C1554" s="35">
        <v>188.0</v>
      </c>
      <c r="D1554" s="35">
        <v>209.0</v>
      </c>
      <c r="E1554" s="35">
        <v>28940.0</v>
      </c>
      <c r="F1554" s="35" t="s">
        <v>11</v>
      </c>
    </row>
    <row r="1555" ht="22.5" customHeight="1">
      <c r="A1555" s="37" t="s">
        <v>3348</v>
      </c>
      <c r="B1555" s="35" t="s">
        <v>3349</v>
      </c>
      <c r="C1555" s="35">
        <v>145.0</v>
      </c>
      <c r="D1555" s="35">
        <v>143.0</v>
      </c>
      <c r="E1555" s="35">
        <v>27040.0</v>
      </c>
      <c r="F1555" s="35" t="s">
        <v>11</v>
      </c>
    </row>
    <row r="1556" ht="22.5" customHeight="1">
      <c r="A1556" s="37" t="s">
        <v>3350</v>
      </c>
      <c r="B1556" s="35" t="s">
        <v>3351</v>
      </c>
      <c r="C1556" s="35">
        <v>894.0</v>
      </c>
      <c r="D1556" s="35">
        <v>830.0</v>
      </c>
      <c r="E1556" s="35">
        <v>26390.0</v>
      </c>
      <c r="F1556" s="35" t="s">
        <v>11</v>
      </c>
    </row>
    <row r="1557" ht="22.5" customHeight="1">
      <c r="A1557" s="37" t="s">
        <v>3352</v>
      </c>
      <c r="B1557" s="35" t="s">
        <v>3353</v>
      </c>
      <c r="C1557" s="35">
        <v>2971.0</v>
      </c>
      <c r="D1557" s="35">
        <v>2838.0</v>
      </c>
      <c r="E1557" s="35">
        <v>26630.0</v>
      </c>
      <c r="F1557" s="35">
        <v>10.0</v>
      </c>
    </row>
    <row r="1558" ht="22.5" customHeight="1">
      <c r="A1558" s="37" t="s">
        <v>3354</v>
      </c>
      <c r="B1558" s="35" t="s">
        <v>3355</v>
      </c>
      <c r="C1558" s="35">
        <v>323.0</v>
      </c>
      <c r="D1558" s="35">
        <v>305.0</v>
      </c>
      <c r="E1558" s="35">
        <v>26280.0</v>
      </c>
      <c r="F1558" s="35" t="s">
        <v>11</v>
      </c>
    </row>
    <row r="1559" ht="22.5" customHeight="1">
      <c r="A1559" s="37" t="s">
        <v>3356</v>
      </c>
      <c r="B1559" s="35" t="s">
        <v>3357</v>
      </c>
      <c r="C1559" s="35">
        <v>511.0</v>
      </c>
      <c r="D1559" s="35">
        <v>518.0</v>
      </c>
      <c r="E1559" s="35">
        <v>26390.0</v>
      </c>
      <c r="F1559" s="35" t="s">
        <v>11</v>
      </c>
    </row>
    <row r="1560" ht="22.5" customHeight="1">
      <c r="A1560" s="37" t="s">
        <v>3358</v>
      </c>
      <c r="B1560" s="35" t="s">
        <v>3359</v>
      </c>
      <c r="C1560" s="35">
        <v>1949.0</v>
      </c>
      <c r="D1560" s="35">
        <v>1831.0</v>
      </c>
      <c r="E1560" s="35">
        <v>25750.0</v>
      </c>
      <c r="F1560" s="35" t="s">
        <v>11</v>
      </c>
    </row>
    <row r="1561" ht="22.5" customHeight="1">
      <c r="A1561" s="37" t="s">
        <v>3360</v>
      </c>
      <c r="B1561" s="35" t="s">
        <v>3361</v>
      </c>
      <c r="C1561" s="35">
        <v>1145.0</v>
      </c>
      <c r="D1561" s="35">
        <v>1146.0</v>
      </c>
      <c r="E1561" s="35">
        <v>30500.0</v>
      </c>
      <c r="F1561" s="35" t="s">
        <v>11</v>
      </c>
    </row>
    <row r="1562" ht="22.5" customHeight="1">
      <c r="A1562" s="37" t="s">
        <v>3362</v>
      </c>
      <c r="B1562" s="35" t="s">
        <v>3363</v>
      </c>
      <c r="C1562" s="35">
        <v>161.0</v>
      </c>
      <c r="D1562" s="35">
        <v>160.0</v>
      </c>
      <c r="E1562" s="35">
        <v>24220.0</v>
      </c>
      <c r="F1562" s="35" t="s">
        <v>11</v>
      </c>
    </row>
    <row r="1563" ht="22.5" customHeight="1">
      <c r="A1563" s="37" t="s">
        <v>3364</v>
      </c>
      <c r="B1563" s="35" t="s">
        <v>3365</v>
      </c>
      <c r="C1563" s="35">
        <v>503.0</v>
      </c>
      <c r="D1563" s="35">
        <v>483.0</v>
      </c>
      <c r="E1563" s="35">
        <v>23930.0</v>
      </c>
      <c r="F1563" s="35" t="s">
        <v>11</v>
      </c>
    </row>
    <row r="1564" ht="22.5" customHeight="1">
      <c r="A1564" s="37" t="s">
        <v>3366</v>
      </c>
      <c r="B1564" s="35" t="s">
        <v>3367</v>
      </c>
      <c r="C1564" s="35">
        <v>490.0</v>
      </c>
      <c r="D1564" s="35">
        <v>469.0</v>
      </c>
      <c r="E1564" s="35">
        <v>26300.0</v>
      </c>
      <c r="F1564" s="35" t="s">
        <v>11</v>
      </c>
    </row>
    <row r="1565" ht="22.5" customHeight="1">
      <c r="A1565" s="37" t="s">
        <v>3368</v>
      </c>
      <c r="B1565" s="35" t="s">
        <v>3369</v>
      </c>
      <c r="C1565" s="35">
        <v>297.0</v>
      </c>
      <c r="D1565" s="35">
        <v>321.0</v>
      </c>
      <c r="E1565" s="35">
        <v>26800.0</v>
      </c>
      <c r="F1565" s="35" t="s">
        <v>11</v>
      </c>
    </row>
    <row r="1566" ht="22.5" customHeight="1">
      <c r="A1566" s="37" t="s">
        <v>3370</v>
      </c>
      <c r="B1566" s="35" t="s">
        <v>3371</v>
      </c>
      <c r="C1566" s="35">
        <v>782.0</v>
      </c>
      <c r="D1566" s="35">
        <v>741.0</v>
      </c>
      <c r="E1566" s="35">
        <v>29360.0</v>
      </c>
      <c r="F1566" s="35" t="s">
        <v>11</v>
      </c>
    </row>
    <row r="1567" ht="22.5" customHeight="1">
      <c r="A1567" s="37" t="s">
        <v>3372</v>
      </c>
      <c r="B1567" s="35" t="s">
        <v>3373</v>
      </c>
      <c r="C1567" s="35">
        <v>510.0</v>
      </c>
      <c r="D1567" s="35">
        <v>515.0</v>
      </c>
      <c r="E1567" s="35">
        <v>26780.0</v>
      </c>
      <c r="F1567" s="35" t="s">
        <v>11</v>
      </c>
    </row>
    <row r="1568" ht="22.5" customHeight="1">
      <c r="A1568" s="37" t="s">
        <v>3374</v>
      </c>
      <c r="B1568" s="35" t="s">
        <v>3375</v>
      </c>
      <c r="C1568" s="35">
        <v>392.0</v>
      </c>
      <c r="D1568" s="35">
        <v>415.0</v>
      </c>
      <c r="E1568" s="35">
        <v>26250.0</v>
      </c>
      <c r="F1568" s="35" t="s">
        <v>11</v>
      </c>
    </row>
    <row r="1569" ht="22.5" customHeight="1">
      <c r="A1569" s="37" t="s">
        <v>3376</v>
      </c>
      <c r="B1569" s="35" t="s">
        <v>3377</v>
      </c>
      <c r="C1569" s="35">
        <v>228.0</v>
      </c>
      <c r="D1569" s="35">
        <v>222.0</v>
      </c>
      <c r="E1569" s="35">
        <v>24340.0</v>
      </c>
      <c r="F1569" s="35" t="s">
        <v>11</v>
      </c>
    </row>
    <row r="1570" ht="22.5" customHeight="1">
      <c r="A1570" s="37" t="s">
        <v>3378</v>
      </c>
      <c r="B1570" s="35" t="s">
        <v>3379</v>
      </c>
      <c r="C1570" s="35">
        <v>1514.0</v>
      </c>
      <c r="D1570" s="35">
        <v>1393.0</v>
      </c>
      <c r="E1570" s="35">
        <v>26450.0</v>
      </c>
      <c r="F1570" s="35" t="s">
        <v>11</v>
      </c>
    </row>
    <row r="1571" ht="22.5" customHeight="1">
      <c r="A1571" s="37" t="s">
        <v>3380</v>
      </c>
      <c r="B1571" s="35" t="s">
        <v>3381</v>
      </c>
      <c r="C1571" s="35">
        <v>1041.0</v>
      </c>
      <c r="D1571" s="35">
        <v>1125.0</v>
      </c>
      <c r="E1571" s="35">
        <v>28640.0</v>
      </c>
      <c r="F1571" s="35" t="s">
        <v>11</v>
      </c>
    </row>
    <row r="1572" ht="22.5" customHeight="1">
      <c r="A1572" s="37" t="s">
        <v>3382</v>
      </c>
      <c r="B1572" s="35" t="s">
        <v>3383</v>
      </c>
      <c r="C1572" s="35">
        <v>109.0</v>
      </c>
      <c r="D1572" s="35">
        <v>100.0</v>
      </c>
      <c r="E1572" s="35">
        <v>28150.0</v>
      </c>
      <c r="F1572" s="35" t="s">
        <v>11</v>
      </c>
    </row>
    <row r="1573" ht="22.5" customHeight="1">
      <c r="A1573" s="37" t="s">
        <v>3384</v>
      </c>
      <c r="B1573" s="35" t="s">
        <v>3385</v>
      </c>
      <c r="C1573" s="35">
        <v>191.0</v>
      </c>
      <c r="D1573" s="35">
        <v>176.0</v>
      </c>
      <c r="E1573" s="35">
        <v>27450.0</v>
      </c>
      <c r="F1573" s="35" t="s">
        <v>11</v>
      </c>
    </row>
    <row r="1574" ht="22.5" customHeight="1">
      <c r="A1574" s="37" t="s">
        <v>3386</v>
      </c>
      <c r="B1574" s="35" t="s">
        <v>3387</v>
      </c>
      <c r="C1574" s="35">
        <v>536.0</v>
      </c>
      <c r="D1574" s="35">
        <v>542.0</v>
      </c>
      <c r="E1574" s="35">
        <v>25710.0</v>
      </c>
      <c r="F1574" s="35" t="s">
        <v>11</v>
      </c>
    </row>
    <row r="1575" ht="22.5" customHeight="1">
      <c r="A1575" s="37" t="s">
        <v>3388</v>
      </c>
      <c r="B1575" s="35" t="s">
        <v>3389</v>
      </c>
      <c r="C1575" s="35">
        <v>2540.0</v>
      </c>
      <c r="D1575" s="35">
        <v>2649.0</v>
      </c>
      <c r="E1575" s="35">
        <v>27300.0</v>
      </c>
      <c r="F1575" s="35">
        <v>9.0</v>
      </c>
    </row>
    <row r="1576" ht="22.5" customHeight="1">
      <c r="A1576" s="37" t="s">
        <v>3390</v>
      </c>
      <c r="B1576" s="35" t="s">
        <v>3391</v>
      </c>
      <c r="C1576" s="35">
        <v>1662.0</v>
      </c>
      <c r="D1576" s="35">
        <v>1669.0</v>
      </c>
      <c r="E1576" s="35">
        <v>29170.0</v>
      </c>
      <c r="F1576" s="35" t="s">
        <v>11</v>
      </c>
    </row>
    <row r="1577" ht="22.5" customHeight="1">
      <c r="A1577" s="37" t="s">
        <v>3392</v>
      </c>
      <c r="B1577" s="35" t="s">
        <v>3393</v>
      </c>
      <c r="C1577" s="35">
        <v>501.0</v>
      </c>
      <c r="D1577" s="35">
        <v>467.0</v>
      </c>
      <c r="E1577" s="35">
        <v>27400.0</v>
      </c>
      <c r="F1577" s="35" t="s">
        <v>11</v>
      </c>
    </row>
    <row r="1578" ht="22.5" customHeight="1">
      <c r="A1578" s="37" t="s">
        <v>3394</v>
      </c>
      <c r="B1578" s="35" t="s">
        <v>3395</v>
      </c>
      <c r="C1578" s="35">
        <v>297.0</v>
      </c>
      <c r="D1578" s="35">
        <v>288.0</v>
      </c>
      <c r="E1578" s="35">
        <v>26740.0</v>
      </c>
      <c r="F1578" s="35" t="s">
        <v>11</v>
      </c>
    </row>
    <row r="1579" ht="22.5" customHeight="1">
      <c r="A1579" s="37" t="s">
        <v>3396</v>
      </c>
      <c r="B1579" s="35" t="s">
        <v>3397</v>
      </c>
      <c r="C1579" s="35">
        <v>910.0</v>
      </c>
      <c r="D1579" s="35">
        <v>1043.0</v>
      </c>
      <c r="E1579" s="35">
        <v>36590.0</v>
      </c>
      <c r="F1579" s="35" t="s">
        <v>11</v>
      </c>
    </row>
    <row r="1580" ht="22.5" customHeight="1">
      <c r="A1580" s="37" t="s">
        <v>3398</v>
      </c>
      <c r="B1580" s="35" t="s">
        <v>3399</v>
      </c>
      <c r="C1580" s="35">
        <v>10174.0</v>
      </c>
      <c r="D1580" s="35">
        <v>9959.0</v>
      </c>
      <c r="E1580" s="35">
        <v>26560.0</v>
      </c>
      <c r="F1580" s="35">
        <v>12.0</v>
      </c>
    </row>
    <row r="1581" ht="22.5" customHeight="1">
      <c r="A1581" s="37" t="s">
        <v>3400</v>
      </c>
      <c r="B1581" s="35" t="s">
        <v>3401</v>
      </c>
      <c r="C1581" s="35">
        <v>315.0</v>
      </c>
      <c r="D1581" s="35">
        <v>300.0</v>
      </c>
      <c r="E1581" s="35">
        <v>28520.0</v>
      </c>
      <c r="F1581" s="35" t="s">
        <v>11</v>
      </c>
    </row>
    <row r="1582" ht="22.5" customHeight="1">
      <c r="A1582" s="37" t="s">
        <v>3402</v>
      </c>
      <c r="B1582" s="35" t="s">
        <v>3403</v>
      </c>
      <c r="C1582" s="35">
        <v>10863.0</v>
      </c>
      <c r="D1582" s="35">
        <v>10591.0</v>
      </c>
      <c r="E1582" s="35">
        <v>31380.0</v>
      </c>
      <c r="F1582" s="35">
        <v>11.0</v>
      </c>
    </row>
    <row r="1583" ht="22.5" customHeight="1">
      <c r="A1583" s="37" t="s">
        <v>3404</v>
      </c>
      <c r="B1583" s="35" t="s">
        <v>3405</v>
      </c>
      <c r="C1583" s="35">
        <v>3141.0</v>
      </c>
      <c r="D1583" s="35">
        <v>3084.0</v>
      </c>
      <c r="E1583" s="35">
        <v>31850.0</v>
      </c>
      <c r="F1583" s="35">
        <v>6.0</v>
      </c>
    </row>
    <row r="1584" ht="22.5" customHeight="1">
      <c r="A1584" s="37" t="s">
        <v>3406</v>
      </c>
      <c r="B1584" s="35" t="s">
        <v>3407</v>
      </c>
      <c r="C1584" s="35">
        <v>3269.0</v>
      </c>
      <c r="D1584" s="35">
        <v>3338.0</v>
      </c>
      <c r="E1584" s="35">
        <v>25740.0</v>
      </c>
      <c r="F1584" s="35">
        <v>10.0</v>
      </c>
    </row>
    <row r="1585" ht="22.5" customHeight="1">
      <c r="A1585" s="37" t="s">
        <v>3408</v>
      </c>
      <c r="B1585" s="35" t="s">
        <v>3409</v>
      </c>
      <c r="C1585" s="35">
        <v>172.0</v>
      </c>
      <c r="D1585" s="35">
        <v>159.0</v>
      </c>
      <c r="E1585" s="35">
        <v>32490.0</v>
      </c>
      <c r="F1585" s="35" t="s">
        <v>11</v>
      </c>
    </row>
    <row r="1586" ht="22.5" customHeight="1">
      <c r="A1586" s="37" t="s">
        <v>3410</v>
      </c>
      <c r="B1586" s="35" t="s">
        <v>3411</v>
      </c>
      <c r="C1586" s="35">
        <v>507.0</v>
      </c>
      <c r="D1586" s="35">
        <v>471.0</v>
      </c>
      <c r="E1586" s="35">
        <v>29900.0</v>
      </c>
      <c r="F1586" s="35" t="s">
        <v>11</v>
      </c>
    </row>
    <row r="1587" ht="22.5" customHeight="1">
      <c r="A1587" s="37" t="s">
        <v>3412</v>
      </c>
      <c r="B1587" s="35" t="s">
        <v>3413</v>
      </c>
      <c r="C1587" s="35">
        <v>431.0</v>
      </c>
      <c r="D1587" s="35">
        <v>442.0</v>
      </c>
      <c r="E1587" s="35">
        <v>23800.0</v>
      </c>
      <c r="F1587" s="35" t="s">
        <v>11</v>
      </c>
    </row>
    <row r="1588" ht="22.5" customHeight="1">
      <c r="A1588" s="37" t="s">
        <v>3414</v>
      </c>
      <c r="B1588" s="35" t="s">
        <v>3415</v>
      </c>
      <c r="C1588" s="35">
        <v>869.0</v>
      </c>
      <c r="D1588" s="35">
        <v>772.0</v>
      </c>
      <c r="E1588" s="35">
        <v>29480.0</v>
      </c>
      <c r="F1588" s="35" t="s">
        <v>11</v>
      </c>
    </row>
    <row r="1589" ht="22.5" customHeight="1">
      <c r="A1589" s="37" t="s">
        <v>3416</v>
      </c>
      <c r="B1589" s="35" t="s">
        <v>3417</v>
      </c>
      <c r="C1589" s="35">
        <v>425.0</v>
      </c>
      <c r="D1589" s="35">
        <v>399.0</v>
      </c>
      <c r="E1589" s="35">
        <v>29920.0</v>
      </c>
      <c r="F1589" s="35" t="s">
        <v>11</v>
      </c>
    </row>
    <row r="1590" ht="22.5" customHeight="1">
      <c r="A1590" s="37" t="s">
        <v>3418</v>
      </c>
      <c r="B1590" s="35" t="s">
        <v>3419</v>
      </c>
      <c r="C1590" s="35">
        <v>1993.0</v>
      </c>
      <c r="D1590" s="35">
        <v>2036.0</v>
      </c>
      <c r="E1590" s="35">
        <v>27730.0</v>
      </c>
      <c r="F1590" s="35">
        <v>7.0</v>
      </c>
    </row>
    <row r="1591" ht="22.5" customHeight="1">
      <c r="A1591" s="37" t="s">
        <v>3420</v>
      </c>
      <c r="B1591" s="35" t="s">
        <v>3421</v>
      </c>
      <c r="C1591" s="35">
        <v>1199.0</v>
      </c>
      <c r="D1591" s="35">
        <v>1093.0</v>
      </c>
      <c r="E1591" s="35">
        <v>25660.0</v>
      </c>
      <c r="F1591" s="35" t="s">
        <v>11</v>
      </c>
    </row>
    <row r="1592" ht="22.5" customHeight="1">
      <c r="A1592" s="37" t="s">
        <v>3422</v>
      </c>
      <c r="B1592" s="35" t="s">
        <v>3423</v>
      </c>
      <c r="C1592" s="35">
        <v>3291.0</v>
      </c>
      <c r="D1592" s="35">
        <v>3449.0</v>
      </c>
      <c r="E1592" s="35">
        <v>28600.0</v>
      </c>
      <c r="F1592" s="35">
        <v>8.0</v>
      </c>
    </row>
    <row r="1593" ht="22.5" customHeight="1">
      <c r="A1593" s="37" t="s">
        <v>3424</v>
      </c>
      <c r="B1593" s="35" t="s">
        <v>3425</v>
      </c>
      <c r="C1593" s="35">
        <v>236.0</v>
      </c>
      <c r="D1593" s="35">
        <v>252.0</v>
      </c>
      <c r="E1593" s="35">
        <v>28380.0</v>
      </c>
      <c r="F1593" s="35" t="s">
        <v>11</v>
      </c>
    </row>
    <row r="1594" ht="22.5" customHeight="1">
      <c r="A1594" s="37" t="s">
        <v>3426</v>
      </c>
      <c r="B1594" s="35" t="s">
        <v>3427</v>
      </c>
      <c r="C1594" s="35">
        <v>103.0</v>
      </c>
      <c r="D1594" s="35">
        <v>98.0</v>
      </c>
      <c r="E1594" s="35">
        <v>23990.0</v>
      </c>
      <c r="F1594" s="35" t="s">
        <v>11</v>
      </c>
    </row>
    <row r="1595" ht="22.5" customHeight="1">
      <c r="A1595" s="37" t="s">
        <v>3428</v>
      </c>
      <c r="B1595" s="35" t="s">
        <v>3429</v>
      </c>
      <c r="C1595" s="35">
        <v>1556.0</v>
      </c>
      <c r="D1595" s="35">
        <v>1630.0</v>
      </c>
      <c r="E1595" s="35">
        <v>30380.0</v>
      </c>
      <c r="F1595" s="35" t="s">
        <v>11</v>
      </c>
    </row>
    <row r="1596" ht="22.5" customHeight="1">
      <c r="A1596" s="37" t="s">
        <v>3430</v>
      </c>
      <c r="B1596" s="35" t="s">
        <v>3431</v>
      </c>
      <c r="C1596" s="35">
        <v>3977.0</v>
      </c>
      <c r="D1596" s="35">
        <v>3978.0</v>
      </c>
      <c r="E1596" s="35">
        <v>25970.0</v>
      </c>
      <c r="F1596" s="35">
        <v>12.0</v>
      </c>
    </row>
    <row r="1597" ht="22.5" customHeight="1">
      <c r="A1597" s="37" t="s">
        <v>3432</v>
      </c>
      <c r="B1597" s="35" t="s">
        <v>3433</v>
      </c>
      <c r="C1597" s="35">
        <v>2165.0</v>
      </c>
      <c r="D1597" s="35">
        <v>2208.0</v>
      </c>
      <c r="E1597" s="35">
        <v>28230.0</v>
      </c>
      <c r="F1597" s="35">
        <v>7.0</v>
      </c>
    </row>
    <row r="1598" ht="22.5" customHeight="1">
      <c r="A1598" s="37" t="s">
        <v>3434</v>
      </c>
      <c r="B1598" s="35" t="s">
        <v>3435</v>
      </c>
      <c r="C1598" s="35">
        <v>10147.0</v>
      </c>
      <c r="D1598" s="35">
        <v>10564.0</v>
      </c>
      <c r="E1598" s="35">
        <v>23800.0</v>
      </c>
      <c r="F1598" s="35">
        <v>19.0</v>
      </c>
    </row>
    <row r="1599" ht="22.5" customHeight="1">
      <c r="A1599" s="37" t="s">
        <v>3436</v>
      </c>
      <c r="B1599" s="35" t="s">
        <v>3437</v>
      </c>
      <c r="C1599" s="35">
        <v>251.0</v>
      </c>
      <c r="D1599" s="35">
        <v>249.0</v>
      </c>
      <c r="E1599" s="35">
        <v>26090.0</v>
      </c>
      <c r="F1599" s="35" t="s">
        <v>11</v>
      </c>
    </row>
    <row r="1600" ht="22.5" customHeight="1">
      <c r="A1600" s="37" t="s">
        <v>3438</v>
      </c>
      <c r="B1600" s="35" t="s">
        <v>3439</v>
      </c>
      <c r="C1600" s="35">
        <v>40199.0</v>
      </c>
      <c r="D1600" s="35">
        <v>40761.0</v>
      </c>
      <c r="E1600" s="35">
        <v>23310.0</v>
      </c>
      <c r="F1600" s="35">
        <v>24.4</v>
      </c>
    </row>
    <row r="1601" ht="22.5" customHeight="1">
      <c r="A1601" s="37" t="s">
        <v>3440</v>
      </c>
      <c r="B1601" s="35" t="s">
        <v>3441</v>
      </c>
      <c r="C1601" s="35">
        <v>705.0</v>
      </c>
      <c r="D1601" s="35">
        <v>734.0</v>
      </c>
      <c r="E1601" s="35">
        <v>26020.0</v>
      </c>
      <c r="F1601" s="35" t="s">
        <v>11</v>
      </c>
    </row>
    <row r="1602" ht="22.5" customHeight="1">
      <c r="A1602" s="37" t="s">
        <v>3442</v>
      </c>
      <c r="B1602" s="35" t="s">
        <v>3443</v>
      </c>
      <c r="C1602" s="35">
        <v>73.0</v>
      </c>
      <c r="D1602" s="35">
        <v>71.0</v>
      </c>
      <c r="E1602" s="35" t="s">
        <v>11</v>
      </c>
      <c r="F1602" s="35" t="s">
        <v>11</v>
      </c>
    </row>
    <row r="1603" ht="22.5" customHeight="1">
      <c r="A1603" s="37" t="s">
        <v>3444</v>
      </c>
      <c r="B1603" s="35" t="s">
        <v>3445</v>
      </c>
      <c r="C1603" s="35">
        <v>332.0</v>
      </c>
      <c r="D1603" s="35">
        <v>357.0</v>
      </c>
      <c r="E1603" s="35">
        <v>29440.0</v>
      </c>
      <c r="F1603" s="35" t="s">
        <v>11</v>
      </c>
    </row>
    <row r="1604" ht="22.5" customHeight="1">
      <c r="A1604" s="37" t="s">
        <v>3446</v>
      </c>
      <c r="B1604" s="35" t="s">
        <v>3447</v>
      </c>
      <c r="C1604" s="35">
        <v>421.0</v>
      </c>
      <c r="D1604" s="35">
        <v>392.0</v>
      </c>
      <c r="E1604" s="35">
        <v>26270.0</v>
      </c>
      <c r="F1604" s="35" t="s">
        <v>11</v>
      </c>
    </row>
    <row r="1605" ht="22.5" customHeight="1">
      <c r="A1605" s="37" t="s">
        <v>3448</v>
      </c>
      <c r="B1605" s="35" t="s">
        <v>3449</v>
      </c>
      <c r="C1605" s="35">
        <v>906.0</v>
      </c>
      <c r="D1605" s="35">
        <v>870.0</v>
      </c>
      <c r="E1605" s="35">
        <v>23230.0</v>
      </c>
      <c r="F1605" s="35" t="s">
        <v>11</v>
      </c>
    </row>
    <row r="1606" ht="22.5" customHeight="1">
      <c r="A1606" s="37" t="s">
        <v>3450</v>
      </c>
      <c r="B1606" s="35" t="s">
        <v>3451</v>
      </c>
      <c r="C1606" s="35">
        <v>544.0</v>
      </c>
      <c r="D1606" s="35">
        <v>554.0</v>
      </c>
      <c r="E1606" s="35">
        <v>28300.0</v>
      </c>
      <c r="F1606" s="35" t="s">
        <v>11</v>
      </c>
    </row>
    <row r="1607" ht="22.5" customHeight="1">
      <c r="A1607" s="37" t="s">
        <v>3452</v>
      </c>
      <c r="B1607" s="35" t="s">
        <v>3453</v>
      </c>
      <c r="C1607" s="35">
        <v>1062.0</v>
      </c>
      <c r="D1607" s="35">
        <v>1050.0</v>
      </c>
      <c r="E1607" s="35">
        <v>28870.0</v>
      </c>
      <c r="F1607" s="35" t="s">
        <v>11</v>
      </c>
    </row>
    <row r="1608" ht="22.5" customHeight="1">
      <c r="A1608" s="37" t="s">
        <v>3454</v>
      </c>
      <c r="B1608" s="35" t="s">
        <v>3455</v>
      </c>
      <c r="C1608" s="35">
        <v>541.0</v>
      </c>
      <c r="D1608" s="35">
        <v>592.0</v>
      </c>
      <c r="E1608" s="35">
        <v>24480.0</v>
      </c>
      <c r="F1608" s="35" t="s">
        <v>11</v>
      </c>
    </row>
    <row r="1609" ht="22.5" customHeight="1">
      <c r="A1609" s="37" t="s">
        <v>3456</v>
      </c>
      <c r="B1609" s="35" t="s">
        <v>3457</v>
      </c>
      <c r="C1609" s="35">
        <v>205.0</v>
      </c>
      <c r="D1609" s="35">
        <v>210.0</v>
      </c>
      <c r="E1609" s="35">
        <v>24620.0</v>
      </c>
      <c r="F1609" s="35" t="s">
        <v>11</v>
      </c>
    </row>
    <row r="1610" ht="22.5" customHeight="1">
      <c r="A1610" s="37" t="s">
        <v>3458</v>
      </c>
      <c r="B1610" s="35" t="s">
        <v>3459</v>
      </c>
      <c r="C1610" s="35">
        <v>821.0</v>
      </c>
      <c r="D1610" s="35">
        <v>809.0</v>
      </c>
      <c r="E1610" s="35">
        <v>27940.0</v>
      </c>
      <c r="F1610" s="35" t="s">
        <v>11</v>
      </c>
    </row>
    <row r="1611" ht="22.5" customHeight="1">
      <c r="A1611" s="37" t="s">
        <v>3460</v>
      </c>
      <c r="B1611" s="35" t="s">
        <v>3461</v>
      </c>
      <c r="C1611" s="35">
        <v>602.0</v>
      </c>
      <c r="D1611" s="35">
        <v>581.0</v>
      </c>
      <c r="E1611" s="35">
        <v>36890.0</v>
      </c>
      <c r="F1611" s="35" t="s">
        <v>11</v>
      </c>
    </row>
    <row r="1612" ht="22.5" customHeight="1">
      <c r="A1612" s="37" t="s">
        <v>3462</v>
      </c>
      <c r="B1612" s="35" t="s">
        <v>3463</v>
      </c>
      <c r="C1612" s="35">
        <v>181.0</v>
      </c>
      <c r="D1612" s="35">
        <v>171.0</v>
      </c>
      <c r="E1612" s="35">
        <v>27000.0</v>
      </c>
      <c r="F1612" s="35" t="s">
        <v>11</v>
      </c>
    </row>
    <row r="1613" ht="22.5" customHeight="1">
      <c r="A1613" s="37" t="s">
        <v>3464</v>
      </c>
      <c r="B1613" s="35" t="s">
        <v>3465</v>
      </c>
      <c r="C1613" s="35">
        <v>3931.0</v>
      </c>
      <c r="D1613" s="35">
        <v>3915.0</v>
      </c>
      <c r="E1613" s="35">
        <v>37040.0</v>
      </c>
      <c r="F1613" s="35">
        <v>6.0</v>
      </c>
    </row>
    <row r="1614" ht="22.5" customHeight="1">
      <c r="A1614" s="37" t="s">
        <v>3466</v>
      </c>
      <c r="B1614" s="35" t="s">
        <v>3467</v>
      </c>
      <c r="C1614" s="35">
        <v>809.0</v>
      </c>
      <c r="D1614" s="35">
        <v>803.0</v>
      </c>
      <c r="E1614" s="35">
        <v>27390.0</v>
      </c>
      <c r="F1614" s="35" t="s">
        <v>11</v>
      </c>
    </row>
    <row r="1615" ht="22.5" customHeight="1">
      <c r="A1615" s="37" t="s">
        <v>3468</v>
      </c>
      <c r="B1615" s="35" t="s">
        <v>3469</v>
      </c>
      <c r="C1615" s="35">
        <v>202.0</v>
      </c>
      <c r="D1615" s="35">
        <v>225.0</v>
      </c>
      <c r="E1615" s="35">
        <v>24950.0</v>
      </c>
      <c r="F1615" s="35" t="s">
        <v>11</v>
      </c>
    </row>
    <row r="1616" ht="22.5" customHeight="1">
      <c r="A1616" s="37" t="s">
        <v>3470</v>
      </c>
      <c r="B1616" s="35" t="s">
        <v>3471</v>
      </c>
      <c r="C1616" s="35">
        <v>35657.0</v>
      </c>
      <c r="D1616" s="35">
        <v>36301.0</v>
      </c>
      <c r="E1616" s="35">
        <v>16820.0</v>
      </c>
      <c r="F1616" s="35">
        <v>43.5</v>
      </c>
    </row>
    <row r="1617" ht="22.5" customHeight="1">
      <c r="A1617" s="37" t="s">
        <v>3472</v>
      </c>
      <c r="B1617" s="35" t="s">
        <v>3473</v>
      </c>
      <c r="C1617" s="35">
        <v>15090.0</v>
      </c>
      <c r="D1617" s="35">
        <v>14351.0</v>
      </c>
      <c r="E1617" s="35">
        <v>25750.0</v>
      </c>
      <c r="F1617" s="35">
        <v>13.0</v>
      </c>
    </row>
    <row r="1618" ht="22.5" customHeight="1">
      <c r="A1618" s="37" t="s">
        <v>3474</v>
      </c>
      <c r="B1618" s="35" t="s">
        <v>3475</v>
      </c>
      <c r="C1618" s="35">
        <v>448.0</v>
      </c>
      <c r="D1618" s="35">
        <v>435.0</v>
      </c>
      <c r="E1618" s="35">
        <v>28390.0</v>
      </c>
      <c r="F1618" s="35" t="s">
        <v>11</v>
      </c>
    </row>
    <row r="1619" ht="22.5" customHeight="1">
      <c r="A1619" s="37" t="s">
        <v>3476</v>
      </c>
      <c r="B1619" s="35" t="s">
        <v>3477</v>
      </c>
      <c r="C1619" s="35">
        <v>3535.0</v>
      </c>
      <c r="D1619" s="35">
        <v>3462.0</v>
      </c>
      <c r="E1619" s="35">
        <v>23190.0</v>
      </c>
      <c r="F1619" s="35">
        <v>20.0</v>
      </c>
    </row>
    <row r="1620" ht="22.5" customHeight="1">
      <c r="A1620" s="37" t="s">
        <v>3478</v>
      </c>
      <c r="B1620" s="35" t="s">
        <v>3479</v>
      </c>
      <c r="C1620" s="35">
        <v>147.0</v>
      </c>
      <c r="D1620" s="35">
        <v>159.0</v>
      </c>
      <c r="E1620" s="35">
        <v>24490.0</v>
      </c>
      <c r="F1620" s="35" t="s">
        <v>11</v>
      </c>
    </row>
    <row r="1621" ht="22.5" customHeight="1">
      <c r="A1621" s="37" t="s">
        <v>3480</v>
      </c>
      <c r="B1621" s="35" t="s">
        <v>3481</v>
      </c>
      <c r="C1621" s="35">
        <v>491.0</v>
      </c>
      <c r="D1621" s="35">
        <v>488.0</v>
      </c>
      <c r="E1621" s="35">
        <v>25730.0</v>
      </c>
      <c r="F1621" s="35" t="s">
        <v>11</v>
      </c>
    </row>
    <row r="1622" ht="22.5" customHeight="1">
      <c r="A1622" s="37" t="s">
        <v>3482</v>
      </c>
      <c r="B1622" s="35" t="s">
        <v>3483</v>
      </c>
      <c r="C1622" s="35">
        <v>935.0</v>
      </c>
      <c r="D1622" s="35">
        <v>917.0</v>
      </c>
      <c r="E1622" s="35">
        <v>24950.0</v>
      </c>
      <c r="F1622" s="35" t="s">
        <v>11</v>
      </c>
    </row>
    <row r="1623" ht="22.5" customHeight="1">
      <c r="A1623" s="37" t="s">
        <v>3484</v>
      </c>
      <c r="B1623" s="35" t="s">
        <v>3485</v>
      </c>
      <c r="C1623" s="35">
        <v>182.0</v>
      </c>
      <c r="D1623" s="35">
        <v>178.0</v>
      </c>
      <c r="E1623" s="35">
        <v>24480.0</v>
      </c>
      <c r="F1623" s="35" t="s">
        <v>11</v>
      </c>
    </row>
    <row r="1624" ht="22.5" customHeight="1">
      <c r="A1624" s="37" t="s">
        <v>3486</v>
      </c>
      <c r="B1624" s="35" t="s">
        <v>3487</v>
      </c>
      <c r="C1624" s="35">
        <v>266.0</v>
      </c>
      <c r="D1624" s="35">
        <v>231.0</v>
      </c>
      <c r="E1624" s="35">
        <v>29050.0</v>
      </c>
      <c r="F1624" s="35" t="s">
        <v>11</v>
      </c>
    </row>
    <row r="1625" ht="22.5" customHeight="1">
      <c r="A1625" s="37" t="s">
        <v>3488</v>
      </c>
      <c r="B1625" s="35" t="s">
        <v>3489</v>
      </c>
      <c r="C1625" s="35">
        <v>207.0</v>
      </c>
      <c r="D1625" s="35">
        <v>203.0</v>
      </c>
      <c r="E1625" s="35">
        <v>30390.0</v>
      </c>
      <c r="F1625" s="35" t="s">
        <v>11</v>
      </c>
    </row>
    <row r="1626" ht="22.5" customHeight="1">
      <c r="A1626" s="37" t="s">
        <v>3490</v>
      </c>
      <c r="B1626" s="35" t="s">
        <v>3491</v>
      </c>
      <c r="C1626" s="35">
        <v>1098.0</v>
      </c>
      <c r="D1626" s="35">
        <v>1092.0</v>
      </c>
      <c r="E1626" s="35">
        <v>30860.0</v>
      </c>
      <c r="F1626" s="35" t="s">
        <v>11</v>
      </c>
    </row>
    <row r="1627" ht="22.5" customHeight="1">
      <c r="A1627" s="37" t="s">
        <v>3492</v>
      </c>
      <c r="B1627" s="35" t="s">
        <v>3493</v>
      </c>
      <c r="C1627" s="35">
        <v>248.0</v>
      </c>
      <c r="D1627" s="35">
        <v>274.0</v>
      </c>
      <c r="E1627" s="35">
        <v>27830.0</v>
      </c>
      <c r="F1627" s="35" t="s">
        <v>11</v>
      </c>
    </row>
    <row r="1628" ht="22.5" customHeight="1">
      <c r="A1628" s="37" t="s">
        <v>3494</v>
      </c>
      <c r="B1628" s="35" t="s">
        <v>3495</v>
      </c>
      <c r="C1628" s="35">
        <v>943.0</v>
      </c>
      <c r="D1628" s="35">
        <v>987.0</v>
      </c>
      <c r="E1628" s="35">
        <v>25450.0</v>
      </c>
      <c r="F1628" s="35" t="s">
        <v>11</v>
      </c>
    </row>
    <row r="1629" ht="22.5" customHeight="1">
      <c r="A1629" s="37" t="s">
        <v>3496</v>
      </c>
      <c r="B1629" s="35" t="s">
        <v>3497</v>
      </c>
      <c r="C1629" s="35">
        <v>2192.0</v>
      </c>
      <c r="D1629" s="35">
        <v>2042.0</v>
      </c>
      <c r="E1629" s="35">
        <v>24620.0</v>
      </c>
      <c r="F1629" s="35" t="s">
        <v>11</v>
      </c>
    </row>
    <row r="1630" ht="22.5" customHeight="1">
      <c r="A1630" s="37" t="s">
        <v>3498</v>
      </c>
      <c r="B1630" s="35" t="s">
        <v>3499</v>
      </c>
      <c r="C1630" s="35">
        <v>975.0</v>
      </c>
      <c r="D1630" s="35">
        <v>949.0</v>
      </c>
      <c r="E1630" s="35">
        <v>26240.0</v>
      </c>
      <c r="F1630" s="35" t="s">
        <v>11</v>
      </c>
    </row>
    <row r="1631" ht="22.5" customHeight="1">
      <c r="A1631" s="37" t="s">
        <v>3500</v>
      </c>
      <c r="B1631" s="35" t="s">
        <v>3501</v>
      </c>
      <c r="C1631" s="35">
        <v>291.0</v>
      </c>
      <c r="D1631" s="35">
        <v>323.0</v>
      </c>
      <c r="E1631" s="35">
        <v>29740.0</v>
      </c>
      <c r="F1631" s="35" t="s">
        <v>11</v>
      </c>
    </row>
    <row r="1632" ht="22.5" customHeight="1">
      <c r="A1632" s="37" t="s">
        <v>3502</v>
      </c>
      <c r="B1632" s="35" t="s">
        <v>3503</v>
      </c>
      <c r="C1632" s="35">
        <v>637.0</v>
      </c>
      <c r="D1632" s="35">
        <v>620.0</v>
      </c>
      <c r="E1632" s="35">
        <v>25530.0</v>
      </c>
      <c r="F1632" s="35" t="s">
        <v>11</v>
      </c>
    </row>
    <row r="1633" ht="22.5" customHeight="1">
      <c r="A1633" s="37" t="s">
        <v>3504</v>
      </c>
      <c r="B1633" s="35" t="s">
        <v>3505</v>
      </c>
      <c r="C1633" s="35">
        <v>219.0</v>
      </c>
      <c r="D1633" s="35">
        <v>215.0</v>
      </c>
      <c r="E1633" s="35">
        <v>25130.0</v>
      </c>
      <c r="F1633" s="35" t="s">
        <v>11</v>
      </c>
    </row>
    <row r="1634" ht="22.5" customHeight="1">
      <c r="A1634" s="37" t="s">
        <v>3506</v>
      </c>
      <c r="B1634" s="35" t="s">
        <v>3507</v>
      </c>
      <c r="C1634" s="35">
        <v>222.0</v>
      </c>
      <c r="D1634" s="35">
        <v>198.0</v>
      </c>
      <c r="E1634" s="35">
        <v>25460.0</v>
      </c>
      <c r="F1634" s="35" t="s">
        <v>11</v>
      </c>
    </row>
    <row r="1635" ht="22.5" customHeight="1">
      <c r="A1635" s="37" t="s">
        <v>3508</v>
      </c>
      <c r="B1635" s="35" t="s">
        <v>3509</v>
      </c>
      <c r="C1635" s="35">
        <v>253.0</v>
      </c>
      <c r="D1635" s="35">
        <v>239.0</v>
      </c>
      <c r="E1635" s="35">
        <v>24100.0</v>
      </c>
      <c r="F1635" s="35" t="s">
        <v>11</v>
      </c>
    </row>
    <row r="1636" ht="22.5" customHeight="1">
      <c r="A1636" s="37" t="s">
        <v>3510</v>
      </c>
      <c r="B1636" s="35" t="s">
        <v>3511</v>
      </c>
      <c r="C1636" s="35">
        <v>473.0</v>
      </c>
      <c r="D1636" s="35">
        <v>537.0</v>
      </c>
      <c r="E1636" s="35">
        <v>29610.0</v>
      </c>
      <c r="F1636" s="35" t="s">
        <v>11</v>
      </c>
    </row>
    <row r="1637" ht="22.5" customHeight="1">
      <c r="A1637" s="37" t="s">
        <v>3512</v>
      </c>
      <c r="B1637" s="35" t="s">
        <v>3513</v>
      </c>
      <c r="C1637" s="35">
        <v>1001.0</v>
      </c>
      <c r="D1637" s="35">
        <v>1080.0</v>
      </c>
      <c r="E1637" s="35">
        <v>29190.0</v>
      </c>
      <c r="F1637" s="35" t="s">
        <v>11</v>
      </c>
    </row>
    <row r="1638" ht="22.5" customHeight="1">
      <c r="A1638" s="37" t="s">
        <v>3514</v>
      </c>
      <c r="B1638" s="35" t="s">
        <v>3515</v>
      </c>
      <c r="C1638" s="35">
        <v>818.0</v>
      </c>
      <c r="D1638" s="35">
        <v>987.0</v>
      </c>
      <c r="E1638" s="35">
        <v>29500.0</v>
      </c>
      <c r="F1638" s="35" t="s">
        <v>11</v>
      </c>
    </row>
    <row r="1639" ht="22.5" customHeight="1">
      <c r="A1639" s="37" t="s">
        <v>3516</v>
      </c>
      <c r="B1639" s="35" t="s">
        <v>3517</v>
      </c>
      <c r="C1639" s="35">
        <v>401.0</v>
      </c>
      <c r="D1639" s="35">
        <v>376.0</v>
      </c>
      <c r="E1639" s="35">
        <v>26210.0</v>
      </c>
      <c r="F1639" s="35" t="s">
        <v>11</v>
      </c>
    </row>
    <row r="1640" ht="22.5" customHeight="1">
      <c r="A1640" s="37" t="s">
        <v>3518</v>
      </c>
      <c r="B1640" s="35" t="s">
        <v>3519</v>
      </c>
      <c r="C1640" s="35">
        <v>248.0</v>
      </c>
      <c r="D1640" s="35">
        <v>250.0</v>
      </c>
      <c r="E1640" s="35">
        <v>26800.0</v>
      </c>
      <c r="F1640" s="35" t="s">
        <v>11</v>
      </c>
    </row>
    <row r="1641" ht="22.5" customHeight="1">
      <c r="A1641" s="37" t="s">
        <v>3520</v>
      </c>
      <c r="B1641" s="35" t="s">
        <v>3521</v>
      </c>
      <c r="C1641" s="35">
        <v>311.0</v>
      </c>
      <c r="D1641" s="35">
        <v>310.0</v>
      </c>
      <c r="E1641" s="35">
        <v>22730.0</v>
      </c>
      <c r="F1641" s="35" t="s">
        <v>11</v>
      </c>
    </row>
    <row r="1642" ht="22.5" customHeight="1">
      <c r="A1642" s="37" t="s">
        <v>3522</v>
      </c>
      <c r="B1642" s="35" t="s">
        <v>3523</v>
      </c>
      <c r="C1642" s="35">
        <v>240.0</v>
      </c>
      <c r="D1642" s="35">
        <v>248.0</v>
      </c>
      <c r="E1642" s="35">
        <v>25140.0</v>
      </c>
      <c r="F1642" s="35" t="s">
        <v>11</v>
      </c>
    </row>
    <row r="1643" ht="22.5" customHeight="1">
      <c r="A1643" s="37" t="s">
        <v>3524</v>
      </c>
      <c r="B1643" s="35" t="s">
        <v>3525</v>
      </c>
      <c r="C1643" s="35">
        <v>445.0</v>
      </c>
      <c r="D1643" s="35">
        <v>412.0</v>
      </c>
      <c r="E1643" s="35">
        <v>28810.0</v>
      </c>
      <c r="F1643" s="35" t="s">
        <v>11</v>
      </c>
    </row>
    <row r="1644" ht="22.5" customHeight="1">
      <c r="A1644" s="37" t="s">
        <v>3526</v>
      </c>
      <c r="B1644" s="35" t="s">
        <v>3527</v>
      </c>
      <c r="C1644" s="35">
        <v>312.0</v>
      </c>
      <c r="D1644" s="35">
        <v>297.0</v>
      </c>
      <c r="E1644" s="35">
        <v>25730.0</v>
      </c>
      <c r="F1644" s="35" t="s">
        <v>11</v>
      </c>
    </row>
    <row r="1645" ht="22.5" customHeight="1">
      <c r="A1645" s="37" t="s">
        <v>3528</v>
      </c>
      <c r="B1645" s="35" t="s">
        <v>3529</v>
      </c>
      <c r="C1645" s="35">
        <v>53.0</v>
      </c>
      <c r="D1645" s="35">
        <v>48.0</v>
      </c>
      <c r="E1645" s="35" t="s">
        <v>11</v>
      </c>
      <c r="F1645" s="35" t="s">
        <v>11</v>
      </c>
    </row>
    <row r="1646" ht="22.5" customHeight="1">
      <c r="A1646" s="37" t="s">
        <v>3530</v>
      </c>
      <c r="B1646" s="35" t="s">
        <v>3531</v>
      </c>
      <c r="C1646" s="35">
        <v>862.0</v>
      </c>
      <c r="D1646" s="35">
        <v>922.0</v>
      </c>
      <c r="E1646" s="35">
        <v>28830.0</v>
      </c>
      <c r="F1646" s="35" t="s">
        <v>11</v>
      </c>
    </row>
    <row r="1647" ht="22.5" customHeight="1">
      <c r="A1647" s="37" t="s">
        <v>3532</v>
      </c>
      <c r="B1647" s="35" t="s">
        <v>3533</v>
      </c>
      <c r="C1647" s="35">
        <v>287.0</v>
      </c>
      <c r="D1647" s="35">
        <v>283.0</v>
      </c>
      <c r="E1647" s="35">
        <v>29160.0</v>
      </c>
      <c r="F1647" s="35" t="s">
        <v>11</v>
      </c>
    </row>
    <row r="1648" ht="22.5" customHeight="1">
      <c r="A1648" s="37" t="s">
        <v>3534</v>
      </c>
      <c r="B1648" s="35" t="s">
        <v>3535</v>
      </c>
      <c r="C1648" s="35">
        <v>136.0</v>
      </c>
      <c r="D1648" s="35">
        <v>121.0</v>
      </c>
      <c r="E1648" s="35">
        <v>33230.0</v>
      </c>
      <c r="F1648" s="35" t="s">
        <v>11</v>
      </c>
    </row>
    <row r="1649" ht="22.5" customHeight="1">
      <c r="A1649" s="37" t="s">
        <v>3536</v>
      </c>
      <c r="B1649" s="35" t="s">
        <v>3537</v>
      </c>
      <c r="C1649" s="35">
        <v>529.0</v>
      </c>
      <c r="D1649" s="35">
        <v>544.0</v>
      </c>
      <c r="E1649" s="35">
        <v>28130.0</v>
      </c>
      <c r="F1649" s="35" t="s">
        <v>11</v>
      </c>
    </row>
    <row r="1650" ht="22.5" customHeight="1">
      <c r="A1650" s="37" t="s">
        <v>3538</v>
      </c>
      <c r="B1650" s="35" t="s">
        <v>3539</v>
      </c>
      <c r="C1650" s="35">
        <v>244.0</v>
      </c>
      <c r="D1650" s="35">
        <v>281.0</v>
      </c>
      <c r="E1650" s="35">
        <v>29150.0</v>
      </c>
      <c r="F1650" s="35" t="s">
        <v>11</v>
      </c>
    </row>
    <row r="1651" ht="22.5" customHeight="1">
      <c r="A1651" s="37" t="s">
        <v>3540</v>
      </c>
      <c r="B1651" s="35" t="s">
        <v>3541</v>
      </c>
      <c r="C1651" s="35">
        <v>606.0</v>
      </c>
      <c r="D1651" s="35">
        <v>598.0</v>
      </c>
      <c r="E1651" s="35">
        <v>25930.0</v>
      </c>
      <c r="F1651" s="35" t="s">
        <v>11</v>
      </c>
    </row>
    <row r="1652" ht="22.5" customHeight="1">
      <c r="A1652" s="37" t="s">
        <v>3542</v>
      </c>
      <c r="B1652" s="35" t="s">
        <v>3543</v>
      </c>
      <c r="C1652" s="35">
        <v>1609.0</v>
      </c>
      <c r="D1652" s="35">
        <v>1603.0</v>
      </c>
      <c r="E1652" s="35">
        <v>27640.0</v>
      </c>
      <c r="F1652" s="35" t="s">
        <v>11</v>
      </c>
    </row>
    <row r="1653" ht="22.5" customHeight="1">
      <c r="A1653" s="37" t="s">
        <v>3544</v>
      </c>
      <c r="B1653" s="35" t="s">
        <v>3545</v>
      </c>
      <c r="C1653" s="35">
        <v>1007.0</v>
      </c>
      <c r="D1653" s="35">
        <v>906.0</v>
      </c>
      <c r="E1653" s="35">
        <v>33480.0</v>
      </c>
      <c r="F1653" s="35" t="s">
        <v>11</v>
      </c>
    </row>
    <row r="1654" ht="22.5" customHeight="1">
      <c r="A1654" s="37" t="s">
        <v>3546</v>
      </c>
      <c r="B1654" s="35" t="s">
        <v>3547</v>
      </c>
      <c r="C1654" s="35">
        <v>207.0</v>
      </c>
      <c r="D1654" s="35">
        <v>172.0</v>
      </c>
      <c r="E1654" s="35">
        <v>25580.0</v>
      </c>
      <c r="F1654" s="35" t="s">
        <v>11</v>
      </c>
    </row>
    <row r="1655" ht="22.5" customHeight="1">
      <c r="A1655" s="37" t="s">
        <v>3548</v>
      </c>
      <c r="B1655" s="35" t="s">
        <v>3549</v>
      </c>
      <c r="C1655" s="35">
        <v>607.0</v>
      </c>
      <c r="D1655" s="35">
        <v>589.0</v>
      </c>
      <c r="E1655" s="35">
        <v>29460.0</v>
      </c>
      <c r="F1655" s="35" t="s">
        <v>11</v>
      </c>
    </row>
    <row r="1656" ht="22.5" customHeight="1">
      <c r="A1656" s="37" t="s">
        <v>3550</v>
      </c>
      <c r="B1656" s="35" t="s">
        <v>3551</v>
      </c>
      <c r="C1656" s="35">
        <v>183.0</v>
      </c>
      <c r="D1656" s="35">
        <v>185.0</v>
      </c>
      <c r="E1656" s="35">
        <v>26950.0</v>
      </c>
      <c r="F1656" s="35" t="s">
        <v>11</v>
      </c>
    </row>
    <row r="1657" ht="22.5" customHeight="1">
      <c r="A1657" s="37" t="s">
        <v>3552</v>
      </c>
      <c r="B1657" s="35" t="s">
        <v>3553</v>
      </c>
      <c r="C1657" s="35">
        <v>217.0</v>
      </c>
      <c r="D1657" s="35">
        <v>226.0</v>
      </c>
      <c r="E1657" s="35">
        <v>27960.0</v>
      </c>
      <c r="F1657" s="35" t="s">
        <v>11</v>
      </c>
    </row>
    <row r="1658" ht="22.5" customHeight="1">
      <c r="A1658" s="37" t="s">
        <v>3554</v>
      </c>
      <c r="B1658" s="35" t="s">
        <v>3555</v>
      </c>
      <c r="C1658" s="35">
        <v>1573.0</v>
      </c>
      <c r="D1658" s="35">
        <v>1623.0</v>
      </c>
      <c r="E1658" s="35">
        <v>29900.0</v>
      </c>
      <c r="F1658" s="35" t="s">
        <v>11</v>
      </c>
    </row>
    <row r="1659" ht="22.5" customHeight="1">
      <c r="A1659" s="37" t="s">
        <v>3556</v>
      </c>
      <c r="B1659" s="35" t="s">
        <v>3557</v>
      </c>
      <c r="C1659" s="35">
        <v>165.0</v>
      </c>
      <c r="D1659" s="35">
        <v>176.0</v>
      </c>
      <c r="E1659" s="35">
        <v>22770.0</v>
      </c>
      <c r="F1659" s="35" t="s">
        <v>11</v>
      </c>
    </row>
    <row r="1660" ht="22.5" customHeight="1">
      <c r="A1660" s="37" t="s">
        <v>3558</v>
      </c>
      <c r="B1660" s="35" t="s">
        <v>3559</v>
      </c>
      <c r="C1660" s="35">
        <v>505.0</v>
      </c>
      <c r="D1660" s="35">
        <v>507.0</v>
      </c>
      <c r="E1660" s="35">
        <v>25330.0</v>
      </c>
      <c r="F1660" s="35" t="s">
        <v>11</v>
      </c>
    </row>
    <row r="1661" ht="22.5" customHeight="1">
      <c r="A1661" s="37" t="s">
        <v>3560</v>
      </c>
      <c r="B1661" s="35" t="s">
        <v>3561</v>
      </c>
      <c r="C1661" s="35">
        <v>720.0</v>
      </c>
      <c r="D1661" s="35">
        <v>732.0</v>
      </c>
      <c r="E1661" s="35">
        <v>21530.0</v>
      </c>
      <c r="F1661" s="35" t="s">
        <v>11</v>
      </c>
    </row>
    <row r="1662" ht="22.5" customHeight="1">
      <c r="A1662" s="37" t="s">
        <v>3562</v>
      </c>
      <c r="B1662" s="35" t="s">
        <v>3563</v>
      </c>
      <c r="C1662" s="35">
        <v>560.0</v>
      </c>
      <c r="D1662" s="35">
        <v>505.0</v>
      </c>
      <c r="E1662" s="35">
        <v>28140.0</v>
      </c>
      <c r="F1662" s="35" t="s">
        <v>11</v>
      </c>
    </row>
    <row r="1663" ht="22.5" customHeight="1">
      <c r="A1663" s="37" t="s">
        <v>3564</v>
      </c>
      <c r="B1663" s="35" t="s">
        <v>3565</v>
      </c>
      <c r="C1663" s="35">
        <v>3752.0</v>
      </c>
      <c r="D1663" s="35">
        <v>3664.0</v>
      </c>
      <c r="E1663" s="35">
        <v>25890.0</v>
      </c>
      <c r="F1663" s="35">
        <v>9.0</v>
      </c>
    </row>
    <row r="1664" ht="22.5" customHeight="1">
      <c r="A1664" s="37" t="s">
        <v>3566</v>
      </c>
      <c r="B1664" s="35" t="s">
        <v>3567</v>
      </c>
      <c r="C1664" s="35">
        <v>152.0</v>
      </c>
      <c r="D1664" s="35">
        <v>180.0</v>
      </c>
      <c r="E1664" s="35">
        <v>24740.0</v>
      </c>
      <c r="F1664" s="35" t="s">
        <v>11</v>
      </c>
    </row>
    <row r="1665" ht="22.5" customHeight="1">
      <c r="A1665" s="37" t="s">
        <v>3568</v>
      </c>
      <c r="B1665" s="35" t="s">
        <v>3569</v>
      </c>
      <c r="C1665" s="35">
        <v>774.0</v>
      </c>
      <c r="D1665" s="35">
        <v>844.0</v>
      </c>
      <c r="E1665" s="35">
        <v>28000.0</v>
      </c>
      <c r="F1665" s="35" t="s">
        <v>11</v>
      </c>
    </row>
    <row r="1666" ht="22.5" customHeight="1">
      <c r="A1666" s="37" t="s">
        <v>3570</v>
      </c>
      <c r="B1666" s="35" t="s">
        <v>3571</v>
      </c>
      <c r="C1666" s="35">
        <v>421.0</v>
      </c>
      <c r="D1666" s="35">
        <v>411.0</v>
      </c>
      <c r="E1666" s="35">
        <v>30510.0</v>
      </c>
      <c r="F1666" s="35" t="s">
        <v>11</v>
      </c>
    </row>
    <row r="1667" ht="22.5" customHeight="1">
      <c r="A1667" s="37" t="s">
        <v>3572</v>
      </c>
      <c r="B1667" s="35" t="s">
        <v>3573</v>
      </c>
      <c r="C1667" s="35">
        <v>224.0</v>
      </c>
      <c r="D1667" s="35">
        <v>209.0</v>
      </c>
      <c r="E1667" s="35">
        <v>24710.0</v>
      </c>
      <c r="F1667" s="35" t="s">
        <v>11</v>
      </c>
    </row>
    <row r="1668" ht="22.5" customHeight="1">
      <c r="A1668" s="37" t="s">
        <v>3574</v>
      </c>
      <c r="B1668" s="35" t="s">
        <v>3575</v>
      </c>
      <c r="C1668" s="35">
        <v>471.0</v>
      </c>
      <c r="D1668" s="35">
        <v>473.0</v>
      </c>
      <c r="E1668" s="35">
        <v>30970.0</v>
      </c>
      <c r="F1668" s="35" t="s">
        <v>11</v>
      </c>
    </row>
    <row r="1669" ht="22.5" customHeight="1">
      <c r="A1669" s="37" t="s">
        <v>3576</v>
      </c>
      <c r="B1669" s="35" t="s">
        <v>3577</v>
      </c>
      <c r="C1669" s="35">
        <v>220.0</v>
      </c>
      <c r="D1669" s="35">
        <v>233.0</v>
      </c>
      <c r="E1669" s="35">
        <v>29760.0</v>
      </c>
      <c r="F1669" s="35" t="s">
        <v>11</v>
      </c>
    </row>
    <row r="1670" ht="22.5" customHeight="1">
      <c r="A1670" s="37" t="s">
        <v>3578</v>
      </c>
      <c r="B1670" s="35" t="s">
        <v>3579</v>
      </c>
      <c r="C1670" s="35">
        <v>522.0</v>
      </c>
      <c r="D1670" s="35">
        <v>531.0</v>
      </c>
      <c r="E1670" s="35">
        <v>28250.0</v>
      </c>
      <c r="F1670" s="35" t="s">
        <v>11</v>
      </c>
    </row>
    <row r="1671" ht="22.5" customHeight="1">
      <c r="A1671" s="37" t="s">
        <v>3580</v>
      </c>
      <c r="B1671" s="35" t="s">
        <v>3581</v>
      </c>
      <c r="C1671" s="35">
        <v>427.0</v>
      </c>
      <c r="D1671" s="35">
        <v>465.0</v>
      </c>
      <c r="E1671" s="35">
        <v>30590.0</v>
      </c>
      <c r="F1671" s="35" t="s">
        <v>11</v>
      </c>
    </row>
    <row r="1672" ht="22.5" customHeight="1">
      <c r="A1672" s="37" t="s">
        <v>3582</v>
      </c>
      <c r="B1672" s="35" t="s">
        <v>3583</v>
      </c>
      <c r="C1672" s="35">
        <v>480.0</v>
      </c>
      <c r="D1672" s="35">
        <v>435.0</v>
      </c>
      <c r="E1672" s="35">
        <v>24560.0</v>
      </c>
      <c r="F1672" s="35" t="s">
        <v>11</v>
      </c>
    </row>
    <row r="1673" ht="22.5" customHeight="1">
      <c r="A1673" s="37" t="s">
        <v>3584</v>
      </c>
      <c r="B1673" s="35" t="s">
        <v>3585</v>
      </c>
      <c r="C1673" s="35">
        <v>1404.0</v>
      </c>
      <c r="D1673" s="35">
        <v>1437.0</v>
      </c>
      <c r="E1673" s="35">
        <v>20730.0</v>
      </c>
      <c r="F1673" s="35" t="s">
        <v>11</v>
      </c>
    </row>
    <row r="1674" ht="22.5" customHeight="1">
      <c r="A1674" s="37" t="s">
        <v>3586</v>
      </c>
      <c r="B1674" s="35" t="s">
        <v>3587</v>
      </c>
      <c r="C1674" s="35">
        <v>2515.0</v>
      </c>
      <c r="D1674" s="35">
        <v>2514.0</v>
      </c>
      <c r="E1674" s="35">
        <v>27280.0</v>
      </c>
      <c r="F1674" s="35">
        <v>9.0</v>
      </c>
    </row>
    <row r="1675" ht="22.5" customHeight="1">
      <c r="A1675" s="37" t="s">
        <v>3588</v>
      </c>
      <c r="B1675" s="35" t="s">
        <v>3589</v>
      </c>
      <c r="C1675" s="35">
        <v>659.0</v>
      </c>
      <c r="D1675" s="35">
        <v>684.0</v>
      </c>
      <c r="E1675" s="35">
        <v>26500.0</v>
      </c>
      <c r="F1675" s="35" t="s">
        <v>11</v>
      </c>
    </row>
    <row r="1676" ht="22.5" customHeight="1">
      <c r="A1676" s="37" t="s">
        <v>3590</v>
      </c>
      <c r="B1676" s="35" t="s">
        <v>3591</v>
      </c>
      <c r="C1676" s="35">
        <v>213.0</v>
      </c>
      <c r="D1676" s="35">
        <v>225.0</v>
      </c>
      <c r="E1676" s="35">
        <v>23360.0</v>
      </c>
      <c r="F1676" s="35" t="s">
        <v>11</v>
      </c>
    </row>
    <row r="1677" ht="22.5" customHeight="1">
      <c r="A1677" s="37" t="s">
        <v>3592</v>
      </c>
      <c r="B1677" s="35" t="s">
        <v>3593</v>
      </c>
      <c r="C1677" s="35">
        <v>95.0</v>
      </c>
      <c r="D1677" s="35">
        <v>84.0</v>
      </c>
      <c r="E1677" s="35" t="s">
        <v>11</v>
      </c>
      <c r="F1677" s="35" t="s">
        <v>11</v>
      </c>
    </row>
    <row r="1678" ht="22.5" customHeight="1">
      <c r="A1678" s="37" t="s">
        <v>3594</v>
      </c>
      <c r="B1678" s="35" t="s">
        <v>3595</v>
      </c>
      <c r="C1678" s="35">
        <v>1907.0</v>
      </c>
      <c r="D1678" s="35">
        <v>1910.0</v>
      </c>
      <c r="E1678" s="35">
        <v>32660.0</v>
      </c>
      <c r="F1678" s="35" t="s">
        <v>11</v>
      </c>
    </row>
    <row r="1679" ht="22.5" customHeight="1">
      <c r="A1679" s="37" t="s">
        <v>3596</v>
      </c>
      <c r="B1679" s="35" t="s">
        <v>853</v>
      </c>
      <c r="C1679" s="35">
        <v>553.0</v>
      </c>
      <c r="D1679" s="35">
        <v>592.0</v>
      </c>
      <c r="E1679" s="35">
        <v>27540.0</v>
      </c>
      <c r="F1679" s="35" t="s">
        <v>11</v>
      </c>
    </row>
    <row r="1680" ht="22.5" customHeight="1">
      <c r="A1680" s="37" t="s">
        <v>3597</v>
      </c>
      <c r="B1680" s="35" t="s">
        <v>3598</v>
      </c>
      <c r="C1680" s="35">
        <v>244.0</v>
      </c>
      <c r="D1680" s="35">
        <v>236.0</v>
      </c>
      <c r="E1680" s="35">
        <v>24350.0</v>
      </c>
      <c r="F1680" s="35" t="s">
        <v>11</v>
      </c>
    </row>
    <row r="1681" ht="22.5" customHeight="1">
      <c r="A1681" s="37" t="s">
        <v>3599</v>
      </c>
      <c r="B1681" s="35" t="s">
        <v>3600</v>
      </c>
      <c r="C1681" s="35">
        <v>347.0</v>
      </c>
      <c r="D1681" s="35">
        <v>318.0</v>
      </c>
      <c r="E1681" s="35">
        <v>45570.0</v>
      </c>
      <c r="F1681" s="35" t="s">
        <v>11</v>
      </c>
    </row>
    <row r="1682" ht="22.5" customHeight="1">
      <c r="A1682" s="37" t="s">
        <v>3601</v>
      </c>
      <c r="B1682" s="35" t="s">
        <v>3602</v>
      </c>
      <c r="C1682" s="35">
        <v>507.0</v>
      </c>
      <c r="D1682" s="35">
        <v>502.0</v>
      </c>
      <c r="E1682" s="35">
        <v>26480.0</v>
      </c>
      <c r="F1682" s="35" t="s">
        <v>11</v>
      </c>
    </row>
    <row r="1683" ht="22.5" customHeight="1">
      <c r="A1683" s="37" t="s">
        <v>3603</v>
      </c>
      <c r="B1683" s="35" t="s">
        <v>3604</v>
      </c>
      <c r="C1683" s="35">
        <v>168.0</v>
      </c>
      <c r="D1683" s="35">
        <v>176.0</v>
      </c>
      <c r="E1683" s="35">
        <v>29770.0</v>
      </c>
      <c r="F1683" s="35" t="s">
        <v>11</v>
      </c>
    </row>
    <row r="1684" ht="22.5" customHeight="1">
      <c r="A1684" s="37" t="s">
        <v>3605</v>
      </c>
      <c r="B1684" s="35" t="s">
        <v>3606</v>
      </c>
      <c r="C1684" s="35">
        <v>124.0</v>
      </c>
      <c r="D1684" s="35">
        <v>143.0</v>
      </c>
      <c r="E1684" s="35">
        <v>26340.0</v>
      </c>
      <c r="F1684" s="35" t="s">
        <v>11</v>
      </c>
    </row>
    <row r="1685" ht="22.5" customHeight="1">
      <c r="A1685" s="37" t="s">
        <v>3607</v>
      </c>
      <c r="B1685" s="35" t="s">
        <v>3608</v>
      </c>
      <c r="C1685" s="35">
        <v>2131.0</v>
      </c>
      <c r="D1685" s="35">
        <v>2097.0</v>
      </c>
      <c r="E1685" s="35">
        <v>21260.0</v>
      </c>
      <c r="F1685" s="35">
        <v>24.0</v>
      </c>
    </row>
    <row r="1686" ht="22.5" customHeight="1">
      <c r="A1686" s="37" t="s">
        <v>3609</v>
      </c>
      <c r="B1686" s="35" t="s">
        <v>3610</v>
      </c>
      <c r="C1686" s="35">
        <v>140.0</v>
      </c>
      <c r="D1686" s="35">
        <v>143.0</v>
      </c>
      <c r="E1686" s="35">
        <v>28290.0</v>
      </c>
      <c r="F1686" s="35" t="s">
        <v>11</v>
      </c>
    </row>
    <row r="1687" ht="22.5" customHeight="1">
      <c r="A1687" s="37" t="s">
        <v>3611</v>
      </c>
      <c r="B1687" s="35" t="s">
        <v>3612</v>
      </c>
      <c r="C1687" s="35">
        <v>200.0</v>
      </c>
      <c r="D1687" s="35">
        <v>210.0</v>
      </c>
      <c r="E1687" s="35">
        <v>23070.0</v>
      </c>
      <c r="F1687" s="35" t="s">
        <v>11</v>
      </c>
    </row>
    <row r="1688" ht="22.5" customHeight="1">
      <c r="A1688" s="37" t="s">
        <v>3613</v>
      </c>
      <c r="B1688" s="35" t="s">
        <v>3614</v>
      </c>
      <c r="C1688" s="35">
        <v>198.0</v>
      </c>
      <c r="D1688" s="35">
        <v>193.0</v>
      </c>
      <c r="E1688" s="35">
        <v>29630.0</v>
      </c>
      <c r="F1688" s="35" t="s">
        <v>11</v>
      </c>
    </row>
    <row r="1689" ht="22.5" customHeight="1">
      <c r="A1689" s="37" t="s">
        <v>3615</v>
      </c>
      <c r="B1689" s="35" t="s">
        <v>3616</v>
      </c>
      <c r="C1689" s="35">
        <v>430.0</v>
      </c>
      <c r="D1689" s="35">
        <v>406.0</v>
      </c>
      <c r="E1689" s="35">
        <v>28540.0</v>
      </c>
      <c r="F1689" s="35" t="s">
        <v>11</v>
      </c>
    </row>
    <row r="1690" ht="22.5" customHeight="1">
      <c r="A1690" s="37" t="s">
        <v>3617</v>
      </c>
      <c r="B1690" s="35" t="s">
        <v>3618</v>
      </c>
      <c r="C1690" s="35">
        <v>281.0</v>
      </c>
      <c r="D1690" s="35">
        <v>305.0</v>
      </c>
      <c r="E1690" s="35">
        <v>28360.0</v>
      </c>
      <c r="F1690" s="35" t="s">
        <v>11</v>
      </c>
    </row>
    <row r="1691" ht="22.5" customHeight="1">
      <c r="A1691" s="37" t="s">
        <v>3619</v>
      </c>
      <c r="B1691" s="35" t="s">
        <v>3620</v>
      </c>
      <c r="C1691" s="35">
        <v>518.0</v>
      </c>
      <c r="D1691" s="35">
        <v>519.0</v>
      </c>
      <c r="E1691" s="35">
        <v>27050.0</v>
      </c>
      <c r="F1691" s="35" t="s">
        <v>11</v>
      </c>
    </row>
    <row r="1692" ht="22.5" customHeight="1">
      <c r="A1692" s="37" t="s">
        <v>3621</v>
      </c>
      <c r="B1692" s="35" t="s">
        <v>3622</v>
      </c>
      <c r="C1692" s="35">
        <v>479.0</v>
      </c>
      <c r="D1692" s="35">
        <v>497.0</v>
      </c>
      <c r="E1692" s="35">
        <v>26410.0</v>
      </c>
      <c r="F1692" s="35" t="s">
        <v>11</v>
      </c>
    </row>
    <row r="1693" ht="22.5" customHeight="1">
      <c r="A1693" s="37" t="s">
        <v>3623</v>
      </c>
      <c r="B1693" s="35" t="s">
        <v>3624</v>
      </c>
      <c r="C1693" s="35">
        <v>547.0</v>
      </c>
      <c r="D1693" s="35">
        <v>543.0</v>
      </c>
      <c r="E1693" s="35">
        <v>28760.0</v>
      </c>
      <c r="F1693" s="35" t="s">
        <v>11</v>
      </c>
    </row>
    <row r="1694" ht="22.5" customHeight="1">
      <c r="A1694" s="37" t="s">
        <v>3625</v>
      </c>
      <c r="B1694" s="35" t="s">
        <v>3626</v>
      </c>
      <c r="C1694" s="35">
        <v>349.0</v>
      </c>
      <c r="D1694" s="35">
        <v>323.0</v>
      </c>
      <c r="E1694" s="35">
        <v>25600.0</v>
      </c>
      <c r="F1694" s="35" t="s">
        <v>11</v>
      </c>
    </row>
    <row r="1695" ht="22.5" customHeight="1">
      <c r="A1695" s="37" t="s">
        <v>3627</v>
      </c>
      <c r="B1695" s="35" t="s">
        <v>3628</v>
      </c>
      <c r="C1695" s="35">
        <v>1283.0</v>
      </c>
      <c r="D1695" s="35">
        <v>1326.0</v>
      </c>
      <c r="E1695" s="35">
        <v>28450.0</v>
      </c>
      <c r="F1695" s="35" t="s">
        <v>11</v>
      </c>
    </row>
    <row r="1696" ht="22.5" customHeight="1">
      <c r="A1696" s="37" t="s">
        <v>3629</v>
      </c>
      <c r="B1696" s="35" t="s">
        <v>3630</v>
      </c>
      <c r="C1696" s="35">
        <v>438.0</v>
      </c>
      <c r="D1696" s="35">
        <v>440.0</v>
      </c>
      <c r="E1696" s="35">
        <v>27590.0</v>
      </c>
      <c r="F1696" s="35" t="s">
        <v>11</v>
      </c>
    </row>
    <row r="1697" ht="22.5" customHeight="1">
      <c r="A1697" s="37" t="s">
        <v>3631</v>
      </c>
      <c r="B1697" s="35" t="s">
        <v>3632</v>
      </c>
      <c r="C1697" s="35">
        <v>164.0</v>
      </c>
      <c r="D1697" s="35">
        <v>154.0</v>
      </c>
      <c r="E1697" s="35">
        <v>26800.0</v>
      </c>
      <c r="F1697" s="35" t="s">
        <v>11</v>
      </c>
    </row>
    <row r="1698" ht="22.5" customHeight="1">
      <c r="A1698" s="37" t="s">
        <v>3633</v>
      </c>
      <c r="B1698" s="35" t="s">
        <v>3634</v>
      </c>
      <c r="C1698" s="35">
        <v>915.0</v>
      </c>
      <c r="D1698" s="35">
        <v>871.0</v>
      </c>
      <c r="E1698" s="35">
        <v>29970.0</v>
      </c>
      <c r="F1698" s="35" t="s">
        <v>11</v>
      </c>
    </row>
    <row r="1699" ht="22.5" customHeight="1">
      <c r="A1699" s="37" t="s">
        <v>3635</v>
      </c>
      <c r="B1699" s="35" t="s">
        <v>3636</v>
      </c>
      <c r="C1699" s="35">
        <v>651.0</v>
      </c>
      <c r="D1699" s="35">
        <v>670.0</v>
      </c>
      <c r="E1699" s="35">
        <v>30000.0</v>
      </c>
      <c r="F1699" s="35" t="s">
        <v>11</v>
      </c>
    </row>
    <row r="1700" ht="22.5" customHeight="1">
      <c r="A1700" s="37" t="s">
        <v>3637</v>
      </c>
      <c r="B1700" s="35" t="s">
        <v>3638</v>
      </c>
      <c r="C1700" s="35">
        <v>503.0</v>
      </c>
      <c r="D1700" s="35">
        <v>551.0</v>
      </c>
      <c r="E1700" s="35">
        <v>34140.0</v>
      </c>
      <c r="F1700" s="35" t="s">
        <v>11</v>
      </c>
    </row>
    <row r="1701" ht="22.5" customHeight="1">
      <c r="A1701" s="37" t="s">
        <v>3639</v>
      </c>
      <c r="B1701" s="35" t="s">
        <v>3640</v>
      </c>
      <c r="C1701" s="35">
        <v>249.0</v>
      </c>
      <c r="D1701" s="35">
        <v>224.0</v>
      </c>
      <c r="E1701" s="35">
        <v>25400.0</v>
      </c>
      <c r="F1701" s="35" t="s">
        <v>11</v>
      </c>
    </row>
    <row r="1702" ht="22.5" customHeight="1">
      <c r="A1702" s="37" t="s">
        <v>3641</v>
      </c>
      <c r="B1702" s="35" t="s">
        <v>3642</v>
      </c>
      <c r="C1702" s="35">
        <v>256.0</v>
      </c>
      <c r="D1702" s="35">
        <v>264.0</v>
      </c>
      <c r="E1702" s="35">
        <v>23680.0</v>
      </c>
      <c r="F1702" s="35" t="s">
        <v>11</v>
      </c>
    </row>
    <row r="1703" ht="22.5" customHeight="1">
      <c r="A1703" s="37" t="s">
        <v>3643</v>
      </c>
      <c r="B1703" s="35" t="s">
        <v>3644</v>
      </c>
      <c r="C1703" s="35">
        <v>523.0</v>
      </c>
      <c r="D1703" s="35">
        <v>528.0</v>
      </c>
      <c r="E1703" s="35">
        <v>29040.0</v>
      </c>
      <c r="F1703" s="35" t="s">
        <v>11</v>
      </c>
    </row>
    <row r="1704" ht="22.5" customHeight="1">
      <c r="A1704" s="37" t="s">
        <v>3645</v>
      </c>
      <c r="B1704" s="35" t="s">
        <v>3646</v>
      </c>
      <c r="C1704" s="35">
        <v>887.0</v>
      </c>
      <c r="D1704" s="35">
        <v>962.0</v>
      </c>
      <c r="E1704" s="35">
        <v>23840.0</v>
      </c>
      <c r="F1704" s="35" t="s">
        <v>11</v>
      </c>
    </row>
    <row r="1705" ht="22.5" customHeight="1">
      <c r="A1705" s="37" t="s">
        <v>3647</v>
      </c>
      <c r="B1705" s="35" t="s">
        <v>3648</v>
      </c>
      <c r="C1705" s="35">
        <v>173.0</v>
      </c>
      <c r="D1705" s="35">
        <v>154.0</v>
      </c>
      <c r="E1705" s="35">
        <v>26800.0</v>
      </c>
      <c r="F1705" s="35" t="s">
        <v>11</v>
      </c>
    </row>
    <row r="1706" ht="22.5" customHeight="1">
      <c r="A1706" s="37" t="s">
        <v>3649</v>
      </c>
      <c r="B1706" s="35" t="s">
        <v>3650</v>
      </c>
      <c r="C1706" s="35">
        <v>340.0</v>
      </c>
      <c r="D1706" s="35">
        <v>365.0</v>
      </c>
      <c r="E1706" s="35">
        <v>27030.0</v>
      </c>
      <c r="F1706" s="35" t="s">
        <v>11</v>
      </c>
    </row>
    <row r="1707" ht="22.5" customHeight="1">
      <c r="A1707" s="37" t="s">
        <v>3651</v>
      </c>
      <c r="B1707" s="35" t="s">
        <v>3652</v>
      </c>
      <c r="C1707" s="35">
        <v>361.0</v>
      </c>
      <c r="D1707" s="35">
        <v>347.0</v>
      </c>
      <c r="E1707" s="35">
        <v>25690.0</v>
      </c>
      <c r="F1707" s="35" t="s">
        <v>11</v>
      </c>
    </row>
    <row r="1708" ht="22.5" customHeight="1">
      <c r="A1708" s="37" t="s">
        <v>3653</v>
      </c>
      <c r="B1708" s="35" t="s">
        <v>3654</v>
      </c>
      <c r="C1708" s="35">
        <v>322.0</v>
      </c>
      <c r="D1708" s="35">
        <v>317.0</v>
      </c>
      <c r="E1708" s="35">
        <v>27020.0</v>
      </c>
      <c r="F1708" s="35" t="s">
        <v>11</v>
      </c>
    </row>
    <row r="1709" ht="22.5" customHeight="1">
      <c r="A1709" s="37" t="s">
        <v>3655</v>
      </c>
      <c r="B1709" s="35" t="s">
        <v>3656</v>
      </c>
      <c r="C1709" s="35">
        <v>90.0</v>
      </c>
      <c r="D1709" s="35">
        <v>82.0</v>
      </c>
      <c r="E1709" s="35" t="s">
        <v>11</v>
      </c>
      <c r="F1709" s="35" t="s">
        <v>11</v>
      </c>
    </row>
    <row r="1710" ht="22.5" customHeight="1">
      <c r="A1710" s="37" t="s">
        <v>3657</v>
      </c>
      <c r="B1710" s="35" t="s">
        <v>3658</v>
      </c>
      <c r="C1710" s="35">
        <v>654.0</v>
      </c>
      <c r="D1710" s="35">
        <v>626.0</v>
      </c>
      <c r="E1710" s="35">
        <v>29530.0</v>
      </c>
      <c r="F1710" s="35" t="s">
        <v>11</v>
      </c>
    </row>
    <row r="1711" ht="22.5" customHeight="1">
      <c r="A1711" s="37" t="s">
        <v>3659</v>
      </c>
      <c r="B1711" s="35" t="s">
        <v>3660</v>
      </c>
      <c r="C1711" s="35">
        <v>539.0</v>
      </c>
      <c r="D1711" s="35">
        <v>518.0</v>
      </c>
      <c r="E1711" s="35">
        <v>30370.0</v>
      </c>
      <c r="F1711" s="35" t="s">
        <v>11</v>
      </c>
    </row>
    <row r="1712" ht="22.5" customHeight="1">
      <c r="A1712" s="37" t="s">
        <v>3661</v>
      </c>
      <c r="B1712" s="35" t="s">
        <v>3662</v>
      </c>
      <c r="C1712" s="35">
        <v>372.0</v>
      </c>
      <c r="D1712" s="35">
        <v>356.0</v>
      </c>
      <c r="E1712" s="35">
        <v>31130.0</v>
      </c>
      <c r="F1712" s="35" t="s">
        <v>11</v>
      </c>
    </row>
    <row r="1713" ht="22.5" customHeight="1">
      <c r="A1713" s="37" t="s">
        <v>3663</v>
      </c>
      <c r="B1713" s="35" t="s">
        <v>3664</v>
      </c>
      <c r="C1713" s="35">
        <v>228.0</v>
      </c>
      <c r="D1713" s="35">
        <v>216.0</v>
      </c>
      <c r="E1713" s="35">
        <v>27220.0</v>
      </c>
      <c r="F1713" s="35" t="s">
        <v>11</v>
      </c>
    </row>
    <row r="1714" ht="22.5" customHeight="1">
      <c r="A1714" s="37" t="s">
        <v>3665</v>
      </c>
      <c r="B1714" s="35" t="s">
        <v>3666</v>
      </c>
      <c r="C1714" s="35">
        <v>228.0</v>
      </c>
      <c r="D1714" s="35">
        <v>196.0</v>
      </c>
      <c r="E1714" s="35">
        <v>28060.0</v>
      </c>
      <c r="F1714" s="35" t="s">
        <v>11</v>
      </c>
    </row>
    <row r="1715" ht="22.5" customHeight="1">
      <c r="A1715" s="37" t="s">
        <v>3667</v>
      </c>
      <c r="B1715" s="35" t="s">
        <v>3668</v>
      </c>
      <c r="C1715" s="35">
        <v>1390.0</v>
      </c>
      <c r="D1715" s="35">
        <v>1552.0</v>
      </c>
      <c r="E1715" s="35">
        <v>26800.0</v>
      </c>
      <c r="F1715" s="35" t="s">
        <v>11</v>
      </c>
    </row>
    <row r="1716" ht="22.5" customHeight="1">
      <c r="A1716" s="37" t="s">
        <v>3669</v>
      </c>
      <c r="B1716" s="35" t="s">
        <v>3670</v>
      </c>
      <c r="C1716" s="35">
        <v>391.0</v>
      </c>
      <c r="D1716" s="35">
        <v>409.0</v>
      </c>
      <c r="E1716" s="35">
        <v>26130.0</v>
      </c>
      <c r="F1716" s="35" t="s">
        <v>11</v>
      </c>
    </row>
    <row r="1717" ht="22.5" customHeight="1">
      <c r="A1717" s="37" t="s">
        <v>3671</v>
      </c>
      <c r="B1717" s="35" t="s">
        <v>3672</v>
      </c>
      <c r="C1717" s="35">
        <v>206.0</v>
      </c>
      <c r="D1717" s="35">
        <v>233.0</v>
      </c>
      <c r="E1717" s="35">
        <v>28580.0</v>
      </c>
      <c r="F1717" s="35" t="s">
        <v>11</v>
      </c>
    </row>
    <row r="1718" ht="22.5" customHeight="1">
      <c r="A1718" s="37" t="s">
        <v>3673</v>
      </c>
      <c r="B1718" s="35" t="s">
        <v>3674</v>
      </c>
      <c r="C1718" s="35">
        <v>121.0</v>
      </c>
      <c r="D1718" s="35">
        <v>102.0</v>
      </c>
      <c r="E1718" s="35" t="s">
        <v>11</v>
      </c>
      <c r="F1718" s="35" t="s">
        <v>11</v>
      </c>
    </row>
    <row r="1719" ht="22.5" customHeight="1">
      <c r="A1719" s="37" t="s">
        <v>3675</v>
      </c>
      <c r="B1719" s="35" t="s">
        <v>3676</v>
      </c>
      <c r="C1719" s="35">
        <v>573.0</v>
      </c>
      <c r="D1719" s="35">
        <v>515.0</v>
      </c>
      <c r="E1719" s="35">
        <v>28100.0</v>
      </c>
      <c r="F1719" s="35" t="s">
        <v>11</v>
      </c>
    </row>
    <row r="1720" ht="22.5" customHeight="1">
      <c r="A1720" s="37" t="s">
        <v>3677</v>
      </c>
      <c r="B1720" s="35" t="s">
        <v>3678</v>
      </c>
      <c r="C1720" s="35">
        <v>9069.0</v>
      </c>
      <c r="D1720" s="35">
        <v>8867.0</v>
      </c>
      <c r="E1720" s="35">
        <v>35830.0</v>
      </c>
      <c r="F1720" s="35">
        <v>7.0</v>
      </c>
    </row>
    <row r="1721" ht="22.5" customHeight="1">
      <c r="A1721" s="37" t="s">
        <v>3679</v>
      </c>
      <c r="B1721" s="35" t="s">
        <v>3680</v>
      </c>
      <c r="C1721" s="35">
        <v>27.0</v>
      </c>
      <c r="D1721" s="35">
        <v>15.0</v>
      </c>
      <c r="E1721" s="35" t="s">
        <v>11</v>
      </c>
      <c r="F1721" s="35" t="s">
        <v>11</v>
      </c>
    </row>
    <row r="1722" ht="22.5" customHeight="1">
      <c r="A1722" s="37" t="s">
        <v>3681</v>
      </c>
      <c r="B1722" s="35" t="s">
        <v>3682</v>
      </c>
      <c r="C1722" s="35">
        <v>1773.0</v>
      </c>
      <c r="D1722" s="35">
        <v>1829.0</v>
      </c>
      <c r="E1722" s="35">
        <v>29010.0</v>
      </c>
      <c r="F1722" s="35" t="s">
        <v>11</v>
      </c>
    </row>
    <row r="1723" ht="22.5" customHeight="1">
      <c r="A1723" s="37" t="s">
        <v>3683</v>
      </c>
      <c r="B1723" s="35" t="s">
        <v>3684</v>
      </c>
      <c r="C1723" s="35">
        <v>313.0</v>
      </c>
      <c r="D1723" s="35">
        <v>297.0</v>
      </c>
      <c r="E1723" s="35">
        <v>27630.0</v>
      </c>
      <c r="F1723" s="35" t="s">
        <v>11</v>
      </c>
    </row>
    <row r="1724" ht="22.5" customHeight="1">
      <c r="A1724" s="37" t="s">
        <v>3685</v>
      </c>
      <c r="B1724" s="35" t="s">
        <v>3686</v>
      </c>
      <c r="C1724" s="35">
        <v>2940.0</v>
      </c>
      <c r="D1724" s="35">
        <v>2786.0</v>
      </c>
      <c r="E1724" s="35">
        <v>22190.0</v>
      </c>
      <c r="F1724" s="35">
        <v>22.0</v>
      </c>
    </row>
    <row r="1725" ht="22.5" customHeight="1">
      <c r="A1725" s="37" t="s">
        <v>3687</v>
      </c>
      <c r="B1725" s="35" t="s">
        <v>3688</v>
      </c>
      <c r="C1725" s="35">
        <v>348.0</v>
      </c>
      <c r="D1725" s="35">
        <v>371.0</v>
      </c>
      <c r="E1725" s="35">
        <v>26510.0</v>
      </c>
      <c r="F1725" s="35" t="s">
        <v>11</v>
      </c>
    </row>
    <row r="1726" ht="22.5" customHeight="1">
      <c r="A1726" s="37" t="s">
        <v>3689</v>
      </c>
      <c r="B1726" s="35" t="s">
        <v>3690</v>
      </c>
      <c r="C1726" s="35">
        <v>458.0</v>
      </c>
      <c r="D1726" s="35">
        <v>478.0</v>
      </c>
      <c r="E1726" s="35">
        <v>26420.0</v>
      </c>
      <c r="F1726" s="35" t="s">
        <v>11</v>
      </c>
    </row>
    <row r="1727" ht="22.5" customHeight="1">
      <c r="A1727" s="37" t="s">
        <v>3691</v>
      </c>
      <c r="B1727" s="35" t="s">
        <v>3692</v>
      </c>
      <c r="C1727" s="35">
        <v>270.0</v>
      </c>
      <c r="D1727" s="35">
        <v>272.0</v>
      </c>
      <c r="E1727" s="35">
        <v>24950.0</v>
      </c>
      <c r="F1727" s="35" t="s">
        <v>11</v>
      </c>
    </row>
    <row r="1728" ht="22.5" customHeight="1">
      <c r="A1728" s="37" t="s">
        <v>3693</v>
      </c>
      <c r="B1728" s="35" t="s">
        <v>3694</v>
      </c>
      <c r="C1728" s="35">
        <v>381.0</v>
      </c>
      <c r="D1728" s="35">
        <v>385.0</v>
      </c>
      <c r="E1728" s="35">
        <v>28470.0</v>
      </c>
      <c r="F1728" s="35" t="s">
        <v>11</v>
      </c>
    </row>
    <row r="1729" ht="22.5" customHeight="1">
      <c r="A1729" s="37" t="s">
        <v>3695</v>
      </c>
      <c r="B1729" s="35" t="s">
        <v>3696</v>
      </c>
      <c r="C1729" s="35">
        <v>1803.0</v>
      </c>
      <c r="D1729" s="35">
        <v>1749.0</v>
      </c>
      <c r="E1729" s="35">
        <v>21830.0</v>
      </c>
      <c r="F1729" s="35" t="s">
        <v>11</v>
      </c>
    </row>
    <row r="1730" ht="22.5" customHeight="1">
      <c r="A1730" s="37" t="s">
        <v>3697</v>
      </c>
      <c r="B1730" s="35" t="s">
        <v>3698</v>
      </c>
      <c r="C1730" s="35">
        <v>242.0</v>
      </c>
      <c r="D1730" s="35">
        <v>232.0</v>
      </c>
      <c r="E1730" s="35">
        <v>28520.0</v>
      </c>
      <c r="F1730" s="35" t="s">
        <v>11</v>
      </c>
    </row>
    <row r="1731" ht="22.5" customHeight="1">
      <c r="A1731" s="37" t="s">
        <v>3699</v>
      </c>
      <c r="B1731" s="35" t="s">
        <v>3700</v>
      </c>
      <c r="C1731" s="35">
        <v>366.0</v>
      </c>
      <c r="D1731" s="35">
        <v>376.0</v>
      </c>
      <c r="E1731" s="35">
        <v>32690.0</v>
      </c>
      <c r="F1731" s="35" t="s">
        <v>11</v>
      </c>
    </row>
    <row r="1732" ht="22.5" customHeight="1">
      <c r="A1732" s="37" t="s">
        <v>3701</v>
      </c>
      <c r="B1732" s="35" t="s">
        <v>3702</v>
      </c>
      <c r="C1732" s="35">
        <v>80.0</v>
      </c>
      <c r="D1732" s="35">
        <v>82.0</v>
      </c>
      <c r="E1732" s="35" t="s">
        <v>11</v>
      </c>
      <c r="F1732" s="35" t="s">
        <v>11</v>
      </c>
    </row>
    <row r="1733" ht="22.5" customHeight="1">
      <c r="A1733" s="37" t="s">
        <v>3703</v>
      </c>
      <c r="B1733" s="35" t="s">
        <v>3704</v>
      </c>
      <c r="C1733" s="35">
        <v>452.0</v>
      </c>
      <c r="D1733" s="35">
        <v>438.0</v>
      </c>
      <c r="E1733" s="35">
        <v>26130.0</v>
      </c>
      <c r="F1733" s="35" t="s">
        <v>11</v>
      </c>
    </row>
    <row r="1734" ht="22.5" customHeight="1">
      <c r="A1734" s="37" t="s">
        <v>3705</v>
      </c>
      <c r="B1734" s="35" t="s">
        <v>3706</v>
      </c>
      <c r="C1734" s="35">
        <v>141.0</v>
      </c>
      <c r="D1734" s="35">
        <v>132.0</v>
      </c>
      <c r="E1734" s="35">
        <v>26150.0</v>
      </c>
      <c r="F1734" s="35" t="s">
        <v>11</v>
      </c>
    </row>
    <row r="1735" ht="22.5" customHeight="1">
      <c r="A1735" s="37" t="s">
        <v>3707</v>
      </c>
      <c r="B1735" s="35" t="s">
        <v>3708</v>
      </c>
      <c r="C1735" s="35">
        <v>183.0</v>
      </c>
      <c r="D1735" s="35">
        <v>180.0</v>
      </c>
      <c r="E1735" s="35">
        <v>26010.0</v>
      </c>
      <c r="F1735" s="35" t="s">
        <v>11</v>
      </c>
    </row>
    <row r="1736" ht="22.5" customHeight="1">
      <c r="A1736" s="37" t="s">
        <v>3709</v>
      </c>
      <c r="B1736" s="35" t="s">
        <v>3710</v>
      </c>
      <c r="C1736" s="35">
        <v>617.0</v>
      </c>
      <c r="D1736" s="35">
        <v>654.0</v>
      </c>
      <c r="E1736" s="35">
        <v>26060.0</v>
      </c>
      <c r="F1736" s="35" t="s">
        <v>11</v>
      </c>
    </row>
    <row r="1737" ht="22.5" customHeight="1">
      <c r="A1737" s="37" t="s">
        <v>3711</v>
      </c>
      <c r="B1737" s="35" t="s">
        <v>3712</v>
      </c>
      <c r="C1737" s="35">
        <v>540.0</v>
      </c>
      <c r="D1737" s="35">
        <v>548.0</v>
      </c>
      <c r="E1737" s="35">
        <v>23820.0</v>
      </c>
      <c r="F1737" s="35" t="s">
        <v>11</v>
      </c>
    </row>
    <row r="1738" ht="22.5" customHeight="1">
      <c r="A1738" s="37" t="s">
        <v>3713</v>
      </c>
      <c r="B1738" s="35" t="s">
        <v>3714</v>
      </c>
      <c r="C1738" s="35">
        <v>138.0</v>
      </c>
      <c r="D1738" s="35">
        <v>133.0</v>
      </c>
      <c r="E1738" s="35">
        <v>27700.0</v>
      </c>
      <c r="F1738" s="35" t="s">
        <v>11</v>
      </c>
    </row>
    <row r="1739" ht="22.5" customHeight="1">
      <c r="A1739" s="37" t="s">
        <v>3715</v>
      </c>
      <c r="B1739" s="35" t="s">
        <v>3716</v>
      </c>
      <c r="C1739" s="35">
        <v>812.0</v>
      </c>
      <c r="D1739" s="35">
        <v>773.0</v>
      </c>
      <c r="E1739" s="35">
        <v>28490.0</v>
      </c>
      <c r="F1739" s="35" t="s">
        <v>11</v>
      </c>
    </row>
    <row r="1740" ht="22.5" customHeight="1">
      <c r="A1740" s="37" t="s">
        <v>3717</v>
      </c>
      <c r="B1740" s="35" t="s">
        <v>3718</v>
      </c>
      <c r="C1740" s="35">
        <v>193.0</v>
      </c>
      <c r="D1740" s="35">
        <v>187.0</v>
      </c>
      <c r="E1740" s="35">
        <v>25260.0</v>
      </c>
      <c r="F1740" s="35" t="s">
        <v>11</v>
      </c>
    </row>
    <row r="1741" ht="22.5" customHeight="1">
      <c r="A1741" s="37" t="s">
        <v>3719</v>
      </c>
      <c r="B1741" s="35" t="s">
        <v>3720</v>
      </c>
      <c r="C1741" s="35">
        <v>272.0</v>
      </c>
      <c r="D1741" s="35">
        <v>253.0</v>
      </c>
      <c r="E1741" s="35">
        <v>27540.0</v>
      </c>
      <c r="F1741" s="35" t="s">
        <v>11</v>
      </c>
    </row>
    <row r="1742" ht="22.5" customHeight="1">
      <c r="A1742" s="37" t="s">
        <v>3721</v>
      </c>
      <c r="B1742" s="35" t="s">
        <v>3722</v>
      </c>
      <c r="C1742" s="35">
        <v>335.0</v>
      </c>
      <c r="D1742" s="35">
        <v>345.0</v>
      </c>
      <c r="E1742" s="35">
        <v>26420.0</v>
      </c>
      <c r="F1742" s="35" t="s">
        <v>11</v>
      </c>
    </row>
    <row r="1743" ht="22.5" customHeight="1">
      <c r="A1743" s="37" t="s">
        <v>3723</v>
      </c>
      <c r="B1743" s="35" t="s">
        <v>3724</v>
      </c>
      <c r="C1743" s="35">
        <v>155.0</v>
      </c>
      <c r="D1743" s="35">
        <v>149.0</v>
      </c>
      <c r="E1743" s="35">
        <v>27460.0</v>
      </c>
      <c r="F1743" s="35" t="s">
        <v>11</v>
      </c>
    </row>
    <row r="1744" ht="22.5" customHeight="1">
      <c r="A1744" s="37" t="s">
        <v>3725</v>
      </c>
      <c r="B1744" s="35" t="s">
        <v>3726</v>
      </c>
      <c r="C1744" s="35">
        <v>623.0</v>
      </c>
      <c r="D1744" s="35">
        <v>644.0</v>
      </c>
      <c r="E1744" s="35">
        <v>29310.0</v>
      </c>
      <c r="F1744" s="35" t="s">
        <v>11</v>
      </c>
    </row>
    <row r="1745" ht="22.5" customHeight="1">
      <c r="A1745" s="37" t="s">
        <v>3727</v>
      </c>
      <c r="B1745" s="35" t="s">
        <v>3728</v>
      </c>
      <c r="C1745" s="35">
        <v>462.0</v>
      </c>
      <c r="D1745" s="35">
        <v>463.0</v>
      </c>
      <c r="E1745" s="35">
        <v>28900.0</v>
      </c>
      <c r="F1745" s="35" t="s">
        <v>11</v>
      </c>
    </row>
    <row r="1746" ht="22.5" customHeight="1">
      <c r="A1746" s="37" t="s">
        <v>3729</v>
      </c>
      <c r="B1746" s="35" t="s">
        <v>3730</v>
      </c>
      <c r="C1746" s="35">
        <v>827.0</v>
      </c>
      <c r="D1746" s="35">
        <v>925.0</v>
      </c>
      <c r="E1746" s="35">
        <v>29070.0</v>
      </c>
      <c r="F1746" s="35" t="s">
        <v>11</v>
      </c>
    </row>
    <row r="1747" ht="22.5" customHeight="1">
      <c r="A1747" s="37" t="s">
        <v>3731</v>
      </c>
      <c r="B1747" s="35" t="s">
        <v>3732</v>
      </c>
      <c r="C1747" s="35">
        <v>642.0</v>
      </c>
      <c r="D1747" s="35">
        <v>582.0</v>
      </c>
      <c r="E1747" s="35">
        <v>27690.0</v>
      </c>
      <c r="F1747" s="35" t="s">
        <v>11</v>
      </c>
    </row>
    <row r="1748" ht="22.5" customHeight="1">
      <c r="A1748" s="37" t="s">
        <v>3733</v>
      </c>
      <c r="B1748" s="35" t="s">
        <v>3734</v>
      </c>
      <c r="C1748" s="35">
        <v>243.0</v>
      </c>
      <c r="D1748" s="35">
        <v>237.0</v>
      </c>
      <c r="E1748" s="35">
        <v>23620.0</v>
      </c>
      <c r="F1748" s="35" t="s">
        <v>11</v>
      </c>
    </row>
    <row r="1749" ht="22.5" customHeight="1">
      <c r="A1749" s="37" t="s">
        <v>3735</v>
      </c>
      <c r="B1749" s="35" t="s">
        <v>3736</v>
      </c>
      <c r="C1749" s="35">
        <v>126.0</v>
      </c>
      <c r="D1749" s="35">
        <v>113.0</v>
      </c>
      <c r="E1749" s="35">
        <v>26170.0</v>
      </c>
      <c r="F1749" s="35" t="s">
        <v>11</v>
      </c>
    </row>
    <row r="1750" ht="22.5" customHeight="1">
      <c r="A1750" s="37" t="s">
        <v>3737</v>
      </c>
      <c r="B1750" s="35" t="s">
        <v>3738</v>
      </c>
      <c r="C1750" s="35">
        <v>2498.0</v>
      </c>
      <c r="D1750" s="35">
        <v>2466.0</v>
      </c>
      <c r="E1750" s="35">
        <v>24700.0</v>
      </c>
      <c r="F1750" s="35">
        <v>13.0</v>
      </c>
    </row>
    <row r="1751" ht="22.5" customHeight="1">
      <c r="A1751" s="37" t="s">
        <v>3739</v>
      </c>
      <c r="B1751" s="35" t="s">
        <v>3740</v>
      </c>
      <c r="C1751" s="35">
        <v>312.0</v>
      </c>
      <c r="D1751" s="35">
        <v>309.0</v>
      </c>
      <c r="E1751" s="35">
        <v>25490.0</v>
      </c>
      <c r="F1751" s="35" t="s">
        <v>11</v>
      </c>
    </row>
    <row r="1752" ht="22.5" customHeight="1">
      <c r="A1752" s="37" t="s">
        <v>3741</v>
      </c>
      <c r="B1752" s="35" t="s">
        <v>3742</v>
      </c>
      <c r="C1752" s="35">
        <v>490.0</v>
      </c>
      <c r="D1752" s="35">
        <v>478.0</v>
      </c>
      <c r="E1752" s="35">
        <v>29260.0</v>
      </c>
      <c r="F1752" s="35" t="s">
        <v>11</v>
      </c>
    </row>
    <row r="1753" ht="22.5" customHeight="1">
      <c r="A1753" s="37" t="s">
        <v>3743</v>
      </c>
      <c r="B1753" s="35" t="s">
        <v>3744</v>
      </c>
      <c r="C1753" s="35">
        <v>248.0</v>
      </c>
      <c r="D1753" s="35">
        <v>238.0</v>
      </c>
      <c r="E1753" s="35">
        <v>30250.0</v>
      </c>
      <c r="F1753" s="35" t="s">
        <v>11</v>
      </c>
    </row>
    <row r="1754" ht="22.5" customHeight="1">
      <c r="A1754" s="37" t="s">
        <v>3745</v>
      </c>
      <c r="B1754" s="35" t="s">
        <v>3746</v>
      </c>
      <c r="C1754" s="35">
        <v>708.0</v>
      </c>
      <c r="D1754" s="35">
        <v>704.0</v>
      </c>
      <c r="E1754" s="35">
        <v>29350.0</v>
      </c>
      <c r="F1754" s="35" t="s">
        <v>11</v>
      </c>
    </row>
    <row r="1755" ht="22.5" customHeight="1">
      <c r="A1755" s="37" t="s">
        <v>3747</v>
      </c>
      <c r="B1755" s="35" t="s">
        <v>3748</v>
      </c>
      <c r="C1755" s="35">
        <v>671.0</v>
      </c>
      <c r="D1755" s="35">
        <v>680.0</v>
      </c>
      <c r="E1755" s="35">
        <v>29220.0</v>
      </c>
      <c r="F1755" s="35" t="s">
        <v>11</v>
      </c>
    </row>
    <row r="1756" ht="22.5" customHeight="1">
      <c r="A1756" s="37" t="s">
        <v>3749</v>
      </c>
      <c r="B1756" s="35" t="s">
        <v>3750</v>
      </c>
      <c r="C1756" s="35">
        <v>612.0</v>
      </c>
      <c r="D1756" s="35">
        <v>591.0</v>
      </c>
      <c r="E1756" s="35">
        <v>24850.0</v>
      </c>
      <c r="F1756" s="35" t="s">
        <v>11</v>
      </c>
    </row>
    <row r="1757" ht="22.5" customHeight="1">
      <c r="A1757" s="37" t="s">
        <v>3751</v>
      </c>
      <c r="B1757" s="35" t="s">
        <v>3752</v>
      </c>
      <c r="C1757" s="35">
        <v>259.0</v>
      </c>
      <c r="D1757" s="35">
        <v>250.0</v>
      </c>
      <c r="E1757" s="35">
        <v>28200.0</v>
      </c>
      <c r="F1757" s="35" t="s">
        <v>11</v>
      </c>
    </row>
    <row r="1758" ht="22.5" customHeight="1">
      <c r="A1758" s="37" t="s">
        <v>3753</v>
      </c>
      <c r="B1758" s="35" t="s">
        <v>3754</v>
      </c>
      <c r="C1758" s="35">
        <v>776.0</v>
      </c>
      <c r="D1758" s="35">
        <v>878.0</v>
      </c>
      <c r="E1758" s="35">
        <v>27480.0</v>
      </c>
      <c r="F1758" s="35" t="s">
        <v>11</v>
      </c>
    </row>
    <row r="1759" ht="22.5" customHeight="1">
      <c r="A1759" s="37" t="s">
        <v>3755</v>
      </c>
      <c r="B1759" s="35" t="s">
        <v>3756</v>
      </c>
      <c r="C1759" s="35">
        <v>322.0</v>
      </c>
      <c r="D1759" s="35">
        <v>302.0</v>
      </c>
      <c r="E1759" s="35">
        <v>29070.0</v>
      </c>
      <c r="F1759" s="35" t="s">
        <v>11</v>
      </c>
    </row>
    <row r="1760" ht="22.5" customHeight="1">
      <c r="A1760" s="37" t="s">
        <v>3757</v>
      </c>
      <c r="B1760" s="35" t="s">
        <v>3758</v>
      </c>
      <c r="C1760" s="35">
        <v>681.0</v>
      </c>
      <c r="D1760" s="35">
        <v>640.0</v>
      </c>
      <c r="E1760" s="35">
        <v>25300.0</v>
      </c>
      <c r="F1760" s="35" t="s">
        <v>11</v>
      </c>
    </row>
    <row r="1761" ht="22.5" customHeight="1">
      <c r="A1761" s="37" t="s">
        <v>3759</v>
      </c>
      <c r="B1761" s="35" t="s">
        <v>3760</v>
      </c>
      <c r="C1761" s="35">
        <v>903.0</v>
      </c>
      <c r="D1761" s="35">
        <v>851.0</v>
      </c>
      <c r="E1761" s="35">
        <v>23560.0</v>
      </c>
      <c r="F1761" s="35" t="s">
        <v>11</v>
      </c>
    </row>
    <row r="1762" ht="22.5" customHeight="1">
      <c r="A1762" s="37" t="s">
        <v>3761</v>
      </c>
      <c r="B1762" s="35" t="s">
        <v>3762</v>
      </c>
      <c r="C1762" s="35">
        <v>2411.0</v>
      </c>
      <c r="D1762" s="35">
        <v>2243.0</v>
      </c>
      <c r="E1762" s="35">
        <v>31260.0</v>
      </c>
      <c r="F1762" s="35">
        <v>9.0</v>
      </c>
    </row>
    <row r="1763" ht="22.5" customHeight="1">
      <c r="A1763" s="37" t="s">
        <v>3763</v>
      </c>
      <c r="B1763" s="35" t="s">
        <v>3764</v>
      </c>
      <c r="C1763" s="35">
        <v>609.0</v>
      </c>
      <c r="D1763" s="35">
        <v>588.0</v>
      </c>
      <c r="E1763" s="35">
        <v>34710.0</v>
      </c>
      <c r="F1763" s="35" t="s">
        <v>11</v>
      </c>
    </row>
    <row r="1764" ht="22.5" customHeight="1">
      <c r="A1764" s="37" t="s">
        <v>3765</v>
      </c>
      <c r="B1764" s="35" t="s">
        <v>3766</v>
      </c>
      <c r="C1764" s="35">
        <v>1028.0</v>
      </c>
      <c r="D1764" s="35">
        <v>1071.0</v>
      </c>
      <c r="E1764" s="35">
        <v>26170.0</v>
      </c>
      <c r="F1764" s="35" t="s">
        <v>11</v>
      </c>
    </row>
    <row r="1765" ht="22.5" customHeight="1">
      <c r="A1765" s="37" t="s">
        <v>3767</v>
      </c>
      <c r="B1765" s="35" t="s">
        <v>3768</v>
      </c>
      <c r="C1765" s="35">
        <v>322.0</v>
      </c>
      <c r="D1765" s="35">
        <v>294.0</v>
      </c>
      <c r="E1765" s="35">
        <v>26320.0</v>
      </c>
      <c r="F1765" s="35" t="s">
        <v>11</v>
      </c>
    </row>
    <row r="1766" ht="22.5" customHeight="1">
      <c r="A1766" s="37" t="s">
        <v>3769</v>
      </c>
      <c r="B1766" s="35" t="s">
        <v>3770</v>
      </c>
      <c r="C1766" s="35">
        <v>197.0</v>
      </c>
      <c r="D1766" s="35">
        <v>196.0</v>
      </c>
      <c r="E1766" s="35">
        <v>25200.0</v>
      </c>
      <c r="F1766" s="35" t="s">
        <v>11</v>
      </c>
    </row>
    <row r="1767" ht="22.5" customHeight="1">
      <c r="A1767" s="37" t="s">
        <v>3771</v>
      </c>
      <c r="B1767" s="35" t="s">
        <v>3772</v>
      </c>
      <c r="C1767" s="35">
        <v>1347.0</v>
      </c>
      <c r="D1767" s="35">
        <v>1326.0</v>
      </c>
      <c r="E1767" s="35">
        <v>27970.0</v>
      </c>
      <c r="F1767" s="35" t="s">
        <v>11</v>
      </c>
    </row>
    <row r="1768" ht="22.5" customHeight="1">
      <c r="A1768" s="37" t="s">
        <v>3773</v>
      </c>
      <c r="B1768" s="35" t="s">
        <v>3774</v>
      </c>
      <c r="C1768" s="35">
        <v>443.0</v>
      </c>
      <c r="D1768" s="35">
        <v>456.0</v>
      </c>
      <c r="E1768" s="35">
        <v>28030.0</v>
      </c>
      <c r="F1768" s="35" t="s">
        <v>11</v>
      </c>
    </row>
    <row r="1769" ht="22.5" customHeight="1">
      <c r="A1769" s="37" t="s">
        <v>3775</v>
      </c>
      <c r="B1769" s="35" t="s">
        <v>3776</v>
      </c>
      <c r="C1769" s="35">
        <v>691.0</v>
      </c>
      <c r="D1769" s="35">
        <v>687.0</v>
      </c>
      <c r="E1769" s="35">
        <v>28410.0</v>
      </c>
      <c r="F1769" s="35" t="s">
        <v>11</v>
      </c>
    </row>
    <row r="1770" ht="22.5" customHeight="1">
      <c r="A1770" s="37" t="s">
        <v>3777</v>
      </c>
      <c r="B1770" s="35" t="s">
        <v>3778</v>
      </c>
      <c r="C1770" s="35">
        <v>1620.0</v>
      </c>
      <c r="D1770" s="35">
        <v>1512.0</v>
      </c>
      <c r="E1770" s="35">
        <v>25700.0</v>
      </c>
      <c r="F1770" s="35" t="s">
        <v>11</v>
      </c>
    </row>
    <row r="1771" ht="22.5" customHeight="1">
      <c r="A1771" s="37" t="s">
        <v>3779</v>
      </c>
      <c r="B1771" s="35" t="s">
        <v>3780</v>
      </c>
      <c r="C1771" s="35">
        <v>919.0</v>
      </c>
      <c r="D1771" s="35">
        <v>827.0</v>
      </c>
      <c r="E1771" s="35">
        <v>29440.0</v>
      </c>
      <c r="F1771" s="35" t="s">
        <v>11</v>
      </c>
    </row>
    <row r="1772" ht="22.5" customHeight="1">
      <c r="A1772" s="37" t="s">
        <v>3781</v>
      </c>
      <c r="B1772" s="35" t="s">
        <v>3782</v>
      </c>
      <c r="C1772" s="35">
        <v>148.0</v>
      </c>
      <c r="D1772" s="35">
        <v>165.0</v>
      </c>
      <c r="E1772" s="35">
        <v>28180.0</v>
      </c>
      <c r="F1772" s="35" t="s">
        <v>11</v>
      </c>
    </row>
    <row r="1773" ht="22.5" customHeight="1">
      <c r="A1773" s="37" t="s">
        <v>3783</v>
      </c>
      <c r="B1773" s="35" t="s">
        <v>3784</v>
      </c>
      <c r="C1773" s="35">
        <v>203.0</v>
      </c>
      <c r="D1773" s="35">
        <v>182.0</v>
      </c>
      <c r="E1773" s="35">
        <v>29070.0</v>
      </c>
      <c r="F1773" s="35" t="s">
        <v>11</v>
      </c>
    </row>
    <row r="1774" ht="22.5" customHeight="1">
      <c r="A1774" s="37" t="s">
        <v>3785</v>
      </c>
      <c r="B1774" s="35" t="s">
        <v>3786</v>
      </c>
      <c r="C1774" s="35">
        <v>651.0</v>
      </c>
      <c r="D1774" s="35">
        <v>805.0</v>
      </c>
      <c r="E1774" s="35">
        <v>32800.0</v>
      </c>
      <c r="F1774" s="35" t="s">
        <v>11</v>
      </c>
    </row>
    <row r="1775" ht="22.5" customHeight="1">
      <c r="A1775" s="37" t="s">
        <v>3787</v>
      </c>
      <c r="B1775" s="35" t="s">
        <v>3788</v>
      </c>
      <c r="C1775" s="35">
        <v>4708.0</v>
      </c>
      <c r="D1775" s="35">
        <v>5415.0</v>
      </c>
      <c r="E1775" s="35">
        <v>27760.0</v>
      </c>
      <c r="F1775" s="35">
        <v>8.0</v>
      </c>
    </row>
    <row r="1776" ht="22.5" customHeight="1">
      <c r="A1776" s="37" t="s">
        <v>3789</v>
      </c>
      <c r="B1776" s="35" t="s">
        <v>3790</v>
      </c>
      <c r="C1776" s="35">
        <v>368.0</v>
      </c>
      <c r="D1776" s="35">
        <v>342.0</v>
      </c>
      <c r="E1776" s="35">
        <v>28240.0</v>
      </c>
      <c r="F1776" s="35" t="s">
        <v>11</v>
      </c>
    </row>
    <row r="1777" ht="22.5" customHeight="1">
      <c r="A1777" s="37" t="s">
        <v>3791</v>
      </c>
      <c r="B1777" s="35" t="s">
        <v>3792</v>
      </c>
      <c r="C1777" s="35">
        <v>527.0</v>
      </c>
      <c r="D1777" s="35">
        <v>524.0</v>
      </c>
      <c r="E1777" s="35">
        <v>27130.0</v>
      </c>
      <c r="F1777" s="35" t="s">
        <v>11</v>
      </c>
    </row>
    <row r="1778" ht="22.5" customHeight="1">
      <c r="A1778" s="37" t="s">
        <v>3793</v>
      </c>
      <c r="B1778" s="35" t="s">
        <v>3794</v>
      </c>
      <c r="C1778" s="35">
        <v>2062.0</v>
      </c>
      <c r="D1778" s="35">
        <v>2043.0</v>
      </c>
      <c r="E1778" s="35">
        <v>31690.0</v>
      </c>
      <c r="F1778" s="35">
        <v>3.0</v>
      </c>
    </row>
    <row r="1779" ht="22.5" customHeight="1">
      <c r="A1779" s="37" t="s">
        <v>3795</v>
      </c>
      <c r="B1779" s="35" t="s">
        <v>3796</v>
      </c>
      <c r="C1779" s="35">
        <v>4719.0</v>
      </c>
      <c r="D1779" s="35">
        <v>4926.0</v>
      </c>
      <c r="E1779" s="35">
        <v>25190.0</v>
      </c>
      <c r="F1779" s="35">
        <v>13.0</v>
      </c>
    </row>
    <row r="1780" ht="22.5" customHeight="1">
      <c r="A1780" s="37" t="s">
        <v>3797</v>
      </c>
      <c r="B1780" s="35" t="s">
        <v>3798</v>
      </c>
      <c r="C1780" s="35">
        <v>653.0</v>
      </c>
      <c r="D1780" s="35">
        <v>606.0</v>
      </c>
      <c r="E1780" s="35">
        <v>24430.0</v>
      </c>
      <c r="F1780" s="35" t="s">
        <v>11</v>
      </c>
    </row>
    <row r="1781" ht="22.5" customHeight="1">
      <c r="A1781" s="37" t="s">
        <v>3799</v>
      </c>
      <c r="B1781" s="35" t="s">
        <v>3800</v>
      </c>
      <c r="C1781" s="35">
        <v>480.0</v>
      </c>
      <c r="D1781" s="35">
        <v>504.0</v>
      </c>
      <c r="E1781" s="35">
        <v>25240.0</v>
      </c>
      <c r="F1781" s="35" t="s">
        <v>11</v>
      </c>
    </row>
    <row r="1782" ht="22.5" customHeight="1">
      <c r="A1782" s="37" t="s">
        <v>3801</v>
      </c>
      <c r="B1782" s="35" t="s">
        <v>3802</v>
      </c>
      <c r="C1782" s="35">
        <v>191.0</v>
      </c>
      <c r="D1782" s="35">
        <v>196.0</v>
      </c>
      <c r="E1782" s="35">
        <v>27680.0</v>
      </c>
      <c r="F1782" s="35" t="s">
        <v>11</v>
      </c>
    </row>
    <row r="1783" ht="22.5" customHeight="1">
      <c r="A1783" s="37" t="s">
        <v>3803</v>
      </c>
      <c r="B1783" s="35" t="s">
        <v>3804</v>
      </c>
      <c r="C1783" s="35">
        <v>8881.0</v>
      </c>
      <c r="D1783" s="35">
        <v>9082.0</v>
      </c>
      <c r="E1783" s="35">
        <v>37350.0</v>
      </c>
      <c r="F1783" s="35">
        <v>7.0</v>
      </c>
    </row>
    <row r="1784" ht="22.5" customHeight="1">
      <c r="A1784" s="37" t="s">
        <v>3805</v>
      </c>
      <c r="B1784" s="35" t="s">
        <v>3806</v>
      </c>
      <c r="C1784" s="35">
        <v>282.0</v>
      </c>
      <c r="D1784" s="35">
        <v>278.0</v>
      </c>
      <c r="E1784" s="35">
        <v>23910.0</v>
      </c>
      <c r="F1784" s="35" t="s">
        <v>11</v>
      </c>
    </row>
    <row r="1785" ht="22.5" customHeight="1">
      <c r="A1785" s="37" t="s">
        <v>3807</v>
      </c>
      <c r="B1785" s="35" t="s">
        <v>3808</v>
      </c>
      <c r="C1785" s="35">
        <v>510.0</v>
      </c>
      <c r="D1785" s="35">
        <v>505.0</v>
      </c>
      <c r="E1785" s="35">
        <v>25090.0</v>
      </c>
      <c r="F1785" s="35" t="s">
        <v>11</v>
      </c>
    </row>
    <row r="1786" ht="22.5" customHeight="1">
      <c r="A1786" s="37" t="s">
        <v>3809</v>
      </c>
      <c r="B1786" s="35" t="s">
        <v>3810</v>
      </c>
      <c r="C1786" s="35">
        <v>1399.0</v>
      </c>
      <c r="D1786" s="35">
        <v>1469.0</v>
      </c>
      <c r="E1786" s="35">
        <v>25020.0</v>
      </c>
      <c r="F1786" s="35" t="s">
        <v>11</v>
      </c>
    </row>
    <row r="1787" ht="22.5" customHeight="1">
      <c r="A1787" s="37" t="s">
        <v>3811</v>
      </c>
      <c r="B1787" s="35" t="s">
        <v>3812</v>
      </c>
      <c r="C1787" s="35">
        <v>117.0</v>
      </c>
      <c r="D1787" s="35">
        <v>115.0</v>
      </c>
      <c r="E1787" s="35">
        <v>28960.0</v>
      </c>
      <c r="F1787" s="35" t="s">
        <v>11</v>
      </c>
    </row>
    <row r="1788" ht="22.5" customHeight="1">
      <c r="A1788" s="37" t="s">
        <v>3813</v>
      </c>
      <c r="B1788" s="35" t="s">
        <v>3814</v>
      </c>
      <c r="C1788" s="35">
        <v>150.0</v>
      </c>
      <c r="D1788" s="35">
        <v>180.0</v>
      </c>
      <c r="E1788" s="35">
        <v>29910.0</v>
      </c>
      <c r="F1788" s="35" t="s">
        <v>11</v>
      </c>
    </row>
    <row r="1789" ht="22.5" customHeight="1">
      <c r="A1789" s="37" t="s">
        <v>3815</v>
      </c>
      <c r="B1789" s="35" t="s">
        <v>3816</v>
      </c>
      <c r="C1789" s="35">
        <v>207.0</v>
      </c>
      <c r="D1789" s="35">
        <v>182.0</v>
      </c>
      <c r="E1789" s="35">
        <v>25070.0</v>
      </c>
      <c r="F1789" s="35" t="s">
        <v>11</v>
      </c>
    </row>
    <row r="1790" ht="22.5" customHeight="1">
      <c r="A1790" s="37" t="s">
        <v>3817</v>
      </c>
      <c r="B1790" s="35" t="s">
        <v>3818</v>
      </c>
      <c r="C1790" s="35">
        <v>38.0</v>
      </c>
      <c r="D1790" s="35">
        <v>32.0</v>
      </c>
      <c r="E1790" s="35" t="s">
        <v>11</v>
      </c>
      <c r="F1790" s="35" t="s">
        <v>11</v>
      </c>
    </row>
    <row r="1791" ht="22.5" customHeight="1">
      <c r="A1791" s="37" t="s">
        <v>3819</v>
      </c>
      <c r="B1791" s="35" t="s">
        <v>3820</v>
      </c>
      <c r="C1791" s="35">
        <v>1168.0</v>
      </c>
      <c r="D1791" s="35">
        <v>1116.0</v>
      </c>
      <c r="E1791" s="35">
        <v>27500.0</v>
      </c>
      <c r="F1791" s="35" t="s">
        <v>11</v>
      </c>
    </row>
    <row r="1792" ht="22.5" customHeight="1">
      <c r="A1792" s="37" t="s">
        <v>3821</v>
      </c>
      <c r="B1792" s="35" t="s">
        <v>3822</v>
      </c>
      <c r="C1792" s="35">
        <v>534.0</v>
      </c>
      <c r="D1792" s="35">
        <v>631.0</v>
      </c>
      <c r="E1792" s="35">
        <v>30970.0</v>
      </c>
      <c r="F1792" s="35" t="s">
        <v>11</v>
      </c>
    </row>
    <row r="1793" ht="22.5" customHeight="1">
      <c r="A1793" s="37" t="s">
        <v>3823</v>
      </c>
      <c r="B1793" s="35" t="s">
        <v>3824</v>
      </c>
      <c r="C1793" s="35">
        <v>551.0</v>
      </c>
      <c r="D1793" s="35">
        <v>548.0</v>
      </c>
      <c r="E1793" s="35">
        <v>25360.0</v>
      </c>
      <c r="F1793" s="35" t="s">
        <v>11</v>
      </c>
    </row>
    <row r="1794" ht="22.5" customHeight="1">
      <c r="A1794" s="37" t="s">
        <v>3825</v>
      </c>
      <c r="B1794" s="35" t="s">
        <v>3826</v>
      </c>
      <c r="C1794" s="35">
        <v>972.0</v>
      </c>
      <c r="D1794" s="35">
        <v>1014.0</v>
      </c>
      <c r="E1794" s="35">
        <v>29630.0</v>
      </c>
      <c r="F1794" s="35" t="s">
        <v>11</v>
      </c>
    </row>
    <row r="1795" ht="22.5" customHeight="1">
      <c r="A1795" s="37" t="s">
        <v>3827</v>
      </c>
      <c r="B1795" s="35" t="s">
        <v>3828</v>
      </c>
      <c r="C1795" s="35">
        <v>189.0</v>
      </c>
      <c r="D1795" s="35">
        <v>203.0</v>
      </c>
      <c r="E1795" s="35">
        <v>27430.0</v>
      </c>
      <c r="F1795" s="35" t="s">
        <v>11</v>
      </c>
    </row>
    <row r="1796" ht="22.5" customHeight="1">
      <c r="A1796" s="37" t="s">
        <v>3829</v>
      </c>
      <c r="B1796" s="35" t="s">
        <v>3830</v>
      </c>
      <c r="C1796" s="35">
        <v>6880.0</v>
      </c>
      <c r="D1796" s="35">
        <v>6785.0</v>
      </c>
      <c r="E1796" s="35">
        <v>23280.0</v>
      </c>
      <c r="F1796" s="35">
        <v>19.0</v>
      </c>
    </row>
    <row r="1797" ht="22.5" customHeight="1">
      <c r="A1797" s="37" t="s">
        <v>3831</v>
      </c>
      <c r="B1797" s="35" t="s">
        <v>3832</v>
      </c>
      <c r="C1797" s="35">
        <v>595.0</v>
      </c>
      <c r="D1797" s="35">
        <v>573.0</v>
      </c>
      <c r="E1797" s="35">
        <v>28870.0</v>
      </c>
      <c r="F1797" s="35" t="s">
        <v>11</v>
      </c>
    </row>
    <row r="1798" ht="22.5" customHeight="1">
      <c r="A1798" s="37" t="s">
        <v>3833</v>
      </c>
      <c r="B1798" s="35" t="s">
        <v>3834</v>
      </c>
      <c r="C1798" s="35">
        <v>182.0</v>
      </c>
      <c r="D1798" s="35">
        <v>181.0</v>
      </c>
      <c r="E1798" s="35">
        <v>23550.0</v>
      </c>
      <c r="F1798" s="35" t="s">
        <v>11</v>
      </c>
    </row>
    <row r="1799" ht="22.5" customHeight="1">
      <c r="A1799" s="37" t="s">
        <v>3835</v>
      </c>
      <c r="B1799" s="35" t="s">
        <v>3836</v>
      </c>
      <c r="C1799" s="35">
        <v>227.0</v>
      </c>
      <c r="D1799" s="35">
        <v>224.0</v>
      </c>
      <c r="E1799" s="35">
        <v>32310.0</v>
      </c>
      <c r="F1799" s="35" t="s">
        <v>11</v>
      </c>
    </row>
    <row r="1800" ht="22.5" customHeight="1">
      <c r="A1800" s="37" t="s">
        <v>3837</v>
      </c>
      <c r="B1800" s="35" t="s">
        <v>3838</v>
      </c>
      <c r="C1800" s="35">
        <v>709.0</v>
      </c>
      <c r="D1800" s="35">
        <v>718.0</v>
      </c>
      <c r="E1800" s="35">
        <v>28220.0</v>
      </c>
      <c r="F1800" s="35" t="s">
        <v>11</v>
      </c>
    </row>
    <row r="1801" ht="22.5" customHeight="1">
      <c r="A1801" s="37" t="s">
        <v>3839</v>
      </c>
      <c r="B1801" s="35" t="s">
        <v>3840</v>
      </c>
      <c r="C1801" s="35">
        <v>410.0</v>
      </c>
      <c r="D1801" s="35">
        <v>423.0</v>
      </c>
      <c r="E1801" s="35">
        <v>26740.0</v>
      </c>
      <c r="F1801" s="35" t="s">
        <v>11</v>
      </c>
    </row>
    <row r="1802" ht="22.5" customHeight="1">
      <c r="A1802" s="37" t="s">
        <v>3841</v>
      </c>
      <c r="B1802" s="35" t="s">
        <v>3842</v>
      </c>
      <c r="C1802" s="35">
        <v>356.0</v>
      </c>
      <c r="D1802" s="35">
        <v>359.0</v>
      </c>
      <c r="E1802" s="35">
        <v>29320.0</v>
      </c>
      <c r="F1802" s="35" t="s">
        <v>11</v>
      </c>
    </row>
    <row r="1803" ht="22.5" customHeight="1">
      <c r="A1803" s="37" t="s">
        <v>3843</v>
      </c>
      <c r="B1803" s="35" t="s">
        <v>3844</v>
      </c>
      <c r="C1803" s="35">
        <v>336.0</v>
      </c>
      <c r="D1803" s="35">
        <v>329.0</v>
      </c>
      <c r="E1803" s="35">
        <v>28170.0</v>
      </c>
      <c r="F1803" s="35" t="s">
        <v>11</v>
      </c>
    </row>
    <row r="1804" ht="22.5" customHeight="1">
      <c r="A1804" s="37" t="s">
        <v>3845</v>
      </c>
      <c r="B1804" s="35" t="s">
        <v>3846</v>
      </c>
      <c r="C1804" s="35">
        <v>2622.0</v>
      </c>
      <c r="D1804" s="35">
        <v>2586.0</v>
      </c>
      <c r="E1804" s="35">
        <v>24160.0</v>
      </c>
      <c r="F1804" s="35">
        <v>16.0</v>
      </c>
    </row>
    <row r="1805" ht="22.5" customHeight="1">
      <c r="A1805" s="37" t="s">
        <v>3847</v>
      </c>
      <c r="B1805" s="35" t="s">
        <v>3848</v>
      </c>
      <c r="C1805" s="35">
        <v>1919.0</v>
      </c>
      <c r="D1805" s="35">
        <v>1895.0</v>
      </c>
      <c r="E1805" s="35">
        <v>29750.0</v>
      </c>
      <c r="F1805" s="35" t="s">
        <v>11</v>
      </c>
    </row>
    <row r="1806" ht="22.5" customHeight="1">
      <c r="A1806" s="37" t="s">
        <v>3849</v>
      </c>
      <c r="B1806" s="35" t="s">
        <v>3850</v>
      </c>
      <c r="C1806" s="35">
        <v>1306.0</v>
      </c>
      <c r="D1806" s="35">
        <v>1247.0</v>
      </c>
      <c r="E1806" s="35">
        <v>27780.0</v>
      </c>
      <c r="F1806" s="35" t="s">
        <v>11</v>
      </c>
    </row>
    <row r="1807" ht="22.5" customHeight="1">
      <c r="A1807" s="37" t="s">
        <v>3851</v>
      </c>
      <c r="B1807" s="35" t="s">
        <v>3852</v>
      </c>
      <c r="C1807" s="35">
        <v>150.0</v>
      </c>
      <c r="D1807" s="35">
        <v>151.0</v>
      </c>
      <c r="E1807" s="35">
        <v>27220.0</v>
      </c>
      <c r="F1807" s="35" t="s">
        <v>11</v>
      </c>
    </row>
    <row r="1808" ht="22.5" customHeight="1">
      <c r="A1808" s="37" t="s">
        <v>3853</v>
      </c>
      <c r="B1808" s="35" t="s">
        <v>3854</v>
      </c>
      <c r="C1808" s="35">
        <v>642.0</v>
      </c>
      <c r="D1808" s="35">
        <v>682.0</v>
      </c>
      <c r="E1808" s="35">
        <v>27760.0</v>
      </c>
      <c r="F1808" s="35" t="s">
        <v>11</v>
      </c>
    </row>
    <row r="1809" ht="22.5" customHeight="1">
      <c r="A1809" s="37" t="s">
        <v>3855</v>
      </c>
      <c r="B1809" s="35" t="s">
        <v>3856</v>
      </c>
      <c r="C1809" s="35">
        <v>718.0</v>
      </c>
      <c r="D1809" s="35">
        <v>830.0</v>
      </c>
      <c r="E1809" s="35">
        <v>27470.0</v>
      </c>
      <c r="F1809" s="35" t="s">
        <v>11</v>
      </c>
    </row>
    <row r="1810" ht="22.5" customHeight="1">
      <c r="A1810" s="37" t="s">
        <v>3857</v>
      </c>
      <c r="B1810" s="35" t="s">
        <v>3858</v>
      </c>
      <c r="C1810" s="35">
        <v>2699.0</v>
      </c>
      <c r="D1810" s="35">
        <v>2473.0</v>
      </c>
      <c r="E1810" s="35">
        <v>23710.0</v>
      </c>
      <c r="F1810" s="35">
        <v>14.0</v>
      </c>
    </row>
    <row r="1811" ht="22.5" customHeight="1">
      <c r="A1811" s="37" t="s">
        <v>3859</v>
      </c>
      <c r="B1811" s="35" t="s">
        <v>3860</v>
      </c>
      <c r="C1811" s="35">
        <v>414.0</v>
      </c>
      <c r="D1811" s="35">
        <v>381.0</v>
      </c>
      <c r="E1811" s="35">
        <v>28370.0</v>
      </c>
      <c r="F1811" s="35" t="s">
        <v>11</v>
      </c>
    </row>
    <row r="1812" ht="22.5" customHeight="1">
      <c r="A1812" s="37" t="s">
        <v>3861</v>
      </c>
      <c r="B1812" s="35" t="s">
        <v>3862</v>
      </c>
      <c r="C1812" s="35">
        <v>161.0</v>
      </c>
      <c r="D1812" s="35">
        <v>178.0</v>
      </c>
      <c r="E1812" s="35">
        <v>29610.0</v>
      </c>
      <c r="F1812" s="35" t="s">
        <v>11</v>
      </c>
    </row>
    <row r="1813" ht="22.5" customHeight="1">
      <c r="A1813" s="37" t="s">
        <v>3863</v>
      </c>
      <c r="B1813" s="35" t="s">
        <v>3864</v>
      </c>
      <c r="C1813" s="35">
        <v>301.0</v>
      </c>
      <c r="D1813" s="35">
        <v>285.0</v>
      </c>
      <c r="E1813" s="35">
        <v>25950.0</v>
      </c>
      <c r="F1813" s="35" t="s">
        <v>11</v>
      </c>
    </row>
    <row r="1814" ht="22.5" customHeight="1">
      <c r="A1814" s="37" t="s">
        <v>3865</v>
      </c>
      <c r="B1814" s="35" t="s">
        <v>3866</v>
      </c>
      <c r="C1814" s="35">
        <v>406.0</v>
      </c>
      <c r="D1814" s="35">
        <v>375.0</v>
      </c>
      <c r="E1814" s="35">
        <v>28740.0</v>
      </c>
      <c r="F1814" s="35" t="s">
        <v>11</v>
      </c>
    </row>
    <row r="1815" ht="22.5" customHeight="1">
      <c r="A1815" s="37" t="s">
        <v>3867</v>
      </c>
      <c r="B1815" s="35" t="s">
        <v>3868</v>
      </c>
      <c r="C1815" s="35">
        <v>641.0</v>
      </c>
      <c r="D1815" s="35">
        <v>616.0</v>
      </c>
      <c r="E1815" s="35">
        <v>26780.0</v>
      </c>
      <c r="F1815" s="35" t="s">
        <v>11</v>
      </c>
    </row>
    <row r="1816" ht="22.5" customHeight="1">
      <c r="A1816" s="37" t="s">
        <v>3869</v>
      </c>
      <c r="B1816" s="35" t="s">
        <v>3870</v>
      </c>
      <c r="C1816" s="35">
        <v>1613.0</v>
      </c>
      <c r="D1816" s="35">
        <v>1581.0</v>
      </c>
      <c r="E1816" s="35">
        <v>26460.0</v>
      </c>
      <c r="F1816" s="35" t="s">
        <v>11</v>
      </c>
    </row>
    <row r="1817" ht="22.5" customHeight="1">
      <c r="A1817" s="37" t="s">
        <v>3871</v>
      </c>
      <c r="B1817" s="35" t="s">
        <v>3872</v>
      </c>
      <c r="C1817" s="35">
        <v>261.0</v>
      </c>
      <c r="D1817" s="35">
        <v>258.0</v>
      </c>
      <c r="E1817" s="35">
        <v>25650.0</v>
      </c>
      <c r="F1817" s="35" t="s">
        <v>11</v>
      </c>
    </row>
    <row r="1818" ht="22.5" customHeight="1">
      <c r="A1818" s="37" t="s">
        <v>3873</v>
      </c>
      <c r="B1818" s="35" t="s">
        <v>3874</v>
      </c>
      <c r="C1818" s="35">
        <v>8370.0</v>
      </c>
      <c r="D1818" s="35">
        <v>8677.0</v>
      </c>
      <c r="E1818" s="35">
        <v>25900.0</v>
      </c>
      <c r="F1818" s="35">
        <v>13.0</v>
      </c>
    </row>
    <row r="1819" ht="22.5" customHeight="1">
      <c r="A1819" s="37" t="s">
        <v>3875</v>
      </c>
      <c r="B1819" s="35" t="s">
        <v>3876</v>
      </c>
      <c r="C1819" s="35">
        <v>536.0</v>
      </c>
      <c r="D1819" s="35">
        <v>531.0</v>
      </c>
      <c r="E1819" s="35">
        <v>29280.0</v>
      </c>
      <c r="F1819" s="35" t="s">
        <v>11</v>
      </c>
    </row>
    <row r="1820" ht="22.5" customHeight="1">
      <c r="A1820" s="37" t="s">
        <v>3877</v>
      </c>
      <c r="B1820" s="35" t="s">
        <v>3878</v>
      </c>
      <c r="C1820" s="35">
        <v>680.0</v>
      </c>
      <c r="D1820" s="35">
        <v>641.0</v>
      </c>
      <c r="E1820" s="35">
        <v>26790.0</v>
      </c>
      <c r="F1820" s="35" t="s">
        <v>11</v>
      </c>
    </row>
    <row r="1821" ht="22.5" customHeight="1">
      <c r="A1821" s="37" t="s">
        <v>3879</v>
      </c>
      <c r="B1821" s="35" t="s">
        <v>3880</v>
      </c>
      <c r="C1821" s="35">
        <v>491.0</v>
      </c>
      <c r="D1821" s="35">
        <v>484.0</v>
      </c>
      <c r="E1821" s="35">
        <v>27000.0</v>
      </c>
      <c r="F1821" s="35" t="s">
        <v>11</v>
      </c>
    </row>
    <row r="1822" ht="22.5" customHeight="1">
      <c r="A1822" s="37" t="s">
        <v>3881</v>
      </c>
      <c r="B1822" s="35" t="s">
        <v>3882</v>
      </c>
      <c r="C1822" s="35">
        <v>1482.0</v>
      </c>
      <c r="D1822" s="35">
        <v>1409.0</v>
      </c>
      <c r="E1822" s="35">
        <v>21300.0</v>
      </c>
      <c r="F1822" s="35" t="s">
        <v>11</v>
      </c>
    </row>
    <row r="1823" ht="22.5" customHeight="1">
      <c r="A1823" s="37" t="s">
        <v>3883</v>
      </c>
      <c r="B1823" s="35" t="s">
        <v>3884</v>
      </c>
      <c r="C1823" s="35">
        <v>128.0</v>
      </c>
      <c r="D1823" s="35">
        <v>136.0</v>
      </c>
      <c r="E1823" s="35">
        <v>29320.0</v>
      </c>
      <c r="F1823" s="35" t="s">
        <v>11</v>
      </c>
    </row>
    <row r="1824" ht="22.5" customHeight="1">
      <c r="A1824" s="37" t="s">
        <v>3885</v>
      </c>
      <c r="B1824" s="35" t="s">
        <v>3886</v>
      </c>
      <c r="C1824" s="35">
        <v>249.0</v>
      </c>
      <c r="D1824" s="35">
        <v>221.0</v>
      </c>
      <c r="E1824" s="35">
        <v>24790.0</v>
      </c>
      <c r="F1824" s="35" t="s">
        <v>11</v>
      </c>
    </row>
    <row r="1825" ht="22.5" customHeight="1">
      <c r="A1825" s="37" t="s">
        <v>3887</v>
      </c>
      <c r="B1825" s="35" t="s">
        <v>3888</v>
      </c>
      <c r="C1825" s="35">
        <v>316.0</v>
      </c>
      <c r="D1825" s="35">
        <v>344.0</v>
      </c>
      <c r="E1825" s="35">
        <v>27220.0</v>
      </c>
      <c r="F1825" s="35" t="s">
        <v>11</v>
      </c>
    </row>
    <row r="1826" ht="22.5" customHeight="1">
      <c r="A1826" s="37" t="s">
        <v>3889</v>
      </c>
      <c r="B1826" s="35" t="s">
        <v>3890</v>
      </c>
      <c r="C1826" s="35">
        <v>249.0</v>
      </c>
      <c r="D1826" s="35">
        <v>211.0</v>
      </c>
      <c r="E1826" s="35">
        <v>29580.0</v>
      </c>
      <c r="F1826" s="35" t="s">
        <v>11</v>
      </c>
    </row>
    <row r="1827" ht="22.5" customHeight="1">
      <c r="A1827" s="37" t="s">
        <v>3891</v>
      </c>
      <c r="B1827" s="35" t="s">
        <v>3892</v>
      </c>
      <c r="C1827" s="35">
        <v>740.0</v>
      </c>
      <c r="D1827" s="35">
        <v>789.0</v>
      </c>
      <c r="E1827" s="35">
        <v>28040.0</v>
      </c>
      <c r="F1827" s="35" t="s">
        <v>11</v>
      </c>
    </row>
    <row r="1828" ht="22.5" customHeight="1">
      <c r="A1828" s="37" t="s">
        <v>3893</v>
      </c>
      <c r="B1828" s="35" t="s">
        <v>3894</v>
      </c>
      <c r="C1828" s="35">
        <v>638.0</v>
      </c>
      <c r="D1828" s="35">
        <v>600.0</v>
      </c>
      <c r="E1828" s="35">
        <v>27740.0</v>
      </c>
      <c r="F1828" s="35" t="s">
        <v>11</v>
      </c>
    </row>
    <row r="1829" ht="22.5" customHeight="1">
      <c r="A1829" s="37" t="s">
        <v>3895</v>
      </c>
      <c r="B1829" s="35" t="s">
        <v>3896</v>
      </c>
      <c r="C1829" s="35">
        <v>104.0</v>
      </c>
      <c r="D1829" s="35">
        <v>103.0</v>
      </c>
      <c r="E1829" s="35">
        <v>28530.0</v>
      </c>
      <c r="F1829" s="35" t="s">
        <v>11</v>
      </c>
    </row>
    <row r="1830" ht="22.5" customHeight="1">
      <c r="A1830" s="37" t="s">
        <v>3897</v>
      </c>
      <c r="B1830" s="35" t="s">
        <v>3898</v>
      </c>
      <c r="C1830" s="35">
        <v>14614.0</v>
      </c>
      <c r="D1830" s="35">
        <v>13897.0</v>
      </c>
      <c r="E1830" s="35">
        <v>22160.0</v>
      </c>
      <c r="F1830" s="35">
        <v>24.0</v>
      </c>
    </row>
    <row r="1831" ht="22.5" customHeight="1">
      <c r="A1831" s="37" t="s">
        <v>3899</v>
      </c>
      <c r="B1831" s="35" t="s">
        <v>3900</v>
      </c>
      <c r="C1831" s="35">
        <v>629.0</v>
      </c>
      <c r="D1831" s="35">
        <v>604.0</v>
      </c>
      <c r="E1831" s="35">
        <v>23700.0</v>
      </c>
      <c r="F1831" s="35" t="s">
        <v>11</v>
      </c>
    </row>
    <row r="1832" ht="22.5" customHeight="1">
      <c r="A1832" s="37" t="s">
        <v>3901</v>
      </c>
      <c r="B1832" s="35" t="s">
        <v>3902</v>
      </c>
      <c r="C1832" s="35">
        <v>84.0</v>
      </c>
      <c r="D1832" s="35">
        <v>66.0</v>
      </c>
      <c r="E1832" s="35" t="s">
        <v>11</v>
      </c>
      <c r="F1832" s="35" t="s">
        <v>11</v>
      </c>
    </row>
    <row r="1833" ht="22.5" customHeight="1">
      <c r="A1833" s="37" t="s">
        <v>3903</v>
      </c>
      <c r="B1833" s="35" t="s">
        <v>3904</v>
      </c>
      <c r="C1833" s="35">
        <v>2229.0</v>
      </c>
      <c r="D1833" s="35">
        <v>2439.0</v>
      </c>
      <c r="E1833" s="35">
        <v>29180.0</v>
      </c>
      <c r="F1833" s="35">
        <v>8.0</v>
      </c>
    </row>
    <row r="1834" ht="22.5" customHeight="1">
      <c r="A1834" s="37" t="s">
        <v>3905</v>
      </c>
      <c r="B1834" s="35" t="s">
        <v>3906</v>
      </c>
      <c r="C1834" s="35">
        <v>204.0</v>
      </c>
      <c r="D1834" s="35">
        <v>248.0</v>
      </c>
      <c r="E1834" s="35">
        <v>26280.0</v>
      </c>
      <c r="F1834" s="35" t="s">
        <v>11</v>
      </c>
    </row>
    <row r="1835" ht="22.5" customHeight="1">
      <c r="A1835" s="37" t="s">
        <v>3907</v>
      </c>
      <c r="B1835" s="35" t="s">
        <v>3908</v>
      </c>
      <c r="C1835" s="35">
        <v>266.0</v>
      </c>
      <c r="D1835" s="35">
        <v>265.0</v>
      </c>
      <c r="E1835" s="35">
        <v>28240.0</v>
      </c>
      <c r="F1835" s="35" t="s">
        <v>11</v>
      </c>
    </row>
    <row r="1836" ht="22.5" customHeight="1">
      <c r="A1836" s="37" t="s">
        <v>3909</v>
      </c>
      <c r="B1836" s="35" t="s">
        <v>3910</v>
      </c>
      <c r="C1836" s="35">
        <v>794.0</v>
      </c>
      <c r="D1836" s="35">
        <v>770.0</v>
      </c>
      <c r="E1836" s="35">
        <v>28310.0</v>
      </c>
      <c r="F1836" s="35" t="s">
        <v>11</v>
      </c>
    </row>
    <row r="1837" ht="22.5" customHeight="1">
      <c r="A1837" s="37" t="s">
        <v>3911</v>
      </c>
      <c r="B1837" s="35" t="s">
        <v>3912</v>
      </c>
      <c r="C1837" s="35">
        <v>2270.0</v>
      </c>
      <c r="D1837" s="35">
        <v>2327.0</v>
      </c>
      <c r="E1837" s="35">
        <v>30170.0</v>
      </c>
      <c r="F1837" s="35">
        <v>6.0</v>
      </c>
    </row>
    <row r="1838" ht="22.5" customHeight="1">
      <c r="A1838" s="37" t="s">
        <v>3913</v>
      </c>
      <c r="B1838" s="35" t="s">
        <v>3914</v>
      </c>
      <c r="C1838" s="35">
        <v>1708.0</v>
      </c>
      <c r="D1838" s="35">
        <v>1922.0</v>
      </c>
      <c r="E1838" s="35">
        <v>25270.0</v>
      </c>
      <c r="F1838" s="35" t="s">
        <v>11</v>
      </c>
    </row>
    <row r="1839" ht="22.5" customHeight="1">
      <c r="A1839" s="37" t="s">
        <v>3915</v>
      </c>
      <c r="B1839" s="35" t="s">
        <v>3916</v>
      </c>
      <c r="C1839" s="35">
        <v>1515.0</v>
      </c>
      <c r="D1839" s="35">
        <v>1487.0</v>
      </c>
      <c r="E1839" s="35">
        <v>26740.0</v>
      </c>
      <c r="F1839" s="35" t="s">
        <v>11</v>
      </c>
    </row>
    <row r="1840" ht="22.5" customHeight="1">
      <c r="A1840" s="37" t="s">
        <v>3917</v>
      </c>
      <c r="B1840" s="35" t="s">
        <v>3918</v>
      </c>
      <c r="C1840" s="35">
        <v>1158.0</v>
      </c>
      <c r="D1840" s="35">
        <v>1117.0</v>
      </c>
      <c r="E1840" s="35">
        <v>22690.0</v>
      </c>
      <c r="F1840" s="35" t="s">
        <v>11</v>
      </c>
    </row>
    <row r="1841" ht="22.5" customHeight="1">
      <c r="A1841" s="37" t="s">
        <v>3919</v>
      </c>
      <c r="B1841" s="35" t="s">
        <v>3920</v>
      </c>
      <c r="C1841" s="35">
        <v>825.0</v>
      </c>
      <c r="D1841" s="35">
        <v>947.0</v>
      </c>
      <c r="E1841" s="35">
        <v>28800.0</v>
      </c>
      <c r="F1841" s="35" t="s">
        <v>11</v>
      </c>
    </row>
    <row r="1842" ht="22.5" customHeight="1">
      <c r="A1842" s="37" t="s">
        <v>3921</v>
      </c>
      <c r="B1842" s="35" t="s">
        <v>3922</v>
      </c>
      <c r="C1842" s="35">
        <v>227.0</v>
      </c>
      <c r="D1842" s="35">
        <v>211.0</v>
      </c>
      <c r="E1842" s="35">
        <v>24350.0</v>
      </c>
      <c r="F1842" s="35" t="s">
        <v>11</v>
      </c>
    </row>
    <row r="1843" ht="22.5" customHeight="1">
      <c r="A1843" s="37" t="s">
        <v>3923</v>
      </c>
      <c r="B1843" s="35" t="s">
        <v>3924</v>
      </c>
      <c r="C1843" s="35">
        <v>769.0</v>
      </c>
      <c r="D1843" s="35">
        <v>772.0</v>
      </c>
      <c r="E1843" s="35">
        <v>29600.0</v>
      </c>
      <c r="F1843" s="35" t="s">
        <v>11</v>
      </c>
    </row>
    <row r="1844" ht="22.5" customHeight="1">
      <c r="A1844" s="37" t="s">
        <v>3925</v>
      </c>
      <c r="B1844" s="35" t="s">
        <v>3926</v>
      </c>
      <c r="C1844" s="35">
        <v>2214.0</v>
      </c>
      <c r="D1844" s="35">
        <v>2155.0</v>
      </c>
      <c r="E1844" s="35">
        <v>27680.0</v>
      </c>
      <c r="F1844" s="35" t="s">
        <v>11</v>
      </c>
    </row>
    <row r="1845" ht="22.5" customHeight="1">
      <c r="A1845" s="37" t="s">
        <v>3927</v>
      </c>
      <c r="B1845" s="35" t="s">
        <v>3928</v>
      </c>
      <c r="C1845" s="35">
        <v>243.0</v>
      </c>
      <c r="D1845" s="35">
        <v>247.0</v>
      </c>
      <c r="E1845" s="35">
        <v>23700.0</v>
      </c>
      <c r="F1845" s="35" t="s">
        <v>11</v>
      </c>
    </row>
    <row r="1846" ht="22.5" customHeight="1">
      <c r="A1846" s="37" t="s">
        <v>3929</v>
      </c>
      <c r="B1846" s="35" t="s">
        <v>3930</v>
      </c>
      <c r="C1846" s="35">
        <v>823.0</v>
      </c>
      <c r="D1846" s="35">
        <v>765.0</v>
      </c>
      <c r="E1846" s="35">
        <v>29890.0</v>
      </c>
      <c r="F1846" s="35" t="s">
        <v>11</v>
      </c>
    </row>
    <row r="1847" ht="22.5" customHeight="1">
      <c r="A1847" s="37" t="s">
        <v>3931</v>
      </c>
      <c r="B1847" s="35" t="s">
        <v>3932</v>
      </c>
      <c r="C1847" s="35">
        <v>669.0</v>
      </c>
      <c r="D1847" s="35">
        <v>672.0</v>
      </c>
      <c r="E1847" s="35">
        <v>30870.0</v>
      </c>
      <c r="F1847" s="35" t="s">
        <v>11</v>
      </c>
    </row>
    <row r="1848" ht="22.5" customHeight="1">
      <c r="A1848" s="37" t="s">
        <v>3933</v>
      </c>
      <c r="B1848" s="35" t="s">
        <v>3934</v>
      </c>
      <c r="C1848" s="35">
        <v>417.0</v>
      </c>
      <c r="D1848" s="35">
        <v>425.0</v>
      </c>
      <c r="E1848" s="35">
        <v>30910.0</v>
      </c>
      <c r="F1848" s="35" t="s">
        <v>11</v>
      </c>
    </row>
    <row r="1849" ht="22.5" customHeight="1">
      <c r="A1849" s="37" t="s">
        <v>3935</v>
      </c>
      <c r="B1849" s="35" t="s">
        <v>3936</v>
      </c>
      <c r="C1849" s="35">
        <v>13263.0</v>
      </c>
      <c r="D1849" s="35">
        <v>14257.0</v>
      </c>
      <c r="E1849" s="35">
        <v>19240.0</v>
      </c>
      <c r="F1849" s="35">
        <v>32.0</v>
      </c>
    </row>
    <row r="1850" ht="22.5" customHeight="1">
      <c r="A1850" s="37" t="s">
        <v>3937</v>
      </c>
      <c r="B1850" s="35" t="s">
        <v>3938</v>
      </c>
      <c r="C1850" s="35">
        <v>138.0</v>
      </c>
      <c r="D1850" s="35">
        <v>159.0</v>
      </c>
      <c r="E1850" s="35">
        <v>39880.0</v>
      </c>
      <c r="F1850" s="35" t="s">
        <v>11</v>
      </c>
    </row>
    <row r="1851" ht="22.5" customHeight="1">
      <c r="A1851" s="37" t="s">
        <v>3939</v>
      </c>
      <c r="B1851" s="35" t="s">
        <v>3940</v>
      </c>
      <c r="C1851" s="35">
        <v>183.0</v>
      </c>
      <c r="D1851" s="35">
        <v>166.0</v>
      </c>
      <c r="E1851" s="35">
        <v>24290.0</v>
      </c>
      <c r="F1851" s="35" t="s">
        <v>11</v>
      </c>
    </row>
    <row r="1852" ht="22.5" customHeight="1">
      <c r="A1852" s="37" t="s">
        <v>3941</v>
      </c>
      <c r="B1852" s="35" t="s">
        <v>3942</v>
      </c>
      <c r="C1852" s="35">
        <v>427.0</v>
      </c>
      <c r="D1852" s="35">
        <v>392.0</v>
      </c>
      <c r="E1852" s="35">
        <v>29370.0</v>
      </c>
      <c r="F1852" s="35" t="s">
        <v>11</v>
      </c>
    </row>
    <row r="1853" ht="22.5" customHeight="1">
      <c r="A1853" s="37" t="s">
        <v>3943</v>
      </c>
      <c r="B1853" s="35" t="s">
        <v>3944</v>
      </c>
      <c r="C1853" s="35">
        <v>483.0</v>
      </c>
      <c r="D1853" s="35">
        <v>530.0</v>
      </c>
      <c r="E1853" s="35">
        <v>30330.0</v>
      </c>
      <c r="F1853" s="35" t="s">
        <v>11</v>
      </c>
    </row>
    <row r="1854" ht="22.5" customHeight="1">
      <c r="A1854" s="37" t="s">
        <v>3945</v>
      </c>
      <c r="B1854" s="35" t="s">
        <v>3946</v>
      </c>
      <c r="C1854" s="35">
        <v>397.0</v>
      </c>
      <c r="D1854" s="35">
        <v>416.0</v>
      </c>
      <c r="E1854" s="35">
        <v>32090.0</v>
      </c>
      <c r="F1854" s="35" t="s">
        <v>11</v>
      </c>
    </row>
    <row r="1855" ht="22.5" customHeight="1">
      <c r="A1855" s="37" t="s">
        <v>3947</v>
      </c>
      <c r="B1855" s="35" t="s">
        <v>3948</v>
      </c>
      <c r="C1855" s="35">
        <v>196.0</v>
      </c>
      <c r="D1855" s="35">
        <v>207.0</v>
      </c>
      <c r="E1855" s="35">
        <v>32720.0</v>
      </c>
      <c r="F1855" s="35" t="s">
        <v>11</v>
      </c>
    </row>
    <row r="1856" ht="22.5" customHeight="1">
      <c r="A1856" s="37" t="s">
        <v>3949</v>
      </c>
      <c r="B1856" s="35" t="s">
        <v>3950</v>
      </c>
      <c r="C1856" s="35">
        <v>1082.0</v>
      </c>
      <c r="D1856" s="35">
        <v>1142.0</v>
      </c>
      <c r="E1856" s="35">
        <v>28000.0</v>
      </c>
      <c r="F1856" s="35" t="s">
        <v>11</v>
      </c>
    </row>
    <row r="1857" ht="22.5" customHeight="1">
      <c r="A1857" s="37" t="s">
        <v>3951</v>
      </c>
      <c r="B1857" s="35" t="s">
        <v>3952</v>
      </c>
      <c r="C1857" s="35">
        <v>262.0</v>
      </c>
      <c r="D1857" s="35">
        <v>294.0</v>
      </c>
      <c r="E1857" s="35">
        <v>29650.0</v>
      </c>
      <c r="F1857" s="35" t="s">
        <v>11</v>
      </c>
    </row>
    <row r="1858" ht="22.5" customHeight="1">
      <c r="A1858" s="37" t="s">
        <v>3953</v>
      </c>
      <c r="B1858" s="35" t="s">
        <v>3954</v>
      </c>
      <c r="C1858" s="35">
        <v>488.0</v>
      </c>
      <c r="D1858" s="35">
        <v>497.0</v>
      </c>
      <c r="E1858" s="35">
        <v>26560.0</v>
      </c>
      <c r="F1858" s="35" t="s">
        <v>11</v>
      </c>
    </row>
    <row r="1859" ht="22.5" customHeight="1">
      <c r="A1859" s="37" t="s">
        <v>3955</v>
      </c>
      <c r="B1859" s="35" t="s">
        <v>3956</v>
      </c>
      <c r="C1859" s="35">
        <v>245.0</v>
      </c>
      <c r="D1859" s="35">
        <v>239.0</v>
      </c>
      <c r="E1859" s="35">
        <v>28300.0</v>
      </c>
      <c r="F1859" s="35" t="s">
        <v>11</v>
      </c>
    </row>
    <row r="1860" ht="22.5" customHeight="1">
      <c r="A1860" s="37" t="s">
        <v>3957</v>
      </c>
      <c r="B1860" s="35" t="s">
        <v>3958</v>
      </c>
      <c r="C1860" s="35">
        <v>166.0</v>
      </c>
      <c r="D1860" s="35">
        <v>187.0</v>
      </c>
      <c r="E1860" s="35">
        <v>26210.0</v>
      </c>
      <c r="F1860" s="35" t="s">
        <v>11</v>
      </c>
    </row>
    <row r="1861" ht="22.5" customHeight="1">
      <c r="A1861" s="37" t="s">
        <v>3959</v>
      </c>
      <c r="B1861" s="35" t="s">
        <v>3960</v>
      </c>
      <c r="C1861" s="35">
        <v>647.0</v>
      </c>
      <c r="D1861" s="35">
        <v>652.0</v>
      </c>
      <c r="E1861" s="35">
        <v>34140.0</v>
      </c>
      <c r="F1861" s="35" t="s">
        <v>11</v>
      </c>
    </row>
    <row r="1862" ht="22.5" customHeight="1">
      <c r="A1862" s="37" t="s">
        <v>3961</v>
      </c>
      <c r="B1862" s="35" t="s">
        <v>3962</v>
      </c>
      <c r="C1862" s="35">
        <v>392.0</v>
      </c>
      <c r="D1862" s="35">
        <v>412.0</v>
      </c>
      <c r="E1862" s="35">
        <v>27870.0</v>
      </c>
      <c r="F1862" s="35" t="s">
        <v>11</v>
      </c>
    </row>
    <row r="1863" ht="22.5" customHeight="1">
      <c r="A1863" s="37" t="s">
        <v>3963</v>
      </c>
      <c r="B1863" s="35" t="s">
        <v>3964</v>
      </c>
      <c r="C1863" s="35">
        <v>1078.0</v>
      </c>
      <c r="D1863" s="35">
        <v>1035.0</v>
      </c>
      <c r="E1863" s="35">
        <v>28090.0</v>
      </c>
      <c r="F1863" s="35" t="s">
        <v>11</v>
      </c>
    </row>
    <row r="1864" ht="22.5" customHeight="1">
      <c r="A1864" s="37" t="s">
        <v>3965</v>
      </c>
      <c r="B1864" s="35" t="s">
        <v>3966</v>
      </c>
      <c r="C1864" s="35">
        <v>538.0</v>
      </c>
      <c r="D1864" s="35">
        <v>500.0</v>
      </c>
      <c r="E1864" s="35">
        <v>25620.0</v>
      </c>
      <c r="F1864" s="35" t="s">
        <v>11</v>
      </c>
    </row>
    <row r="1865" ht="22.5" customHeight="1">
      <c r="A1865" s="37" t="s">
        <v>3967</v>
      </c>
      <c r="B1865" s="35" t="s">
        <v>1257</v>
      </c>
      <c r="C1865" s="35">
        <v>854.0</v>
      </c>
      <c r="D1865" s="35">
        <v>834.0</v>
      </c>
      <c r="E1865" s="35">
        <v>33400.0</v>
      </c>
      <c r="F1865" s="35" t="s">
        <v>11</v>
      </c>
    </row>
    <row r="1866" ht="22.5" customHeight="1">
      <c r="A1866" s="37" t="s">
        <v>3968</v>
      </c>
      <c r="B1866" s="35" t="s">
        <v>3969</v>
      </c>
      <c r="C1866" s="35">
        <v>913.0</v>
      </c>
      <c r="D1866" s="35">
        <v>958.0</v>
      </c>
      <c r="E1866" s="35">
        <v>30110.0</v>
      </c>
      <c r="F1866" s="35" t="s">
        <v>11</v>
      </c>
    </row>
    <row r="1867" ht="22.5" customHeight="1">
      <c r="A1867" s="37" t="s">
        <v>3970</v>
      </c>
      <c r="B1867" s="35" t="s">
        <v>3971</v>
      </c>
      <c r="C1867" s="35">
        <v>224.0</v>
      </c>
      <c r="D1867" s="35">
        <v>220.0</v>
      </c>
      <c r="E1867" s="35">
        <v>27220.0</v>
      </c>
      <c r="F1867" s="35" t="s">
        <v>11</v>
      </c>
    </row>
    <row r="1868" ht="22.5" customHeight="1">
      <c r="A1868" s="37" t="s">
        <v>3972</v>
      </c>
      <c r="B1868" s="35" t="s">
        <v>3973</v>
      </c>
      <c r="C1868" s="35">
        <v>476.0</v>
      </c>
      <c r="D1868" s="35">
        <v>506.0</v>
      </c>
      <c r="E1868" s="35">
        <v>25320.0</v>
      </c>
      <c r="F1868" s="35" t="s">
        <v>11</v>
      </c>
    </row>
    <row r="1869" ht="22.5" customHeight="1">
      <c r="A1869" s="37" t="s">
        <v>3974</v>
      </c>
      <c r="B1869" s="35" t="s">
        <v>3975</v>
      </c>
      <c r="C1869" s="35">
        <v>83.0</v>
      </c>
      <c r="D1869" s="35">
        <v>84.0</v>
      </c>
      <c r="E1869" s="35" t="s">
        <v>11</v>
      </c>
      <c r="F1869" s="35" t="s">
        <v>11</v>
      </c>
    </row>
    <row r="1870" ht="22.5" customHeight="1">
      <c r="A1870" s="37" t="s">
        <v>3976</v>
      </c>
      <c r="B1870" s="35" t="s">
        <v>3977</v>
      </c>
      <c r="C1870" s="35">
        <v>82.0</v>
      </c>
      <c r="D1870" s="35">
        <v>72.0</v>
      </c>
      <c r="E1870" s="35" t="s">
        <v>11</v>
      </c>
      <c r="F1870" s="35" t="s">
        <v>11</v>
      </c>
    </row>
    <row r="1871" ht="22.5" customHeight="1">
      <c r="A1871" s="37" t="s">
        <v>3978</v>
      </c>
      <c r="B1871" s="35" t="s">
        <v>3979</v>
      </c>
      <c r="C1871" s="35">
        <v>213.0</v>
      </c>
      <c r="D1871" s="35">
        <v>185.0</v>
      </c>
      <c r="E1871" s="35">
        <v>26030.0</v>
      </c>
      <c r="F1871" s="35" t="s">
        <v>11</v>
      </c>
    </row>
    <row r="1872" ht="22.5" customHeight="1">
      <c r="A1872" s="37" t="s">
        <v>3980</v>
      </c>
      <c r="B1872" s="35" t="s">
        <v>3981</v>
      </c>
      <c r="C1872" s="35">
        <v>5288.0</v>
      </c>
      <c r="D1872" s="35">
        <v>5319.0</v>
      </c>
      <c r="E1872" s="35">
        <v>23600.0</v>
      </c>
      <c r="F1872" s="35">
        <v>17.0</v>
      </c>
    </row>
    <row r="1873" ht="22.5" customHeight="1">
      <c r="A1873" s="37" t="s">
        <v>3982</v>
      </c>
      <c r="B1873" s="35" t="s">
        <v>3983</v>
      </c>
      <c r="C1873" s="35">
        <v>630.0</v>
      </c>
      <c r="D1873" s="35">
        <v>575.0</v>
      </c>
      <c r="E1873" s="35">
        <v>27780.0</v>
      </c>
      <c r="F1873" s="35" t="s">
        <v>11</v>
      </c>
    </row>
    <row r="1874" ht="22.5" customHeight="1">
      <c r="A1874" s="37" t="s">
        <v>3984</v>
      </c>
      <c r="B1874" s="35" t="s">
        <v>3985</v>
      </c>
      <c r="C1874" s="35">
        <v>679.0</v>
      </c>
      <c r="D1874" s="35">
        <v>647.0</v>
      </c>
      <c r="E1874" s="35">
        <v>31020.0</v>
      </c>
      <c r="F1874" s="35" t="s">
        <v>11</v>
      </c>
    </row>
    <row r="1875" ht="22.5" customHeight="1">
      <c r="A1875" s="37" t="s">
        <v>3986</v>
      </c>
      <c r="B1875" s="35" t="s">
        <v>3987</v>
      </c>
      <c r="C1875" s="35">
        <v>141.0</v>
      </c>
      <c r="D1875" s="35">
        <v>133.0</v>
      </c>
      <c r="E1875" s="35">
        <v>25870.0</v>
      </c>
      <c r="F1875" s="35" t="s">
        <v>11</v>
      </c>
    </row>
    <row r="1876" ht="22.5" customHeight="1">
      <c r="A1876" s="37" t="s">
        <v>3988</v>
      </c>
      <c r="B1876" s="35" t="s">
        <v>3989</v>
      </c>
      <c r="C1876" s="35">
        <v>571.0</v>
      </c>
      <c r="D1876" s="35">
        <v>587.0</v>
      </c>
      <c r="E1876" s="35">
        <v>23650.0</v>
      </c>
      <c r="F1876" s="35" t="s">
        <v>11</v>
      </c>
    </row>
    <row r="1877" ht="22.5" customHeight="1">
      <c r="A1877" s="37" t="s">
        <v>3990</v>
      </c>
      <c r="B1877" s="35" t="s">
        <v>3991</v>
      </c>
      <c r="C1877" s="35">
        <v>153.0</v>
      </c>
      <c r="D1877" s="35">
        <v>141.0</v>
      </c>
      <c r="E1877" s="35">
        <v>24990.0</v>
      </c>
      <c r="F1877" s="35" t="s">
        <v>11</v>
      </c>
    </row>
    <row r="1878" ht="22.5" customHeight="1">
      <c r="A1878" s="37" t="s">
        <v>3992</v>
      </c>
      <c r="B1878" s="35" t="s">
        <v>3993</v>
      </c>
      <c r="C1878" s="35">
        <v>317.0</v>
      </c>
      <c r="D1878" s="35">
        <v>293.0</v>
      </c>
      <c r="E1878" s="35">
        <v>24110.0</v>
      </c>
      <c r="F1878" s="35" t="s">
        <v>11</v>
      </c>
    </row>
    <row r="1879" ht="22.5" customHeight="1">
      <c r="A1879" s="37" t="s">
        <v>3994</v>
      </c>
      <c r="B1879" s="35" t="s">
        <v>3995</v>
      </c>
      <c r="C1879" s="35">
        <v>4296.0</v>
      </c>
      <c r="D1879" s="35">
        <v>4258.0</v>
      </c>
      <c r="E1879" s="35">
        <v>26870.0</v>
      </c>
      <c r="F1879" s="35">
        <v>11.0</v>
      </c>
    </row>
    <row r="1880" ht="22.5" customHeight="1">
      <c r="A1880" s="37" t="s">
        <v>3996</v>
      </c>
      <c r="B1880" s="35" t="s">
        <v>3997</v>
      </c>
      <c r="C1880" s="35">
        <v>661.0</v>
      </c>
      <c r="D1880" s="35">
        <v>670.0</v>
      </c>
      <c r="E1880" s="35">
        <v>31460.0</v>
      </c>
      <c r="F1880" s="35" t="s">
        <v>11</v>
      </c>
    </row>
    <row r="1881" ht="22.5" customHeight="1">
      <c r="A1881" s="37" t="s">
        <v>3998</v>
      </c>
      <c r="B1881" s="35" t="s">
        <v>3999</v>
      </c>
      <c r="C1881" s="35">
        <v>377.0</v>
      </c>
      <c r="D1881" s="35">
        <v>386.0</v>
      </c>
      <c r="E1881" s="35">
        <v>26360.0</v>
      </c>
      <c r="F1881" s="35" t="s">
        <v>11</v>
      </c>
    </row>
    <row r="1882" ht="22.5" customHeight="1">
      <c r="A1882" s="37" t="s">
        <v>4000</v>
      </c>
      <c r="B1882" s="35" t="s">
        <v>4001</v>
      </c>
      <c r="C1882" s="35">
        <v>279.0</v>
      </c>
      <c r="D1882" s="35">
        <v>280.0</v>
      </c>
      <c r="E1882" s="35">
        <v>30140.0</v>
      </c>
      <c r="F1882" s="35" t="s">
        <v>11</v>
      </c>
    </row>
    <row r="1883" ht="22.5" customHeight="1">
      <c r="A1883" s="37" t="s">
        <v>4002</v>
      </c>
      <c r="B1883" s="35" t="s">
        <v>4003</v>
      </c>
      <c r="C1883" s="35">
        <v>3655.0</v>
      </c>
      <c r="D1883" s="35">
        <v>4127.0</v>
      </c>
      <c r="E1883" s="35">
        <v>27300.0</v>
      </c>
      <c r="F1883" s="35">
        <v>7.0</v>
      </c>
    </row>
    <row r="1884" ht="22.5" customHeight="1">
      <c r="A1884" s="37" t="s">
        <v>4004</v>
      </c>
      <c r="B1884" s="35" t="s">
        <v>4005</v>
      </c>
      <c r="C1884" s="35">
        <v>1673.0</v>
      </c>
      <c r="D1884" s="35">
        <v>1571.0</v>
      </c>
      <c r="E1884" s="35">
        <v>28220.0</v>
      </c>
      <c r="F1884" s="35" t="s">
        <v>11</v>
      </c>
    </row>
    <row r="1885" ht="22.5" customHeight="1">
      <c r="A1885" s="37" t="s">
        <v>4006</v>
      </c>
      <c r="B1885" s="35" t="s">
        <v>4007</v>
      </c>
      <c r="C1885" s="35">
        <v>510.0</v>
      </c>
      <c r="D1885" s="35">
        <v>472.0</v>
      </c>
      <c r="E1885" s="35">
        <v>32640.0</v>
      </c>
      <c r="F1885" s="35" t="s">
        <v>11</v>
      </c>
    </row>
    <row r="1886" ht="22.5" customHeight="1">
      <c r="A1886" s="37" t="s">
        <v>4008</v>
      </c>
      <c r="B1886" s="35" t="s">
        <v>4009</v>
      </c>
      <c r="C1886" s="35">
        <v>972.0</v>
      </c>
      <c r="D1886" s="35">
        <v>961.0</v>
      </c>
      <c r="E1886" s="35">
        <v>28960.0</v>
      </c>
      <c r="F1886" s="35" t="s">
        <v>11</v>
      </c>
    </row>
    <row r="1887" ht="22.5" customHeight="1">
      <c r="A1887" s="37" t="s">
        <v>4010</v>
      </c>
      <c r="B1887" s="35" t="s">
        <v>4011</v>
      </c>
      <c r="C1887" s="35">
        <v>952.0</v>
      </c>
      <c r="D1887" s="35">
        <v>897.0</v>
      </c>
      <c r="E1887" s="35">
        <v>27550.0</v>
      </c>
      <c r="F1887" s="35" t="s">
        <v>11</v>
      </c>
    </row>
    <row r="1888" ht="22.5" customHeight="1">
      <c r="A1888" s="37" t="s">
        <v>4012</v>
      </c>
      <c r="B1888" s="35" t="s">
        <v>4013</v>
      </c>
      <c r="C1888" s="35">
        <v>158.0</v>
      </c>
      <c r="D1888" s="35">
        <v>162.0</v>
      </c>
      <c r="E1888" s="35">
        <v>26080.0</v>
      </c>
      <c r="F1888" s="35" t="s">
        <v>11</v>
      </c>
    </row>
    <row r="1889" ht="22.5" customHeight="1">
      <c r="A1889" s="37" t="s">
        <v>4014</v>
      </c>
      <c r="B1889" s="35" t="s">
        <v>4015</v>
      </c>
      <c r="C1889" s="35">
        <v>326.0</v>
      </c>
      <c r="D1889" s="35">
        <v>301.0</v>
      </c>
      <c r="E1889" s="35">
        <v>27600.0</v>
      </c>
      <c r="F1889" s="35" t="s">
        <v>11</v>
      </c>
    </row>
    <row r="1890" ht="22.5" customHeight="1">
      <c r="A1890" s="37" t="s">
        <v>4016</v>
      </c>
      <c r="B1890" s="35" t="s">
        <v>4017</v>
      </c>
      <c r="C1890" s="35">
        <v>212.0</v>
      </c>
      <c r="D1890" s="35">
        <v>200.0</v>
      </c>
      <c r="E1890" s="35">
        <v>28830.0</v>
      </c>
      <c r="F1890" s="35" t="s">
        <v>11</v>
      </c>
    </row>
    <row r="1891" ht="22.5" customHeight="1">
      <c r="A1891" s="37" t="s">
        <v>4018</v>
      </c>
      <c r="B1891" s="35" t="s">
        <v>4019</v>
      </c>
      <c r="C1891" s="35">
        <v>191.0</v>
      </c>
      <c r="D1891" s="35">
        <v>213.0</v>
      </c>
      <c r="E1891" s="35">
        <v>30490.0</v>
      </c>
      <c r="F1891" s="35" t="s">
        <v>11</v>
      </c>
    </row>
    <row r="1892" ht="22.5" customHeight="1">
      <c r="A1892" s="37" t="s">
        <v>4020</v>
      </c>
      <c r="B1892" s="35" t="s">
        <v>4021</v>
      </c>
      <c r="C1892" s="35">
        <v>188.0</v>
      </c>
      <c r="D1892" s="35">
        <v>213.0</v>
      </c>
      <c r="E1892" s="35">
        <v>30080.0</v>
      </c>
      <c r="F1892" s="35" t="s">
        <v>11</v>
      </c>
    </row>
    <row r="1893" ht="22.5" customHeight="1">
      <c r="A1893" s="37" t="s">
        <v>4022</v>
      </c>
      <c r="B1893" s="35" t="s">
        <v>4023</v>
      </c>
      <c r="C1893" s="35">
        <v>2826.0</v>
      </c>
      <c r="D1893" s="35">
        <v>2877.0</v>
      </c>
      <c r="E1893" s="35">
        <v>25060.0</v>
      </c>
      <c r="F1893" s="35">
        <v>13.0</v>
      </c>
    </row>
    <row r="1894" ht="22.5" customHeight="1">
      <c r="A1894" s="37" t="s">
        <v>4024</v>
      </c>
      <c r="B1894" s="35" t="s">
        <v>4025</v>
      </c>
      <c r="C1894" s="35">
        <v>20033.0</v>
      </c>
      <c r="D1894" s="35">
        <v>21907.0</v>
      </c>
      <c r="E1894" s="35">
        <v>19370.0</v>
      </c>
      <c r="F1894" s="35">
        <v>32.6</v>
      </c>
    </row>
    <row r="1895" ht="22.5" customHeight="1">
      <c r="A1895" s="37" t="s">
        <v>4026</v>
      </c>
      <c r="B1895" s="35" t="s">
        <v>4027</v>
      </c>
      <c r="C1895" s="35">
        <v>1029.0</v>
      </c>
      <c r="D1895" s="35">
        <v>1170.0</v>
      </c>
      <c r="E1895" s="35">
        <v>28300.0</v>
      </c>
      <c r="F1895" s="35" t="s">
        <v>11</v>
      </c>
    </row>
    <row r="1896" ht="22.5" customHeight="1">
      <c r="A1896" s="37" t="s">
        <v>4028</v>
      </c>
      <c r="B1896" s="35" t="s">
        <v>4029</v>
      </c>
      <c r="C1896" s="35">
        <v>179.0</v>
      </c>
      <c r="D1896" s="35">
        <v>194.0</v>
      </c>
      <c r="E1896" s="35">
        <v>27690.0</v>
      </c>
      <c r="F1896" s="35" t="s">
        <v>11</v>
      </c>
    </row>
    <row r="1897" ht="22.5" customHeight="1">
      <c r="A1897" s="37" t="s">
        <v>4030</v>
      </c>
      <c r="B1897" s="35" t="s">
        <v>4031</v>
      </c>
      <c r="C1897" s="35">
        <v>234.0</v>
      </c>
      <c r="D1897" s="35">
        <v>247.0</v>
      </c>
      <c r="E1897" s="35">
        <v>29530.0</v>
      </c>
      <c r="F1897" s="35" t="s">
        <v>11</v>
      </c>
    </row>
    <row r="1898" ht="22.5" customHeight="1">
      <c r="A1898" s="37" t="s">
        <v>4032</v>
      </c>
      <c r="B1898" s="35" t="s">
        <v>4033</v>
      </c>
      <c r="C1898" s="35">
        <v>339.0</v>
      </c>
      <c r="D1898" s="35">
        <v>301.0</v>
      </c>
      <c r="E1898" s="35">
        <v>25200.0</v>
      </c>
      <c r="F1898" s="35" t="s">
        <v>11</v>
      </c>
    </row>
    <row r="1899" ht="22.5" customHeight="1">
      <c r="A1899" s="37" t="s">
        <v>4034</v>
      </c>
      <c r="B1899" s="35" t="s">
        <v>4035</v>
      </c>
      <c r="C1899" s="35">
        <v>364.0</v>
      </c>
      <c r="D1899" s="35">
        <v>392.0</v>
      </c>
      <c r="E1899" s="35">
        <v>29940.0</v>
      </c>
      <c r="F1899" s="35" t="s">
        <v>11</v>
      </c>
    </row>
    <row r="1900" ht="22.5" customHeight="1">
      <c r="A1900" s="37" t="s">
        <v>4036</v>
      </c>
      <c r="B1900" s="35" t="s">
        <v>4037</v>
      </c>
      <c r="C1900" s="35">
        <v>863.0</v>
      </c>
      <c r="D1900" s="35">
        <v>887.0</v>
      </c>
      <c r="E1900" s="35">
        <v>25280.0</v>
      </c>
      <c r="F1900" s="35" t="s">
        <v>11</v>
      </c>
    </row>
    <row r="1901" ht="22.5" customHeight="1">
      <c r="A1901" s="37" t="s">
        <v>4038</v>
      </c>
      <c r="B1901" s="35" t="s">
        <v>4039</v>
      </c>
      <c r="C1901" s="35">
        <v>13519.0</v>
      </c>
      <c r="D1901" s="35">
        <v>12971.0</v>
      </c>
      <c r="E1901" s="35">
        <v>19080.0</v>
      </c>
      <c r="F1901" s="35">
        <v>34.0</v>
      </c>
    </row>
    <row r="1902" ht="22.5" customHeight="1">
      <c r="A1902" s="37" t="s">
        <v>4040</v>
      </c>
      <c r="B1902" s="35" t="s">
        <v>4041</v>
      </c>
      <c r="C1902" s="35">
        <v>117.0</v>
      </c>
      <c r="D1902" s="35">
        <v>109.0</v>
      </c>
      <c r="E1902" s="35">
        <v>25870.0</v>
      </c>
      <c r="F1902" s="35" t="s">
        <v>11</v>
      </c>
    </row>
    <row r="1903" ht="22.5" customHeight="1">
      <c r="A1903" s="37" t="s">
        <v>4042</v>
      </c>
      <c r="B1903" s="35" t="s">
        <v>1333</v>
      </c>
      <c r="C1903" s="35">
        <v>294.0</v>
      </c>
      <c r="D1903" s="35">
        <v>346.0</v>
      </c>
      <c r="E1903" s="35">
        <v>31980.0</v>
      </c>
      <c r="F1903" s="35" t="s">
        <v>11</v>
      </c>
    </row>
    <row r="1904" ht="22.5" customHeight="1">
      <c r="A1904" s="37" t="s">
        <v>4043</v>
      </c>
      <c r="B1904" s="35" t="s">
        <v>4044</v>
      </c>
      <c r="C1904" s="35">
        <v>287.0</v>
      </c>
      <c r="D1904" s="35">
        <v>285.0</v>
      </c>
      <c r="E1904" s="35">
        <v>23640.0</v>
      </c>
      <c r="F1904" s="35" t="s">
        <v>11</v>
      </c>
    </row>
    <row r="1905" ht="22.5" customHeight="1">
      <c r="A1905" s="37" t="s">
        <v>4045</v>
      </c>
      <c r="B1905" s="35" t="s">
        <v>4046</v>
      </c>
      <c r="C1905" s="35">
        <v>198.0</v>
      </c>
      <c r="D1905" s="35">
        <v>201.0</v>
      </c>
      <c r="E1905" s="35">
        <v>27600.0</v>
      </c>
      <c r="F1905" s="35" t="s">
        <v>11</v>
      </c>
    </row>
    <row r="1906" ht="22.5" customHeight="1">
      <c r="A1906" s="37" t="s">
        <v>4047</v>
      </c>
      <c r="B1906" s="35" t="s">
        <v>4048</v>
      </c>
      <c r="C1906" s="35">
        <v>1399.0</v>
      </c>
      <c r="D1906" s="35">
        <v>1367.0</v>
      </c>
      <c r="E1906" s="35">
        <v>25790.0</v>
      </c>
      <c r="F1906" s="35" t="s">
        <v>11</v>
      </c>
    </row>
    <row r="1907" ht="22.5" customHeight="1">
      <c r="A1907" s="37" t="s">
        <v>4049</v>
      </c>
      <c r="B1907" s="35" t="s">
        <v>4050</v>
      </c>
      <c r="C1907" s="35">
        <v>343.0</v>
      </c>
      <c r="D1907" s="35">
        <v>375.0</v>
      </c>
      <c r="E1907" s="35">
        <v>31000.0</v>
      </c>
      <c r="F1907" s="35" t="s">
        <v>11</v>
      </c>
    </row>
    <row r="1908" ht="22.5" customHeight="1">
      <c r="A1908" s="37" t="s">
        <v>4051</v>
      </c>
      <c r="B1908" s="35" t="s">
        <v>4052</v>
      </c>
      <c r="C1908" s="35">
        <v>644.0</v>
      </c>
      <c r="D1908" s="35">
        <v>805.0</v>
      </c>
      <c r="E1908" s="35">
        <v>28180.0</v>
      </c>
      <c r="F1908" s="35" t="s">
        <v>11</v>
      </c>
    </row>
    <row r="1909" ht="22.5" customHeight="1">
      <c r="A1909" s="37" t="s">
        <v>4053</v>
      </c>
      <c r="B1909" s="35" t="s">
        <v>4054</v>
      </c>
      <c r="C1909" s="35">
        <v>556.0</v>
      </c>
      <c r="D1909" s="35">
        <v>537.0</v>
      </c>
      <c r="E1909" s="35">
        <v>29670.0</v>
      </c>
      <c r="F1909" s="35" t="s">
        <v>11</v>
      </c>
    </row>
    <row r="1910" ht="22.5" customHeight="1">
      <c r="A1910" s="37" t="s">
        <v>4055</v>
      </c>
      <c r="B1910" s="35" t="s">
        <v>4056</v>
      </c>
      <c r="C1910" s="35">
        <v>595.0</v>
      </c>
      <c r="D1910" s="35">
        <v>572.0</v>
      </c>
      <c r="E1910" s="35">
        <v>29110.0</v>
      </c>
      <c r="F1910" s="35" t="s">
        <v>11</v>
      </c>
    </row>
    <row r="1911" ht="22.5" customHeight="1">
      <c r="A1911" s="37" t="s">
        <v>4057</v>
      </c>
      <c r="B1911" s="35" t="s">
        <v>4058</v>
      </c>
      <c r="C1911" s="35">
        <v>3345.0</v>
      </c>
      <c r="D1911" s="35">
        <v>3583.0</v>
      </c>
      <c r="E1911" s="35">
        <v>34990.0</v>
      </c>
      <c r="F1911" s="35">
        <v>4.0</v>
      </c>
    </row>
    <row r="1912" ht="22.5" customHeight="1">
      <c r="A1912" s="37" t="s">
        <v>4059</v>
      </c>
      <c r="B1912" s="35" t="s">
        <v>4060</v>
      </c>
      <c r="C1912" s="35">
        <v>519.0</v>
      </c>
      <c r="D1912" s="35">
        <v>513.0</v>
      </c>
      <c r="E1912" s="35">
        <v>27340.0</v>
      </c>
      <c r="F1912" s="35" t="s">
        <v>11</v>
      </c>
    </row>
    <row r="1913" ht="22.5" customHeight="1">
      <c r="A1913" s="37" t="s">
        <v>4061</v>
      </c>
      <c r="B1913" s="35" t="s">
        <v>4062</v>
      </c>
      <c r="C1913" s="35">
        <v>263.0</v>
      </c>
      <c r="D1913" s="35">
        <v>293.0</v>
      </c>
      <c r="E1913" s="35">
        <v>27460.0</v>
      </c>
      <c r="F1913" s="35" t="s">
        <v>11</v>
      </c>
    </row>
    <row r="1914" ht="22.5" customHeight="1">
      <c r="A1914" s="37" t="s">
        <v>4063</v>
      </c>
      <c r="B1914" s="35" t="s">
        <v>4064</v>
      </c>
      <c r="C1914" s="35">
        <v>240.0</v>
      </c>
      <c r="D1914" s="35">
        <v>248.0</v>
      </c>
      <c r="E1914" s="35">
        <v>24460.0</v>
      </c>
      <c r="F1914" s="35" t="s">
        <v>11</v>
      </c>
    </row>
    <row r="1915" ht="22.5" customHeight="1">
      <c r="A1915" s="37" t="s">
        <v>4065</v>
      </c>
      <c r="B1915" s="35" t="s">
        <v>4066</v>
      </c>
      <c r="C1915" s="35">
        <v>580.0</v>
      </c>
      <c r="D1915" s="35">
        <v>576.0</v>
      </c>
      <c r="E1915" s="35">
        <v>24540.0</v>
      </c>
      <c r="F1915" s="35" t="s">
        <v>11</v>
      </c>
    </row>
    <row r="1916" ht="22.5" customHeight="1">
      <c r="A1916" s="37" t="s">
        <v>4067</v>
      </c>
      <c r="B1916" s="35" t="s">
        <v>4068</v>
      </c>
      <c r="C1916" s="35">
        <v>341.0</v>
      </c>
      <c r="D1916" s="35">
        <v>313.0</v>
      </c>
      <c r="E1916" s="35">
        <v>30430.0</v>
      </c>
      <c r="F1916" s="35" t="s">
        <v>11</v>
      </c>
    </row>
    <row r="1917" ht="22.5" customHeight="1">
      <c r="A1917" s="37" t="s">
        <v>4069</v>
      </c>
      <c r="B1917" s="35" t="s">
        <v>4070</v>
      </c>
      <c r="C1917" s="35">
        <v>282.0</v>
      </c>
      <c r="D1917" s="35">
        <v>271.0</v>
      </c>
      <c r="E1917" s="35">
        <v>26260.0</v>
      </c>
      <c r="F1917" s="35" t="s">
        <v>11</v>
      </c>
    </row>
    <row r="1918" ht="22.5" customHeight="1">
      <c r="A1918" s="37" t="s">
        <v>4071</v>
      </c>
      <c r="B1918" s="35" t="s">
        <v>4072</v>
      </c>
      <c r="C1918" s="35">
        <v>1137.0</v>
      </c>
      <c r="D1918" s="35">
        <v>1224.0</v>
      </c>
      <c r="E1918" s="35">
        <v>29980.0</v>
      </c>
      <c r="F1918" s="35" t="s">
        <v>11</v>
      </c>
    </row>
    <row r="1919" ht="22.5" customHeight="1">
      <c r="A1919" s="37" t="s">
        <v>4073</v>
      </c>
      <c r="B1919" s="35" t="s">
        <v>4074</v>
      </c>
      <c r="C1919" s="35">
        <v>365.0</v>
      </c>
      <c r="D1919" s="35">
        <v>365.0</v>
      </c>
      <c r="E1919" s="35">
        <v>30240.0</v>
      </c>
      <c r="F1919" s="35" t="s">
        <v>11</v>
      </c>
    </row>
    <row r="1920" ht="22.5" customHeight="1">
      <c r="A1920" s="37" t="s">
        <v>4075</v>
      </c>
      <c r="B1920" s="35" t="s">
        <v>4076</v>
      </c>
      <c r="C1920" s="35">
        <v>1808.0</v>
      </c>
      <c r="D1920" s="35">
        <v>1877.0</v>
      </c>
      <c r="E1920" s="35">
        <v>29320.0</v>
      </c>
      <c r="F1920" s="35" t="s">
        <v>11</v>
      </c>
    </row>
    <row r="1921" ht="22.5" customHeight="1">
      <c r="A1921" s="37" t="s">
        <v>4077</v>
      </c>
      <c r="B1921" s="35" t="s">
        <v>4078</v>
      </c>
      <c r="C1921" s="35">
        <v>868.0</v>
      </c>
      <c r="D1921" s="35">
        <v>848.0</v>
      </c>
      <c r="E1921" s="35">
        <v>26580.0</v>
      </c>
      <c r="F1921" s="35" t="s">
        <v>11</v>
      </c>
    </row>
    <row r="1922" ht="22.5" customHeight="1">
      <c r="A1922" s="37" t="s">
        <v>4079</v>
      </c>
      <c r="B1922" s="35" t="s">
        <v>4080</v>
      </c>
      <c r="C1922" s="35">
        <v>500.0</v>
      </c>
      <c r="D1922" s="35">
        <v>519.0</v>
      </c>
      <c r="E1922" s="35">
        <v>26940.0</v>
      </c>
      <c r="F1922" s="35" t="s">
        <v>11</v>
      </c>
    </row>
    <row r="1923" ht="22.5" customHeight="1">
      <c r="A1923" s="37" t="s">
        <v>4081</v>
      </c>
      <c r="B1923" s="35" t="s">
        <v>4082</v>
      </c>
      <c r="C1923" s="35">
        <v>1787.0</v>
      </c>
      <c r="D1923" s="35">
        <v>1786.0</v>
      </c>
      <c r="E1923" s="35">
        <v>34050.0</v>
      </c>
      <c r="F1923" s="35" t="s">
        <v>11</v>
      </c>
    </row>
    <row r="1924" ht="22.5" customHeight="1">
      <c r="A1924" s="37" t="s">
        <v>4083</v>
      </c>
      <c r="B1924" s="35" t="s">
        <v>4084</v>
      </c>
      <c r="C1924" s="35">
        <v>403.0</v>
      </c>
      <c r="D1924" s="35">
        <v>422.0</v>
      </c>
      <c r="E1924" s="35">
        <v>26210.0</v>
      </c>
      <c r="F1924" s="35" t="s">
        <v>11</v>
      </c>
    </row>
    <row r="1925" ht="22.5" customHeight="1">
      <c r="A1925" s="37" t="s">
        <v>4085</v>
      </c>
      <c r="B1925" s="35" t="s">
        <v>4086</v>
      </c>
      <c r="C1925" s="35">
        <v>161.0</v>
      </c>
      <c r="D1925" s="35">
        <v>159.0</v>
      </c>
      <c r="E1925" s="35">
        <v>24790.0</v>
      </c>
      <c r="F1925" s="35" t="s">
        <v>11</v>
      </c>
    </row>
    <row r="1926" ht="22.5" customHeight="1">
      <c r="A1926" s="37" t="s">
        <v>4087</v>
      </c>
      <c r="B1926" s="35" t="s">
        <v>4088</v>
      </c>
      <c r="C1926" s="35">
        <v>214.0</v>
      </c>
      <c r="D1926" s="35">
        <v>213.0</v>
      </c>
      <c r="E1926" s="35">
        <v>26750.0</v>
      </c>
      <c r="F1926" s="35" t="s">
        <v>11</v>
      </c>
    </row>
    <row r="1927" ht="22.5" customHeight="1">
      <c r="A1927" s="37" t="s">
        <v>4089</v>
      </c>
      <c r="B1927" s="35" t="s">
        <v>4090</v>
      </c>
      <c r="C1927" s="35">
        <v>514.0</v>
      </c>
      <c r="D1927" s="35">
        <v>521.0</v>
      </c>
      <c r="E1927" s="35">
        <v>25310.0</v>
      </c>
      <c r="F1927" s="35" t="s">
        <v>11</v>
      </c>
    </row>
    <row r="1928" ht="22.5" customHeight="1">
      <c r="A1928" s="37" t="s">
        <v>4091</v>
      </c>
      <c r="B1928" s="35" t="s">
        <v>4092</v>
      </c>
      <c r="C1928" s="35">
        <v>233.0</v>
      </c>
      <c r="D1928" s="35">
        <v>245.0</v>
      </c>
      <c r="E1928" s="35">
        <v>26700.0</v>
      </c>
      <c r="F1928" s="35" t="s">
        <v>11</v>
      </c>
    </row>
    <row r="1929" ht="22.5" customHeight="1">
      <c r="A1929" s="37" t="s">
        <v>4093</v>
      </c>
      <c r="B1929" s="35" t="s">
        <v>4094</v>
      </c>
      <c r="C1929" s="35">
        <v>3408.0</v>
      </c>
      <c r="D1929" s="35">
        <v>4009.0</v>
      </c>
      <c r="E1929" s="35">
        <v>27400.0</v>
      </c>
      <c r="F1929" s="35">
        <v>8.0</v>
      </c>
    </row>
    <row r="1930" ht="22.5" customHeight="1">
      <c r="A1930" s="37" t="s">
        <v>4095</v>
      </c>
      <c r="B1930" s="35" t="s">
        <v>4096</v>
      </c>
      <c r="C1930" s="35">
        <v>1365.0</v>
      </c>
      <c r="D1930" s="35">
        <v>1298.0</v>
      </c>
      <c r="E1930" s="35">
        <v>28750.0</v>
      </c>
      <c r="F1930" s="35" t="s">
        <v>11</v>
      </c>
    </row>
    <row r="1931" ht="22.5" customHeight="1">
      <c r="A1931" s="37" t="s">
        <v>4097</v>
      </c>
      <c r="B1931" s="35" t="s">
        <v>4098</v>
      </c>
      <c r="C1931" s="35">
        <v>102.0</v>
      </c>
      <c r="D1931" s="35">
        <v>113.0</v>
      </c>
      <c r="E1931" s="35">
        <v>24060.0</v>
      </c>
      <c r="F1931" s="35" t="s">
        <v>11</v>
      </c>
    </row>
    <row r="1932" ht="22.5" customHeight="1">
      <c r="A1932" s="37" t="s">
        <v>4099</v>
      </c>
      <c r="B1932" s="35" t="s">
        <v>4100</v>
      </c>
      <c r="C1932" s="35">
        <v>113.0</v>
      </c>
      <c r="D1932" s="35">
        <v>112.0</v>
      </c>
      <c r="E1932" s="35">
        <v>25240.0</v>
      </c>
      <c r="F1932" s="35" t="s">
        <v>11</v>
      </c>
    </row>
    <row r="1933" ht="22.5" customHeight="1">
      <c r="A1933" s="37" t="s">
        <v>4101</v>
      </c>
      <c r="B1933" s="35" t="s">
        <v>4102</v>
      </c>
      <c r="C1933" s="35">
        <v>1113.0</v>
      </c>
      <c r="D1933" s="35">
        <v>1163.0</v>
      </c>
      <c r="E1933" s="35">
        <v>28450.0</v>
      </c>
      <c r="F1933" s="35" t="s">
        <v>11</v>
      </c>
    </row>
    <row r="1934" ht="22.5" customHeight="1">
      <c r="A1934" s="37" t="s">
        <v>4103</v>
      </c>
      <c r="B1934" s="35" t="s">
        <v>4104</v>
      </c>
      <c r="C1934" s="35">
        <v>817.0</v>
      </c>
      <c r="D1934" s="35">
        <v>905.0</v>
      </c>
      <c r="E1934" s="35">
        <v>32750.0</v>
      </c>
      <c r="F1934" s="35" t="s">
        <v>11</v>
      </c>
    </row>
    <row r="1935" ht="22.5" customHeight="1">
      <c r="A1935" s="37" t="s">
        <v>4105</v>
      </c>
      <c r="B1935" s="35" t="s">
        <v>4106</v>
      </c>
      <c r="C1935" s="35">
        <v>672.0</v>
      </c>
      <c r="D1935" s="35">
        <v>648.0</v>
      </c>
      <c r="E1935" s="35">
        <v>22550.0</v>
      </c>
      <c r="F1935" s="35" t="s">
        <v>11</v>
      </c>
    </row>
    <row r="1936" ht="22.5" customHeight="1">
      <c r="A1936" s="37" t="s">
        <v>4107</v>
      </c>
      <c r="B1936" s="35" t="s">
        <v>4108</v>
      </c>
      <c r="C1936" s="35">
        <v>459.0</v>
      </c>
      <c r="D1936" s="35">
        <v>427.0</v>
      </c>
      <c r="E1936" s="35">
        <v>26180.0</v>
      </c>
      <c r="F1936" s="35" t="s">
        <v>11</v>
      </c>
    </row>
    <row r="1937" ht="22.5" customHeight="1">
      <c r="A1937" s="37" t="s">
        <v>4109</v>
      </c>
      <c r="B1937" s="35" t="s">
        <v>4110</v>
      </c>
      <c r="C1937" s="35">
        <v>3268.0</v>
      </c>
      <c r="D1937" s="35">
        <v>3275.0</v>
      </c>
      <c r="E1937" s="35">
        <v>29750.0</v>
      </c>
      <c r="F1937" s="35">
        <v>7.0</v>
      </c>
    </row>
    <row r="1938" ht="22.5" customHeight="1">
      <c r="A1938" s="37" t="s">
        <v>4111</v>
      </c>
      <c r="B1938" s="35" t="s">
        <v>4112</v>
      </c>
      <c r="C1938" s="35">
        <v>12209.0</v>
      </c>
      <c r="D1938" s="35">
        <v>12361.0</v>
      </c>
      <c r="E1938" s="35">
        <v>22980.0</v>
      </c>
      <c r="F1938" s="35">
        <v>21.0</v>
      </c>
    </row>
    <row r="1939" ht="22.5" customHeight="1">
      <c r="A1939" s="37" t="s">
        <v>4113</v>
      </c>
      <c r="B1939" s="35" t="s">
        <v>4114</v>
      </c>
      <c r="C1939" s="35">
        <v>609.0</v>
      </c>
      <c r="D1939" s="35">
        <v>677.0</v>
      </c>
      <c r="E1939" s="35">
        <v>27510.0</v>
      </c>
      <c r="F1939" s="35" t="s">
        <v>11</v>
      </c>
    </row>
    <row r="1940" ht="22.5" customHeight="1">
      <c r="A1940" s="37" t="s">
        <v>4115</v>
      </c>
      <c r="B1940" s="35" t="s">
        <v>4116</v>
      </c>
      <c r="C1940" s="35">
        <v>393.0</v>
      </c>
      <c r="D1940" s="35">
        <v>416.0</v>
      </c>
      <c r="E1940" s="35">
        <v>25670.0</v>
      </c>
      <c r="F1940" s="35" t="s">
        <v>11</v>
      </c>
    </row>
    <row r="1941" ht="22.5" customHeight="1">
      <c r="A1941" s="37" t="s">
        <v>4117</v>
      </c>
      <c r="B1941" s="35" t="s">
        <v>4118</v>
      </c>
      <c r="C1941" s="35">
        <v>156.0</v>
      </c>
      <c r="D1941" s="35">
        <v>148.0</v>
      </c>
      <c r="E1941" s="35">
        <v>26730.0</v>
      </c>
      <c r="F1941" s="35" t="s">
        <v>11</v>
      </c>
    </row>
    <row r="1942" ht="22.5" customHeight="1">
      <c r="A1942" s="37" t="s">
        <v>4119</v>
      </c>
      <c r="B1942" s="35" t="s">
        <v>4120</v>
      </c>
      <c r="C1942" s="35">
        <v>3205.0</v>
      </c>
      <c r="D1942" s="35">
        <v>3332.0</v>
      </c>
      <c r="E1942" s="35">
        <v>31530.0</v>
      </c>
      <c r="F1942" s="35">
        <v>7.0</v>
      </c>
    </row>
    <row r="1943" ht="22.5" customHeight="1">
      <c r="A1943" s="37" t="s">
        <v>4121</v>
      </c>
      <c r="B1943" s="35" t="s">
        <v>4122</v>
      </c>
      <c r="C1943" s="35">
        <v>232.0</v>
      </c>
      <c r="D1943" s="35">
        <v>251.0</v>
      </c>
      <c r="E1943" s="35">
        <v>25130.0</v>
      </c>
      <c r="F1943" s="35" t="s">
        <v>11</v>
      </c>
    </row>
    <row r="1944" ht="22.5" customHeight="1">
      <c r="A1944" s="37" t="s">
        <v>4123</v>
      </c>
      <c r="B1944" s="35" t="s">
        <v>4124</v>
      </c>
      <c r="C1944" s="35">
        <v>382.0</v>
      </c>
      <c r="D1944" s="35">
        <v>365.0</v>
      </c>
      <c r="E1944" s="35">
        <v>27780.0</v>
      </c>
      <c r="F1944" s="35" t="s">
        <v>11</v>
      </c>
    </row>
    <row r="1945" ht="22.5" customHeight="1">
      <c r="A1945" s="37" t="s">
        <v>4125</v>
      </c>
      <c r="B1945" s="35" t="s">
        <v>4126</v>
      </c>
      <c r="C1945" s="35">
        <v>420.0</v>
      </c>
      <c r="D1945" s="35">
        <v>398.0</v>
      </c>
      <c r="E1945" s="35">
        <v>23970.0</v>
      </c>
      <c r="F1945" s="35" t="s">
        <v>11</v>
      </c>
    </row>
    <row r="1946" ht="22.5" customHeight="1">
      <c r="A1946" s="37" t="s">
        <v>4127</v>
      </c>
      <c r="B1946" s="35" t="s">
        <v>4128</v>
      </c>
      <c r="C1946" s="35">
        <v>851.0</v>
      </c>
      <c r="D1946" s="35">
        <v>877.0</v>
      </c>
      <c r="E1946" s="35">
        <v>29490.0</v>
      </c>
      <c r="F1946" s="35" t="s">
        <v>11</v>
      </c>
    </row>
    <row r="1947" ht="22.5" customHeight="1">
      <c r="A1947" s="37" t="s">
        <v>4129</v>
      </c>
      <c r="B1947" s="35" t="s">
        <v>4130</v>
      </c>
      <c r="C1947" s="35">
        <v>203.0</v>
      </c>
      <c r="D1947" s="35">
        <v>203.0</v>
      </c>
      <c r="E1947" s="35">
        <v>26520.0</v>
      </c>
      <c r="F1947" s="35" t="s">
        <v>11</v>
      </c>
    </row>
    <row r="1948" ht="22.5" customHeight="1">
      <c r="A1948" s="37" t="s">
        <v>4131</v>
      </c>
      <c r="B1948" s="35" t="s">
        <v>4132</v>
      </c>
      <c r="C1948" s="35">
        <v>181.0</v>
      </c>
      <c r="D1948" s="35">
        <v>171.0</v>
      </c>
      <c r="E1948" s="35">
        <v>24000.0</v>
      </c>
      <c r="F1948" s="35" t="s">
        <v>11</v>
      </c>
    </row>
    <row r="1949" ht="22.5" customHeight="1">
      <c r="A1949" s="37" t="s">
        <v>4133</v>
      </c>
      <c r="B1949" s="35" t="s">
        <v>4134</v>
      </c>
      <c r="C1949" s="35">
        <v>213.0</v>
      </c>
      <c r="D1949" s="35">
        <v>217.0</v>
      </c>
      <c r="E1949" s="35">
        <v>27160.0</v>
      </c>
      <c r="F1949" s="35" t="s">
        <v>11</v>
      </c>
    </row>
    <row r="1950" ht="22.5" customHeight="1">
      <c r="A1950" s="37" t="s">
        <v>4135</v>
      </c>
      <c r="B1950" s="35" t="s">
        <v>4136</v>
      </c>
      <c r="C1950" s="35">
        <v>396.0</v>
      </c>
      <c r="D1950" s="35">
        <v>410.0</v>
      </c>
      <c r="E1950" s="35">
        <v>24940.0</v>
      </c>
      <c r="F1950" s="35" t="s">
        <v>11</v>
      </c>
    </row>
    <row r="1951" ht="22.5" customHeight="1">
      <c r="A1951" s="37" t="s">
        <v>4137</v>
      </c>
      <c r="B1951" s="35" t="s">
        <v>4138</v>
      </c>
      <c r="C1951" s="35">
        <v>322.0</v>
      </c>
      <c r="D1951" s="35">
        <v>320.0</v>
      </c>
      <c r="E1951" s="35">
        <v>23570.0</v>
      </c>
      <c r="F1951" s="35" t="s">
        <v>11</v>
      </c>
    </row>
    <row r="1952" ht="22.5" customHeight="1">
      <c r="A1952" s="37" t="s">
        <v>4139</v>
      </c>
      <c r="B1952" s="35" t="s">
        <v>4140</v>
      </c>
      <c r="C1952" s="35">
        <v>927.0</v>
      </c>
      <c r="D1952" s="35">
        <v>895.0</v>
      </c>
      <c r="E1952" s="35">
        <v>28090.0</v>
      </c>
      <c r="F1952" s="35" t="s">
        <v>11</v>
      </c>
    </row>
    <row r="1953" ht="22.5" customHeight="1">
      <c r="A1953" s="37" t="s">
        <v>4141</v>
      </c>
      <c r="B1953" s="35" t="s">
        <v>4142</v>
      </c>
      <c r="C1953" s="35">
        <v>2506.0</v>
      </c>
      <c r="D1953" s="35">
        <v>2524.0</v>
      </c>
      <c r="E1953" s="35">
        <v>24500.0</v>
      </c>
      <c r="F1953" s="35">
        <v>15.0</v>
      </c>
    </row>
    <row r="1954" ht="22.5" customHeight="1">
      <c r="A1954" s="37" t="s">
        <v>4143</v>
      </c>
      <c r="B1954" s="35" t="s">
        <v>4144</v>
      </c>
      <c r="C1954" s="35">
        <v>144.0</v>
      </c>
      <c r="D1954" s="35">
        <v>127.0</v>
      </c>
      <c r="E1954" s="35">
        <v>37530.0</v>
      </c>
      <c r="F1954" s="35" t="s">
        <v>11</v>
      </c>
    </row>
    <row r="1955" ht="22.5" customHeight="1">
      <c r="A1955" s="37" t="s">
        <v>4145</v>
      </c>
      <c r="B1955" s="35" t="s">
        <v>4146</v>
      </c>
      <c r="C1955" s="35">
        <v>1098.0</v>
      </c>
      <c r="D1955" s="35">
        <v>1041.0</v>
      </c>
      <c r="E1955" s="35">
        <v>26600.0</v>
      </c>
      <c r="F1955" s="35" t="s">
        <v>11</v>
      </c>
    </row>
    <row r="1956" ht="22.5" customHeight="1">
      <c r="A1956" s="37" t="s">
        <v>4147</v>
      </c>
      <c r="B1956" s="35" t="s">
        <v>4148</v>
      </c>
      <c r="C1956" s="35">
        <v>149.0</v>
      </c>
      <c r="D1956" s="35">
        <v>140.0</v>
      </c>
      <c r="E1956" s="35">
        <v>28430.0</v>
      </c>
      <c r="F1956" s="35" t="s">
        <v>11</v>
      </c>
    </row>
    <row r="1957" ht="22.5" customHeight="1">
      <c r="A1957" s="37" t="s">
        <v>4149</v>
      </c>
      <c r="B1957" s="35" t="s">
        <v>4150</v>
      </c>
      <c r="C1957" s="35">
        <v>126.0</v>
      </c>
      <c r="D1957" s="35">
        <v>115.0</v>
      </c>
      <c r="E1957" s="35">
        <v>31150.0</v>
      </c>
      <c r="F1957" s="35" t="s">
        <v>11</v>
      </c>
    </row>
    <row r="1958" ht="22.5" customHeight="1">
      <c r="A1958" s="37" t="s">
        <v>4151</v>
      </c>
      <c r="B1958" s="35" t="s">
        <v>4152</v>
      </c>
      <c r="C1958" s="35">
        <v>79.0</v>
      </c>
      <c r="D1958" s="35">
        <v>78.0</v>
      </c>
      <c r="E1958" s="35" t="s">
        <v>11</v>
      </c>
      <c r="F1958" s="35" t="s">
        <v>11</v>
      </c>
    </row>
    <row r="1959" ht="22.5" customHeight="1">
      <c r="A1959" s="37" t="s">
        <v>4153</v>
      </c>
      <c r="B1959" s="35" t="s">
        <v>4154</v>
      </c>
      <c r="C1959" s="35">
        <v>216.0</v>
      </c>
      <c r="D1959" s="35">
        <v>210.0</v>
      </c>
      <c r="E1959" s="35">
        <v>30130.0</v>
      </c>
      <c r="F1959" s="35" t="s">
        <v>11</v>
      </c>
    </row>
    <row r="1960" ht="22.5" customHeight="1">
      <c r="A1960" s="37" t="s">
        <v>4155</v>
      </c>
      <c r="B1960" s="35" t="s">
        <v>4156</v>
      </c>
      <c r="C1960" s="35">
        <v>1836.0</v>
      </c>
      <c r="D1960" s="35">
        <v>1928.0</v>
      </c>
      <c r="E1960" s="35">
        <v>28730.0</v>
      </c>
      <c r="F1960" s="35" t="s">
        <v>11</v>
      </c>
    </row>
    <row r="1961" ht="22.5" customHeight="1">
      <c r="A1961" s="37" t="s">
        <v>4157</v>
      </c>
      <c r="B1961" s="35" t="s">
        <v>4158</v>
      </c>
      <c r="C1961" s="35">
        <v>1687.0</v>
      </c>
      <c r="D1961" s="35">
        <v>1727.0</v>
      </c>
      <c r="E1961" s="35">
        <v>23460.0</v>
      </c>
      <c r="F1961" s="35" t="s">
        <v>11</v>
      </c>
    </row>
    <row r="1962" ht="22.5" customHeight="1">
      <c r="A1962" s="37" t="s">
        <v>4159</v>
      </c>
      <c r="B1962" s="35" t="s">
        <v>4160</v>
      </c>
      <c r="C1962" s="35">
        <v>656.0</v>
      </c>
      <c r="D1962" s="35">
        <v>647.0</v>
      </c>
      <c r="E1962" s="35">
        <v>31480.0</v>
      </c>
      <c r="F1962" s="35" t="s">
        <v>11</v>
      </c>
    </row>
    <row r="1963" ht="22.5" customHeight="1">
      <c r="A1963" s="37" t="s">
        <v>4161</v>
      </c>
      <c r="B1963" s="35" t="s">
        <v>4162</v>
      </c>
      <c r="C1963" s="35">
        <v>329.0</v>
      </c>
      <c r="D1963" s="35">
        <v>329.0</v>
      </c>
      <c r="E1963" s="35">
        <v>26630.0</v>
      </c>
      <c r="F1963" s="35" t="s">
        <v>11</v>
      </c>
    </row>
    <row r="1964" ht="22.5" customHeight="1">
      <c r="A1964" s="37" t="s">
        <v>4163</v>
      </c>
      <c r="B1964" s="35" t="s">
        <v>4164</v>
      </c>
      <c r="C1964" s="35">
        <v>140.0</v>
      </c>
      <c r="D1964" s="35">
        <v>134.0</v>
      </c>
      <c r="E1964" s="35">
        <v>36700.0</v>
      </c>
      <c r="F1964" s="35" t="s">
        <v>11</v>
      </c>
    </row>
    <row r="1965" ht="22.5" customHeight="1">
      <c r="A1965" s="37" t="s">
        <v>4165</v>
      </c>
      <c r="B1965" s="35" t="s">
        <v>4166</v>
      </c>
      <c r="C1965" s="35">
        <v>3748.0</v>
      </c>
      <c r="D1965" s="35">
        <v>3871.0</v>
      </c>
      <c r="E1965" s="35">
        <v>23600.0</v>
      </c>
      <c r="F1965" s="35">
        <v>17.0</v>
      </c>
    </row>
    <row r="1966" ht="22.5" customHeight="1">
      <c r="A1966" s="37" t="s">
        <v>4167</v>
      </c>
      <c r="B1966" s="35" t="s">
        <v>4168</v>
      </c>
      <c r="C1966" s="35">
        <v>285.0</v>
      </c>
      <c r="D1966" s="35">
        <v>298.0</v>
      </c>
      <c r="E1966" s="35">
        <v>27960.0</v>
      </c>
      <c r="F1966" s="35" t="s">
        <v>11</v>
      </c>
    </row>
    <row r="1967" ht="22.5" customHeight="1">
      <c r="A1967" s="37" t="s">
        <v>4169</v>
      </c>
      <c r="B1967" s="35" t="s">
        <v>4170</v>
      </c>
      <c r="C1967" s="35">
        <v>1567.0</v>
      </c>
      <c r="D1967" s="35">
        <v>1559.0</v>
      </c>
      <c r="E1967" s="35">
        <v>28040.0</v>
      </c>
      <c r="F1967" s="35" t="s">
        <v>11</v>
      </c>
    </row>
    <row r="1968" ht="22.5" customHeight="1">
      <c r="A1968" s="37" t="s">
        <v>4171</v>
      </c>
      <c r="B1968" s="35" t="s">
        <v>4172</v>
      </c>
      <c r="C1968" s="35">
        <v>595.0</v>
      </c>
      <c r="D1968" s="35">
        <v>639.0</v>
      </c>
      <c r="E1968" s="35">
        <v>27890.0</v>
      </c>
      <c r="F1968" s="35" t="s">
        <v>11</v>
      </c>
    </row>
    <row r="1969" ht="22.5" customHeight="1">
      <c r="A1969" s="37" t="s">
        <v>4173</v>
      </c>
      <c r="B1969" s="35" t="s">
        <v>4174</v>
      </c>
      <c r="C1969" s="35">
        <v>367.0</v>
      </c>
      <c r="D1969" s="35">
        <v>350.0</v>
      </c>
      <c r="E1969" s="35">
        <v>27640.0</v>
      </c>
      <c r="F1969" s="35" t="s">
        <v>11</v>
      </c>
    </row>
    <row r="1970" ht="22.5" customHeight="1">
      <c r="A1970" s="37" t="s">
        <v>4175</v>
      </c>
      <c r="B1970" s="35" t="s">
        <v>4176</v>
      </c>
      <c r="C1970" s="35">
        <v>990.0</v>
      </c>
      <c r="D1970" s="35">
        <v>995.0</v>
      </c>
      <c r="E1970" s="35">
        <v>26420.0</v>
      </c>
      <c r="F1970" s="35" t="s">
        <v>11</v>
      </c>
    </row>
    <row r="1971" ht="22.5" customHeight="1">
      <c r="A1971" s="37" t="s">
        <v>4177</v>
      </c>
      <c r="B1971" s="35" t="s">
        <v>4178</v>
      </c>
      <c r="C1971" s="35">
        <v>121.0</v>
      </c>
      <c r="D1971" s="35">
        <v>117.0</v>
      </c>
      <c r="E1971" s="35">
        <v>29670.0</v>
      </c>
      <c r="F1971" s="35" t="s">
        <v>11</v>
      </c>
    </row>
    <row r="1972" ht="22.5" customHeight="1">
      <c r="A1972" s="37" t="s">
        <v>4179</v>
      </c>
      <c r="B1972" s="35" t="s">
        <v>4180</v>
      </c>
      <c r="C1972" s="35">
        <v>197.0</v>
      </c>
      <c r="D1972" s="35">
        <v>184.0</v>
      </c>
      <c r="E1972" s="35">
        <v>26660.0</v>
      </c>
      <c r="F1972" s="35" t="s">
        <v>11</v>
      </c>
    </row>
    <row r="1973" ht="22.5" customHeight="1">
      <c r="A1973" s="37" t="s">
        <v>4181</v>
      </c>
      <c r="B1973" s="35" t="s">
        <v>4182</v>
      </c>
      <c r="C1973" s="35">
        <v>547.0</v>
      </c>
      <c r="D1973" s="35">
        <v>560.0</v>
      </c>
      <c r="E1973" s="35">
        <v>21620.0</v>
      </c>
      <c r="F1973" s="35" t="s">
        <v>11</v>
      </c>
    </row>
    <row r="1974" ht="22.5" customHeight="1">
      <c r="A1974" s="37" t="s">
        <v>4183</v>
      </c>
      <c r="B1974" s="35" t="s">
        <v>4184</v>
      </c>
      <c r="C1974" s="35">
        <v>137.0</v>
      </c>
      <c r="D1974" s="35">
        <v>139.0</v>
      </c>
      <c r="E1974" s="35">
        <v>33430.0</v>
      </c>
      <c r="F1974" s="35" t="s">
        <v>11</v>
      </c>
    </row>
    <row r="1975" ht="22.5" customHeight="1">
      <c r="A1975" s="37" t="s">
        <v>4185</v>
      </c>
      <c r="B1975" s="35" t="s">
        <v>4186</v>
      </c>
      <c r="C1975" s="35">
        <v>632.0</v>
      </c>
      <c r="D1975" s="35">
        <v>622.0</v>
      </c>
      <c r="E1975" s="35">
        <v>31360.0</v>
      </c>
      <c r="F1975" s="35" t="s">
        <v>11</v>
      </c>
    </row>
    <row r="1976" ht="22.5" customHeight="1">
      <c r="A1976" s="37" t="s">
        <v>4187</v>
      </c>
      <c r="B1976" s="35" t="s">
        <v>4188</v>
      </c>
      <c r="C1976" s="35">
        <v>567.0</v>
      </c>
      <c r="D1976" s="35">
        <v>604.0</v>
      </c>
      <c r="E1976" s="35">
        <v>28660.0</v>
      </c>
      <c r="F1976" s="35" t="s">
        <v>11</v>
      </c>
    </row>
    <row r="1977" ht="22.5" customHeight="1">
      <c r="A1977" s="37" t="s">
        <v>4189</v>
      </c>
      <c r="B1977" s="35" t="s">
        <v>4190</v>
      </c>
      <c r="C1977" s="35">
        <v>213.0</v>
      </c>
      <c r="D1977" s="35">
        <v>235.0</v>
      </c>
      <c r="E1977" s="35">
        <v>28430.0</v>
      </c>
      <c r="F1977" s="35" t="s">
        <v>11</v>
      </c>
    </row>
    <row r="1978" ht="22.5" customHeight="1">
      <c r="A1978" s="37" t="s">
        <v>4191</v>
      </c>
      <c r="B1978" s="35" t="s">
        <v>4192</v>
      </c>
      <c r="C1978" s="35">
        <v>226.0</v>
      </c>
      <c r="D1978" s="35">
        <v>227.0</v>
      </c>
      <c r="E1978" s="35">
        <v>25220.0</v>
      </c>
      <c r="F1978" s="35" t="s">
        <v>11</v>
      </c>
    </row>
    <row r="1979" ht="22.5" customHeight="1">
      <c r="A1979" s="37" t="s">
        <v>4193</v>
      </c>
      <c r="B1979" s="35" t="s">
        <v>4194</v>
      </c>
      <c r="C1979" s="35">
        <v>314.0</v>
      </c>
      <c r="D1979" s="35">
        <v>277.0</v>
      </c>
      <c r="E1979" s="35">
        <v>28220.0</v>
      </c>
      <c r="F1979" s="35" t="s">
        <v>11</v>
      </c>
    </row>
    <row r="1980" ht="22.5" customHeight="1">
      <c r="A1980" s="37" t="s">
        <v>4195</v>
      </c>
      <c r="B1980" s="35" t="s">
        <v>4196</v>
      </c>
      <c r="C1980" s="35">
        <v>254.0</v>
      </c>
      <c r="D1980" s="35">
        <v>254.0</v>
      </c>
      <c r="E1980" s="35">
        <v>33680.0</v>
      </c>
      <c r="F1980" s="35" t="s">
        <v>11</v>
      </c>
    </row>
    <row r="1981" ht="22.5" customHeight="1">
      <c r="A1981" s="37" t="s">
        <v>4197</v>
      </c>
      <c r="B1981" s="35" t="s">
        <v>4198</v>
      </c>
      <c r="C1981" s="35">
        <v>276.0</v>
      </c>
      <c r="D1981" s="35">
        <v>277.0</v>
      </c>
      <c r="E1981" s="35">
        <v>28980.0</v>
      </c>
      <c r="F1981" s="35" t="s">
        <v>11</v>
      </c>
    </row>
    <row r="1982" ht="22.5" customHeight="1">
      <c r="A1982" s="37" t="s">
        <v>4199</v>
      </c>
      <c r="B1982" s="35" t="s">
        <v>4200</v>
      </c>
      <c r="C1982" s="35">
        <v>465.0</v>
      </c>
      <c r="D1982" s="35">
        <v>471.0</v>
      </c>
      <c r="E1982" s="35">
        <v>27320.0</v>
      </c>
      <c r="F1982" s="35" t="s">
        <v>11</v>
      </c>
    </row>
    <row r="1983" ht="22.5" customHeight="1">
      <c r="A1983" s="37" t="s">
        <v>4201</v>
      </c>
      <c r="B1983" s="35" t="s">
        <v>4202</v>
      </c>
      <c r="C1983" s="35">
        <v>54.0</v>
      </c>
      <c r="D1983" s="35">
        <v>71.0</v>
      </c>
      <c r="E1983" s="35" t="s">
        <v>11</v>
      </c>
      <c r="F1983" s="35" t="s">
        <v>11</v>
      </c>
    </row>
    <row r="1984" ht="22.5" customHeight="1">
      <c r="A1984" s="37" t="s">
        <v>4203</v>
      </c>
      <c r="B1984" s="35" t="s">
        <v>4204</v>
      </c>
      <c r="C1984" s="35">
        <v>209.0</v>
      </c>
      <c r="D1984" s="35">
        <v>215.0</v>
      </c>
      <c r="E1984" s="35">
        <v>26190.0</v>
      </c>
      <c r="F1984" s="35" t="s">
        <v>11</v>
      </c>
    </row>
    <row r="1985" ht="22.5" customHeight="1">
      <c r="A1985" s="37" t="s">
        <v>4205</v>
      </c>
      <c r="B1985" s="35" t="s">
        <v>4206</v>
      </c>
      <c r="C1985" s="35">
        <v>318.0</v>
      </c>
      <c r="D1985" s="35">
        <v>328.0</v>
      </c>
      <c r="E1985" s="35">
        <v>28790.0</v>
      </c>
      <c r="F1985" s="35" t="s">
        <v>11</v>
      </c>
    </row>
    <row r="1986" ht="22.5" customHeight="1">
      <c r="A1986" s="37" t="s">
        <v>4207</v>
      </c>
      <c r="B1986" s="35" t="s">
        <v>4208</v>
      </c>
      <c r="C1986" s="35">
        <v>466.0</v>
      </c>
      <c r="D1986" s="35">
        <v>448.0</v>
      </c>
      <c r="E1986" s="35">
        <v>26850.0</v>
      </c>
      <c r="F1986" s="35" t="s">
        <v>11</v>
      </c>
    </row>
    <row r="1987" ht="22.5" customHeight="1">
      <c r="A1987" s="37" t="s">
        <v>4209</v>
      </c>
      <c r="B1987" s="35" t="s">
        <v>4210</v>
      </c>
      <c r="C1987" s="35">
        <v>809.0</v>
      </c>
      <c r="D1987" s="35">
        <v>855.0</v>
      </c>
      <c r="E1987" s="35">
        <v>28330.0</v>
      </c>
      <c r="F1987" s="35" t="s">
        <v>11</v>
      </c>
    </row>
    <row r="1988" ht="22.5" customHeight="1">
      <c r="A1988" s="37" t="s">
        <v>4211</v>
      </c>
      <c r="B1988" s="35" t="s">
        <v>4212</v>
      </c>
      <c r="C1988" s="35">
        <v>720.0</v>
      </c>
      <c r="D1988" s="35">
        <v>757.0</v>
      </c>
      <c r="E1988" s="35">
        <v>35530.0</v>
      </c>
      <c r="F1988" s="35" t="s">
        <v>11</v>
      </c>
    </row>
    <row r="1989" ht="22.5" customHeight="1">
      <c r="A1989" s="37" t="s">
        <v>4213</v>
      </c>
      <c r="B1989" s="35" t="s">
        <v>4214</v>
      </c>
      <c r="C1989" s="35">
        <v>200.0</v>
      </c>
      <c r="D1989" s="35">
        <v>247.0</v>
      </c>
      <c r="E1989" s="35">
        <v>28480.0</v>
      </c>
      <c r="F1989" s="35" t="s">
        <v>11</v>
      </c>
    </row>
    <row r="1990" ht="22.5" customHeight="1">
      <c r="A1990" s="37" t="s">
        <v>4215</v>
      </c>
      <c r="B1990" s="35" t="s">
        <v>4216</v>
      </c>
      <c r="C1990" s="35">
        <v>1542.0</v>
      </c>
      <c r="D1990" s="35">
        <v>1573.0</v>
      </c>
      <c r="E1990" s="35">
        <v>29710.0</v>
      </c>
      <c r="F1990" s="35" t="s">
        <v>11</v>
      </c>
    </row>
    <row r="1991" ht="22.5" customHeight="1">
      <c r="A1991" s="37" t="s">
        <v>4217</v>
      </c>
      <c r="B1991" s="35" t="s">
        <v>4218</v>
      </c>
      <c r="C1991" s="35">
        <v>552.0</v>
      </c>
      <c r="D1991" s="35">
        <v>638.0</v>
      </c>
      <c r="E1991" s="35">
        <v>27810.0</v>
      </c>
      <c r="F1991" s="35" t="s">
        <v>11</v>
      </c>
    </row>
    <row r="1992" ht="22.5" customHeight="1">
      <c r="A1992" s="37" t="s">
        <v>4219</v>
      </c>
      <c r="B1992" s="35" t="s">
        <v>4220</v>
      </c>
      <c r="C1992" s="35">
        <v>273.0</v>
      </c>
      <c r="D1992" s="35">
        <v>272.0</v>
      </c>
      <c r="E1992" s="35">
        <v>25430.0</v>
      </c>
      <c r="F1992" s="35" t="s">
        <v>11</v>
      </c>
    </row>
    <row r="1993" ht="22.5" customHeight="1">
      <c r="A1993" s="37" t="s">
        <v>4221</v>
      </c>
      <c r="B1993" s="35" t="s">
        <v>4222</v>
      </c>
      <c r="C1993" s="35">
        <v>514.0</v>
      </c>
      <c r="D1993" s="35">
        <v>514.0</v>
      </c>
      <c r="E1993" s="35">
        <v>26690.0</v>
      </c>
      <c r="F1993" s="35" t="s">
        <v>11</v>
      </c>
    </row>
    <row r="1994" ht="22.5" customHeight="1">
      <c r="A1994" s="37" t="s">
        <v>4223</v>
      </c>
      <c r="B1994" s="35" t="s">
        <v>4224</v>
      </c>
      <c r="C1994" s="35">
        <v>217.0</v>
      </c>
      <c r="D1994" s="35">
        <v>202.0</v>
      </c>
      <c r="E1994" s="35">
        <v>25050.0</v>
      </c>
      <c r="F1994" s="35" t="s">
        <v>11</v>
      </c>
    </row>
    <row r="1995" ht="22.5" customHeight="1">
      <c r="A1995" s="37" t="s">
        <v>4225</v>
      </c>
      <c r="B1995" s="35" t="s">
        <v>4226</v>
      </c>
      <c r="C1995" s="35">
        <v>1140.0</v>
      </c>
      <c r="D1995" s="35">
        <v>1174.0</v>
      </c>
      <c r="E1995" s="35">
        <v>24480.0</v>
      </c>
      <c r="F1995" s="35" t="s">
        <v>11</v>
      </c>
    </row>
    <row r="1996" ht="22.5" customHeight="1">
      <c r="A1996" s="37" t="s">
        <v>4227</v>
      </c>
      <c r="B1996" s="35" t="s">
        <v>4228</v>
      </c>
      <c r="C1996" s="35">
        <v>336.0</v>
      </c>
      <c r="D1996" s="35">
        <v>349.0</v>
      </c>
      <c r="E1996" s="35">
        <v>29810.0</v>
      </c>
      <c r="F1996" s="35" t="s">
        <v>11</v>
      </c>
    </row>
    <row r="1997" ht="22.5" customHeight="1">
      <c r="A1997" s="37" t="s">
        <v>4229</v>
      </c>
      <c r="B1997" s="35" t="s">
        <v>4230</v>
      </c>
      <c r="C1997" s="35">
        <v>215.0</v>
      </c>
      <c r="D1997" s="35">
        <v>189.0</v>
      </c>
      <c r="E1997" s="35">
        <v>34720.0</v>
      </c>
      <c r="F1997" s="35" t="s">
        <v>11</v>
      </c>
    </row>
    <row r="1998" ht="22.5" customHeight="1">
      <c r="A1998" s="37" t="s">
        <v>4231</v>
      </c>
      <c r="B1998" s="35" t="s">
        <v>4232</v>
      </c>
      <c r="C1998" s="35">
        <v>1533.0</v>
      </c>
      <c r="D1998" s="35">
        <v>1637.0</v>
      </c>
      <c r="E1998" s="35">
        <v>28080.0</v>
      </c>
      <c r="F1998" s="35" t="s">
        <v>11</v>
      </c>
    </row>
    <row r="1999" ht="22.5" customHeight="1">
      <c r="A1999" s="37" t="s">
        <v>4233</v>
      </c>
      <c r="B1999" s="35" t="s">
        <v>4234</v>
      </c>
      <c r="C1999" s="35">
        <v>86.0</v>
      </c>
      <c r="D1999" s="35">
        <v>80.0</v>
      </c>
      <c r="E1999" s="35" t="s">
        <v>11</v>
      </c>
      <c r="F1999" s="35" t="s">
        <v>11</v>
      </c>
    </row>
    <row r="2000" ht="22.5" customHeight="1">
      <c r="A2000" s="37" t="s">
        <v>4235</v>
      </c>
      <c r="B2000" s="35" t="s">
        <v>4236</v>
      </c>
      <c r="C2000" s="35">
        <v>310.0</v>
      </c>
      <c r="D2000" s="35">
        <v>301.0</v>
      </c>
      <c r="E2000" s="35">
        <v>28720.0</v>
      </c>
      <c r="F2000" s="35" t="s">
        <v>11</v>
      </c>
    </row>
    <row r="2001" ht="22.5" customHeight="1">
      <c r="A2001" s="37" t="s">
        <v>4237</v>
      </c>
      <c r="B2001" s="35" t="s">
        <v>4238</v>
      </c>
      <c r="C2001" s="35">
        <v>321.0</v>
      </c>
      <c r="D2001" s="35">
        <v>331.0</v>
      </c>
      <c r="E2001" s="35">
        <v>27020.0</v>
      </c>
      <c r="F2001" s="35" t="s">
        <v>11</v>
      </c>
    </row>
    <row r="2002" ht="22.5" customHeight="1">
      <c r="A2002" s="37" t="s">
        <v>4239</v>
      </c>
      <c r="B2002" s="35" t="s">
        <v>4240</v>
      </c>
      <c r="C2002" s="35">
        <v>631.0</v>
      </c>
      <c r="D2002" s="35">
        <v>618.0</v>
      </c>
      <c r="E2002" s="35">
        <v>26910.0</v>
      </c>
      <c r="F2002" s="35" t="s">
        <v>11</v>
      </c>
    </row>
    <row r="2003" ht="22.5" customHeight="1">
      <c r="A2003" s="37" t="s">
        <v>4241</v>
      </c>
      <c r="B2003" s="35" t="s">
        <v>1545</v>
      </c>
      <c r="C2003" s="35">
        <v>3230.0</v>
      </c>
      <c r="D2003" s="35">
        <v>3505.0</v>
      </c>
      <c r="E2003" s="35">
        <v>25780.0</v>
      </c>
      <c r="F2003" s="35">
        <v>12.0</v>
      </c>
    </row>
    <row r="2004" ht="22.5" customHeight="1">
      <c r="A2004" s="37" t="s">
        <v>4242</v>
      </c>
      <c r="B2004" s="35" t="s">
        <v>4243</v>
      </c>
      <c r="C2004" s="35">
        <v>477.0</v>
      </c>
      <c r="D2004" s="35">
        <v>439.0</v>
      </c>
      <c r="E2004" s="35">
        <v>28150.0</v>
      </c>
      <c r="F2004" s="35" t="s">
        <v>11</v>
      </c>
    </row>
    <row r="2005" ht="22.5" customHeight="1">
      <c r="A2005" s="37" t="s">
        <v>4244</v>
      </c>
      <c r="B2005" s="35" t="s">
        <v>4245</v>
      </c>
      <c r="C2005" s="35">
        <v>1712.0</v>
      </c>
      <c r="D2005" s="35">
        <v>1662.0</v>
      </c>
      <c r="E2005" s="35">
        <v>25760.0</v>
      </c>
      <c r="F2005" s="35" t="s">
        <v>11</v>
      </c>
    </row>
    <row r="2006" ht="22.5" customHeight="1">
      <c r="A2006" s="37" t="s">
        <v>4246</v>
      </c>
      <c r="B2006" s="35" t="s">
        <v>4247</v>
      </c>
      <c r="C2006" s="35">
        <v>1077.0</v>
      </c>
      <c r="D2006" s="35">
        <v>1060.0</v>
      </c>
      <c r="E2006" s="35">
        <v>27460.0</v>
      </c>
      <c r="F2006" s="35" t="s">
        <v>11</v>
      </c>
    </row>
    <row r="2007" ht="22.5" customHeight="1">
      <c r="A2007" s="37" t="s">
        <v>4248</v>
      </c>
      <c r="B2007" s="35" t="s">
        <v>4249</v>
      </c>
      <c r="C2007" s="35">
        <v>315.0</v>
      </c>
      <c r="D2007" s="35">
        <v>345.0</v>
      </c>
      <c r="E2007" s="35">
        <v>38720.0</v>
      </c>
      <c r="F2007" s="35" t="s">
        <v>11</v>
      </c>
    </row>
    <row r="2008" ht="22.5" customHeight="1">
      <c r="A2008" s="37" t="s">
        <v>4250</v>
      </c>
      <c r="B2008" s="35" t="s">
        <v>4251</v>
      </c>
      <c r="C2008" s="35">
        <v>6013.0</v>
      </c>
      <c r="D2008" s="35">
        <v>5810.0</v>
      </c>
      <c r="E2008" s="35">
        <v>22100.0</v>
      </c>
      <c r="F2008" s="35">
        <v>22.0</v>
      </c>
    </row>
    <row r="2009" ht="22.5" customHeight="1">
      <c r="A2009" s="37" t="s">
        <v>4252</v>
      </c>
      <c r="B2009" s="35" t="s">
        <v>4253</v>
      </c>
      <c r="C2009" s="35">
        <v>795.0</v>
      </c>
      <c r="D2009" s="35">
        <v>735.0</v>
      </c>
      <c r="E2009" s="35">
        <v>28310.0</v>
      </c>
      <c r="F2009" s="35" t="s">
        <v>11</v>
      </c>
    </row>
    <row r="2010" ht="22.5" customHeight="1">
      <c r="A2010" s="37" t="s">
        <v>4254</v>
      </c>
      <c r="B2010" s="35" t="s">
        <v>4255</v>
      </c>
      <c r="C2010" s="35">
        <v>349.0</v>
      </c>
      <c r="D2010" s="35">
        <v>378.0</v>
      </c>
      <c r="E2010" s="35">
        <v>27760.0</v>
      </c>
      <c r="F2010" s="35" t="s">
        <v>11</v>
      </c>
    </row>
    <row r="2011" ht="22.5" customHeight="1">
      <c r="A2011" s="37" t="s">
        <v>4256</v>
      </c>
      <c r="B2011" s="35" t="s">
        <v>4257</v>
      </c>
      <c r="C2011" s="35">
        <v>4688.0</v>
      </c>
      <c r="D2011" s="35">
        <v>4638.0</v>
      </c>
      <c r="E2011" s="35">
        <v>26590.0</v>
      </c>
      <c r="F2011" s="35">
        <v>11.0</v>
      </c>
    </row>
    <row r="2012" ht="22.5" customHeight="1">
      <c r="A2012" s="37" t="s">
        <v>4258</v>
      </c>
      <c r="B2012" s="35" t="s">
        <v>4259</v>
      </c>
      <c r="C2012" s="35">
        <v>287.0</v>
      </c>
      <c r="D2012" s="35">
        <v>263.0</v>
      </c>
      <c r="E2012" s="35">
        <v>25180.0</v>
      </c>
      <c r="F2012" s="35" t="s">
        <v>11</v>
      </c>
    </row>
    <row r="2013" ht="22.5" customHeight="1">
      <c r="A2013" s="37" t="s">
        <v>4260</v>
      </c>
      <c r="B2013" s="35" t="s">
        <v>4261</v>
      </c>
      <c r="C2013" s="35">
        <v>1040.0</v>
      </c>
      <c r="D2013" s="35">
        <v>1108.0</v>
      </c>
      <c r="E2013" s="35">
        <v>29330.0</v>
      </c>
      <c r="F2013" s="35" t="s">
        <v>11</v>
      </c>
    </row>
    <row r="2014" ht="22.5" customHeight="1">
      <c r="A2014" s="37" t="s">
        <v>4262</v>
      </c>
      <c r="B2014" s="35" t="s">
        <v>4263</v>
      </c>
      <c r="C2014" s="35">
        <v>1492.0</v>
      </c>
      <c r="D2014" s="35">
        <v>1449.0</v>
      </c>
      <c r="E2014" s="35">
        <v>28500.0</v>
      </c>
      <c r="F2014" s="35" t="s">
        <v>11</v>
      </c>
    </row>
    <row r="2015" ht="22.5" customHeight="1">
      <c r="A2015" s="37" t="s">
        <v>4264</v>
      </c>
      <c r="B2015" s="35" t="s">
        <v>4265</v>
      </c>
      <c r="C2015" s="35">
        <v>383.0</v>
      </c>
      <c r="D2015" s="35">
        <v>397.0</v>
      </c>
      <c r="E2015" s="35">
        <v>22320.0</v>
      </c>
      <c r="F2015" s="35" t="s">
        <v>11</v>
      </c>
    </row>
    <row r="2016" ht="22.5" customHeight="1">
      <c r="A2016" s="37" t="s">
        <v>4266</v>
      </c>
      <c r="B2016" s="35" t="s">
        <v>4267</v>
      </c>
      <c r="C2016" s="35">
        <v>2938.0</v>
      </c>
      <c r="D2016" s="35">
        <v>3335.0</v>
      </c>
      <c r="E2016" s="35">
        <v>23510.0</v>
      </c>
      <c r="F2016" s="35">
        <v>18.0</v>
      </c>
    </row>
    <row r="2017" ht="22.5" customHeight="1">
      <c r="A2017" s="37" t="s">
        <v>4268</v>
      </c>
      <c r="B2017" s="35" t="s">
        <v>4269</v>
      </c>
      <c r="C2017" s="35">
        <v>1249.0</v>
      </c>
      <c r="D2017" s="35">
        <v>1172.0</v>
      </c>
      <c r="E2017" s="35">
        <v>24700.0</v>
      </c>
      <c r="F2017" s="35" t="s">
        <v>11</v>
      </c>
    </row>
    <row r="2018" ht="22.5" customHeight="1">
      <c r="A2018" s="37" t="s">
        <v>4270</v>
      </c>
      <c r="B2018" s="35" t="s">
        <v>4271</v>
      </c>
      <c r="C2018" s="35">
        <v>1531.0</v>
      </c>
      <c r="D2018" s="35">
        <v>1633.0</v>
      </c>
      <c r="E2018" s="35">
        <v>30800.0</v>
      </c>
      <c r="F2018" s="35" t="s">
        <v>11</v>
      </c>
    </row>
    <row r="2019" ht="22.5" customHeight="1">
      <c r="A2019" s="37" t="s">
        <v>4272</v>
      </c>
      <c r="B2019" s="35" t="s">
        <v>4273</v>
      </c>
      <c r="C2019" s="35">
        <v>712.0</v>
      </c>
      <c r="D2019" s="35">
        <v>672.0</v>
      </c>
      <c r="E2019" s="35">
        <v>24640.0</v>
      </c>
      <c r="F2019" s="35" t="s">
        <v>11</v>
      </c>
    </row>
    <row r="2020" ht="22.5" customHeight="1">
      <c r="A2020" s="37" t="s">
        <v>4274</v>
      </c>
      <c r="B2020" s="35" t="s">
        <v>4275</v>
      </c>
      <c r="C2020" s="35">
        <v>147.0</v>
      </c>
      <c r="D2020" s="35">
        <v>153.0</v>
      </c>
      <c r="E2020" s="35">
        <v>25110.0</v>
      </c>
      <c r="F2020" s="35" t="s">
        <v>11</v>
      </c>
    </row>
    <row r="2021" ht="22.5" customHeight="1">
      <c r="A2021" s="37" t="s">
        <v>4276</v>
      </c>
      <c r="B2021" s="35" t="s">
        <v>4277</v>
      </c>
      <c r="C2021" s="35">
        <v>283.0</v>
      </c>
      <c r="D2021" s="35">
        <v>285.0</v>
      </c>
      <c r="E2021" s="35">
        <v>27300.0</v>
      </c>
      <c r="F2021" s="35" t="s">
        <v>11</v>
      </c>
    </row>
    <row r="2022" ht="22.5" customHeight="1">
      <c r="A2022" s="37" t="s">
        <v>4278</v>
      </c>
      <c r="B2022" s="35" t="s">
        <v>4279</v>
      </c>
      <c r="C2022" s="35">
        <v>416.0</v>
      </c>
      <c r="D2022" s="35">
        <v>431.0</v>
      </c>
      <c r="E2022" s="35">
        <v>28040.0</v>
      </c>
      <c r="F2022" s="35" t="s">
        <v>11</v>
      </c>
    </row>
    <row r="2023" ht="22.5" customHeight="1">
      <c r="A2023" s="37" t="s">
        <v>4280</v>
      </c>
      <c r="B2023" s="35" t="s">
        <v>4281</v>
      </c>
      <c r="C2023" s="35">
        <v>250.0</v>
      </c>
      <c r="D2023" s="35">
        <v>225.0</v>
      </c>
      <c r="E2023" s="35">
        <v>25110.0</v>
      </c>
      <c r="F2023" s="35" t="s">
        <v>11</v>
      </c>
    </row>
    <row r="2024" ht="22.5" customHeight="1">
      <c r="A2024" s="37" t="s">
        <v>4282</v>
      </c>
      <c r="B2024" s="35" t="s">
        <v>4283</v>
      </c>
      <c r="C2024" s="35">
        <v>1734.0</v>
      </c>
      <c r="D2024" s="35">
        <v>1751.0</v>
      </c>
      <c r="E2024" s="35">
        <v>27010.0</v>
      </c>
      <c r="F2024" s="35" t="s">
        <v>11</v>
      </c>
    </row>
    <row r="2025" ht="22.5" customHeight="1">
      <c r="A2025" s="37" t="s">
        <v>4284</v>
      </c>
      <c r="B2025" s="35" t="s">
        <v>4285</v>
      </c>
      <c r="C2025" s="35">
        <v>1020.0</v>
      </c>
      <c r="D2025" s="35">
        <v>1079.0</v>
      </c>
      <c r="E2025" s="35">
        <v>27330.0</v>
      </c>
      <c r="F2025" s="35" t="s">
        <v>11</v>
      </c>
    </row>
    <row r="2026" ht="22.5" customHeight="1">
      <c r="A2026" s="37" t="s">
        <v>4286</v>
      </c>
      <c r="B2026" s="35" t="s">
        <v>4287</v>
      </c>
      <c r="C2026" s="35">
        <v>298.0</v>
      </c>
      <c r="D2026" s="35">
        <v>281.0</v>
      </c>
      <c r="E2026" s="35">
        <v>24020.0</v>
      </c>
      <c r="F2026" s="35" t="s">
        <v>11</v>
      </c>
    </row>
    <row r="2027" ht="22.5" customHeight="1">
      <c r="A2027" s="37" t="s">
        <v>4288</v>
      </c>
      <c r="B2027" s="35" t="s">
        <v>4289</v>
      </c>
      <c r="C2027" s="35">
        <v>647.0</v>
      </c>
      <c r="D2027" s="35">
        <v>654.0</v>
      </c>
      <c r="E2027" s="35">
        <v>32160.0</v>
      </c>
      <c r="F2027" s="35" t="s">
        <v>11</v>
      </c>
    </row>
    <row r="2028" ht="22.5" customHeight="1">
      <c r="A2028" s="37" t="s">
        <v>4290</v>
      </c>
      <c r="B2028" s="35" t="s">
        <v>4291</v>
      </c>
      <c r="C2028" s="35">
        <v>1074.0</v>
      </c>
      <c r="D2028" s="35">
        <v>984.0</v>
      </c>
      <c r="E2028" s="35">
        <v>26090.0</v>
      </c>
      <c r="F2028" s="35" t="s">
        <v>11</v>
      </c>
    </row>
    <row r="2029" ht="22.5" customHeight="1">
      <c r="A2029" s="37" t="s">
        <v>4292</v>
      </c>
      <c r="B2029" s="35" t="s">
        <v>4293</v>
      </c>
      <c r="C2029" s="35">
        <v>65.0</v>
      </c>
      <c r="D2029" s="35">
        <v>53.0</v>
      </c>
      <c r="E2029" s="35" t="s">
        <v>11</v>
      </c>
      <c r="F2029" s="35" t="s">
        <v>11</v>
      </c>
    </row>
    <row r="2030" ht="22.5" customHeight="1">
      <c r="A2030" s="37" t="s">
        <v>4294</v>
      </c>
      <c r="B2030" s="35" t="s">
        <v>4295</v>
      </c>
      <c r="C2030" s="35">
        <v>890.0</v>
      </c>
      <c r="D2030" s="35">
        <v>897.0</v>
      </c>
      <c r="E2030" s="35">
        <v>25940.0</v>
      </c>
      <c r="F2030" s="35" t="s">
        <v>11</v>
      </c>
    </row>
    <row r="2031" ht="22.5" customHeight="1">
      <c r="A2031" s="37" t="s">
        <v>4296</v>
      </c>
      <c r="B2031" s="35" t="s">
        <v>4297</v>
      </c>
      <c r="C2031" s="35">
        <v>265.0</v>
      </c>
      <c r="D2031" s="35">
        <v>262.0</v>
      </c>
      <c r="E2031" s="35">
        <v>24250.0</v>
      </c>
      <c r="F2031" s="35" t="s">
        <v>11</v>
      </c>
    </row>
    <row r="2032" ht="22.5" customHeight="1">
      <c r="A2032" s="37" t="s">
        <v>4298</v>
      </c>
      <c r="B2032" s="35" t="s">
        <v>4299</v>
      </c>
      <c r="C2032" s="35">
        <v>348.0</v>
      </c>
      <c r="D2032" s="35">
        <v>351.0</v>
      </c>
      <c r="E2032" s="35">
        <v>25510.0</v>
      </c>
      <c r="F2032" s="35" t="s">
        <v>11</v>
      </c>
    </row>
    <row r="2033" ht="22.5" customHeight="1">
      <c r="A2033" s="37" t="s">
        <v>4300</v>
      </c>
      <c r="B2033" s="35" t="s">
        <v>4301</v>
      </c>
      <c r="C2033" s="35">
        <v>100.0</v>
      </c>
      <c r="D2033" s="35">
        <v>105.0</v>
      </c>
      <c r="E2033" s="35">
        <v>24810.0</v>
      </c>
      <c r="F2033" s="35" t="s">
        <v>11</v>
      </c>
    </row>
    <row r="2034" ht="22.5" customHeight="1">
      <c r="A2034" s="37" t="s">
        <v>4302</v>
      </c>
      <c r="B2034" s="35" t="s">
        <v>4303</v>
      </c>
      <c r="C2034" s="35">
        <v>844.0</v>
      </c>
      <c r="D2034" s="35">
        <v>933.0</v>
      </c>
      <c r="E2034" s="35">
        <v>28540.0</v>
      </c>
      <c r="F2034" s="35" t="s">
        <v>11</v>
      </c>
    </row>
    <row r="2035" ht="22.5" customHeight="1">
      <c r="A2035" s="37" t="s">
        <v>4304</v>
      </c>
      <c r="B2035" s="35" t="s">
        <v>4305</v>
      </c>
      <c r="C2035" s="35">
        <v>789.0</v>
      </c>
      <c r="D2035" s="35">
        <v>760.0</v>
      </c>
      <c r="E2035" s="35">
        <v>25630.0</v>
      </c>
      <c r="F2035" s="35" t="s">
        <v>11</v>
      </c>
    </row>
    <row r="2036" ht="22.5" customHeight="1">
      <c r="A2036" s="37" t="s">
        <v>4306</v>
      </c>
      <c r="B2036" s="35" t="s">
        <v>4307</v>
      </c>
      <c r="C2036" s="35">
        <v>621.0</v>
      </c>
      <c r="D2036" s="35">
        <v>577.0</v>
      </c>
      <c r="E2036" s="35">
        <v>27360.0</v>
      </c>
      <c r="F2036" s="35" t="s">
        <v>11</v>
      </c>
    </row>
    <row r="2037" ht="22.5" customHeight="1">
      <c r="A2037" s="37" t="s">
        <v>4308</v>
      </c>
      <c r="B2037" s="35" t="s">
        <v>4309</v>
      </c>
      <c r="C2037" s="35">
        <v>14277.0</v>
      </c>
      <c r="D2037" s="35">
        <v>15157.0</v>
      </c>
      <c r="E2037" s="35">
        <v>29500.0</v>
      </c>
      <c r="F2037" s="35">
        <v>12.0</v>
      </c>
    </row>
    <row r="2038" ht="22.5" customHeight="1">
      <c r="A2038" s="37" t="s">
        <v>4310</v>
      </c>
      <c r="B2038" s="35" t="s">
        <v>4311</v>
      </c>
      <c r="C2038" s="35">
        <v>347.0</v>
      </c>
      <c r="D2038" s="35">
        <v>331.0</v>
      </c>
      <c r="E2038" s="35">
        <v>30290.0</v>
      </c>
      <c r="F2038" s="35" t="s">
        <v>11</v>
      </c>
    </row>
    <row r="2039" ht="22.5" customHeight="1">
      <c r="A2039" s="37" t="s">
        <v>4312</v>
      </c>
      <c r="B2039" s="35" t="s">
        <v>4313</v>
      </c>
      <c r="C2039" s="35">
        <v>222.0</v>
      </c>
      <c r="D2039" s="35">
        <v>184.0</v>
      </c>
      <c r="E2039" s="35">
        <v>28000.0</v>
      </c>
      <c r="F2039" s="35" t="s">
        <v>11</v>
      </c>
    </row>
    <row r="2040" ht="22.5" customHeight="1">
      <c r="A2040" s="37" t="s">
        <v>4314</v>
      </c>
      <c r="B2040" s="35" t="s">
        <v>4315</v>
      </c>
      <c r="C2040" s="35">
        <v>136.0</v>
      </c>
      <c r="D2040" s="35">
        <v>132.0</v>
      </c>
      <c r="E2040" s="35">
        <v>20740.0</v>
      </c>
      <c r="F2040" s="35" t="s">
        <v>11</v>
      </c>
    </row>
    <row r="2041" ht="22.5" customHeight="1">
      <c r="A2041" s="37" t="s">
        <v>4316</v>
      </c>
      <c r="B2041" s="35" t="s">
        <v>4317</v>
      </c>
      <c r="C2041" s="35">
        <v>2755.0</v>
      </c>
      <c r="D2041" s="35">
        <v>2784.0</v>
      </c>
      <c r="E2041" s="35">
        <v>23910.0</v>
      </c>
      <c r="F2041" s="35">
        <v>18.0</v>
      </c>
    </row>
    <row r="2042" ht="22.5" customHeight="1">
      <c r="A2042" s="37" t="s">
        <v>4318</v>
      </c>
      <c r="B2042" s="35" t="s">
        <v>4319</v>
      </c>
      <c r="C2042" s="35">
        <v>257.0</v>
      </c>
      <c r="D2042" s="35">
        <v>271.0</v>
      </c>
      <c r="E2042" s="35">
        <v>24070.0</v>
      </c>
      <c r="F2042" s="35" t="s">
        <v>11</v>
      </c>
    </row>
    <row r="2043" ht="22.5" customHeight="1">
      <c r="A2043" s="37" t="s">
        <v>4320</v>
      </c>
      <c r="B2043" s="35" t="s">
        <v>4321</v>
      </c>
      <c r="C2043" s="35">
        <v>282.0</v>
      </c>
      <c r="D2043" s="35">
        <v>269.0</v>
      </c>
      <c r="E2043" s="35">
        <v>29670.0</v>
      </c>
      <c r="F2043" s="35" t="s">
        <v>11</v>
      </c>
    </row>
    <row r="2044" ht="22.5" customHeight="1">
      <c r="A2044" s="37" t="s">
        <v>4322</v>
      </c>
      <c r="B2044" s="35" t="s">
        <v>4323</v>
      </c>
      <c r="C2044" s="35">
        <v>1160.0</v>
      </c>
      <c r="D2044" s="35">
        <v>1217.0</v>
      </c>
      <c r="E2044" s="35">
        <v>30680.0</v>
      </c>
      <c r="F2044" s="35" t="s">
        <v>11</v>
      </c>
    </row>
    <row r="2045" ht="22.5" customHeight="1">
      <c r="A2045" s="37" t="s">
        <v>4324</v>
      </c>
      <c r="B2045" s="35" t="s">
        <v>4325</v>
      </c>
      <c r="C2045" s="35">
        <v>440.0</v>
      </c>
      <c r="D2045" s="35">
        <v>450.0</v>
      </c>
      <c r="E2045" s="35">
        <v>31190.0</v>
      </c>
      <c r="F2045" s="35" t="s">
        <v>11</v>
      </c>
    </row>
    <row r="2046" ht="22.5" customHeight="1">
      <c r="A2046" s="37" t="s">
        <v>4326</v>
      </c>
      <c r="B2046" s="35" t="s">
        <v>4327</v>
      </c>
      <c r="C2046" s="35">
        <v>138.0</v>
      </c>
      <c r="D2046" s="35">
        <v>130.0</v>
      </c>
      <c r="E2046" s="35">
        <v>23770.0</v>
      </c>
      <c r="F2046" s="35" t="s">
        <v>11</v>
      </c>
    </row>
    <row r="2047" ht="22.5" customHeight="1">
      <c r="A2047" s="37" t="s">
        <v>4328</v>
      </c>
      <c r="B2047" s="35" t="s">
        <v>4329</v>
      </c>
      <c r="C2047" s="35">
        <v>482.0</v>
      </c>
      <c r="D2047" s="35">
        <v>481.0</v>
      </c>
      <c r="E2047" s="35">
        <v>25130.0</v>
      </c>
      <c r="F2047" s="35" t="s">
        <v>11</v>
      </c>
    </row>
    <row r="2048" ht="22.5" customHeight="1">
      <c r="A2048" s="37" t="s">
        <v>4330</v>
      </c>
      <c r="B2048" s="35" t="s">
        <v>4331</v>
      </c>
      <c r="C2048" s="35">
        <v>1073.0</v>
      </c>
      <c r="D2048" s="35">
        <v>926.0</v>
      </c>
      <c r="E2048" s="35">
        <v>24140.0</v>
      </c>
      <c r="F2048" s="35" t="s">
        <v>11</v>
      </c>
    </row>
    <row r="2049" ht="22.5" customHeight="1">
      <c r="A2049" s="37" t="s">
        <v>4332</v>
      </c>
      <c r="B2049" s="35" t="s">
        <v>4333</v>
      </c>
      <c r="C2049" s="35">
        <v>170.0</v>
      </c>
      <c r="D2049" s="35">
        <v>165.0</v>
      </c>
      <c r="E2049" s="35">
        <v>23140.0</v>
      </c>
      <c r="F2049" s="35" t="s">
        <v>11</v>
      </c>
    </row>
    <row r="2050" ht="22.5" customHeight="1">
      <c r="A2050" s="37" t="s">
        <v>4334</v>
      </c>
      <c r="B2050" s="35" t="s">
        <v>4335</v>
      </c>
      <c r="C2050" s="35">
        <v>568.0</v>
      </c>
      <c r="D2050" s="35">
        <v>518.0</v>
      </c>
      <c r="E2050" s="35">
        <v>26170.0</v>
      </c>
      <c r="F2050" s="35" t="s">
        <v>11</v>
      </c>
    </row>
    <row r="2051" ht="22.5" customHeight="1">
      <c r="A2051" s="37" t="s">
        <v>4336</v>
      </c>
      <c r="B2051" s="35" t="s">
        <v>4337</v>
      </c>
      <c r="C2051" s="35">
        <v>683.0</v>
      </c>
      <c r="D2051" s="35">
        <v>643.0</v>
      </c>
      <c r="E2051" s="35">
        <v>26610.0</v>
      </c>
      <c r="F2051" s="35" t="s">
        <v>11</v>
      </c>
    </row>
    <row r="2052" ht="22.5" customHeight="1">
      <c r="A2052" s="37" t="s">
        <v>4338</v>
      </c>
      <c r="B2052" s="35" t="s">
        <v>4339</v>
      </c>
      <c r="C2052" s="35">
        <v>274.0</v>
      </c>
      <c r="D2052" s="35">
        <v>250.0</v>
      </c>
      <c r="E2052" s="35">
        <v>25360.0</v>
      </c>
      <c r="F2052" s="35" t="s">
        <v>11</v>
      </c>
    </row>
    <row r="2053" ht="22.5" customHeight="1">
      <c r="A2053" s="37" t="s">
        <v>4340</v>
      </c>
      <c r="B2053" s="35" t="s">
        <v>4341</v>
      </c>
      <c r="C2053" s="35">
        <v>1063.0</v>
      </c>
      <c r="D2053" s="35">
        <v>1225.0</v>
      </c>
      <c r="E2053" s="35">
        <v>27420.0</v>
      </c>
      <c r="F2053" s="35" t="s">
        <v>11</v>
      </c>
    </row>
    <row r="2054" ht="22.5" customHeight="1">
      <c r="A2054" s="37" t="s">
        <v>4342</v>
      </c>
      <c r="B2054" s="35" t="s">
        <v>4343</v>
      </c>
      <c r="C2054" s="35">
        <v>202.0</v>
      </c>
      <c r="D2054" s="35">
        <v>196.0</v>
      </c>
      <c r="E2054" s="35">
        <v>26790.0</v>
      </c>
      <c r="F2054" s="35" t="s">
        <v>11</v>
      </c>
    </row>
    <row r="2055" ht="22.5" customHeight="1">
      <c r="A2055" s="37" t="s">
        <v>4344</v>
      </c>
      <c r="B2055" s="35" t="s">
        <v>4345</v>
      </c>
      <c r="C2055" s="35">
        <v>165.0</v>
      </c>
      <c r="D2055" s="35">
        <v>217.0</v>
      </c>
      <c r="E2055" s="35">
        <v>29020.0</v>
      </c>
      <c r="F2055" s="35" t="s">
        <v>11</v>
      </c>
    </row>
    <row r="2056" ht="22.5" customHeight="1">
      <c r="A2056" s="37" t="s">
        <v>4346</v>
      </c>
      <c r="B2056" s="35" t="s">
        <v>4347</v>
      </c>
      <c r="C2056" s="35">
        <v>1059.0</v>
      </c>
      <c r="D2056" s="35">
        <v>1090.0</v>
      </c>
      <c r="E2056" s="35">
        <v>32830.0</v>
      </c>
      <c r="F2056" s="35" t="s">
        <v>11</v>
      </c>
    </row>
    <row r="2057" ht="22.5" customHeight="1">
      <c r="A2057" s="37" t="s">
        <v>4348</v>
      </c>
      <c r="B2057" s="35" t="s">
        <v>4349</v>
      </c>
      <c r="C2057" s="35">
        <v>754.0</v>
      </c>
      <c r="D2057" s="35">
        <v>750.0</v>
      </c>
      <c r="E2057" s="35">
        <v>28040.0</v>
      </c>
      <c r="F2057" s="35" t="s">
        <v>11</v>
      </c>
    </row>
    <row r="2058" ht="22.5" customHeight="1">
      <c r="A2058" s="37" t="s">
        <v>4350</v>
      </c>
      <c r="B2058" s="35" t="s">
        <v>4351</v>
      </c>
      <c r="C2058" s="35">
        <v>410.0</v>
      </c>
      <c r="D2058" s="35">
        <v>379.0</v>
      </c>
      <c r="E2058" s="35">
        <v>24780.0</v>
      </c>
      <c r="F2058" s="35" t="s">
        <v>11</v>
      </c>
    </row>
    <row r="2059" ht="22.5" customHeight="1">
      <c r="A2059" s="37" t="s">
        <v>4352</v>
      </c>
      <c r="B2059" s="35" t="s">
        <v>4353</v>
      </c>
      <c r="C2059" s="35">
        <v>439.0</v>
      </c>
      <c r="D2059" s="35">
        <v>438.0</v>
      </c>
      <c r="E2059" s="35">
        <v>24710.0</v>
      </c>
      <c r="F2059" s="35" t="s">
        <v>11</v>
      </c>
    </row>
    <row r="2060" ht="22.5" customHeight="1">
      <c r="A2060" s="37" t="s">
        <v>4354</v>
      </c>
      <c r="B2060" s="35" t="s">
        <v>4355</v>
      </c>
      <c r="C2060" s="35">
        <v>1065.0</v>
      </c>
      <c r="D2060" s="35">
        <v>1041.0</v>
      </c>
      <c r="E2060" s="35">
        <v>22790.0</v>
      </c>
      <c r="F2060" s="35" t="s">
        <v>11</v>
      </c>
    </row>
    <row r="2061" ht="22.5" customHeight="1">
      <c r="A2061" s="37" t="s">
        <v>4356</v>
      </c>
      <c r="B2061" s="35" t="s">
        <v>4357</v>
      </c>
      <c r="C2061" s="35">
        <v>4558.0</v>
      </c>
      <c r="D2061" s="35">
        <v>4463.0</v>
      </c>
      <c r="E2061" s="35">
        <v>23840.0</v>
      </c>
      <c r="F2061" s="35">
        <v>18.0</v>
      </c>
    </row>
    <row r="2062" ht="22.5" customHeight="1">
      <c r="A2062" s="37" t="s">
        <v>4358</v>
      </c>
      <c r="B2062" s="35" t="s">
        <v>4359</v>
      </c>
      <c r="C2062" s="35">
        <v>493.0</v>
      </c>
      <c r="D2062" s="35">
        <v>462.0</v>
      </c>
      <c r="E2062" s="35">
        <v>28450.0</v>
      </c>
      <c r="F2062" s="35" t="s">
        <v>11</v>
      </c>
    </row>
    <row r="2063" ht="22.5" customHeight="1">
      <c r="A2063" s="37" t="s">
        <v>4360</v>
      </c>
      <c r="B2063" s="35" t="s">
        <v>4361</v>
      </c>
      <c r="C2063" s="35">
        <v>679.0</v>
      </c>
      <c r="D2063" s="35">
        <v>667.0</v>
      </c>
      <c r="E2063" s="35">
        <v>28280.0</v>
      </c>
      <c r="F2063" s="35" t="s">
        <v>11</v>
      </c>
    </row>
    <row r="2064" ht="22.5" customHeight="1">
      <c r="A2064" s="37" t="s">
        <v>4362</v>
      </c>
      <c r="B2064" s="35" t="s">
        <v>4363</v>
      </c>
      <c r="C2064" s="35">
        <v>1169.0</v>
      </c>
      <c r="D2064" s="35">
        <v>1258.0</v>
      </c>
      <c r="E2064" s="35">
        <v>25600.0</v>
      </c>
      <c r="F2064" s="35" t="s">
        <v>11</v>
      </c>
    </row>
    <row r="2065" ht="22.5" customHeight="1">
      <c r="A2065" s="37" t="s">
        <v>4364</v>
      </c>
      <c r="B2065" s="35" t="s">
        <v>4365</v>
      </c>
      <c r="C2065" s="35">
        <v>175.0</v>
      </c>
      <c r="D2065" s="35">
        <v>161.0</v>
      </c>
      <c r="E2065" s="35">
        <v>35530.0</v>
      </c>
      <c r="F2065" s="35" t="s">
        <v>11</v>
      </c>
    </row>
    <row r="2066" ht="22.5" customHeight="1">
      <c r="A2066" s="37" t="s">
        <v>4366</v>
      </c>
      <c r="B2066" s="35" t="s">
        <v>4367</v>
      </c>
      <c r="C2066" s="35">
        <v>1735.0</v>
      </c>
      <c r="D2066" s="35">
        <v>1686.0</v>
      </c>
      <c r="E2066" s="35">
        <v>28110.0</v>
      </c>
      <c r="F2066" s="35" t="s">
        <v>11</v>
      </c>
    </row>
    <row r="2067" ht="22.5" customHeight="1">
      <c r="A2067" s="37" t="s">
        <v>4368</v>
      </c>
      <c r="B2067" s="35" t="s">
        <v>4369</v>
      </c>
      <c r="C2067" s="35">
        <v>1095.0</v>
      </c>
      <c r="D2067" s="35">
        <v>1037.0</v>
      </c>
      <c r="E2067" s="35">
        <v>29610.0</v>
      </c>
      <c r="F2067" s="35" t="s">
        <v>11</v>
      </c>
    </row>
    <row r="2068" ht="22.5" customHeight="1">
      <c r="A2068" s="37" t="s">
        <v>4370</v>
      </c>
      <c r="B2068" s="35" t="s">
        <v>4371</v>
      </c>
      <c r="C2068" s="35">
        <v>1422.0</v>
      </c>
      <c r="D2068" s="35">
        <v>1392.0</v>
      </c>
      <c r="E2068" s="35">
        <v>22840.0</v>
      </c>
      <c r="F2068" s="35" t="s">
        <v>11</v>
      </c>
    </row>
    <row r="2069" ht="22.5" customHeight="1">
      <c r="A2069" s="37" t="s">
        <v>4372</v>
      </c>
      <c r="B2069" s="35" t="s">
        <v>4373</v>
      </c>
      <c r="C2069" s="35">
        <v>1943.0</v>
      </c>
      <c r="D2069" s="35">
        <v>1875.0</v>
      </c>
      <c r="E2069" s="35">
        <v>27900.0</v>
      </c>
      <c r="F2069" s="35" t="s">
        <v>11</v>
      </c>
    </row>
    <row r="2070" ht="22.5" customHeight="1">
      <c r="A2070" s="37" t="s">
        <v>4374</v>
      </c>
      <c r="B2070" s="35" t="s">
        <v>4375</v>
      </c>
      <c r="C2070" s="35">
        <v>310.0</v>
      </c>
      <c r="D2070" s="35">
        <v>303.0</v>
      </c>
      <c r="E2070" s="35">
        <v>26500.0</v>
      </c>
      <c r="F2070" s="35" t="s">
        <v>11</v>
      </c>
    </row>
    <row r="2071" ht="22.5" customHeight="1">
      <c r="A2071" s="37" t="s">
        <v>4376</v>
      </c>
      <c r="B2071" s="35" t="s">
        <v>4377</v>
      </c>
      <c r="C2071" s="35">
        <v>1232.0</v>
      </c>
      <c r="D2071" s="35">
        <v>1374.0</v>
      </c>
      <c r="E2071" s="35">
        <v>26960.0</v>
      </c>
      <c r="F2071" s="35" t="s">
        <v>11</v>
      </c>
    </row>
    <row r="2072" ht="22.5" customHeight="1">
      <c r="A2072" s="37" t="s">
        <v>4378</v>
      </c>
      <c r="B2072" s="35" t="s">
        <v>4379</v>
      </c>
      <c r="C2072" s="35">
        <v>2081.0</v>
      </c>
      <c r="D2072" s="35">
        <v>2077.0</v>
      </c>
      <c r="E2072" s="35">
        <v>26870.0</v>
      </c>
      <c r="F2072" s="35">
        <v>11.0</v>
      </c>
    </row>
    <row r="2073" ht="22.5" customHeight="1">
      <c r="A2073" s="37" t="s">
        <v>4380</v>
      </c>
      <c r="B2073" s="35" t="s">
        <v>4381</v>
      </c>
      <c r="C2073" s="35">
        <v>332.0</v>
      </c>
      <c r="D2073" s="35">
        <v>314.0</v>
      </c>
      <c r="E2073" s="35">
        <v>26200.0</v>
      </c>
      <c r="F2073" s="35" t="s">
        <v>11</v>
      </c>
    </row>
    <row r="2074" ht="22.5" customHeight="1">
      <c r="A2074" s="37" t="s">
        <v>4382</v>
      </c>
      <c r="B2074" s="35" t="s">
        <v>4383</v>
      </c>
      <c r="C2074" s="35">
        <v>528.0</v>
      </c>
      <c r="D2074" s="35">
        <v>522.0</v>
      </c>
      <c r="E2074" s="35">
        <v>32890.0</v>
      </c>
      <c r="F2074" s="35" t="s">
        <v>11</v>
      </c>
    </row>
    <row r="2075" ht="22.5" customHeight="1">
      <c r="A2075" s="37" t="s">
        <v>4384</v>
      </c>
      <c r="B2075" s="35" t="s">
        <v>4385</v>
      </c>
      <c r="C2075" s="35">
        <v>1869.0</v>
      </c>
      <c r="D2075" s="35">
        <v>1941.0</v>
      </c>
      <c r="E2075" s="35">
        <v>28740.0</v>
      </c>
      <c r="F2075" s="35" t="s">
        <v>11</v>
      </c>
    </row>
    <row r="2076" ht="22.5" customHeight="1">
      <c r="A2076" s="37" t="s">
        <v>4386</v>
      </c>
      <c r="B2076" s="35" t="s">
        <v>4387</v>
      </c>
      <c r="C2076" s="35">
        <v>936.0</v>
      </c>
      <c r="D2076" s="35">
        <v>941.0</v>
      </c>
      <c r="E2076" s="35">
        <v>27510.0</v>
      </c>
      <c r="F2076" s="35" t="s">
        <v>11</v>
      </c>
    </row>
    <row r="2077" ht="22.5" customHeight="1">
      <c r="A2077" s="37" t="s">
        <v>4388</v>
      </c>
      <c r="B2077" s="35" t="s">
        <v>4389</v>
      </c>
      <c r="C2077" s="35">
        <v>291.0</v>
      </c>
      <c r="D2077" s="35">
        <v>295.0</v>
      </c>
      <c r="E2077" s="35">
        <v>26000.0</v>
      </c>
      <c r="F2077" s="35" t="s">
        <v>11</v>
      </c>
    </row>
    <row r="2078" ht="22.5" customHeight="1">
      <c r="A2078" s="37" t="s">
        <v>4390</v>
      </c>
      <c r="B2078" s="35" t="s">
        <v>4391</v>
      </c>
      <c r="C2078" s="35">
        <v>276.0</v>
      </c>
      <c r="D2078" s="35">
        <v>254.0</v>
      </c>
      <c r="E2078" s="35">
        <v>27570.0</v>
      </c>
      <c r="F2078" s="35" t="s">
        <v>11</v>
      </c>
    </row>
    <row r="2079" ht="22.5" customHeight="1">
      <c r="A2079" s="37" t="s">
        <v>4392</v>
      </c>
      <c r="B2079" s="35" t="s">
        <v>4393</v>
      </c>
      <c r="C2079" s="35">
        <v>368.0</v>
      </c>
      <c r="D2079" s="35">
        <v>367.0</v>
      </c>
      <c r="E2079" s="35">
        <v>26070.0</v>
      </c>
      <c r="F2079" s="35" t="s">
        <v>11</v>
      </c>
    </row>
    <row r="2080" ht="22.5" customHeight="1">
      <c r="A2080" s="37" t="s">
        <v>4394</v>
      </c>
      <c r="B2080" s="35" t="s">
        <v>4395</v>
      </c>
      <c r="C2080" s="35">
        <v>290.0</v>
      </c>
      <c r="D2080" s="35">
        <v>265.0</v>
      </c>
      <c r="E2080" s="35">
        <v>28500.0</v>
      </c>
      <c r="F2080" s="35" t="s">
        <v>11</v>
      </c>
    </row>
    <row r="2081" ht="22.5" customHeight="1">
      <c r="A2081" s="37" t="s">
        <v>4396</v>
      </c>
      <c r="B2081" s="35" t="s">
        <v>4397</v>
      </c>
      <c r="C2081" s="35">
        <v>265.0</v>
      </c>
      <c r="D2081" s="35">
        <v>246.0</v>
      </c>
      <c r="E2081" s="35">
        <v>25530.0</v>
      </c>
      <c r="F2081" s="35" t="s">
        <v>11</v>
      </c>
    </row>
    <row r="2082" ht="22.5" customHeight="1">
      <c r="A2082" s="37" t="s">
        <v>4398</v>
      </c>
      <c r="B2082" s="35" t="s">
        <v>4399</v>
      </c>
      <c r="C2082" s="35">
        <v>682.0</v>
      </c>
      <c r="D2082" s="35">
        <v>701.0</v>
      </c>
      <c r="E2082" s="35">
        <v>27930.0</v>
      </c>
      <c r="F2082" s="35" t="s">
        <v>11</v>
      </c>
    </row>
    <row r="2083" ht="22.5" customHeight="1">
      <c r="A2083" s="37" t="s">
        <v>4400</v>
      </c>
      <c r="B2083" s="35" t="s">
        <v>4401</v>
      </c>
      <c r="C2083" s="35">
        <v>170.0</v>
      </c>
      <c r="D2083" s="35">
        <v>159.0</v>
      </c>
      <c r="E2083" s="35">
        <v>30210.0</v>
      </c>
      <c r="F2083" s="35" t="s">
        <v>11</v>
      </c>
    </row>
    <row r="2084" ht="22.5" customHeight="1">
      <c r="A2084" s="37" t="s">
        <v>4402</v>
      </c>
      <c r="B2084" s="35" t="s">
        <v>4403</v>
      </c>
      <c r="C2084" s="35">
        <v>372.0</v>
      </c>
      <c r="D2084" s="35">
        <v>401.0</v>
      </c>
      <c r="E2084" s="35">
        <v>28480.0</v>
      </c>
      <c r="F2084" s="35" t="s">
        <v>11</v>
      </c>
    </row>
    <row r="2085" ht="22.5" customHeight="1">
      <c r="A2085" s="37" t="s">
        <v>4404</v>
      </c>
      <c r="B2085" s="35" t="s">
        <v>4405</v>
      </c>
      <c r="C2085" s="35">
        <v>985.0</v>
      </c>
      <c r="D2085" s="35">
        <v>998.0</v>
      </c>
      <c r="E2085" s="35">
        <v>25940.0</v>
      </c>
      <c r="F2085" s="35" t="s">
        <v>11</v>
      </c>
    </row>
    <row r="2086" ht="22.5" customHeight="1">
      <c r="A2086" s="37" t="s">
        <v>4406</v>
      </c>
      <c r="B2086" s="35" t="s">
        <v>4407</v>
      </c>
      <c r="C2086" s="35">
        <v>504.0</v>
      </c>
      <c r="D2086" s="35">
        <v>495.0</v>
      </c>
      <c r="E2086" s="35">
        <v>27310.0</v>
      </c>
      <c r="F2086" s="35" t="s">
        <v>11</v>
      </c>
    </row>
    <row r="2087" ht="22.5" customHeight="1">
      <c r="A2087" s="37" t="s">
        <v>4408</v>
      </c>
      <c r="B2087" s="35" t="s">
        <v>4409</v>
      </c>
      <c r="C2087" s="35">
        <v>241.0</v>
      </c>
      <c r="D2087" s="35">
        <v>227.0</v>
      </c>
      <c r="E2087" s="35">
        <v>27970.0</v>
      </c>
      <c r="F2087" s="35" t="s">
        <v>11</v>
      </c>
    </row>
    <row r="2088" ht="22.5" customHeight="1">
      <c r="A2088" s="37" t="s">
        <v>4410</v>
      </c>
      <c r="B2088" s="35" t="s">
        <v>4411</v>
      </c>
      <c r="C2088" s="35">
        <v>470.0</v>
      </c>
      <c r="D2088" s="35">
        <v>447.0</v>
      </c>
      <c r="E2088" s="35">
        <v>25930.0</v>
      </c>
      <c r="F2088" s="35" t="s">
        <v>11</v>
      </c>
    </row>
    <row r="2089" ht="22.5" customHeight="1">
      <c r="A2089" s="37" t="s">
        <v>4412</v>
      </c>
      <c r="B2089" s="35" t="s">
        <v>4413</v>
      </c>
      <c r="C2089" s="35">
        <v>2857.0</v>
      </c>
      <c r="D2089" s="35">
        <v>2758.0</v>
      </c>
      <c r="E2089" s="35">
        <v>25580.0</v>
      </c>
      <c r="F2089" s="35">
        <v>13.0</v>
      </c>
    </row>
    <row r="2090" ht="22.5" customHeight="1">
      <c r="A2090" s="37" t="s">
        <v>4414</v>
      </c>
      <c r="B2090" s="35" t="s">
        <v>4415</v>
      </c>
      <c r="C2090" s="35">
        <v>1159.0</v>
      </c>
      <c r="D2090" s="35">
        <v>1130.0</v>
      </c>
      <c r="E2090" s="35">
        <v>31930.0</v>
      </c>
      <c r="F2090" s="35" t="s">
        <v>11</v>
      </c>
    </row>
    <row r="2091" ht="22.5" customHeight="1">
      <c r="A2091" s="37" t="s">
        <v>4416</v>
      </c>
      <c r="B2091" s="35" t="s">
        <v>4417</v>
      </c>
      <c r="C2091" s="35">
        <v>3848.0</v>
      </c>
      <c r="D2091" s="35">
        <v>3898.0</v>
      </c>
      <c r="E2091" s="35">
        <v>26030.0</v>
      </c>
      <c r="F2091" s="35">
        <v>11.0</v>
      </c>
    </row>
    <row r="2092" ht="22.5" customHeight="1">
      <c r="A2092" s="37" t="s">
        <v>4418</v>
      </c>
      <c r="B2092" s="35" t="s">
        <v>4419</v>
      </c>
      <c r="C2092" s="35">
        <v>736.0</v>
      </c>
      <c r="D2092" s="35">
        <v>721.0</v>
      </c>
      <c r="E2092" s="35">
        <v>29480.0</v>
      </c>
      <c r="F2092" s="35" t="s">
        <v>11</v>
      </c>
    </row>
    <row r="2093" ht="22.5" customHeight="1">
      <c r="A2093" s="37" t="s">
        <v>4420</v>
      </c>
      <c r="B2093" s="35" t="s">
        <v>4421</v>
      </c>
      <c r="C2093" s="35">
        <v>486.0</v>
      </c>
      <c r="D2093" s="35">
        <v>483.0</v>
      </c>
      <c r="E2093" s="35">
        <v>30870.0</v>
      </c>
      <c r="F2093" s="35" t="s">
        <v>11</v>
      </c>
    </row>
    <row r="2094" ht="22.5" customHeight="1">
      <c r="A2094" s="37" t="s">
        <v>4422</v>
      </c>
      <c r="B2094" s="35" t="s">
        <v>4423</v>
      </c>
      <c r="C2094" s="35">
        <v>4650.0</v>
      </c>
      <c r="D2094" s="35">
        <v>4775.0</v>
      </c>
      <c r="E2094" s="35">
        <v>30060.0</v>
      </c>
      <c r="F2094" s="35">
        <v>6.0</v>
      </c>
    </row>
    <row r="2095" ht="22.5" customHeight="1">
      <c r="A2095" s="37" t="s">
        <v>4424</v>
      </c>
      <c r="B2095" s="35" t="s">
        <v>1755</v>
      </c>
      <c r="C2095" s="35">
        <v>380.0</v>
      </c>
      <c r="D2095" s="35">
        <v>349.0</v>
      </c>
      <c r="E2095" s="35">
        <v>33490.0</v>
      </c>
      <c r="F2095" s="35" t="s">
        <v>11</v>
      </c>
    </row>
    <row r="2096" ht="22.5" customHeight="1">
      <c r="A2096" s="37" t="s">
        <v>4425</v>
      </c>
      <c r="B2096" s="35" t="s">
        <v>4426</v>
      </c>
      <c r="C2096" s="35">
        <v>283.0</v>
      </c>
      <c r="D2096" s="35">
        <v>285.0</v>
      </c>
      <c r="E2096" s="35">
        <v>26680.0</v>
      </c>
      <c r="F2096" s="35" t="s">
        <v>11</v>
      </c>
    </row>
    <row r="2097" ht="22.5" customHeight="1">
      <c r="A2097" s="37" t="s">
        <v>4427</v>
      </c>
      <c r="B2097" s="35" t="s">
        <v>4428</v>
      </c>
      <c r="C2097" s="35">
        <v>193.0</v>
      </c>
      <c r="D2097" s="35">
        <v>211.0</v>
      </c>
      <c r="E2097" s="35">
        <v>26820.0</v>
      </c>
      <c r="F2097" s="35" t="s">
        <v>11</v>
      </c>
    </row>
    <row r="2098" ht="22.5" customHeight="1">
      <c r="A2098" s="37" t="s">
        <v>4429</v>
      </c>
      <c r="B2098" s="35" t="s">
        <v>4430</v>
      </c>
      <c r="C2098" s="35">
        <v>644.0</v>
      </c>
      <c r="D2098" s="35">
        <v>593.0</v>
      </c>
      <c r="E2098" s="35">
        <v>35280.0</v>
      </c>
      <c r="F2098" s="35" t="s">
        <v>11</v>
      </c>
    </row>
    <row r="2099" ht="22.5" customHeight="1">
      <c r="A2099" s="37" t="s">
        <v>4431</v>
      </c>
      <c r="B2099" s="35" t="s">
        <v>4432</v>
      </c>
      <c r="C2099" s="35">
        <v>434.0</v>
      </c>
      <c r="D2099" s="35">
        <v>417.0</v>
      </c>
      <c r="E2099" s="35">
        <v>29510.0</v>
      </c>
      <c r="F2099" s="35" t="s">
        <v>11</v>
      </c>
    </row>
    <row r="2100" ht="22.5" customHeight="1">
      <c r="A2100" s="37" t="s">
        <v>4433</v>
      </c>
      <c r="B2100" s="35" t="s">
        <v>4434</v>
      </c>
      <c r="C2100" s="35">
        <v>762.0</v>
      </c>
      <c r="D2100" s="35">
        <v>741.0</v>
      </c>
      <c r="E2100" s="35">
        <v>26790.0</v>
      </c>
      <c r="F2100" s="35" t="s">
        <v>11</v>
      </c>
    </row>
    <row r="2101" ht="22.5" customHeight="1">
      <c r="A2101" s="37" t="s">
        <v>4435</v>
      </c>
      <c r="B2101" s="35" t="s">
        <v>4436</v>
      </c>
      <c r="C2101" s="35">
        <v>256.0</v>
      </c>
      <c r="D2101" s="35">
        <v>247.0</v>
      </c>
      <c r="E2101" s="35">
        <v>28320.0</v>
      </c>
      <c r="F2101" s="35" t="s">
        <v>11</v>
      </c>
    </row>
    <row r="2102" ht="22.5" customHeight="1">
      <c r="A2102" s="37" t="s">
        <v>4437</v>
      </c>
      <c r="B2102" s="35" t="s">
        <v>4438</v>
      </c>
      <c r="C2102" s="35">
        <v>1188.0</v>
      </c>
      <c r="D2102" s="35">
        <v>1196.0</v>
      </c>
      <c r="E2102" s="35">
        <v>28810.0</v>
      </c>
      <c r="F2102" s="35" t="s">
        <v>11</v>
      </c>
    </row>
    <row r="2103" ht="22.5" customHeight="1">
      <c r="A2103" s="37" t="s">
        <v>4439</v>
      </c>
      <c r="B2103" s="35" t="s">
        <v>4440</v>
      </c>
      <c r="C2103" s="35">
        <v>164.0</v>
      </c>
      <c r="D2103" s="35">
        <v>140.0</v>
      </c>
      <c r="E2103" s="35">
        <v>28730.0</v>
      </c>
      <c r="F2103" s="35" t="s">
        <v>11</v>
      </c>
    </row>
    <row r="2104" ht="22.5" customHeight="1">
      <c r="A2104" s="37" t="s">
        <v>4441</v>
      </c>
      <c r="B2104" s="35" t="s">
        <v>4442</v>
      </c>
      <c r="C2104" s="35">
        <v>636.0</v>
      </c>
      <c r="D2104" s="35">
        <v>724.0</v>
      </c>
      <c r="E2104" s="35">
        <v>29890.0</v>
      </c>
      <c r="F2104" s="35" t="s">
        <v>11</v>
      </c>
    </row>
    <row r="2105" ht="22.5" customHeight="1">
      <c r="A2105" s="37" t="s">
        <v>4443</v>
      </c>
      <c r="B2105" s="35" t="s">
        <v>4444</v>
      </c>
      <c r="C2105" s="35">
        <v>480.0</v>
      </c>
      <c r="D2105" s="35">
        <v>474.0</v>
      </c>
      <c r="E2105" s="35">
        <v>29970.0</v>
      </c>
      <c r="F2105" s="35" t="s">
        <v>11</v>
      </c>
    </row>
    <row r="2106" ht="22.5" customHeight="1">
      <c r="A2106" s="37" t="s">
        <v>4445</v>
      </c>
      <c r="B2106" s="35" t="s">
        <v>4446</v>
      </c>
      <c r="C2106" s="35">
        <v>714.0</v>
      </c>
      <c r="D2106" s="35">
        <v>726.0</v>
      </c>
      <c r="E2106" s="35">
        <v>37640.0</v>
      </c>
      <c r="F2106" s="35" t="s">
        <v>11</v>
      </c>
    </row>
    <row r="2107" ht="22.5" customHeight="1">
      <c r="A2107" s="37" t="s">
        <v>4447</v>
      </c>
      <c r="B2107" s="35" t="s">
        <v>4448</v>
      </c>
      <c r="C2107" s="35">
        <v>389.0</v>
      </c>
      <c r="D2107" s="35">
        <v>386.0</v>
      </c>
      <c r="E2107" s="35">
        <v>30270.0</v>
      </c>
      <c r="F2107" s="35" t="s">
        <v>11</v>
      </c>
    </row>
    <row r="2108" ht="22.5" customHeight="1">
      <c r="A2108" s="37" t="s">
        <v>4449</v>
      </c>
      <c r="B2108" s="35" t="s">
        <v>4450</v>
      </c>
      <c r="C2108" s="35">
        <v>6422.0</v>
      </c>
      <c r="D2108" s="35">
        <v>6480.0</v>
      </c>
      <c r="E2108" s="35">
        <v>21920.0</v>
      </c>
      <c r="F2108" s="35">
        <v>25.0</v>
      </c>
    </row>
    <row r="2109" ht="22.5" customHeight="1">
      <c r="A2109" s="37" t="s">
        <v>4451</v>
      </c>
      <c r="B2109" s="35" t="s">
        <v>4452</v>
      </c>
      <c r="C2109" s="35">
        <v>1002.0</v>
      </c>
      <c r="D2109" s="35">
        <v>951.0</v>
      </c>
      <c r="E2109" s="35">
        <v>26970.0</v>
      </c>
      <c r="F2109" s="35" t="s">
        <v>11</v>
      </c>
    </row>
    <row r="2110" ht="22.5" customHeight="1">
      <c r="A2110" s="37" t="s">
        <v>4453</v>
      </c>
      <c r="B2110" s="35" t="s">
        <v>4454</v>
      </c>
      <c r="C2110" s="35">
        <v>2335.0</v>
      </c>
      <c r="D2110" s="35">
        <v>2284.0</v>
      </c>
      <c r="E2110" s="35">
        <v>31560.0</v>
      </c>
      <c r="F2110" s="35">
        <v>3.0</v>
      </c>
    </row>
    <row r="2111" ht="22.5" customHeight="1">
      <c r="A2111" s="37" t="s">
        <v>4455</v>
      </c>
      <c r="B2111" s="35" t="s">
        <v>4456</v>
      </c>
      <c r="C2111" s="35">
        <v>374.0</v>
      </c>
      <c r="D2111" s="35">
        <v>370.0</v>
      </c>
      <c r="E2111" s="35">
        <v>26000.0</v>
      </c>
      <c r="F2111" s="35" t="s">
        <v>11</v>
      </c>
    </row>
    <row r="2112" ht="22.5" customHeight="1">
      <c r="A2112" s="37" t="s">
        <v>4457</v>
      </c>
      <c r="B2112" s="35" t="s">
        <v>4458</v>
      </c>
      <c r="C2112" s="35">
        <v>164.0</v>
      </c>
      <c r="D2112" s="35">
        <v>130.0</v>
      </c>
      <c r="E2112" s="35">
        <v>29240.0</v>
      </c>
      <c r="F2112" s="35" t="s">
        <v>11</v>
      </c>
    </row>
    <row r="2113" ht="22.5" customHeight="1">
      <c r="A2113" s="37" t="s">
        <v>4459</v>
      </c>
      <c r="B2113" s="35" t="s">
        <v>4460</v>
      </c>
      <c r="C2113" s="35">
        <v>1407.0</v>
      </c>
      <c r="D2113" s="35">
        <v>1421.0</v>
      </c>
      <c r="E2113" s="35">
        <v>34490.0</v>
      </c>
      <c r="F2113" s="35" t="s">
        <v>11</v>
      </c>
    </row>
    <row r="2114" ht="22.5" customHeight="1">
      <c r="A2114" s="37" t="s">
        <v>4461</v>
      </c>
      <c r="B2114" s="35" t="s">
        <v>4462</v>
      </c>
      <c r="C2114" s="35">
        <v>124.0</v>
      </c>
      <c r="D2114" s="35">
        <v>123.0</v>
      </c>
      <c r="E2114" s="35">
        <v>25480.0</v>
      </c>
      <c r="F2114" s="35" t="s">
        <v>11</v>
      </c>
    </row>
    <row r="2115" ht="22.5" customHeight="1">
      <c r="A2115" s="37" t="s">
        <v>4463</v>
      </c>
      <c r="B2115" s="35" t="s">
        <v>4464</v>
      </c>
      <c r="C2115" s="35">
        <v>151.0</v>
      </c>
      <c r="D2115" s="35">
        <v>162.0</v>
      </c>
      <c r="E2115" s="35">
        <v>25650.0</v>
      </c>
      <c r="F2115" s="35" t="s">
        <v>11</v>
      </c>
    </row>
    <row r="2116" ht="22.5" customHeight="1">
      <c r="A2116" s="37" t="s">
        <v>4465</v>
      </c>
      <c r="B2116" s="35" t="s">
        <v>4466</v>
      </c>
      <c r="C2116" s="35">
        <v>421.0</v>
      </c>
      <c r="D2116" s="35">
        <v>379.0</v>
      </c>
      <c r="E2116" s="35">
        <v>25040.0</v>
      </c>
      <c r="F2116" s="35" t="s">
        <v>11</v>
      </c>
    </row>
    <row r="2117" ht="22.5" customHeight="1">
      <c r="A2117" s="37" t="s">
        <v>4467</v>
      </c>
      <c r="B2117" s="35" t="s">
        <v>4468</v>
      </c>
      <c r="C2117" s="35">
        <v>532.0</v>
      </c>
      <c r="D2117" s="35">
        <v>542.0</v>
      </c>
      <c r="E2117" s="35">
        <v>27690.0</v>
      </c>
      <c r="F2117" s="35" t="s">
        <v>11</v>
      </c>
    </row>
    <row r="2118" ht="22.5" customHeight="1">
      <c r="A2118" s="37" t="s">
        <v>4469</v>
      </c>
      <c r="B2118" s="35" t="s">
        <v>4470</v>
      </c>
      <c r="C2118" s="35">
        <v>1413.0</v>
      </c>
      <c r="D2118" s="35">
        <v>1380.0</v>
      </c>
      <c r="E2118" s="35">
        <v>39220.0</v>
      </c>
      <c r="F2118" s="35" t="s">
        <v>11</v>
      </c>
    </row>
    <row r="2119" ht="22.5" customHeight="1">
      <c r="A2119" s="37" t="s">
        <v>4471</v>
      </c>
      <c r="B2119" s="35" t="s">
        <v>4472</v>
      </c>
      <c r="C2119" s="35">
        <v>33.0</v>
      </c>
      <c r="D2119" s="35">
        <v>33.0</v>
      </c>
      <c r="E2119" s="35" t="s">
        <v>11</v>
      </c>
      <c r="F2119" s="35" t="s">
        <v>11</v>
      </c>
    </row>
    <row r="2120" ht="22.5" customHeight="1">
      <c r="A2120" s="37" t="s">
        <v>4473</v>
      </c>
      <c r="B2120" s="35" t="s">
        <v>4474</v>
      </c>
      <c r="C2120" s="35">
        <v>300.0</v>
      </c>
      <c r="D2120" s="35">
        <v>283.0</v>
      </c>
      <c r="E2120" s="35">
        <v>25600.0</v>
      </c>
      <c r="F2120" s="35" t="s">
        <v>11</v>
      </c>
    </row>
    <row r="2121" ht="22.5" customHeight="1">
      <c r="A2121" s="37" t="s">
        <v>4475</v>
      </c>
      <c r="B2121" s="35" t="s">
        <v>4476</v>
      </c>
      <c r="C2121" s="35">
        <v>164.0</v>
      </c>
      <c r="D2121" s="35">
        <v>158.0</v>
      </c>
      <c r="E2121" s="35">
        <v>28200.0</v>
      </c>
      <c r="F2121" s="35" t="s">
        <v>11</v>
      </c>
    </row>
    <row r="2122" ht="22.5" customHeight="1">
      <c r="A2122" s="37" t="s">
        <v>4477</v>
      </c>
      <c r="B2122" s="35" t="s">
        <v>4478</v>
      </c>
      <c r="C2122" s="35">
        <v>1157.0</v>
      </c>
      <c r="D2122" s="35">
        <v>1218.0</v>
      </c>
      <c r="E2122" s="35">
        <v>28590.0</v>
      </c>
      <c r="F2122" s="35" t="s">
        <v>11</v>
      </c>
    </row>
    <row r="2123" ht="22.5" customHeight="1">
      <c r="A2123" s="37" t="s">
        <v>4479</v>
      </c>
      <c r="B2123" s="35" t="s">
        <v>4480</v>
      </c>
      <c r="C2123" s="35">
        <v>1212.0</v>
      </c>
      <c r="D2123" s="35">
        <v>1341.0</v>
      </c>
      <c r="E2123" s="35">
        <v>24560.0</v>
      </c>
      <c r="F2123" s="35" t="s">
        <v>11</v>
      </c>
    </row>
    <row r="2124" ht="22.5" customHeight="1">
      <c r="A2124" s="37" t="s">
        <v>4481</v>
      </c>
      <c r="B2124" s="35" t="s">
        <v>4482</v>
      </c>
      <c r="C2124" s="35">
        <v>255.0</v>
      </c>
      <c r="D2124" s="35">
        <v>233.0</v>
      </c>
      <c r="E2124" s="35">
        <v>24030.0</v>
      </c>
      <c r="F2124" s="35" t="s">
        <v>11</v>
      </c>
    </row>
    <row r="2125" ht="22.5" customHeight="1">
      <c r="A2125" s="37" t="s">
        <v>4483</v>
      </c>
      <c r="B2125" s="35" t="s">
        <v>4484</v>
      </c>
      <c r="C2125" s="35">
        <v>847.0</v>
      </c>
      <c r="D2125" s="35">
        <v>921.0</v>
      </c>
      <c r="E2125" s="35">
        <v>28220.0</v>
      </c>
      <c r="F2125" s="35" t="s">
        <v>11</v>
      </c>
    </row>
    <row r="2126" ht="22.5" customHeight="1">
      <c r="A2126" s="37" t="s">
        <v>4485</v>
      </c>
      <c r="B2126" s="35" t="s">
        <v>4486</v>
      </c>
      <c r="C2126" s="35">
        <v>1772.0</v>
      </c>
      <c r="D2126" s="35">
        <v>1994.0</v>
      </c>
      <c r="E2126" s="35">
        <v>29020.0</v>
      </c>
      <c r="F2126" s="35" t="s">
        <v>11</v>
      </c>
    </row>
    <row r="2127" ht="22.5" customHeight="1">
      <c r="A2127" s="37" t="s">
        <v>4487</v>
      </c>
      <c r="B2127" s="35" t="s">
        <v>4488</v>
      </c>
      <c r="C2127" s="35">
        <v>222.0</v>
      </c>
      <c r="D2127" s="35">
        <v>208.0</v>
      </c>
      <c r="E2127" s="35">
        <v>26610.0</v>
      </c>
      <c r="F2127" s="35" t="s">
        <v>11</v>
      </c>
    </row>
    <row r="2128" ht="22.5" customHeight="1">
      <c r="A2128" s="37" t="s">
        <v>4489</v>
      </c>
      <c r="B2128" s="35" t="s">
        <v>4490</v>
      </c>
      <c r="C2128" s="35">
        <v>627.0</v>
      </c>
      <c r="D2128" s="35">
        <v>576.0</v>
      </c>
      <c r="E2128" s="35">
        <v>31120.0</v>
      </c>
      <c r="F2128" s="35" t="s">
        <v>11</v>
      </c>
    </row>
    <row r="2129" ht="22.5" customHeight="1">
      <c r="A2129" s="37" t="s">
        <v>4491</v>
      </c>
      <c r="B2129" s="35" t="s">
        <v>4492</v>
      </c>
      <c r="C2129" s="35">
        <v>7799.0</v>
      </c>
      <c r="D2129" s="35">
        <v>7873.0</v>
      </c>
      <c r="E2129" s="35">
        <v>24710.0</v>
      </c>
      <c r="F2129" s="35">
        <v>17.0</v>
      </c>
    </row>
    <row r="2130" ht="22.5" customHeight="1">
      <c r="A2130" s="37" t="s">
        <v>4493</v>
      </c>
      <c r="B2130" s="35" t="s">
        <v>4494</v>
      </c>
      <c r="C2130" s="35">
        <v>988.0</v>
      </c>
      <c r="D2130" s="35">
        <v>974.0</v>
      </c>
      <c r="E2130" s="35">
        <v>23220.0</v>
      </c>
      <c r="F2130" s="35" t="s">
        <v>11</v>
      </c>
    </row>
    <row r="2131" ht="22.5" customHeight="1">
      <c r="A2131" s="37" t="s">
        <v>4495</v>
      </c>
      <c r="B2131" s="35" t="s">
        <v>4496</v>
      </c>
      <c r="C2131" s="35">
        <v>303.0</v>
      </c>
      <c r="D2131" s="35">
        <v>320.0</v>
      </c>
      <c r="E2131" s="35">
        <v>25450.0</v>
      </c>
      <c r="F2131" s="35" t="s">
        <v>11</v>
      </c>
    </row>
    <row r="2132" ht="22.5" customHeight="1">
      <c r="A2132" s="37" t="s">
        <v>4497</v>
      </c>
      <c r="B2132" s="35" t="s">
        <v>4498</v>
      </c>
      <c r="C2132" s="35">
        <v>769.0</v>
      </c>
      <c r="D2132" s="35">
        <v>783.0</v>
      </c>
      <c r="E2132" s="35">
        <v>30020.0</v>
      </c>
      <c r="F2132" s="35" t="s">
        <v>11</v>
      </c>
    </row>
    <row r="2133" ht="22.5" customHeight="1">
      <c r="A2133" s="37" t="s">
        <v>4499</v>
      </c>
      <c r="B2133" s="35" t="s">
        <v>4500</v>
      </c>
      <c r="C2133" s="35">
        <v>833.0</v>
      </c>
      <c r="D2133" s="35">
        <v>802.0</v>
      </c>
      <c r="E2133" s="35">
        <v>25100.0</v>
      </c>
      <c r="F2133" s="35" t="s">
        <v>11</v>
      </c>
    </row>
    <row r="2134" ht="22.5" customHeight="1">
      <c r="A2134" s="37" t="s">
        <v>4501</v>
      </c>
      <c r="B2134" s="35" t="s">
        <v>4502</v>
      </c>
      <c r="C2134" s="35">
        <v>259.0</v>
      </c>
      <c r="D2134" s="35">
        <v>287.0</v>
      </c>
      <c r="E2134" s="35">
        <v>26690.0</v>
      </c>
      <c r="F2134" s="35" t="s">
        <v>11</v>
      </c>
    </row>
    <row r="2135" ht="22.5" customHeight="1">
      <c r="A2135" s="37" t="s">
        <v>4503</v>
      </c>
      <c r="B2135" s="35" t="s">
        <v>4504</v>
      </c>
      <c r="C2135" s="35">
        <v>239.0</v>
      </c>
      <c r="D2135" s="35">
        <v>254.0</v>
      </c>
      <c r="E2135" s="35">
        <v>26730.0</v>
      </c>
      <c r="F2135" s="35" t="s">
        <v>11</v>
      </c>
    </row>
    <row r="2136" ht="22.5" customHeight="1">
      <c r="A2136" s="37" t="s">
        <v>4505</v>
      </c>
      <c r="B2136" s="35" t="s">
        <v>4506</v>
      </c>
      <c r="C2136" s="35">
        <v>653.0</v>
      </c>
      <c r="D2136" s="35">
        <v>621.0</v>
      </c>
      <c r="E2136" s="35">
        <v>30630.0</v>
      </c>
      <c r="F2136" s="35" t="s">
        <v>11</v>
      </c>
    </row>
    <row r="2137" ht="22.5" customHeight="1">
      <c r="A2137" s="37" t="s">
        <v>4507</v>
      </c>
      <c r="B2137" s="35" t="s">
        <v>4508</v>
      </c>
      <c r="C2137" s="35">
        <v>249.0</v>
      </c>
      <c r="D2137" s="35">
        <v>255.0</v>
      </c>
      <c r="E2137" s="35">
        <v>28030.0</v>
      </c>
      <c r="F2137" s="35" t="s">
        <v>11</v>
      </c>
    </row>
    <row r="2138" ht="22.5" customHeight="1">
      <c r="A2138" s="37" t="s">
        <v>4509</v>
      </c>
      <c r="B2138" s="35" t="s">
        <v>4510</v>
      </c>
      <c r="C2138" s="35">
        <v>1929.0</v>
      </c>
      <c r="D2138" s="35">
        <v>1871.0</v>
      </c>
      <c r="E2138" s="35">
        <v>27360.0</v>
      </c>
      <c r="F2138" s="35" t="s">
        <v>11</v>
      </c>
    </row>
    <row r="2139" ht="22.5" customHeight="1">
      <c r="A2139" s="37" t="s">
        <v>4511</v>
      </c>
      <c r="B2139" s="35" t="s">
        <v>4512</v>
      </c>
      <c r="C2139" s="35">
        <v>9871.0</v>
      </c>
      <c r="D2139" s="35">
        <v>9598.0</v>
      </c>
      <c r="E2139" s="35">
        <v>23150.0</v>
      </c>
      <c r="F2139" s="35">
        <v>20.0</v>
      </c>
    </row>
    <row r="2140" ht="22.5" customHeight="1">
      <c r="A2140" s="37" t="s">
        <v>4513</v>
      </c>
      <c r="B2140" s="35" t="s">
        <v>4514</v>
      </c>
      <c r="C2140" s="35">
        <v>223.0</v>
      </c>
      <c r="D2140" s="35">
        <v>261.0</v>
      </c>
      <c r="E2140" s="35">
        <v>28050.0</v>
      </c>
      <c r="F2140" s="35" t="s">
        <v>11</v>
      </c>
    </row>
    <row r="2141" ht="22.5" customHeight="1">
      <c r="A2141" s="37" t="s">
        <v>4515</v>
      </c>
      <c r="B2141" s="35" t="s">
        <v>4516</v>
      </c>
      <c r="C2141" s="35">
        <v>186.0</v>
      </c>
      <c r="D2141" s="35">
        <v>185.0</v>
      </c>
      <c r="E2141" s="35">
        <v>27200.0</v>
      </c>
      <c r="F2141" s="35" t="s">
        <v>11</v>
      </c>
    </row>
    <row r="2142" ht="22.5" customHeight="1">
      <c r="A2142" s="37" t="s">
        <v>4517</v>
      </c>
      <c r="B2142" s="35" t="s">
        <v>4518</v>
      </c>
      <c r="C2142" s="35">
        <v>189.0</v>
      </c>
      <c r="D2142" s="35">
        <v>194.0</v>
      </c>
      <c r="E2142" s="35">
        <v>19870.0</v>
      </c>
      <c r="F2142" s="35" t="s">
        <v>11</v>
      </c>
    </row>
    <row r="2143" ht="22.5" customHeight="1">
      <c r="A2143" s="37" t="s">
        <v>4519</v>
      </c>
      <c r="B2143" s="35" t="s">
        <v>4520</v>
      </c>
      <c r="C2143" s="35">
        <v>263.0</v>
      </c>
      <c r="D2143" s="35">
        <v>264.0</v>
      </c>
      <c r="E2143" s="35">
        <v>25990.0</v>
      </c>
      <c r="F2143" s="35" t="s">
        <v>11</v>
      </c>
    </row>
    <row r="2144" ht="22.5" customHeight="1">
      <c r="A2144" s="37" t="s">
        <v>4521</v>
      </c>
      <c r="B2144" s="35" t="s">
        <v>4522</v>
      </c>
      <c r="C2144" s="35">
        <v>3906.0</v>
      </c>
      <c r="D2144" s="35">
        <v>3902.0</v>
      </c>
      <c r="E2144" s="35">
        <v>25960.0</v>
      </c>
      <c r="F2144" s="35">
        <v>12.0</v>
      </c>
    </row>
    <row r="2145" ht="22.5" customHeight="1">
      <c r="A2145" s="37" t="s">
        <v>4523</v>
      </c>
      <c r="B2145" s="35" t="s">
        <v>4524</v>
      </c>
      <c r="C2145" s="35">
        <v>630.0</v>
      </c>
      <c r="D2145" s="35">
        <v>624.0</v>
      </c>
      <c r="E2145" s="35">
        <v>23520.0</v>
      </c>
      <c r="F2145" s="35" t="s">
        <v>11</v>
      </c>
    </row>
    <row r="2146" ht="22.5" customHeight="1">
      <c r="A2146" s="37" t="s">
        <v>4525</v>
      </c>
      <c r="B2146" s="35" t="s">
        <v>4526</v>
      </c>
      <c r="C2146" s="35">
        <v>386.0</v>
      </c>
      <c r="D2146" s="35">
        <v>365.0</v>
      </c>
      <c r="E2146" s="35">
        <v>23770.0</v>
      </c>
      <c r="F2146" s="35" t="s">
        <v>11</v>
      </c>
    </row>
    <row r="2147" ht="22.5" customHeight="1">
      <c r="A2147" s="37" t="s">
        <v>4527</v>
      </c>
      <c r="B2147" s="35" t="s">
        <v>4528</v>
      </c>
      <c r="C2147" s="35">
        <v>330.0</v>
      </c>
      <c r="D2147" s="35">
        <v>291.0</v>
      </c>
      <c r="E2147" s="35">
        <v>23690.0</v>
      </c>
      <c r="F2147" s="35" t="s">
        <v>11</v>
      </c>
    </row>
    <row r="2148" ht="22.5" customHeight="1">
      <c r="A2148" s="37" t="s">
        <v>4529</v>
      </c>
      <c r="B2148" s="35" t="s">
        <v>4530</v>
      </c>
      <c r="C2148" s="35">
        <v>2925.0</v>
      </c>
      <c r="D2148" s="35">
        <v>2823.0</v>
      </c>
      <c r="E2148" s="35">
        <v>24620.0</v>
      </c>
      <c r="F2148" s="35">
        <v>12.0</v>
      </c>
    </row>
    <row r="2149" ht="22.5" customHeight="1">
      <c r="A2149" s="37" t="s">
        <v>4531</v>
      </c>
      <c r="B2149" s="35" t="s">
        <v>4532</v>
      </c>
      <c r="C2149" s="35">
        <v>999.0</v>
      </c>
      <c r="D2149" s="35">
        <v>973.0</v>
      </c>
      <c r="E2149" s="35">
        <v>23300.0</v>
      </c>
      <c r="F2149" s="35" t="s">
        <v>11</v>
      </c>
    </row>
    <row r="2150" ht="22.5" customHeight="1">
      <c r="A2150" s="37" t="s">
        <v>4533</v>
      </c>
      <c r="B2150" s="35" t="s">
        <v>4534</v>
      </c>
      <c r="C2150" s="35">
        <v>1843.0</v>
      </c>
      <c r="D2150" s="35">
        <v>2033.0</v>
      </c>
      <c r="E2150" s="35">
        <v>25080.0</v>
      </c>
      <c r="F2150" s="35" t="s">
        <v>11</v>
      </c>
    </row>
    <row r="2151" ht="22.5" customHeight="1">
      <c r="A2151" s="37" t="s">
        <v>4535</v>
      </c>
      <c r="B2151" s="35" t="s">
        <v>4536</v>
      </c>
      <c r="C2151" s="35">
        <v>112.0</v>
      </c>
      <c r="D2151" s="35">
        <v>118.0</v>
      </c>
      <c r="E2151" s="35">
        <v>25700.0</v>
      </c>
      <c r="F2151" s="35" t="s">
        <v>11</v>
      </c>
    </row>
    <row r="2152" ht="22.5" customHeight="1">
      <c r="A2152" s="37" t="s">
        <v>4537</v>
      </c>
      <c r="B2152" s="35" t="s">
        <v>4538</v>
      </c>
      <c r="C2152" s="35">
        <v>239.0</v>
      </c>
      <c r="D2152" s="35">
        <v>211.0</v>
      </c>
      <c r="E2152" s="35">
        <v>22220.0</v>
      </c>
      <c r="F2152" s="35" t="s">
        <v>11</v>
      </c>
    </row>
    <row r="2153" ht="22.5" customHeight="1">
      <c r="A2153" s="37" t="s">
        <v>4539</v>
      </c>
      <c r="B2153" s="35" t="s">
        <v>4540</v>
      </c>
      <c r="C2153" s="35">
        <v>636.0</v>
      </c>
      <c r="D2153" s="35">
        <v>676.0</v>
      </c>
      <c r="E2153" s="35">
        <v>23650.0</v>
      </c>
      <c r="F2153" s="35" t="s">
        <v>11</v>
      </c>
    </row>
    <row r="2154" ht="22.5" customHeight="1">
      <c r="A2154" s="37" t="s">
        <v>4541</v>
      </c>
      <c r="B2154" s="35" t="s">
        <v>4542</v>
      </c>
      <c r="C2154" s="35">
        <v>475.0</v>
      </c>
      <c r="D2154" s="35">
        <v>469.0</v>
      </c>
      <c r="E2154" s="35">
        <v>24910.0</v>
      </c>
      <c r="F2154" s="35" t="s">
        <v>11</v>
      </c>
    </row>
    <row r="2155" ht="22.5" customHeight="1">
      <c r="A2155" s="37" t="s">
        <v>4543</v>
      </c>
      <c r="B2155" s="35" t="s">
        <v>4544</v>
      </c>
      <c r="C2155" s="35">
        <v>302.0</v>
      </c>
      <c r="D2155" s="35">
        <v>297.0</v>
      </c>
      <c r="E2155" s="35">
        <v>25280.0</v>
      </c>
      <c r="F2155" s="35" t="s">
        <v>11</v>
      </c>
    </row>
    <row r="2156" ht="22.5" customHeight="1">
      <c r="A2156" s="37" t="s">
        <v>4545</v>
      </c>
      <c r="B2156" s="35" t="s">
        <v>4546</v>
      </c>
      <c r="C2156" s="35">
        <v>1564.0</v>
      </c>
      <c r="D2156" s="35">
        <v>1523.0</v>
      </c>
      <c r="E2156" s="35">
        <v>24670.0</v>
      </c>
      <c r="F2156" s="35" t="s">
        <v>11</v>
      </c>
    </row>
    <row r="2157" ht="22.5" customHeight="1">
      <c r="A2157" s="37" t="s">
        <v>4547</v>
      </c>
      <c r="B2157" s="35" t="s">
        <v>4548</v>
      </c>
      <c r="C2157" s="35">
        <v>4526.0</v>
      </c>
      <c r="D2157" s="35">
        <v>4641.0</v>
      </c>
      <c r="E2157" s="35">
        <v>23190.0</v>
      </c>
      <c r="F2157" s="35">
        <v>18.0</v>
      </c>
    </row>
    <row r="2158" ht="22.5" customHeight="1">
      <c r="A2158" s="37" t="s">
        <v>4549</v>
      </c>
      <c r="B2158" s="35" t="s">
        <v>4550</v>
      </c>
      <c r="C2158" s="35">
        <v>4337.0</v>
      </c>
      <c r="D2158" s="35">
        <v>4571.0</v>
      </c>
      <c r="E2158" s="35">
        <v>23530.0</v>
      </c>
      <c r="F2158" s="35">
        <v>16.0</v>
      </c>
    </row>
    <row r="2159" ht="22.5" customHeight="1">
      <c r="A2159" s="37" t="s">
        <v>4551</v>
      </c>
      <c r="B2159" s="35" t="s">
        <v>4552</v>
      </c>
      <c r="C2159" s="35">
        <v>2201.0</v>
      </c>
      <c r="D2159" s="35">
        <v>2133.0</v>
      </c>
      <c r="E2159" s="35">
        <v>22220.0</v>
      </c>
      <c r="F2159" s="35">
        <v>18.0</v>
      </c>
    </row>
    <row r="2160" ht="22.5" customHeight="1">
      <c r="A2160" s="37" t="s">
        <v>4553</v>
      </c>
      <c r="B2160" s="35" t="s">
        <v>4554</v>
      </c>
      <c r="C2160" s="35">
        <v>5898.0</v>
      </c>
      <c r="D2160" s="35">
        <v>5825.0</v>
      </c>
      <c r="E2160" s="35">
        <v>23880.0</v>
      </c>
      <c r="F2160" s="35">
        <v>16.0</v>
      </c>
    </row>
    <row r="2161" ht="22.5" customHeight="1">
      <c r="A2161" s="37" t="s">
        <v>4555</v>
      </c>
      <c r="B2161" s="35" t="s">
        <v>4556</v>
      </c>
      <c r="C2161" s="35">
        <v>772.0</v>
      </c>
      <c r="D2161" s="35">
        <v>700.0</v>
      </c>
      <c r="E2161" s="35">
        <v>22000.0</v>
      </c>
      <c r="F2161" s="35" t="s">
        <v>11</v>
      </c>
    </row>
    <row r="2162" ht="22.5" customHeight="1">
      <c r="A2162" s="37" t="s">
        <v>4557</v>
      </c>
      <c r="B2162" s="35" t="s">
        <v>4558</v>
      </c>
      <c r="C2162" s="35">
        <v>2742.0</v>
      </c>
      <c r="D2162" s="35">
        <v>2833.0</v>
      </c>
      <c r="E2162" s="35">
        <v>32660.0</v>
      </c>
      <c r="F2162" s="35">
        <v>5.0</v>
      </c>
    </row>
    <row r="2163" ht="22.5" customHeight="1">
      <c r="A2163" s="37" t="s">
        <v>4559</v>
      </c>
      <c r="B2163" s="35" t="s">
        <v>4560</v>
      </c>
      <c r="C2163" s="35">
        <v>4405.0</v>
      </c>
      <c r="D2163" s="35">
        <v>4389.0</v>
      </c>
      <c r="E2163" s="35">
        <v>24410.0</v>
      </c>
      <c r="F2163" s="35">
        <v>15.0</v>
      </c>
    </row>
    <row r="2164" ht="22.5" customHeight="1">
      <c r="A2164" s="37" t="s">
        <v>4561</v>
      </c>
      <c r="B2164" s="35" t="s">
        <v>4562</v>
      </c>
      <c r="C2164" s="35">
        <v>856.0</v>
      </c>
      <c r="D2164" s="35">
        <v>960.0</v>
      </c>
      <c r="E2164" s="35">
        <v>28630.0</v>
      </c>
      <c r="F2164" s="35" t="s">
        <v>11</v>
      </c>
    </row>
    <row r="2165" ht="22.5" customHeight="1">
      <c r="A2165" s="37" t="s">
        <v>4563</v>
      </c>
      <c r="B2165" s="35" t="s">
        <v>4564</v>
      </c>
      <c r="C2165" s="35">
        <v>9753.0</v>
      </c>
      <c r="D2165" s="35">
        <v>9431.0</v>
      </c>
      <c r="E2165" s="35">
        <v>21840.0</v>
      </c>
      <c r="F2165" s="35">
        <v>22.0</v>
      </c>
    </row>
    <row r="2166" ht="22.5" customHeight="1">
      <c r="A2166" s="37" t="s">
        <v>4565</v>
      </c>
      <c r="B2166" s="35" t="s">
        <v>4566</v>
      </c>
      <c r="C2166" s="35">
        <v>41019.0</v>
      </c>
      <c r="D2166" s="35">
        <v>42875.0</v>
      </c>
      <c r="E2166" s="35">
        <v>22410.0</v>
      </c>
      <c r="F2166" s="35">
        <v>26.1</v>
      </c>
    </row>
    <row r="2167" ht="22.5" customHeight="1">
      <c r="A2167" s="37" t="s">
        <v>4567</v>
      </c>
      <c r="B2167" s="35" t="s">
        <v>4568</v>
      </c>
      <c r="C2167" s="35">
        <v>1014.0</v>
      </c>
      <c r="D2167" s="35">
        <v>1038.0</v>
      </c>
      <c r="E2167" s="35">
        <v>29100.0</v>
      </c>
      <c r="F2167" s="35" t="s">
        <v>11</v>
      </c>
    </row>
    <row r="2168" ht="22.5" customHeight="1">
      <c r="A2168" s="37" t="s">
        <v>4569</v>
      </c>
      <c r="B2168" s="35" t="s">
        <v>4570</v>
      </c>
      <c r="C2168" s="35">
        <v>1978.0</v>
      </c>
      <c r="D2168" s="35">
        <v>2064.0</v>
      </c>
      <c r="E2168" s="35">
        <v>24960.0</v>
      </c>
      <c r="F2168" s="35">
        <v>12.0</v>
      </c>
    </row>
    <row r="2169" ht="22.5" customHeight="1">
      <c r="A2169" s="37" t="s">
        <v>4571</v>
      </c>
      <c r="B2169" s="35" t="s">
        <v>4572</v>
      </c>
      <c r="C2169" s="35">
        <v>729.0</v>
      </c>
      <c r="D2169" s="35">
        <v>885.0</v>
      </c>
      <c r="E2169" s="35">
        <v>24510.0</v>
      </c>
      <c r="F2169" s="35" t="s">
        <v>11</v>
      </c>
    </row>
    <row r="2170" ht="22.5" customHeight="1">
      <c r="A2170" s="37" t="s">
        <v>4573</v>
      </c>
      <c r="B2170" s="35" t="s">
        <v>4574</v>
      </c>
      <c r="C2170" s="35">
        <v>1459.0</v>
      </c>
      <c r="D2170" s="35">
        <v>1489.0</v>
      </c>
      <c r="E2170" s="35">
        <v>24810.0</v>
      </c>
      <c r="F2170" s="35" t="s">
        <v>11</v>
      </c>
    </row>
    <row r="2171" ht="22.5" customHeight="1">
      <c r="A2171" s="37" t="s">
        <v>4575</v>
      </c>
      <c r="B2171" s="35" t="s">
        <v>4576</v>
      </c>
      <c r="C2171" s="35">
        <v>759.0</v>
      </c>
      <c r="D2171" s="35">
        <v>733.0</v>
      </c>
      <c r="E2171" s="35">
        <v>21920.0</v>
      </c>
      <c r="F2171" s="35" t="s">
        <v>11</v>
      </c>
    </row>
    <row r="2172" ht="22.5" customHeight="1">
      <c r="A2172" s="37" t="s">
        <v>4577</v>
      </c>
      <c r="B2172" s="35" t="s">
        <v>4578</v>
      </c>
      <c r="C2172" s="35">
        <v>152.0</v>
      </c>
      <c r="D2172" s="35">
        <v>141.0</v>
      </c>
      <c r="E2172" s="35">
        <v>25340.0</v>
      </c>
      <c r="F2172" s="35" t="s">
        <v>11</v>
      </c>
    </row>
    <row r="2173" ht="22.5" customHeight="1">
      <c r="A2173" s="37" t="s">
        <v>4579</v>
      </c>
      <c r="B2173" s="35" t="s">
        <v>4580</v>
      </c>
      <c r="C2173" s="35">
        <v>10291.0</v>
      </c>
      <c r="D2173" s="35">
        <v>10051.0</v>
      </c>
      <c r="E2173" s="35">
        <v>19120.0</v>
      </c>
      <c r="F2173" s="35">
        <v>32.0</v>
      </c>
    </row>
    <row r="2174" ht="22.5" customHeight="1">
      <c r="A2174" s="37" t="s">
        <v>4581</v>
      </c>
      <c r="B2174" s="35" t="s">
        <v>4582</v>
      </c>
      <c r="C2174" s="35">
        <v>504.0</v>
      </c>
      <c r="D2174" s="35">
        <v>548.0</v>
      </c>
      <c r="E2174" s="35">
        <v>26060.0</v>
      </c>
      <c r="F2174" s="35" t="s">
        <v>11</v>
      </c>
    </row>
    <row r="2175" ht="22.5" customHeight="1">
      <c r="A2175" s="37" t="s">
        <v>4583</v>
      </c>
      <c r="B2175" s="35" t="s">
        <v>4584</v>
      </c>
      <c r="C2175" s="35">
        <v>1571.0</v>
      </c>
      <c r="D2175" s="35">
        <v>1513.0</v>
      </c>
      <c r="E2175" s="35">
        <v>20480.0</v>
      </c>
      <c r="F2175" s="35" t="s">
        <v>11</v>
      </c>
    </row>
    <row r="2176" ht="22.5" customHeight="1">
      <c r="A2176" s="37" t="s">
        <v>4585</v>
      </c>
      <c r="B2176" s="35" t="s">
        <v>4586</v>
      </c>
      <c r="C2176" s="35">
        <v>4726.0</v>
      </c>
      <c r="D2176" s="35">
        <v>4625.0</v>
      </c>
      <c r="E2176" s="35">
        <v>22890.0</v>
      </c>
      <c r="F2176" s="35">
        <v>18.0</v>
      </c>
    </row>
    <row r="2177" ht="22.5" customHeight="1">
      <c r="A2177" s="37" t="s">
        <v>4587</v>
      </c>
      <c r="B2177" s="35" t="s">
        <v>4588</v>
      </c>
      <c r="C2177" s="35">
        <v>432.0</v>
      </c>
      <c r="D2177" s="35">
        <v>424.0</v>
      </c>
      <c r="E2177" s="35">
        <v>29380.0</v>
      </c>
      <c r="F2177" s="35" t="s">
        <v>11</v>
      </c>
    </row>
    <row r="2178" ht="22.5" customHeight="1">
      <c r="A2178" s="37" t="s">
        <v>4589</v>
      </c>
      <c r="B2178" s="35" t="s">
        <v>4590</v>
      </c>
      <c r="C2178" s="35">
        <v>664.0</v>
      </c>
      <c r="D2178" s="35">
        <v>684.0</v>
      </c>
      <c r="E2178" s="35">
        <v>24970.0</v>
      </c>
      <c r="F2178" s="35" t="s">
        <v>11</v>
      </c>
    </row>
    <row r="2179" ht="22.5" customHeight="1">
      <c r="A2179" s="37" t="s">
        <v>4591</v>
      </c>
      <c r="B2179" s="35" t="s">
        <v>4592</v>
      </c>
      <c r="C2179" s="35">
        <v>582.0</v>
      </c>
      <c r="D2179" s="35">
        <v>617.0</v>
      </c>
      <c r="E2179" s="35">
        <v>23840.0</v>
      </c>
      <c r="F2179" s="35" t="s">
        <v>11</v>
      </c>
    </row>
    <row r="2180" ht="22.5" customHeight="1">
      <c r="A2180" s="37" t="s">
        <v>4593</v>
      </c>
      <c r="B2180" s="35" t="s">
        <v>4594</v>
      </c>
      <c r="C2180" s="35">
        <v>562.0</v>
      </c>
      <c r="D2180" s="35">
        <v>521.0</v>
      </c>
      <c r="E2180" s="35">
        <v>24310.0</v>
      </c>
      <c r="F2180" s="35" t="s">
        <v>11</v>
      </c>
    </row>
    <row r="2181" ht="22.5" customHeight="1">
      <c r="A2181" s="37" t="s">
        <v>4595</v>
      </c>
      <c r="B2181" s="35" t="s">
        <v>4596</v>
      </c>
      <c r="C2181" s="35">
        <v>649.0</v>
      </c>
      <c r="D2181" s="35">
        <v>608.0</v>
      </c>
      <c r="E2181" s="35">
        <v>25410.0</v>
      </c>
      <c r="F2181" s="35" t="s">
        <v>11</v>
      </c>
    </row>
    <row r="2182" ht="22.5" customHeight="1">
      <c r="A2182" s="37" t="s">
        <v>4597</v>
      </c>
      <c r="B2182" s="35" t="s">
        <v>4598</v>
      </c>
      <c r="C2182" s="35">
        <v>5412.0</v>
      </c>
      <c r="D2182" s="35">
        <v>5309.0</v>
      </c>
      <c r="E2182" s="35">
        <v>24360.0</v>
      </c>
      <c r="F2182" s="35">
        <v>15.0</v>
      </c>
    </row>
    <row r="2183" ht="22.5" customHeight="1">
      <c r="A2183" s="37" t="s">
        <v>4599</v>
      </c>
      <c r="B2183" s="35" t="s">
        <v>4600</v>
      </c>
      <c r="C2183" s="35">
        <v>198.0</v>
      </c>
      <c r="D2183" s="35">
        <v>189.0</v>
      </c>
      <c r="E2183" s="35">
        <v>25580.0</v>
      </c>
      <c r="F2183" s="35" t="s">
        <v>11</v>
      </c>
    </row>
    <row r="2184" ht="22.5" customHeight="1">
      <c r="A2184" s="37" t="s">
        <v>4601</v>
      </c>
      <c r="B2184" s="35" t="s">
        <v>4602</v>
      </c>
      <c r="C2184" s="35">
        <v>291.0</v>
      </c>
      <c r="D2184" s="35">
        <v>293.0</v>
      </c>
      <c r="E2184" s="35">
        <v>31950.0</v>
      </c>
      <c r="F2184" s="35" t="s">
        <v>11</v>
      </c>
    </row>
    <row r="2185" ht="22.5" customHeight="1">
      <c r="A2185" s="37" t="s">
        <v>4603</v>
      </c>
      <c r="B2185" s="35" t="s">
        <v>4604</v>
      </c>
      <c r="C2185" s="35">
        <v>2639.0</v>
      </c>
      <c r="D2185" s="35">
        <v>2547.0</v>
      </c>
      <c r="E2185" s="35">
        <v>20430.0</v>
      </c>
      <c r="F2185" s="35">
        <v>29.0</v>
      </c>
    </row>
    <row r="2186" ht="22.5" customHeight="1">
      <c r="A2186" s="37" t="s">
        <v>4605</v>
      </c>
      <c r="B2186" s="35" t="s">
        <v>4606</v>
      </c>
      <c r="C2186" s="35">
        <v>293.0</v>
      </c>
      <c r="D2186" s="35">
        <v>295.0</v>
      </c>
      <c r="E2186" s="35">
        <v>27090.0</v>
      </c>
      <c r="F2186" s="35" t="s">
        <v>11</v>
      </c>
    </row>
    <row r="2187" ht="22.5" customHeight="1">
      <c r="A2187" s="37" t="s">
        <v>4607</v>
      </c>
      <c r="B2187" s="35" t="s">
        <v>4608</v>
      </c>
      <c r="C2187" s="35">
        <v>52.0</v>
      </c>
      <c r="D2187" s="35">
        <v>46.0</v>
      </c>
      <c r="E2187" s="35" t="s">
        <v>11</v>
      </c>
      <c r="F2187" s="35" t="s">
        <v>11</v>
      </c>
    </row>
    <row r="2188" ht="22.5" customHeight="1">
      <c r="A2188" s="37" t="s">
        <v>4609</v>
      </c>
      <c r="B2188" s="35" t="s">
        <v>4610</v>
      </c>
      <c r="C2188" s="35">
        <v>1902.0</v>
      </c>
      <c r="D2188" s="35">
        <v>1840.0</v>
      </c>
      <c r="E2188" s="35">
        <v>22210.0</v>
      </c>
      <c r="F2188" s="35" t="s">
        <v>11</v>
      </c>
    </row>
    <row r="2189" ht="22.5" customHeight="1">
      <c r="A2189" s="37" t="s">
        <v>4611</v>
      </c>
      <c r="B2189" s="35" t="s">
        <v>4612</v>
      </c>
      <c r="C2189" s="35">
        <v>162.0</v>
      </c>
      <c r="D2189" s="35">
        <v>174.0</v>
      </c>
      <c r="E2189" s="35">
        <v>24900.0</v>
      </c>
      <c r="F2189" s="35" t="s">
        <v>11</v>
      </c>
    </row>
    <row r="2190" ht="22.5" customHeight="1">
      <c r="A2190" s="37" t="s">
        <v>4613</v>
      </c>
      <c r="B2190" s="35" t="s">
        <v>4614</v>
      </c>
      <c r="C2190" s="35">
        <v>17622.0</v>
      </c>
      <c r="D2190" s="35">
        <v>17435.0</v>
      </c>
      <c r="E2190" s="35">
        <v>19900.0</v>
      </c>
      <c r="F2190" s="35">
        <v>29.0</v>
      </c>
    </row>
    <row r="2191" ht="22.5" customHeight="1">
      <c r="A2191" s="37" t="s">
        <v>4615</v>
      </c>
      <c r="B2191" s="35" t="s">
        <v>4616</v>
      </c>
      <c r="C2191" s="35">
        <v>38.0</v>
      </c>
      <c r="D2191" s="35">
        <v>33.0</v>
      </c>
      <c r="E2191" s="35" t="s">
        <v>11</v>
      </c>
      <c r="F2191" s="35" t="s">
        <v>11</v>
      </c>
    </row>
    <row r="2192" ht="22.5" customHeight="1">
      <c r="A2192" s="37" t="s">
        <v>4617</v>
      </c>
      <c r="B2192" s="35" t="s">
        <v>4618</v>
      </c>
      <c r="C2192" s="35">
        <v>607.0</v>
      </c>
      <c r="D2192" s="35">
        <v>536.0</v>
      </c>
      <c r="E2192" s="35">
        <v>24740.0</v>
      </c>
      <c r="F2192" s="35" t="s">
        <v>11</v>
      </c>
    </row>
    <row r="2193" ht="22.5" customHeight="1">
      <c r="A2193" s="37" t="s">
        <v>4619</v>
      </c>
      <c r="B2193" s="35" t="s">
        <v>4620</v>
      </c>
      <c r="C2193" s="35">
        <v>324.0</v>
      </c>
      <c r="D2193" s="35">
        <v>330.0</v>
      </c>
      <c r="E2193" s="35">
        <v>26250.0</v>
      </c>
      <c r="F2193" s="35" t="s">
        <v>11</v>
      </c>
    </row>
    <row r="2194" ht="22.5" customHeight="1">
      <c r="A2194" s="37" t="s">
        <v>4621</v>
      </c>
      <c r="B2194" s="35" t="s">
        <v>4622</v>
      </c>
      <c r="C2194" s="35">
        <v>307.0</v>
      </c>
      <c r="D2194" s="35">
        <v>302.0</v>
      </c>
      <c r="E2194" s="35">
        <v>22370.0</v>
      </c>
      <c r="F2194" s="35" t="s">
        <v>11</v>
      </c>
    </row>
    <row r="2195" ht="22.5" customHeight="1">
      <c r="A2195" s="37" t="s">
        <v>4623</v>
      </c>
      <c r="B2195" s="35" t="s">
        <v>4624</v>
      </c>
      <c r="C2195" s="35">
        <v>263.0</v>
      </c>
      <c r="D2195" s="35">
        <v>264.0</v>
      </c>
      <c r="E2195" s="35">
        <v>24490.0</v>
      </c>
      <c r="F2195" s="35" t="s">
        <v>11</v>
      </c>
    </row>
    <row r="2196" ht="22.5" customHeight="1">
      <c r="A2196" s="37" t="s">
        <v>4625</v>
      </c>
      <c r="B2196" s="35" t="s">
        <v>4626</v>
      </c>
      <c r="C2196" s="35">
        <v>422.0</v>
      </c>
      <c r="D2196" s="35">
        <v>408.0</v>
      </c>
      <c r="E2196" s="35">
        <v>25510.0</v>
      </c>
      <c r="F2196" s="35" t="s">
        <v>11</v>
      </c>
    </row>
    <row r="2197" ht="22.5" customHeight="1">
      <c r="A2197" s="37" t="s">
        <v>4627</v>
      </c>
      <c r="B2197" s="35" t="s">
        <v>4628</v>
      </c>
      <c r="C2197" s="35">
        <v>240.0</v>
      </c>
      <c r="D2197" s="35">
        <v>213.0</v>
      </c>
      <c r="E2197" s="35">
        <v>25840.0</v>
      </c>
      <c r="F2197" s="35" t="s">
        <v>11</v>
      </c>
    </row>
    <row r="2198" ht="22.5" customHeight="1">
      <c r="A2198" s="37" t="s">
        <v>4629</v>
      </c>
      <c r="B2198" s="35" t="s">
        <v>4630</v>
      </c>
      <c r="C2198" s="35">
        <v>1412.0</v>
      </c>
      <c r="D2198" s="35">
        <v>1429.0</v>
      </c>
      <c r="E2198" s="35">
        <v>29370.0</v>
      </c>
      <c r="F2198" s="35" t="s">
        <v>11</v>
      </c>
    </row>
    <row r="2199" ht="22.5" customHeight="1">
      <c r="A2199" s="37" t="s">
        <v>4631</v>
      </c>
      <c r="B2199" s="35" t="s">
        <v>4632</v>
      </c>
      <c r="C2199" s="35">
        <v>240.0</v>
      </c>
      <c r="D2199" s="35">
        <v>237.0</v>
      </c>
      <c r="E2199" s="35">
        <v>27440.0</v>
      </c>
      <c r="F2199" s="35" t="s">
        <v>11</v>
      </c>
    </row>
    <row r="2200" ht="22.5" customHeight="1">
      <c r="A2200" s="37" t="s">
        <v>4633</v>
      </c>
      <c r="B2200" s="35" t="s">
        <v>4634</v>
      </c>
      <c r="C2200" s="35">
        <v>1291.0</v>
      </c>
      <c r="D2200" s="35">
        <v>1324.0</v>
      </c>
      <c r="E2200" s="35">
        <v>28290.0</v>
      </c>
      <c r="F2200" s="35" t="s">
        <v>11</v>
      </c>
    </row>
    <row r="2201" ht="22.5" customHeight="1">
      <c r="A2201" s="37" t="s">
        <v>4635</v>
      </c>
      <c r="B2201" s="35" t="s">
        <v>4636</v>
      </c>
      <c r="C2201" s="35">
        <v>227.0</v>
      </c>
      <c r="D2201" s="35">
        <v>208.0</v>
      </c>
      <c r="E2201" s="35">
        <v>27560.0</v>
      </c>
      <c r="F2201" s="35" t="s">
        <v>11</v>
      </c>
    </row>
    <row r="2202" ht="22.5" customHeight="1">
      <c r="A2202" s="37" t="s">
        <v>4637</v>
      </c>
      <c r="B2202" s="35" t="s">
        <v>4638</v>
      </c>
      <c r="C2202" s="35">
        <v>365.0</v>
      </c>
      <c r="D2202" s="35">
        <v>355.0</v>
      </c>
      <c r="E2202" s="35">
        <v>27840.0</v>
      </c>
      <c r="F2202" s="35" t="s">
        <v>11</v>
      </c>
    </row>
    <row r="2203" ht="22.5" customHeight="1">
      <c r="A2203" s="37" t="s">
        <v>4639</v>
      </c>
      <c r="B2203" s="35" t="s">
        <v>4640</v>
      </c>
      <c r="C2203" s="35">
        <v>1169.0</v>
      </c>
      <c r="D2203" s="35">
        <v>1220.0</v>
      </c>
      <c r="E2203" s="35">
        <v>25240.0</v>
      </c>
      <c r="F2203" s="35" t="s">
        <v>11</v>
      </c>
    </row>
    <row r="2204" ht="22.5" customHeight="1">
      <c r="A2204" s="37" t="s">
        <v>4641</v>
      </c>
      <c r="B2204" s="35" t="s">
        <v>4642</v>
      </c>
      <c r="C2204" s="35">
        <v>87.0</v>
      </c>
      <c r="D2204" s="35">
        <v>83.0</v>
      </c>
      <c r="E2204" s="35" t="s">
        <v>11</v>
      </c>
      <c r="F2204" s="35" t="s">
        <v>11</v>
      </c>
    </row>
    <row r="2205" ht="22.5" customHeight="1">
      <c r="A2205" s="37" t="s">
        <v>4643</v>
      </c>
      <c r="B2205" s="35" t="s">
        <v>4644</v>
      </c>
      <c r="C2205" s="35">
        <v>3887.0</v>
      </c>
      <c r="D2205" s="35">
        <v>3779.0</v>
      </c>
      <c r="E2205" s="35">
        <v>21160.0</v>
      </c>
      <c r="F2205" s="35">
        <v>25.0</v>
      </c>
    </row>
    <row r="2206" ht="22.5" customHeight="1">
      <c r="A2206" s="37" t="s">
        <v>4645</v>
      </c>
      <c r="B2206" s="35" t="s">
        <v>4646</v>
      </c>
      <c r="C2206" s="35">
        <v>480.0</v>
      </c>
      <c r="D2206" s="35">
        <v>434.0</v>
      </c>
      <c r="E2206" s="35">
        <v>24130.0</v>
      </c>
      <c r="F2206" s="35" t="s">
        <v>11</v>
      </c>
    </row>
    <row r="2207" ht="22.5" customHeight="1">
      <c r="A2207" s="37" t="s">
        <v>4647</v>
      </c>
      <c r="B2207" s="35" t="s">
        <v>4648</v>
      </c>
      <c r="C2207" s="35">
        <v>307.0</v>
      </c>
      <c r="D2207" s="35">
        <v>308.0</v>
      </c>
      <c r="E2207" s="35">
        <v>23800.0</v>
      </c>
      <c r="F2207" s="35" t="s">
        <v>11</v>
      </c>
    </row>
    <row r="2208" ht="22.5" customHeight="1">
      <c r="A2208" s="37" t="s">
        <v>4649</v>
      </c>
      <c r="B2208" s="35" t="s">
        <v>4650</v>
      </c>
      <c r="C2208" s="35">
        <v>7661.0</v>
      </c>
      <c r="D2208" s="35">
        <v>7331.0</v>
      </c>
      <c r="E2208" s="35">
        <v>20210.0</v>
      </c>
      <c r="F2208" s="35">
        <v>25.0</v>
      </c>
    </row>
    <row r="2209" ht="22.5" customHeight="1">
      <c r="A2209" s="37" t="s">
        <v>4651</v>
      </c>
      <c r="B2209" s="35" t="s">
        <v>4652</v>
      </c>
      <c r="C2209" s="35">
        <v>221.0</v>
      </c>
      <c r="D2209" s="35">
        <v>199.0</v>
      </c>
      <c r="E2209" s="35">
        <v>26160.0</v>
      </c>
      <c r="F2209" s="35" t="s">
        <v>11</v>
      </c>
    </row>
    <row r="2210" ht="22.5" customHeight="1">
      <c r="A2210" s="37" t="s">
        <v>4653</v>
      </c>
      <c r="B2210" s="35" t="s">
        <v>4654</v>
      </c>
      <c r="C2210" s="35">
        <v>137.0</v>
      </c>
      <c r="D2210" s="35">
        <v>129.0</v>
      </c>
      <c r="E2210" s="35">
        <v>29430.0</v>
      </c>
      <c r="F2210" s="35" t="s">
        <v>11</v>
      </c>
    </row>
    <row r="2211" ht="22.5" customHeight="1">
      <c r="A2211" s="37" t="s">
        <v>4655</v>
      </c>
      <c r="B2211" s="35" t="s">
        <v>4656</v>
      </c>
      <c r="C2211" s="35">
        <v>378.0</v>
      </c>
      <c r="D2211" s="35">
        <v>417.0</v>
      </c>
      <c r="E2211" s="35">
        <v>24670.0</v>
      </c>
      <c r="F2211" s="35" t="s">
        <v>11</v>
      </c>
    </row>
    <row r="2212" ht="22.5" customHeight="1">
      <c r="A2212" s="37" t="s">
        <v>4657</v>
      </c>
      <c r="B2212" s="35" t="s">
        <v>4658</v>
      </c>
      <c r="C2212" s="35">
        <v>1009.0</v>
      </c>
      <c r="D2212" s="35">
        <v>1018.0</v>
      </c>
      <c r="E2212" s="35">
        <v>26370.0</v>
      </c>
      <c r="F2212" s="35" t="s">
        <v>11</v>
      </c>
    </row>
    <row r="2213" ht="22.5" customHeight="1">
      <c r="A2213" s="37" t="s">
        <v>4659</v>
      </c>
      <c r="B2213" s="35" t="s">
        <v>4660</v>
      </c>
      <c r="C2213" s="35">
        <v>324.0</v>
      </c>
      <c r="D2213" s="35">
        <v>354.0</v>
      </c>
      <c r="E2213" s="35">
        <v>27320.0</v>
      </c>
      <c r="F2213" s="35" t="s">
        <v>11</v>
      </c>
    </row>
    <row r="2214" ht="22.5" customHeight="1">
      <c r="A2214" s="37" t="s">
        <v>4661</v>
      </c>
      <c r="B2214" s="35" t="s">
        <v>4662</v>
      </c>
      <c r="C2214" s="35">
        <v>393.0</v>
      </c>
      <c r="D2214" s="35">
        <v>410.0</v>
      </c>
      <c r="E2214" s="35">
        <v>30530.0</v>
      </c>
      <c r="F2214" s="35" t="s">
        <v>11</v>
      </c>
    </row>
    <row r="2215" ht="22.5" customHeight="1">
      <c r="A2215" s="37" t="s">
        <v>4663</v>
      </c>
      <c r="B2215" s="35" t="s">
        <v>4664</v>
      </c>
      <c r="C2215" s="35">
        <v>130.0</v>
      </c>
      <c r="D2215" s="35">
        <v>139.0</v>
      </c>
      <c r="E2215" s="35">
        <v>25080.0</v>
      </c>
      <c r="F2215" s="35" t="s">
        <v>11</v>
      </c>
    </row>
    <row r="2216" ht="22.5" customHeight="1">
      <c r="A2216" s="37" t="s">
        <v>4665</v>
      </c>
      <c r="B2216" s="35" t="s">
        <v>4666</v>
      </c>
      <c r="C2216" s="35">
        <v>90.0</v>
      </c>
      <c r="D2216" s="35">
        <v>98.0</v>
      </c>
      <c r="E2216" s="35" t="s">
        <v>11</v>
      </c>
      <c r="F2216" s="35" t="s">
        <v>11</v>
      </c>
    </row>
    <row r="2217" ht="22.5" customHeight="1">
      <c r="A2217" s="37" t="s">
        <v>4667</v>
      </c>
      <c r="B2217" s="35" t="s">
        <v>4668</v>
      </c>
      <c r="C2217" s="35">
        <v>397.0</v>
      </c>
      <c r="D2217" s="35">
        <v>403.0</v>
      </c>
      <c r="E2217" s="35">
        <v>26160.0</v>
      </c>
      <c r="F2217" s="35" t="s">
        <v>11</v>
      </c>
    </row>
    <row r="2218" ht="22.5" customHeight="1">
      <c r="A2218" s="37" t="s">
        <v>4669</v>
      </c>
      <c r="B2218" s="35" t="s">
        <v>4670</v>
      </c>
      <c r="C2218" s="35">
        <v>235.0</v>
      </c>
      <c r="D2218" s="35">
        <v>241.0</v>
      </c>
      <c r="E2218" s="35">
        <v>21570.0</v>
      </c>
      <c r="F2218" s="35" t="s">
        <v>11</v>
      </c>
    </row>
    <row r="2219" ht="22.5" customHeight="1">
      <c r="A2219" s="37" t="s">
        <v>4671</v>
      </c>
      <c r="B2219" s="35" t="s">
        <v>4672</v>
      </c>
      <c r="C2219" s="35">
        <v>397.0</v>
      </c>
      <c r="D2219" s="35">
        <v>379.0</v>
      </c>
      <c r="E2219" s="35">
        <v>22940.0</v>
      </c>
      <c r="F2219" s="35" t="s">
        <v>11</v>
      </c>
    </row>
    <row r="2220" ht="22.5" customHeight="1">
      <c r="A2220" s="37" t="s">
        <v>4673</v>
      </c>
      <c r="B2220" s="35" t="s">
        <v>4674</v>
      </c>
      <c r="C2220" s="35">
        <v>239.0</v>
      </c>
      <c r="D2220" s="35">
        <v>222.0</v>
      </c>
      <c r="E2220" s="35">
        <v>23200.0</v>
      </c>
      <c r="F2220" s="35" t="s">
        <v>11</v>
      </c>
    </row>
    <row r="2221" ht="22.5" customHeight="1">
      <c r="A2221" s="37" t="s">
        <v>4675</v>
      </c>
      <c r="B2221" s="35" t="s">
        <v>4676</v>
      </c>
      <c r="C2221" s="35">
        <v>581.0</v>
      </c>
      <c r="D2221" s="35">
        <v>528.0</v>
      </c>
      <c r="E2221" s="35">
        <v>24380.0</v>
      </c>
      <c r="F2221" s="35" t="s">
        <v>11</v>
      </c>
    </row>
    <row r="2222" ht="22.5" customHeight="1">
      <c r="A2222" s="37" t="s">
        <v>4677</v>
      </c>
      <c r="B2222" s="35" t="s">
        <v>4678</v>
      </c>
      <c r="C2222" s="35">
        <v>999.0</v>
      </c>
      <c r="D2222" s="35">
        <v>1003.0</v>
      </c>
      <c r="E2222" s="35">
        <v>26350.0</v>
      </c>
      <c r="F2222" s="35" t="s">
        <v>11</v>
      </c>
    </row>
    <row r="2223" ht="22.5" customHeight="1">
      <c r="A2223" s="37" t="s">
        <v>4679</v>
      </c>
      <c r="B2223" s="35" t="s">
        <v>4680</v>
      </c>
      <c r="C2223" s="35">
        <v>5662.0</v>
      </c>
      <c r="D2223" s="35">
        <v>5559.0</v>
      </c>
      <c r="E2223" s="35">
        <v>24440.0</v>
      </c>
      <c r="F2223" s="35">
        <v>16.0</v>
      </c>
    </row>
    <row r="2224" ht="22.5" customHeight="1">
      <c r="A2224" s="37" t="s">
        <v>4681</v>
      </c>
      <c r="B2224" s="35" t="s">
        <v>4682</v>
      </c>
      <c r="C2224" s="35">
        <v>2095.0</v>
      </c>
      <c r="D2224" s="35">
        <v>2014.0</v>
      </c>
      <c r="E2224" s="35">
        <v>22860.0</v>
      </c>
      <c r="F2224" s="35" t="s">
        <v>11</v>
      </c>
    </row>
    <row r="2225" ht="22.5" customHeight="1">
      <c r="A2225" s="37" t="s">
        <v>4683</v>
      </c>
      <c r="B2225" s="35" t="s">
        <v>4684</v>
      </c>
      <c r="C2225" s="35">
        <v>142.0</v>
      </c>
      <c r="D2225" s="35">
        <v>133.0</v>
      </c>
      <c r="E2225" s="35">
        <v>22640.0</v>
      </c>
      <c r="F2225" s="35" t="s">
        <v>11</v>
      </c>
    </row>
    <row r="2226" ht="22.5" customHeight="1">
      <c r="A2226" s="37" t="s">
        <v>4685</v>
      </c>
      <c r="B2226" s="35" t="s">
        <v>4686</v>
      </c>
      <c r="C2226" s="35">
        <v>272.0</v>
      </c>
      <c r="D2226" s="35">
        <v>280.0</v>
      </c>
      <c r="E2226" s="35">
        <v>21090.0</v>
      </c>
      <c r="F2226" s="35" t="s">
        <v>11</v>
      </c>
    </row>
    <row r="2227" ht="22.5" customHeight="1">
      <c r="A2227" s="37" t="s">
        <v>4687</v>
      </c>
      <c r="B2227" s="35" t="s">
        <v>4688</v>
      </c>
      <c r="C2227" s="35">
        <v>126.0</v>
      </c>
      <c r="D2227" s="35">
        <v>114.0</v>
      </c>
      <c r="E2227" s="35">
        <v>25160.0</v>
      </c>
      <c r="F2227" s="35" t="s">
        <v>11</v>
      </c>
    </row>
    <row r="2228" ht="22.5" customHeight="1">
      <c r="A2228" s="37" t="s">
        <v>4689</v>
      </c>
      <c r="B2228" s="35" t="s">
        <v>4690</v>
      </c>
      <c r="C2228" s="35">
        <v>400.0</v>
      </c>
      <c r="D2228" s="35">
        <v>427.0</v>
      </c>
      <c r="E2228" s="35">
        <v>28880.0</v>
      </c>
      <c r="F2228" s="35" t="s">
        <v>11</v>
      </c>
    </row>
    <row r="2229" ht="22.5" customHeight="1">
      <c r="A2229" s="37" t="s">
        <v>4691</v>
      </c>
      <c r="B2229" s="35" t="s">
        <v>4692</v>
      </c>
      <c r="C2229" s="35">
        <v>560.0</v>
      </c>
      <c r="D2229" s="35">
        <v>503.0</v>
      </c>
      <c r="E2229" s="35">
        <v>27700.0</v>
      </c>
      <c r="F2229" s="35" t="s">
        <v>11</v>
      </c>
    </row>
    <row r="2230" ht="22.5" customHeight="1">
      <c r="A2230" s="37" t="s">
        <v>4693</v>
      </c>
      <c r="B2230" s="35" t="s">
        <v>4694</v>
      </c>
      <c r="C2230" s="35">
        <v>211.0</v>
      </c>
      <c r="D2230" s="35">
        <v>212.0</v>
      </c>
      <c r="E2230" s="35">
        <v>29510.0</v>
      </c>
      <c r="F2230" s="35" t="s">
        <v>11</v>
      </c>
    </row>
    <row r="2231" ht="22.5" customHeight="1">
      <c r="A2231" s="37" t="s">
        <v>4695</v>
      </c>
      <c r="B2231" s="35" t="s">
        <v>4696</v>
      </c>
      <c r="C2231" s="35">
        <v>356.0</v>
      </c>
      <c r="D2231" s="35">
        <v>330.0</v>
      </c>
      <c r="E2231" s="35">
        <v>30900.0</v>
      </c>
      <c r="F2231" s="35" t="s">
        <v>11</v>
      </c>
    </row>
    <row r="2232" ht="22.5" customHeight="1">
      <c r="A2232" s="37" t="s">
        <v>4697</v>
      </c>
      <c r="B2232" s="35" t="s">
        <v>4698</v>
      </c>
      <c r="C2232" s="35">
        <v>14189.0</v>
      </c>
      <c r="D2232" s="35">
        <v>12951.0</v>
      </c>
      <c r="E2232" s="35">
        <v>23340.0</v>
      </c>
      <c r="F2232" s="35">
        <v>21.0</v>
      </c>
    </row>
    <row r="2233" ht="22.5" customHeight="1">
      <c r="A2233" s="37" t="s">
        <v>4699</v>
      </c>
      <c r="B2233" s="35" t="s">
        <v>4700</v>
      </c>
      <c r="C2233" s="35">
        <v>218.0</v>
      </c>
      <c r="D2233" s="35">
        <v>213.0</v>
      </c>
      <c r="E2233" s="35">
        <v>22140.0</v>
      </c>
      <c r="F2233" s="35" t="s">
        <v>11</v>
      </c>
    </row>
    <row r="2234" ht="22.5" customHeight="1">
      <c r="A2234" s="37" t="s">
        <v>4701</v>
      </c>
      <c r="B2234" s="35" t="s">
        <v>4702</v>
      </c>
      <c r="C2234" s="35">
        <v>275.0</v>
      </c>
      <c r="D2234" s="35">
        <v>277.0</v>
      </c>
      <c r="E2234" s="35">
        <v>23990.0</v>
      </c>
      <c r="F2234" s="35" t="s">
        <v>11</v>
      </c>
    </row>
    <row r="2235" ht="22.5" customHeight="1">
      <c r="A2235" s="37" t="s">
        <v>4703</v>
      </c>
      <c r="B2235" s="35" t="s">
        <v>4704</v>
      </c>
      <c r="C2235" s="35">
        <v>515.0</v>
      </c>
      <c r="D2235" s="35">
        <v>553.0</v>
      </c>
      <c r="E2235" s="35">
        <v>25700.0</v>
      </c>
      <c r="F2235" s="35" t="s">
        <v>11</v>
      </c>
    </row>
    <row r="2236" ht="22.5" customHeight="1">
      <c r="A2236" s="37" t="s">
        <v>4705</v>
      </c>
      <c r="B2236" s="35" t="s">
        <v>4706</v>
      </c>
      <c r="C2236" s="35">
        <v>488.0</v>
      </c>
      <c r="D2236" s="35">
        <v>482.0</v>
      </c>
      <c r="E2236" s="35">
        <v>26130.0</v>
      </c>
      <c r="F2236" s="35" t="s">
        <v>11</v>
      </c>
    </row>
    <row r="2237" ht="22.5" customHeight="1">
      <c r="A2237" s="37" t="s">
        <v>4707</v>
      </c>
      <c r="B2237" s="35" t="s">
        <v>4708</v>
      </c>
      <c r="C2237" s="35">
        <v>165.0</v>
      </c>
      <c r="D2237" s="35">
        <v>164.0</v>
      </c>
      <c r="E2237" s="35">
        <v>26630.0</v>
      </c>
      <c r="F2237" s="35" t="s">
        <v>11</v>
      </c>
    </row>
    <row r="2238" ht="22.5" customHeight="1">
      <c r="A2238" s="37" t="s">
        <v>4709</v>
      </c>
      <c r="B2238" s="35" t="s">
        <v>4710</v>
      </c>
      <c r="C2238" s="35">
        <v>480.0</v>
      </c>
      <c r="D2238" s="35">
        <v>485.0</v>
      </c>
      <c r="E2238" s="35">
        <v>28500.0</v>
      </c>
      <c r="F2238" s="35" t="s">
        <v>11</v>
      </c>
    </row>
    <row r="2239" ht="22.5" customHeight="1">
      <c r="A2239" s="37" t="s">
        <v>4711</v>
      </c>
      <c r="B2239" s="35" t="s">
        <v>4712</v>
      </c>
      <c r="C2239" s="35">
        <v>184.0</v>
      </c>
      <c r="D2239" s="35">
        <v>162.0</v>
      </c>
      <c r="E2239" s="35">
        <v>27730.0</v>
      </c>
      <c r="F2239" s="35" t="s">
        <v>11</v>
      </c>
    </row>
    <row r="2240" ht="22.5" customHeight="1">
      <c r="A2240" s="37" t="s">
        <v>4713</v>
      </c>
      <c r="B2240" s="35" t="s">
        <v>4714</v>
      </c>
      <c r="C2240" s="35">
        <v>918.0</v>
      </c>
      <c r="D2240" s="35">
        <v>920.0</v>
      </c>
      <c r="E2240" s="35">
        <v>22530.0</v>
      </c>
      <c r="F2240" s="35" t="s">
        <v>11</v>
      </c>
    </row>
    <row r="2241" ht="22.5" customHeight="1">
      <c r="A2241" s="37" t="s">
        <v>4715</v>
      </c>
      <c r="B2241" s="35" t="s">
        <v>4716</v>
      </c>
      <c r="C2241" s="35">
        <v>147.0</v>
      </c>
      <c r="D2241" s="35">
        <v>155.0</v>
      </c>
      <c r="E2241" s="35">
        <v>28700.0</v>
      </c>
      <c r="F2241" s="35" t="s">
        <v>11</v>
      </c>
    </row>
    <row r="2242" ht="22.5" customHeight="1">
      <c r="A2242" s="37" t="s">
        <v>4717</v>
      </c>
      <c r="B2242" s="35" t="s">
        <v>4718</v>
      </c>
      <c r="C2242" s="35">
        <v>24895.0</v>
      </c>
      <c r="D2242" s="35">
        <v>25224.0</v>
      </c>
      <c r="E2242" s="35">
        <v>21370.0</v>
      </c>
      <c r="F2242" s="35">
        <v>28.0</v>
      </c>
    </row>
    <row r="2243" ht="22.5" customHeight="1">
      <c r="A2243" s="37" t="s">
        <v>4719</v>
      </c>
      <c r="B2243" s="35" t="s">
        <v>4720</v>
      </c>
      <c r="C2243" s="35">
        <v>471.0</v>
      </c>
      <c r="D2243" s="35">
        <v>460.0</v>
      </c>
      <c r="E2243" s="35">
        <v>26950.0</v>
      </c>
      <c r="F2243" s="35" t="s">
        <v>11</v>
      </c>
    </row>
    <row r="2244" ht="22.5" customHeight="1">
      <c r="A2244" s="37" t="s">
        <v>4721</v>
      </c>
      <c r="B2244" s="35" t="s">
        <v>4722</v>
      </c>
      <c r="C2244" s="35">
        <v>170.0</v>
      </c>
      <c r="D2244" s="35">
        <v>180.0</v>
      </c>
      <c r="E2244" s="35">
        <v>24960.0</v>
      </c>
      <c r="F2244" s="35" t="s">
        <v>11</v>
      </c>
    </row>
    <row r="2245" ht="22.5" customHeight="1">
      <c r="A2245" s="37" t="s">
        <v>4723</v>
      </c>
      <c r="B2245" s="35" t="s">
        <v>4724</v>
      </c>
      <c r="C2245" s="35">
        <v>376.0</v>
      </c>
      <c r="D2245" s="35">
        <v>351.0</v>
      </c>
      <c r="E2245" s="35">
        <v>25450.0</v>
      </c>
      <c r="F2245" s="35" t="s">
        <v>11</v>
      </c>
    </row>
    <row r="2246" ht="22.5" customHeight="1">
      <c r="A2246" s="37" t="s">
        <v>4725</v>
      </c>
      <c r="B2246" s="35" t="s">
        <v>4726</v>
      </c>
      <c r="C2246" s="35">
        <v>548.0</v>
      </c>
      <c r="D2246" s="35">
        <v>546.0</v>
      </c>
      <c r="E2246" s="35">
        <v>24370.0</v>
      </c>
      <c r="F2246" s="35" t="s">
        <v>11</v>
      </c>
    </row>
    <row r="2247" ht="22.5" customHeight="1">
      <c r="A2247" s="37" t="s">
        <v>4727</v>
      </c>
      <c r="B2247" s="35" t="s">
        <v>4728</v>
      </c>
      <c r="C2247" s="35">
        <v>466.0</v>
      </c>
      <c r="D2247" s="35">
        <v>436.0</v>
      </c>
      <c r="E2247" s="35">
        <v>25220.0</v>
      </c>
      <c r="F2247" s="35" t="s">
        <v>11</v>
      </c>
    </row>
    <row r="2248" ht="22.5" customHeight="1">
      <c r="A2248" s="37" t="s">
        <v>4729</v>
      </c>
      <c r="B2248" s="35" t="s">
        <v>4730</v>
      </c>
      <c r="C2248" s="35">
        <v>457.0</v>
      </c>
      <c r="D2248" s="35">
        <v>458.0</v>
      </c>
      <c r="E2248" s="35">
        <v>28360.0</v>
      </c>
      <c r="F2248" s="35" t="s">
        <v>11</v>
      </c>
    </row>
    <row r="2249" ht="22.5" customHeight="1">
      <c r="A2249" s="37" t="s">
        <v>4731</v>
      </c>
      <c r="B2249" s="35" t="s">
        <v>4732</v>
      </c>
      <c r="C2249" s="35">
        <v>9442.0</v>
      </c>
      <c r="D2249" s="35">
        <v>9189.0</v>
      </c>
      <c r="E2249" s="35">
        <v>23110.0</v>
      </c>
      <c r="F2249" s="35">
        <v>20.0</v>
      </c>
    </row>
    <row r="2250" ht="22.5" customHeight="1">
      <c r="A2250" s="37" t="s">
        <v>4733</v>
      </c>
      <c r="B2250" s="35" t="s">
        <v>4734</v>
      </c>
      <c r="C2250" s="35">
        <v>363.0</v>
      </c>
      <c r="D2250" s="35">
        <v>367.0</v>
      </c>
      <c r="E2250" s="35">
        <v>26180.0</v>
      </c>
      <c r="F2250" s="35" t="s">
        <v>11</v>
      </c>
    </row>
    <row r="2251" ht="22.5" customHeight="1">
      <c r="A2251" s="37" t="s">
        <v>4735</v>
      </c>
      <c r="B2251" s="35" t="s">
        <v>4736</v>
      </c>
      <c r="C2251" s="35">
        <v>4083.0</v>
      </c>
      <c r="D2251" s="35">
        <v>4568.0</v>
      </c>
      <c r="E2251" s="35">
        <v>24380.0</v>
      </c>
      <c r="F2251" s="35">
        <v>11.0</v>
      </c>
    </row>
    <row r="2252" ht="22.5" customHeight="1">
      <c r="A2252" s="37" t="s">
        <v>4737</v>
      </c>
      <c r="B2252" s="35" t="s">
        <v>4738</v>
      </c>
      <c r="C2252" s="35">
        <v>94.0</v>
      </c>
      <c r="D2252" s="35">
        <v>93.0</v>
      </c>
      <c r="E2252" s="35" t="s">
        <v>11</v>
      </c>
      <c r="F2252" s="35" t="s">
        <v>11</v>
      </c>
    </row>
    <row r="2253" ht="22.5" customHeight="1">
      <c r="A2253" s="37" t="s">
        <v>4739</v>
      </c>
      <c r="B2253" s="35" t="s">
        <v>4740</v>
      </c>
      <c r="C2253" s="35">
        <v>643.0</v>
      </c>
      <c r="D2253" s="35">
        <v>671.0</v>
      </c>
      <c r="E2253" s="35">
        <v>24760.0</v>
      </c>
      <c r="F2253" s="35" t="s">
        <v>11</v>
      </c>
    </row>
    <row r="2254" ht="22.5" customHeight="1">
      <c r="A2254" s="37" t="s">
        <v>4741</v>
      </c>
      <c r="B2254" s="35" t="s">
        <v>4742</v>
      </c>
      <c r="C2254" s="35">
        <v>351.0</v>
      </c>
      <c r="D2254" s="35">
        <v>286.0</v>
      </c>
      <c r="E2254" s="35">
        <v>25900.0</v>
      </c>
      <c r="F2254" s="35" t="s">
        <v>11</v>
      </c>
    </row>
    <row r="2255" ht="22.5" customHeight="1">
      <c r="A2255" s="37" t="s">
        <v>4743</v>
      </c>
      <c r="B2255" s="35" t="s">
        <v>4744</v>
      </c>
      <c r="C2255" s="35">
        <v>4624.0</v>
      </c>
      <c r="D2255" s="35">
        <v>5093.0</v>
      </c>
      <c r="E2255" s="35">
        <v>26090.0</v>
      </c>
      <c r="F2255" s="35">
        <v>10.0</v>
      </c>
    </row>
    <row r="2256" ht="22.5" customHeight="1">
      <c r="A2256" s="37" t="s">
        <v>4745</v>
      </c>
      <c r="B2256" s="35" t="s">
        <v>4746</v>
      </c>
      <c r="C2256" s="35">
        <v>8150.0</v>
      </c>
      <c r="D2256" s="35">
        <v>7937.0</v>
      </c>
      <c r="E2256" s="35">
        <v>19530.0</v>
      </c>
      <c r="F2256" s="35">
        <v>31.0</v>
      </c>
    </row>
    <row r="2257" ht="22.5" customHeight="1">
      <c r="A2257" s="37" t="s">
        <v>4747</v>
      </c>
      <c r="B2257" s="35" t="s">
        <v>4748</v>
      </c>
      <c r="C2257" s="35">
        <v>114.0</v>
      </c>
      <c r="D2257" s="35">
        <v>112.0</v>
      </c>
      <c r="E2257" s="35">
        <v>26760.0</v>
      </c>
      <c r="F2257" s="35" t="s">
        <v>11</v>
      </c>
    </row>
    <row r="2258" ht="22.5" customHeight="1">
      <c r="A2258" s="37" t="s">
        <v>4749</v>
      </c>
      <c r="B2258" s="35" t="s">
        <v>4750</v>
      </c>
      <c r="C2258" s="35">
        <v>314.0</v>
      </c>
      <c r="D2258" s="35">
        <v>304.0</v>
      </c>
      <c r="E2258" s="35">
        <v>27940.0</v>
      </c>
      <c r="F2258" s="35" t="s">
        <v>11</v>
      </c>
    </row>
    <row r="2259" ht="22.5" customHeight="1">
      <c r="A2259" s="37" t="s">
        <v>4751</v>
      </c>
      <c r="B2259" s="35" t="s">
        <v>4752</v>
      </c>
      <c r="C2259" s="35">
        <v>106.0</v>
      </c>
      <c r="D2259" s="35">
        <v>95.0</v>
      </c>
      <c r="E2259" s="35" t="s">
        <v>11</v>
      </c>
      <c r="F2259" s="35" t="s">
        <v>11</v>
      </c>
    </row>
    <row r="2260" ht="22.5" customHeight="1">
      <c r="A2260" s="37" t="s">
        <v>4753</v>
      </c>
      <c r="B2260" s="35" t="s">
        <v>4754</v>
      </c>
      <c r="C2260" s="35">
        <v>720.0</v>
      </c>
      <c r="D2260" s="35">
        <v>715.0</v>
      </c>
      <c r="E2260" s="35">
        <v>21930.0</v>
      </c>
      <c r="F2260" s="35" t="s">
        <v>11</v>
      </c>
    </row>
    <row r="2261" ht="22.5" customHeight="1">
      <c r="A2261" s="37" t="s">
        <v>4755</v>
      </c>
      <c r="B2261" s="35" t="s">
        <v>4756</v>
      </c>
      <c r="C2261" s="35">
        <v>5002.0</v>
      </c>
      <c r="D2261" s="35">
        <v>4859.0</v>
      </c>
      <c r="E2261" s="35">
        <v>22620.0</v>
      </c>
      <c r="F2261" s="35">
        <v>19.0</v>
      </c>
    </row>
    <row r="2262" ht="22.5" customHeight="1">
      <c r="A2262" s="37" t="s">
        <v>4757</v>
      </c>
      <c r="B2262" s="35" t="s">
        <v>4758</v>
      </c>
      <c r="C2262" s="35">
        <v>519.0</v>
      </c>
      <c r="D2262" s="35">
        <v>490.0</v>
      </c>
      <c r="E2262" s="35">
        <v>22620.0</v>
      </c>
      <c r="F2262" s="35" t="s">
        <v>11</v>
      </c>
    </row>
    <row r="2263" ht="22.5" customHeight="1">
      <c r="A2263" s="37" t="s">
        <v>4759</v>
      </c>
      <c r="B2263" s="35" t="s">
        <v>4760</v>
      </c>
      <c r="C2263" s="35">
        <v>870.0</v>
      </c>
      <c r="D2263" s="35">
        <v>907.0</v>
      </c>
      <c r="E2263" s="35">
        <v>25430.0</v>
      </c>
      <c r="F2263" s="35" t="s">
        <v>11</v>
      </c>
    </row>
    <row r="2264" ht="22.5" customHeight="1">
      <c r="A2264" s="37" t="s">
        <v>4761</v>
      </c>
      <c r="B2264" s="35" t="s">
        <v>4762</v>
      </c>
      <c r="C2264" s="35">
        <v>166.0</v>
      </c>
      <c r="D2264" s="35">
        <v>160.0</v>
      </c>
      <c r="E2264" s="35">
        <v>24970.0</v>
      </c>
      <c r="F2264" s="35" t="s">
        <v>11</v>
      </c>
    </row>
    <row r="2265" ht="22.5" customHeight="1">
      <c r="A2265" s="37" t="s">
        <v>4763</v>
      </c>
      <c r="B2265" s="35" t="s">
        <v>4764</v>
      </c>
      <c r="C2265" s="35">
        <v>50.0</v>
      </c>
      <c r="D2265" s="35">
        <v>46.0</v>
      </c>
      <c r="E2265" s="35" t="s">
        <v>11</v>
      </c>
      <c r="F2265" s="35" t="s">
        <v>11</v>
      </c>
    </row>
    <row r="2266" ht="22.5" customHeight="1">
      <c r="A2266" s="37" t="s">
        <v>4765</v>
      </c>
      <c r="B2266" s="35" t="s">
        <v>4766</v>
      </c>
      <c r="C2266" s="35">
        <v>447.0</v>
      </c>
      <c r="D2266" s="35">
        <v>478.0</v>
      </c>
      <c r="E2266" s="35">
        <v>28480.0</v>
      </c>
      <c r="F2266" s="35" t="s">
        <v>11</v>
      </c>
    </row>
    <row r="2267" ht="22.5" customHeight="1">
      <c r="A2267" s="37" t="s">
        <v>4767</v>
      </c>
      <c r="B2267" s="35" t="s">
        <v>4768</v>
      </c>
      <c r="C2267" s="35">
        <v>454.0</v>
      </c>
      <c r="D2267" s="35">
        <v>450.0</v>
      </c>
      <c r="E2267" s="35">
        <v>28230.0</v>
      </c>
      <c r="F2267" s="35" t="s">
        <v>11</v>
      </c>
    </row>
    <row r="2268" ht="22.5" customHeight="1">
      <c r="A2268" s="37" t="s">
        <v>4769</v>
      </c>
      <c r="B2268" s="35" t="s">
        <v>4770</v>
      </c>
      <c r="C2268" s="35">
        <v>277.0</v>
      </c>
      <c r="D2268" s="35">
        <v>255.0</v>
      </c>
      <c r="E2268" s="35">
        <v>26260.0</v>
      </c>
      <c r="F2268" s="35" t="s">
        <v>11</v>
      </c>
    </row>
    <row r="2269" ht="22.5" customHeight="1">
      <c r="A2269" s="37" t="s">
        <v>4771</v>
      </c>
      <c r="B2269" s="35" t="s">
        <v>4772</v>
      </c>
      <c r="C2269" s="35">
        <v>406.0</v>
      </c>
      <c r="D2269" s="35">
        <v>389.0</v>
      </c>
      <c r="E2269" s="35">
        <v>25850.0</v>
      </c>
      <c r="F2269" s="35" t="s">
        <v>11</v>
      </c>
    </row>
    <row r="2270" ht="22.5" customHeight="1">
      <c r="A2270" s="37" t="s">
        <v>4773</v>
      </c>
      <c r="B2270" s="35" t="s">
        <v>4774</v>
      </c>
      <c r="C2270" s="35">
        <v>827.0</v>
      </c>
      <c r="D2270" s="35">
        <v>839.0</v>
      </c>
      <c r="E2270" s="35">
        <v>27250.0</v>
      </c>
      <c r="F2270" s="35" t="s">
        <v>11</v>
      </c>
    </row>
    <row r="2271" ht="22.5" customHeight="1">
      <c r="A2271" s="37" t="s">
        <v>4775</v>
      </c>
      <c r="B2271" s="35" t="s">
        <v>4776</v>
      </c>
      <c r="C2271" s="35">
        <v>249.0</v>
      </c>
      <c r="D2271" s="35">
        <v>260.0</v>
      </c>
      <c r="E2271" s="35">
        <v>25180.0</v>
      </c>
      <c r="F2271" s="35" t="s">
        <v>11</v>
      </c>
    </row>
    <row r="2272" ht="22.5" customHeight="1">
      <c r="A2272" s="37" t="s">
        <v>4777</v>
      </c>
      <c r="B2272" s="35" t="s">
        <v>4778</v>
      </c>
      <c r="C2272" s="35">
        <v>505.0</v>
      </c>
      <c r="D2272" s="35">
        <v>529.0</v>
      </c>
      <c r="E2272" s="35">
        <v>26650.0</v>
      </c>
      <c r="F2272" s="35" t="s">
        <v>11</v>
      </c>
    </row>
    <row r="2273" ht="22.5" customHeight="1">
      <c r="A2273" s="37" t="s">
        <v>4779</v>
      </c>
      <c r="B2273" s="35" t="s">
        <v>4780</v>
      </c>
      <c r="C2273" s="35">
        <v>517.0</v>
      </c>
      <c r="D2273" s="35">
        <v>514.0</v>
      </c>
      <c r="E2273" s="35">
        <v>26850.0</v>
      </c>
      <c r="F2273" s="35" t="s">
        <v>11</v>
      </c>
    </row>
    <row r="2274" ht="22.5" customHeight="1">
      <c r="A2274" s="37" t="s">
        <v>4781</v>
      </c>
      <c r="B2274" s="35" t="s">
        <v>4782</v>
      </c>
      <c r="C2274" s="35">
        <v>251.0</v>
      </c>
      <c r="D2274" s="35">
        <v>254.0</v>
      </c>
      <c r="E2274" s="35">
        <v>28670.0</v>
      </c>
      <c r="F2274" s="35" t="s">
        <v>11</v>
      </c>
    </row>
    <row r="2275" ht="22.5" customHeight="1">
      <c r="A2275" s="37" t="s">
        <v>4783</v>
      </c>
      <c r="B2275" s="35" t="s">
        <v>4784</v>
      </c>
      <c r="C2275" s="35">
        <v>631.0</v>
      </c>
      <c r="D2275" s="35">
        <v>615.0</v>
      </c>
      <c r="E2275" s="35">
        <v>22420.0</v>
      </c>
      <c r="F2275" s="35" t="s">
        <v>11</v>
      </c>
    </row>
    <row r="2276" ht="22.5" customHeight="1">
      <c r="A2276" s="37" t="s">
        <v>4785</v>
      </c>
      <c r="B2276" s="35" t="s">
        <v>3291</v>
      </c>
      <c r="C2276" s="35">
        <v>674.0</v>
      </c>
      <c r="D2276" s="35">
        <v>659.0</v>
      </c>
      <c r="E2276" s="35">
        <v>22990.0</v>
      </c>
      <c r="F2276" s="35" t="s">
        <v>11</v>
      </c>
    </row>
    <row r="2277" ht="22.5" customHeight="1">
      <c r="A2277" s="37" t="s">
        <v>4786</v>
      </c>
      <c r="B2277" s="35" t="s">
        <v>4787</v>
      </c>
      <c r="C2277" s="35">
        <v>656.0</v>
      </c>
      <c r="D2277" s="35">
        <v>637.0</v>
      </c>
      <c r="E2277" s="35">
        <v>23100.0</v>
      </c>
      <c r="F2277" s="35" t="s">
        <v>11</v>
      </c>
    </row>
    <row r="2278" ht="22.5" customHeight="1">
      <c r="A2278" s="37" t="s">
        <v>4788</v>
      </c>
      <c r="B2278" s="35" t="s">
        <v>4789</v>
      </c>
      <c r="C2278" s="35">
        <v>565.0</v>
      </c>
      <c r="D2278" s="35">
        <v>597.0</v>
      </c>
      <c r="E2278" s="35">
        <v>30310.0</v>
      </c>
      <c r="F2278" s="35" t="s">
        <v>11</v>
      </c>
    </row>
    <row r="2279" ht="22.5" customHeight="1">
      <c r="A2279" s="37" t="s">
        <v>4790</v>
      </c>
      <c r="B2279" s="35" t="s">
        <v>4791</v>
      </c>
      <c r="C2279" s="35">
        <v>88.0</v>
      </c>
      <c r="D2279" s="35">
        <v>68.0</v>
      </c>
      <c r="E2279" s="35" t="s">
        <v>11</v>
      </c>
      <c r="F2279" s="35" t="s">
        <v>11</v>
      </c>
    </row>
    <row r="2280" ht="22.5" customHeight="1">
      <c r="A2280" s="37" t="s">
        <v>4792</v>
      </c>
      <c r="B2280" s="35" t="s">
        <v>4793</v>
      </c>
      <c r="C2280" s="35">
        <v>589.0</v>
      </c>
      <c r="D2280" s="35">
        <v>578.0</v>
      </c>
      <c r="E2280" s="35">
        <v>21910.0</v>
      </c>
      <c r="F2280" s="35" t="s">
        <v>11</v>
      </c>
    </row>
    <row r="2281" ht="22.5" customHeight="1">
      <c r="A2281" s="37" t="s">
        <v>4794</v>
      </c>
      <c r="B2281" s="35" t="s">
        <v>4795</v>
      </c>
      <c r="C2281" s="35">
        <v>40874.0</v>
      </c>
      <c r="D2281" s="35">
        <v>40539.0</v>
      </c>
      <c r="E2281" s="35">
        <v>19800.0</v>
      </c>
      <c r="F2281" s="35">
        <v>30.5</v>
      </c>
    </row>
    <row r="2282" ht="22.5" customHeight="1">
      <c r="A2282" s="37" t="s">
        <v>4796</v>
      </c>
      <c r="B2282" s="35" t="s">
        <v>4797</v>
      </c>
      <c r="C2282" s="35">
        <v>765.0</v>
      </c>
      <c r="D2282" s="35">
        <v>788.0</v>
      </c>
      <c r="E2282" s="35">
        <v>23100.0</v>
      </c>
      <c r="F2282" s="35" t="s">
        <v>11</v>
      </c>
    </row>
    <row r="2283" ht="22.5" customHeight="1">
      <c r="A2283" s="37" t="s">
        <v>4798</v>
      </c>
      <c r="B2283" s="35" t="s">
        <v>4799</v>
      </c>
      <c r="C2283" s="35">
        <v>639.0</v>
      </c>
      <c r="D2283" s="35">
        <v>568.0</v>
      </c>
      <c r="E2283" s="35">
        <v>23630.0</v>
      </c>
      <c r="F2283" s="35" t="s">
        <v>11</v>
      </c>
    </row>
    <row r="2284" ht="22.5" customHeight="1">
      <c r="A2284" s="37" t="s">
        <v>4800</v>
      </c>
      <c r="B2284" s="35" t="s">
        <v>4801</v>
      </c>
      <c r="C2284" s="35">
        <v>256.0</v>
      </c>
      <c r="D2284" s="35">
        <v>239.0</v>
      </c>
      <c r="E2284" s="35">
        <v>25860.0</v>
      </c>
      <c r="F2284" s="35" t="s">
        <v>11</v>
      </c>
    </row>
    <row r="2285" ht="22.5" customHeight="1">
      <c r="A2285" s="37" t="s">
        <v>4802</v>
      </c>
      <c r="B2285" s="35" t="s">
        <v>4803</v>
      </c>
      <c r="C2285" s="35">
        <v>1156.0</v>
      </c>
      <c r="D2285" s="35">
        <v>1156.0</v>
      </c>
      <c r="E2285" s="35">
        <v>25910.0</v>
      </c>
      <c r="F2285" s="35" t="s">
        <v>11</v>
      </c>
    </row>
    <row r="2286" ht="22.5" customHeight="1">
      <c r="A2286" s="37" t="s">
        <v>4804</v>
      </c>
      <c r="B2286" s="35" t="s">
        <v>4805</v>
      </c>
      <c r="C2286" s="35">
        <v>240.0</v>
      </c>
      <c r="D2286" s="35">
        <v>223.0</v>
      </c>
      <c r="E2286" s="35">
        <v>25460.0</v>
      </c>
      <c r="F2286" s="35" t="s">
        <v>11</v>
      </c>
    </row>
    <row r="2287" ht="22.5" customHeight="1">
      <c r="A2287" s="37" t="s">
        <v>4806</v>
      </c>
      <c r="B2287" s="35" t="s">
        <v>4807</v>
      </c>
      <c r="C2287" s="35">
        <v>617.0</v>
      </c>
      <c r="D2287" s="35">
        <v>582.0</v>
      </c>
      <c r="E2287" s="35">
        <v>24680.0</v>
      </c>
      <c r="F2287" s="35" t="s">
        <v>11</v>
      </c>
    </row>
    <row r="2288" ht="22.5" customHeight="1">
      <c r="A2288" s="37" t="s">
        <v>4808</v>
      </c>
      <c r="B2288" s="35" t="s">
        <v>4809</v>
      </c>
      <c r="C2288" s="35">
        <v>255.0</v>
      </c>
      <c r="D2288" s="35">
        <v>236.0</v>
      </c>
      <c r="E2288" s="35">
        <v>28660.0</v>
      </c>
      <c r="F2288" s="35" t="s">
        <v>11</v>
      </c>
    </row>
    <row r="2289" ht="22.5" customHeight="1">
      <c r="A2289" s="37" t="s">
        <v>4810</v>
      </c>
      <c r="B2289" s="35" t="s">
        <v>4811</v>
      </c>
      <c r="C2289" s="35">
        <v>853.0</v>
      </c>
      <c r="D2289" s="35">
        <v>860.0</v>
      </c>
      <c r="E2289" s="35">
        <v>23780.0</v>
      </c>
      <c r="F2289" s="35" t="s">
        <v>11</v>
      </c>
    </row>
    <row r="2290" ht="22.5" customHeight="1">
      <c r="A2290" s="37" t="s">
        <v>4812</v>
      </c>
      <c r="B2290" s="35" t="s">
        <v>4813</v>
      </c>
      <c r="C2290" s="35">
        <v>219.0</v>
      </c>
      <c r="D2290" s="35">
        <v>260.0</v>
      </c>
      <c r="E2290" s="35">
        <v>24970.0</v>
      </c>
      <c r="F2290" s="35" t="s">
        <v>11</v>
      </c>
    </row>
    <row r="2291" ht="22.5" customHeight="1">
      <c r="A2291" s="37" t="s">
        <v>4814</v>
      </c>
      <c r="B2291" s="35" t="s">
        <v>4815</v>
      </c>
      <c r="C2291" s="35">
        <v>2403.0</v>
      </c>
      <c r="D2291" s="35">
        <v>2398.0</v>
      </c>
      <c r="E2291" s="35">
        <v>27550.0</v>
      </c>
      <c r="F2291" s="35">
        <v>8.0</v>
      </c>
    </row>
    <row r="2292" ht="22.5" customHeight="1">
      <c r="A2292" s="37" t="s">
        <v>4816</v>
      </c>
      <c r="B2292" s="35" t="s">
        <v>4817</v>
      </c>
      <c r="C2292" s="35">
        <v>133.0</v>
      </c>
      <c r="D2292" s="35">
        <v>147.0</v>
      </c>
      <c r="E2292" s="35">
        <v>23770.0</v>
      </c>
      <c r="F2292" s="35" t="s">
        <v>11</v>
      </c>
    </row>
    <row r="2293" ht="22.5" customHeight="1">
      <c r="A2293" s="37" t="s">
        <v>4818</v>
      </c>
      <c r="B2293" s="35" t="s">
        <v>4819</v>
      </c>
      <c r="C2293" s="35">
        <v>358.0</v>
      </c>
      <c r="D2293" s="35">
        <v>366.0</v>
      </c>
      <c r="E2293" s="35">
        <v>27570.0</v>
      </c>
      <c r="F2293" s="35" t="s">
        <v>11</v>
      </c>
    </row>
    <row r="2294" ht="22.5" customHeight="1">
      <c r="A2294" s="37" t="s">
        <v>4820</v>
      </c>
      <c r="B2294" s="35" t="s">
        <v>4821</v>
      </c>
      <c r="C2294" s="35">
        <v>5023.0</v>
      </c>
      <c r="D2294" s="35">
        <v>5283.0</v>
      </c>
      <c r="E2294" s="35">
        <v>25370.0</v>
      </c>
      <c r="F2294" s="35">
        <v>12.0</v>
      </c>
    </row>
    <row r="2295" ht="22.5" customHeight="1">
      <c r="A2295" s="37" t="s">
        <v>4822</v>
      </c>
      <c r="B2295" s="35" t="s">
        <v>4823</v>
      </c>
      <c r="C2295" s="35">
        <v>1290.0</v>
      </c>
      <c r="D2295" s="35">
        <v>1324.0</v>
      </c>
      <c r="E2295" s="35">
        <v>25520.0</v>
      </c>
      <c r="F2295" s="35" t="s">
        <v>11</v>
      </c>
    </row>
    <row r="2296" ht="22.5" customHeight="1">
      <c r="A2296" s="37" t="s">
        <v>4824</v>
      </c>
      <c r="B2296" s="35" t="s">
        <v>4825</v>
      </c>
      <c r="C2296" s="35">
        <v>158.0</v>
      </c>
      <c r="D2296" s="35">
        <v>156.0</v>
      </c>
      <c r="E2296" s="35">
        <v>24450.0</v>
      </c>
      <c r="F2296" s="35" t="s">
        <v>11</v>
      </c>
    </row>
    <row r="2297" ht="22.5" customHeight="1">
      <c r="A2297" s="37" t="s">
        <v>4826</v>
      </c>
      <c r="B2297" s="35" t="s">
        <v>4827</v>
      </c>
      <c r="C2297" s="35">
        <v>681.0</v>
      </c>
      <c r="D2297" s="35">
        <v>634.0</v>
      </c>
      <c r="E2297" s="35">
        <v>25680.0</v>
      </c>
      <c r="F2297" s="35" t="s">
        <v>11</v>
      </c>
    </row>
    <row r="2298" ht="22.5" customHeight="1">
      <c r="A2298" s="37" t="s">
        <v>4828</v>
      </c>
      <c r="B2298" s="35" t="s">
        <v>4829</v>
      </c>
      <c r="C2298" s="35">
        <v>847.0</v>
      </c>
      <c r="D2298" s="35">
        <v>868.0</v>
      </c>
      <c r="E2298" s="35">
        <v>24600.0</v>
      </c>
      <c r="F2298" s="35" t="s">
        <v>11</v>
      </c>
    </row>
    <row r="2299" ht="22.5" customHeight="1">
      <c r="A2299" s="37" t="s">
        <v>4830</v>
      </c>
      <c r="B2299" s="35" t="s">
        <v>4831</v>
      </c>
      <c r="C2299" s="35">
        <v>21831.0</v>
      </c>
      <c r="D2299" s="35">
        <v>21424.0</v>
      </c>
      <c r="E2299" s="35">
        <v>19260.0</v>
      </c>
      <c r="F2299" s="35">
        <v>31.2</v>
      </c>
    </row>
    <row r="2300" ht="22.5" customHeight="1">
      <c r="A2300" s="37" t="s">
        <v>4832</v>
      </c>
      <c r="B2300" s="35" t="s">
        <v>4833</v>
      </c>
      <c r="C2300" s="35">
        <v>418.0</v>
      </c>
      <c r="D2300" s="35">
        <v>387.0</v>
      </c>
      <c r="E2300" s="35">
        <v>25070.0</v>
      </c>
      <c r="F2300" s="35" t="s">
        <v>11</v>
      </c>
    </row>
    <row r="2301" ht="22.5" customHeight="1">
      <c r="A2301" s="37" t="s">
        <v>4834</v>
      </c>
      <c r="B2301" s="35" t="s">
        <v>4835</v>
      </c>
      <c r="C2301" s="35">
        <v>294.0</v>
      </c>
      <c r="D2301" s="35">
        <v>295.0</v>
      </c>
      <c r="E2301" s="35">
        <v>26640.0</v>
      </c>
      <c r="F2301" s="35" t="s">
        <v>11</v>
      </c>
    </row>
    <row r="2302" ht="22.5" customHeight="1">
      <c r="A2302" s="37" t="s">
        <v>4836</v>
      </c>
      <c r="B2302" s="35" t="s">
        <v>4837</v>
      </c>
      <c r="C2302" s="35">
        <v>1461.0</v>
      </c>
      <c r="D2302" s="35">
        <v>1503.0</v>
      </c>
      <c r="E2302" s="35">
        <v>23360.0</v>
      </c>
      <c r="F2302" s="35" t="s">
        <v>11</v>
      </c>
    </row>
    <row r="2303" ht="22.5" customHeight="1">
      <c r="A2303" s="37" t="s">
        <v>4838</v>
      </c>
      <c r="B2303" s="35" t="s">
        <v>4839</v>
      </c>
      <c r="C2303" s="35">
        <v>230.0</v>
      </c>
      <c r="D2303" s="35">
        <v>237.0</v>
      </c>
      <c r="E2303" s="35">
        <v>23210.0</v>
      </c>
      <c r="F2303" s="35" t="s">
        <v>11</v>
      </c>
    </row>
    <row r="2304" ht="22.5" customHeight="1">
      <c r="A2304" s="37" t="s">
        <v>4840</v>
      </c>
      <c r="B2304" s="35" t="s">
        <v>4841</v>
      </c>
      <c r="C2304" s="35">
        <v>777.0</v>
      </c>
      <c r="D2304" s="35">
        <v>753.0</v>
      </c>
      <c r="E2304" s="35">
        <v>21740.0</v>
      </c>
      <c r="F2304" s="35" t="s">
        <v>11</v>
      </c>
    </row>
    <row r="2305" ht="22.5" customHeight="1">
      <c r="A2305" s="37" t="s">
        <v>4842</v>
      </c>
      <c r="B2305" s="35" t="s">
        <v>4843</v>
      </c>
      <c r="C2305" s="35">
        <v>263.0</v>
      </c>
      <c r="D2305" s="35">
        <v>284.0</v>
      </c>
      <c r="E2305" s="35">
        <v>26760.0</v>
      </c>
      <c r="F2305" s="35" t="s">
        <v>11</v>
      </c>
    </row>
    <row r="2306" ht="22.5" customHeight="1">
      <c r="A2306" s="37" t="s">
        <v>4844</v>
      </c>
      <c r="B2306" s="35" t="s">
        <v>4845</v>
      </c>
      <c r="C2306" s="35">
        <v>236.0</v>
      </c>
      <c r="D2306" s="35">
        <v>225.0</v>
      </c>
      <c r="E2306" s="35">
        <v>27240.0</v>
      </c>
      <c r="F2306" s="35" t="s">
        <v>11</v>
      </c>
    </row>
    <row r="2307" ht="22.5" customHeight="1">
      <c r="A2307" s="37" t="s">
        <v>4846</v>
      </c>
      <c r="B2307" s="35" t="s">
        <v>4847</v>
      </c>
      <c r="C2307" s="35">
        <v>12163.0</v>
      </c>
      <c r="D2307" s="35">
        <v>12146.0</v>
      </c>
      <c r="E2307" s="35">
        <v>21580.0</v>
      </c>
      <c r="F2307" s="35">
        <v>23.0</v>
      </c>
    </row>
    <row r="2308" ht="22.5" customHeight="1">
      <c r="A2308" s="37" t="s">
        <v>4848</v>
      </c>
      <c r="B2308" s="35" t="s">
        <v>4849</v>
      </c>
      <c r="C2308" s="35">
        <v>180.0</v>
      </c>
      <c r="D2308" s="35">
        <v>172.0</v>
      </c>
      <c r="E2308" s="35">
        <v>26650.0</v>
      </c>
      <c r="F2308" s="35" t="s">
        <v>11</v>
      </c>
    </row>
    <row r="2309" ht="22.5" customHeight="1">
      <c r="A2309" s="37" t="s">
        <v>4850</v>
      </c>
      <c r="B2309" s="35" t="s">
        <v>4851</v>
      </c>
      <c r="C2309" s="35">
        <v>2865.0</v>
      </c>
      <c r="D2309" s="35">
        <v>2834.0</v>
      </c>
      <c r="E2309" s="35">
        <v>23110.0</v>
      </c>
      <c r="F2309" s="35">
        <v>14.0</v>
      </c>
    </row>
    <row r="2310" ht="22.5" customHeight="1">
      <c r="A2310" s="37" t="s">
        <v>4852</v>
      </c>
      <c r="B2310" s="35" t="s">
        <v>4853</v>
      </c>
      <c r="C2310" s="35">
        <v>126.0</v>
      </c>
      <c r="D2310" s="35">
        <v>132.0</v>
      </c>
      <c r="E2310" s="35">
        <v>25440.0</v>
      </c>
      <c r="F2310" s="35" t="s">
        <v>11</v>
      </c>
    </row>
    <row r="2311" ht="22.5" customHeight="1">
      <c r="A2311" s="37" t="s">
        <v>4854</v>
      </c>
      <c r="B2311" s="35" t="s">
        <v>4855</v>
      </c>
      <c r="C2311" s="35">
        <v>1290.0</v>
      </c>
      <c r="D2311" s="35">
        <v>1243.0</v>
      </c>
      <c r="E2311" s="35">
        <v>26900.0</v>
      </c>
      <c r="F2311" s="35" t="s">
        <v>11</v>
      </c>
    </row>
    <row r="2312" ht="22.5" customHeight="1">
      <c r="A2312" s="37" t="s">
        <v>4856</v>
      </c>
      <c r="B2312" s="35" t="s">
        <v>4857</v>
      </c>
      <c r="C2312" s="35">
        <v>749.0</v>
      </c>
      <c r="D2312" s="35">
        <v>734.0</v>
      </c>
      <c r="E2312" s="35">
        <v>23770.0</v>
      </c>
      <c r="F2312" s="35" t="s">
        <v>11</v>
      </c>
    </row>
    <row r="2313" ht="22.5" customHeight="1">
      <c r="A2313" s="37" t="s">
        <v>4858</v>
      </c>
      <c r="B2313" s="35" t="s">
        <v>4859</v>
      </c>
      <c r="C2313" s="35">
        <v>432.0</v>
      </c>
      <c r="D2313" s="35">
        <v>421.0</v>
      </c>
      <c r="E2313" s="35">
        <v>23990.0</v>
      </c>
      <c r="F2313" s="35" t="s">
        <v>11</v>
      </c>
    </row>
    <row r="2314" ht="22.5" customHeight="1">
      <c r="A2314" s="37" t="s">
        <v>4860</v>
      </c>
      <c r="B2314" s="35" t="s">
        <v>4861</v>
      </c>
      <c r="C2314" s="35">
        <v>73911.0</v>
      </c>
      <c r="D2314" s="35">
        <v>67571.0</v>
      </c>
      <c r="E2314" s="35">
        <v>20270.0</v>
      </c>
      <c r="F2314" s="35">
        <v>28.5</v>
      </c>
    </row>
    <row r="2315" ht="22.5" customHeight="1">
      <c r="A2315" s="37" t="s">
        <v>4862</v>
      </c>
      <c r="B2315" s="35" t="s">
        <v>4863</v>
      </c>
      <c r="C2315" s="35">
        <v>5454.0</v>
      </c>
      <c r="D2315" s="35">
        <v>5369.0</v>
      </c>
      <c r="E2315" s="35">
        <v>19540.0</v>
      </c>
      <c r="F2315" s="35">
        <v>29.0</v>
      </c>
    </row>
    <row r="2316" ht="22.5" customHeight="1">
      <c r="A2316" s="37" t="s">
        <v>4864</v>
      </c>
      <c r="B2316" s="35" t="s">
        <v>4865</v>
      </c>
      <c r="C2316" s="35">
        <v>1545.0</v>
      </c>
      <c r="D2316" s="35">
        <v>1595.0</v>
      </c>
      <c r="E2316" s="35">
        <v>26250.0</v>
      </c>
      <c r="F2316" s="35" t="s">
        <v>11</v>
      </c>
    </row>
    <row r="2317" ht="22.5" customHeight="1">
      <c r="A2317" s="37" t="s">
        <v>4866</v>
      </c>
      <c r="B2317" s="35" t="s">
        <v>4867</v>
      </c>
      <c r="C2317" s="35">
        <v>643.0</v>
      </c>
      <c r="D2317" s="35">
        <v>582.0</v>
      </c>
      <c r="E2317" s="35">
        <v>26000.0</v>
      </c>
      <c r="F2317" s="35" t="s">
        <v>11</v>
      </c>
    </row>
    <row r="2318" ht="22.5" customHeight="1">
      <c r="A2318" s="37" t="s">
        <v>4868</v>
      </c>
      <c r="B2318" s="35" t="s">
        <v>4869</v>
      </c>
      <c r="C2318" s="35">
        <v>1764.0</v>
      </c>
      <c r="D2318" s="35">
        <v>1762.0</v>
      </c>
      <c r="E2318" s="35">
        <v>22220.0</v>
      </c>
      <c r="F2318" s="35" t="s">
        <v>11</v>
      </c>
    </row>
    <row r="2319" ht="22.5" customHeight="1">
      <c r="A2319" s="37" t="s">
        <v>4870</v>
      </c>
      <c r="B2319" s="35" t="s">
        <v>4871</v>
      </c>
      <c r="C2319" s="35">
        <v>337.0</v>
      </c>
      <c r="D2319" s="35">
        <v>352.0</v>
      </c>
      <c r="E2319" s="35">
        <v>28600.0</v>
      </c>
      <c r="F2319" s="35" t="s">
        <v>11</v>
      </c>
    </row>
    <row r="2320" ht="22.5" customHeight="1">
      <c r="A2320" s="37" t="s">
        <v>4872</v>
      </c>
      <c r="B2320" s="35" t="s">
        <v>4873</v>
      </c>
      <c r="C2320" s="35">
        <v>650.0</v>
      </c>
      <c r="D2320" s="35">
        <v>683.0</v>
      </c>
      <c r="E2320" s="35">
        <v>27950.0</v>
      </c>
      <c r="F2320" s="35" t="s">
        <v>11</v>
      </c>
    </row>
    <row r="2321" ht="22.5" customHeight="1">
      <c r="A2321" s="37" t="s">
        <v>4874</v>
      </c>
      <c r="B2321" s="35" t="s">
        <v>4875</v>
      </c>
      <c r="C2321" s="35">
        <v>1244.0</v>
      </c>
      <c r="D2321" s="35">
        <v>1263.0</v>
      </c>
      <c r="E2321" s="35">
        <v>25680.0</v>
      </c>
      <c r="F2321" s="35" t="s">
        <v>11</v>
      </c>
    </row>
    <row r="2322" ht="22.5" customHeight="1">
      <c r="A2322" s="37" t="s">
        <v>4876</v>
      </c>
      <c r="B2322" s="35" t="s">
        <v>4877</v>
      </c>
      <c r="C2322" s="35">
        <v>2717.0</v>
      </c>
      <c r="D2322" s="35">
        <v>2582.0</v>
      </c>
      <c r="E2322" s="35">
        <v>24480.0</v>
      </c>
      <c r="F2322" s="35">
        <v>13.0</v>
      </c>
    </row>
    <row r="2323" ht="22.5" customHeight="1">
      <c r="A2323" s="37" t="s">
        <v>4878</v>
      </c>
      <c r="B2323" s="35" t="s">
        <v>4879</v>
      </c>
      <c r="C2323" s="35">
        <v>634.0</v>
      </c>
      <c r="D2323" s="35">
        <v>669.0</v>
      </c>
      <c r="E2323" s="35">
        <v>23930.0</v>
      </c>
      <c r="F2323" s="35" t="s">
        <v>11</v>
      </c>
    </row>
    <row r="2324" ht="22.5" customHeight="1">
      <c r="A2324" s="37" t="s">
        <v>4880</v>
      </c>
      <c r="B2324" s="35" t="s">
        <v>4881</v>
      </c>
      <c r="C2324" s="35">
        <v>445.0</v>
      </c>
      <c r="D2324" s="35">
        <v>407.0</v>
      </c>
      <c r="E2324" s="35">
        <v>26410.0</v>
      </c>
      <c r="F2324" s="35" t="s">
        <v>11</v>
      </c>
    </row>
    <row r="2325" ht="22.5" customHeight="1">
      <c r="A2325" s="37" t="s">
        <v>4882</v>
      </c>
      <c r="B2325" s="35" t="s">
        <v>4883</v>
      </c>
      <c r="C2325" s="35">
        <v>1920.0</v>
      </c>
      <c r="D2325" s="35">
        <v>1943.0</v>
      </c>
      <c r="E2325" s="35">
        <v>24320.0</v>
      </c>
      <c r="F2325" s="35" t="s">
        <v>11</v>
      </c>
    </row>
    <row r="2326" ht="22.5" customHeight="1">
      <c r="A2326" s="37" t="s">
        <v>4884</v>
      </c>
      <c r="B2326" s="35" t="s">
        <v>4885</v>
      </c>
      <c r="C2326" s="35">
        <v>1243.0</v>
      </c>
      <c r="D2326" s="35">
        <v>1301.0</v>
      </c>
      <c r="E2326" s="35">
        <v>26920.0</v>
      </c>
      <c r="F2326" s="35" t="s">
        <v>11</v>
      </c>
    </row>
    <row r="2327" ht="22.5" customHeight="1">
      <c r="A2327" s="37" t="s">
        <v>4886</v>
      </c>
      <c r="B2327" s="35" t="s">
        <v>4887</v>
      </c>
      <c r="C2327" s="35">
        <v>299.0</v>
      </c>
      <c r="D2327" s="35">
        <v>295.0</v>
      </c>
      <c r="E2327" s="35">
        <v>28070.0</v>
      </c>
      <c r="F2327" s="35" t="s">
        <v>11</v>
      </c>
    </row>
    <row r="2328" ht="22.5" customHeight="1">
      <c r="A2328" s="37" t="s">
        <v>4888</v>
      </c>
      <c r="B2328" s="35" t="s">
        <v>4889</v>
      </c>
      <c r="C2328" s="35">
        <v>552.0</v>
      </c>
      <c r="D2328" s="35">
        <v>521.0</v>
      </c>
      <c r="E2328" s="35">
        <v>28880.0</v>
      </c>
      <c r="F2328" s="35" t="s">
        <v>11</v>
      </c>
    </row>
    <row r="2329" ht="22.5" customHeight="1">
      <c r="A2329" s="37" t="s">
        <v>4890</v>
      </c>
      <c r="B2329" s="35" t="s">
        <v>4891</v>
      </c>
      <c r="C2329" s="35">
        <v>70.0</v>
      </c>
      <c r="D2329" s="35">
        <v>66.0</v>
      </c>
      <c r="E2329" s="35" t="s">
        <v>11</v>
      </c>
      <c r="F2329" s="35" t="s">
        <v>11</v>
      </c>
    </row>
    <row r="2330" ht="22.5" customHeight="1">
      <c r="A2330" s="37" t="s">
        <v>4892</v>
      </c>
      <c r="B2330" s="35" t="s">
        <v>4893</v>
      </c>
      <c r="C2330" s="35">
        <v>159.0</v>
      </c>
      <c r="D2330" s="35">
        <v>168.0</v>
      </c>
      <c r="E2330" s="35">
        <v>23030.0</v>
      </c>
      <c r="F2330" s="35" t="s">
        <v>11</v>
      </c>
    </row>
    <row r="2331" ht="22.5" customHeight="1">
      <c r="A2331" s="37" t="s">
        <v>4894</v>
      </c>
      <c r="B2331" s="35" t="s">
        <v>4895</v>
      </c>
      <c r="C2331" s="35">
        <v>217.0</v>
      </c>
      <c r="D2331" s="35">
        <v>223.0</v>
      </c>
      <c r="E2331" s="35">
        <v>28670.0</v>
      </c>
      <c r="F2331" s="35" t="s">
        <v>11</v>
      </c>
    </row>
    <row r="2332" ht="22.5" customHeight="1">
      <c r="A2332" s="37" t="s">
        <v>4896</v>
      </c>
      <c r="B2332" s="35" t="s">
        <v>4897</v>
      </c>
      <c r="C2332" s="35">
        <v>485.0</v>
      </c>
      <c r="D2332" s="35">
        <v>474.0</v>
      </c>
      <c r="E2332" s="35">
        <v>24530.0</v>
      </c>
      <c r="F2332" s="35" t="s">
        <v>11</v>
      </c>
    </row>
    <row r="2333" ht="22.5" customHeight="1">
      <c r="A2333" s="37" t="s">
        <v>4898</v>
      </c>
      <c r="B2333" s="35" t="s">
        <v>4899</v>
      </c>
      <c r="C2333" s="35">
        <v>750.0</v>
      </c>
      <c r="D2333" s="35">
        <v>819.0</v>
      </c>
      <c r="E2333" s="35">
        <v>30950.0</v>
      </c>
      <c r="F2333" s="35" t="s">
        <v>11</v>
      </c>
    </row>
    <row r="2334" ht="22.5" customHeight="1">
      <c r="A2334" s="37" t="s">
        <v>4900</v>
      </c>
      <c r="B2334" s="35" t="s">
        <v>4901</v>
      </c>
      <c r="C2334" s="35">
        <v>551.0</v>
      </c>
      <c r="D2334" s="35">
        <v>638.0</v>
      </c>
      <c r="E2334" s="35">
        <v>28500.0</v>
      </c>
      <c r="F2334" s="35" t="s">
        <v>11</v>
      </c>
    </row>
    <row r="2335" ht="22.5" customHeight="1">
      <c r="A2335" s="37" t="s">
        <v>4902</v>
      </c>
      <c r="B2335" s="35" t="s">
        <v>4903</v>
      </c>
      <c r="C2335" s="35">
        <v>17124.0</v>
      </c>
      <c r="D2335" s="35">
        <v>17909.0</v>
      </c>
      <c r="E2335" s="35">
        <v>22510.0</v>
      </c>
      <c r="F2335" s="35">
        <v>21.0</v>
      </c>
    </row>
    <row r="2336" ht="22.5" customHeight="1">
      <c r="A2336" s="37" t="s">
        <v>4904</v>
      </c>
      <c r="B2336" s="35" t="s">
        <v>4905</v>
      </c>
      <c r="C2336" s="35">
        <v>211.0</v>
      </c>
      <c r="D2336" s="35">
        <v>211.0</v>
      </c>
      <c r="E2336" s="35">
        <v>25440.0</v>
      </c>
      <c r="F2336" s="35" t="s">
        <v>11</v>
      </c>
    </row>
    <row r="2337" ht="22.5" customHeight="1">
      <c r="A2337" s="37" t="s">
        <v>4906</v>
      </c>
      <c r="B2337" s="35" t="s">
        <v>4907</v>
      </c>
      <c r="C2337" s="35">
        <v>2814.0</v>
      </c>
      <c r="D2337" s="35">
        <v>2593.0</v>
      </c>
      <c r="E2337" s="35">
        <v>21890.0</v>
      </c>
      <c r="F2337" s="35">
        <v>20.0</v>
      </c>
    </row>
    <row r="2338" ht="22.5" customHeight="1">
      <c r="A2338" s="37" t="s">
        <v>4908</v>
      </c>
      <c r="B2338" s="35" t="s">
        <v>4909</v>
      </c>
      <c r="C2338" s="35">
        <v>346.0</v>
      </c>
      <c r="D2338" s="35">
        <v>331.0</v>
      </c>
      <c r="E2338" s="35">
        <v>26440.0</v>
      </c>
      <c r="F2338" s="35" t="s">
        <v>11</v>
      </c>
    </row>
    <row r="2339" ht="22.5" customHeight="1">
      <c r="A2339" s="37" t="s">
        <v>4910</v>
      </c>
      <c r="B2339" s="35" t="s">
        <v>516</v>
      </c>
      <c r="C2339" s="35">
        <v>162.0</v>
      </c>
      <c r="D2339" s="35">
        <v>150.0</v>
      </c>
      <c r="E2339" s="35">
        <v>26700.0</v>
      </c>
      <c r="F2339" s="35" t="s">
        <v>11</v>
      </c>
    </row>
    <row r="2340" ht="22.5" customHeight="1">
      <c r="A2340" s="37" t="s">
        <v>4911</v>
      </c>
      <c r="B2340" s="35" t="s">
        <v>4912</v>
      </c>
      <c r="C2340" s="35">
        <v>457.0</v>
      </c>
      <c r="D2340" s="35">
        <v>423.0</v>
      </c>
      <c r="E2340" s="35">
        <v>23510.0</v>
      </c>
      <c r="F2340" s="35" t="s">
        <v>11</v>
      </c>
    </row>
    <row r="2341" ht="22.5" customHeight="1">
      <c r="A2341" s="37" t="s">
        <v>4913</v>
      </c>
      <c r="B2341" s="35" t="s">
        <v>4914</v>
      </c>
      <c r="C2341" s="35">
        <v>259.0</v>
      </c>
      <c r="D2341" s="35">
        <v>247.0</v>
      </c>
      <c r="E2341" s="35">
        <v>27000.0</v>
      </c>
      <c r="F2341" s="35" t="s">
        <v>11</v>
      </c>
    </row>
    <row r="2342" ht="22.5" customHeight="1">
      <c r="A2342" s="37" t="s">
        <v>4915</v>
      </c>
      <c r="B2342" s="35" t="s">
        <v>4916</v>
      </c>
      <c r="C2342" s="35">
        <v>155.0</v>
      </c>
      <c r="D2342" s="35">
        <v>174.0</v>
      </c>
      <c r="E2342" s="35">
        <v>22970.0</v>
      </c>
      <c r="F2342" s="35" t="s">
        <v>11</v>
      </c>
    </row>
    <row r="2343" ht="22.5" customHeight="1">
      <c r="A2343" s="37" t="s">
        <v>4917</v>
      </c>
      <c r="B2343" s="35" t="s">
        <v>4918</v>
      </c>
      <c r="C2343" s="35">
        <v>293.0</v>
      </c>
      <c r="D2343" s="35">
        <v>293.0</v>
      </c>
      <c r="E2343" s="35">
        <v>29570.0</v>
      </c>
      <c r="F2343" s="35" t="s">
        <v>11</v>
      </c>
    </row>
    <row r="2344" ht="22.5" customHeight="1">
      <c r="A2344" s="37" t="s">
        <v>4919</v>
      </c>
      <c r="B2344" s="35" t="s">
        <v>4920</v>
      </c>
      <c r="C2344" s="35">
        <v>2881.0</v>
      </c>
      <c r="D2344" s="35">
        <v>2785.0</v>
      </c>
      <c r="E2344" s="35">
        <v>22840.0</v>
      </c>
      <c r="F2344" s="35">
        <v>16.0</v>
      </c>
    </row>
    <row r="2345" ht="22.5" customHeight="1">
      <c r="A2345" s="37" t="s">
        <v>4921</v>
      </c>
      <c r="B2345" s="35" t="s">
        <v>4922</v>
      </c>
      <c r="C2345" s="35">
        <v>624.0</v>
      </c>
      <c r="D2345" s="35">
        <v>593.0</v>
      </c>
      <c r="E2345" s="35">
        <v>26410.0</v>
      </c>
      <c r="F2345" s="35" t="s">
        <v>11</v>
      </c>
    </row>
    <row r="2346" ht="22.5" customHeight="1">
      <c r="A2346" s="37" t="s">
        <v>4923</v>
      </c>
      <c r="B2346" s="35" t="s">
        <v>4924</v>
      </c>
      <c r="C2346" s="35">
        <v>195.0</v>
      </c>
      <c r="D2346" s="35">
        <v>186.0</v>
      </c>
      <c r="E2346" s="35">
        <v>26160.0</v>
      </c>
      <c r="F2346" s="35" t="s">
        <v>11</v>
      </c>
    </row>
    <row r="2347" ht="22.5" customHeight="1">
      <c r="A2347" s="37" t="s">
        <v>4925</v>
      </c>
      <c r="B2347" s="35" t="s">
        <v>4926</v>
      </c>
      <c r="C2347" s="35">
        <v>327.0</v>
      </c>
      <c r="D2347" s="35">
        <v>312.0</v>
      </c>
      <c r="E2347" s="35">
        <v>24040.0</v>
      </c>
      <c r="F2347" s="35" t="s">
        <v>11</v>
      </c>
    </row>
    <row r="2348" ht="22.5" customHeight="1">
      <c r="A2348" s="37" t="s">
        <v>4927</v>
      </c>
      <c r="B2348" s="35" t="s">
        <v>4928</v>
      </c>
      <c r="C2348" s="35">
        <v>772.0</v>
      </c>
      <c r="D2348" s="35">
        <v>805.0</v>
      </c>
      <c r="E2348" s="35">
        <v>25740.0</v>
      </c>
      <c r="F2348" s="35" t="s">
        <v>11</v>
      </c>
    </row>
    <row r="2349" ht="22.5" customHeight="1">
      <c r="A2349" s="37" t="s">
        <v>4929</v>
      </c>
      <c r="B2349" s="35" t="s">
        <v>4930</v>
      </c>
      <c r="C2349" s="35">
        <v>942.0</v>
      </c>
      <c r="D2349" s="35">
        <v>907.0</v>
      </c>
      <c r="E2349" s="35">
        <v>26060.0</v>
      </c>
      <c r="F2349" s="35" t="s">
        <v>11</v>
      </c>
    </row>
    <row r="2350" ht="22.5" customHeight="1">
      <c r="A2350" s="37" t="s">
        <v>4931</v>
      </c>
      <c r="B2350" s="35" t="s">
        <v>4932</v>
      </c>
      <c r="C2350" s="35">
        <v>137.0</v>
      </c>
      <c r="D2350" s="35">
        <v>132.0</v>
      </c>
      <c r="E2350" s="35">
        <v>27450.0</v>
      </c>
      <c r="F2350" s="35" t="s">
        <v>11</v>
      </c>
    </row>
    <row r="2351" ht="22.5" customHeight="1">
      <c r="A2351" s="37" t="s">
        <v>4933</v>
      </c>
      <c r="B2351" s="35" t="s">
        <v>4934</v>
      </c>
      <c r="C2351" s="35">
        <v>935.0</v>
      </c>
      <c r="D2351" s="35">
        <v>879.0</v>
      </c>
      <c r="E2351" s="35">
        <v>26350.0</v>
      </c>
      <c r="F2351" s="35" t="s">
        <v>11</v>
      </c>
    </row>
    <row r="2352" ht="22.5" customHeight="1">
      <c r="A2352" s="37" t="s">
        <v>4935</v>
      </c>
      <c r="B2352" s="35" t="s">
        <v>4936</v>
      </c>
      <c r="C2352" s="35">
        <v>1135.0</v>
      </c>
      <c r="D2352" s="35">
        <v>1073.0</v>
      </c>
      <c r="E2352" s="35">
        <v>25680.0</v>
      </c>
      <c r="F2352" s="35" t="s">
        <v>11</v>
      </c>
    </row>
    <row r="2353" ht="22.5" customHeight="1">
      <c r="A2353" s="37" t="s">
        <v>4937</v>
      </c>
      <c r="B2353" s="35" t="s">
        <v>4938</v>
      </c>
      <c r="C2353" s="35">
        <v>216.0</v>
      </c>
      <c r="D2353" s="35">
        <v>222.0</v>
      </c>
      <c r="E2353" s="35">
        <v>24600.0</v>
      </c>
      <c r="F2353" s="35" t="s">
        <v>11</v>
      </c>
    </row>
    <row r="2354" ht="22.5" customHeight="1">
      <c r="A2354" s="37" t="s">
        <v>4939</v>
      </c>
      <c r="B2354" s="35" t="s">
        <v>4940</v>
      </c>
      <c r="C2354" s="35">
        <v>2506.0</v>
      </c>
      <c r="D2354" s="35">
        <v>2443.0</v>
      </c>
      <c r="E2354" s="35">
        <v>31840.0</v>
      </c>
      <c r="F2354" s="35">
        <v>8.0</v>
      </c>
    </row>
    <row r="2355" ht="22.5" customHeight="1">
      <c r="A2355" s="37" t="s">
        <v>4941</v>
      </c>
      <c r="B2355" s="35" t="s">
        <v>4942</v>
      </c>
      <c r="C2355" s="35">
        <v>331.0</v>
      </c>
      <c r="D2355" s="35">
        <v>354.0</v>
      </c>
      <c r="E2355" s="35">
        <v>24610.0</v>
      </c>
      <c r="F2355" s="35" t="s">
        <v>11</v>
      </c>
    </row>
    <row r="2356" ht="22.5" customHeight="1">
      <c r="A2356" s="37" t="s">
        <v>4943</v>
      </c>
      <c r="B2356" s="35" t="s">
        <v>4944</v>
      </c>
      <c r="C2356" s="35">
        <v>478.0</v>
      </c>
      <c r="D2356" s="35">
        <v>572.0</v>
      </c>
      <c r="E2356" s="35">
        <v>28320.0</v>
      </c>
      <c r="F2356" s="35" t="s">
        <v>11</v>
      </c>
    </row>
    <row r="2357" ht="22.5" customHeight="1">
      <c r="A2357" s="37" t="s">
        <v>4945</v>
      </c>
      <c r="B2357" s="35" t="s">
        <v>4946</v>
      </c>
      <c r="C2357" s="35">
        <v>91.0</v>
      </c>
      <c r="D2357" s="35">
        <v>83.0</v>
      </c>
      <c r="E2357" s="35" t="s">
        <v>11</v>
      </c>
      <c r="F2357" s="35" t="s">
        <v>11</v>
      </c>
    </row>
    <row r="2358" ht="22.5" customHeight="1">
      <c r="A2358" s="37" t="s">
        <v>4947</v>
      </c>
      <c r="B2358" s="35" t="s">
        <v>4948</v>
      </c>
      <c r="C2358" s="35">
        <v>2611.0</v>
      </c>
      <c r="D2358" s="35">
        <v>2638.0</v>
      </c>
      <c r="E2358" s="35">
        <v>27340.0</v>
      </c>
      <c r="F2358" s="35">
        <v>11.0</v>
      </c>
    </row>
    <row r="2359" ht="22.5" customHeight="1">
      <c r="A2359" s="37" t="s">
        <v>4949</v>
      </c>
      <c r="B2359" s="35" t="s">
        <v>4950</v>
      </c>
      <c r="C2359" s="35">
        <v>2366.0</v>
      </c>
      <c r="D2359" s="35">
        <v>2258.0</v>
      </c>
      <c r="E2359" s="35">
        <v>24720.0</v>
      </c>
      <c r="F2359" s="35">
        <v>11.0</v>
      </c>
    </row>
    <row r="2360" ht="22.5" customHeight="1">
      <c r="A2360" s="37" t="s">
        <v>4951</v>
      </c>
      <c r="B2360" s="35" t="s">
        <v>4952</v>
      </c>
      <c r="C2360" s="35">
        <v>319.0</v>
      </c>
      <c r="D2360" s="35">
        <v>309.0</v>
      </c>
      <c r="E2360" s="35">
        <v>26700.0</v>
      </c>
      <c r="F2360" s="35" t="s">
        <v>11</v>
      </c>
    </row>
    <row r="2361" ht="22.5" customHeight="1">
      <c r="A2361" s="37" t="s">
        <v>4953</v>
      </c>
      <c r="B2361" s="35" t="s">
        <v>4954</v>
      </c>
      <c r="C2361" s="35">
        <v>113.0</v>
      </c>
      <c r="D2361" s="35">
        <v>76.0</v>
      </c>
      <c r="E2361" s="35" t="s">
        <v>11</v>
      </c>
      <c r="F2361" s="35" t="s">
        <v>11</v>
      </c>
    </row>
    <row r="2362" ht="22.5" customHeight="1">
      <c r="A2362" s="37" t="s">
        <v>4955</v>
      </c>
      <c r="B2362" s="35" t="s">
        <v>4956</v>
      </c>
      <c r="C2362" s="35">
        <v>122.0</v>
      </c>
      <c r="D2362" s="35">
        <v>111.0</v>
      </c>
      <c r="E2362" s="35">
        <v>23890.0</v>
      </c>
      <c r="F2362" s="35" t="s">
        <v>11</v>
      </c>
    </row>
    <row r="2363" ht="22.5" customHeight="1">
      <c r="A2363" s="37" t="s">
        <v>4957</v>
      </c>
      <c r="B2363" s="35" t="s">
        <v>4958</v>
      </c>
      <c r="C2363" s="35">
        <v>5372.0</v>
      </c>
      <c r="D2363" s="35">
        <v>5438.0</v>
      </c>
      <c r="E2363" s="35">
        <v>25180.0</v>
      </c>
      <c r="F2363" s="35">
        <v>11.0</v>
      </c>
    </row>
    <row r="2364" ht="22.5" customHeight="1">
      <c r="A2364" s="37" t="s">
        <v>4959</v>
      </c>
      <c r="B2364" s="35" t="s">
        <v>4960</v>
      </c>
      <c r="C2364" s="35">
        <v>737.0</v>
      </c>
      <c r="D2364" s="35">
        <v>770.0</v>
      </c>
      <c r="E2364" s="35">
        <v>24370.0</v>
      </c>
      <c r="F2364" s="35" t="s">
        <v>11</v>
      </c>
    </row>
    <row r="2365" ht="22.5" customHeight="1">
      <c r="A2365" s="37" t="s">
        <v>4961</v>
      </c>
      <c r="B2365" s="35" t="s">
        <v>4962</v>
      </c>
      <c r="C2365" s="35">
        <v>161.0</v>
      </c>
      <c r="D2365" s="35">
        <v>146.0</v>
      </c>
      <c r="E2365" s="35">
        <v>22640.0</v>
      </c>
      <c r="F2365" s="35" t="s">
        <v>11</v>
      </c>
    </row>
    <row r="2366" ht="22.5" customHeight="1">
      <c r="A2366" s="37" t="s">
        <v>4963</v>
      </c>
      <c r="B2366" s="35" t="s">
        <v>4964</v>
      </c>
      <c r="C2366" s="35">
        <v>601.0</v>
      </c>
      <c r="D2366" s="35">
        <v>550.0</v>
      </c>
      <c r="E2366" s="35">
        <v>24420.0</v>
      </c>
      <c r="F2366" s="35" t="s">
        <v>11</v>
      </c>
    </row>
    <row r="2367" ht="22.5" customHeight="1">
      <c r="A2367" s="37" t="s">
        <v>4965</v>
      </c>
      <c r="B2367" s="35" t="s">
        <v>4966</v>
      </c>
      <c r="C2367" s="35">
        <v>461.0</v>
      </c>
      <c r="D2367" s="35">
        <v>479.0</v>
      </c>
      <c r="E2367" s="35">
        <v>25460.0</v>
      </c>
      <c r="F2367" s="35" t="s">
        <v>11</v>
      </c>
    </row>
    <row r="2368" ht="22.5" customHeight="1">
      <c r="A2368" s="37" t="s">
        <v>4967</v>
      </c>
      <c r="B2368" s="35" t="s">
        <v>4968</v>
      </c>
      <c r="C2368" s="35">
        <v>7774.0</v>
      </c>
      <c r="D2368" s="35">
        <v>7830.0</v>
      </c>
      <c r="E2368" s="35">
        <v>21300.0</v>
      </c>
      <c r="F2368" s="35">
        <v>23.0</v>
      </c>
    </row>
    <row r="2369" ht="22.5" customHeight="1">
      <c r="A2369" s="37" t="s">
        <v>4969</v>
      </c>
      <c r="B2369" s="35" t="s">
        <v>4970</v>
      </c>
      <c r="C2369" s="35">
        <v>10512.0</v>
      </c>
      <c r="D2369" s="35">
        <v>10176.0</v>
      </c>
      <c r="E2369" s="35">
        <v>22980.0</v>
      </c>
      <c r="F2369" s="35">
        <v>19.0</v>
      </c>
    </row>
    <row r="2370" ht="22.5" customHeight="1">
      <c r="A2370" s="37" t="s">
        <v>4971</v>
      </c>
      <c r="B2370" s="35" t="s">
        <v>4972</v>
      </c>
      <c r="C2370" s="35">
        <v>515.0</v>
      </c>
      <c r="D2370" s="35">
        <v>505.0</v>
      </c>
      <c r="E2370" s="35">
        <v>24260.0</v>
      </c>
      <c r="F2370" s="35" t="s">
        <v>11</v>
      </c>
    </row>
    <row r="2371" ht="22.5" customHeight="1">
      <c r="A2371" s="37" t="s">
        <v>4973</v>
      </c>
      <c r="B2371" s="35" t="s">
        <v>4974</v>
      </c>
      <c r="C2371" s="35">
        <v>2764.0</v>
      </c>
      <c r="D2371" s="35">
        <v>2590.0</v>
      </c>
      <c r="E2371" s="35">
        <v>27960.0</v>
      </c>
      <c r="F2371" s="35">
        <v>8.0</v>
      </c>
    </row>
    <row r="2372" ht="22.5" customHeight="1">
      <c r="A2372" s="37" t="s">
        <v>4975</v>
      </c>
      <c r="B2372" s="35" t="s">
        <v>4976</v>
      </c>
      <c r="C2372" s="35">
        <v>65.0</v>
      </c>
      <c r="D2372" s="35">
        <v>76.0</v>
      </c>
      <c r="E2372" s="35" t="s">
        <v>11</v>
      </c>
      <c r="F2372" s="35" t="s">
        <v>11</v>
      </c>
    </row>
    <row r="2373" ht="22.5" customHeight="1">
      <c r="A2373" s="37" t="s">
        <v>4977</v>
      </c>
      <c r="B2373" s="35" t="s">
        <v>4978</v>
      </c>
      <c r="C2373" s="35">
        <v>606.0</v>
      </c>
      <c r="D2373" s="35">
        <v>597.0</v>
      </c>
      <c r="E2373" s="35">
        <v>23310.0</v>
      </c>
      <c r="F2373" s="35" t="s">
        <v>11</v>
      </c>
    </row>
    <row r="2374" ht="22.5" customHeight="1">
      <c r="A2374" s="37" t="s">
        <v>4979</v>
      </c>
      <c r="B2374" s="35" t="s">
        <v>4980</v>
      </c>
      <c r="C2374" s="35">
        <v>786.0</v>
      </c>
      <c r="D2374" s="35">
        <v>815.0</v>
      </c>
      <c r="E2374" s="35">
        <v>26700.0</v>
      </c>
      <c r="F2374" s="35" t="s">
        <v>11</v>
      </c>
    </row>
    <row r="2375" ht="22.5" customHeight="1">
      <c r="A2375" s="37" t="s">
        <v>4981</v>
      </c>
      <c r="B2375" s="35" t="s">
        <v>709</v>
      </c>
      <c r="C2375" s="35">
        <v>149.0</v>
      </c>
      <c r="D2375" s="35">
        <v>159.0</v>
      </c>
      <c r="E2375" s="35">
        <v>23570.0</v>
      </c>
      <c r="F2375" s="35" t="s">
        <v>11</v>
      </c>
    </row>
    <row r="2376" ht="22.5" customHeight="1">
      <c r="A2376" s="37" t="s">
        <v>4982</v>
      </c>
      <c r="B2376" s="35" t="s">
        <v>4983</v>
      </c>
      <c r="C2376" s="35">
        <v>485.0</v>
      </c>
      <c r="D2376" s="35">
        <v>463.0</v>
      </c>
      <c r="E2376" s="35">
        <v>23170.0</v>
      </c>
      <c r="F2376" s="35" t="s">
        <v>11</v>
      </c>
    </row>
    <row r="2377" ht="22.5" customHeight="1">
      <c r="A2377" s="37" t="s">
        <v>4984</v>
      </c>
      <c r="B2377" s="35" t="s">
        <v>4985</v>
      </c>
      <c r="C2377" s="35">
        <v>278.0</v>
      </c>
      <c r="D2377" s="35">
        <v>318.0</v>
      </c>
      <c r="E2377" s="35">
        <v>26550.0</v>
      </c>
      <c r="F2377" s="35" t="s">
        <v>11</v>
      </c>
    </row>
    <row r="2378" ht="22.5" customHeight="1">
      <c r="A2378" s="37" t="s">
        <v>4986</v>
      </c>
      <c r="B2378" s="35" t="s">
        <v>4987</v>
      </c>
      <c r="C2378" s="35">
        <v>1929.0</v>
      </c>
      <c r="D2378" s="35">
        <v>1939.0</v>
      </c>
      <c r="E2378" s="35">
        <v>23940.0</v>
      </c>
      <c r="F2378" s="35" t="s">
        <v>11</v>
      </c>
    </row>
    <row r="2379" ht="22.5" customHeight="1">
      <c r="A2379" s="37" t="s">
        <v>4988</v>
      </c>
      <c r="B2379" s="35" t="s">
        <v>4989</v>
      </c>
      <c r="C2379" s="35">
        <v>322.0</v>
      </c>
      <c r="D2379" s="35">
        <v>333.0</v>
      </c>
      <c r="E2379" s="35">
        <v>24450.0</v>
      </c>
      <c r="F2379" s="35" t="s">
        <v>11</v>
      </c>
    </row>
    <row r="2380" ht="22.5" customHeight="1">
      <c r="A2380" s="37" t="s">
        <v>4990</v>
      </c>
      <c r="B2380" s="35" t="s">
        <v>4991</v>
      </c>
      <c r="C2380" s="35">
        <v>5121.0</v>
      </c>
      <c r="D2380" s="35">
        <v>5129.0</v>
      </c>
      <c r="E2380" s="35">
        <v>27070.0</v>
      </c>
      <c r="F2380" s="35">
        <v>12.0</v>
      </c>
    </row>
    <row r="2381" ht="22.5" customHeight="1">
      <c r="A2381" s="37" t="s">
        <v>4992</v>
      </c>
      <c r="B2381" s="35" t="s">
        <v>4993</v>
      </c>
      <c r="C2381" s="35">
        <v>1741.0</v>
      </c>
      <c r="D2381" s="35">
        <v>1784.0</v>
      </c>
      <c r="E2381" s="35">
        <v>25790.0</v>
      </c>
      <c r="F2381" s="35" t="s">
        <v>11</v>
      </c>
    </row>
    <row r="2382" ht="22.5" customHeight="1">
      <c r="A2382" s="37" t="s">
        <v>4994</v>
      </c>
      <c r="B2382" s="35" t="s">
        <v>4995</v>
      </c>
      <c r="C2382" s="35">
        <v>5646.0</v>
      </c>
      <c r="D2382" s="35">
        <v>5683.0</v>
      </c>
      <c r="E2382" s="35">
        <v>27890.0</v>
      </c>
      <c r="F2382" s="35">
        <v>9.0</v>
      </c>
    </row>
    <row r="2383" ht="22.5" customHeight="1">
      <c r="A2383" s="37" t="s">
        <v>4996</v>
      </c>
      <c r="B2383" s="35" t="s">
        <v>4997</v>
      </c>
      <c r="C2383" s="35">
        <v>1316.0</v>
      </c>
      <c r="D2383" s="35">
        <v>1311.0</v>
      </c>
      <c r="E2383" s="35">
        <v>22350.0</v>
      </c>
      <c r="F2383" s="35" t="s">
        <v>11</v>
      </c>
    </row>
    <row r="2384" ht="22.5" customHeight="1">
      <c r="A2384" s="37" t="s">
        <v>4998</v>
      </c>
      <c r="B2384" s="35" t="s">
        <v>4999</v>
      </c>
      <c r="C2384" s="35">
        <v>1178.0</v>
      </c>
      <c r="D2384" s="35">
        <v>1124.0</v>
      </c>
      <c r="E2384" s="35">
        <v>25090.0</v>
      </c>
      <c r="F2384" s="35" t="s">
        <v>11</v>
      </c>
    </row>
    <row r="2385" ht="22.5" customHeight="1">
      <c r="A2385" s="37" t="s">
        <v>5000</v>
      </c>
      <c r="B2385" s="35" t="s">
        <v>5001</v>
      </c>
      <c r="C2385" s="35">
        <v>86.0</v>
      </c>
      <c r="D2385" s="35">
        <v>94.0</v>
      </c>
      <c r="E2385" s="35" t="s">
        <v>11</v>
      </c>
      <c r="F2385" s="35" t="s">
        <v>11</v>
      </c>
    </row>
    <row r="2386" ht="22.5" customHeight="1">
      <c r="A2386" s="37" t="s">
        <v>5002</v>
      </c>
      <c r="B2386" s="35" t="s">
        <v>5003</v>
      </c>
      <c r="C2386" s="35">
        <v>389.0</v>
      </c>
      <c r="D2386" s="35">
        <v>391.0</v>
      </c>
      <c r="E2386" s="35">
        <v>22980.0</v>
      </c>
      <c r="F2386" s="35" t="s">
        <v>11</v>
      </c>
    </row>
    <row r="2387" ht="22.5" customHeight="1">
      <c r="A2387" s="37" t="s">
        <v>5004</v>
      </c>
      <c r="B2387" s="35" t="s">
        <v>5005</v>
      </c>
      <c r="C2387" s="35">
        <v>4985.0</v>
      </c>
      <c r="D2387" s="35">
        <v>4829.0</v>
      </c>
      <c r="E2387" s="35">
        <v>20700.0</v>
      </c>
      <c r="F2387" s="35">
        <v>25.0</v>
      </c>
    </row>
    <row r="2388" ht="22.5" customHeight="1">
      <c r="A2388" s="37" t="s">
        <v>5006</v>
      </c>
      <c r="B2388" s="35" t="s">
        <v>5007</v>
      </c>
      <c r="C2388" s="35">
        <v>750.0</v>
      </c>
      <c r="D2388" s="35">
        <v>709.0</v>
      </c>
      <c r="E2388" s="35">
        <v>24650.0</v>
      </c>
      <c r="F2388" s="35" t="s">
        <v>11</v>
      </c>
    </row>
    <row r="2389" ht="22.5" customHeight="1">
      <c r="A2389" s="37" t="s">
        <v>5008</v>
      </c>
      <c r="B2389" s="35" t="s">
        <v>5009</v>
      </c>
      <c r="C2389" s="35">
        <v>6978.0</v>
      </c>
      <c r="D2389" s="35">
        <v>6766.0</v>
      </c>
      <c r="E2389" s="35">
        <v>19620.0</v>
      </c>
      <c r="F2389" s="35">
        <v>30.0</v>
      </c>
    </row>
    <row r="2390" ht="22.5" customHeight="1">
      <c r="A2390" s="37" t="s">
        <v>5010</v>
      </c>
      <c r="B2390" s="35" t="s">
        <v>5011</v>
      </c>
      <c r="C2390" s="35">
        <v>828.0</v>
      </c>
      <c r="D2390" s="35">
        <v>826.0</v>
      </c>
      <c r="E2390" s="35">
        <v>25690.0</v>
      </c>
      <c r="F2390" s="35" t="s">
        <v>11</v>
      </c>
    </row>
    <row r="2391" ht="22.5" customHeight="1">
      <c r="A2391" s="37" t="s">
        <v>5012</v>
      </c>
      <c r="B2391" s="35" t="s">
        <v>5013</v>
      </c>
      <c r="C2391" s="35">
        <v>308.0</v>
      </c>
      <c r="D2391" s="35">
        <v>286.0</v>
      </c>
      <c r="E2391" s="35">
        <v>26840.0</v>
      </c>
      <c r="F2391" s="35" t="s">
        <v>11</v>
      </c>
    </row>
    <row r="2392" ht="22.5" customHeight="1">
      <c r="A2392" s="37" t="s">
        <v>5014</v>
      </c>
      <c r="B2392" s="35" t="s">
        <v>5015</v>
      </c>
      <c r="C2392" s="35">
        <v>600.0</v>
      </c>
      <c r="D2392" s="35">
        <v>593.0</v>
      </c>
      <c r="E2392" s="35">
        <v>24760.0</v>
      </c>
      <c r="F2392" s="35" t="s">
        <v>11</v>
      </c>
    </row>
    <row r="2393" ht="22.5" customHeight="1">
      <c r="A2393" s="37" t="s">
        <v>5016</v>
      </c>
      <c r="B2393" s="35" t="s">
        <v>5017</v>
      </c>
      <c r="C2393" s="35">
        <v>5891.0</v>
      </c>
      <c r="D2393" s="35">
        <v>6139.0</v>
      </c>
      <c r="E2393" s="35">
        <v>23290.0</v>
      </c>
      <c r="F2393" s="35">
        <v>17.0</v>
      </c>
    </row>
    <row r="2394" ht="22.5" customHeight="1">
      <c r="A2394" s="37" t="s">
        <v>5018</v>
      </c>
      <c r="B2394" s="35" t="s">
        <v>5019</v>
      </c>
      <c r="C2394" s="35">
        <v>326.0</v>
      </c>
      <c r="D2394" s="35">
        <v>296.0</v>
      </c>
      <c r="E2394" s="35">
        <v>24590.0</v>
      </c>
      <c r="F2394" s="35" t="s">
        <v>11</v>
      </c>
    </row>
    <row r="2395" ht="22.5" customHeight="1">
      <c r="A2395" s="37" t="s">
        <v>5020</v>
      </c>
      <c r="B2395" s="35" t="s">
        <v>5021</v>
      </c>
      <c r="C2395" s="35">
        <v>5407.0</v>
      </c>
      <c r="D2395" s="35">
        <v>5867.0</v>
      </c>
      <c r="E2395" s="35">
        <v>24330.0</v>
      </c>
      <c r="F2395" s="35">
        <v>14.0</v>
      </c>
    </row>
    <row r="2396" ht="22.5" customHeight="1">
      <c r="A2396" s="37" t="s">
        <v>5022</v>
      </c>
      <c r="B2396" s="35" t="s">
        <v>5023</v>
      </c>
      <c r="C2396" s="35">
        <v>2936.0</v>
      </c>
      <c r="D2396" s="35">
        <v>2939.0</v>
      </c>
      <c r="E2396" s="35">
        <v>22970.0</v>
      </c>
      <c r="F2396" s="35">
        <v>17.0</v>
      </c>
    </row>
    <row r="2397" ht="22.5" customHeight="1">
      <c r="A2397" s="37" t="s">
        <v>5024</v>
      </c>
      <c r="B2397" s="35" t="s">
        <v>5025</v>
      </c>
      <c r="C2397" s="35">
        <v>594.0</v>
      </c>
      <c r="D2397" s="35">
        <v>622.0</v>
      </c>
      <c r="E2397" s="35">
        <v>29310.0</v>
      </c>
      <c r="F2397" s="35" t="s">
        <v>11</v>
      </c>
    </row>
    <row r="2398" ht="22.5" customHeight="1">
      <c r="A2398" s="37" t="s">
        <v>5026</v>
      </c>
      <c r="B2398" s="35" t="s">
        <v>5027</v>
      </c>
      <c r="C2398" s="35">
        <v>1309.0</v>
      </c>
      <c r="D2398" s="35">
        <v>1399.0</v>
      </c>
      <c r="E2398" s="35">
        <v>32440.0</v>
      </c>
      <c r="F2398" s="35" t="s">
        <v>11</v>
      </c>
    </row>
    <row r="2399" ht="22.5" customHeight="1">
      <c r="A2399" s="37" t="s">
        <v>5028</v>
      </c>
      <c r="B2399" s="35" t="s">
        <v>777</v>
      </c>
      <c r="C2399" s="35">
        <v>350.0</v>
      </c>
      <c r="D2399" s="35">
        <v>301.0</v>
      </c>
      <c r="E2399" s="35">
        <v>26620.0</v>
      </c>
      <c r="F2399" s="35" t="s">
        <v>11</v>
      </c>
    </row>
    <row r="2400" ht="22.5" customHeight="1">
      <c r="A2400" s="37" t="s">
        <v>5029</v>
      </c>
      <c r="B2400" s="35" t="s">
        <v>5030</v>
      </c>
      <c r="C2400" s="35">
        <v>390.0</v>
      </c>
      <c r="D2400" s="35">
        <v>378.0</v>
      </c>
      <c r="E2400" s="35">
        <v>31560.0</v>
      </c>
      <c r="F2400" s="35" t="s">
        <v>11</v>
      </c>
    </row>
    <row r="2401" ht="22.5" customHeight="1">
      <c r="A2401" s="37" t="s">
        <v>5031</v>
      </c>
      <c r="B2401" s="35" t="s">
        <v>5032</v>
      </c>
      <c r="C2401" s="35">
        <v>176.0</v>
      </c>
      <c r="D2401" s="35">
        <v>178.0</v>
      </c>
      <c r="E2401" s="35">
        <v>23630.0</v>
      </c>
      <c r="F2401" s="35" t="s">
        <v>11</v>
      </c>
    </row>
    <row r="2402" ht="22.5" customHeight="1">
      <c r="A2402" s="37" t="s">
        <v>5033</v>
      </c>
      <c r="B2402" s="35" t="s">
        <v>5034</v>
      </c>
      <c r="C2402" s="35">
        <v>131.0</v>
      </c>
      <c r="D2402" s="35">
        <v>124.0</v>
      </c>
      <c r="E2402" s="35">
        <v>22790.0</v>
      </c>
      <c r="F2402" s="35" t="s">
        <v>11</v>
      </c>
    </row>
    <row r="2403" ht="22.5" customHeight="1">
      <c r="A2403" s="37" t="s">
        <v>5035</v>
      </c>
      <c r="B2403" s="35" t="s">
        <v>5036</v>
      </c>
      <c r="C2403" s="35">
        <v>1672.0</v>
      </c>
      <c r="D2403" s="35">
        <v>1706.0</v>
      </c>
      <c r="E2403" s="35">
        <v>24360.0</v>
      </c>
      <c r="F2403" s="35" t="s">
        <v>11</v>
      </c>
    </row>
    <row r="2404" ht="22.5" customHeight="1">
      <c r="A2404" s="37" t="s">
        <v>5037</v>
      </c>
      <c r="B2404" s="35" t="s">
        <v>5038</v>
      </c>
      <c r="C2404" s="35">
        <v>491.0</v>
      </c>
      <c r="D2404" s="35">
        <v>485.0</v>
      </c>
      <c r="E2404" s="35">
        <v>27960.0</v>
      </c>
      <c r="F2404" s="35" t="s">
        <v>11</v>
      </c>
    </row>
    <row r="2405" ht="22.5" customHeight="1">
      <c r="A2405" s="37" t="s">
        <v>5039</v>
      </c>
      <c r="B2405" s="35" t="s">
        <v>5040</v>
      </c>
      <c r="C2405" s="35">
        <v>513.0</v>
      </c>
      <c r="D2405" s="35">
        <v>511.0</v>
      </c>
      <c r="E2405" s="35">
        <v>26290.0</v>
      </c>
      <c r="F2405" s="35" t="s">
        <v>11</v>
      </c>
    </row>
    <row r="2406" ht="22.5" customHeight="1">
      <c r="A2406" s="37" t="s">
        <v>5041</v>
      </c>
      <c r="B2406" s="35" t="s">
        <v>5042</v>
      </c>
      <c r="C2406" s="35">
        <v>2139.0</v>
      </c>
      <c r="D2406" s="35">
        <v>2181.0</v>
      </c>
      <c r="E2406" s="35">
        <v>26340.0</v>
      </c>
      <c r="F2406" s="35">
        <v>7.0</v>
      </c>
    </row>
    <row r="2407" ht="22.5" customHeight="1">
      <c r="A2407" s="37" t="s">
        <v>5043</v>
      </c>
      <c r="B2407" s="35" t="s">
        <v>5044</v>
      </c>
      <c r="C2407" s="35">
        <v>717.0</v>
      </c>
      <c r="D2407" s="35">
        <v>682.0</v>
      </c>
      <c r="E2407" s="35">
        <v>25670.0</v>
      </c>
      <c r="F2407" s="35" t="s">
        <v>11</v>
      </c>
    </row>
    <row r="2408" ht="22.5" customHeight="1">
      <c r="A2408" s="37" t="s">
        <v>5045</v>
      </c>
      <c r="B2408" s="35" t="s">
        <v>5046</v>
      </c>
      <c r="C2408" s="35">
        <v>386.0</v>
      </c>
      <c r="D2408" s="35">
        <v>370.0</v>
      </c>
      <c r="E2408" s="35">
        <v>31630.0</v>
      </c>
      <c r="F2408" s="35" t="s">
        <v>11</v>
      </c>
    </row>
    <row r="2409" ht="22.5" customHeight="1">
      <c r="A2409" s="37" t="s">
        <v>5047</v>
      </c>
      <c r="B2409" s="35" t="s">
        <v>5048</v>
      </c>
      <c r="C2409" s="35">
        <v>2920.0</v>
      </c>
      <c r="D2409" s="35">
        <v>2805.0</v>
      </c>
      <c r="E2409" s="35">
        <v>22770.0</v>
      </c>
      <c r="F2409" s="35">
        <v>19.0</v>
      </c>
    </row>
    <row r="2410" ht="22.5" customHeight="1">
      <c r="A2410" s="37" t="s">
        <v>5049</v>
      </c>
      <c r="B2410" s="35" t="s">
        <v>5050</v>
      </c>
      <c r="C2410" s="35">
        <v>914.0</v>
      </c>
      <c r="D2410" s="35">
        <v>836.0</v>
      </c>
      <c r="E2410" s="35">
        <v>23650.0</v>
      </c>
      <c r="F2410" s="35" t="s">
        <v>11</v>
      </c>
    </row>
    <row r="2411" ht="22.5" customHeight="1">
      <c r="A2411" s="37" t="s">
        <v>5051</v>
      </c>
      <c r="B2411" s="35" t="s">
        <v>5052</v>
      </c>
      <c r="C2411" s="35">
        <v>239.0</v>
      </c>
      <c r="D2411" s="35">
        <v>241.0</v>
      </c>
      <c r="E2411" s="35">
        <v>19520.0</v>
      </c>
      <c r="F2411" s="35" t="s">
        <v>11</v>
      </c>
    </row>
    <row r="2412" ht="22.5" customHeight="1">
      <c r="A2412" s="37" t="s">
        <v>5053</v>
      </c>
      <c r="B2412" s="35" t="s">
        <v>5054</v>
      </c>
      <c r="C2412" s="35">
        <v>1616.0</v>
      </c>
      <c r="D2412" s="35">
        <v>1594.0</v>
      </c>
      <c r="E2412" s="35">
        <v>23500.0</v>
      </c>
      <c r="F2412" s="35" t="s">
        <v>11</v>
      </c>
    </row>
    <row r="2413" ht="22.5" customHeight="1">
      <c r="A2413" s="37" t="s">
        <v>5055</v>
      </c>
      <c r="B2413" s="35" t="s">
        <v>5056</v>
      </c>
      <c r="C2413" s="35">
        <v>280.0</v>
      </c>
      <c r="D2413" s="35">
        <v>237.0</v>
      </c>
      <c r="E2413" s="35">
        <v>23980.0</v>
      </c>
      <c r="F2413" s="35" t="s">
        <v>11</v>
      </c>
    </row>
    <row r="2414" ht="22.5" customHeight="1">
      <c r="A2414" s="37" t="s">
        <v>5057</v>
      </c>
      <c r="B2414" s="35" t="s">
        <v>5058</v>
      </c>
      <c r="C2414" s="35">
        <v>3640.0</v>
      </c>
      <c r="D2414" s="35">
        <v>3737.0</v>
      </c>
      <c r="E2414" s="35">
        <v>24080.0</v>
      </c>
      <c r="F2414" s="35">
        <v>14.0</v>
      </c>
    </row>
    <row r="2415" ht="22.5" customHeight="1">
      <c r="A2415" s="37" t="s">
        <v>5059</v>
      </c>
      <c r="B2415" s="35" t="s">
        <v>5060</v>
      </c>
      <c r="C2415" s="35">
        <v>546.0</v>
      </c>
      <c r="D2415" s="35">
        <v>491.0</v>
      </c>
      <c r="E2415" s="35">
        <v>26220.0</v>
      </c>
      <c r="F2415" s="35" t="s">
        <v>11</v>
      </c>
    </row>
    <row r="2416" ht="22.5" customHeight="1">
      <c r="A2416" s="37" t="s">
        <v>5061</v>
      </c>
      <c r="B2416" s="35" t="s">
        <v>5062</v>
      </c>
      <c r="C2416" s="35">
        <v>250.0</v>
      </c>
      <c r="D2416" s="35">
        <v>238.0</v>
      </c>
      <c r="E2416" s="35">
        <v>25920.0</v>
      </c>
      <c r="F2416" s="35" t="s">
        <v>11</v>
      </c>
    </row>
    <row r="2417" ht="22.5" customHeight="1">
      <c r="A2417" s="37" t="s">
        <v>5063</v>
      </c>
      <c r="B2417" s="35" t="s">
        <v>5064</v>
      </c>
      <c r="C2417" s="35">
        <v>2738.0</v>
      </c>
      <c r="D2417" s="35">
        <v>2619.0</v>
      </c>
      <c r="E2417" s="35">
        <v>23250.0</v>
      </c>
      <c r="F2417" s="35">
        <v>18.0</v>
      </c>
    </row>
    <row r="2418" ht="22.5" customHeight="1">
      <c r="A2418" s="37" t="s">
        <v>5065</v>
      </c>
      <c r="B2418" s="35" t="s">
        <v>5066</v>
      </c>
      <c r="C2418" s="35">
        <v>76.0</v>
      </c>
      <c r="D2418" s="35">
        <v>71.0</v>
      </c>
      <c r="E2418" s="35" t="s">
        <v>11</v>
      </c>
      <c r="F2418" s="35" t="s">
        <v>11</v>
      </c>
    </row>
    <row r="2419" ht="22.5" customHeight="1">
      <c r="A2419" s="37" t="s">
        <v>5067</v>
      </c>
      <c r="B2419" s="35" t="s">
        <v>5068</v>
      </c>
      <c r="C2419" s="35">
        <v>233.0</v>
      </c>
      <c r="D2419" s="35">
        <v>230.0</v>
      </c>
      <c r="E2419" s="35">
        <v>22820.0</v>
      </c>
      <c r="F2419" s="35" t="s">
        <v>11</v>
      </c>
    </row>
    <row r="2420" ht="22.5" customHeight="1">
      <c r="A2420" s="37" t="s">
        <v>5069</v>
      </c>
      <c r="B2420" s="35" t="s">
        <v>5070</v>
      </c>
      <c r="C2420" s="35">
        <v>234.0</v>
      </c>
      <c r="D2420" s="35">
        <v>221.0</v>
      </c>
      <c r="E2420" s="35">
        <v>22220.0</v>
      </c>
      <c r="F2420" s="35" t="s">
        <v>11</v>
      </c>
    </row>
    <row r="2421" ht="22.5" customHeight="1">
      <c r="A2421" s="37" t="s">
        <v>5071</v>
      </c>
      <c r="B2421" s="35" t="s">
        <v>5072</v>
      </c>
      <c r="C2421" s="35">
        <v>325.0</v>
      </c>
      <c r="D2421" s="35">
        <v>338.0</v>
      </c>
      <c r="E2421" s="35">
        <v>22540.0</v>
      </c>
      <c r="F2421" s="35" t="s">
        <v>11</v>
      </c>
    </row>
    <row r="2422" ht="22.5" customHeight="1">
      <c r="A2422" s="37" t="s">
        <v>5073</v>
      </c>
      <c r="B2422" s="35" t="s">
        <v>5074</v>
      </c>
      <c r="C2422" s="35">
        <v>399.0</v>
      </c>
      <c r="D2422" s="35">
        <v>396.0</v>
      </c>
      <c r="E2422" s="35">
        <v>26070.0</v>
      </c>
      <c r="F2422" s="35" t="s">
        <v>11</v>
      </c>
    </row>
    <row r="2423" ht="22.5" customHeight="1">
      <c r="A2423" s="37" t="s">
        <v>5075</v>
      </c>
      <c r="B2423" s="35" t="s">
        <v>5076</v>
      </c>
      <c r="C2423" s="35">
        <v>228.0</v>
      </c>
      <c r="D2423" s="35">
        <v>223.0</v>
      </c>
      <c r="E2423" s="35">
        <v>30240.0</v>
      </c>
      <c r="F2423" s="35" t="s">
        <v>11</v>
      </c>
    </row>
    <row r="2424" ht="22.5" customHeight="1">
      <c r="A2424" s="37" t="s">
        <v>5077</v>
      </c>
      <c r="B2424" s="35" t="s">
        <v>5078</v>
      </c>
      <c r="C2424" s="35">
        <v>479.0</v>
      </c>
      <c r="D2424" s="35">
        <v>461.0</v>
      </c>
      <c r="E2424" s="35">
        <v>24430.0</v>
      </c>
      <c r="F2424" s="35" t="s">
        <v>11</v>
      </c>
    </row>
    <row r="2425" ht="22.5" customHeight="1">
      <c r="A2425" s="37" t="s">
        <v>5079</v>
      </c>
      <c r="B2425" s="35" t="s">
        <v>5080</v>
      </c>
      <c r="C2425" s="35">
        <v>1629.0</v>
      </c>
      <c r="D2425" s="35">
        <v>1594.0</v>
      </c>
      <c r="E2425" s="35">
        <v>24650.0</v>
      </c>
      <c r="F2425" s="35" t="s">
        <v>11</v>
      </c>
    </row>
    <row r="2426" ht="22.5" customHeight="1">
      <c r="A2426" s="37" t="s">
        <v>5081</v>
      </c>
      <c r="B2426" s="35" t="s">
        <v>5082</v>
      </c>
      <c r="C2426" s="35">
        <v>1725.0</v>
      </c>
      <c r="D2426" s="35">
        <v>1753.0</v>
      </c>
      <c r="E2426" s="35">
        <v>25860.0</v>
      </c>
      <c r="F2426" s="35" t="s">
        <v>11</v>
      </c>
    </row>
    <row r="2427" ht="22.5" customHeight="1">
      <c r="A2427" s="37" t="s">
        <v>5083</v>
      </c>
      <c r="B2427" s="35" t="s">
        <v>5084</v>
      </c>
      <c r="C2427" s="35">
        <v>2044.0</v>
      </c>
      <c r="D2427" s="35">
        <v>1979.0</v>
      </c>
      <c r="E2427" s="35">
        <v>25600.0</v>
      </c>
      <c r="F2427" s="35" t="s">
        <v>11</v>
      </c>
    </row>
    <row r="2428" ht="22.5" customHeight="1">
      <c r="A2428" s="37" t="s">
        <v>5085</v>
      </c>
      <c r="B2428" s="35" t="s">
        <v>5086</v>
      </c>
      <c r="C2428" s="35">
        <v>290.0</v>
      </c>
      <c r="D2428" s="35">
        <v>304.0</v>
      </c>
      <c r="E2428" s="35">
        <v>26000.0</v>
      </c>
      <c r="F2428" s="35" t="s">
        <v>11</v>
      </c>
    </row>
    <row r="2429" ht="22.5" customHeight="1">
      <c r="A2429" s="37" t="s">
        <v>5087</v>
      </c>
      <c r="B2429" s="35" t="s">
        <v>5088</v>
      </c>
      <c r="C2429" s="35">
        <v>951.0</v>
      </c>
      <c r="D2429" s="35">
        <v>913.0</v>
      </c>
      <c r="E2429" s="35">
        <v>20710.0</v>
      </c>
      <c r="F2429" s="35" t="s">
        <v>11</v>
      </c>
    </row>
    <row r="2430" ht="22.5" customHeight="1">
      <c r="A2430" s="37" t="s">
        <v>5089</v>
      </c>
      <c r="B2430" s="35" t="s">
        <v>5090</v>
      </c>
      <c r="C2430" s="35">
        <v>373.0</v>
      </c>
      <c r="D2430" s="35">
        <v>354.0</v>
      </c>
      <c r="E2430" s="35">
        <v>28920.0</v>
      </c>
      <c r="F2430" s="35" t="s">
        <v>11</v>
      </c>
    </row>
    <row r="2431" ht="22.5" customHeight="1">
      <c r="A2431" s="37" t="s">
        <v>5091</v>
      </c>
      <c r="B2431" s="35" t="s">
        <v>5092</v>
      </c>
      <c r="C2431" s="35">
        <v>352.0</v>
      </c>
      <c r="D2431" s="35">
        <v>342.0</v>
      </c>
      <c r="E2431" s="35">
        <v>26460.0</v>
      </c>
      <c r="F2431" s="35" t="s">
        <v>11</v>
      </c>
    </row>
    <row r="2432" ht="22.5" customHeight="1">
      <c r="A2432" s="37" t="s">
        <v>5093</v>
      </c>
      <c r="B2432" s="35" t="s">
        <v>5094</v>
      </c>
      <c r="C2432" s="35">
        <v>172.0</v>
      </c>
      <c r="D2432" s="35">
        <v>224.0</v>
      </c>
      <c r="E2432" s="35">
        <v>22550.0</v>
      </c>
      <c r="F2432" s="35" t="s">
        <v>11</v>
      </c>
    </row>
    <row r="2433" ht="22.5" customHeight="1">
      <c r="A2433" s="37" t="s">
        <v>5095</v>
      </c>
      <c r="B2433" s="35" t="s">
        <v>5096</v>
      </c>
      <c r="C2433" s="35">
        <v>450.0</v>
      </c>
      <c r="D2433" s="35">
        <v>476.0</v>
      </c>
      <c r="E2433" s="35">
        <v>25840.0</v>
      </c>
      <c r="F2433" s="35" t="s">
        <v>11</v>
      </c>
    </row>
    <row r="2434" ht="22.5" customHeight="1">
      <c r="A2434" s="37" t="s">
        <v>5097</v>
      </c>
      <c r="B2434" s="35" t="s">
        <v>5098</v>
      </c>
      <c r="C2434" s="35">
        <v>10865.0</v>
      </c>
      <c r="D2434" s="35">
        <v>10710.0</v>
      </c>
      <c r="E2434" s="35">
        <v>21560.0</v>
      </c>
      <c r="F2434" s="35">
        <v>21.0</v>
      </c>
    </row>
    <row r="2435" ht="22.5" customHeight="1">
      <c r="A2435" s="37" t="s">
        <v>5099</v>
      </c>
      <c r="B2435" s="35" t="s">
        <v>5100</v>
      </c>
      <c r="C2435" s="35">
        <v>258.0</v>
      </c>
      <c r="D2435" s="35">
        <v>252.0</v>
      </c>
      <c r="E2435" s="35">
        <v>28950.0</v>
      </c>
      <c r="F2435" s="35" t="s">
        <v>11</v>
      </c>
    </row>
    <row r="2436" ht="22.5" customHeight="1">
      <c r="A2436" s="37" t="s">
        <v>5101</v>
      </c>
      <c r="B2436" s="35" t="s">
        <v>5102</v>
      </c>
      <c r="C2436" s="35">
        <v>314.0</v>
      </c>
      <c r="D2436" s="35">
        <v>327.0</v>
      </c>
      <c r="E2436" s="35">
        <v>26820.0</v>
      </c>
      <c r="F2436" s="35" t="s">
        <v>11</v>
      </c>
    </row>
    <row r="2437" ht="22.5" customHeight="1">
      <c r="A2437" s="37" t="s">
        <v>5103</v>
      </c>
      <c r="B2437" s="35" t="s">
        <v>5104</v>
      </c>
      <c r="C2437" s="35">
        <v>4551.0</v>
      </c>
      <c r="D2437" s="35">
        <v>4628.0</v>
      </c>
      <c r="E2437" s="35">
        <v>22210.0</v>
      </c>
      <c r="F2437" s="35">
        <v>22.0</v>
      </c>
    </row>
    <row r="2438" ht="22.5" customHeight="1">
      <c r="A2438" s="37" t="s">
        <v>5105</v>
      </c>
      <c r="B2438" s="35" t="s">
        <v>5106</v>
      </c>
      <c r="C2438" s="35">
        <v>120.0</v>
      </c>
      <c r="D2438" s="35">
        <v>111.0</v>
      </c>
      <c r="E2438" s="35" t="s">
        <v>11</v>
      </c>
      <c r="F2438" s="35" t="s">
        <v>11</v>
      </c>
    </row>
    <row r="2439" ht="22.5" customHeight="1">
      <c r="A2439" s="37" t="s">
        <v>5107</v>
      </c>
      <c r="B2439" s="35" t="s">
        <v>5108</v>
      </c>
      <c r="C2439" s="35">
        <v>1181.0</v>
      </c>
      <c r="D2439" s="35">
        <v>1267.0</v>
      </c>
      <c r="E2439" s="35">
        <v>28320.0</v>
      </c>
      <c r="F2439" s="35" t="s">
        <v>11</v>
      </c>
    </row>
    <row r="2440" ht="22.5" customHeight="1">
      <c r="A2440" s="37" t="s">
        <v>5109</v>
      </c>
      <c r="B2440" s="35" t="s">
        <v>5110</v>
      </c>
      <c r="C2440" s="35">
        <v>557.0</v>
      </c>
      <c r="D2440" s="35">
        <v>629.0</v>
      </c>
      <c r="E2440" s="35">
        <v>28020.0</v>
      </c>
      <c r="F2440" s="35" t="s">
        <v>11</v>
      </c>
    </row>
    <row r="2441" ht="22.5" customHeight="1">
      <c r="A2441" s="37" t="s">
        <v>5111</v>
      </c>
      <c r="B2441" s="35" t="s">
        <v>5112</v>
      </c>
      <c r="C2441" s="35">
        <v>984.0</v>
      </c>
      <c r="D2441" s="35">
        <v>932.0</v>
      </c>
      <c r="E2441" s="35">
        <v>19280.0</v>
      </c>
      <c r="F2441" s="35" t="s">
        <v>11</v>
      </c>
    </row>
    <row r="2442" ht="22.5" customHeight="1">
      <c r="A2442" s="37" t="s">
        <v>5113</v>
      </c>
      <c r="B2442" s="35" t="s">
        <v>5114</v>
      </c>
      <c r="C2442" s="35">
        <v>237.0</v>
      </c>
      <c r="D2442" s="35">
        <v>228.0</v>
      </c>
      <c r="E2442" s="35">
        <v>26000.0</v>
      </c>
      <c r="F2442" s="35" t="s">
        <v>11</v>
      </c>
    </row>
    <row r="2443" ht="22.5" customHeight="1">
      <c r="A2443" s="37" t="s">
        <v>5115</v>
      </c>
      <c r="B2443" s="35" t="s">
        <v>5116</v>
      </c>
      <c r="C2443" s="35">
        <v>600.0</v>
      </c>
      <c r="D2443" s="35">
        <v>604.0</v>
      </c>
      <c r="E2443" s="35">
        <v>23670.0</v>
      </c>
      <c r="F2443" s="35" t="s">
        <v>11</v>
      </c>
    </row>
    <row r="2444" ht="22.5" customHeight="1">
      <c r="A2444" s="37" t="s">
        <v>5117</v>
      </c>
      <c r="B2444" s="35" t="s">
        <v>5118</v>
      </c>
      <c r="C2444" s="35">
        <v>912.0</v>
      </c>
      <c r="D2444" s="35">
        <v>861.0</v>
      </c>
      <c r="E2444" s="35">
        <v>23270.0</v>
      </c>
      <c r="F2444" s="35" t="s">
        <v>11</v>
      </c>
    </row>
    <row r="2445" ht="22.5" customHeight="1">
      <c r="A2445" s="37" t="s">
        <v>5119</v>
      </c>
      <c r="B2445" s="35" t="s">
        <v>5120</v>
      </c>
      <c r="C2445" s="35">
        <v>1802.0</v>
      </c>
      <c r="D2445" s="35">
        <v>1770.0</v>
      </c>
      <c r="E2445" s="35">
        <v>22810.0</v>
      </c>
      <c r="F2445" s="35" t="s">
        <v>11</v>
      </c>
    </row>
    <row r="2446" ht="22.5" customHeight="1">
      <c r="A2446" s="37" t="s">
        <v>5121</v>
      </c>
      <c r="B2446" s="35" t="s">
        <v>5122</v>
      </c>
      <c r="C2446" s="35">
        <v>1313.0</v>
      </c>
      <c r="D2446" s="35">
        <v>1242.0</v>
      </c>
      <c r="E2446" s="35">
        <v>29620.0</v>
      </c>
      <c r="F2446" s="35" t="s">
        <v>11</v>
      </c>
    </row>
    <row r="2447" ht="22.5" customHeight="1">
      <c r="A2447" s="37" t="s">
        <v>5123</v>
      </c>
      <c r="B2447" s="35" t="s">
        <v>5124</v>
      </c>
      <c r="C2447" s="35">
        <v>1028.0</v>
      </c>
      <c r="D2447" s="35">
        <v>991.0</v>
      </c>
      <c r="E2447" s="35">
        <v>25730.0</v>
      </c>
      <c r="F2447" s="35" t="s">
        <v>11</v>
      </c>
    </row>
    <row r="2448" ht="22.5" customHeight="1">
      <c r="A2448" s="37" t="s">
        <v>5125</v>
      </c>
      <c r="B2448" s="35" t="s">
        <v>5126</v>
      </c>
      <c r="C2448" s="35">
        <v>523.0</v>
      </c>
      <c r="D2448" s="35">
        <v>496.0</v>
      </c>
      <c r="E2448" s="35">
        <v>28530.0</v>
      </c>
      <c r="F2448" s="35" t="s">
        <v>11</v>
      </c>
    </row>
    <row r="2449" ht="22.5" customHeight="1">
      <c r="A2449" s="37" t="s">
        <v>5127</v>
      </c>
      <c r="B2449" s="35" t="s">
        <v>5128</v>
      </c>
      <c r="C2449" s="35">
        <v>385.0</v>
      </c>
      <c r="D2449" s="35">
        <v>354.0</v>
      </c>
      <c r="E2449" s="35">
        <v>25290.0</v>
      </c>
      <c r="F2449" s="35" t="s">
        <v>11</v>
      </c>
    </row>
    <row r="2450" ht="22.5" customHeight="1">
      <c r="A2450" s="37" t="s">
        <v>5129</v>
      </c>
      <c r="B2450" s="35" t="s">
        <v>5130</v>
      </c>
      <c r="C2450" s="35">
        <v>891.0</v>
      </c>
      <c r="D2450" s="35">
        <v>850.0</v>
      </c>
      <c r="E2450" s="35">
        <v>23890.0</v>
      </c>
      <c r="F2450" s="35" t="s">
        <v>11</v>
      </c>
    </row>
    <row r="2451" ht="22.5" customHeight="1">
      <c r="A2451" s="37" t="s">
        <v>5131</v>
      </c>
      <c r="B2451" s="35" t="s">
        <v>5132</v>
      </c>
      <c r="C2451" s="35">
        <v>509.0</v>
      </c>
      <c r="D2451" s="35">
        <v>510.0</v>
      </c>
      <c r="E2451" s="35">
        <v>23520.0</v>
      </c>
      <c r="F2451" s="35" t="s">
        <v>11</v>
      </c>
    </row>
    <row r="2452" ht="22.5" customHeight="1">
      <c r="A2452" s="37" t="s">
        <v>5133</v>
      </c>
      <c r="B2452" s="35" t="s">
        <v>5134</v>
      </c>
      <c r="C2452" s="35">
        <v>479.0</v>
      </c>
      <c r="D2452" s="35">
        <v>469.0</v>
      </c>
      <c r="E2452" s="35">
        <v>22860.0</v>
      </c>
      <c r="F2452" s="35" t="s">
        <v>11</v>
      </c>
    </row>
    <row r="2453" ht="22.5" customHeight="1">
      <c r="A2453" s="37" t="s">
        <v>5135</v>
      </c>
      <c r="B2453" s="35" t="s">
        <v>5136</v>
      </c>
      <c r="C2453" s="35">
        <v>225.0</v>
      </c>
      <c r="D2453" s="35">
        <v>227.0</v>
      </c>
      <c r="E2453" s="35">
        <v>24840.0</v>
      </c>
      <c r="F2453" s="35" t="s">
        <v>11</v>
      </c>
    </row>
    <row r="2454" ht="22.5" customHeight="1">
      <c r="A2454" s="37" t="s">
        <v>5137</v>
      </c>
      <c r="B2454" s="35" t="s">
        <v>5138</v>
      </c>
      <c r="C2454" s="35">
        <v>2732.0</v>
      </c>
      <c r="D2454" s="35">
        <v>2947.0</v>
      </c>
      <c r="E2454" s="35">
        <v>33840.0</v>
      </c>
      <c r="F2454" s="35">
        <v>5.0</v>
      </c>
    </row>
    <row r="2455" ht="22.5" customHeight="1">
      <c r="A2455" s="37" t="s">
        <v>5139</v>
      </c>
      <c r="B2455" s="35" t="s">
        <v>853</v>
      </c>
      <c r="C2455" s="35">
        <v>122.0</v>
      </c>
      <c r="D2455" s="35">
        <v>109.0</v>
      </c>
      <c r="E2455" s="35">
        <v>23520.0</v>
      </c>
      <c r="F2455" s="35" t="s">
        <v>11</v>
      </c>
    </row>
    <row r="2456" ht="22.5" customHeight="1">
      <c r="A2456" s="37" t="s">
        <v>5140</v>
      </c>
      <c r="B2456" s="35" t="s">
        <v>5141</v>
      </c>
      <c r="C2456" s="35">
        <v>898.0</v>
      </c>
      <c r="D2456" s="35">
        <v>877.0</v>
      </c>
      <c r="E2456" s="35">
        <v>24620.0</v>
      </c>
      <c r="F2456" s="35" t="s">
        <v>11</v>
      </c>
    </row>
    <row r="2457" ht="22.5" customHeight="1">
      <c r="A2457" s="37" t="s">
        <v>5142</v>
      </c>
      <c r="B2457" s="35" t="s">
        <v>5143</v>
      </c>
      <c r="C2457" s="35">
        <v>435.0</v>
      </c>
      <c r="D2457" s="35">
        <v>401.0</v>
      </c>
      <c r="E2457" s="35">
        <v>24780.0</v>
      </c>
      <c r="F2457" s="35" t="s">
        <v>11</v>
      </c>
    </row>
    <row r="2458" ht="22.5" customHeight="1">
      <c r="A2458" s="37" t="s">
        <v>5144</v>
      </c>
      <c r="B2458" s="35" t="s">
        <v>5145</v>
      </c>
      <c r="C2458" s="35">
        <v>100.0</v>
      </c>
      <c r="D2458" s="35">
        <v>97.0</v>
      </c>
      <c r="E2458" s="35" t="s">
        <v>11</v>
      </c>
      <c r="F2458" s="35" t="s">
        <v>11</v>
      </c>
    </row>
    <row r="2459" ht="22.5" customHeight="1">
      <c r="A2459" s="37" t="s">
        <v>5146</v>
      </c>
      <c r="B2459" s="35" t="s">
        <v>5147</v>
      </c>
      <c r="C2459" s="35">
        <v>278.0</v>
      </c>
      <c r="D2459" s="35">
        <v>273.0</v>
      </c>
      <c r="E2459" s="35">
        <v>28630.0</v>
      </c>
      <c r="F2459" s="35" t="s">
        <v>11</v>
      </c>
    </row>
    <row r="2460" ht="22.5" customHeight="1">
      <c r="A2460" s="37" t="s">
        <v>5148</v>
      </c>
      <c r="B2460" s="35" t="s">
        <v>5149</v>
      </c>
      <c r="C2460" s="35">
        <v>108.0</v>
      </c>
      <c r="D2460" s="35">
        <v>105.0</v>
      </c>
      <c r="E2460" s="35">
        <v>22790.0</v>
      </c>
      <c r="F2460" s="35" t="s">
        <v>11</v>
      </c>
    </row>
    <row r="2461" ht="22.5" customHeight="1">
      <c r="A2461" s="37" t="s">
        <v>5150</v>
      </c>
      <c r="B2461" s="35" t="s">
        <v>5151</v>
      </c>
      <c r="C2461" s="35">
        <v>102.0</v>
      </c>
      <c r="D2461" s="35">
        <v>92.0</v>
      </c>
      <c r="E2461" s="35" t="s">
        <v>11</v>
      </c>
      <c r="F2461" s="35" t="s">
        <v>11</v>
      </c>
    </row>
    <row r="2462" ht="22.5" customHeight="1">
      <c r="A2462" s="37" t="s">
        <v>5152</v>
      </c>
      <c r="B2462" s="35" t="s">
        <v>5153</v>
      </c>
      <c r="C2462" s="35">
        <v>211.0</v>
      </c>
      <c r="D2462" s="35">
        <v>212.0</v>
      </c>
      <c r="E2462" s="35">
        <v>23520.0</v>
      </c>
      <c r="F2462" s="35" t="s">
        <v>11</v>
      </c>
    </row>
    <row r="2463" ht="22.5" customHeight="1">
      <c r="A2463" s="37" t="s">
        <v>5154</v>
      </c>
      <c r="B2463" s="35" t="s">
        <v>5155</v>
      </c>
      <c r="C2463" s="35">
        <v>136.0</v>
      </c>
      <c r="D2463" s="35">
        <v>119.0</v>
      </c>
      <c r="E2463" s="35">
        <v>22540.0</v>
      </c>
      <c r="F2463" s="35" t="s">
        <v>11</v>
      </c>
    </row>
    <row r="2464" ht="22.5" customHeight="1">
      <c r="A2464" s="37" t="s">
        <v>5156</v>
      </c>
      <c r="B2464" s="35" t="s">
        <v>5157</v>
      </c>
      <c r="C2464" s="35">
        <v>160.0</v>
      </c>
      <c r="D2464" s="35">
        <v>148.0</v>
      </c>
      <c r="E2464" s="35">
        <v>27370.0</v>
      </c>
      <c r="F2464" s="35" t="s">
        <v>11</v>
      </c>
    </row>
    <row r="2465" ht="22.5" customHeight="1">
      <c r="A2465" s="37" t="s">
        <v>5158</v>
      </c>
      <c r="B2465" s="35" t="s">
        <v>5159</v>
      </c>
      <c r="C2465" s="35">
        <v>1570.0</v>
      </c>
      <c r="D2465" s="35">
        <v>1632.0</v>
      </c>
      <c r="E2465" s="35">
        <v>25130.0</v>
      </c>
      <c r="F2465" s="35" t="s">
        <v>11</v>
      </c>
    </row>
    <row r="2466" ht="22.5" customHeight="1">
      <c r="A2466" s="37" t="s">
        <v>5160</v>
      </c>
      <c r="B2466" s="35" t="s">
        <v>5161</v>
      </c>
      <c r="C2466" s="35">
        <v>1060.0</v>
      </c>
      <c r="D2466" s="35">
        <v>1108.0</v>
      </c>
      <c r="E2466" s="35">
        <v>28510.0</v>
      </c>
      <c r="F2466" s="35" t="s">
        <v>11</v>
      </c>
    </row>
    <row r="2467" ht="22.5" customHeight="1">
      <c r="A2467" s="37" t="s">
        <v>5162</v>
      </c>
      <c r="B2467" s="35" t="s">
        <v>5163</v>
      </c>
      <c r="C2467" s="35">
        <v>6362.0</v>
      </c>
      <c r="D2467" s="35">
        <v>6087.0</v>
      </c>
      <c r="E2467" s="35">
        <v>20180.0</v>
      </c>
      <c r="F2467" s="35">
        <v>25.0</v>
      </c>
    </row>
    <row r="2468" ht="22.5" customHeight="1">
      <c r="A2468" s="37" t="s">
        <v>5164</v>
      </c>
      <c r="B2468" s="35" t="s">
        <v>5165</v>
      </c>
      <c r="C2468" s="35">
        <v>105.0</v>
      </c>
      <c r="D2468" s="35">
        <v>116.0</v>
      </c>
      <c r="E2468" s="35">
        <v>28790.0</v>
      </c>
      <c r="F2468" s="35" t="s">
        <v>11</v>
      </c>
    </row>
    <row r="2469" ht="22.5" customHeight="1">
      <c r="A2469" s="37" t="s">
        <v>5166</v>
      </c>
      <c r="B2469" s="35" t="s">
        <v>5167</v>
      </c>
      <c r="C2469" s="35">
        <v>244.0</v>
      </c>
      <c r="D2469" s="35">
        <v>239.0</v>
      </c>
      <c r="E2469" s="35">
        <v>24460.0</v>
      </c>
      <c r="F2469" s="35" t="s">
        <v>11</v>
      </c>
    </row>
    <row r="2470" ht="22.5" customHeight="1">
      <c r="A2470" s="37" t="s">
        <v>5168</v>
      </c>
      <c r="B2470" s="35" t="s">
        <v>5169</v>
      </c>
      <c r="C2470" s="35">
        <v>843.0</v>
      </c>
      <c r="D2470" s="35">
        <v>893.0</v>
      </c>
      <c r="E2470" s="35">
        <v>25100.0</v>
      </c>
      <c r="F2470" s="35" t="s">
        <v>11</v>
      </c>
    </row>
    <row r="2471" ht="22.5" customHeight="1">
      <c r="A2471" s="37" t="s">
        <v>5170</v>
      </c>
      <c r="B2471" s="35" t="s">
        <v>5171</v>
      </c>
      <c r="C2471" s="35">
        <v>572.0</v>
      </c>
      <c r="D2471" s="35">
        <v>604.0</v>
      </c>
      <c r="E2471" s="35">
        <v>28000.0</v>
      </c>
      <c r="F2471" s="35" t="s">
        <v>11</v>
      </c>
    </row>
    <row r="2472" ht="22.5" customHeight="1">
      <c r="A2472" s="37" t="s">
        <v>5172</v>
      </c>
      <c r="B2472" s="35" t="s">
        <v>5173</v>
      </c>
      <c r="C2472" s="35">
        <v>772.0</v>
      </c>
      <c r="D2472" s="35">
        <v>791.0</v>
      </c>
      <c r="E2472" s="35">
        <v>26790.0</v>
      </c>
      <c r="F2472" s="35" t="s">
        <v>11</v>
      </c>
    </row>
    <row r="2473" ht="22.5" customHeight="1">
      <c r="A2473" s="37" t="s">
        <v>5174</v>
      </c>
      <c r="B2473" s="35" t="s">
        <v>5175</v>
      </c>
      <c r="C2473" s="35">
        <v>69.0</v>
      </c>
      <c r="D2473" s="35">
        <v>62.0</v>
      </c>
      <c r="E2473" s="35" t="s">
        <v>11</v>
      </c>
      <c r="F2473" s="35" t="s">
        <v>11</v>
      </c>
    </row>
    <row r="2474" ht="22.5" customHeight="1">
      <c r="A2474" s="37" t="s">
        <v>5176</v>
      </c>
      <c r="B2474" s="35" t="s">
        <v>5177</v>
      </c>
      <c r="C2474" s="35">
        <v>214.0</v>
      </c>
      <c r="D2474" s="35">
        <v>233.0</v>
      </c>
      <c r="E2474" s="35">
        <v>27990.0</v>
      </c>
      <c r="F2474" s="35" t="s">
        <v>11</v>
      </c>
    </row>
    <row r="2475" ht="22.5" customHeight="1">
      <c r="A2475" s="37" t="s">
        <v>5178</v>
      </c>
      <c r="B2475" s="35" t="s">
        <v>5179</v>
      </c>
      <c r="C2475" s="35">
        <v>575.0</v>
      </c>
      <c r="D2475" s="35">
        <v>579.0</v>
      </c>
      <c r="E2475" s="35">
        <v>23940.0</v>
      </c>
      <c r="F2475" s="35" t="s">
        <v>11</v>
      </c>
    </row>
    <row r="2476" ht="22.5" customHeight="1">
      <c r="A2476" s="37" t="s">
        <v>5180</v>
      </c>
      <c r="B2476" s="35" t="s">
        <v>5181</v>
      </c>
      <c r="C2476" s="35">
        <v>1322.0</v>
      </c>
      <c r="D2476" s="35">
        <v>1403.0</v>
      </c>
      <c r="E2476" s="35">
        <v>28250.0</v>
      </c>
      <c r="F2476" s="35" t="s">
        <v>11</v>
      </c>
    </row>
    <row r="2477" ht="22.5" customHeight="1">
      <c r="A2477" s="37" t="s">
        <v>5182</v>
      </c>
      <c r="B2477" s="35" t="s">
        <v>5183</v>
      </c>
      <c r="C2477" s="35">
        <v>3570.0</v>
      </c>
      <c r="D2477" s="35">
        <v>3259.0</v>
      </c>
      <c r="E2477" s="35">
        <v>18410.0</v>
      </c>
      <c r="F2477" s="35">
        <v>36.0</v>
      </c>
    </row>
    <row r="2478" ht="22.5" customHeight="1">
      <c r="A2478" s="37" t="s">
        <v>5184</v>
      </c>
      <c r="B2478" s="35" t="s">
        <v>5185</v>
      </c>
      <c r="C2478" s="35">
        <v>239.0</v>
      </c>
      <c r="D2478" s="35">
        <v>239.0</v>
      </c>
      <c r="E2478" s="35">
        <v>23930.0</v>
      </c>
      <c r="F2478" s="35" t="s">
        <v>11</v>
      </c>
    </row>
    <row r="2479" ht="22.5" customHeight="1">
      <c r="A2479" s="37" t="s">
        <v>5186</v>
      </c>
      <c r="B2479" s="35" t="s">
        <v>5187</v>
      </c>
      <c r="C2479" s="35">
        <v>380.0</v>
      </c>
      <c r="D2479" s="35">
        <v>400.0</v>
      </c>
      <c r="E2479" s="35">
        <v>27510.0</v>
      </c>
      <c r="F2479" s="35" t="s">
        <v>11</v>
      </c>
    </row>
    <row r="2480" ht="22.5" customHeight="1">
      <c r="A2480" s="37" t="s">
        <v>5188</v>
      </c>
      <c r="B2480" s="35" t="s">
        <v>5189</v>
      </c>
      <c r="C2480" s="35">
        <v>2371.0</v>
      </c>
      <c r="D2480" s="35">
        <v>2362.0</v>
      </c>
      <c r="E2480" s="35">
        <v>20450.0</v>
      </c>
      <c r="F2480" s="35">
        <v>26.0</v>
      </c>
    </row>
    <row r="2481" ht="22.5" customHeight="1">
      <c r="A2481" s="37" t="s">
        <v>5190</v>
      </c>
      <c r="B2481" s="35" t="s">
        <v>5191</v>
      </c>
      <c r="C2481" s="35">
        <v>199.0</v>
      </c>
      <c r="D2481" s="35">
        <v>208.0</v>
      </c>
      <c r="E2481" s="35">
        <v>21410.0</v>
      </c>
      <c r="F2481" s="35" t="s">
        <v>11</v>
      </c>
    </row>
    <row r="2482" ht="22.5" customHeight="1">
      <c r="A2482" s="37" t="s">
        <v>5192</v>
      </c>
      <c r="B2482" s="35" t="s">
        <v>5193</v>
      </c>
      <c r="C2482" s="35">
        <v>321.0</v>
      </c>
      <c r="D2482" s="35">
        <v>296.0</v>
      </c>
      <c r="E2482" s="35">
        <v>26200.0</v>
      </c>
      <c r="F2482" s="35" t="s">
        <v>11</v>
      </c>
    </row>
    <row r="2483" ht="22.5" customHeight="1">
      <c r="A2483" s="37" t="s">
        <v>5194</v>
      </c>
      <c r="B2483" s="35" t="s">
        <v>5195</v>
      </c>
      <c r="C2483" s="35">
        <v>838.0</v>
      </c>
      <c r="D2483" s="35">
        <v>774.0</v>
      </c>
      <c r="E2483" s="35">
        <v>24120.0</v>
      </c>
      <c r="F2483" s="35" t="s">
        <v>11</v>
      </c>
    </row>
    <row r="2484" ht="22.5" customHeight="1">
      <c r="A2484" s="37" t="s">
        <v>5196</v>
      </c>
      <c r="B2484" s="35" t="s">
        <v>5197</v>
      </c>
      <c r="C2484" s="35">
        <v>199.0</v>
      </c>
      <c r="D2484" s="35">
        <v>215.0</v>
      </c>
      <c r="E2484" s="35">
        <v>21570.0</v>
      </c>
      <c r="F2484" s="35" t="s">
        <v>11</v>
      </c>
    </row>
    <row r="2485" ht="22.5" customHeight="1">
      <c r="A2485" s="37" t="s">
        <v>5198</v>
      </c>
      <c r="B2485" s="35" t="s">
        <v>5199</v>
      </c>
      <c r="C2485" s="35">
        <v>627.0</v>
      </c>
      <c r="D2485" s="35">
        <v>768.0</v>
      </c>
      <c r="E2485" s="35">
        <v>28580.0</v>
      </c>
      <c r="F2485" s="35" t="s">
        <v>11</v>
      </c>
    </row>
    <row r="2486" ht="22.5" customHeight="1">
      <c r="A2486" s="37" t="s">
        <v>5200</v>
      </c>
      <c r="B2486" s="35" t="s">
        <v>5201</v>
      </c>
      <c r="C2486" s="35">
        <v>128.0</v>
      </c>
      <c r="D2486" s="35">
        <v>122.0</v>
      </c>
      <c r="E2486" s="35">
        <v>23630.0</v>
      </c>
      <c r="F2486" s="35" t="s">
        <v>11</v>
      </c>
    </row>
    <row r="2487" ht="22.5" customHeight="1">
      <c r="A2487" s="37" t="s">
        <v>5202</v>
      </c>
      <c r="B2487" s="35" t="s">
        <v>5203</v>
      </c>
      <c r="C2487" s="35">
        <v>1947.0</v>
      </c>
      <c r="D2487" s="35">
        <v>2072.0</v>
      </c>
      <c r="E2487" s="35">
        <v>28860.0</v>
      </c>
      <c r="F2487" s="35">
        <v>8.0</v>
      </c>
    </row>
    <row r="2488" ht="22.5" customHeight="1">
      <c r="A2488" s="37" t="s">
        <v>5204</v>
      </c>
      <c r="B2488" s="35" t="s">
        <v>5205</v>
      </c>
      <c r="C2488" s="35">
        <v>150.0</v>
      </c>
      <c r="D2488" s="35">
        <v>155.0</v>
      </c>
      <c r="E2488" s="35">
        <v>26450.0</v>
      </c>
      <c r="F2488" s="35" t="s">
        <v>11</v>
      </c>
    </row>
    <row r="2489" ht="22.5" customHeight="1">
      <c r="A2489" s="37" t="s">
        <v>5206</v>
      </c>
      <c r="B2489" s="35" t="s">
        <v>5207</v>
      </c>
      <c r="C2489" s="35">
        <v>1012.0</v>
      </c>
      <c r="D2489" s="35">
        <v>982.0</v>
      </c>
      <c r="E2489" s="35">
        <v>26300.0</v>
      </c>
      <c r="F2489" s="35" t="s">
        <v>11</v>
      </c>
    </row>
    <row r="2490" ht="22.5" customHeight="1">
      <c r="A2490" s="37" t="s">
        <v>5208</v>
      </c>
      <c r="B2490" s="35" t="s">
        <v>5209</v>
      </c>
      <c r="C2490" s="35">
        <v>156.0</v>
      </c>
      <c r="D2490" s="35">
        <v>151.0</v>
      </c>
      <c r="E2490" s="35">
        <v>24100.0</v>
      </c>
      <c r="F2490" s="35" t="s">
        <v>11</v>
      </c>
    </row>
    <row r="2491" ht="22.5" customHeight="1">
      <c r="A2491" s="37" t="s">
        <v>5210</v>
      </c>
      <c r="B2491" s="35" t="s">
        <v>5211</v>
      </c>
      <c r="C2491" s="35">
        <v>96.0</v>
      </c>
      <c r="D2491" s="35">
        <v>86.0</v>
      </c>
      <c r="E2491" s="35">
        <v>22880.0</v>
      </c>
      <c r="F2491" s="35" t="s">
        <v>11</v>
      </c>
    </row>
    <row r="2492" ht="22.5" customHeight="1">
      <c r="A2492" s="37" t="s">
        <v>5212</v>
      </c>
      <c r="B2492" s="35" t="s">
        <v>5213</v>
      </c>
      <c r="C2492" s="35">
        <v>2536.0</v>
      </c>
      <c r="D2492" s="35">
        <v>2525.0</v>
      </c>
      <c r="E2492" s="35">
        <v>28460.0</v>
      </c>
      <c r="F2492" s="35">
        <v>9.0</v>
      </c>
    </row>
    <row r="2493" ht="22.5" customHeight="1">
      <c r="A2493" s="37" t="s">
        <v>5214</v>
      </c>
      <c r="B2493" s="35" t="s">
        <v>5215</v>
      </c>
      <c r="C2493" s="35">
        <v>951.0</v>
      </c>
      <c r="D2493" s="35">
        <v>941.0</v>
      </c>
      <c r="E2493" s="35">
        <v>21980.0</v>
      </c>
      <c r="F2493" s="35" t="s">
        <v>11</v>
      </c>
    </row>
    <row r="2494" ht="22.5" customHeight="1">
      <c r="A2494" s="37" t="s">
        <v>5216</v>
      </c>
      <c r="B2494" s="35" t="s">
        <v>5217</v>
      </c>
      <c r="C2494" s="35">
        <v>197.0</v>
      </c>
      <c r="D2494" s="35">
        <v>195.0</v>
      </c>
      <c r="E2494" s="35">
        <v>29070.0</v>
      </c>
      <c r="F2494" s="35" t="s">
        <v>11</v>
      </c>
    </row>
    <row r="2495" ht="22.5" customHeight="1">
      <c r="A2495" s="37" t="s">
        <v>5218</v>
      </c>
      <c r="B2495" s="35" t="s">
        <v>5219</v>
      </c>
      <c r="C2495" s="35">
        <v>330.0</v>
      </c>
      <c r="D2495" s="35">
        <v>327.0</v>
      </c>
      <c r="E2495" s="35">
        <v>26940.0</v>
      </c>
      <c r="F2495" s="35" t="s">
        <v>11</v>
      </c>
    </row>
    <row r="2496" ht="22.5" customHeight="1">
      <c r="A2496" s="37" t="s">
        <v>5220</v>
      </c>
      <c r="B2496" s="35" t="s">
        <v>5221</v>
      </c>
      <c r="C2496" s="35">
        <v>344.0</v>
      </c>
      <c r="D2496" s="35">
        <v>360.0</v>
      </c>
      <c r="E2496" s="35">
        <v>29480.0</v>
      </c>
      <c r="F2496" s="35" t="s">
        <v>11</v>
      </c>
    </row>
    <row r="2497" ht="22.5" customHeight="1">
      <c r="A2497" s="37" t="s">
        <v>5222</v>
      </c>
      <c r="B2497" s="35" t="s">
        <v>5223</v>
      </c>
      <c r="C2497" s="35">
        <v>133.0</v>
      </c>
      <c r="D2497" s="35">
        <v>127.0</v>
      </c>
      <c r="E2497" s="35">
        <v>26110.0</v>
      </c>
      <c r="F2497" s="35" t="s">
        <v>11</v>
      </c>
    </row>
    <row r="2498" ht="22.5" customHeight="1">
      <c r="A2498" s="37" t="s">
        <v>5224</v>
      </c>
      <c r="B2498" s="35" t="s">
        <v>5225</v>
      </c>
      <c r="C2498" s="35">
        <v>643.0</v>
      </c>
      <c r="D2498" s="35">
        <v>659.0</v>
      </c>
      <c r="E2498" s="35">
        <v>24730.0</v>
      </c>
      <c r="F2498" s="35" t="s">
        <v>11</v>
      </c>
    </row>
    <row r="2499" ht="22.5" customHeight="1">
      <c r="A2499" s="37" t="s">
        <v>5226</v>
      </c>
      <c r="B2499" s="35" t="s">
        <v>5227</v>
      </c>
      <c r="C2499" s="35">
        <v>1368.0</v>
      </c>
      <c r="D2499" s="35">
        <v>1391.0</v>
      </c>
      <c r="E2499" s="35">
        <v>28640.0</v>
      </c>
      <c r="F2499" s="35" t="s">
        <v>11</v>
      </c>
    </row>
    <row r="2500" ht="22.5" customHeight="1">
      <c r="A2500" s="37" t="s">
        <v>5228</v>
      </c>
      <c r="B2500" s="35" t="s">
        <v>5229</v>
      </c>
      <c r="C2500" s="35">
        <v>638.0</v>
      </c>
      <c r="D2500" s="35">
        <v>632.0</v>
      </c>
      <c r="E2500" s="35">
        <v>25730.0</v>
      </c>
      <c r="F2500" s="35" t="s">
        <v>11</v>
      </c>
    </row>
    <row r="2501" ht="22.5" customHeight="1">
      <c r="A2501" s="37" t="s">
        <v>5230</v>
      </c>
      <c r="B2501" s="35" t="s">
        <v>5231</v>
      </c>
      <c r="C2501" s="35">
        <v>410.0</v>
      </c>
      <c r="D2501" s="35">
        <v>383.0</v>
      </c>
      <c r="E2501" s="35">
        <v>25020.0</v>
      </c>
      <c r="F2501" s="35" t="s">
        <v>11</v>
      </c>
    </row>
    <row r="2502" ht="22.5" customHeight="1">
      <c r="A2502" s="37" t="s">
        <v>5232</v>
      </c>
      <c r="B2502" s="35" t="s">
        <v>5233</v>
      </c>
      <c r="C2502" s="35">
        <v>6932.0</v>
      </c>
      <c r="D2502" s="35">
        <v>6644.0</v>
      </c>
      <c r="E2502" s="35">
        <v>19200.0</v>
      </c>
      <c r="F2502" s="35">
        <v>31.0</v>
      </c>
    </row>
    <row r="2503" ht="22.5" customHeight="1">
      <c r="A2503" s="37" t="s">
        <v>5234</v>
      </c>
      <c r="B2503" s="35" t="s">
        <v>5235</v>
      </c>
      <c r="C2503" s="35">
        <v>365.0</v>
      </c>
      <c r="D2503" s="35">
        <v>353.0</v>
      </c>
      <c r="E2503" s="35">
        <v>26000.0</v>
      </c>
      <c r="F2503" s="35" t="s">
        <v>11</v>
      </c>
    </row>
    <row r="2504" ht="22.5" customHeight="1">
      <c r="A2504" s="37" t="s">
        <v>5236</v>
      </c>
      <c r="B2504" s="35" t="s">
        <v>5237</v>
      </c>
      <c r="C2504" s="35">
        <v>296.0</v>
      </c>
      <c r="D2504" s="35">
        <v>290.0</v>
      </c>
      <c r="E2504" s="35">
        <v>22540.0</v>
      </c>
      <c r="F2504" s="35" t="s">
        <v>11</v>
      </c>
    </row>
    <row r="2505" ht="22.5" customHeight="1">
      <c r="A2505" s="37" t="s">
        <v>5238</v>
      </c>
      <c r="B2505" s="35" t="s">
        <v>5239</v>
      </c>
      <c r="C2505" s="35">
        <v>30.0</v>
      </c>
      <c r="D2505" s="35">
        <v>32.0</v>
      </c>
      <c r="E2505" s="35" t="s">
        <v>11</v>
      </c>
      <c r="F2505" s="35" t="s">
        <v>11</v>
      </c>
    </row>
    <row r="2506" ht="22.5" customHeight="1">
      <c r="A2506" s="37" t="s">
        <v>5240</v>
      </c>
      <c r="B2506" s="35" t="s">
        <v>5241</v>
      </c>
      <c r="C2506" s="35">
        <v>1508.0</v>
      </c>
      <c r="D2506" s="35">
        <v>1470.0</v>
      </c>
      <c r="E2506" s="35">
        <v>28320.0</v>
      </c>
      <c r="F2506" s="35" t="s">
        <v>11</v>
      </c>
    </row>
    <row r="2507" ht="22.5" customHeight="1">
      <c r="A2507" s="37" t="s">
        <v>5242</v>
      </c>
      <c r="B2507" s="35" t="s">
        <v>5243</v>
      </c>
      <c r="C2507" s="35">
        <v>1425.0</v>
      </c>
      <c r="D2507" s="35">
        <v>1381.0</v>
      </c>
      <c r="E2507" s="35">
        <v>25250.0</v>
      </c>
      <c r="F2507" s="35" t="s">
        <v>11</v>
      </c>
    </row>
    <row r="2508" ht="22.5" customHeight="1">
      <c r="A2508" s="37" t="s">
        <v>5244</v>
      </c>
      <c r="B2508" s="35" t="s">
        <v>5245</v>
      </c>
      <c r="C2508" s="35">
        <v>336.0</v>
      </c>
      <c r="D2508" s="35">
        <v>408.0</v>
      </c>
      <c r="E2508" s="35">
        <v>28410.0</v>
      </c>
      <c r="F2508" s="35" t="s">
        <v>11</v>
      </c>
    </row>
    <row r="2509" ht="22.5" customHeight="1">
      <c r="A2509" s="37" t="s">
        <v>5246</v>
      </c>
      <c r="B2509" s="35" t="s">
        <v>5247</v>
      </c>
      <c r="C2509" s="35">
        <v>1092.0</v>
      </c>
      <c r="D2509" s="35">
        <v>1067.0</v>
      </c>
      <c r="E2509" s="35">
        <v>24550.0</v>
      </c>
      <c r="F2509" s="35" t="s">
        <v>11</v>
      </c>
    </row>
    <row r="2510" ht="22.5" customHeight="1">
      <c r="A2510" s="37" t="s">
        <v>5248</v>
      </c>
      <c r="B2510" s="35" t="s">
        <v>5249</v>
      </c>
      <c r="C2510" s="35">
        <v>139.0</v>
      </c>
      <c r="D2510" s="35">
        <v>149.0</v>
      </c>
      <c r="E2510" s="35">
        <v>22850.0</v>
      </c>
      <c r="F2510" s="35" t="s">
        <v>11</v>
      </c>
    </row>
    <row r="2511" ht="22.5" customHeight="1">
      <c r="A2511" s="37" t="s">
        <v>5250</v>
      </c>
      <c r="B2511" s="35" t="s">
        <v>5251</v>
      </c>
      <c r="C2511" s="35">
        <v>17.0</v>
      </c>
      <c r="D2511" s="35">
        <v>13.0</v>
      </c>
      <c r="E2511" s="35" t="s">
        <v>11</v>
      </c>
      <c r="F2511" s="35" t="s">
        <v>11</v>
      </c>
    </row>
    <row r="2512" ht="22.5" customHeight="1">
      <c r="A2512" s="37" t="s">
        <v>5252</v>
      </c>
      <c r="B2512" s="35" t="s">
        <v>5253</v>
      </c>
      <c r="C2512" s="35">
        <v>5626.0</v>
      </c>
      <c r="D2512" s="35">
        <v>5479.0</v>
      </c>
      <c r="E2512" s="35">
        <v>21570.0</v>
      </c>
      <c r="F2512" s="35">
        <v>21.0</v>
      </c>
    </row>
    <row r="2513" ht="22.5" customHeight="1">
      <c r="A2513" s="37" t="s">
        <v>5254</v>
      </c>
      <c r="B2513" s="35" t="s">
        <v>5255</v>
      </c>
      <c r="C2513" s="35">
        <v>270.0</v>
      </c>
      <c r="D2513" s="35">
        <v>275.0</v>
      </c>
      <c r="E2513" s="35">
        <v>26210.0</v>
      </c>
      <c r="F2513" s="35" t="s">
        <v>11</v>
      </c>
    </row>
    <row r="2514" ht="22.5" customHeight="1">
      <c r="A2514" s="37" t="s">
        <v>5256</v>
      </c>
      <c r="B2514" s="35" t="s">
        <v>5257</v>
      </c>
      <c r="C2514" s="35">
        <v>676.0</v>
      </c>
      <c r="D2514" s="35">
        <v>676.0</v>
      </c>
      <c r="E2514" s="35">
        <v>29730.0</v>
      </c>
      <c r="F2514" s="35" t="s">
        <v>11</v>
      </c>
    </row>
    <row r="2515" ht="22.5" customHeight="1">
      <c r="A2515" s="37" t="s">
        <v>5258</v>
      </c>
      <c r="B2515" s="35" t="s">
        <v>5259</v>
      </c>
      <c r="C2515" s="35">
        <v>4886.0</v>
      </c>
      <c r="D2515" s="35">
        <v>5064.0</v>
      </c>
      <c r="E2515" s="35">
        <v>20860.0</v>
      </c>
      <c r="F2515" s="35">
        <v>24.0</v>
      </c>
    </row>
    <row r="2516" ht="22.5" customHeight="1">
      <c r="A2516" s="37" t="s">
        <v>5260</v>
      </c>
      <c r="B2516" s="35" t="s">
        <v>5261</v>
      </c>
      <c r="C2516" s="35">
        <v>4337.0</v>
      </c>
      <c r="D2516" s="35">
        <v>4396.0</v>
      </c>
      <c r="E2516" s="35">
        <v>22760.0</v>
      </c>
      <c r="F2516" s="35">
        <v>18.0</v>
      </c>
    </row>
    <row r="2517" ht="22.5" customHeight="1">
      <c r="A2517" s="37" t="s">
        <v>5262</v>
      </c>
      <c r="B2517" s="35" t="s">
        <v>5263</v>
      </c>
      <c r="C2517" s="35">
        <v>325.0</v>
      </c>
      <c r="D2517" s="35">
        <v>308.0</v>
      </c>
      <c r="E2517" s="35">
        <v>26020.0</v>
      </c>
      <c r="F2517" s="35" t="s">
        <v>11</v>
      </c>
    </row>
    <row r="2518" ht="22.5" customHeight="1">
      <c r="A2518" s="37" t="s">
        <v>5264</v>
      </c>
      <c r="B2518" s="35" t="s">
        <v>5265</v>
      </c>
      <c r="C2518" s="35">
        <v>1195.0</v>
      </c>
      <c r="D2518" s="35">
        <v>1196.0</v>
      </c>
      <c r="E2518" s="35">
        <v>22950.0</v>
      </c>
      <c r="F2518" s="35" t="s">
        <v>11</v>
      </c>
    </row>
    <row r="2519" ht="22.5" customHeight="1">
      <c r="A2519" s="37" t="s">
        <v>5266</v>
      </c>
      <c r="B2519" s="35" t="s">
        <v>3704</v>
      </c>
      <c r="C2519" s="35">
        <v>217.0</v>
      </c>
      <c r="D2519" s="35">
        <v>201.0</v>
      </c>
      <c r="E2519" s="35">
        <v>25680.0</v>
      </c>
      <c r="F2519" s="35" t="s">
        <v>11</v>
      </c>
    </row>
    <row r="2520" ht="22.5" customHeight="1">
      <c r="A2520" s="37" t="s">
        <v>5267</v>
      </c>
      <c r="B2520" s="35" t="s">
        <v>5268</v>
      </c>
      <c r="C2520" s="35">
        <v>504.0</v>
      </c>
      <c r="D2520" s="35">
        <v>454.0</v>
      </c>
      <c r="E2520" s="35">
        <v>27580.0</v>
      </c>
      <c r="F2520" s="35" t="s">
        <v>11</v>
      </c>
    </row>
    <row r="2521" ht="22.5" customHeight="1">
      <c r="A2521" s="37" t="s">
        <v>5269</v>
      </c>
      <c r="B2521" s="35" t="s">
        <v>5270</v>
      </c>
      <c r="C2521" s="35">
        <v>255.0</v>
      </c>
      <c r="D2521" s="35">
        <v>260.0</v>
      </c>
      <c r="E2521" s="35">
        <v>28910.0</v>
      </c>
      <c r="F2521" s="35" t="s">
        <v>11</v>
      </c>
    </row>
    <row r="2522" ht="22.5" customHeight="1">
      <c r="A2522" s="37" t="s">
        <v>5271</v>
      </c>
      <c r="B2522" s="35" t="s">
        <v>5272</v>
      </c>
      <c r="C2522" s="35">
        <v>992.0</v>
      </c>
      <c r="D2522" s="35">
        <v>944.0</v>
      </c>
      <c r="E2522" s="35">
        <v>26450.0</v>
      </c>
      <c r="F2522" s="35" t="s">
        <v>11</v>
      </c>
    </row>
    <row r="2523" ht="22.5" customHeight="1">
      <c r="A2523" s="37" t="s">
        <v>5273</v>
      </c>
      <c r="B2523" s="35" t="s">
        <v>5274</v>
      </c>
      <c r="C2523" s="35">
        <v>1469.0</v>
      </c>
      <c r="D2523" s="35">
        <v>1439.0</v>
      </c>
      <c r="E2523" s="35">
        <v>26110.0</v>
      </c>
      <c r="F2523" s="35" t="s">
        <v>11</v>
      </c>
    </row>
    <row r="2524" ht="22.5" customHeight="1">
      <c r="A2524" s="37" t="s">
        <v>5275</v>
      </c>
      <c r="B2524" s="35" t="s">
        <v>5276</v>
      </c>
      <c r="C2524" s="35">
        <v>196.0</v>
      </c>
      <c r="D2524" s="35">
        <v>205.0</v>
      </c>
      <c r="E2524" s="35">
        <v>24940.0</v>
      </c>
      <c r="F2524" s="35" t="s">
        <v>11</v>
      </c>
    </row>
    <row r="2525" ht="22.5" customHeight="1">
      <c r="A2525" s="37" t="s">
        <v>5277</v>
      </c>
      <c r="B2525" s="35" t="s">
        <v>5278</v>
      </c>
      <c r="C2525" s="35">
        <v>184.0</v>
      </c>
      <c r="D2525" s="35">
        <v>191.0</v>
      </c>
      <c r="E2525" s="35">
        <v>23300.0</v>
      </c>
      <c r="F2525" s="35" t="s">
        <v>11</v>
      </c>
    </row>
    <row r="2526" ht="22.5" customHeight="1">
      <c r="A2526" s="37" t="s">
        <v>5279</v>
      </c>
      <c r="B2526" s="35" t="s">
        <v>5280</v>
      </c>
      <c r="C2526" s="35">
        <v>50.0</v>
      </c>
      <c r="D2526" s="35">
        <v>51.0</v>
      </c>
      <c r="E2526" s="35" t="s">
        <v>11</v>
      </c>
      <c r="F2526" s="35" t="s">
        <v>11</v>
      </c>
    </row>
    <row r="2527" ht="22.5" customHeight="1">
      <c r="A2527" s="37" t="s">
        <v>5281</v>
      </c>
      <c r="B2527" s="35" t="s">
        <v>5282</v>
      </c>
      <c r="C2527" s="35">
        <v>1210.0</v>
      </c>
      <c r="D2527" s="35">
        <v>1270.0</v>
      </c>
      <c r="E2527" s="35">
        <v>25730.0</v>
      </c>
      <c r="F2527" s="35" t="s">
        <v>11</v>
      </c>
    </row>
    <row r="2528" ht="22.5" customHeight="1">
      <c r="A2528" s="37" t="s">
        <v>5283</v>
      </c>
      <c r="B2528" s="35" t="s">
        <v>5284</v>
      </c>
      <c r="C2528" s="35">
        <v>12354.0</v>
      </c>
      <c r="D2528" s="35">
        <v>12247.0</v>
      </c>
      <c r="E2528" s="35">
        <v>21070.0</v>
      </c>
      <c r="F2528" s="35">
        <v>27.0</v>
      </c>
    </row>
    <row r="2529" ht="22.5" customHeight="1">
      <c r="A2529" s="37" t="s">
        <v>5285</v>
      </c>
      <c r="B2529" s="35" t="s">
        <v>3714</v>
      </c>
      <c r="C2529" s="35">
        <v>238.0</v>
      </c>
      <c r="D2529" s="35">
        <v>206.0</v>
      </c>
      <c r="E2529" s="35">
        <v>28380.0</v>
      </c>
      <c r="F2529" s="35" t="s">
        <v>11</v>
      </c>
    </row>
    <row r="2530" ht="22.5" customHeight="1">
      <c r="A2530" s="37" t="s">
        <v>5286</v>
      </c>
      <c r="B2530" s="35" t="s">
        <v>5287</v>
      </c>
      <c r="C2530" s="35">
        <v>445.0</v>
      </c>
      <c r="D2530" s="35">
        <v>465.0</v>
      </c>
      <c r="E2530" s="35">
        <v>29330.0</v>
      </c>
      <c r="F2530" s="35" t="s">
        <v>11</v>
      </c>
    </row>
    <row r="2531" ht="22.5" customHeight="1">
      <c r="A2531" s="37" t="s">
        <v>5288</v>
      </c>
      <c r="B2531" s="35" t="s">
        <v>5289</v>
      </c>
      <c r="C2531" s="35">
        <v>218.0</v>
      </c>
      <c r="D2531" s="35">
        <v>214.0</v>
      </c>
      <c r="E2531" s="35">
        <v>25520.0</v>
      </c>
      <c r="F2531" s="35" t="s">
        <v>11</v>
      </c>
    </row>
    <row r="2532" ht="22.5" customHeight="1">
      <c r="A2532" s="37" t="s">
        <v>5290</v>
      </c>
      <c r="B2532" s="35" t="s">
        <v>965</v>
      </c>
      <c r="C2532" s="35">
        <v>316.0</v>
      </c>
      <c r="D2532" s="35">
        <v>308.0</v>
      </c>
      <c r="E2532" s="35">
        <v>26100.0</v>
      </c>
      <c r="F2532" s="35" t="s">
        <v>11</v>
      </c>
    </row>
    <row r="2533" ht="22.5" customHeight="1">
      <c r="A2533" s="37" t="s">
        <v>5291</v>
      </c>
      <c r="B2533" s="35" t="s">
        <v>5292</v>
      </c>
      <c r="C2533" s="35">
        <v>185.0</v>
      </c>
      <c r="D2533" s="35">
        <v>189.0</v>
      </c>
      <c r="E2533" s="35">
        <v>21840.0</v>
      </c>
      <c r="F2533" s="35" t="s">
        <v>11</v>
      </c>
    </row>
    <row r="2534" ht="22.5" customHeight="1">
      <c r="A2534" s="37" t="s">
        <v>5293</v>
      </c>
      <c r="B2534" s="35" t="s">
        <v>5294</v>
      </c>
      <c r="C2534" s="35">
        <v>403.0</v>
      </c>
      <c r="D2534" s="35">
        <v>351.0</v>
      </c>
      <c r="E2534" s="35">
        <v>24340.0</v>
      </c>
      <c r="F2534" s="35" t="s">
        <v>11</v>
      </c>
    </row>
    <row r="2535" ht="22.5" customHeight="1">
      <c r="A2535" s="37" t="s">
        <v>5295</v>
      </c>
      <c r="B2535" s="35" t="s">
        <v>5296</v>
      </c>
      <c r="C2535" s="35">
        <v>524.0</v>
      </c>
      <c r="D2535" s="35">
        <v>526.0</v>
      </c>
      <c r="E2535" s="35">
        <v>24680.0</v>
      </c>
      <c r="F2535" s="35" t="s">
        <v>11</v>
      </c>
    </row>
    <row r="2536" ht="22.5" customHeight="1">
      <c r="A2536" s="37" t="s">
        <v>5297</v>
      </c>
      <c r="B2536" s="35" t="s">
        <v>5298</v>
      </c>
      <c r="C2536" s="35">
        <v>1697.0</v>
      </c>
      <c r="D2536" s="35">
        <v>1724.0</v>
      </c>
      <c r="E2536" s="35">
        <v>26060.0</v>
      </c>
      <c r="F2536" s="35" t="s">
        <v>11</v>
      </c>
    </row>
    <row r="2537" ht="22.5" customHeight="1">
      <c r="A2537" s="37" t="s">
        <v>5299</v>
      </c>
      <c r="B2537" s="35" t="s">
        <v>5300</v>
      </c>
      <c r="C2537" s="35">
        <v>312.0</v>
      </c>
      <c r="D2537" s="35">
        <v>288.0</v>
      </c>
      <c r="E2537" s="35">
        <v>25170.0</v>
      </c>
      <c r="F2537" s="35" t="s">
        <v>11</v>
      </c>
    </row>
    <row r="2538" ht="22.5" customHeight="1">
      <c r="A2538" s="37" t="s">
        <v>5301</v>
      </c>
      <c r="B2538" s="35" t="s">
        <v>5302</v>
      </c>
      <c r="C2538" s="35">
        <v>135.0</v>
      </c>
      <c r="D2538" s="35">
        <v>143.0</v>
      </c>
      <c r="E2538" s="35">
        <v>24490.0</v>
      </c>
      <c r="F2538" s="35" t="s">
        <v>11</v>
      </c>
    </row>
    <row r="2539" ht="22.5" customHeight="1">
      <c r="A2539" s="37" t="s">
        <v>5303</v>
      </c>
      <c r="B2539" s="35" t="s">
        <v>5304</v>
      </c>
      <c r="C2539" s="35">
        <v>177.0</v>
      </c>
      <c r="D2539" s="35">
        <v>187.0</v>
      </c>
      <c r="E2539" s="35">
        <v>28850.0</v>
      </c>
      <c r="F2539" s="35" t="s">
        <v>11</v>
      </c>
    </row>
    <row r="2540" ht="22.5" customHeight="1">
      <c r="A2540" s="37" t="s">
        <v>5305</v>
      </c>
      <c r="B2540" s="35" t="s">
        <v>5306</v>
      </c>
      <c r="C2540" s="35">
        <v>26022.0</v>
      </c>
      <c r="D2540" s="35">
        <v>25688.0</v>
      </c>
      <c r="E2540" s="35">
        <v>21590.0</v>
      </c>
      <c r="F2540" s="35">
        <v>25.7</v>
      </c>
    </row>
    <row r="2541" ht="22.5" customHeight="1">
      <c r="A2541" s="37" t="s">
        <v>5307</v>
      </c>
      <c r="B2541" s="35" t="s">
        <v>5308</v>
      </c>
      <c r="C2541" s="35">
        <v>527.0</v>
      </c>
      <c r="D2541" s="35">
        <v>528.0</v>
      </c>
      <c r="E2541" s="35">
        <v>28610.0</v>
      </c>
      <c r="F2541" s="35" t="s">
        <v>11</v>
      </c>
    </row>
    <row r="2542" ht="22.5" customHeight="1">
      <c r="A2542" s="37" t="s">
        <v>5309</v>
      </c>
      <c r="B2542" s="35" t="s">
        <v>5310</v>
      </c>
      <c r="C2542" s="35">
        <v>300.0</v>
      </c>
      <c r="D2542" s="35">
        <v>272.0</v>
      </c>
      <c r="E2542" s="35">
        <v>27680.0</v>
      </c>
      <c r="F2542" s="35" t="s">
        <v>11</v>
      </c>
    </row>
    <row r="2543" ht="22.5" customHeight="1">
      <c r="A2543" s="37" t="s">
        <v>5311</v>
      </c>
      <c r="B2543" s="35" t="s">
        <v>5312</v>
      </c>
      <c r="C2543" s="35">
        <v>164.0</v>
      </c>
      <c r="D2543" s="35">
        <v>147.0</v>
      </c>
      <c r="E2543" s="35">
        <v>21710.0</v>
      </c>
      <c r="F2543" s="35" t="s">
        <v>11</v>
      </c>
    </row>
    <row r="2544" ht="22.5" customHeight="1">
      <c r="A2544" s="37" t="s">
        <v>5313</v>
      </c>
      <c r="B2544" s="35" t="s">
        <v>5314</v>
      </c>
      <c r="C2544" s="35">
        <v>378.0</v>
      </c>
      <c r="D2544" s="35">
        <v>415.0</v>
      </c>
      <c r="E2544" s="35">
        <v>24060.0</v>
      </c>
      <c r="F2544" s="35" t="s">
        <v>11</v>
      </c>
    </row>
    <row r="2545" ht="22.5" customHeight="1">
      <c r="A2545" s="37" t="s">
        <v>5315</v>
      </c>
      <c r="B2545" s="35" t="s">
        <v>5316</v>
      </c>
      <c r="C2545" s="35">
        <v>95.0</v>
      </c>
      <c r="D2545" s="35">
        <v>77.0</v>
      </c>
      <c r="E2545" s="35" t="s">
        <v>11</v>
      </c>
      <c r="F2545" s="35" t="s">
        <v>11</v>
      </c>
    </row>
    <row r="2546" ht="22.5" customHeight="1">
      <c r="A2546" s="37" t="s">
        <v>5317</v>
      </c>
      <c r="B2546" s="35" t="s">
        <v>5318</v>
      </c>
      <c r="C2546" s="35">
        <v>149.0</v>
      </c>
      <c r="D2546" s="35">
        <v>135.0</v>
      </c>
      <c r="E2546" s="35">
        <v>26410.0</v>
      </c>
      <c r="F2546" s="35" t="s">
        <v>11</v>
      </c>
    </row>
    <row r="2547" ht="22.5" customHeight="1">
      <c r="A2547" s="37" t="s">
        <v>5319</v>
      </c>
      <c r="B2547" s="35" t="s">
        <v>5320</v>
      </c>
      <c r="C2547" s="35">
        <v>104.0</v>
      </c>
      <c r="D2547" s="35">
        <v>106.0</v>
      </c>
      <c r="E2547" s="35">
        <v>25230.0</v>
      </c>
      <c r="F2547" s="35" t="s">
        <v>11</v>
      </c>
    </row>
    <row r="2548" ht="22.5" customHeight="1">
      <c r="A2548" s="37" t="s">
        <v>5321</v>
      </c>
      <c r="B2548" s="35" t="s">
        <v>5322</v>
      </c>
      <c r="C2548" s="35">
        <v>171.0</v>
      </c>
      <c r="D2548" s="35">
        <v>161.0</v>
      </c>
      <c r="E2548" s="35">
        <v>23060.0</v>
      </c>
      <c r="F2548" s="35" t="s">
        <v>11</v>
      </c>
    </row>
    <row r="2549" ht="22.5" customHeight="1">
      <c r="A2549" s="37" t="s">
        <v>5323</v>
      </c>
      <c r="B2549" s="35" t="s">
        <v>5324</v>
      </c>
      <c r="C2549" s="35">
        <v>313.0</v>
      </c>
      <c r="D2549" s="35">
        <v>330.0</v>
      </c>
      <c r="E2549" s="35">
        <v>22260.0</v>
      </c>
      <c r="F2549" s="35" t="s">
        <v>11</v>
      </c>
    </row>
    <row r="2550" ht="22.5" customHeight="1">
      <c r="A2550" s="37" t="s">
        <v>5325</v>
      </c>
      <c r="B2550" s="35" t="s">
        <v>5326</v>
      </c>
      <c r="C2550" s="35">
        <v>540.0</v>
      </c>
      <c r="D2550" s="35">
        <v>529.0</v>
      </c>
      <c r="E2550" s="35">
        <v>29120.0</v>
      </c>
      <c r="F2550" s="35" t="s">
        <v>11</v>
      </c>
    </row>
    <row r="2551" ht="22.5" customHeight="1">
      <c r="A2551" s="37" t="s">
        <v>5327</v>
      </c>
      <c r="B2551" s="35" t="s">
        <v>5328</v>
      </c>
      <c r="C2551" s="35">
        <v>422.0</v>
      </c>
      <c r="D2551" s="35">
        <v>407.0</v>
      </c>
      <c r="E2551" s="35">
        <v>23340.0</v>
      </c>
      <c r="F2551" s="35" t="s">
        <v>11</v>
      </c>
    </row>
    <row r="2552" ht="22.5" customHeight="1">
      <c r="A2552" s="37" t="s">
        <v>5329</v>
      </c>
      <c r="B2552" s="35" t="s">
        <v>5330</v>
      </c>
      <c r="C2552" s="35">
        <v>1180.0</v>
      </c>
      <c r="D2552" s="35">
        <v>1062.0</v>
      </c>
      <c r="E2552" s="35">
        <v>23960.0</v>
      </c>
      <c r="F2552" s="35" t="s">
        <v>11</v>
      </c>
    </row>
    <row r="2553" ht="22.5" customHeight="1">
      <c r="A2553" s="37" t="s">
        <v>5331</v>
      </c>
      <c r="B2553" s="35" t="s">
        <v>5332</v>
      </c>
      <c r="C2553" s="35">
        <v>213.0</v>
      </c>
      <c r="D2553" s="35">
        <v>206.0</v>
      </c>
      <c r="E2553" s="35">
        <v>29620.0</v>
      </c>
      <c r="F2553" s="35" t="s">
        <v>11</v>
      </c>
    </row>
    <row r="2554" ht="22.5" customHeight="1">
      <c r="A2554" s="37" t="s">
        <v>5333</v>
      </c>
      <c r="B2554" s="35" t="s">
        <v>5334</v>
      </c>
      <c r="C2554" s="35">
        <v>567.0</v>
      </c>
      <c r="D2554" s="35">
        <v>512.0</v>
      </c>
      <c r="E2554" s="35">
        <v>24810.0</v>
      </c>
      <c r="F2554" s="35" t="s">
        <v>11</v>
      </c>
    </row>
    <row r="2555" ht="22.5" customHeight="1">
      <c r="A2555" s="37" t="s">
        <v>5335</v>
      </c>
      <c r="B2555" s="35" t="s">
        <v>5336</v>
      </c>
      <c r="C2555" s="35">
        <v>6245.0</v>
      </c>
      <c r="D2555" s="35">
        <v>6082.0</v>
      </c>
      <c r="E2555" s="35">
        <v>21910.0</v>
      </c>
      <c r="F2555" s="35">
        <v>22.0</v>
      </c>
    </row>
    <row r="2556" ht="22.5" customHeight="1">
      <c r="A2556" s="37" t="s">
        <v>5337</v>
      </c>
      <c r="B2556" s="35" t="s">
        <v>5338</v>
      </c>
      <c r="C2556" s="35">
        <v>232.0</v>
      </c>
      <c r="D2556" s="35">
        <v>215.0</v>
      </c>
      <c r="E2556" s="35">
        <v>26360.0</v>
      </c>
      <c r="F2556" s="35" t="s">
        <v>11</v>
      </c>
    </row>
    <row r="2557" ht="22.5" customHeight="1">
      <c r="A2557" s="37" t="s">
        <v>5339</v>
      </c>
      <c r="B2557" s="35" t="s">
        <v>5340</v>
      </c>
      <c r="C2557" s="35">
        <v>822.0</v>
      </c>
      <c r="D2557" s="35">
        <v>828.0</v>
      </c>
      <c r="E2557" s="35">
        <v>26950.0</v>
      </c>
      <c r="F2557" s="35" t="s">
        <v>11</v>
      </c>
    </row>
    <row r="2558" ht="22.5" customHeight="1">
      <c r="A2558" s="37" t="s">
        <v>5341</v>
      </c>
      <c r="B2558" s="35" t="s">
        <v>5342</v>
      </c>
      <c r="C2558" s="35">
        <v>677.0</v>
      </c>
      <c r="D2558" s="35">
        <v>853.0</v>
      </c>
      <c r="E2558" s="35">
        <v>26200.0</v>
      </c>
      <c r="F2558" s="35" t="s">
        <v>11</v>
      </c>
    </row>
    <row r="2559" ht="22.5" customHeight="1">
      <c r="A2559" s="37" t="s">
        <v>5343</v>
      </c>
      <c r="B2559" s="35" t="s">
        <v>5344</v>
      </c>
      <c r="C2559" s="35">
        <v>4605.0</v>
      </c>
      <c r="D2559" s="35">
        <v>4480.0</v>
      </c>
      <c r="E2559" s="35">
        <v>21440.0</v>
      </c>
      <c r="F2559" s="35">
        <v>26.0</v>
      </c>
    </row>
    <row r="2560" ht="22.5" customHeight="1">
      <c r="A2560" s="37" t="s">
        <v>5345</v>
      </c>
      <c r="B2560" s="35" t="s">
        <v>5346</v>
      </c>
      <c r="C2560" s="35">
        <v>1863.0</v>
      </c>
      <c r="D2560" s="35">
        <v>1891.0</v>
      </c>
      <c r="E2560" s="35">
        <v>26100.0</v>
      </c>
      <c r="F2560" s="35" t="s">
        <v>11</v>
      </c>
    </row>
    <row r="2561" ht="22.5" customHeight="1">
      <c r="A2561" s="37" t="s">
        <v>5347</v>
      </c>
      <c r="B2561" s="35" t="s">
        <v>5348</v>
      </c>
      <c r="C2561" s="35">
        <v>165.0</v>
      </c>
      <c r="D2561" s="35">
        <v>172.0</v>
      </c>
      <c r="E2561" s="35">
        <v>24510.0</v>
      </c>
      <c r="F2561" s="35" t="s">
        <v>11</v>
      </c>
    </row>
    <row r="2562" ht="22.5" customHeight="1">
      <c r="A2562" s="37" t="s">
        <v>5349</v>
      </c>
      <c r="B2562" s="35" t="s">
        <v>5350</v>
      </c>
      <c r="C2562" s="35">
        <v>243.0</v>
      </c>
      <c r="D2562" s="35">
        <v>215.0</v>
      </c>
      <c r="E2562" s="35">
        <v>26730.0</v>
      </c>
      <c r="F2562" s="35" t="s">
        <v>11</v>
      </c>
    </row>
    <row r="2563" ht="22.5" customHeight="1">
      <c r="A2563" s="37" t="s">
        <v>5351</v>
      </c>
      <c r="B2563" s="35" t="s">
        <v>5352</v>
      </c>
      <c r="C2563" s="35">
        <v>529.0</v>
      </c>
      <c r="D2563" s="35">
        <v>482.0</v>
      </c>
      <c r="E2563" s="35">
        <v>22480.0</v>
      </c>
      <c r="F2563" s="35" t="s">
        <v>11</v>
      </c>
    </row>
    <row r="2564" ht="22.5" customHeight="1">
      <c r="A2564" s="37" t="s">
        <v>5353</v>
      </c>
      <c r="B2564" s="35" t="s">
        <v>5354</v>
      </c>
      <c r="C2564" s="35">
        <v>1339.0</v>
      </c>
      <c r="D2564" s="35">
        <v>1389.0</v>
      </c>
      <c r="E2564" s="35">
        <v>28470.0</v>
      </c>
      <c r="F2564" s="35" t="s">
        <v>11</v>
      </c>
    </row>
    <row r="2565" ht="22.5" customHeight="1">
      <c r="A2565" s="37" t="s">
        <v>5355</v>
      </c>
      <c r="B2565" s="35" t="s">
        <v>5356</v>
      </c>
      <c r="C2565" s="35">
        <v>122.0</v>
      </c>
      <c r="D2565" s="35">
        <v>127.0</v>
      </c>
      <c r="E2565" s="35">
        <v>24520.0</v>
      </c>
      <c r="F2565" s="35" t="s">
        <v>11</v>
      </c>
    </row>
    <row r="2566" ht="22.5" customHeight="1">
      <c r="A2566" s="37" t="s">
        <v>5357</v>
      </c>
      <c r="B2566" s="35" t="s">
        <v>5358</v>
      </c>
      <c r="C2566" s="35">
        <v>2452.0</v>
      </c>
      <c r="D2566" s="35">
        <v>2485.0</v>
      </c>
      <c r="E2566" s="35">
        <v>29590.0</v>
      </c>
      <c r="F2566" s="35">
        <v>5.0</v>
      </c>
    </row>
    <row r="2567" ht="22.5" customHeight="1">
      <c r="A2567" s="37" t="s">
        <v>5359</v>
      </c>
      <c r="B2567" s="35" t="s">
        <v>5360</v>
      </c>
      <c r="C2567" s="35">
        <v>112.0</v>
      </c>
      <c r="D2567" s="35">
        <v>118.0</v>
      </c>
      <c r="E2567" s="35">
        <v>26140.0</v>
      </c>
      <c r="F2567" s="35" t="s">
        <v>11</v>
      </c>
    </row>
    <row r="2568" ht="22.5" customHeight="1">
      <c r="A2568" s="37" t="s">
        <v>5361</v>
      </c>
      <c r="B2568" s="35" t="s">
        <v>5362</v>
      </c>
      <c r="C2568" s="35">
        <v>718.0</v>
      </c>
      <c r="D2568" s="35">
        <v>738.0</v>
      </c>
      <c r="E2568" s="35">
        <v>26350.0</v>
      </c>
      <c r="F2568" s="35" t="s">
        <v>11</v>
      </c>
    </row>
    <row r="2569" ht="22.5" customHeight="1">
      <c r="A2569" s="37" t="s">
        <v>5363</v>
      </c>
      <c r="B2569" s="35" t="s">
        <v>5364</v>
      </c>
      <c r="C2569" s="35">
        <v>7246.0</v>
      </c>
      <c r="D2569" s="35">
        <v>6945.0</v>
      </c>
      <c r="E2569" s="35">
        <v>21170.0</v>
      </c>
      <c r="F2569" s="35">
        <v>22.0</v>
      </c>
    </row>
    <row r="2570" ht="22.5" customHeight="1">
      <c r="A2570" s="37" t="s">
        <v>5365</v>
      </c>
      <c r="B2570" s="35" t="s">
        <v>5366</v>
      </c>
      <c r="C2570" s="35">
        <v>1127.0</v>
      </c>
      <c r="D2570" s="35">
        <v>1116.0</v>
      </c>
      <c r="E2570" s="35">
        <v>24860.0</v>
      </c>
      <c r="F2570" s="35" t="s">
        <v>11</v>
      </c>
    </row>
    <row r="2571" ht="22.5" customHeight="1">
      <c r="A2571" s="37" t="s">
        <v>5367</v>
      </c>
      <c r="B2571" s="35" t="s">
        <v>5368</v>
      </c>
      <c r="C2571" s="35">
        <v>232.0</v>
      </c>
      <c r="D2571" s="35">
        <v>247.0</v>
      </c>
      <c r="E2571" s="35">
        <v>21860.0</v>
      </c>
      <c r="F2571" s="35" t="s">
        <v>11</v>
      </c>
    </row>
    <row r="2572" ht="22.5" customHeight="1">
      <c r="A2572" s="37" t="s">
        <v>5369</v>
      </c>
      <c r="B2572" s="35" t="s">
        <v>5370</v>
      </c>
      <c r="C2572" s="35">
        <v>269.0</v>
      </c>
      <c r="D2572" s="35">
        <v>272.0</v>
      </c>
      <c r="E2572" s="35">
        <v>26020.0</v>
      </c>
      <c r="F2572" s="35" t="s">
        <v>11</v>
      </c>
    </row>
    <row r="2573" ht="22.5" customHeight="1">
      <c r="A2573" s="37" t="s">
        <v>5371</v>
      </c>
      <c r="B2573" s="35" t="s">
        <v>5372</v>
      </c>
      <c r="C2573" s="35">
        <v>137.0</v>
      </c>
      <c r="D2573" s="35">
        <v>152.0</v>
      </c>
      <c r="E2573" s="35">
        <v>26060.0</v>
      </c>
      <c r="F2573" s="35" t="s">
        <v>11</v>
      </c>
    </row>
    <row r="2574" ht="22.5" customHeight="1">
      <c r="A2574" s="37" t="s">
        <v>5373</v>
      </c>
      <c r="B2574" s="35" t="s">
        <v>5374</v>
      </c>
      <c r="C2574" s="35">
        <v>464.0</v>
      </c>
      <c r="D2574" s="35">
        <v>494.0</v>
      </c>
      <c r="E2574" s="35">
        <v>22550.0</v>
      </c>
      <c r="F2574" s="35" t="s">
        <v>11</v>
      </c>
    </row>
    <row r="2575" ht="22.5" customHeight="1">
      <c r="A2575" s="37" t="s">
        <v>5375</v>
      </c>
      <c r="B2575" s="35" t="s">
        <v>5376</v>
      </c>
      <c r="C2575" s="35">
        <v>3448.0</v>
      </c>
      <c r="D2575" s="35">
        <v>3371.0</v>
      </c>
      <c r="E2575" s="35">
        <v>24150.0</v>
      </c>
      <c r="F2575" s="35">
        <v>18.0</v>
      </c>
    </row>
    <row r="2576" ht="22.5" customHeight="1">
      <c r="A2576" s="37" t="s">
        <v>5377</v>
      </c>
      <c r="B2576" s="35" t="s">
        <v>5378</v>
      </c>
      <c r="C2576" s="35">
        <v>218.0</v>
      </c>
      <c r="D2576" s="35">
        <v>219.0</v>
      </c>
      <c r="E2576" s="35">
        <v>25390.0</v>
      </c>
      <c r="F2576" s="35" t="s">
        <v>11</v>
      </c>
    </row>
    <row r="2577" ht="22.5" customHeight="1">
      <c r="A2577" s="37" t="s">
        <v>5379</v>
      </c>
      <c r="B2577" s="35" t="s">
        <v>5380</v>
      </c>
      <c r="C2577" s="35">
        <v>232.0</v>
      </c>
      <c r="D2577" s="35">
        <v>249.0</v>
      </c>
      <c r="E2577" s="35">
        <v>24940.0</v>
      </c>
      <c r="F2577" s="35" t="s">
        <v>11</v>
      </c>
    </row>
    <row r="2578" ht="22.5" customHeight="1">
      <c r="A2578" s="37" t="s">
        <v>5381</v>
      </c>
      <c r="B2578" s="35" t="s">
        <v>5382</v>
      </c>
      <c r="C2578" s="35">
        <v>176.0</v>
      </c>
      <c r="D2578" s="35">
        <v>182.0</v>
      </c>
      <c r="E2578" s="35">
        <v>24670.0</v>
      </c>
      <c r="F2578" s="35" t="s">
        <v>11</v>
      </c>
    </row>
    <row r="2579" ht="22.5" customHeight="1">
      <c r="A2579" s="37" t="s">
        <v>5383</v>
      </c>
      <c r="B2579" s="35" t="s">
        <v>5384</v>
      </c>
      <c r="C2579" s="35">
        <v>229.0</v>
      </c>
      <c r="D2579" s="35">
        <v>218.0</v>
      </c>
      <c r="E2579" s="35">
        <v>24970.0</v>
      </c>
      <c r="F2579" s="35" t="s">
        <v>11</v>
      </c>
    </row>
    <row r="2580" ht="22.5" customHeight="1">
      <c r="A2580" s="37" t="s">
        <v>5385</v>
      </c>
      <c r="B2580" s="35" t="s">
        <v>5386</v>
      </c>
      <c r="C2580" s="35">
        <v>624.0</v>
      </c>
      <c r="D2580" s="35">
        <v>575.0</v>
      </c>
      <c r="E2580" s="35">
        <v>25390.0</v>
      </c>
      <c r="F2580" s="35" t="s">
        <v>11</v>
      </c>
    </row>
    <row r="2581" ht="22.5" customHeight="1">
      <c r="A2581" s="37" t="s">
        <v>5387</v>
      </c>
      <c r="B2581" s="35" t="s">
        <v>5388</v>
      </c>
      <c r="C2581" s="35">
        <v>86.0</v>
      </c>
      <c r="D2581" s="35">
        <v>91.0</v>
      </c>
      <c r="E2581" s="35" t="s">
        <v>11</v>
      </c>
      <c r="F2581" s="35" t="s">
        <v>11</v>
      </c>
    </row>
    <row r="2582" ht="22.5" customHeight="1">
      <c r="A2582" s="37" t="s">
        <v>5389</v>
      </c>
      <c r="B2582" s="35" t="s">
        <v>5390</v>
      </c>
      <c r="C2582" s="35">
        <v>1070.0</v>
      </c>
      <c r="D2582" s="35">
        <v>1062.0</v>
      </c>
      <c r="E2582" s="35">
        <v>25740.0</v>
      </c>
      <c r="F2582" s="35" t="s">
        <v>11</v>
      </c>
    </row>
    <row r="2583" ht="22.5" customHeight="1">
      <c r="A2583" s="37" t="s">
        <v>5391</v>
      </c>
      <c r="B2583" s="35" t="s">
        <v>5392</v>
      </c>
      <c r="C2583" s="35">
        <v>162.0</v>
      </c>
      <c r="D2583" s="35">
        <v>157.0</v>
      </c>
      <c r="E2583" s="35">
        <v>25870.0</v>
      </c>
      <c r="F2583" s="35" t="s">
        <v>11</v>
      </c>
    </row>
    <row r="2584" ht="22.5" customHeight="1">
      <c r="A2584" s="37" t="s">
        <v>5393</v>
      </c>
      <c r="B2584" s="35" t="s">
        <v>5394</v>
      </c>
      <c r="C2584" s="35">
        <v>8845.0</v>
      </c>
      <c r="D2584" s="35">
        <v>8650.0</v>
      </c>
      <c r="E2584" s="35">
        <v>22440.0</v>
      </c>
      <c r="F2584" s="35">
        <v>18.0</v>
      </c>
    </row>
    <row r="2585" ht="22.5" customHeight="1">
      <c r="A2585" s="37" t="s">
        <v>5395</v>
      </c>
      <c r="B2585" s="35" t="s">
        <v>5396</v>
      </c>
      <c r="C2585" s="35">
        <v>1153.0</v>
      </c>
      <c r="D2585" s="35">
        <v>1122.0</v>
      </c>
      <c r="E2585" s="35">
        <v>25350.0</v>
      </c>
      <c r="F2585" s="35" t="s">
        <v>11</v>
      </c>
    </row>
    <row r="2586" ht="22.5" customHeight="1">
      <c r="A2586" s="37" t="s">
        <v>5397</v>
      </c>
      <c r="B2586" s="35" t="s">
        <v>5398</v>
      </c>
      <c r="C2586" s="35">
        <v>259.0</v>
      </c>
      <c r="D2586" s="35">
        <v>238.0</v>
      </c>
      <c r="E2586" s="35">
        <v>22700.0</v>
      </c>
      <c r="F2586" s="35" t="s">
        <v>11</v>
      </c>
    </row>
    <row r="2587" ht="22.5" customHeight="1">
      <c r="A2587" s="37" t="s">
        <v>5399</v>
      </c>
      <c r="B2587" s="35" t="s">
        <v>5400</v>
      </c>
      <c r="C2587" s="35">
        <v>1011.0</v>
      </c>
      <c r="D2587" s="35">
        <v>1040.0</v>
      </c>
      <c r="E2587" s="35">
        <v>28410.0</v>
      </c>
      <c r="F2587" s="35" t="s">
        <v>11</v>
      </c>
    </row>
    <row r="2588" ht="22.5" customHeight="1">
      <c r="A2588" s="37" t="s">
        <v>5401</v>
      </c>
      <c r="B2588" s="35" t="s">
        <v>5402</v>
      </c>
      <c r="C2588" s="35">
        <v>727.0</v>
      </c>
      <c r="D2588" s="35">
        <v>742.0</v>
      </c>
      <c r="E2588" s="35">
        <v>26850.0</v>
      </c>
      <c r="F2588" s="35" t="s">
        <v>11</v>
      </c>
    </row>
    <row r="2589" ht="22.5" customHeight="1">
      <c r="A2589" s="37" t="s">
        <v>5403</v>
      </c>
      <c r="B2589" s="35" t="s">
        <v>5404</v>
      </c>
      <c r="C2589" s="35">
        <v>287.0</v>
      </c>
      <c r="D2589" s="35">
        <v>310.0</v>
      </c>
      <c r="E2589" s="35">
        <v>22720.0</v>
      </c>
      <c r="F2589" s="35" t="s">
        <v>11</v>
      </c>
    </row>
    <row r="2590" ht="22.5" customHeight="1">
      <c r="A2590" s="37" t="s">
        <v>5405</v>
      </c>
      <c r="B2590" s="35" t="s">
        <v>5406</v>
      </c>
      <c r="C2590" s="35">
        <v>1645.0</v>
      </c>
      <c r="D2590" s="35">
        <v>1648.0</v>
      </c>
      <c r="E2590" s="35">
        <v>25750.0</v>
      </c>
      <c r="F2590" s="35" t="s">
        <v>11</v>
      </c>
    </row>
    <row r="2591" ht="22.5" customHeight="1">
      <c r="A2591" s="37" t="s">
        <v>5407</v>
      </c>
      <c r="B2591" s="35" t="s">
        <v>5408</v>
      </c>
      <c r="C2591" s="35">
        <v>2847.0</v>
      </c>
      <c r="D2591" s="35">
        <v>2858.0</v>
      </c>
      <c r="E2591" s="35">
        <v>25030.0</v>
      </c>
      <c r="F2591" s="35">
        <v>15.0</v>
      </c>
    </row>
    <row r="2592" ht="22.5" customHeight="1">
      <c r="A2592" s="37" t="s">
        <v>5409</v>
      </c>
      <c r="B2592" s="35" t="s">
        <v>5410</v>
      </c>
      <c r="C2592" s="35">
        <v>165.0</v>
      </c>
      <c r="D2592" s="35">
        <v>140.0</v>
      </c>
      <c r="E2592" s="35">
        <v>24800.0</v>
      </c>
      <c r="F2592" s="35" t="s">
        <v>11</v>
      </c>
    </row>
    <row r="2593" ht="22.5" customHeight="1">
      <c r="A2593" s="37" t="s">
        <v>5411</v>
      </c>
      <c r="B2593" s="35" t="s">
        <v>5412</v>
      </c>
      <c r="C2593" s="35">
        <v>247.0</v>
      </c>
      <c r="D2593" s="35">
        <v>250.0</v>
      </c>
      <c r="E2593" s="35">
        <v>26050.0</v>
      </c>
      <c r="F2593" s="35" t="s">
        <v>11</v>
      </c>
    </row>
    <row r="2594" ht="22.5" customHeight="1">
      <c r="A2594" s="37" t="s">
        <v>5413</v>
      </c>
      <c r="B2594" s="35" t="s">
        <v>5414</v>
      </c>
      <c r="C2594" s="35">
        <v>331.0</v>
      </c>
      <c r="D2594" s="35">
        <v>309.0</v>
      </c>
      <c r="E2594" s="35">
        <v>24170.0</v>
      </c>
      <c r="F2594" s="35" t="s">
        <v>11</v>
      </c>
    </row>
    <row r="2595" ht="22.5" customHeight="1">
      <c r="A2595" s="37" t="s">
        <v>5415</v>
      </c>
      <c r="B2595" s="35" t="s">
        <v>5416</v>
      </c>
      <c r="C2595" s="35">
        <v>364.0</v>
      </c>
      <c r="D2595" s="35">
        <v>365.0</v>
      </c>
      <c r="E2595" s="35">
        <v>22430.0</v>
      </c>
      <c r="F2595" s="35" t="s">
        <v>11</v>
      </c>
    </row>
    <row r="2596" ht="22.5" customHeight="1">
      <c r="A2596" s="37" t="s">
        <v>5417</v>
      </c>
      <c r="B2596" s="35" t="s">
        <v>5418</v>
      </c>
      <c r="C2596" s="35">
        <v>1061.0</v>
      </c>
      <c r="D2596" s="35">
        <v>1070.0</v>
      </c>
      <c r="E2596" s="35">
        <v>23980.0</v>
      </c>
      <c r="F2596" s="35" t="s">
        <v>11</v>
      </c>
    </row>
    <row r="2597" ht="22.5" customHeight="1">
      <c r="A2597" s="37" t="s">
        <v>5419</v>
      </c>
      <c r="B2597" s="35" t="s">
        <v>5420</v>
      </c>
      <c r="C2597" s="35">
        <v>1299.0</v>
      </c>
      <c r="D2597" s="35">
        <v>1242.0</v>
      </c>
      <c r="E2597" s="35">
        <v>24010.0</v>
      </c>
      <c r="F2597" s="35" t="s">
        <v>11</v>
      </c>
    </row>
    <row r="2598" ht="22.5" customHeight="1">
      <c r="A2598" s="37" t="s">
        <v>5421</v>
      </c>
      <c r="B2598" s="35" t="s">
        <v>5422</v>
      </c>
      <c r="C2598" s="35">
        <v>753.0</v>
      </c>
      <c r="D2598" s="35">
        <v>787.0</v>
      </c>
      <c r="E2598" s="35">
        <v>23160.0</v>
      </c>
      <c r="F2598" s="35" t="s">
        <v>11</v>
      </c>
    </row>
    <row r="2599" ht="22.5" customHeight="1">
      <c r="A2599" s="37" t="s">
        <v>5423</v>
      </c>
      <c r="B2599" s="35" t="s">
        <v>5424</v>
      </c>
      <c r="C2599" s="35">
        <v>3459.0</v>
      </c>
      <c r="D2599" s="35">
        <v>3481.0</v>
      </c>
      <c r="E2599" s="35">
        <v>23770.0</v>
      </c>
      <c r="F2599" s="35">
        <v>15.0</v>
      </c>
    </row>
    <row r="2600" ht="22.5" customHeight="1">
      <c r="A2600" s="37" t="s">
        <v>5425</v>
      </c>
      <c r="B2600" s="35" t="s">
        <v>5426</v>
      </c>
      <c r="C2600" s="35">
        <v>267.0</v>
      </c>
      <c r="D2600" s="35">
        <v>341.0</v>
      </c>
      <c r="E2600" s="35">
        <v>28220.0</v>
      </c>
      <c r="F2600" s="35" t="s">
        <v>11</v>
      </c>
    </row>
    <row r="2601" ht="22.5" customHeight="1">
      <c r="A2601" s="37" t="s">
        <v>5427</v>
      </c>
      <c r="B2601" s="35" t="s">
        <v>5428</v>
      </c>
      <c r="C2601" s="35">
        <v>4994.0</v>
      </c>
      <c r="D2601" s="35">
        <v>5044.0</v>
      </c>
      <c r="E2601" s="35">
        <v>27610.0</v>
      </c>
      <c r="F2601" s="35">
        <v>10.0</v>
      </c>
    </row>
    <row r="2602" ht="22.5" customHeight="1">
      <c r="A2602" s="37" t="s">
        <v>5429</v>
      </c>
      <c r="B2602" s="35" t="s">
        <v>5430</v>
      </c>
      <c r="C2602" s="35">
        <v>250.0</v>
      </c>
      <c r="D2602" s="35">
        <v>229.0</v>
      </c>
      <c r="E2602" s="35">
        <v>20050.0</v>
      </c>
      <c r="F2602" s="35" t="s">
        <v>11</v>
      </c>
    </row>
    <row r="2603" ht="22.5" customHeight="1">
      <c r="A2603" s="37" t="s">
        <v>5431</v>
      </c>
      <c r="B2603" s="35" t="s">
        <v>5432</v>
      </c>
      <c r="C2603" s="35">
        <v>234.0</v>
      </c>
      <c r="D2603" s="35">
        <v>232.0</v>
      </c>
      <c r="E2603" s="35">
        <v>24700.0</v>
      </c>
      <c r="F2603" s="35" t="s">
        <v>11</v>
      </c>
    </row>
    <row r="2604" ht="22.5" customHeight="1">
      <c r="A2604" s="37" t="s">
        <v>5433</v>
      </c>
      <c r="B2604" s="35" t="s">
        <v>5434</v>
      </c>
      <c r="C2604" s="35">
        <v>49.0</v>
      </c>
      <c r="D2604" s="35">
        <v>44.0</v>
      </c>
      <c r="E2604" s="35" t="s">
        <v>11</v>
      </c>
      <c r="F2604" s="35" t="s">
        <v>11</v>
      </c>
    </row>
    <row r="2605" ht="22.5" customHeight="1">
      <c r="A2605" s="37" t="s">
        <v>5435</v>
      </c>
      <c r="B2605" s="35" t="s">
        <v>5436</v>
      </c>
      <c r="C2605" s="35">
        <v>338.0</v>
      </c>
      <c r="D2605" s="35">
        <v>316.0</v>
      </c>
      <c r="E2605" s="35">
        <v>21920.0</v>
      </c>
      <c r="F2605" s="35" t="s">
        <v>11</v>
      </c>
    </row>
    <row r="2606" ht="22.5" customHeight="1">
      <c r="A2606" s="37" t="s">
        <v>5437</v>
      </c>
      <c r="B2606" s="35" t="s">
        <v>5438</v>
      </c>
      <c r="C2606" s="35">
        <v>238.0</v>
      </c>
      <c r="D2606" s="35">
        <v>229.0</v>
      </c>
      <c r="E2606" s="35">
        <v>26390.0</v>
      </c>
      <c r="F2606" s="35" t="s">
        <v>11</v>
      </c>
    </row>
    <row r="2607" ht="22.5" customHeight="1">
      <c r="A2607" s="37" t="s">
        <v>5439</v>
      </c>
      <c r="B2607" s="35" t="s">
        <v>5440</v>
      </c>
      <c r="C2607" s="35">
        <v>7167.0</v>
      </c>
      <c r="D2607" s="35">
        <v>7060.0</v>
      </c>
      <c r="E2607" s="35">
        <v>22680.0</v>
      </c>
      <c r="F2607" s="35">
        <v>19.0</v>
      </c>
    </row>
    <row r="2608" ht="22.5" customHeight="1">
      <c r="A2608" s="37" t="s">
        <v>5441</v>
      </c>
      <c r="B2608" s="35" t="s">
        <v>5442</v>
      </c>
      <c r="C2608" s="35">
        <v>31415.0</v>
      </c>
      <c r="D2608" s="35">
        <v>32920.0</v>
      </c>
      <c r="E2608" s="35">
        <v>18660.0</v>
      </c>
      <c r="F2608" s="35">
        <v>35.4</v>
      </c>
    </row>
    <row r="2609" ht="22.5" customHeight="1">
      <c r="A2609" s="37" t="s">
        <v>5443</v>
      </c>
      <c r="B2609" s="35" t="s">
        <v>5444</v>
      </c>
      <c r="C2609" s="35">
        <v>273.0</v>
      </c>
      <c r="D2609" s="35">
        <v>291.0</v>
      </c>
      <c r="E2609" s="35">
        <v>24290.0</v>
      </c>
      <c r="F2609" s="35" t="s">
        <v>11</v>
      </c>
    </row>
    <row r="2610" ht="22.5" customHeight="1">
      <c r="A2610" s="37" t="s">
        <v>5445</v>
      </c>
      <c r="B2610" s="35" t="s">
        <v>5446</v>
      </c>
      <c r="C2610" s="35">
        <v>405.0</v>
      </c>
      <c r="D2610" s="35">
        <v>402.0</v>
      </c>
      <c r="E2610" s="35">
        <v>27170.0</v>
      </c>
      <c r="F2610" s="35" t="s">
        <v>11</v>
      </c>
    </row>
    <row r="2611" ht="22.5" customHeight="1">
      <c r="A2611" s="37" t="s">
        <v>5447</v>
      </c>
      <c r="B2611" s="35" t="s">
        <v>5448</v>
      </c>
      <c r="C2611" s="35">
        <v>222.0</v>
      </c>
      <c r="D2611" s="35">
        <v>243.0</v>
      </c>
      <c r="E2611" s="35">
        <v>23040.0</v>
      </c>
      <c r="F2611" s="35" t="s">
        <v>11</v>
      </c>
    </row>
    <row r="2612" ht="22.5" customHeight="1">
      <c r="A2612" s="37" t="s">
        <v>5449</v>
      </c>
      <c r="B2612" s="35" t="s">
        <v>5450</v>
      </c>
      <c r="C2612" s="35">
        <v>4532.0</v>
      </c>
      <c r="D2612" s="35">
        <v>5009.0</v>
      </c>
      <c r="E2612" s="35">
        <v>27570.0</v>
      </c>
      <c r="F2612" s="35">
        <v>8.0</v>
      </c>
    </row>
    <row r="2613" ht="22.5" customHeight="1">
      <c r="A2613" s="37" t="s">
        <v>5451</v>
      </c>
      <c r="B2613" s="35" t="s">
        <v>5452</v>
      </c>
      <c r="C2613" s="35">
        <v>295.0</v>
      </c>
      <c r="D2613" s="35">
        <v>293.0</v>
      </c>
      <c r="E2613" s="35">
        <v>30600.0</v>
      </c>
      <c r="F2613" s="35" t="s">
        <v>11</v>
      </c>
    </row>
    <row r="2614" ht="22.5" customHeight="1">
      <c r="A2614" s="37" t="s">
        <v>5453</v>
      </c>
      <c r="B2614" s="35" t="s">
        <v>5454</v>
      </c>
      <c r="C2614" s="35">
        <v>252.0</v>
      </c>
      <c r="D2614" s="35">
        <v>269.0</v>
      </c>
      <c r="E2614" s="35">
        <v>27040.0</v>
      </c>
      <c r="F2614" s="35" t="s">
        <v>11</v>
      </c>
    </row>
    <row r="2615" ht="22.5" customHeight="1">
      <c r="A2615" s="37" t="s">
        <v>5455</v>
      </c>
      <c r="B2615" s="35" t="s">
        <v>5456</v>
      </c>
      <c r="C2615" s="35">
        <v>470.0</v>
      </c>
      <c r="D2615" s="35">
        <v>540.0</v>
      </c>
      <c r="E2615" s="35">
        <v>24740.0</v>
      </c>
      <c r="F2615" s="35" t="s">
        <v>11</v>
      </c>
    </row>
    <row r="2616" ht="22.5" customHeight="1">
      <c r="A2616" s="37" t="s">
        <v>5457</v>
      </c>
      <c r="B2616" s="35" t="s">
        <v>5458</v>
      </c>
      <c r="C2616" s="35">
        <v>1631.0</v>
      </c>
      <c r="D2616" s="35">
        <v>1679.0</v>
      </c>
      <c r="E2616" s="35">
        <v>23460.0</v>
      </c>
      <c r="F2616" s="35" t="s">
        <v>11</v>
      </c>
    </row>
    <row r="2617" ht="22.5" customHeight="1">
      <c r="A2617" s="37" t="s">
        <v>5459</v>
      </c>
      <c r="B2617" s="35" t="s">
        <v>5460</v>
      </c>
      <c r="C2617" s="35">
        <v>291.0</v>
      </c>
      <c r="D2617" s="35">
        <v>303.0</v>
      </c>
      <c r="E2617" s="35">
        <v>25130.0</v>
      </c>
      <c r="F2617" s="35" t="s">
        <v>11</v>
      </c>
    </row>
    <row r="2618" ht="22.5" customHeight="1">
      <c r="A2618" s="37" t="s">
        <v>5461</v>
      </c>
      <c r="B2618" s="35" t="s">
        <v>5462</v>
      </c>
      <c r="C2618" s="35">
        <v>380.0</v>
      </c>
      <c r="D2618" s="35">
        <v>335.0</v>
      </c>
      <c r="E2618" s="35">
        <v>25450.0</v>
      </c>
      <c r="F2618" s="35" t="s">
        <v>11</v>
      </c>
    </row>
    <row r="2619" ht="22.5" customHeight="1">
      <c r="A2619" s="37" t="s">
        <v>5463</v>
      </c>
      <c r="B2619" s="35" t="s">
        <v>5464</v>
      </c>
      <c r="C2619" s="35">
        <v>327.0</v>
      </c>
      <c r="D2619" s="35">
        <v>378.0</v>
      </c>
      <c r="E2619" s="35">
        <v>24090.0</v>
      </c>
      <c r="F2619" s="35" t="s">
        <v>11</v>
      </c>
    </row>
    <row r="2620" ht="22.5" customHeight="1">
      <c r="A2620" s="37" t="s">
        <v>5465</v>
      </c>
      <c r="B2620" s="35" t="s">
        <v>5466</v>
      </c>
      <c r="C2620" s="35">
        <v>30785.0</v>
      </c>
      <c r="D2620" s="35">
        <v>30063.0</v>
      </c>
      <c r="E2620" s="35">
        <v>20030.0</v>
      </c>
      <c r="F2620" s="35">
        <v>29.2</v>
      </c>
    </row>
    <row r="2621" ht="22.5" customHeight="1">
      <c r="A2621" s="37" t="s">
        <v>5467</v>
      </c>
      <c r="B2621" s="35" t="s">
        <v>5468</v>
      </c>
      <c r="C2621" s="35">
        <v>137.0</v>
      </c>
      <c r="D2621" s="35">
        <v>140.0</v>
      </c>
      <c r="E2621" s="35">
        <v>24120.0</v>
      </c>
      <c r="F2621" s="35" t="s">
        <v>11</v>
      </c>
    </row>
    <row r="2622" ht="22.5" customHeight="1">
      <c r="A2622" s="37" t="s">
        <v>5469</v>
      </c>
      <c r="B2622" s="35" t="s">
        <v>5470</v>
      </c>
      <c r="C2622" s="35">
        <v>598.0</v>
      </c>
      <c r="D2622" s="35">
        <v>565.0</v>
      </c>
      <c r="E2622" s="35">
        <v>25620.0</v>
      </c>
      <c r="F2622" s="35" t="s">
        <v>11</v>
      </c>
    </row>
    <row r="2623" ht="22.5" customHeight="1">
      <c r="A2623" s="37" t="s">
        <v>5471</v>
      </c>
      <c r="B2623" s="35" t="s">
        <v>5472</v>
      </c>
      <c r="C2623" s="35">
        <v>194.0</v>
      </c>
      <c r="D2623" s="35">
        <v>188.0</v>
      </c>
      <c r="E2623" s="35">
        <v>22540.0</v>
      </c>
      <c r="F2623" s="35" t="s">
        <v>11</v>
      </c>
    </row>
    <row r="2624" ht="22.5" customHeight="1">
      <c r="A2624" s="37" t="s">
        <v>5473</v>
      </c>
      <c r="B2624" s="35" t="s">
        <v>5474</v>
      </c>
      <c r="C2624" s="35">
        <v>258.0</v>
      </c>
      <c r="D2624" s="35">
        <v>235.0</v>
      </c>
      <c r="E2624" s="35">
        <v>25400.0</v>
      </c>
      <c r="F2624" s="35" t="s">
        <v>11</v>
      </c>
    </row>
    <row r="2625" ht="22.5" customHeight="1">
      <c r="A2625" s="37" t="s">
        <v>5475</v>
      </c>
      <c r="B2625" s="35" t="s">
        <v>5476</v>
      </c>
      <c r="C2625" s="35">
        <v>532.0</v>
      </c>
      <c r="D2625" s="35">
        <v>514.0</v>
      </c>
      <c r="E2625" s="35">
        <v>27880.0</v>
      </c>
      <c r="F2625" s="35" t="s">
        <v>11</v>
      </c>
    </row>
    <row r="2626" ht="22.5" customHeight="1">
      <c r="A2626" s="37" t="s">
        <v>5477</v>
      </c>
      <c r="B2626" s="35" t="s">
        <v>5478</v>
      </c>
      <c r="C2626" s="35">
        <v>9931.0</v>
      </c>
      <c r="D2626" s="35">
        <v>10193.0</v>
      </c>
      <c r="E2626" s="35">
        <v>21760.0</v>
      </c>
      <c r="F2626" s="35">
        <v>24.0</v>
      </c>
    </row>
    <row r="2627" ht="22.5" customHeight="1">
      <c r="A2627" s="37" t="s">
        <v>5479</v>
      </c>
      <c r="B2627" s="35" t="s">
        <v>5480</v>
      </c>
      <c r="C2627" s="35">
        <v>205.0</v>
      </c>
      <c r="D2627" s="35">
        <v>219.0</v>
      </c>
      <c r="E2627" s="35">
        <v>22500.0</v>
      </c>
      <c r="F2627" s="35" t="s">
        <v>11</v>
      </c>
    </row>
    <row r="2628" ht="22.5" customHeight="1">
      <c r="A2628" s="37" t="s">
        <v>5481</v>
      </c>
      <c r="B2628" s="35" t="s">
        <v>5482</v>
      </c>
      <c r="C2628" s="35">
        <v>153.0</v>
      </c>
      <c r="D2628" s="35">
        <v>174.0</v>
      </c>
      <c r="E2628" s="35">
        <v>23800.0</v>
      </c>
      <c r="F2628" s="35" t="s">
        <v>11</v>
      </c>
    </row>
    <row r="2629" ht="22.5" customHeight="1">
      <c r="A2629" s="37" t="s">
        <v>5483</v>
      </c>
      <c r="B2629" s="35" t="s">
        <v>5484</v>
      </c>
      <c r="C2629" s="35">
        <v>591.0</v>
      </c>
      <c r="D2629" s="35">
        <v>582.0</v>
      </c>
      <c r="E2629" s="35">
        <v>23830.0</v>
      </c>
      <c r="F2629" s="35" t="s">
        <v>11</v>
      </c>
    </row>
    <row r="2630" ht="22.5" customHeight="1">
      <c r="A2630" s="37" t="s">
        <v>5485</v>
      </c>
      <c r="B2630" s="35" t="s">
        <v>5486</v>
      </c>
      <c r="C2630" s="35">
        <v>2465.0</v>
      </c>
      <c r="D2630" s="35">
        <v>2324.0</v>
      </c>
      <c r="E2630" s="35">
        <v>29980.0</v>
      </c>
      <c r="F2630" s="35">
        <v>7.0</v>
      </c>
    </row>
    <row r="2631" ht="22.5" customHeight="1">
      <c r="A2631" s="37" t="s">
        <v>5487</v>
      </c>
      <c r="B2631" s="35" t="s">
        <v>5488</v>
      </c>
      <c r="C2631" s="35">
        <v>201.0</v>
      </c>
      <c r="D2631" s="35">
        <v>224.0</v>
      </c>
      <c r="E2631" s="35">
        <v>21410.0</v>
      </c>
      <c r="F2631" s="35" t="s">
        <v>11</v>
      </c>
    </row>
    <row r="2632" ht="22.5" customHeight="1">
      <c r="A2632" s="37" t="s">
        <v>5489</v>
      </c>
      <c r="B2632" s="35" t="s">
        <v>5490</v>
      </c>
      <c r="C2632" s="35">
        <v>266.0</v>
      </c>
      <c r="D2632" s="35">
        <v>252.0</v>
      </c>
      <c r="E2632" s="35">
        <v>26290.0</v>
      </c>
      <c r="F2632" s="35" t="s">
        <v>11</v>
      </c>
    </row>
    <row r="2633" ht="22.5" customHeight="1">
      <c r="A2633" s="37" t="s">
        <v>5491</v>
      </c>
      <c r="B2633" s="35" t="s">
        <v>5492</v>
      </c>
      <c r="C2633" s="35">
        <v>5410.0</v>
      </c>
      <c r="D2633" s="35">
        <v>5169.0</v>
      </c>
      <c r="E2633" s="35">
        <v>21600.0</v>
      </c>
      <c r="F2633" s="35">
        <v>23.0</v>
      </c>
    </row>
    <row r="2634" ht="22.5" customHeight="1">
      <c r="A2634" s="37" t="s">
        <v>5493</v>
      </c>
      <c r="B2634" s="35" t="s">
        <v>5494</v>
      </c>
      <c r="C2634" s="35">
        <v>1452.0</v>
      </c>
      <c r="D2634" s="35">
        <v>1528.0</v>
      </c>
      <c r="E2634" s="35">
        <v>23030.0</v>
      </c>
      <c r="F2634" s="35" t="s">
        <v>11</v>
      </c>
    </row>
    <row r="2635" ht="22.5" customHeight="1">
      <c r="A2635" s="37" t="s">
        <v>5495</v>
      </c>
      <c r="B2635" s="35" t="s">
        <v>5496</v>
      </c>
      <c r="C2635" s="35">
        <v>11023.0</v>
      </c>
      <c r="D2635" s="35">
        <v>10548.0</v>
      </c>
      <c r="E2635" s="35">
        <v>21570.0</v>
      </c>
      <c r="F2635" s="35">
        <v>25.0</v>
      </c>
    </row>
    <row r="2636" ht="22.5" customHeight="1">
      <c r="A2636" s="37" t="s">
        <v>5497</v>
      </c>
      <c r="B2636" s="35" t="s">
        <v>5498</v>
      </c>
      <c r="C2636" s="35">
        <v>138.0</v>
      </c>
      <c r="D2636" s="35">
        <v>149.0</v>
      </c>
      <c r="E2636" s="35">
        <v>28050.0</v>
      </c>
      <c r="F2636" s="35" t="s">
        <v>11</v>
      </c>
    </row>
    <row r="2637" ht="22.5" customHeight="1">
      <c r="A2637" s="37" t="s">
        <v>5499</v>
      </c>
      <c r="B2637" s="35" t="s">
        <v>5500</v>
      </c>
      <c r="C2637" s="35">
        <v>247.0</v>
      </c>
      <c r="D2637" s="35">
        <v>253.0</v>
      </c>
      <c r="E2637" s="35">
        <v>21610.0</v>
      </c>
      <c r="F2637" s="35" t="s">
        <v>11</v>
      </c>
    </row>
    <row r="2638" ht="22.5" customHeight="1">
      <c r="A2638" s="37" t="s">
        <v>5501</v>
      </c>
      <c r="B2638" s="35" t="s">
        <v>5502</v>
      </c>
      <c r="C2638" s="35">
        <v>6751.0</v>
      </c>
      <c r="D2638" s="35">
        <v>6799.0</v>
      </c>
      <c r="E2638" s="35">
        <v>23200.0</v>
      </c>
      <c r="F2638" s="35">
        <v>19.0</v>
      </c>
    </row>
    <row r="2639" ht="22.5" customHeight="1">
      <c r="A2639" s="37" t="s">
        <v>5503</v>
      </c>
      <c r="B2639" s="35" t="s">
        <v>5504</v>
      </c>
      <c r="C2639" s="35">
        <v>1586.0</v>
      </c>
      <c r="D2639" s="35">
        <v>1651.0</v>
      </c>
      <c r="E2639" s="35">
        <v>31570.0</v>
      </c>
      <c r="F2639" s="35" t="s">
        <v>11</v>
      </c>
    </row>
    <row r="2640" ht="22.5" customHeight="1">
      <c r="A2640" s="37" t="s">
        <v>5505</v>
      </c>
      <c r="B2640" s="35" t="s">
        <v>5506</v>
      </c>
      <c r="C2640" s="35">
        <v>545.0</v>
      </c>
      <c r="D2640" s="35">
        <v>544.0</v>
      </c>
      <c r="E2640" s="35">
        <v>25190.0</v>
      </c>
      <c r="F2640" s="35" t="s">
        <v>11</v>
      </c>
    </row>
    <row r="2641" ht="22.5" customHeight="1">
      <c r="A2641" s="37" t="s">
        <v>5507</v>
      </c>
      <c r="B2641" s="35" t="s">
        <v>5508</v>
      </c>
      <c r="C2641" s="35">
        <v>960.0</v>
      </c>
      <c r="D2641" s="35">
        <v>947.0</v>
      </c>
      <c r="E2641" s="35">
        <v>26370.0</v>
      </c>
      <c r="F2641" s="35" t="s">
        <v>11</v>
      </c>
    </row>
    <row r="2642" ht="22.5" customHeight="1">
      <c r="A2642" s="37" t="s">
        <v>5509</v>
      </c>
      <c r="B2642" s="35" t="s">
        <v>5510</v>
      </c>
      <c r="C2642" s="35">
        <v>1262.0</v>
      </c>
      <c r="D2642" s="35">
        <v>1256.0</v>
      </c>
      <c r="E2642" s="35">
        <v>23490.0</v>
      </c>
      <c r="F2642" s="35" t="s">
        <v>11</v>
      </c>
    </row>
    <row r="2643" ht="22.5" customHeight="1">
      <c r="A2643" s="37" t="s">
        <v>5511</v>
      </c>
      <c r="B2643" s="35" t="s">
        <v>5512</v>
      </c>
      <c r="C2643" s="35">
        <v>147.0</v>
      </c>
      <c r="D2643" s="35">
        <v>140.0</v>
      </c>
      <c r="E2643" s="35">
        <v>23230.0</v>
      </c>
      <c r="F2643" s="35" t="s">
        <v>11</v>
      </c>
    </row>
    <row r="2644" ht="22.5" customHeight="1">
      <c r="A2644" s="37" t="s">
        <v>5513</v>
      </c>
      <c r="B2644" s="35" t="s">
        <v>5514</v>
      </c>
      <c r="C2644" s="35">
        <v>3626.0</v>
      </c>
      <c r="D2644" s="35">
        <v>3579.0</v>
      </c>
      <c r="E2644" s="35">
        <v>22170.0</v>
      </c>
      <c r="F2644" s="35">
        <v>19.0</v>
      </c>
    </row>
    <row r="2645" ht="22.5" customHeight="1">
      <c r="A2645" s="37" t="s">
        <v>5515</v>
      </c>
      <c r="B2645" s="35" t="s">
        <v>5516</v>
      </c>
      <c r="C2645" s="35">
        <v>161.0</v>
      </c>
      <c r="D2645" s="35">
        <v>149.0</v>
      </c>
      <c r="E2645" s="35">
        <v>32540.0</v>
      </c>
      <c r="F2645" s="35" t="s">
        <v>11</v>
      </c>
    </row>
    <row r="2646" ht="22.5" customHeight="1">
      <c r="A2646" s="37" t="s">
        <v>5517</v>
      </c>
      <c r="B2646" s="35" t="s">
        <v>5518</v>
      </c>
      <c r="C2646" s="35">
        <v>649.0</v>
      </c>
      <c r="D2646" s="35">
        <v>647.0</v>
      </c>
      <c r="E2646" s="35">
        <v>24740.0</v>
      </c>
      <c r="F2646" s="35" t="s">
        <v>11</v>
      </c>
    </row>
    <row r="2647" ht="22.5" customHeight="1">
      <c r="A2647" s="37" t="s">
        <v>5519</v>
      </c>
      <c r="B2647" s="35" t="s">
        <v>5520</v>
      </c>
      <c r="C2647" s="35">
        <v>117.0</v>
      </c>
      <c r="D2647" s="35">
        <v>105.0</v>
      </c>
      <c r="E2647" s="35" t="s">
        <v>11</v>
      </c>
      <c r="F2647" s="35" t="s">
        <v>11</v>
      </c>
    </row>
    <row r="2648" ht="22.5" customHeight="1">
      <c r="A2648" s="37" t="s">
        <v>5521</v>
      </c>
      <c r="B2648" s="35" t="s">
        <v>5522</v>
      </c>
      <c r="C2648" s="35">
        <v>426.0</v>
      </c>
      <c r="D2648" s="35">
        <v>451.0</v>
      </c>
      <c r="E2648" s="35">
        <v>23290.0</v>
      </c>
      <c r="F2648" s="35" t="s">
        <v>11</v>
      </c>
    </row>
    <row r="2649" ht="22.5" customHeight="1">
      <c r="A2649" s="37" t="s">
        <v>5523</v>
      </c>
      <c r="B2649" s="35" t="s">
        <v>5524</v>
      </c>
      <c r="C2649" s="35">
        <v>242.0</v>
      </c>
      <c r="D2649" s="35">
        <v>266.0</v>
      </c>
      <c r="E2649" s="35">
        <v>25420.0</v>
      </c>
      <c r="F2649" s="35" t="s">
        <v>11</v>
      </c>
    </row>
    <row r="2650" ht="22.5" customHeight="1">
      <c r="A2650" s="37" t="s">
        <v>5525</v>
      </c>
      <c r="B2650" s="35" t="s">
        <v>5526</v>
      </c>
      <c r="C2650" s="35">
        <v>1680.0</v>
      </c>
      <c r="D2650" s="35">
        <v>1678.0</v>
      </c>
      <c r="E2650" s="35">
        <v>25340.0</v>
      </c>
      <c r="F2650" s="35" t="s">
        <v>11</v>
      </c>
    </row>
    <row r="2651" ht="22.5" customHeight="1">
      <c r="A2651" s="37" t="s">
        <v>5527</v>
      </c>
      <c r="B2651" s="35" t="s">
        <v>5528</v>
      </c>
      <c r="C2651" s="35">
        <v>125.0</v>
      </c>
      <c r="D2651" s="35">
        <v>119.0</v>
      </c>
      <c r="E2651" s="35">
        <v>24460.0</v>
      </c>
      <c r="F2651" s="35" t="s">
        <v>11</v>
      </c>
    </row>
    <row r="2652" ht="22.5" customHeight="1">
      <c r="A2652" s="37" t="s">
        <v>5529</v>
      </c>
      <c r="B2652" s="35" t="s">
        <v>5530</v>
      </c>
      <c r="C2652" s="35">
        <v>193.0</v>
      </c>
      <c r="D2652" s="35">
        <v>205.0</v>
      </c>
      <c r="E2652" s="35">
        <v>24890.0</v>
      </c>
      <c r="F2652" s="35" t="s">
        <v>11</v>
      </c>
    </row>
    <row r="2653" ht="22.5" customHeight="1">
      <c r="A2653" s="37" t="s">
        <v>5531</v>
      </c>
      <c r="B2653" s="35" t="s">
        <v>5532</v>
      </c>
      <c r="C2653" s="35">
        <v>1997.0</v>
      </c>
      <c r="D2653" s="35">
        <v>1973.0</v>
      </c>
      <c r="E2653" s="35">
        <v>23880.0</v>
      </c>
      <c r="F2653" s="35" t="s">
        <v>11</v>
      </c>
    </row>
    <row r="2654" ht="22.5" customHeight="1">
      <c r="A2654" s="37" t="s">
        <v>5533</v>
      </c>
      <c r="B2654" s="35" t="s">
        <v>5534</v>
      </c>
      <c r="C2654" s="35">
        <v>185.0</v>
      </c>
      <c r="D2654" s="35">
        <v>182.0</v>
      </c>
      <c r="E2654" s="35">
        <v>27980.0</v>
      </c>
      <c r="F2654" s="35" t="s">
        <v>11</v>
      </c>
    </row>
    <row r="2655" ht="22.5" customHeight="1">
      <c r="A2655" s="37" t="s">
        <v>5535</v>
      </c>
      <c r="B2655" s="35" t="s">
        <v>5536</v>
      </c>
      <c r="C2655" s="35">
        <v>151.0</v>
      </c>
      <c r="D2655" s="35">
        <v>152.0</v>
      </c>
      <c r="E2655" s="35">
        <v>23830.0</v>
      </c>
      <c r="F2655" s="35" t="s">
        <v>11</v>
      </c>
    </row>
    <row r="2656" ht="22.5" customHeight="1">
      <c r="A2656" s="37" t="s">
        <v>5537</v>
      </c>
      <c r="B2656" s="35" t="s">
        <v>5538</v>
      </c>
      <c r="C2656" s="35">
        <v>314.0</v>
      </c>
      <c r="D2656" s="35">
        <v>336.0</v>
      </c>
      <c r="E2656" s="35">
        <v>32870.0</v>
      </c>
      <c r="F2656" s="35" t="s">
        <v>11</v>
      </c>
    </row>
    <row r="2657" ht="22.5" customHeight="1">
      <c r="A2657" s="37" t="s">
        <v>5539</v>
      </c>
      <c r="B2657" s="35" t="s">
        <v>5540</v>
      </c>
      <c r="C2657" s="35">
        <v>66.0</v>
      </c>
      <c r="D2657" s="35">
        <v>73.0</v>
      </c>
      <c r="E2657" s="35" t="s">
        <v>11</v>
      </c>
      <c r="F2657" s="35" t="s">
        <v>11</v>
      </c>
    </row>
    <row r="2658" ht="22.5" customHeight="1">
      <c r="A2658" s="37" t="s">
        <v>5541</v>
      </c>
      <c r="B2658" s="35" t="s">
        <v>5542</v>
      </c>
      <c r="C2658" s="35">
        <v>10676.0</v>
      </c>
      <c r="D2658" s="35">
        <v>10467.0</v>
      </c>
      <c r="E2658" s="35">
        <v>25410.0</v>
      </c>
      <c r="F2658" s="35">
        <v>12.0</v>
      </c>
    </row>
    <row r="2659" ht="22.5" customHeight="1">
      <c r="A2659" s="37" t="s">
        <v>5543</v>
      </c>
      <c r="B2659" s="35" t="s">
        <v>5544</v>
      </c>
      <c r="C2659" s="35">
        <v>1134.0</v>
      </c>
      <c r="D2659" s="35">
        <v>1090.0</v>
      </c>
      <c r="E2659" s="35">
        <v>22610.0</v>
      </c>
      <c r="F2659" s="35" t="s">
        <v>11</v>
      </c>
    </row>
    <row r="2660" ht="22.5" customHeight="1">
      <c r="A2660" s="37" t="s">
        <v>5545</v>
      </c>
      <c r="B2660" s="35" t="s">
        <v>5546</v>
      </c>
      <c r="C2660" s="35">
        <v>243.0</v>
      </c>
      <c r="D2660" s="35">
        <v>283.0</v>
      </c>
      <c r="E2660" s="35">
        <v>26730.0</v>
      </c>
      <c r="F2660" s="35" t="s">
        <v>11</v>
      </c>
    </row>
    <row r="2661" ht="22.5" customHeight="1">
      <c r="A2661" s="37" t="s">
        <v>5547</v>
      </c>
      <c r="B2661" s="35" t="s">
        <v>5548</v>
      </c>
      <c r="C2661" s="35">
        <v>986.0</v>
      </c>
      <c r="D2661" s="35">
        <v>1070.0</v>
      </c>
      <c r="E2661" s="35">
        <v>23420.0</v>
      </c>
      <c r="F2661" s="35" t="s">
        <v>11</v>
      </c>
    </row>
    <row r="2662" ht="22.5" customHeight="1">
      <c r="A2662" s="37" t="s">
        <v>5549</v>
      </c>
      <c r="B2662" s="35" t="s">
        <v>5550</v>
      </c>
      <c r="C2662" s="35">
        <v>285.0</v>
      </c>
      <c r="D2662" s="35">
        <v>279.0</v>
      </c>
      <c r="E2662" s="35">
        <v>26760.0</v>
      </c>
      <c r="F2662" s="35" t="s">
        <v>11</v>
      </c>
    </row>
    <row r="2663" ht="22.5" customHeight="1">
      <c r="A2663" s="37" t="s">
        <v>5551</v>
      </c>
      <c r="B2663" s="35" t="s">
        <v>5552</v>
      </c>
      <c r="C2663" s="35">
        <v>102.0</v>
      </c>
      <c r="D2663" s="35">
        <v>93.0</v>
      </c>
      <c r="E2663" s="35" t="s">
        <v>11</v>
      </c>
      <c r="F2663" s="35" t="s">
        <v>11</v>
      </c>
    </row>
    <row r="2664" ht="22.5" customHeight="1">
      <c r="A2664" s="37" t="s">
        <v>5553</v>
      </c>
      <c r="B2664" s="35" t="s">
        <v>5554</v>
      </c>
      <c r="C2664" s="35">
        <v>5579.0</v>
      </c>
      <c r="D2664" s="35">
        <v>5411.0</v>
      </c>
      <c r="E2664" s="35">
        <v>18770.0</v>
      </c>
      <c r="F2664" s="35">
        <v>30.0</v>
      </c>
    </row>
    <row r="2665" ht="22.5" customHeight="1">
      <c r="A2665" s="37" t="s">
        <v>5555</v>
      </c>
      <c r="B2665" s="35" t="s">
        <v>5556</v>
      </c>
      <c r="C2665" s="35">
        <v>299.0</v>
      </c>
      <c r="D2665" s="35">
        <v>314.0</v>
      </c>
      <c r="E2665" s="35">
        <v>23720.0</v>
      </c>
      <c r="F2665" s="35" t="s">
        <v>11</v>
      </c>
    </row>
    <row r="2666" ht="22.5" customHeight="1">
      <c r="A2666" s="37" t="s">
        <v>5557</v>
      </c>
      <c r="B2666" s="35" t="s">
        <v>5558</v>
      </c>
      <c r="C2666" s="35">
        <v>2464.0</v>
      </c>
      <c r="D2666" s="35">
        <v>2422.0</v>
      </c>
      <c r="E2666" s="35">
        <v>29120.0</v>
      </c>
      <c r="F2666" s="35">
        <v>7.0</v>
      </c>
    </row>
    <row r="2667" ht="22.5" customHeight="1">
      <c r="A2667" s="37" t="s">
        <v>5559</v>
      </c>
      <c r="B2667" s="35" t="s">
        <v>5560</v>
      </c>
      <c r="C2667" s="35">
        <v>179.0</v>
      </c>
      <c r="D2667" s="35">
        <v>166.0</v>
      </c>
      <c r="E2667" s="35">
        <v>23980.0</v>
      </c>
      <c r="F2667" s="35" t="s">
        <v>11</v>
      </c>
    </row>
    <row r="2668" ht="22.5" customHeight="1">
      <c r="A2668" s="37" t="s">
        <v>5561</v>
      </c>
      <c r="B2668" s="35" t="s">
        <v>5562</v>
      </c>
      <c r="C2668" s="35">
        <v>976.0</v>
      </c>
      <c r="D2668" s="35">
        <v>1039.0</v>
      </c>
      <c r="E2668" s="35">
        <v>25070.0</v>
      </c>
      <c r="F2668" s="35" t="s">
        <v>11</v>
      </c>
    </row>
    <row r="2669" ht="22.5" customHeight="1">
      <c r="A2669" s="37" t="s">
        <v>5563</v>
      </c>
      <c r="B2669" s="35" t="s">
        <v>5564</v>
      </c>
      <c r="C2669" s="35">
        <v>5088.0</v>
      </c>
      <c r="D2669" s="35">
        <v>5217.0</v>
      </c>
      <c r="E2669" s="35">
        <v>23400.0</v>
      </c>
      <c r="F2669" s="35">
        <v>16.0</v>
      </c>
    </row>
    <row r="2670" ht="22.5" customHeight="1">
      <c r="A2670" s="37" t="s">
        <v>5565</v>
      </c>
      <c r="B2670" s="35" t="s">
        <v>5566</v>
      </c>
      <c r="C2670" s="35">
        <v>196.0</v>
      </c>
      <c r="D2670" s="35">
        <v>173.0</v>
      </c>
      <c r="E2670" s="35">
        <v>26810.0</v>
      </c>
      <c r="F2670" s="35" t="s">
        <v>11</v>
      </c>
    </row>
    <row r="2671" ht="22.5" customHeight="1">
      <c r="A2671" s="37" t="s">
        <v>5567</v>
      </c>
      <c r="B2671" s="35" t="s">
        <v>5568</v>
      </c>
      <c r="C2671" s="35">
        <v>185.0</v>
      </c>
      <c r="D2671" s="35">
        <v>177.0</v>
      </c>
      <c r="E2671" s="35">
        <v>21940.0</v>
      </c>
      <c r="F2671" s="35" t="s">
        <v>11</v>
      </c>
    </row>
    <row r="2672" ht="22.5" customHeight="1">
      <c r="A2672" s="37" t="s">
        <v>5569</v>
      </c>
      <c r="B2672" s="35" t="s">
        <v>5570</v>
      </c>
      <c r="C2672" s="35">
        <v>8053.0</v>
      </c>
      <c r="D2672" s="35">
        <v>8217.0</v>
      </c>
      <c r="E2672" s="35">
        <v>20570.0</v>
      </c>
      <c r="F2672" s="35">
        <v>26.0</v>
      </c>
    </row>
    <row r="2673" ht="22.5" customHeight="1">
      <c r="A2673" s="37" t="s">
        <v>5571</v>
      </c>
      <c r="B2673" s="35" t="s">
        <v>5572</v>
      </c>
      <c r="C2673" s="35">
        <v>474.0</v>
      </c>
      <c r="D2673" s="35">
        <v>457.0</v>
      </c>
      <c r="E2673" s="35">
        <v>27130.0</v>
      </c>
      <c r="F2673" s="35" t="s">
        <v>11</v>
      </c>
    </row>
    <row r="2674" ht="22.5" customHeight="1">
      <c r="A2674" s="37" t="s">
        <v>5573</v>
      </c>
      <c r="B2674" s="35" t="s">
        <v>5574</v>
      </c>
      <c r="C2674" s="35">
        <v>77.0</v>
      </c>
      <c r="D2674" s="35">
        <v>71.0</v>
      </c>
      <c r="E2674" s="35" t="s">
        <v>11</v>
      </c>
      <c r="F2674" s="35" t="s">
        <v>11</v>
      </c>
    </row>
    <row r="2675" ht="22.5" customHeight="1">
      <c r="A2675" s="37" t="s">
        <v>5575</v>
      </c>
      <c r="B2675" s="35" t="s">
        <v>5576</v>
      </c>
      <c r="C2675" s="35">
        <v>700.0</v>
      </c>
      <c r="D2675" s="35">
        <v>670.0</v>
      </c>
      <c r="E2675" s="35">
        <v>25550.0</v>
      </c>
      <c r="F2675" s="35" t="s">
        <v>11</v>
      </c>
    </row>
    <row r="2676" ht="22.5" customHeight="1">
      <c r="A2676" s="37" t="s">
        <v>5577</v>
      </c>
      <c r="B2676" s="35" t="s">
        <v>5578</v>
      </c>
      <c r="C2676" s="35">
        <v>651.0</v>
      </c>
      <c r="D2676" s="35">
        <v>649.0</v>
      </c>
      <c r="E2676" s="35">
        <v>25200.0</v>
      </c>
      <c r="F2676" s="35" t="s">
        <v>11</v>
      </c>
    </row>
    <row r="2677" ht="22.5" customHeight="1">
      <c r="A2677" s="37" t="s">
        <v>5579</v>
      </c>
      <c r="B2677" s="35" t="s">
        <v>5580</v>
      </c>
      <c r="C2677" s="35">
        <v>697.0</v>
      </c>
      <c r="D2677" s="35">
        <v>730.0</v>
      </c>
      <c r="E2677" s="35">
        <v>26870.0</v>
      </c>
      <c r="F2677" s="35" t="s">
        <v>11</v>
      </c>
    </row>
    <row r="2678" ht="22.5" customHeight="1">
      <c r="A2678" s="37" t="s">
        <v>5581</v>
      </c>
      <c r="B2678" s="35" t="s">
        <v>5582</v>
      </c>
      <c r="C2678" s="35">
        <v>656.0</v>
      </c>
      <c r="D2678" s="35">
        <v>655.0</v>
      </c>
      <c r="E2678" s="35">
        <v>23310.0</v>
      </c>
      <c r="F2678" s="35" t="s">
        <v>11</v>
      </c>
    </row>
    <row r="2679" ht="22.5" customHeight="1">
      <c r="A2679" s="37" t="s">
        <v>5583</v>
      </c>
      <c r="B2679" s="35" t="s">
        <v>5584</v>
      </c>
      <c r="C2679" s="35">
        <v>11363.0</v>
      </c>
      <c r="D2679" s="35">
        <v>11619.0</v>
      </c>
      <c r="E2679" s="35">
        <v>20640.0</v>
      </c>
      <c r="F2679" s="35">
        <v>26.0</v>
      </c>
    </row>
    <row r="2680" ht="22.5" customHeight="1">
      <c r="A2680" s="37" t="s">
        <v>5585</v>
      </c>
      <c r="B2680" s="35" t="s">
        <v>5586</v>
      </c>
      <c r="C2680" s="35">
        <v>3348.0</v>
      </c>
      <c r="D2680" s="35">
        <v>3342.0</v>
      </c>
      <c r="E2680" s="35">
        <v>27510.0</v>
      </c>
      <c r="F2680" s="35">
        <v>10.0</v>
      </c>
    </row>
    <row r="2681" ht="22.5" customHeight="1">
      <c r="A2681" s="37" t="s">
        <v>5587</v>
      </c>
      <c r="B2681" s="35" t="s">
        <v>5588</v>
      </c>
      <c r="C2681" s="35">
        <v>664.0</v>
      </c>
      <c r="D2681" s="35">
        <v>620.0</v>
      </c>
      <c r="E2681" s="35">
        <v>22540.0</v>
      </c>
      <c r="F2681" s="35" t="s">
        <v>11</v>
      </c>
    </row>
    <row r="2682" ht="22.5" customHeight="1">
      <c r="A2682" s="37" t="s">
        <v>5589</v>
      </c>
      <c r="B2682" s="35" t="s">
        <v>5590</v>
      </c>
      <c r="C2682" s="35">
        <v>3786.0</v>
      </c>
      <c r="D2682" s="35">
        <v>3691.0</v>
      </c>
      <c r="E2682" s="35">
        <v>24130.0</v>
      </c>
      <c r="F2682" s="35">
        <v>15.0</v>
      </c>
    </row>
    <row r="2683" ht="22.5" customHeight="1">
      <c r="A2683" s="37" t="s">
        <v>5591</v>
      </c>
      <c r="B2683" s="35" t="s">
        <v>5592</v>
      </c>
      <c r="C2683" s="35">
        <v>230.0</v>
      </c>
      <c r="D2683" s="35">
        <v>228.0</v>
      </c>
      <c r="E2683" s="35">
        <v>25400.0</v>
      </c>
      <c r="F2683" s="35" t="s">
        <v>11</v>
      </c>
    </row>
    <row r="2684" ht="22.5" customHeight="1">
      <c r="A2684" s="37" t="s">
        <v>5593</v>
      </c>
      <c r="B2684" s="35" t="s">
        <v>5594</v>
      </c>
      <c r="C2684" s="35">
        <v>139.0</v>
      </c>
      <c r="D2684" s="35">
        <v>133.0</v>
      </c>
      <c r="E2684" s="35">
        <v>25170.0</v>
      </c>
      <c r="F2684" s="35" t="s">
        <v>11</v>
      </c>
    </row>
    <row r="2685" ht="22.5" customHeight="1">
      <c r="A2685" s="37" t="s">
        <v>5595</v>
      </c>
      <c r="B2685" s="35" t="s">
        <v>5596</v>
      </c>
      <c r="C2685" s="35">
        <v>90.0</v>
      </c>
      <c r="D2685" s="35">
        <v>71.0</v>
      </c>
      <c r="E2685" s="35" t="s">
        <v>11</v>
      </c>
      <c r="F2685" s="35" t="s">
        <v>11</v>
      </c>
    </row>
    <row r="2686" ht="22.5" customHeight="1">
      <c r="A2686" s="37" t="s">
        <v>5597</v>
      </c>
      <c r="B2686" s="35" t="s">
        <v>5598</v>
      </c>
      <c r="C2686" s="35">
        <v>96.0</v>
      </c>
      <c r="D2686" s="35">
        <v>104.0</v>
      </c>
      <c r="E2686" s="35">
        <v>30230.0</v>
      </c>
      <c r="F2686" s="35" t="s">
        <v>11</v>
      </c>
    </row>
    <row r="2687" ht="22.5" customHeight="1">
      <c r="A2687" s="37" t="s">
        <v>5599</v>
      </c>
      <c r="B2687" s="35" t="s">
        <v>5600</v>
      </c>
      <c r="C2687" s="35">
        <v>561.0</v>
      </c>
      <c r="D2687" s="35">
        <v>545.0</v>
      </c>
      <c r="E2687" s="35">
        <v>25660.0</v>
      </c>
      <c r="F2687" s="35" t="s">
        <v>11</v>
      </c>
    </row>
    <row r="2688" ht="22.5" customHeight="1">
      <c r="A2688" s="37" t="s">
        <v>5601</v>
      </c>
      <c r="B2688" s="35" t="s">
        <v>5602</v>
      </c>
      <c r="C2688" s="35">
        <v>476.0</v>
      </c>
      <c r="D2688" s="35">
        <v>512.0</v>
      </c>
      <c r="E2688" s="35">
        <v>25860.0</v>
      </c>
      <c r="F2688" s="35" t="s">
        <v>11</v>
      </c>
    </row>
    <row r="2689" ht="22.5" customHeight="1">
      <c r="A2689" s="37" t="s">
        <v>5603</v>
      </c>
      <c r="B2689" s="35" t="s">
        <v>5604</v>
      </c>
      <c r="C2689" s="35">
        <v>300.0</v>
      </c>
      <c r="D2689" s="35">
        <v>285.0</v>
      </c>
      <c r="E2689" s="35">
        <v>22280.0</v>
      </c>
      <c r="F2689" s="35" t="s">
        <v>11</v>
      </c>
    </row>
    <row r="2690" ht="22.5" customHeight="1">
      <c r="A2690" s="37" t="s">
        <v>5605</v>
      </c>
      <c r="B2690" s="35" t="s">
        <v>5606</v>
      </c>
      <c r="C2690" s="35">
        <v>651.0</v>
      </c>
      <c r="D2690" s="35">
        <v>679.0</v>
      </c>
      <c r="E2690" s="35">
        <v>28970.0</v>
      </c>
      <c r="F2690" s="35" t="s">
        <v>11</v>
      </c>
    </row>
    <row r="2691" ht="22.5" customHeight="1">
      <c r="A2691" s="37" t="s">
        <v>5607</v>
      </c>
      <c r="B2691" s="35" t="s">
        <v>5608</v>
      </c>
      <c r="C2691" s="35">
        <v>592.0</v>
      </c>
      <c r="D2691" s="35">
        <v>600.0</v>
      </c>
      <c r="E2691" s="35">
        <v>22300.0</v>
      </c>
      <c r="F2691" s="35" t="s">
        <v>11</v>
      </c>
    </row>
    <row r="2692" ht="22.5" customHeight="1">
      <c r="A2692" s="37" t="s">
        <v>5609</v>
      </c>
      <c r="B2692" s="35" t="s">
        <v>5610</v>
      </c>
      <c r="C2692" s="35">
        <v>1359.0</v>
      </c>
      <c r="D2692" s="35">
        <v>1317.0</v>
      </c>
      <c r="E2692" s="35">
        <v>27310.0</v>
      </c>
      <c r="F2692" s="35" t="s">
        <v>11</v>
      </c>
    </row>
    <row r="2693" ht="22.5" customHeight="1">
      <c r="A2693" s="37" t="s">
        <v>5611</v>
      </c>
      <c r="B2693" s="35" t="s">
        <v>5612</v>
      </c>
      <c r="C2693" s="35">
        <v>413.0</v>
      </c>
      <c r="D2693" s="35">
        <v>384.0</v>
      </c>
      <c r="E2693" s="35">
        <v>24620.0</v>
      </c>
      <c r="F2693" s="35" t="s">
        <v>11</v>
      </c>
    </row>
    <row r="2694" ht="22.5" customHeight="1">
      <c r="A2694" s="37" t="s">
        <v>5613</v>
      </c>
      <c r="B2694" s="35" t="s">
        <v>5614</v>
      </c>
      <c r="C2694" s="35">
        <v>460.0</v>
      </c>
      <c r="D2694" s="35">
        <v>443.0</v>
      </c>
      <c r="E2694" s="35">
        <v>29690.0</v>
      </c>
      <c r="F2694" s="35" t="s">
        <v>11</v>
      </c>
    </row>
    <row r="2695" ht="22.5" customHeight="1">
      <c r="A2695" s="37" t="s">
        <v>5615</v>
      </c>
      <c r="B2695" s="35" t="s">
        <v>5616</v>
      </c>
      <c r="C2695" s="35">
        <v>10198.0</v>
      </c>
      <c r="D2695" s="35">
        <v>9743.0</v>
      </c>
      <c r="E2695" s="35">
        <v>20660.0</v>
      </c>
      <c r="F2695" s="35">
        <v>26.0</v>
      </c>
    </row>
    <row r="2696" ht="22.5" customHeight="1">
      <c r="A2696" s="37" t="s">
        <v>5617</v>
      </c>
      <c r="B2696" s="35" t="s">
        <v>5618</v>
      </c>
      <c r="C2696" s="35">
        <v>2014.0</v>
      </c>
      <c r="D2696" s="35">
        <v>1912.0</v>
      </c>
      <c r="E2696" s="35">
        <v>24070.0</v>
      </c>
      <c r="F2696" s="35" t="s">
        <v>11</v>
      </c>
    </row>
    <row r="2697" ht="22.5" customHeight="1">
      <c r="A2697" s="37" t="s">
        <v>5619</v>
      </c>
      <c r="B2697" s="35" t="s">
        <v>5620</v>
      </c>
      <c r="C2697" s="35">
        <v>1023.0</v>
      </c>
      <c r="D2697" s="35">
        <v>1022.0</v>
      </c>
      <c r="E2697" s="35">
        <v>30580.0</v>
      </c>
      <c r="F2697" s="35" t="s">
        <v>11</v>
      </c>
    </row>
    <row r="2698" ht="22.5" customHeight="1">
      <c r="A2698" s="37" t="s">
        <v>5621</v>
      </c>
      <c r="B2698" s="35" t="s">
        <v>5622</v>
      </c>
      <c r="C2698" s="35">
        <v>63.0</v>
      </c>
      <c r="D2698" s="35">
        <v>62.0</v>
      </c>
      <c r="E2698" s="35" t="s">
        <v>11</v>
      </c>
      <c r="F2698" s="35" t="s">
        <v>11</v>
      </c>
    </row>
    <row r="2699" ht="22.5" customHeight="1">
      <c r="A2699" s="37" t="s">
        <v>5623</v>
      </c>
      <c r="B2699" s="35" t="s">
        <v>5624</v>
      </c>
      <c r="C2699" s="35">
        <v>210.0</v>
      </c>
      <c r="D2699" s="35">
        <v>210.0</v>
      </c>
      <c r="E2699" s="35">
        <v>24010.0</v>
      </c>
      <c r="F2699" s="35" t="s">
        <v>11</v>
      </c>
    </row>
    <row r="2700" ht="22.5" customHeight="1">
      <c r="A2700" s="37" t="s">
        <v>5625</v>
      </c>
      <c r="B2700" s="35" t="s">
        <v>5626</v>
      </c>
      <c r="C2700" s="35">
        <v>558.0</v>
      </c>
      <c r="D2700" s="35">
        <v>557.0</v>
      </c>
      <c r="E2700" s="35">
        <v>25260.0</v>
      </c>
      <c r="F2700" s="35" t="s">
        <v>11</v>
      </c>
    </row>
    <row r="2701" ht="22.5" customHeight="1">
      <c r="A2701" s="37" t="s">
        <v>5627</v>
      </c>
      <c r="B2701" s="35" t="s">
        <v>5628</v>
      </c>
      <c r="C2701" s="35">
        <v>94.0</v>
      </c>
      <c r="D2701" s="35">
        <v>87.0</v>
      </c>
      <c r="E2701" s="35" t="s">
        <v>11</v>
      </c>
      <c r="F2701" s="35" t="s">
        <v>11</v>
      </c>
    </row>
    <row r="2702" ht="22.5" customHeight="1">
      <c r="A2702" s="37" t="s">
        <v>5629</v>
      </c>
      <c r="B2702" s="35" t="s">
        <v>5630</v>
      </c>
      <c r="C2702" s="35">
        <v>309.0</v>
      </c>
      <c r="D2702" s="35">
        <v>299.0</v>
      </c>
      <c r="E2702" s="35">
        <v>24990.0</v>
      </c>
      <c r="F2702" s="35" t="s">
        <v>11</v>
      </c>
    </row>
    <row r="2703" ht="22.5" customHeight="1">
      <c r="A2703" s="37" t="s">
        <v>5631</v>
      </c>
      <c r="B2703" s="35" t="s">
        <v>5632</v>
      </c>
      <c r="C2703" s="35">
        <v>1117.0</v>
      </c>
      <c r="D2703" s="35">
        <v>1170.0</v>
      </c>
      <c r="E2703" s="35">
        <v>27500.0</v>
      </c>
      <c r="F2703" s="35" t="s">
        <v>11</v>
      </c>
    </row>
    <row r="2704" ht="22.5" customHeight="1">
      <c r="A2704" s="37" t="s">
        <v>5633</v>
      </c>
      <c r="B2704" s="35" t="s">
        <v>5634</v>
      </c>
      <c r="C2704" s="35">
        <v>249.0</v>
      </c>
      <c r="D2704" s="35">
        <v>237.0</v>
      </c>
      <c r="E2704" s="35">
        <v>26430.0</v>
      </c>
      <c r="F2704" s="35" t="s">
        <v>11</v>
      </c>
    </row>
    <row r="2705" ht="22.5" customHeight="1">
      <c r="A2705" s="37" t="s">
        <v>5635</v>
      </c>
      <c r="B2705" s="35" t="s">
        <v>3983</v>
      </c>
      <c r="C2705" s="35">
        <v>272.0</v>
      </c>
      <c r="D2705" s="35">
        <v>289.0</v>
      </c>
      <c r="E2705" s="35">
        <v>26160.0</v>
      </c>
      <c r="F2705" s="35" t="s">
        <v>11</v>
      </c>
    </row>
    <row r="2706" ht="22.5" customHeight="1">
      <c r="A2706" s="37" t="s">
        <v>5636</v>
      </c>
      <c r="B2706" s="35" t="s">
        <v>5637</v>
      </c>
      <c r="C2706" s="35">
        <v>734.0</v>
      </c>
      <c r="D2706" s="35">
        <v>673.0</v>
      </c>
      <c r="E2706" s="35">
        <v>25800.0</v>
      </c>
      <c r="F2706" s="35" t="s">
        <v>11</v>
      </c>
    </row>
    <row r="2707" ht="22.5" customHeight="1">
      <c r="A2707" s="37" t="s">
        <v>5638</v>
      </c>
      <c r="B2707" s="35" t="s">
        <v>5639</v>
      </c>
      <c r="C2707" s="35">
        <v>212.0</v>
      </c>
      <c r="D2707" s="35">
        <v>225.0</v>
      </c>
      <c r="E2707" s="35">
        <v>27220.0</v>
      </c>
      <c r="F2707" s="35" t="s">
        <v>11</v>
      </c>
    </row>
    <row r="2708" ht="22.5" customHeight="1">
      <c r="A2708" s="37" t="s">
        <v>5640</v>
      </c>
      <c r="B2708" s="35" t="s">
        <v>5641</v>
      </c>
      <c r="C2708" s="35">
        <v>153.0</v>
      </c>
      <c r="D2708" s="35">
        <v>158.0</v>
      </c>
      <c r="E2708" s="35">
        <v>26550.0</v>
      </c>
      <c r="F2708" s="35" t="s">
        <v>11</v>
      </c>
    </row>
    <row r="2709" ht="22.5" customHeight="1">
      <c r="A2709" s="37" t="s">
        <v>5642</v>
      </c>
      <c r="B2709" s="35" t="s">
        <v>5643</v>
      </c>
      <c r="C2709" s="35">
        <v>282.0</v>
      </c>
      <c r="D2709" s="35">
        <v>357.0</v>
      </c>
      <c r="E2709" s="35">
        <v>20430.0</v>
      </c>
      <c r="F2709" s="35" t="s">
        <v>11</v>
      </c>
    </row>
    <row r="2710" ht="22.5" customHeight="1">
      <c r="A2710" s="37" t="s">
        <v>5644</v>
      </c>
      <c r="B2710" s="35" t="s">
        <v>5645</v>
      </c>
      <c r="C2710" s="35">
        <v>198.0</v>
      </c>
      <c r="D2710" s="35">
        <v>200.0</v>
      </c>
      <c r="E2710" s="35">
        <v>23840.0</v>
      </c>
      <c r="F2710" s="35" t="s">
        <v>11</v>
      </c>
    </row>
    <row r="2711" ht="22.5" customHeight="1">
      <c r="A2711" s="37" t="s">
        <v>5646</v>
      </c>
      <c r="B2711" s="35" t="s">
        <v>5647</v>
      </c>
      <c r="C2711" s="35">
        <v>953.0</v>
      </c>
      <c r="D2711" s="35">
        <v>1095.0</v>
      </c>
      <c r="E2711" s="35">
        <v>24100.0</v>
      </c>
      <c r="F2711" s="35" t="s">
        <v>11</v>
      </c>
    </row>
    <row r="2712" ht="22.5" customHeight="1">
      <c r="A2712" s="37" t="s">
        <v>5648</v>
      </c>
      <c r="B2712" s="35" t="s">
        <v>5649</v>
      </c>
      <c r="C2712" s="35">
        <v>3746.0</v>
      </c>
      <c r="D2712" s="35">
        <v>4115.0</v>
      </c>
      <c r="E2712" s="35">
        <v>28640.0</v>
      </c>
      <c r="F2712" s="35">
        <v>11.0</v>
      </c>
    </row>
    <row r="2713" ht="22.5" customHeight="1">
      <c r="A2713" s="37" t="s">
        <v>5650</v>
      </c>
      <c r="B2713" s="35" t="s">
        <v>5651</v>
      </c>
      <c r="C2713" s="35">
        <v>28.0</v>
      </c>
      <c r="D2713" s="35">
        <v>22.0</v>
      </c>
      <c r="E2713" s="35" t="s">
        <v>11</v>
      </c>
      <c r="F2713" s="35" t="s">
        <v>11</v>
      </c>
    </row>
    <row r="2714" ht="22.5" customHeight="1">
      <c r="A2714" s="37" t="s">
        <v>5652</v>
      </c>
      <c r="B2714" s="35" t="s">
        <v>5653</v>
      </c>
      <c r="C2714" s="35">
        <v>1440.0</v>
      </c>
      <c r="D2714" s="35">
        <v>1409.0</v>
      </c>
      <c r="E2714" s="35">
        <v>30640.0</v>
      </c>
      <c r="F2714" s="35" t="s">
        <v>11</v>
      </c>
    </row>
    <row r="2715" ht="22.5" customHeight="1">
      <c r="A2715" s="37" t="s">
        <v>5654</v>
      </c>
      <c r="B2715" s="35" t="s">
        <v>5655</v>
      </c>
      <c r="C2715" s="35">
        <v>71.0</v>
      </c>
      <c r="D2715" s="35">
        <v>59.0</v>
      </c>
      <c r="E2715" s="35" t="s">
        <v>11</v>
      </c>
      <c r="F2715" s="35" t="s">
        <v>11</v>
      </c>
    </row>
    <row r="2716" ht="22.5" customHeight="1">
      <c r="A2716" s="37" t="s">
        <v>5656</v>
      </c>
      <c r="B2716" s="35" t="s">
        <v>5657</v>
      </c>
      <c r="C2716" s="35">
        <v>168.0</v>
      </c>
      <c r="D2716" s="35">
        <v>171.0</v>
      </c>
      <c r="E2716" s="35">
        <v>26790.0</v>
      </c>
      <c r="F2716" s="35" t="s">
        <v>11</v>
      </c>
    </row>
    <row r="2717" ht="22.5" customHeight="1">
      <c r="A2717" s="37" t="s">
        <v>5658</v>
      </c>
      <c r="B2717" s="35" t="s">
        <v>5659</v>
      </c>
      <c r="C2717" s="35">
        <v>1526.0</v>
      </c>
      <c r="D2717" s="35">
        <v>1628.0</v>
      </c>
      <c r="E2717" s="35">
        <v>32390.0</v>
      </c>
      <c r="F2717" s="35" t="s">
        <v>11</v>
      </c>
    </row>
    <row r="2718" ht="22.5" customHeight="1">
      <c r="A2718" s="37" t="s">
        <v>5660</v>
      </c>
      <c r="B2718" s="35" t="s">
        <v>5661</v>
      </c>
      <c r="C2718" s="35">
        <v>650.0</v>
      </c>
      <c r="D2718" s="35">
        <v>618.0</v>
      </c>
      <c r="E2718" s="35">
        <v>22310.0</v>
      </c>
      <c r="F2718" s="35" t="s">
        <v>11</v>
      </c>
    </row>
    <row r="2719" ht="22.5" customHeight="1">
      <c r="A2719" s="37" t="s">
        <v>5662</v>
      </c>
      <c r="B2719" s="35" t="s">
        <v>5663</v>
      </c>
      <c r="C2719" s="35">
        <v>505.0</v>
      </c>
      <c r="D2719" s="35">
        <v>481.0</v>
      </c>
      <c r="E2719" s="35">
        <v>29190.0</v>
      </c>
      <c r="F2719" s="35" t="s">
        <v>11</v>
      </c>
    </row>
    <row r="2720" ht="22.5" customHeight="1">
      <c r="A2720" s="37" t="s">
        <v>5664</v>
      </c>
      <c r="B2720" s="35" t="s">
        <v>5665</v>
      </c>
      <c r="C2720" s="35">
        <v>574.0</v>
      </c>
      <c r="D2720" s="35">
        <v>570.0</v>
      </c>
      <c r="E2720" s="35">
        <v>28160.0</v>
      </c>
      <c r="F2720" s="35" t="s">
        <v>11</v>
      </c>
    </row>
    <row r="2721" ht="22.5" customHeight="1">
      <c r="A2721" s="37" t="s">
        <v>5666</v>
      </c>
      <c r="B2721" s="35" t="s">
        <v>5667</v>
      </c>
      <c r="C2721" s="35">
        <v>847.0</v>
      </c>
      <c r="D2721" s="35">
        <v>902.0</v>
      </c>
      <c r="E2721" s="35">
        <v>23590.0</v>
      </c>
      <c r="F2721" s="35" t="s">
        <v>11</v>
      </c>
    </row>
    <row r="2722" ht="22.5" customHeight="1">
      <c r="A2722" s="37" t="s">
        <v>5668</v>
      </c>
      <c r="B2722" s="35" t="s">
        <v>5669</v>
      </c>
      <c r="C2722" s="35">
        <v>557.0</v>
      </c>
      <c r="D2722" s="35">
        <v>577.0</v>
      </c>
      <c r="E2722" s="35">
        <v>26510.0</v>
      </c>
      <c r="F2722" s="35" t="s">
        <v>11</v>
      </c>
    </row>
    <row r="2723" ht="22.5" customHeight="1">
      <c r="A2723" s="37" t="s">
        <v>5670</v>
      </c>
      <c r="B2723" s="35" t="s">
        <v>5671</v>
      </c>
      <c r="C2723" s="35">
        <v>281.0</v>
      </c>
      <c r="D2723" s="35">
        <v>280.0</v>
      </c>
      <c r="E2723" s="35">
        <v>29320.0</v>
      </c>
      <c r="F2723" s="35" t="s">
        <v>11</v>
      </c>
    </row>
    <row r="2724" ht="22.5" customHeight="1">
      <c r="A2724" s="37" t="s">
        <v>5672</v>
      </c>
      <c r="B2724" s="35" t="s">
        <v>5673</v>
      </c>
      <c r="C2724" s="35">
        <v>179.0</v>
      </c>
      <c r="D2724" s="35">
        <v>186.0</v>
      </c>
      <c r="E2724" s="35">
        <v>22100.0</v>
      </c>
      <c r="F2724" s="35" t="s">
        <v>11</v>
      </c>
    </row>
    <row r="2725" ht="22.5" customHeight="1">
      <c r="A2725" s="37" t="s">
        <v>5674</v>
      </c>
      <c r="B2725" s="35" t="s">
        <v>5675</v>
      </c>
      <c r="C2725" s="35">
        <v>12074.0</v>
      </c>
      <c r="D2725" s="35">
        <v>11590.0</v>
      </c>
      <c r="E2725" s="35">
        <v>20690.0</v>
      </c>
      <c r="F2725" s="35">
        <v>24.0</v>
      </c>
    </row>
    <row r="2726" ht="22.5" customHeight="1">
      <c r="A2726" s="37" t="s">
        <v>5676</v>
      </c>
      <c r="B2726" s="35" t="s">
        <v>5677</v>
      </c>
      <c r="C2726" s="35">
        <v>1273.0</v>
      </c>
      <c r="D2726" s="35">
        <v>1271.0</v>
      </c>
      <c r="E2726" s="35">
        <v>24290.0</v>
      </c>
      <c r="F2726" s="35" t="s">
        <v>11</v>
      </c>
    </row>
    <row r="2727" ht="22.5" customHeight="1">
      <c r="A2727" s="37" t="s">
        <v>5678</v>
      </c>
      <c r="B2727" s="35" t="s">
        <v>5679</v>
      </c>
      <c r="C2727" s="35">
        <v>160.0</v>
      </c>
      <c r="D2727" s="35">
        <v>130.0</v>
      </c>
      <c r="E2727" s="35">
        <v>25420.0</v>
      </c>
      <c r="F2727" s="35" t="s">
        <v>11</v>
      </c>
    </row>
    <row r="2728" ht="22.5" customHeight="1">
      <c r="A2728" s="37" t="s">
        <v>5680</v>
      </c>
      <c r="B2728" s="35" t="s">
        <v>5681</v>
      </c>
      <c r="C2728" s="35">
        <v>1398.0</v>
      </c>
      <c r="D2728" s="35">
        <v>1381.0</v>
      </c>
      <c r="E2728" s="35">
        <v>24410.0</v>
      </c>
      <c r="F2728" s="35" t="s">
        <v>11</v>
      </c>
    </row>
    <row r="2729" ht="22.5" customHeight="1">
      <c r="A2729" s="37" t="s">
        <v>5682</v>
      </c>
      <c r="B2729" s="35" t="s">
        <v>5683</v>
      </c>
      <c r="C2729" s="35">
        <v>1613.0</v>
      </c>
      <c r="D2729" s="35">
        <v>1756.0</v>
      </c>
      <c r="E2729" s="35">
        <v>25250.0</v>
      </c>
      <c r="F2729" s="35" t="s">
        <v>11</v>
      </c>
    </row>
    <row r="2730" ht="22.5" customHeight="1">
      <c r="A2730" s="37" t="s">
        <v>5684</v>
      </c>
      <c r="B2730" s="35" t="s">
        <v>5685</v>
      </c>
      <c r="C2730" s="35">
        <v>234.0</v>
      </c>
      <c r="D2730" s="35">
        <v>261.0</v>
      </c>
      <c r="E2730" s="35">
        <v>24070.0</v>
      </c>
      <c r="F2730" s="35" t="s">
        <v>11</v>
      </c>
    </row>
    <row r="2731" ht="22.5" customHeight="1">
      <c r="A2731" s="37" t="s">
        <v>5686</v>
      </c>
      <c r="B2731" s="35" t="s">
        <v>5687</v>
      </c>
      <c r="C2731" s="35">
        <v>679.0</v>
      </c>
      <c r="D2731" s="35">
        <v>709.0</v>
      </c>
      <c r="E2731" s="35">
        <v>28620.0</v>
      </c>
      <c r="F2731" s="35" t="s">
        <v>11</v>
      </c>
    </row>
    <row r="2732" ht="22.5" customHeight="1">
      <c r="A2732" s="37" t="s">
        <v>5688</v>
      </c>
      <c r="B2732" s="35" t="s">
        <v>5689</v>
      </c>
      <c r="C2732" s="35">
        <v>5973.0</v>
      </c>
      <c r="D2732" s="35">
        <v>5994.0</v>
      </c>
      <c r="E2732" s="35">
        <v>21450.0</v>
      </c>
      <c r="F2732" s="35">
        <v>24.0</v>
      </c>
    </row>
    <row r="2733" ht="22.5" customHeight="1">
      <c r="A2733" s="37" t="s">
        <v>5690</v>
      </c>
      <c r="B2733" s="35" t="s">
        <v>5691</v>
      </c>
      <c r="C2733" s="35">
        <v>53.0</v>
      </c>
      <c r="D2733" s="35">
        <v>56.0</v>
      </c>
      <c r="E2733" s="35" t="s">
        <v>11</v>
      </c>
      <c r="F2733" s="35" t="s">
        <v>11</v>
      </c>
    </row>
    <row r="2734" ht="22.5" customHeight="1">
      <c r="A2734" s="37" t="s">
        <v>5692</v>
      </c>
      <c r="B2734" s="35" t="s">
        <v>5693</v>
      </c>
      <c r="C2734" s="35">
        <v>2401.0</v>
      </c>
      <c r="D2734" s="35">
        <v>2273.0</v>
      </c>
      <c r="E2734" s="35">
        <v>23860.0</v>
      </c>
      <c r="F2734" s="35">
        <v>18.0</v>
      </c>
    </row>
    <row r="2735" ht="22.5" customHeight="1">
      <c r="A2735" s="37" t="s">
        <v>5694</v>
      </c>
      <c r="B2735" s="35" t="s">
        <v>5695</v>
      </c>
      <c r="C2735" s="35">
        <v>812.0</v>
      </c>
      <c r="D2735" s="35">
        <v>848.0</v>
      </c>
      <c r="E2735" s="35">
        <v>28820.0</v>
      </c>
      <c r="F2735" s="35" t="s">
        <v>11</v>
      </c>
    </row>
    <row r="2736" ht="22.5" customHeight="1">
      <c r="A2736" s="37" t="s">
        <v>5696</v>
      </c>
      <c r="B2736" s="35" t="s">
        <v>5697</v>
      </c>
      <c r="C2736" s="35">
        <v>6561.0</v>
      </c>
      <c r="D2736" s="35">
        <v>6854.0</v>
      </c>
      <c r="E2736" s="35">
        <v>19360.0</v>
      </c>
      <c r="F2736" s="35">
        <v>30.0</v>
      </c>
    </row>
    <row r="2737" ht="22.5" customHeight="1">
      <c r="A2737" s="37" t="s">
        <v>5698</v>
      </c>
      <c r="B2737" s="35" t="s">
        <v>5699</v>
      </c>
      <c r="C2737" s="35">
        <v>173.0</v>
      </c>
      <c r="D2737" s="35">
        <v>154.0</v>
      </c>
      <c r="E2737" s="35">
        <v>28000.0</v>
      </c>
      <c r="F2737" s="35" t="s">
        <v>11</v>
      </c>
    </row>
    <row r="2738" ht="22.5" customHeight="1">
      <c r="A2738" s="37" t="s">
        <v>5700</v>
      </c>
      <c r="B2738" s="35" t="s">
        <v>5701</v>
      </c>
      <c r="C2738" s="35">
        <v>294.0</v>
      </c>
      <c r="D2738" s="35">
        <v>256.0</v>
      </c>
      <c r="E2738" s="35">
        <v>28440.0</v>
      </c>
      <c r="F2738" s="35" t="s">
        <v>11</v>
      </c>
    </row>
    <row r="2739" ht="22.5" customHeight="1">
      <c r="A2739" s="37" t="s">
        <v>5702</v>
      </c>
      <c r="B2739" s="35" t="s">
        <v>5703</v>
      </c>
      <c r="C2739" s="35">
        <v>476.0</v>
      </c>
      <c r="D2739" s="35">
        <v>471.0</v>
      </c>
      <c r="E2739" s="35">
        <v>24110.0</v>
      </c>
      <c r="F2739" s="35" t="s">
        <v>11</v>
      </c>
    </row>
    <row r="2740" ht="22.5" customHeight="1">
      <c r="A2740" s="37" t="s">
        <v>5704</v>
      </c>
      <c r="B2740" s="35" t="s">
        <v>5705</v>
      </c>
      <c r="C2740" s="35">
        <v>379.0</v>
      </c>
      <c r="D2740" s="35">
        <v>384.0</v>
      </c>
      <c r="E2740" s="35">
        <v>23560.0</v>
      </c>
      <c r="F2740" s="35" t="s">
        <v>11</v>
      </c>
    </row>
    <row r="2741" ht="22.5" customHeight="1">
      <c r="A2741" s="37" t="s">
        <v>5706</v>
      </c>
      <c r="B2741" s="35" t="s">
        <v>5707</v>
      </c>
      <c r="C2741" s="35">
        <v>249.0</v>
      </c>
      <c r="D2741" s="35">
        <v>251.0</v>
      </c>
      <c r="E2741" s="35">
        <v>23920.0</v>
      </c>
      <c r="F2741" s="35" t="s">
        <v>11</v>
      </c>
    </row>
    <row r="2742" ht="22.5" customHeight="1">
      <c r="A2742" s="37" t="s">
        <v>5708</v>
      </c>
      <c r="B2742" s="35" t="s">
        <v>5709</v>
      </c>
      <c r="C2742" s="35">
        <v>1167.0</v>
      </c>
      <c r="D2742" s="35">
        <v>1291.0</v>
      </c>
      <c r="E2742" s="35">
        <v>24880.0</v>
      </c>
      <c r="F2742" s="35" t="s">
        <v>11</v>
      </c>
    </row>
    <row r="2743" ht="22.5" customHeight="1">
      <c r="A2743" s="37" t="s">
        <v>5710</v>
      </c>
      <c r="B2743" s="35" t="s">
        <v>5711</v>
      </c>
      <c r="C2743" s="35">
        <v>207.0</v>
      </c>
      <c r="D2743" s="35">
        <v>210.0</v>
      </c>
      <c r="E2743" s="35">
        <v>23070.0</v>
      </c>
      <c r="F2743" s="35" t="s">
        <v>11</v>
      </c>
    </row>
    <row r="2744" ht="22.5" customHeight="1">
      <c r="A2744" s="37" t="s">
        <v>5712</v>
      </c>
      <c r="B2744" s="35" t="s">
        <v>5713</v>
      </c>
      <c r="C2744" s="35">
        <v>264.0</v>
      </c>
      <c r="D2744" s="35">
        <v>276.0</v>
      </c>
      <c r="E2744" s="35">
        <v>29470.0</v>
      </c>
      <c r="F2744" s="35" t="s">
        <v>11</v>
      </c>
    </row>
    <row r="2745" ht="22.5" customHeight="1">
      <c r="A2745" s="37" t="s">
        <v>5714</v>
      </c>
      <c r="B2745" s="35" t="s">
        <v>5715</v>
      </c>
      <c r="C2745" s="35">
        <v>9767.0</v>
      </c>
      <c r="D2745" s="35">
        <v>10323.0</v>
      </c>
      <c r="E2745" s="35">
        <v>21020.0</v>
      </c>
      <c r="F2745" s="35">
        <v>26.0</v>
      </c>
    </row>
    <row r="2746" ht="22.5" customHeight="1">
      <c r="A2746" s="37" t="s">
        <v>5716</v>
      </c>
      <c r="B2746" s="35" t="s">
        <v>5717</v>
      </c>
      <c r="C2746" s="35">
        <v>1217.0</v>
      </c>
      <c r="D2746" s="35">
        <v>1213.0</v>
      </c>
      <c r="E2746" s="35">
        <v>24510.0</v>
      </c>
      <c r="F2746" s="35" t="s">
        <v>11</v>
      </c>
    </row>
    <row r="2747" ht="22.5" customHeight="1">
      <c r="A2747" s="37" t="s">
        <v>5718</v>
      </c>
      <c r="B2747" s="35" t="s">
        <v>5719</v>
      </c>
      <c r="C2747" s="35">
        <v>399.0</v>
      </c>
      <c r="D2747" s="35">
        <v>418.0</v>
      </c>
      <c r="E2747" s="35">
        <v>31050.0</v>
      </c>
      <c r="F2747" s="35" t="s">
        <v>11</v>
      </c>
    </row>
    <row r="2748" ht="22.5" customHeight="1">
      <c r="A2748" s="37" t="s">
        <v>5720</v>
      </c>
      <c r="B2748" s="35" t="s">
        <v>5721</v>
      </c>
      <c r="C2748" s="35">
        <v>402.0</v>
      </c>
      <c r="D2748" s="35">
        <v>341.0</v>
      </c>
      <c r="E2748" s="35">
        <v>24400.0</v>
      </c>
      <c r="F2748" s="35" t="s">
        <v>11</v>
      </c>
    </row>
    <row r="2749" ht="22.5" customHeight="1">
      <c r="A2749" s="37" t="s">
        <v>5722</v>
      </c>
      <c r="B2749" s="35" t="s">
        <v>5723</v>
      </c>
      <c r="C2749" s="35">
        <v>239.0</v>
      </c>
      <c r="D2749" s="35">
        <v>227.0</v>
      </c>
      <c r="E2749" s="35">
        <v>25420.0</v>
      </c>
      <c r="F2749" s="35" t="s">
        <v>11</v>
      </c>
    </row>
    <row r="2750" ht="22.5" customHeight="1">
      <c r="A2750" s="37" t="s">
        <v>5724</v>
      </c>
      <c r="B2750" s="35" t="s">
        <v>5725</v>
      </c>
      <c r="C2750" s="35">
        <v>769.0</v>
      </c>
      <c r="D2750" s="35">
        <v>719.0</v>
      </c>
      <c r="E2750" s="35">
        <v>23560.0</v>
      </c>
      <c r="F2750" s="35" t="s">
        <v>11</v>
      </c>
    </row>
    <row r="2751" ht="22.5" customHeight="1">
      <c r="A2751" s="37" t="s">
        <v>5726</v>
      </c>
      <c r="B2751" s="35" t="s">
        <v>5727</v>
      </c>
      <c r="C2751" s="35">
        <v>13422.0</v>
      </c>
      <c r="D2751" s="35">
        <v>13138.0</v>
      </c>
      <c r="E2751" s="35">
        <v>21970.0</v>
      </c>
      <c r="F2751" s="35">
        <v>19.0</v>
      </c>
    </row>
    <row r="2752" ht="22.5" customHeight="1">
      <c r="A2752" s="37" t="s">
        <v>5728</v>
      </c>
      <c r="B2752" s="35" t="s">
        <v>5729</v>
      </c>
      <c r="C2752" s="35">
        <v>506.0</v>
      </c>
      <c r="D2752" s="35">
        <v>493.0</v>
      </c>
      <c r="E2752" s="35">
        <v>23610.0</v>
      </c>
      <c r="F2752" s="35" t="s">
        <v>11</v>
      </c>
    </row>
    <row r="2753" ht="22.5" customHeight="1">
      <c r="A2753" s="37" t="s">
        <v>5730</v>
      </c>
      <c r="B2753" s="35" t="s">
        <v>5731</v>
      </c>
      <c r="C2753" s="35">
        <v>5373.0</v>
      </c>
      <c r="D2753" s="35">
        <v>5780.0</v>
      </c>
      <c r="E2753" s="35">
        <v>25870.0</v>
      </c>
      <c r="F2753" s="35">
        <v>11.0</v>
      </c>
    </row>
    <row r="2754" ht="22.5" customHeight="1">
      <c r="A2754" s="37" t="s">
        <v>5732</v>
      </c>
      <c r="B2754" s="35" t="s">
        <v>5733</v>
      </c>
      <c r="C2754" s="35">
        <v>563.0</v>
      </c>
      <c r="D2754" s="35">
        <v>566.0</v>
      </c>
      <c r="E2754" s="35">
        <v>24330.0</v>
      </c>
      <c r="F2754" s="35" t="s">
        <v>11</v>
      </c>
    </row>
    <row r="2755" ht="22.5" customHeight="1">
      <c r="A2755" s="37" t="s">
        <v>5734</v>
      </c>
      <c r="B2755" s="35" t="s">
        <v>5735</v>
      </c>
      <c r="C2755" s="35">
        <v>776.0</v>
      </c>
      <c r="D2755" s="35">
        <v>740.0</v>
      </c>
      <c r="E2755" s="35">
        <v>21880.0</v>
      </c>
      <c r="F2755" s="35" t="s">
        <v>11</v>
      </c>
    </row>
    <row r="2756" ht="22.5" customHeight="1">
      <c r="A2756" s="37" t="s">
        <v>5736</v>
      </c>
      <c r="B2756" s="35" t="s">
        <v>5737</v>
      </c>
      <c r="C2756" s="35">
        <v>520.0</v>
      </c>
      <c r="D2756" s="35">
        <v>559.0</v>
      </c>
      <c r="E2756" s="35">
        <v>24460.0</v>
      </c>
      <c r="F2756" s="35" t="s">
        <v>11</v>
      </c>
    </row>
    <row r="2757" ht="22.5" customHeight="1">
      <c r="A2757" s="37" t="s">
        <v>5738</v>
      </c>
      <c r="B2757" s="35" t="s">
        <v>5739</v>
      </c>
      <c r="C2757" s="35">
        <v>762.0</v>
      </c>
      <c r="D2757" s="35">
        <v>768.0</v>
      </c>
      <c r="E2757" s="35">
        <v>22040.0</v>
      </c>
      <c r="F2757" s="35" t="s">
        <v>11</v>
      </c>
    </row>
    <row r="2758" ht="22.5" customHeight="1">
      <c r="A2758" s="37" t="s">
        <v>5740</v>
      </c>
      <c r="B2758" s="35" t="s">
        <v>5741</v>
      </c>
      <c r="C2758" s="35">
        <v>740.0</v>
      </c>
      <c r="D2758" s="35">
        <v>770.0</v>
      </c>
      <c r="E2758" s="35">
        <v>27730.0</v>
      </c>
      <c r="F2758" s="35" t="s">
        <v>11</v>
      </c>
    </row>
    <row r="2759" ht="22.5" customHeight="1">
      <c r="A2759" s="37" t="s">
        <v>5742</v>
      </c>
      <c r="B2759" s="35" t="s">
        <v>5743</v>
      </c>
      <c r="C2759" s="35">
        <v>474.0</v>
      </c>
      <c r="D2759" s="35">
        <v>458.0</v>
      </c>
      <c r="E2759" s="35">
        <v>25550.0</v>
      </c>
      <c r="F2759" s="35" t="s">
        <v>11</v>
      </c>
    </row>
    <row r="2760" ht="22.5" customHeight="1">
      <c r="A2760" s="37" t="s">
        <v>5744</v>
      </c>
      <c r="B2760" s="35" t="s">
        <v>5745</v>
      </c>
      <c r="C2760" s="35">
        <v>1686.0</v>
      </c>
      <c r="D2760" s="35">
        <v>1574.0</v>
      </c>
      <c r="E2760" s="35">
        <v>22490.0</v>
      </c>
      <c r="F2760" s="35" t="s">
        <v>11</v>
      </c>
    </row>
    <row r="2761" ht="22.5" customHeight="1">
      <c r="A2761" s="37" t="s">
        <v>5746</v>
      </c>
      <c r="B2761" s="35" t="s">
        <v>5747</v>
      </c>
      <c r="C2761" s="35">
        <v>421.0</v>
      </c>
      <c r="D2761" s="35">
        <v>422.0</v>
      </c>
      <c r="E2761" s="35">
        <v>27910.0</v>
      </c>
      <c r="F2761" s="35" t="s">
        <v>11</v>
      </c>
    </row>
    <row r="2762" ht="22.5" customHeight="1">
      <c r="A2762" s="37" t="s">
        <v>5748</v>
      </c>
      <c r="B2762" s="35" t="s">
        <v>5749</v>
      </c>
      <c r="C2762" s="35">
        <v>777.0</v>
      </c>
      <c r="D2762" s="35">
        <v>789.0</v>
      </c>
      <c r="E2762" s="35">
        <v>29110.0</v>
      </c>
      <c r="F2762" s="35" t="s">
        <v>11</v>
      </c>
    </row>
    <row r="2763" ht="22.5" customHeight="1">
      <c r="A2763" s="37" t="s">
        <v>5750</v>
      </c>
      <c r="B2763" s="35" t="s">
        <v>5751</v>
      </c>
      <c r="C2763" s="35">
        <v>292.0</v>
      </c>
      <c r="D2763" s="35">
        <v>325.0</v>
      </c>
      <c r="E2763" s="35">
        <v>25490.0</v>
      </c>
      <c r="F2763" s="35" t="s">
        <v>11</v>
      </c>
    </row>
    <row r="2764" ht="22.5" customHeight="1">
      <c r="A2764" s="37" t="s">
        <v>5752</v>
      </c>
      <c r="B2764" s="35" t="s">
        <v>5753</v>
      </c>
      <c r="C2764" s="35">
        <v>948.0</v>
      </c>
      <c r="D2764" s="35">
        <v>919.0</v>
      </c>
      <c r="E2764" s="35">
        <v>26470.0</v>
      </c>
      <c r="F2764" s="35" t="s">
        <v>11</v>
      </c>
    </row>
    <row r="2765" ht="22.5" customHeight="1">
      <c r="A2765" s="37" t="s">
        <v>5754</v>
      </c>
      <c r="B2765" s="35" t="s">
        <v>5755</v>
      </c>
      <c r="C2765" s="35">
        <v>499.0</v>
      </c>
      <c r="D2765" s="35">
        <v>545.0</v>
      </c>
      <c r="E2765" s="35">
        <v>29960.0</v>
      </c>
      <c r="F2765" s="35" t="s">
        <v>11</v>
      </c>
    </row>
    <row r="2766" ht="22.5" customHeight="1">
      <c r="A2766" s="37" t="s">
        <v>5756</v>
      </c>
      <c r="B2766" s="35" t="s">
        <v>5757</v>
      </c>
      <c r="C2766" s="35">
        <v>124.0</v>
      </c>
      <c r="D2766" s="35">
        <v>114.0</v>
      </c>
      <c r="E2766" s="35">
        <v>33450.0</v>
      </c>
      <c r="F2766" s="35" t="s">
        <v>11</v>
      </c>
    </row>
    <row r="2767" ht="22.5" customHeight="1">
      <c r="A2767" s="37" t="s">
        <v>5758</v>
      </c>
      <c r="B2767" s="35" t="s">
        <v>5759</v>
      </c>
      <c r="C2767" s="35">
        <v>81.0</v>
      </c>
      <c r="D2767" s="35">
        <v>104.0</v>
      </c>
      <c r="E2767" s="35" t="s">
        <v>11</v>
      </c>
      <c r="F2767" s="35" t="s">
        <v>11</v>
      </c>
    </row>
    <row r="2768" ht="22.5" customHeight="1">
      <c r="A2768" s="37" t="s">
        <v>5760</v>
      </c>
      <c r="B2768" s="35" t="s">
        <v>5761</v>
      </c>
      <c r="C2768" s="35">
        <v>454.0</v>
      </c>
      <c r="D2768" s="35">
        <v>452.0</v>
      </c>
      <c r="E2768" s="35">
        <v>28290.0</v>
      </c>
      <c r="F2768" s="35" t="s">
        <v>11</v>
      </c>
    </row>
    <row r="2769" ht="22.5" customHeight="1">
      <c r="A2769" s="37" t="s">
        <v>5762</v>
      </c>
      <c r="B2769" s="35" t="s">
        <v>5763</v>
      </c>
      <c r="C2769" s="35">
        <v>494.0</v>
      </c>
      <c r="D2769" s="35">
        <v>511.0</v>
      </c>
      <c r="E2769" s="35">
        <v>24240.0</v>
      </c>
      <c r="F2769" s="35" t="s">
        <v>11</v>
      </c>
    </row>
    <row r="2770" ht="22.5" customHeight="1">
      <c r="A2770" s="37" t="s">
        <v>5764</v>
      </c>
      <c r="B2770" s="35" t="s">
        <v>5765</v>
      </c>
      <c r="C2770" s="35">
        <v>853.0</v>
      </c>
      <c r="D2770" s="35">
        <v>867.0</v>
      </c>
      <c r="E2770" s="35">
        <v>25200.0</v>
      </c>
      <c r="F2770" s="35" t="s">
        <v>11</v>
      </c>
    </row>
    <row r="2771" ht="22.5" customHeight="1">
      <c r="A2771" s="37" t="s">
        <v>5766</v>
      </c>
      <c r="B2771" s="35" t="s">
        <v>5767</v>
      </c>
      <c r="C2771" s="35">
        <v>306.0</v>
      </c>
      <c r="D2771" s="35">
        <v>307.0</v>
      </c>
      <c r="E2771" s="35">
        <v>23260.0</v>
      </c>
      <c r="F2771" s="35" t="s">
        <v>11</v>
      </c>
    </row>
    <row r="2772" ht="22.5" customHeight="1">
      <c r="A2772" s="37" t="s">
        <v>5768</v>
      </c>
      <c r="B2772" s="35" t="s">
        <v>5769</v>
      </c>
      <c r="C2772" s="35">
        <v>232.0</v>
      </c>
      <c r="D2772" s="35">
        <v>244.0</v>
      </c>
      <c r="E2772" s="35">
        <v>25450.0</v>
      </c>
      <c r="F2772" s="35" t="s">
        <v>11</v>
      </c>
    </row>
    <row r="2773" ht="22.5" customHeight="1">
      <c r="A2773" s="37" t="s">
        <v>5770</v>
      </c>
      <c r="B2773" s="35" t="s">
        <v>5771</v>
      </c>
      <c r="C2773" s="35">
        <v>207.0</v>
      </c>
      <c r="D2773" s="35">
        <v>216.0</v>
      </c>
      <c r="E2773" s="35">
        <v>23380.0</v>
      </c>
      <c r="F2773" s="35" t="s">
        <v>11</v>
      </c>
    </row>
    <row r="2774" ht="22.5" customHeight="1">
      <c r="A2774" s="37" t="s">
        <v>5772</v>
      </c>
      <c r="B2774" s="35" t="s">
        <v>5773</v>
      </c>
      <c r="C2774" s="35">
        <v>3187.0</v>
      </c>
      <c r="D2774" s="35">
        <v>3062.0</v>
      </c>
      <c r="E2774" s="35">
        <v>21960.0</v>
      </c>
      <c r="F2774" s="35">
        <v>22.0</v>
      </c>
    </row>
    <row r="2775" ht="22.5" customHeight="1">
      <c r="A2775" s="37" t="s">
        <v>5774</v>
      </c>
      <c r="B2775" s="35" t="s">
        <v>5775</v>
      </c>
      <c r="C2775" s="35">
        <v>9240.0</v>
      </c>
      <c r="D2775" s="35">
        <v>8768.0</v>
      </c>
      <c r="E2775" s="35">
        <v>20870.0</v>
      </c>
      <c r="F2775" s="35">
        <v>25.0</v>
      </c>
    </row>
    <row r="2776" ht="22.5" customHeight="1">
      <c r="A2776" s="37" t="s">
        <v>5776</v>
      </c>
      <c r="B2776" s="35" t="s">
        <v>5777</v>
      </c>
      <c r="C2776" s="35">
        <v>190.0</v>
      </c>
      <c r="D2776" s="35">
        <v>227.0</v>
      </c>
      <c r="E2776" s="35">
        <v>21440.0</v>
      </c>
      <c r="F2776" s="35" t="s">
        <v>11</v>
      </c>
    </row>
    <row r="2777" ht="22.5" customHeight="1">
      <c r="A2777" s="37" t="s">
        <v>5778</v>
      </c>
      <c r="B2777" s="35" t="s">
        <v>5779</v>
      </c>
      <c r="C2777" s="35">
        <v>317.0</v>
      </c>
      <c r="D2777" s="35">
        <v>298.0</v>
      </c>
      <c r="E2777" s="35">
        <v>24900.0</v>
      </c>
      <c r="F2777" s="35" t="s">
        <v>11</v>
      </c>
    </row>
    <row r="2778" ht="22.5" customHeight="1">
      <c r="A2778" s="37" t="s">
        <v>5780</v>
      </c>
      <c r="B2778" s="35" t="s">
        <v>5781</v>
      </c>
      <c r="C2778" s="35">
        <v>605.0</v>
      </c>
      <c r="D2778" s="35">
        <v>642.0</v>
      </c>
      <c r="E2778" s="35">
        <v>23990.0</v>
      </c>
      <c r="F2778" s="35" t="s">
        <v>11</v>
      </c>
    </row>
    <row r="2779" ht="22.5" customHeight="1">
      <c r="A2779" s="37" t="s">
        <v>5782</v>
      </c>
      <c r="B2779" s="35" t="s">
        <v>5783</v>
      </c>
      <c r="C2779" s="35">
        <v>324.0</v>
      </c>
      <c r="D2779" s="35">
        <v>307.0</v>
      </c>
      <c r="E2779" s="35">
        <v>24850.0</v>
      </c>
      <c r="F2779" s="35" t="s">
        <v>11</v>
      </c>
    </row>
    <row r="2780" ht="22.5" customHeight="1">
      <c r="A2780" s="37" t="s">
        <v>5784</v>
      </c>
      <c r="B2780" s="35" t="s">
        <v>5785</v>
      </c>
      <c r="C2780" s="35">
        <v>661.0</v>
      </c>
      <c r="D2780" s="35">
        <v>675.0</v>
      </c>
      <c r="E2780" s="35">
        <v>23650.0</v>
      </c>
      <c r="F2780" s="35" t="s">
        <v>11</v>
      </c>
    </row>
    <row r="2781" ht="22.5" customHeight="1">
      <c r="A2781" s="37" t="s">
        <v>5786</v>
      </c>
      <c r="B2781" s="35" t="s">
        <v>5787</v>
      </c>
      <c r="C2781" s="35">
        <v>657.0</v>
      </c>
      <c r="D2781" s="35">
        <v>631.0</v>
      </c>
      <c r="E2781" s="35">
        <v>25070.0</v>
      </c>
      <c r="F2781" s="35" t="s">
        <v>11</v>
      </c>
    </row>
    <row r="2782" ht="22.5" customHeight="1">
      <c r="A2782" s="37" t="s">
        <v>5788</v>
      </c>
      <c r="B2782" s="35" t="s">
        <v>5789</v>
      </c>
      <c r="C2782" s="35">
        <v>576.0</v>
      </c>
      <c r="D2782" s="35">
        <v>529.0</v>
      </c>
      <c r="E2782" s="35">
        <v>25920.0</v>
      </c>
      <c r="F2782" s="35" t="s">
        <v>11</v>
      </c>
    </row>
    <row r="2783" ht="22.5" customHeight="1">
      <c r="A2783" s="37" t="s">
        <v>5790</v>
      </c>
      <c r="B2783" s="35" t="s">
        <v>5791</v>
      </c>
      <c r="C2783" s="35">
        <v>269.0</v>
      </c>
      <c r="D2783" s="35">
        <v>292.0</v>
      </c>
      <c r="E2783" s="35">
        <v>24020.0</v>
      </c>
      <c r="F2783" s="35" t="s">
        <v>11</v>
      </c>
    </row>
    <row r="2784" ht="22.5" customHeight="1">
      <c r="A2784" s="37" t="s">
        <v>5792</v>
      </c>
      <c r="B2784" s="35" t="s">
        <v>5793</v>
      </c>
      <c r="C2784" s="35">
        <v>458.0</v>
      </c>
      <c r="D2784" s="35">
        <v>420.0</v>
      </c>
      <c r="E2784" s="35">
        <v>24070.0</v>
      </c>
      <c r="F2784" s="35" t="s">
        <v>11</v>
      </c>
    </row>
    <row r="2785" ht="22.5" customHeight="1">
      <c r="A2785" s="37" t="s">
        <v>5794</v>
      </c>
      <c r="B2785" s="35" t="s">
        <v>5795</v>
      </c>
      <c r="C2785" s="35">
        <v>347.0</v>
      </c>
      <c r="D2785" s="35">
        <v>320.0</v>
      </c>
      <c r="E2785" s="35">
        <v>20690.0</v>
      </c>
      <c r="F2785" s="35" t="s">
        <v>11</v>
      </c>
    </row>
    <row r="2786" ht="22.5" customHeight="1">
      <c r="A2786" s="37" t="s">
        <v>5796</v>
      </c>
      <c r="B2786" s="35" t="s">
        <v>5797</v>
      </c>
      <c r="C2786" s="35">
        <v>676.0</v>
      </c>
      <c r="D2786" s="35">
        <v>720.0</v>
      </c>
      <c r="E2786" s="35">
        <v>25550.0</v>
      </c>
      <c r="F2786" s="35" t="s">
        <v>11</v>
      </c>
    </row>
    <row r="2787" ht="22.5" customHeight="1">
      <c r="A2787" s="37" t="s">
        <v>5798</v>
      </c>
      <c r="B2787" s="35" t="s">
        <v>5799</v>
      </c>
      <c r="C2787" s="35">
        <v>307.0</v>
      </c>
      <c r="D2787" s="35">
        <v>333.0</v>
      </c>
      <c r="E2787" s="35">
        <v>27600.0</v>
      </c>
      <c r="F2787" s="35" t="s">
        <v>11</v>
      </c>
    </row>
    <row r="2788" ht="22.5" customHeight="1">
      <c r="A2788" s="37" t="s">
        <v>5800</v>
      </c>
      <c r="B2788" s="35" t="s">
        <v>5801</v>
      </c>
      <c r="C2788" s="35">
        <v>737.0</v>
      </c>
      <c r="D2788" s="35">
        <v>702.0</v>
      </c>
      <c r="E2788" s="35">
        <v>28080.0</v>
      </c>
      <c r="F2788" s="35" t="s">
        <v>11</v>
      </c>
    </row>
    <row r="2789" ht="22.5" customHeight="1">
      <c r="A2789" s="37" t="s">
        <v>5802</v>
      </c>
      <c r="B2789" s="35" t="s">
        <v>5803</v>
      </c>
      <c r="C2789" s="35">
        <v>614.0</v>
      </c>
      <c r="D2789" s="35">
        <v>663.0</v>
      </c>
      <c r="E2789" s="35">
        <v>26060.0</v>
      </c>
      <c r="F2789" s="35" t="s">
        <v>11</v>
      </c>
    </row>
    <row r="2790" ht="22.5" customHeight="1">
      <c r="A2790" s="37" t="s">
        <v>5804</v>
      </c>
      <c r="B2790" s="35" t="s">
        <v>5805</v>
      </c>
      <c r="C2790" s="35">
        <v>60.0</v>
      </c>
      <c r="D2790" s="35">
        <v>64.0</v>
      </c>
      <c r="E2790" s="35" t="s">
        <v>11</v>
      </c>
      <c r="F2790" s="35" t="s">
        <v>11</v>
      </c>
    </row>
    <row r="2791" ht="22.5" customHeight="1">
      <c r="A2791" s="37" t="s">
        <v>5806</v>
      </c>
      <c r="B2791" s="35" t="s">
        <v>5807</v>
      </c>
      <c r="C2791" s="35">
        <v>257.0</v>
      </c>
      <c r="D2791" s="35">
        <v>210.0</v>
      </c>
      <c r="E2791" s="35">
        <v>21440.0</v>
      </c>
      <c r="F2791" s="35" t="s">
        <v>11</v>
      </c>
    </row>
    <row r="2792" ht="22.5" customHeight="1">
      <c r="A2792" s="37" t="s">
        <v>5808</v>
      </c>
      <c r="B2792" s="35" t="s">
        <v>5809</v>
      </c>
      <c r="C2792" s="35">
        <v>2276.0</v>
      </c>
      <c r="D2792" s="35">
        <v>2257.0</v>
      </c>
      <c r="E2792" s="35">
        <v>24460.0</v>
      </c>
      <c r="F2792" s="35">
        <v>10.0</v>
      </c>
    </row>
    <row r="2793" ht="22.5" customHeight="1">
      <c r="A2793" s="37" t="s">
        <v>5810</v>
      </c>
      <c r="B2793" s="35" t="s">
        <v>5811</v>
      </c>
      <c r="C2793" s="35">
        <v>275.0</v>
      </c>
      <c r="D2793" s="35">
        <v>263.0</v>
      </c>
      <c r="E2793" s="35">
        <v>23530.0</v>
      </c>
      <c r="F2793" s="35" t="s">
        <v>11</v>
      </c>
    </row>
    <row r="2794" ht="22.5" customHeight="1">
      <c r="A2794" s="37" t="s">
        <v>5812</v>
      </c>
      <c r="B2794" s="35" t="s">
        <v>5813</v>
      </c>
      <c r="C2794" s="35">
        <v>382.0</v>
      </c>
      <c r="D2794" s="35">
        <v>349.0</v>
      </c>
      <c r="E2794" s="35">
        <v>26320.0</v>
      </c>
      <c r="F2794" s="35" t="s">
        <v>11</v>
      </c>
    </row>
    <row r="2795" ht="22.5" customHeight="1">
      <c r="A2795" s="37" t="s">
        <v>5814</v>
      </c>
      <c r="B2795" s="35" t="s">
        <v>5815</v>
      </c>
      <c r="C2795" s="35">
        <v>4171.0</v>
      </c>
      <c r="D2795" s="35">
        <v>4297.0</v>
      </c>
      <c r="E2795" s="35">
        <v>25340.0</v>
      </c>
      <c r="F2795" s="35">
        <v>9.0</v>
      </c>
    </row>
    <row r="2796" ht="22.5" customHeight="1">
      <c r="A2796" s="37" t="s">
        <v>5816</v>
      </c>
      <c r="B2796" s="35" t="s">
        <v>5817</v>
      </c>
      <c r="C2796" s="35">
        <v>404.0</v>
      </c>
      <c r="D2796" s="35">
        <v>407.0</v>
      </c>
      <c r="E2796" s="35">
        <v>27860.0</v>
      </c>
      <c r="F2796" s="35" t="s">
        <v>11</v>
      </c>
    </row>
    <row r="2797" ht="22.5" customHeight="1">
      <c r="A2797" s="37" t="s">
        <v>5818</v>
      </c>
      <c r="B2797" s="35" t="s">
        <v>5819</v>
      </c>
      <c r="C2797" s="35">
        <v>250.0</v>
      </c>
      <c r="D2797" s="35">
        <v>227.0</v>
      </c>
      <c r="E2797" s="35">
        <v>20130.0</v>
      </c>
      <c r="F2797" s="35" t="s">
        <v>11</v>
      </c>
    </row>
    <row r="2798" ht="22.5" customHeight="1">
      <c r="A2798" s="37" t="s">
        <v>5820</v>
      </c>
      <c r="B2798" s="35" t="s">
        <v>5821</v>
      </c>
      <c r="C2798" s="35">
        <v>805.0</v>
      </c>
      <c r="D2798" s="35">
        <v>880.0</v>
      </c>
      <c r="E2798" s="35">
        <v>25700.0</v>
      </c>
      <c r="F2798" s="35" t="s">
        <v>11</v>
      </c>
    </row>
    <row r="2799" ht="22.5" customHeight="1">
      <c r="A2799" s="37" t="s">
        <v>5822</v>
      </c>
      <c r="B2799" s="35" t="s">
        <v>5823</v>
      </c>
      <c r="C2799" s="35">
        <v>375.0</v>
      </c>
      <c r="D2799" s="35">
        <v>403.0</v>
      </c>
      <c r="E2799" s="35">
        <v>24490.0</v>
      </c>
      <c r="F2799" s="35" t="s">
        <v>11</v>
      </c>
    </row>
    <row r="2800" ht="22.5" customHeight="1">
      <c r="A2800" s="37" t="s">
        <v>5824</v>
      </c>
      <c r="B2800" s="35" t="s">
        <v>5825</v>
      </c>
      <c r="C2800" s="35">
        <v>1074.0</v>
      </c>
      <c r="D2800" s="35">
        <v>1071.0</v>
      </c>
      <c r="E2800" s="35">
        <v>30440.0</v>
      </c>
      <c r="F2800" s="35" t="s">
        <v>11</v>
      </c>
    </row>
    <row r="2801" ht="22.5" customHeight="1">
      <c r="A2801" s="37" t="s">
        <v>5826</v>
      </c>
      <c r="B2801" s="35" t="s">
        <v>5827</v>
      </c>
      <c r="C2801" s="35">
        <v>194.0</v>
      </c>
      <c r="D2801" s="35">
        <v>190.0</v>
      </c>
      <c r="E2801" s="35">
        <v>21390.0</v>
      </c>
      <c r="F2801" s="35" t="s">
        <v>11</v>
      </c>
    </row>
    <row r="2802" ht="22.5" customHeight="1">
      <c r="A2802" s="37" t="s">
        <v>5828</v>
      </c>
      <c r="B2802" s="35" t="s">
        <v>5829</v>
      </c>
      <c r="C2802" s="35">
        <v>268.0</v>
      </c>
      <c r="D2802" s="35">
        <v>253.0</v>
      </c>
      <c r="E2802" s="35">
        <v>24610.0</v>
      </c>
      <c r="F2802" s="35" t="s">
        <v>11</v>
      </c>
    </row>
    <row r="2803" ht="22.5" customHeight="1">
      <c r="A2803" s="37" t="s">
        <v>5830</v>
      </c>
      <c r="B2803" s="35" t="s">
        <v>5831</v>
      </c>
      <c r="C2803" s="35">
        <v>241.0</v>
      </c>
      <c r="D2803" s="35">
        <v>238.0</v>
      </c>
      <c r="E2803" s="35">
        <v>24010.0</v>
      </c>
      <c r="F2803" s="35" t="s">
        <v>11</v>
      </c>
    </row>
    <row r="2804" ht="22.5" customHeight="1">
      <c r="A2804" s="37" t="s">
        <v>5832</v>
      </c>
      <c r="B2804" s="35" t="s">
        <v>5833</v>
      </c>
      <c r="C2804" s="35">
        <v>211.0</v>
      </c>
      <c r="D2804" s="35">
        <v>318.0</v>
      </c>
      <c r="E2804" s="35">
        <v>24970.0</v>
      </c>
      <c r="F2804" s="35" t="s">
        <v>11</v>
      </c>
    </row>
    <row r="2805" ht="22.5" customHeight="1">
      <c r="A2805" s="37" t="s">
        <v>5834</v>
      </c>
      <c r="B2805" s="35" t="s">
        <v>5835</v>
      </c>
      <c r="C2805" s="35">
        <v>279.0</v>
      </c>
      <c r="D2805" s="35">
        <v>266.0</v>
      </c>
      <c r="E2805" s="35">
        <v>28760.0</v>
      </c>
      <c r="F2805" s="35" t="s">
        <v>11</v>
      </c>
    </row>
    <row r="2806" ht="22.5" customHeight="1">
      <c r="A2806" s="37" t="s">
        <v>5836</v>
      </c>
      <c r="B2806" s="35" t="s">
        <v>5837</v>
      </c>
      <c r="C2806" s="35">
        <v>631.0</v>
      </c>
      <c r="D2806" s="35">
        <v>675.0</v>
      </c>
      <c r="E2806" s="35">
        <v>26030.0</v>
      </c>
      <c r="F2806" s="35" t="s">
        <v>11</v>
      </c>
    </row>
    <row r="2807" ht="22.5" customHeight="1">
      <c r="A2807" s="37" t="s">
        <v>5838</v>
      </c>
      <c r="B2807" s="35" t="s">
        <v>5839</v>
      </c>
      <c r="C2807" s="35">
        <v>213.0</v>
      </c>
      <c r="D2807" s="35">
        <v>213.0</v>
      </c>
      <c r="E2807" s="35">
        <v>24710.0</v>
      </c>
      <c r="F2807" s="35" t="s">
        <v>11</v>
      </c>
    </row>
    <row r="2808" ht="22.5" customHeight="1">
      <c r="A2808" s="37" t="s">
        <v>5840</v>
      </c>
      <c r="B2808" s="35" t="s">
        <v>5841</v>
      </c>
      <c r="C2808" s="35">
        <v>454.0</v>
      </c>
      <c r="D2808" s="35">
        <v>464.0</v>
      </c>
      <c r="E2808" s="35">
        <v>25010.0</v>
      </c>
      <c r="F2808" s="35" t="s">
        <v>11</v>
      </c>
    </row>
    <row r="2809" ht="22.5" customHeight="1">
      <c r="A2809" s="37" t="s">
        <v>5842</v>
      </c>
      <c r="B2809" s="35" t="s">
        <v>5843</v>
      </c>
      <c r="C2809" s="35">
        <v>349.0</v>
      </c>
      <c r="D2809" s="35">
        <v>355.0</v>
      </c>
      <c r="E2809" s="35">
        <v>25820.0</v>
      </c>
      <c r="F2809" s="35" t="s">
        <v>11</v>
      </c>
    </row>
    <row r="2810" ht="22.5" customHeight="1">
      <c r="A2810" s="37" t="s">
        <v>5844</v>
      </c>
      <c r="B2810" s="35" t="s">
        <v>5845</v>
      </c>
      <c r="C2810" s="35">
        <v>395.0</v>
      </c>
      <c r="D2810" s="35">
        <v>394.0</v>
      </c>
      <c r="E2810" s="35">
        <v>27990.0</v>
      </c>
      <c r="F2810" s="35" t="s">
        <v>11</v>
      </c>
    </row>
    <row r="2811" ht="22.5" customHeight="1">
      <c r="A2811" s="37" t="s">
        <v>5846</v>
      </c>
      <c r="B2811" s="35" t="s">
        <v>5847</v>
      </c>
      <c r="C2811" s="35">
        <v>624.0</v>
      </c>
      <c r="D2811" s="35">
        <v>596.0</v>
      </c>
      <c r="E2811" s="35">
        <v>24510.0</v>
      </c>
      <c r="F2811" s="35" t="s">
        <v>11</v>
      </c>
    </row>
    <row r="2812" ht="22.5" customHeight="1">
      <c r="A2812" s="37" t="s">
        <v>5848</v>
      </c>
      <c r="B2812" s="35" t="s">
        <v>5849</v>
      </c>
      <c r="C2812" s="35">
        <v>2096.0</v>
      </c>
      <c r="D2812" s="35">
        <v>2032.0</v>
      </c>
      <c r="E2812" s="35">
        <v>23080.0</v>
      </c>
      <c r="F2812" s="35">
        <v>15.0</v>
      </c>
    </row>
    <row r="2813" ht="22.5" customHeight="1">
      <c r="A2813" s="37" t="s">
        <v>5850</v>
      </c>
      <c r="B2813" s="35" t="s">
        <v>5851</v>
      </c>
      <c r="C2813" s="35">
        <v>2622.0</v>
      </c>
      <c r="D2813" s="35">
        <v>2687.0</v>
      </c>
      <c r="E2813" s="35">
        <v>29390.0</v>
      </c>
      <c r="F2813" s="35">
        <v>6.0</v>
      </c>
    </row>
    <row r="2814" ht="22.5" customHeight="1">
      <c r="A2814" s="37" t="s">
        <v>5852</v>
      </c>
      <c r="B2814" s="35" t="s">
        <v>5853</v>
      </c>
      <c r="C2814" s="35">
        <v>35.0</v>
      </c>
      <c r="D2814" s="35">
        <v>33.0</v>
      </c>
      <c r="E2814" s="35" t="s">
        <v>11</v>
      </c>
      <c r="F2814" s="35" t="s">
        <v>11</v>
      </c>
    </row>
    <row r="2815" ht="22.5" customHeight="1">
      <c r="A2815" s="37" t="s">
        <v>5854</v>
      </c>
      <c r="B2815" s="35" t="s">
        <v>5855</v>
      </c>
      <c r="C2815" s="35">
        <v>262.0</v>
      </c>
      <c r="D2815" s="35">
        <v>253.0</v>
      </c>
      <c r="E2815" s="35">
        <v>27160.0</v>
      </c>
      <c r="F2815" s="35" t="s">
        <v>11</v>
      </c>
    </row>
    <row r="2816" ht="22.5" customHeight="1">
      <c r="A2816" s="37" t="s">
        <v>5856</v>
      </c>
      <c r="B2816" s="35" t="s">
        <v>5857</v>
      </c>
      <c r="C2816" s="35">
        <v>142.0</v>
      </c>
      <c r="D2816" s="35">
        <v>185.0</v>
      </c>
      <c r="E2816" s="35">
        <v>22530.0</v>
      </c>
      <c r="F2816" s="35" t="s">
        <v>11</v>
      </c>
    </row>
    <row r="2817" ht="22.5" customHeight="1">
      <c r="A2817" s="37" t="s">
        <v>5858</v>
      </c>
      <c r="B2817" s="35" t="s">
        <v>5859</v>
      </c>
      <c r="C2817" s="35">
        <v>3001.0</v>
      </c>
      <c r="D2817" s="35">
        <v>2987.0</v>
      </c>
      <c r="E2817" s="35">
        <v>22580.0</v>
      </c>
      <c r="F2817" s="35">
        <v>18.0</v>
      </c>
    </row>
    <row r="2818" ht="22.5" customHeight="1">
      <c r="A2818" s="37" t="s">
        <v>5860</v>
      </c>
      <c r="B2818" s="35" t="s">
        <v>5861</v>
      </c>
      <c r="C2818" s="35">
        <v>1123.0</v>
      </c>
      <c r="D2818" s="35">
        <v>1123.0</v>
      </c>
      <c r="E2818" s="35">
        <v>29640.0</v>
      </c>
      <c r="F2818" s="35" t="s">
        <v>11</v>
      </c>
    </row>
    <row r="2819" ht="22.5" customHeight="1">
      <c r="A2819" s="37" t="s">
        <v>5862</v>
      </c>
      <c r="B2819" s="35" t="s">
        <v>5863</v>
      </c>
      <c r="C2819" s="35">
        <v>1359.0</v>
      </c>
      <c r="D2819" s="35">
        <v>1328.0</v>
      </c>
      <c r="E2819" s="35">
        <v>27330.0</v>
      </c>
      <c r="F2819" s="35" t="s">
        <v>11</v>
      </c>
    </row>
    <row r="2820" ht="22.5" customHeight="1">
      <c r="A2820" s="37" t="s">
        <v>5864</v>
      </c>
      <c r="B2820" s="35" t="s">
        <v>5865</v>
      </c>
      <c r="C2820" s="35">
        <v>782.0</v>
      </c>
      <c r="D2820" s="35">
        <v>794.0</v>
      </c>
      <c r="E2820" s="35">
        <v>30690.0</v>
      </c>
      <c r="F2820" s="35" t="s">
        <v>11</v>
      </c>
    </row>
    <row r="2821" ht="22.5" customHeight="1">
      <c r="A2821" s="37" t="s">
        <v>5866</v>
      </c>
      <c r="B2821" s="35" t="s">
        <v>1491</v>
      </c>
      <c r="C2821" s="35">
        <v>285.0</v>
      </c>
      <c r="D2821" s="35">
        <v>265.0</v>
      </c>
      <c r="E2821" s="35">
        <v>22130.0</v>
      </c>
      <c r="F2821" s="35" t="s">
        <v>11</v>
      </c>
    </row>
    <row r="2822" ht="22.5" customHeight="1">
      <c r="A2822" s="37" t="s">
        <v>5867</v>
      </c>
      <c r="B2822" s="35" t="s">
        <v>5868</v>
      </c>
      <c r="C2822" s="35">
        <v>528.0</v>
      </c>
      <c r="D2822" s="35">
        <v>558.0</v>
      </c>
      <c r="E2822" s="35">
        <v>25270.0</v>
      </c>
      <c r="F2822" s="35" t="s">
        <v>11</v>
      </c>
    </row>
    <row r="2823" ht="22.5" customHeight="1">
      <c r="A2823" s="37" t="s">
        <v>5869</v>
      </c>
      <c r="B2823" s="35" t="s">
        <v>5870</v>
      </c>
      <c r="C2823" s="35">
        <v>538.0</v>
      </c>
      <c r="D2823" s="35">
        <v>516.0</v>
      </c>
      <c r="E2823" s="35">
        <v>24370.0</v>
      </c>
      <c r="F2823" s="35" t="s">
        <v>11</v>
      </c>
    </row>
    <row r="2824" ht="22.5" customHeight="1">
      <c r="A2824" s="37" t="s">
        <v>5871</v>
      </c>
      <c r="B2824" s="35" t="s">
        <v>5872</v>
      </c>
      <c r="C2824" s="35">
        <v>1446.0</v>
      </c>
      <c r="D2824" s="35">
        <v>1381.0</v>
      </c>
      <c r="E2824" s="35">
        <v>25850.0</v>
      </c>
      <c r="F2824" s="35" t="s">
        <v>11</v>
      </c>
    </row>
    <row r="2825" ht="22.5" customHeight="1">
      <c r="A2825" s="37" t="s">
        <v>5873</v>
      </c>
      <c r="B2825" s="35" t="s">
        <v>5874</v>
      </c>
      <c r="C2825" s="35">
        <v>307.0</v>
      </c>
      <c r="D2825" s="35">
        <v>293.0</v>
      </c>
      <c r="E2825" s="35">
        <v>24030.0</v>
      </c>
      <c r="F2825" s="35" t="s">
        <v>11</v>
      </c>
    </row>
    <row r="2826" ht="22.5" customHeight="1">
      <c r="A2826" s="37" t="s">
        <v>5875</v>
      </c>
      <c r="B2826" s="35" t="s">
        <v>5876</v>
      </c>
      <c r="C2826" s="35">
        <v>46.0</v>
      </c>
      <c r="D2826" s="35">
        <v>53.0</v>
      </c>
      <c r="E2826" s="35" t="s">
        <v>11</v>
      </c>
      <c r="F2826" s="35" t="s">
        <v>11</v>
      </c>
    </row>
    <row r="2827" ht="22.5" customHeight="1">
      <c r="A2827" s="37" t="s">
        <v>5877</v>
      </c>
      <c r="B2827" s="35" t="s">
        <v>5878</v>
      </c>
      <c r="C2827" s="35">
        <v>1944.0</v>
      </c>
      <c r="D2827" s="35">
        <v>1970.0</v>
      </c>
      <c r="E2827" s="35">
        <v>26280.0</v>
      </c>
      <c r="F2827" s="35" t="s">
        <v>11</v>
      </c>
    </row>
    <row r="2828" ht="22.5" customHeight="1">
      <c r="A2828" s="37" t="s">
        <v>5879</v>
      </c>
      <c r="B2828" s="35" t="s">
        <v>5880</v>
      </c>
      <c r="C2828" s="35">
        <v>86.0</v>
      </c>
      <c r="D2828" s="35">
        <v>83.0</v>
      </c>
      <c r="E2828" s="35" t="s">
        <v>11</v>
      </c>
      <c r="F2828" s="35" t="s">
        <v>11</v>
      </c>
    </row>
    <row r="2829" ht="22.5" customHeight="1">
      <c r="A2829" s="37" t="s">
        <v>5881</v>
      </c>
      <c r="B2829" s="35" t="s">
        <v>5882</v>
      </c>
      <c r="C2829" s="35">
        <v>241.0</v>
      </c>
      <c r="D2829" s="35">
        <v>251.0</v>
      </c>
      <c r="E2829" s="35">
        <v>22940.0</v>
      </c>
      <c r="F2829" s="35" t="s">
        <v>11</v>
      </c>
    </row>
    <row r="2830" ht="22.5" customHeight="1">
      <c r="A2830" s="37" t="s">
        <v>5883</v>
      </c>
      <c r="B2830" s="35" t="s">
        <v>1509</v>
      </c>
      <c r="C2830" s="35">
        <v>8738.0</v>
      </c>
      <c r="D2830" s="35">
        <v>8552.0</v>
      </c>
      <c r="E2830" s="35">
        <v>20430.0</v>
      </c>
      <c r="F2830" s="35">
        <v>27.0</v>
      </c>
    </row>
    <row r="2831" ht="22.5" customHeight="1">
      <c r="A2831" s="37" t="s">
        <v>5884</v>
      </c>
      <c r="B2831" s="35" t="s">
        <v>5885</v>
      </c>
      <c r="C2831" s="35">
        <v>135.0</v>
      </c>
      <c r="D2831" s="35">
        <v>121.0</v>
      </c>
      <c r="E2831" s="35">
        <v>24030.0</v>
      </c>
      <c r="F2831" s="35" t="s">
        <v>11</v>
      </c>
    </row>
    <row r="2832" ht="22.5" customHeight="1">
      <c r="A2832" s="37" t="s">
        <v>5886</v>
      </c>
      <c r="B2832" s="35" t="s">
        <v>5887</v>
      </c>
      <c r="C2832" s="35">
        <v>199.0</v>
      </c>
      <c r="D2832" s="35">
        <v>214.0</v>
      </c>
      <c r="E2832" s="35">
        <v>24180.0</v>
      </c>
      <c r="F2832" s="35" t="s">
        <v>11</v>
      </c>
    </row>
    <row r="2833" ht="22.5" customHeight="1">
      <c r="A2833" s="37" t="s">
        <v>5888</v>
      </c>
      <c r="B2833" s="35" t="s">
        <v>5889</v>
      </c>
      <c r="C2833" s="35">
        <v>1583.0</v>
      </c>
      <c r="D2833" s="35">
        <v>1478.0</v>
      </c>
      <c r="E2833" s="35">
        <v>26650.0</v>
      </c>
      <c r="F2833" s="35" t="s">
        <v>11</v>
      </c>
    </row>
    <row r="2834" ht="22.5" customHeight="1">
      <c r="A2834" s="37" t="s">
        <v>5890</v>
      </c>
      <c r="B2834" s="35" t="s">
        <v>5891</v>
      </c>
      <c r="C2834" s="35">
        <v>685.0</v>
      </c>
      <c r="D2834" s="35">
        <v>691.0</v>
      </c>
      <c r="E2834" s="35">
        <v>25380.0</v>
      </c>
      <c r="F2834" s="35" t="s">
        <v>11</v>
      </c>
    </row>
    <row r="2835" ht="22.5" customHeight="1">
      <c r="A2835" s="37" t="s">
        <v>5892</v>
      </c>
      <c r="B2835" s="35" t="s">
        <v>5893</v>
      </c>
      <c r="C2835" s="35">
        <v>254.0</v>
      </c>
      <c r="D2835" s="35">
        <v>237.0</v>
      </c>
      <c r="E2835" s="35">
        <v>22460.0</v>
      </c>
      <c r="F2835" s="35" t="s">
        <v>11</v>
      </c>
    </row>
    <row r="2836" ht="22.5" customHeight="1">
      <c r="A2836" s="37" t="s">
        <v>5894</v>
      </c>
      <c r="B2836" s="35" t="s">
        <v>5895</v>
      </c>
      <c r="C2836" s="35">
        <v>1650.0</v>
      </c>
      <c r="D2836" s="35">
        <v>1614.0</v>
      </c>
      <c r="E2836" s="35">
        <v>25140.0</v>
      </c>
      <c r="F2836" s="35" t="s">
        <v>11</v>
      </c>
    </row>
    <row r="2837" ht="22.5" customHeight="1">
      <c r="A2837" s="37" t="s">
        <v>5896</v>
      </c>
      <c r="B2837" s="35" t="s">
        <v>5897</v>
      </c>
      <c r="C2837" s="35">
        <v>294.0</v>
      </c>
      <c r="D2837" s="35">
        <v>285.0</v>
      </c>
      <c r="E2837" s="35">
        <v>23340.0</v>
      </c>
      <c r="F2837" s="35" t="s">
        <v>11</v>
      </c>
    </row>
    <row r="2838" ht="22.5" customHeight="1">
      <c r="A2838" s="37" t="s">
        <v>5898</v>
      </c>
      <c r="B2838" s="35" t="s">
        <v>5899</v>
      </c>
      <c r="C2838" s="35">
        <v>345.0</v>
      </c>
      <c r="D2838" s="35">
        <v>323.0</v>
      </c>
      <c r="E2838" s="35">
        <v>25400.0</v>
      </c>
      <c r="F2838" s="35" t="s">
        <v>11</v>
      </c>
    </row>
    <row r="2839" ht="22.5" customHeight="1">
      <c r="A2839" s="37" t="s">
        <v>5900</v>
      </c>
      <c r="B2839" s="35" t="s">
        <v>5901</v>
      </c>
      <c r="C2839" s="35">
        <v>309.0</v>
      </c>
      <c r="D2839" s="35">
        <v>285.0</v>
      </c>
      <c r="E2839" s="35">
        <v>23340.0</v>
      </c>
      <c r="F2839" s="35" t="s">
        <v>11</v>
      </c>
    </row>
    <row r="2840" ht="22.5" customHeight="1">
      <c r="A2840" s="37" t="s">
        <v>5902</v>
      </c>
      <c r="B2840" s="35" t="s">
        <v>5903</v>
      </c>
      <c r="C2840" s="35">
        <v>722.0</v>
      </c>
      <c r="D2840" s="35">
        <v>665.0</v>
      </c>
      <c r="E2840" s="35">
        <v>27620.0</v>
      </c>
      <c r="F2840" s="35" t="s">
        <v>11</v>
      </c>
    </row>
    <row r="2841" ht="22.5" customHeight="1">
      <c r="A2841" s="37" t="s">
        <v>5904</v>
      </c>
      <c r="B2841" s="35" t="s">
        <v>5905</v>
      </c>
      <c r="C2841" s="35">
        <v>2336.0</v>
      </c>
      <c r="D2841" s="35">
        <v>2493.0</v>
      </c>
      <c r="E2841" s="35">
        <v>23790.0</v>
      </c>
      <c r="F2841" s="35">
        <v>18.0</v>
      </c>
    </row>
    <row r="2842" ht="22.5" customHeight="1">
      <c r="A2842" s="37" t="s">
        <v>5906</v>
      </c>
      <c r="B2842" s="35" t="s">
        <v>5907</v>
      </c>
      <c r="C2842" s="35">
        <v>3982.0</v>
      </c>
      <c r="D2842" s="35">
        <v>3981.0</v>
      </c>
      <c r="E2842" s="35">
        <v>28570.0</v>
      </c>
      <c r="F2842" s="35">
        <v>7.0</v>
      </c>
    </row>
    <row r="2843" ht="22.5" customHeight="1">
      <c r="A2843" s="37" t="s">
        <v>5908</v>
      </c>
      <c r="B2843" s="35" t="s">
        <v>5909</v>
      </c>
      <c r="C2843" s="35">
        <v>6145.0</v>
      </c>
      <c r="D2843" s="35">
        <v>5948.0</v>
      </c>
      <c r="E2843" s="35">
        <v>22010.0</v>
      </c>
      <c r="F2843" s="35">
        <v>22.0</v>
      </c>
    </row>
    <row r="2844" ht="22.5" customHeight="1">
      <c r="A2844" s="37" t="s">
        <v>5910</v>
      </c>
      <c r="B2844" s="35" t="s">
        <v>5911</v>
      </c>
      <c r="C2844" s="35">
        <v>162.0</v>
      </c>
      <c r="D2844" s="35">
        <v>150.0</v>
      </c>
      <c r="E2844" s="35">
        <v>20980.0</v>
      </c>
      <c r="F2844" s="35" t="s">
        <v>11</v>
      </c>
    </row>
    <row r="2845" ht="22.5" customHeight="1">
      <c r="A2845" s="37" t="s">
        <v>5912</v>
      </c>
      <c r="B2845" s="35" t="s">
        <v>5913</v>
      </c>
      <c r="C2845" s="35">
        <v>322.0</v>
      </c>
      <c r="D2845" s="35">
        <v>310.0</v>
      </c>
      <c r="E2845" s="35">
        <v>25940.0</v>
      </c>
      <c r="F2845" s="35" t="s">
        <v>11</v>
      </c>
    </row>
    <row r="2846" ht="22.5" customHeight="1">
      <c r="A2846" s="37" t="s">
        <v>5914</v>
      </c>
      <c r="B2846" s="35" t="s">
        <v>5915</v>
      </c>
      <c r="C2846" s="35">
        <v>292.0</v>
      </c>
      <c r="D2846" s="35">
        <v>294.0</v>
      </c>
      <c r="E2846" s="35">
        <v>25050.0</v>
      </c>
      <c r="F2846" s="35" t="s">
        <v>11</v>
      </c>
    </row>
    <row r="2847" ht="22.5" customHeight="1">
      <c r="A2847" s="37" t="s">
        <v>5916</v>
      </c>
      <c r="B2847" s="35" t="s">
        <v>5917</v>
      </c>
      <c r="C2847" s="35">
        <v>122.0</v>
      </c>
      <c r="D2847" s="35">
        <v>122.0</v>
      </c>
      <c r="E2847" s="35">
        <v>25360.0</v>
      </c>
      <c r="F2847" s="35" t="s">
        <v>11</v>
      </c>
    </row>
    <row r="2848" ht="22.5" customHeight="1">
      <c r="A2848" s="37" t="s">
        <v>5918</v>
      </c>
      <c r="B2848" s="35" t="s">
        <v>1531</v>
      </c>
      <c r="C2848" s="35">
        <v>264.0</v>
      </c>
      <c r="D2848" s="35">
        <v>289.0</v>
      </c>
      <c r="E2848" s="35">
        <v>31700.0</v>
      </c>
      <c r="F2848" s="35" t="s">
        <v>11</v>
      </c>
    </row>
    <row r="2849" ht="22.5" customHeight="1">
      <c r="A2849" s="37" t="s">
        <v>5919</v>
      </c>
      <c r="B2849" s="35" t="s">
        <v>5920</v>
      </c>
      <c r="C2849" s="35">
        <v>3511.0</v>
      </c>
      <c r="D2849" s="35">
        <v>3471.0</v>
      </c>
      <c r="E2849" s="35">
        <v>30060.0</v>
      </c>
      <c r="F2849" s="35">
        <v>7.0</v>
      </c>
    </row>
    <row r="2850" ht="22.5" customHeight="1">
      <c r="A2850" s="37" t="s">
        <v>5921</v>
      </c>
      <c r="B2850" s="35" t="s">
        <v>5922</v>
      </c>
      <c r="C2850" s="35">
        <v>160.0</v>
      </c>
      <c r="D2850" s="35">
        <v>173.0</v>
      </c>
      <c r="E2850" s="35">
        <v>23200.0</v>
      </c>
      <c r="F2850" s="35" t="s">
        <v>11</v>
      </c>
    </row>
    <row r="2851" ht="22.5" customHeight="1">
      <c r="A2851" s="37" t="s">
        <v>5923</v>
      </c>
      <c r="B2851" s="35" t="s">
        <v>5924</v>
      </c>
      <c r="C2851" s="35">
        <v>5076.0</v>
      </c>
      <c r="D2851" s="35">
        <v>5029.0</v>
      </c>
      <c r="E2851" s="35">
        <v>23380.0</v>
      </c>
      <c r="F2851" s="35">
        <v>19.0</v>
      </c>
    </row>
    <row r="2852" ht="22.5" customHeight="1">
      <c r="A2852" s="37" t="s">
        <v>5925</v>
      </c>
      <c r="B2852" s="35" t="s">
        <v>5926</v>
      </c>
      <c r="C2852" s="35">
        <v>592.0</v>
      </c>
      <c r="D2852" s="35">
        <v>618.0</v>
      </c>
      <c r="E2852" s="35">
        <v>29630.0</v>
      </c>
      <c r="F2852" s="35" t="s">
        <v>11</v>
      </c>
    </row>
    <row r="2853" ht="22.5" customHeight="1">
      <c r="A2853" s="37" t="s">
        <v>5927</v>
      </c>
      <c r="B2853" s="35" t="s">
        <v>5928</v>
      </c>
      <c r="C2853" s="35">
        <v>2248.0</v>
      </c>
      <c r="D2853" s="35">
        <v>2349.0</v>
      </c>
      <c r="E2853" s="35">
        <v>27870.0</v>
      </c>
      <c r="F2853" s="35">
        <v>9.0</v>
      </c>
    </row>
    <row r="2854" ht="22.5" customHeight="1">
      <c r="A2854" s="37" t="s">
        <v>5929</v>
      </c>
      <c r="B2854" s="35" t="s">
        <v>5930</v>
      </c>
      <c r="C2854" s="35">
        <v>326.0</v>
      </c>
      <c r="D2854" s="35">
        <v>318.0</v>
      </c>
      <c r="E2854" s="35">
        <v>24310.0</v>
      </c>
      <c r="F2854" s="35" t="s">
        <v>11</v>
      </c>
    </row>
    <row r="2855" ht="22.5" customHeight="1">
      <c r="A2855" s="37" t="s">
        <v>5931</v>
      </c>
      <c r="B2855" s="35" t="s">
        <v>5932</v>
      </c>
      <c r="C2855" s="35">
        <v>807.0</v>
      </c>
      <c r="D2855" s="35">
        <v>830.0</v>
      </c>
      <c r="E2855" s="35">
        <v>23260.0</v>
      </c>
      <c r="F2855" s="35" t="s">
        <v>11</v>
      </c>
    </row>
    <row r="2856" ht="22.5" customHeight="1">
      <c r="A2856" s="37" t="s">
        <v>5933</v>
      </c>
      <c r="B2856" s="35" t="s">
        <v>5934</v>
      </c>
      <c r="C2856" s="35">
        <v>783.0</v>
      </c>
      <c r="D2856" s="35">
        <v>821.0</v>
      </c>
      <c r="E2856" s="35">
        <v>28700.0</v>
      </c>
      <c r="F2856" s="35" t="s">
        <v>11</v>
      </c>
    </row>
    <row r="2857" ht="22.5" customHeight="1">
      <c r="A2857" s="37" t="s">
        <v>5935</v>
      </c>
      <c r="B2857" s="35" t="s">
        <v>5936</v>
      </c>
      <c r="C2857" s="35">
        <v>1136.0</v>
      </c>
      <c r="D2857" s="35">
        <v>1041.0</v>
      </c>
      <c r="E2857" s="35">
        <v>29370.0</v>
      </c>
      <c r="F2857" s="35" t="s">
        <v>11</v>
      </c>
    </row>
    <row r="2858" ht="22.5" customHeight="1">
      <c r="A2858" s="37" t="s">
        <v>5937</v>
      </c>
      <c r="B2858" s="35" t="s">
        <v>5938</v>
      </c>
      <c r="C2858" s="35">
        <v>6606.0</v>
      </c>
      <c r="D2858" s="35">
        <v>6459.0</v>
      </c>
      <c r="E2858" s="35">
        <v>23780.0</v>
      </c>
      <c r="F2858" s="35">
        <v>17.0</v>
      </c>
    </row>
    <row r="2859" ht="22.5" customHeight="1">
      <c r="A2859" s="37" t="s">
        <v>5939</v>
      </c>
      <c r="B2859" s="35" t="s">
        <v>5940</v>
      </c>
      <c r="C2859" s="35">
        <v>450.0</v>
      </c>
      <c r="D2859" s="35">
        <v>520.0</v>
      </c>
      <c r="E2859" s="35">
        <v>26520.0</v>
      </c>
      <c r="F2859" s="35" t="s">
        <v>11</v>
      </c>
    </row>
    <row r="2860" ht="22.5" customHeight="1">
      <c r="A2860" s="37" t="s">
        <v>5941</v>
      </c>
      <c r="B2860" s="35" t="s">
        <v>5942</v>
      </c>
      <c r="C2860" s="35">
        <v>3452.0</v>
      </c>
      <c r="D2860" s="35">
        <v>3353.0</v>
      </c>
      <c r="E2860" s="35">
        <v>25100.0</v>
      </c>
      <c r="F2860" s="35">
        <v>11.0</v>
      </c>
    </row>
    <row r="2861" ht="22.5" customHeight="1">
      <c r="A2861" s="37" t="s">
        <v>5943</v>
      </c>
      <c r="B2861" s="35" t="s">
        <v>5944</v>
      </c>
      <c r="C2861" s="35">
        <v>1648.0</v>
      </c>
      <c r="D2861" s="35">
        <v>1708.0</v>
      </c>
      <c r="E2861" s="35">
        <v>25090.0</v>
      </c>
      <c r="F2861" s="35" t="s">
        <v>11</v>
      </c>
    </row>
    <row r="2862" ht="22.5" customHeight="1">
      <c r="A2862" s="37" t="s">
        <v>5945</v>
      </c>
      <c r="B2862" s="35" t="s">
        <v>5946</v>
      </c>
      <c r="C2862" s="35">
        <v>5906.0</v>
      </c>
      <c r="D2862" s="35">
        <v>5843.0</v>
      </c>
      <c r="E2862" s="35">
        <v>24900.0</v>
      </c>
      <c r="F2862" s="35">
        <v>14.0</v>
      </c>
    </row>
    <row r="2863" ht="22.5" customHeight="1">
      <c r="A2863" s="37" t="s">
        <v>5947</v>
      </c>
      <c r="B2863" s="35" t="s">
        <v>5948</v>
      </c>
      <c r="C2863" s="35">
        <v>11204.0</v>
      </c>
      <c r="D2863" s="35">
        <v>10888.0</v>
      </c>
      <c r="E2863" s="35">
        <v>24100.0</v>
      </c>
      <c r="F2863" s="35">
        <v>17.0</v>
      </c>
    </row>
    <row r="2864" ht="22.5" customHeight="1">
      <c r="A2864" s="37" t="s">
        <v>5949</v>
      </c>
      <c r="B2864" s="35" t="s">
        <v>5950</v>
      </c>
      <c r="C2864" s="35">
        <v>482.0</v>
      </c>
      <c r="D2864" s="35">
        <v>443.0</v>
      </c>
      <c r="E2864" s="35">
        <v>24990.0</v>
      </c>
      <c r="F2864" s="35" t="s">
        <v>11</v>
      </c>
    </row>
    <row r="2865" ht="22.5" customHeight="1">
      <c r="A2865" s="37" t="s">
        <v>5951</v>
      </c>
      <c r="B2865" s="35" t="s">
        <v>5952</v>
      </c>
      <c r="C2865" s="35">
        <v>286.0</v>
      </c>
      <c r="D2865" s="35">
        <v>264.0</v>
      </c>
      <c r="E2865" s="35">
        <v>24300.0</v>
      </c>
      <c r="F2865" s="35" t="s">
        <v>11</v>
      </c>
    </row>
    <row r="2866" ht="22.5" customHeight="1">
      <c r="A2866" s="37" t="s">
        <v>5953</v>
      </c>
      <c r="B2866" s="35" t="s">
        <v>5954</v>
      </c>
      <c r="C2866" s="35">
        <v>210.0</v>
      </c>
      <c r="D2866" s="35">
        <v>216.0</v>
      </c>
      <c r="E2866" s="35">
        <v>29280.0</v>
      </c>
      <c r="F2866" s="35" t="s">
        <v>11</v>
      </c>
    </row>
    <row r="2867" ht="22.5" customHeight="1">
      <c r="A2867" s="37" t="s">
        <v>5955</v>
      </c>
      <c r="B2867" s="35" t="s">
        <v>5956</v>
      </c>
      <c r="C2867" s="35">
        <v>119.0</v>
      </c>
      <c r="D2867" s="35">
        <v>131.0</v>
      </c>
      <c r="E2867" s="35">
        <v>25600.0</v>
      </c>
      <c r="F2867" s="35" t="s">
        <v>11</v>
      </c>
    </row>
    <row r="2868" ht="22.5" customHeight="1">
      <c r="A2868" s="37" t="s">
        <v>5957</v>
      </c>
      <c r="B2868" s="35" t="s">
        <v>5958</v>
      </c>
      <c r="C2868" s="35">
        <v>878.0</v>
      </c>
      <c r="D2868" s="35">
        <v>826.0</v>
      </c>
      <c r="E2868" s="35">
        <v>24020.0</v>
      </c>
      <c r="F2868" s="35" t="s">
        <v>11</v>
      </c>
    </row>
    <row r="2869" ht="22.5" customHeight="1">
      <c r="A2869" s="37" t="s">
        <v>5959</v>
      </c>
      <c r="B2869" s="35" t="s">
        <v>5960</v>
      </c>
      <c r="C2869" s="35">
        <v>4738.0</v>
      </c>
      <c r="D2869" s="35">
        <v>4494.0</v>
      </c>
      <c r="E2869" s="35">
        <v>23000.0</v>
      </c>
      <c r="F2869" s="35">
        <v>23.0</v>
      </c>
    </row>
    <row r="2870" ht="22.5" customHeight="1">
      <c r="A2870" s="37" t="s">
        <v>5961</v>
      </c>
      <c r="B2870" s="35" t="s">
        <v>5962</v>
      </c>
      <c r="C2870" s="35">
        <v>14782.0</v>
      </c>
      <c r="D2870" s="35">
        <v>14382.0</v>
      </c>
      <c r="E2870" s="35">
        <v>20050.0</v>
      </c>
      <c r="F2870" s="35">
        <v>31.0</v>
      </c>
    </row>
    <row r="2871" ht="22.5" customHeight="1">
      <c r="A2871" s="37" t="s">
        <v>5963</v>
      </c>
      <c r="B2871" s="35" t="s">
        <v>5964</v>
      </c>
      <c r="C2871" s="35">
        <v>1095.0</v>
      </c>
      <c r="D2871" s="35">
        <v>1073.0</v>
      </c>
      <c r="E2871" s="35">
        <v>26180.0</v>
      </c>
      <c r="F2871" s="35" t="s">
        <v>11</v>
      </c>
    </row>
    <row r="2872" ht="22.5" customHeight="1">
      <c r="A2872" s="37" t="s">
        <v>5965</v>
      </c>
      <c r="B2872" s="35" t="s">
        <v>5966</v>
      </c>
      <c r="C2872" s="35">
        <v>4971.0</v>
      </c>
      <c r="D2872" s="35">
        <v>4677.0</v>
      </c>
      <c r="E2872" s="35">
        <v>20400.0</v>
      </c>
      <c r="F2872" s="35">
        <v>28.0</v>
      </c>
    </row>
    <row r="2873" ht="22.5" customHeight="1">
      <c r="A2873" s="37" t="s">
        <v>5967</v>
      </c>
      <c r="B2873" s="35" t="s">
        <v>5968</v>
      </c>
      <c r="C2873" s="35">
        <v>101.0</v>
      </c>
      <c r="D2873" s="35">
        <v>105.0</v>
      </c>
      <c r="E2873" s="35">
        <v>25720.0</v>
      </c>
      <c r="F2873" s="35" t="s">
        <v>11</v>
      </c>
    </row>
    <row r="2874" ht="22.5" customHeight="1">
      <c r="A2874" s="37" t="s">
        <v>5969</v>
      </c>
      <c r="B2874" s="35" t="s">
        <v>5970</v>
      </c>
      <c r="C2874" s="35">
        <v>760.0</v>
      </c>
      <c r="D2874" s="35">
        <v>773.0</v>
      </c>
      <c r="E2874" s="35">
        <v>28730.0</v>
      </c>
      <c r="F2874" s="35" t="s">
        <v>11</v>
      </c>
    </row>
    <row r="2875" ht="22.5" customHeight="1">
      <c r="A2875" s="37" t="s">
        <v>5971</v>
      </c>
      <c r="B2875" s="35" t="s">
        <v>5972</v>
      </c>
      <c r="C2875" s="35">
        <v>3027.0</v>
      </c>
      <c r="D2875" s="35">
        <v>2999.0</v>
      </c>
      <c r="E2875" s="35">
        <v>25410.0</v>
      </c>
      <c r="F2875" s="35">
        <v>11.0</v>
      </c>
    </row>
    <row r="2876" ht="22.5" customHeight="1">
      <c r="A2876" s="37" t="s">
        <v>5973</v>
      </c>
      <c r="B2876" s="35" t="s">
        <v>5974</v>
      </c>
      <c r="C2876" s="35">
        <v>9715.0</v>
      </c>
      <c r="D2876" s="35">
        <v>9414.0</v>
      </c>
      <c r="E2876" s="35">
        <v>18180.0</v>
      </c>
      <c r="F2876" s="35">
        <v>36.0</v>
      </c>
    </row>
    <row r="2877" ht="22.5" customHeight="1">
      <c r="A2877" s="37" t="s">
        <v>5975</v>
      </c>
      <c r="B2877" s="35" t="s">
        <v>5976</v>
      </c>
      <c r="C2877" s="35">
        <v>486.0</v>
      </c>
      <c r="D2877" s="35">
        <v>521.0</v>
      </c>
      <c r="E2877" s="35">
        <v>26430.0</v>
      </c>
      <c r="F2877" s="35" t="s">
        <v>11</v>
      </c>
    </row>
    <row r="2878" ht="22.5" customHeight="1">
      <c r="A2878" s="37" t="s">
        <v>5977</v>
      </c>
      <c r="B2878" s="35" t="s">
        <v>5978</v>
      </c>
      <c r="C2878" s="35">
        <v>4496.0</v>
      </c>
      <c r="D2878" s="35">
        <v>4704.0</v>
      </c>
      <c r="E2878" s="35">
        <v>22650.0</v>
      </c>
      <c r="F2878" s="35">
        <v>15.0</v>
      </c>
    </row>
    <row r="2879" ht="22.5" customHeight="1">
      <c r="A2879" s="37" t="s">
        <v>5979</v>
      </c>
      <c r="B2879" s="35" t="s">
        <v>5980</v>
      </c>
      <c r="C2879" s="35">
        <v>4820.0</v>
      </c>
      <c r="D2879" s="35">
        <v>4668.0</v>
      </c>
      <c r="E2879" s="35">
        <v>26960.0</v>
      </c>
      <c r="F2879" s="35">
        <v>12.0</v>
      </c>
    </row>
    <row r="2880" ht="22.5" customHeight="1">
      <c r="A2880" s="37" t="s">
        <v>5981</v>
      </c>
      <c r="B2880" s="35" t="s">
        <v>5982</v>
      </c>
      <c r="C2880" s="35">
        <v>329.0</v>
      </c>
      <c r="D2880" s="35">
        <v>315.0</v>
      </c>
      <c r="E2880" s="35">
        <v>24230.0</v>
      </c>
      <c r="F2880" s="35" t="s">
        <v>11</v>
      </c>
    </row>
    <row r="2881" ht="22.5" customHeight="1">
      <c r="A2881" s="37" t="s">
        <v>5983</v>
      </c>
      <c r="B2881" s="35" t="s">
        <v>5984</v>
      </c>
      <c r="C2881" s="35">
        <v>196.0</v>
      </c>
      <c r="D2881" s="35">
        <v>198.0</v>
      </c>
      <c r="E2881" s="35">
        <v>25340.0</v>
      </c>
      <c r="F2881" s="35" t="s">
        <v>11</v>
      </c>
    </row>
    <row r="2882" ht="22.5" customHeight="1">
      <c r="A2882" s="37" t="s">
        <v>5985</v>
      </c>
      <c r="B2882" s="35" t="s">
        <v>5986</v>
      </c>
      <c r="C2882" s="35">
        <v>180.0</v>
      </c>
      <c r="D2882" s="35">
        <v>153.0</v>
      </c>
      <c r="E2882" s="35">
        <v>25340.0</v>
      </c>
      <c r="F2882" s="35" t="s">
        <v>11</v>
      </c>
    </row>
    <row r="2883" ht="22.5" customHeight="1">
      <c r="A2883" s="37" t="s">
        <v>5987</v>
      </c>
      <c r="B2883" s="35" t="s">
        <v>5988</v>
      </c>
      <c r="C2883" s="35">
        <v>82.0</v>
      </c>
      <c r="D2883" s="35">
        <v>83.0</v>
      </c>
      <c r="E2883" s="35" t="s">
        <v>11</v>
      </c>
      <c r="F2883" s="35" t="s">
        <v>11</v>
      </c>
    </row>
    <row r="2884" ht="22.5" customHeight="1">
      <c r="A2884" s="37" t="s">
        <v>5989</v>
      </c>
      <c r="B2884" s="35" t="s">
        <v>5990</v>
      </c>
      <c r="C2884" s="35">
        <v>183.0</v>
      </c>
      <c r="D2884" s="35">
        <v>182.0</v>
      </c>
      <c r="E2884" s="35">
        <v>24570.0</v>
      </c>
      <c r="F2884" s="35" t="s">
        <v>11</v>
      </c>
    </row>
    <row r="2885" ht="22.5" customHeight="1">
      <c r="A2885" s="37" t="s">
        <v>5991</v>
      </c>
      <c r="B2885" s="35" t="s">
        <v>5992</v>
      </c>
      <c r="C2885" s="35">
        <v>364.0</v>
      </c>
      <c r="D2885" s="35">
        <v>390.0</v>
      </c>
      <c r="E2885" s="35">
        <v>25420.0</v>
      </c>
      <c r="F2885" s="35" t="s">
        <v>11</v>
      </c>
    </row>
    <row r="2886" ht="22.5" customHeight="1">
      <c r="A2886" s="37" t="s">
        <v>5993</v>
      </c>
      <c r="B2886" s="35" t="s">
        <v>5994</v>
      </c>
      <c r="C2886" s="35">
        <v>455.0</v>
      </c>
      <c r="D2886" s="35">
        <v>438.0</v>
      </c>
      <c r="E2886" s="35">
        <v>25090.0</v>
      </c>
      <c r="F2886" s="35" t="s">
        <v>11</v>
      </c>
    </row>
    <row r="2887" ht="22.5" customHeight="1">
      <c r="A2887" s="37" t="s">
        <v>5995</v>
      </c>
      <c r="B2887" s="35" t="s">
        <v>5996</v>
      </c>
      <c r="C2887" s="35">
        <v>449.0</v>
      </c>
      <c r="D2887" s="35">
        <v>409.0</v>
      </c>
      <c r="E2887" s="35">
        <v>25270.0</v>
      </c>
      <c r="F2887" s="35" t="s">
        <v>11</v>
      </c>
    </row>
    <row r="2888" ht="22.5" customHeight="1">
      <c r="A2888" s="37" t="s">
        <v>5997</v>
      </c>
      <c r="B2888" s="35" t="s">
        <v>5998</v>
      </c>
      <c r="C2888" s="35">
        <v>317.0</v>
      </c>
      <c r="D2888" s="35">
        <v>325.0</v>
      </c>
      <c r="E2888" s="35">
        <v>23900.0</v>
      </c>
      <c r="F2888" s="35" t="s">
        <v>11</v>
      </c>
    </row>
    <row r="2889" ht="22.5" customHeight="1">
      <c r="A2889" s="37" t="s">
        <v>5999</v>
      </c>
      <c r="B2889" s="35" t="s">
        <v>6000</v>
      </c>
      <c r="C2889" s="35">
        <v>765.0</v>
      </c>
      <c r="D2889" s="35">
        <v>750.0</v>
      </c>
      <c r="E2889" s="35">
        <v>24390.0</v>
      </c>
      <c r="F2889" s="35" t="s">
        <v>11</v>
      </c>
    </row>
    <row r="2890" ht="22.5" customHeight="1">
      <c r="A2890" s="37" t="s">
        <v>6001</v>
      </c>
      <c r="B2890" s="35" t="s">
        <v>6002</v>
      </c>
      <c r="C2890" s="35">
        <v>916.0</v>
      </c>
      <c r="D2890" s="35">
        <v>929.0</v>
      </c>
      <c r="E2890" s="35">
        <v>26990.0</v>
      </c>
      <c r="F2890" s="35" t="s">
        <v>11</v>
      </c>
    </row>
    <row r="2891" ht="22.5" customHeight="1">
      <c r="A2891" s="37" t="s">
        <v>6003</v>
      </c>
      <c r="B2891" s="35" t="s">
        <v>6004</v>
      </c>
      <c r="C2891" s="35">
        <v>333.0</v>
      </c>
      <c r="D2891" s="35">
        <v>299.0</v>
      </c>
      <c r="E2891" s="35">
        <v>24320.0</v>
      </c>
      <c r="F2891" s="35" t="s">
        <v>11</v>
      </c>
    </row>
    <row r="2892" ht="22.5" customHeight="1">
      <c r="A2892" s="37" t="s">
        <v>6005</v>
      </c>
      <c r="B2892" s="35" t="s">
        <v>6006</v>
      </c>
      <c r="C2892" s="35">
        <v>325.0</v>
      </c>
      <c r="D2892" s="35">
        <v>324.0</v>
      </c>
      <c r="E2892" s="35">
        <v>23120.0</v>
      </c>
      <c r="F2892" s="35" t="s">
        <v>11</v>
      </c>
    </row>
    <row r="2893" ht="22.5" customHeight="1">
      <c r="A2893" s="37" t="s">
        <v>6007</v>
      </c>
      <c r="B2893" s="35" t="s">
        <v>6008</v>
      </c>
      <c r="C2893" s="35">
        <v>722.0</v>
      </c>
      <c r="D2893" s="35">
        <v>685.0</v>
      </c>
      <c r="E2893" s="35">
        <v>23780.0</v>
      </c>
      <c r="F2893" s="35" t="s">
        <v>11</v>
      </c>
    </row>
    <row r="2894" ht="22.5" customHeight="1">
      <c r="A2894" s="37" t="s">
        <v>6009</v>
      </c>
      <c r="B2894" s="35" t="s">
        <v>6010</v>
      </c>
      <c r="C2894" s="35">
        <v>269.0</v>
      </c>
      <c r="D2894" s="35">
        <v>251.0</v>
      </c>
      <c r="E2894" s="35">
        <v>25830.0</v>
      </c>
      <c r="F2894" s="35" t="s">
        <v>11</v>
      </c>
    </row>
    <row r="2895" ht="22.5" customHeight="1">
      <c r="A2895" s="37" t="s">
        <v>6011</v>
      </c>
      <c r="B2895" s="35" t="s">
        <v>4309</v>
      </c>
      <c r="C2895" s="35">
        <v>163.0</v>
      </c>
      <c r="D2895" s="35">
        <v>159.0</v>
      </c>
      <c r="E2895" s="35">
        <v>24500.0</v>
      </c>
      <c r="F2895" s="35" t="s">
        <v>11</v>
      </c>
    </row>
    <row r="2896" ht="22.5" customHeight="1">
      <c r="A2896" s="37" t="s">
        <v>6012</v>
      </c>
      <c r="B2896" s="35" t="s">
        <v>6013</v>
      </c>
      <c r="C2896" s="35">
        <v>54.0</v>
      </c>
      <c r="D2896" s="35">
        <v>49.0</v>
      </c>
      <c r="E2896" s="35" t="s">
        <v>11</v>
      </c>
      <c r="F2896" s="35" t="s">
        <v>11</v>
      </c>
    </row>
    <row r="2897" ht="22.5" customHeight="1">
      <c r="A2897" s="37" t="s">
        <v>6014</v>
      </c>
      <c r="B2897" s="35" t="s">
        <v>6015</v>
      </c>
      <c r="C2897" s="35">
        <v>1148.0</v>
      </c>
      <c r="D2897" s="35">
        <v>1210.0</v>
      </c>
      <c r="E2897" s="35">
        <v>26410.0</v>
      </c>
      <c r="F2897" s="35" t="s">
        <v>11</v>
      </c>
    </row>
    <row r="2898" ht="22.5" customHeight="1">
      <c r="A2898" s="37" t="s">
        <v>6016</v>
      </c>
      <c r="B2898" s="35" t="s">
        <v>6017</v>
      </c>
      <c r="C2898" s="35">
        <v>1093.0</v>
      </c>
      <c r="D2898" s="35">
        <v>1147.0</v>
      </c>
      <c r="E2898" s="35">
        <v>28350.0</v>
      </c>
      <c r="F2898" s="35" t="s">
        <v>11</v>
      </c>
    </row>
    <row r="2899" ht="22.5" customHeight="1">
      <c r="A2899" s="37" t="s">
        <v>6018</v>
      </c>
      <c r="B2899" s="35" t="s">
        <v>6019</v>
      </c>
      <c r="C2899" s="35">
        <v>608.0</v>
      </c>
      <c r="D2899" s="35">
        <v>594.0</v>
      </c>
      <c r="E2899" s="35">
        <v>24780.0</v>
      </c>
      <c r="F2899" s="35" t="s">
        <v>11</v>
      </c>
    </row>
    <row r="2900" ht="22.5" customHeight="1">
      <c r="A2900" s="37" t="s">
        <v>6020</v>
      </c>
      <c r="B2900" s="35" t="s">
        <v>6021</v>
      </c>
      <c r="C2900" s="35">
        <v>111.0</v>
      </c>
      <c r="D2900" s="35">
        <v>118.0</v>
      </c>
      <c r="E2900" s="35">
        <v>23290.0</v>
      </c>
      <c r="F2900" s="35" t="s">
        <v>11</v>
      </c>
    </row>
    <row r="2901" ht="22.5" customHeight="1">
      <c r="A2901" s="37" t="s">
        <v>6022</v>
      </c>
      <c r="B2901" s="35" t="s">
        <v>6023</v>
      </c>
      <c r="C2901" s="35">
        <v>557.0</v>
      </c>
      <c r="D2901" s="35">
        <v>569.0</v>
      </c>
      <c r="E2901" s="35">
        <v>28760.0</v>
      </c>
      <c r="F2901" s="35" t="s">
        <v>11</v>
      </c>
    </row>
    <row r="2902" ht="22.5" customHeight="1">
      <c r="A2902" s="37" t="s">
        <v>6024</v>
      </c>
      <c r="B2902" s="35" t="s">
        <v>6025</v>
      </c>
      <c r="C2902" s="35">
        <v>269.0</v>
      </c>
      <c r="D2902" s="35">
        <v>286.0</v>
      </c>
      <c r="E2902" s="35">
        <v>25240.0</v>
      </c>
      <c r="F2902" s="35" t="s">
        <v>11</v>
      </c>
    </row>
    <row r="2903" ht="22.5" customHeight="1">
      <c r="A2903" s="37" t="s">
        <v>6026</v>
      </c>
      <c r="B2903" s="35" t="s">
        <v>6027</v>
      </c>
      <c r="C2903" s="35">
        <v>240.0</v>
      </c>
      <c r="D2903" s="35">
        <v>205.0</v>
      </c>
      <c r="E2903" s="35">
        <v>25150.0</v>
      </c>
      <c r="F2903" s="35" t="s">
        <v>11</v>
      </c>
    </row>
    <row r="2904" ht="22.5" customHeight="1">
      <c r="A2904" s="37" t="s">
        <v>6028</v>
      </c>
      <c r="B2904" s="35" t="s">
        <v>6029</v>
      </c>
      <c r="C2904" s="35">
        <v>817.0</v>
      </c>
      <c r="D2904" s="35">
        <v>942.0</v>
      </c>
      <c r="E2904" s="35">
        <v>28390.0</v>
      </c>
      <c r="F2904" s="35" t="s">
        <v>11</v>
      </c>
    </row>
    <row r="2905" ht="22.5" customHeight="1">
      <c r="A2905" s="37" t="s">
        <v>6030</v>
      </c>
      <c r="B2905" s="35" t="s">
        <v>6031</v>
      </c>
      <c r="C2905" s="35">
        <v>379.0</v>
      </c>
      <c r="D2905" s="35">
        <v>375.0</v>
      </c>
      <c r="E2905" s="35">
        <v>23030.0</v>
      </c>
      <c r="F2905" s="35" t="s">
        <v>11</v>
      </c>
    </row>
    <row r="2906" ht="22.5" customHeight="1">
      <c r="A2906" s="37" t="s">
        <v>6032</v>
      </c>
      <c r="B2906" s="35" t="s">
        <v>6033</v>
      </c>
      <c r="C2906" s="35">
        <v>2496.0</v>
      </c>
      <c r="D2906" s="35">
        <v>2663.0</v>
      </c>
      <c r="E2906" s="35">
        <v>28200.0</v>
      </c>
      <c r="F2906" s="35">
        <v>9.0</v>
      </c>
    </row>
    <row r="2907" ht="22.5" customHeight="1">
      <c r="A2907" s="37" t="s">
        <v>6034</v>
      </c>
      <c r="B2907" s="35" t="s">
        <v>6035</v>
      </c>
      <c r="C2907" s="35">
        <v>154.0</v>
      </c>
      <c r="D2907" s="35">
        <v>197.0</v>
      </c>
      <c r="E2907" s="35">
        <v>24630.0</v>
      </c>
      <c r="F2907" s="35" t="s">
        <v>11</v>
      </c>
    </row>
    <row r="2908" ht="22.5" customHeight="1">
      <c r="A2908" s="37" t="s">
        <v>6036</v>
      </c>
      <c r="B2908" s="35" t="s">
        <v>6037</v>
      </c>
      <c r="C2908" s="35">
        <v>640.0</v>
      </c>
      <c r="D2908" s="35">
        <v>624.0</v>
      </c>
      <c r="E2908" s="35">
        <v>25050.0</v>
      </c>
      <c r="F2908" s="35" t="s">
        <v>11</v>
      </c>
    </row>
    <row r="2909" ht="22.5" customHeight="1">
      <c r="A2909" s="37" t="s">
        <v>6038</v>
      </c>
      <c r="B2909" s="35" t="s">
        <v>6039</v>
      </c>
      <c r="C2909" s="35">
        <v>376.0</v>
      </c>
      <c r="D2909" s="35">
        <v>359.0</v>
      </c>
      <c r="E2909" s="35">
        <v>22600.0</v>
      </c>
      <c r="F2909" s="35" t="s">
        <v>11</v>
      </c>
    </row>
    <row r="2910" ht="22.5" customHeight="1">
      <c r="A2910" s="37" t="s">
        <v>6040</v>
      </c>
      <c r="B2910" s="35" t="s">
        <v>6041</v>
      </c>
      <c r="C2910" s="35">
        <v>252.0</v>
      </c>
      <c r="D2910" s="35">
        <v>265.0</v>
      </c>
      <c r="E2910" s="35">
        <v>28810.0</v>
      </c>
      <c r="F2910" s="35" t="s">
        <v>11</v>
      </c>
    </row>
    <row r="2911" ht="22.5" customHeight="1">
      <c r="A2911" s="37" t="s">
        <v>6042</v>
      </c>
      <c r="B2911" s="35" t="s">
        <v>6043</v>
      </c>
      <c r="C2911" s="35">
        <v>151.0</v>
      </c>
      <c r="D2911" s="35">
        <v>150.0</v>
      </c>
      <c r="E2911" s="35">
        <v>31610.0</v>
      </c>
      <c r="F2911" s="35" t="s">
        <v>11</v>
      </c>
    </row>
    <row r="2912" ht="22.5" customHeight="1">
      <c r="A2912" s="37" t="s">
        <v>6044</v>
      </c>
      <c r="B2912" s="35" t="s">
        <v>6045</v>
      </c>
      <c r="C2912" s="35">
        <v>260.0</v>
      </c>
      <c r="D2912" s="35">
        <v>259.0</v>
      </c>
      <c r="E2912" s="35">
        <v>23760.0</v>
      </c>
      <c r="F2912" s="35" t="s">
        <v>11</v>
      </c>
    </row>
    <row r="2913" ht="22.5" customHeight="1">
      <c r="A2913" s="37" t="s">
        <v>6046</v>
      </c>
      <c r="B2913" s="35" t="s">
        <v>6047</v>
      </c>
      <c r="C2913" s="35">
        <v>137.0</v>
      </c>
      <c r="D2913" s="35">
        <v>125.0</v>
      </c>
      <c r="E2913" s="35">
        <v>24780.0</v>
      </c>
      <c r="F2913" s="35" t="s">
        <v>11</v>
      </c>
    </row>
    <row r="2914" ht="22.5" customHeight="1">
      <c r="A2914" s="37" t="s">
        <v>6048</v>
      </c>
      <c r="B2914" s="35" t="s">
        <v>6049</v>
      </c>
      <c r="C2914" s="35">
        <v>1204.0</v>
      </c>
      <c r="D2914" s="35">
        <v>1310.0</v>
      </c>
      <c r="E2914" s="35">
        <v>29480.0</v>
      </c>
      <c r="F2914" s="35" t="s">
        <v>11</v>
      </c>
    </row>
    <row r="2915" ht="22.5" customHeight="1">
      <c r="A2915" s="37" t="s">
        <v>6050</v>
      </c>
      <c r="B2915" s="35" t="s">
        <v>6051</v>
      </c>
      <c r="C2915" s="35">
        <v>1115.0</v>
      </c>
      <c r="D2915" s="35">
        <v>1146.0</v>
      </c>
      <c r="E2915" s="35">
        <v>24420.0</v>
      </c>
      <c r="F2915" s="35" t="s">
        <v>11</v>
      </c>
    </row>
    <row r="2916" ht="22.5" customHeight="1">
      <c r="A2916" s="37" t="s">
        <v>6052</v>
      </c>
      <c r="B2916" s="35" t="s">
        <v>6053</v>
      </c>
      <c r="C2916" s="35">
        <v>834.0</v>
      </c>
      <c r="D2916" s="35">
        <v>815.0</v>
      </c>
      <c r="E2916" s="35">
        <v>23230.0</v>
      </c>
      <c r="F2916" s="35" t="s">
        <v>11</v>
      </c>
    </row>
    <row r="2917" ht="22.5" customHeight="1">
      <c r="A2917" s="37" t="s">
        <v>6054</v>
      </c>
      <c r="B2917" s="35" t="s">
        <v>6055</v>
      </c>
      <c r="C2917" s="35">
        <v>493.0</v>
      </c>
      <c r="D2917" s="35">
        <v>476.0</v>
      </c>
      <c r="E2917" s="35">
        <v>27090.0</v>
      </c>
      <c r="F2917" s="35" t="s">
        <v>11</v>
      </c>
    </row>
    <row r="2918" ht="22.5" customHeight="1">
      <c r="A2918" s="37" t="s">
        <v>6056</v>
      </c>
      <c r="B2918" s="35" t="s">
        <v>6057</v>
      </c>
      <c r="C2918" s="35">
        <v>123.0</v>
      </c>
      <c r="D2918" s="35">
        <v>96.0</v>
      </c>
      <c r="E2918" s="35">
        <v>24250.0</v>
      </c>
      <c r="F2918" s="35" t="s">
        <v>11</v>
      </c>
    </row>
    <row r="2919" ht="22.5" customHeight="1">
      <c r="A2919" s="37" t="s">
        <v>6058</v>
      </c>
      <c r="B2919" s="35" t="s">
        <v>6059</v>
      </c>
      <c r="C2919" s="35">
        <v>174.0</v>
      </c>
      <c r="D2919" s="35">
        <v>163.0</v>
      </c>
      <c r="E2919" s="35">
        <v>25900.0</v>
      </c>
      <c r="F2919" s="35" t="s">
        <v>11</v>
      </c>
    </row>
    <row r="2920" ht="22.5" customHeight="1">
      <c r="A2920" s="37" t="s">
        <v>6060</v>
      </c>
      <c r="B2920" s="35" t="s">
        <v>6061</v>
      </c>
      <c r="C2920" s="35">
        <v>223.0</v>
      </c>
      <c r="D2920" s="35">
        <v>215.0</v>
      </c>
      <c r="E2920" s="35">
        <v>28970.0</v>
      </c>
      <c r="F2920" s="35" t="s">
        <v>11</v>
      </c>
    </row>
    <row r="2921" ht="22.5" customHeight="1">
      <c r="A2921" s="37" t="s">
        <v>6062</v>
      </c>
      <c r="B2921" s="35" t="s">
        <v>6063</v>
      </c>
      <c r="C2921" s="35">
        <v>1434.0</v>
      </c>
      <c r="D2921" s="35">
        <v>1616.0</v>
      </c>
      <c r="E2921" s="35">
        <v>26620.0</v>
      </c>
      <c r="F2921" s="35" t="s">
        <v>11</v>
      </c>
    </row>
    <row r="2922" ht="22.5" customHeight="1">
      <c r="A2922" s="37" t="s">
        <v>6064</v>
      </c>
      <c r="B2922" s="35" t="s">
        <v>6065</v>
      </c>
      <c r="C2922" s="35">
        <v>159.0</v>
      </c>
      <c r="D2922" s="35">
        <v>154.0</v>
      </c>
      <c r="E2922" s="35">
        <v>22880.0</v>
      </c>
      <c r="F2922" s="35" t="s">
        <v>11</v>
      </c>
    </row>
    <row r="2923" ht="22.5" customHeight="1">
      <c r="A2923" s="37" t="s">
        <v>6066</v>
      </c>
      <c r="B2923" s="35" t="s">
        <v>6067</v>
      </c>
      <c r="C2923" s="35">
        <v>1099.0</v>
      </c>
      <c r="D2923" s="35">
        <v>1072.0</v>
      </c>
      <c r="E2923" s="35">
        <v>26910.0</v>
      </c>
      <c r="F2923" s="35" t="s">
        <v>11</v>
      </c>
    </row>
    <row r="2924" ht="22.5" customHeight="1">
      <c r="A2924" s="37" t="s">
        <v>6068</v>
      </c>
      <c r="B2924" s="35" t="s">
        <v>6069</v>
      </c>
      <c r="C2924" s="35">
        <v>825.0</v>
      </c>
      <c r="D2924" s="35">
        <v>818.0</v>
      </c>
      <c r="E2924" s="35">
        <v>27090.0</v>
      </c>
      <c r="F2924" s="35" t="s">
        <v>11</v>
      </c>
    </row>
    <row r="2925" ht="22.5" customHeight="1">
      <c r="A2925" s="37" t="s">
        <v>6070</v>
      </c>
      <c r="B2925" s="35" t="s">
        <v>6071</v>
      </c>
      <c r="C2925" s="35">
        <v>290.0</v>
      </c>
      <c r="D2925" s="35">
        <v>291.0</v>
      </c>
      <c r="E2925" s="35">
        <v>28110.0</v>
      </c>
      <c r="F2925" s="35" t="s">
        <v>11</v>
      </c>
    </row>
    <row r="2926" ht="22.5" customHeight="1">
      <c r="A2926" s="37" t="s">
        <v>6072</v>
      </c>
      <c r="B2926" s="35" t="s">
        <v>6073</v>
      </c>
      <c r="C2926" s="35">
        <v>91.0</v>
      </c>
      <c r="D2926" s="35">
        <v>81.0</v>
      </c>
      <c r="E2926" s="35" t="s">
        <v>11</v>
      </c>
      <c r="F2926" s="35" t="s">
        <v>11</v>
      </c>
    </row>
    <row r="2927" ht="22.5" customHeight="1">
      <c r="A2927" s="37" t="s">
        <v>6074</v>
      </c>
      <c r="B2927" s="35" t="s">
        <v>6075</v>
      </c>
      <c r="C2927" s="35">
        <v>165.0</v>
      </c>
      <c r="D2927" s="35">
        <v>171.0</v>
      </c>
      <c r="E2927" s="35">
        <v>23650.0</v>
      </c>
      <c r="F2927" s="35" t="s">
        <v>11</v>
      </c>
    </row>
    <row r="2928" ht="22.5" customHeight="1">
      <c r="A2928" s="37" t="s">
        <v>6076</v>
      </c>
      <c r="B2928" s="35" t="s">
        <v>6077</v>
      </c>
      <c r="C2928" s="35">
        <v>222.0</v>
      </c>
      <c r="D2928" s="35">
        <v>233.0</v>
      </c>
      <c r="E2928" s="35">
        <v>24100.0</v>
      </c>
      <c r="F2928" s="35" t="s">
        <v>11</v>
      </c>
    </row>
    <row r="2929" ht="22.5" customHeight="1">
      <c r="A2929" s="37" t="s">
        <v>6078</v>
      </c>
      <c r="B2929" s="35" t="s">
        <v>6079</v>
      </c>
      <c r="C2929" s="35">
        <v>826.0</v>
      </c>
      <c r="D2929" s="35">
        <v>907.0</v>
      </c>
      <c r="E2929" s="35">
        <v>26590.0</v>
      </c>
      <c r="F2929" s="35" t="s">
        <v>11</v>
      </c>
    </row>
    <row r="2930" ht="22.5" customHeight="1">
      <c r="A2930" s="37" t="s">
        <v>6080</v>
      </c>
      <c r="B2930" s="35" t="s">
        <v>6081</v>
      </c>
      <c r="C2930" s="35">
        <v>4223.0</v>
      </c>
      <c r="D2930" s="35">
        <v>4224.0</v>
      </c>
      <c r="E2930" s="35">
        <v>36850.0</v>
      </c>
      <c r="F2930" s="35">
        <v>10.0</v>
      </c>
    </row>
    <row r="2931" ht="22.5" customHeight="1">
      <c r="A2931" s="37" t="s">
        <v>6082</v>
      </c>
      <c r="B2931" s="35" t="s">
        <v>6083</v>
      </c>
      <c r="C2931" s="35">
        <v>1436.0</v>
      </c>
      <c r="D2931" s="35">
        <v>1376.0</v>
      </c>
      <c r="E2931" s="35">
        <v>23020.0</v>
      </c>
      <c r="F2931" s="35" t="s">
        <v>11</v>
      </c>
    </row>
    <row r="2932" ht="22.5" customHeight="1">
      <c r="A2932" s="37" t="s">
        <v>6084</v>
      </c>
      <c r="B2932" s="35" t="s">
        <v>6085</v>
      </c>
      <c r="C2932" s="35">
        <v>60.0</v>
      </c>
      <c r="D2932" s="35">
        <v>55.0</v>
      </c>
      <c r="E2932" s="35" t="s">
        <v>11</v>
      </c>
      <c r="F2932" s="35" t="s">
        <v>11</v>
      </c>
    </row>
    <row r="2933" ht="22.5" customHeight="1">
      <c r="A2933" s="37" t="s">
        <v>6086</v>
      </c>
      <c r="B2933" s="35" t="s">
        <v>6087</v>
      </c>
      <c r="C2933" s="35">
        <v>411.0</v>
      </c>
      <c r="D2933" s="35">
        <v>422.0</v>
      </c>
      <c r="E2933" s="35">
        <v>24530.0</v>
      </c>
      <c r="F2933" s="35" t="s">
        <v>11</v>
      </c>
    </row>
    <row r="2934" ht="22.5" customHeight="1">
      <c r="A2934" s="37" t="s">
        <v>6088</v>
      </c>
      <c r="B2934" s="35" t="s">
        <v>6089</v>
      </c>
      <c r="C2934" s="35">
        <v>178.0</v>
      </c>
      <c r="D2934" s="35">
        <v>204.0</v>
      </c>
      <c r="E2934" s="35">
        <v>25780.0</v>
      </c>
      <c r="F2934" s="35" t="s">
        <v>11</v>
      </c>
    </row>
    <row r="2935" ht="22.5" customHeight="1">
      <c r="A2935" s="37" t="s">
        <v>6090</v>
      </c>
      <c r="B2935" s="35" t="s">
        <v>6091</v>
      </c>
      <c r="C2935" s="35">
        <v>279.0</v>
      </c>
      <c r="D2935" s="35">
        <v>293.0</v>
      </c>
      <c r="E2935" s="35">
        <v>27100.0</v>
      </c>
      <c r="F2935" s="35" t="s">
        <v>11</v>
      </c>
    </row>
    <row r="2936" ht="22.5" customHeight="1">
      <c r="A2936" s="37" t="s">
        <v>6092</v>
      </c>
      <c r="B2936" s="35" t="s">
        <v>6093</v>
      </c>
      <c r="C2936" s="35">
        <v>538.0</v>
      </c>
      <c r="D2936" s="35">
        <v>578.0</v>
      </c>
      <c r="E2936" s="35">
        <v>25030.0</v>
      </c>
      <c r="F2936" s="35" t="s">
        <v>11</v>
      </c>
    </row>
    <row r="2937" ht="22.5" customHeight="1">
      <c r="A2937" s="37" t="s">
        <v>6094</v>
      </c>
      <c r="B2937" s="35" t="s">
        <v>6095</v>
      </c>
      <c r="C2937" s="35">
        <v>84.0</v>
      </c>
      <c r="D2937" s="35">
        <v>67.0</v>
      </c>
      <c r="E2937" s="35" t="s">
        <v>11</v>
      </c>
      <c r="F2937" s="35" t="s">
        <v>11</v>
      </c>
    </row>
    <row r="2938" ht="22.5" customHeight="1">
      <c r="A2938" s="37" t="s">
        <v>6096</v>
      </c>
      <c r="B2938" s="35" t="s">
        <v>6097</v>
      </c>
      <c r="C2938" s="35">
        <v>253.0</v>
      </c>
      <c r="D2938" s="35">
        <v>245.0</v>
      </c>
      <c r="E2938" s="35">
        <v>22870.0</v>
      </c>
      <c r="F2938" s="35" t="s">
        <v>11</v>
      </c>
    </row>
    <row r="2939" ht="22.5" customHeight="1">
      <c r="A2939" s="37" t="s">
        <v>6098</v>
      </c>
      <c r="B2939" s="35" t="s">
        <v>6099</v>
      </c>
      <c r="C2939" s="35">
        <v>569.0</v>
      </c>
      <c r="D2939" s="35">
        <v>538.0</v>
      </c>
      <c r="E2939" s="35">
        <v>26250.0</v>
      </c>
      <c r="F2939" s="35" t="s">
        <v>11</v>
      </c>
    </row>
    <row r="2940" ht="22.5" customHeight="1">
      <c r="A2940" s="37" t="s">
        <v>6100</v>
      </c>
      <c r="B2940" s="35" t="s">
        <v>6101</v>
      </c>
      <c r="C2940" s="35">
        <v>971.0</v>
      </c>
      <c r="D2940" s="35">
        <v>1138.0</v>
      </c>
      <c r="E2940" s="35">
        <v>32600.0</v>
      </c>
      <c r="F2940" s="35" t="s">
        <v>11</v>
      </c>
    </row>
    <row r="2941" ht="22.5" customHeight="1">
      <c r="A2941" s="37" t="s">
        <v>6102</v>
      </c>
      <c r="B2941" s="35" t="s">
        <v>6103</v>
      </c>
      <c r="C2941" s="35">
        <v>532.0</v>
      </c>
      <c r="D2941" s="35">
        <v>494.0</v>
      </c>
      <c r="E2941" s="35">
        <v>24980.0</v>
      </c>
      <c r="F2941" s="35" t="s">
        <v>11</v>
      </c>
    </row>
    <row r="2942" ht="22.5" customHeight="1">
      <c r="A2942" s="37" t="s">
        <v>6104</v>
      </c>
      <c r="B2942" s="35" t="s">
        <v>6105</v>
      </c>
      <c r="C2942" s="35">
        <v>90.0</v>
      </c>
      <c r="D2942" s="35">
        <v>89.0</v>
      </c>
      <c r="E2942" s="35" t="s">
        <v>11</v>
      </c>
      <c r="F2942" s="35" t="s">
        <v>11</v>
      </c>
    </row>
    <row r="2943" ht="22.5" customHeight="1">
      <c r="A2943" s="37" t="s">
        <v>6106</v>
      </c>
      <c r="B2943" s="35" t="s">
        <v>6107</v>
      </c>
      <c r="C2943" s="35">
        <v>1018.0</v>
      </c>
      <c r="D2943" s="35">
        <v>1099.0</v>
      </c>
      <c r="E2943" s="35">
        <v>25930.0</v>
      </c>
      <c r="F2943" s="35" t="s">
        <v>11</v>
      </c>
    </row>
    <row r="2944" ht="22.5" customHeight="1">
      <c r="A2944" s="37" t="s">
        <v>6108</v>
      </c>
      <c r="B2944" s="35" t="s">
        <v>6109</v>
      </c>
      <c r="C2944" s="35">
        <v>135.0</v>
      </c>
      <c r="D2944" s="35">
        <v>130.0</v>
      </c>
      <c r="E2944" s="35">
        <v>23180.0</v>
      </c>
      <c r="F2944" s="35" t="s">
        <v>11</v>
      </c>
    </row>
    <row r="2945" ht="22.5" customHeight="1">
      <c r="A2945" s="37" t="s">
        <v>6110</v>
      </c>
      <c r="B2945" s="35" t="s">
        <v>6111</v>
      </c>
      <c r="C2945" s="35">
        <v>2443.0</v>
      </c>
      <c r="D2945" s="35">
        <v>2374.0</v>
      </c>
      <c r="E2945" s="35">
        <v>24300.0</v>
      </c>
      <c r="F2945" s="35">
        <v>12.0</v>
      </c>
    </row>
    <row r="2946" ht="22.5" customHeight="1">
      <c r="A2946" s="37" t="s">
        <v>6112</v>
      </c>
      <c r="B2946" s="35" t="s">
        <v>6113</v>
      </c>
      <c r="C2946" s="35">
        <v>8608.0</v>
      </c>
      <c r="D2946" s="35">
        <v>8536.0</v>
      </c>
      <c r="E2946" s="35">
        <v>22900.0</v>
      </c>
      <c r="F2946" s="35">
        <v>20.0</v>
      </c>
    </row>
    <row r="2947" ht="22.5" customHeight="1">
      <c r="A2947" s="37" t="s">
        <v>6114</v>
      </c>
      <c r="B2947" s="35" t="s">
        <v>6115</v>
      </c>
      <c r="C2947" s="35">
        <v>241.0</v>
      </c>
      <c r="D2947" s="35">
        <v>235.0</v>
      </c>
      <c r="E2947" s="35">
        <v>25160.0</v>
      </c>
      <c r="F2947" s="35" t="s">
        <v>11</v>
      </c>
    </row>
    <row r="2948" ht="22.5" customHeight="1">
      <c r="A2948" s="37" t="s">
        <v>6116</v>
      </c>
      <c r="B2948" s="35" t="s">
        <v>6117</v>
      </c>
      <c r="C2948" s="35">
        <v>645.0</v>
      </c>
      <c r="D2948" s="35">
        <v>665.0</v>
      </c>
      <c r="E2948" s="35">
        <v>23450.0</v>
      </c>
      <c r="F2948" s="35" t="s">
        <v>11</v>
      </c>
    </row>
    <row r="2949" ht="22.5" customHeight="1">
      <c r="A2949" s="37" t="s">
        <v>6118</v>
      </c>
      <c r="B2949" s="35" t="s">
        <v>6119</v>
      </c>
      <c r="C2949" s="35">
        <v>444.0</v>
      </c>
      <c r="D2949" s="35">
        <v>516.0</v>
      </c>
      <c r="E2949" s="35">
        <v>26260.0</v>
      </c>
      <c r="F2949" s="35" t="s">
        <v>11</v>
      </c>
    </row>
    <row r="2950" ht="22.5" customHeight="1">
      <c r="A2950" s="37" t="s">
        <v>6120</v>
      </c>
      <c r="B2950" s="35" t="s">
        <v>6121</v>
      </c>
      <c r="C2950" s="35">
        <v>4726.0</v>
      </c>
      <c r="D2950" s="35">
        <v>4729.0</v>
      </c>
      <c r="E2950" s="35">
        <v>22380.0</v>
      </c>
      <c r="F2950" s="35">
        <v>18.0</v>
      </c>
    </row>
    <row r="2951" ht="22.5" customHeight="1">
      <c r="A2951" s="37" t="s">
        <v>6122</v>
      </c>
      <c r="B2951" s="35" t="s">
        <v>6123</v>
      </c>
      <c r="C2951" s="35">
        <v>1929.0</v>
      </c>
      <c r="D2951" s="35">
        <v>1978.0</v>
      </c>
      <c r="E2951" s="35">
        <v>26010.0</v>
      </c>
      <c r="F2951" s="35" t="s">
        <v>11</v>
      </c>
    </row>
    <row r="2952" ht="22.5" customHeight="1">
      <c r="A2952" s="37" t="s">
        <v>6124</v>
      </c>
      <c r="B2952" s="35" t="s">
        <v>6125</v>
      </c>
      <c r="C2952" s="35">
        <v>3452.0</v>
      </c>
      <c r="D2952" s="35">
        <v>3445.0</v>
      </c>
      <c r="E2952" s="35">
        <v>23880.0</v>
      </c>
      <c r="F2952" s="35">
        <v>15.0</v>
      </c>
    </row>
    <row r="2953" ht="22.5" customHeight="1">
      <c r="A2953" s="37" t="s">
        <v>6126</v>
      </c>
      <c r="B2953" s="35" t="s">
        <v>6127</v>
      </c>
      <c r="C2953" s="35">
        <v>2425.0</v>
      </c>
      <c r="D2953" s="35">
        <v>2571.0</v>
      </c>
      <c r="E2953" s="35">
        <v>27570.0</v>
      </c>
      <c r="F2953" s="35">
        <v>8.0</v>
      </c>
    </row>
    <row r="2954" ht="22.5" customHeight="1">
      <c r="A2954" s="37" t="s">
        <v>6128</v>
      </c>
      <c r="B2954" s="35" t="s">
        <v>6129</v>
      </c>
      <c r="C2954" s="35">
        <v>356.0</v>
      </c>
      <c r="D2954" s="35">
        <v>351.0</v>
      </c>
      <c r="E2954" s="35">
        <v>24530.0</v>
      </c>
      <c r="F2954" s="35" t="s">
        <v>11</v>
      </c>
    </row>
    <row r="2955" ht="22.5" customHeight="1">
      <c r="A2955" s="37" t="s">
        <v>6130</v>
      </c>
      <c r="B2955" s="35" t="s">
        <v>6131</v>
      </c>
      <c r="C2955" s="35">
        <v>778.0</v>
      </c>
      <c r="D2955" s="35">
        <v>882.0</v>
      </c>
      <c r="E2955" s="35">
        <v>29910.0</v>
      </c>
      <c r="F2955" s="35" t="s">
        <v>11</v>
      </c>
    </row>
    <row r="2956" ht="22.5" customHeight="1">
      <c r="A2956" s="37" t="s">
        <v>6132</v>
      </c>
      <c r="B2956" s="35" t="s">
        <v>6133</v>
      </c>
      <c r="C2956" s="35">
        <v>1382.0</v>
      </c>
      <c r="D2956" s="35">
        <v>1511.0</v>
      </c>
      <c r="E2956" s="35">
        <v>26950.0</v>
      </c>
      <c r="F2956" s="35" t="s">
        <v>11</v>
      </c>
    </row>
    <row r="2957" ht="22.5" customHeight="1">
      <c r="A2957" s="37" t="s">
        <v>6134</v>
      </c>
      <c r="B2957" s="35" t="s">
        <v>6135</v>
      </c>
      <c r="C2957" s="35">
        <v>386.0</v>
      </c>
      <c r="D2957" s="35">
        <v>391.0</v>
      </c>
      <c r="E2957" s="35">
        <v>24190.0</v>
      </c>
      <c r="F2957" s="35" t="s">
        <v>11</v>
      </c>
    </row>
    <row r="2958" ht="22.5" customHeight="1">
      <c r="A2958" s="37" t="s">
        <v>6136</v>
      </c>
      <c r="B2958" s="35" t="s">
        <v>6137</v>
      </c>
      <c r="C2958" s="35">
        <v>568.0</v>
      </c>
      <c r="D2958" s="35">
        <v>607.0</v>
      </c>
      <c r="E2958" s="35">
        <v>30240.0</v>
      </c>
      <c r="F2958" s="35" t="s">
        <v>11</v>
      </c>
    </row>
    <row r="2959" ht="22.5" customHeight="1">
      <c r="A2959" s="37" t="s">
        <v>6138</v>
      </c>
      <c r="B2959" s="35" t="s">
        <v>6139</v>
      </c>
      <c r="C2959" s="35">
        <v>272.0</v>
      </c>
      <c r="D2959" s="35">
        <v>245.0</v>
      </c>
      <c r="E2959" s="35">
        <v>25080.0</v>
      </c>
      <c r="F2959" s="35" t="s">
        <v>11</v>
      </c>
    </row>
    <row r="2960" ht="22.5" customHeight="1">
      <c r="A2960" s="37" t="s">
        <v>6140</v>
      </c>
      <c r="B2960" s="35" t="s">
        <v>6141</v>
      </c>
      <c r="C2960" s="35">
        <v>365.0</v>
      </c>
      <c r="D2960" s="35">
        <v>368.0</v>
      </c>
      <c r="E2960" s="35">
        <v>25840.0</v>
      </c>
      <c r="F2960" s="35" t="s">
        <v>11</v>
      </c>
    </row>
    <row r="2961" ht="22.5" customHeight="1">
      <c r="A2961" s="37" t="s">
        <v>6142</v>
      </c>
      <c r="B2961" s="35" t="s">
        <v>6143</v>
      </c>
      <c r="C2961" s="35">
        <v>135.0</v>
      </c>
      <c r="D2961" s="35">
        <v>127.0</v>
      </c>
      <c r="E2961" s="35">
        <v>30670.0</v>
      </c>
      <c r="F2961" s="35" t="s">
        <v>11</v>
      </c>
    </row>
    <row r="2962" ht="22.5" customHeight="1">
      <c r="A2962" s="37" t="s">
        <v>6144</v>
      </c>
      <c r="B2962" s="35" t="s">
        <v>6145</v>
      </c>
      <c r="C2962" s="35">
        <v>264.0</v>
      </c>
      <c r="D2962" s="35">
        <v>243.0</v>
      </c>
      <c r="E2962" s="35">
        <v>27420.0</v>
      </c>
      <c r="F2962" s="35" t="s">
        <v>11</v>
      </c>
    </row>
    <row r="2963" ht="22.5" customHeight="1">
      <c r="A2963" s="37" t="s">
        <v>6146</v>
      </c>
      <c r="B2963" s="35" t="s">
        <v>6147</v>
      </c>
      <c r="C2963" s="35">
        <v>265.0</v>
      </c>
      <c r="D2963" s="35">
        <v>255.0</v>
      </c>
      <c r="E2963" s="35">
        <v>21700.0</v>
      </c>
      <c r="F2963" s="35" t="s">
        <v>11</v>
      </c>
    </row>
    <row r="2964" ht="22.5" customHeight="1">
      <c r="A2964" s="37" t="s">
        <v>6148</v>
      </c>
      <c r="B2964" s="35" t="s">
        <v>6149</v>
      </c>
      <c r="C2964" s="35">
        <v>118.0</v>
      </c>
      <c r="D2964" s="35">
        <v>137.0</v>
      </c>
      <c r="E2964" s="35">
        <v>26490.0</v>
      </c>
      <c r="F2964" s="35" t="s">
        <v>11</v>
      </c>
    </row>
    <row r="2965" ht="22.5" customHeight="1">
      <c r="A2965" s="37" t="s">
        <v>6150</v>
      </c>
      <c r="B2965" s="35" t="s">
        <v>6151</v>
      </c>
      <c r="C2965" s="35">
        <v>4265.0</v>
      </c>
      <c r="D2965" s="35">
        <v>4270.0</v>
      </c>
      <c r="E2965" s="35">
        <v>27350.0</v>
      </c>
      <c r="F2965" s="35">
        <v>8.0</v>
      </c>
    </row>
    <row r="2966" ht="22.5" customHeight="1">
      <c r="A2966" s="37" t="s">
        <v>6152</v>
      </c>
      <c r="B2966" s="35" t="s">
        <v>6153</v>
      </c>
      <c r="C2966" s="35">
        <v>158.0</v>
      </c>
      <c r="D2966" s="35">
        <v>146.0</v>
      </c>
      <c r="E2966" s="35">
        <v>22730.0</v>
      </c>
      <c r="F2966" s="35" t="s">
        <v>11</v>
      </c>
    </row>
    <row r="2967" ht="22.5" customHeight="1">
      <c r="A2967" s="37" t="s">
        <v>6154</v>
      </c>
      <c r="B2967" s="35" t="s">
        <v>6155</v>
      </c>
      <c r="C2967" s="35">
        <v>3667.0</v>
      </c>
      <c r="D2967" s="35">
        <v>3839.0</v>
      </c>
      <c r="E2967" s="35">
        <v>25540.0</v>
      </c>
      <c r="F2967" s="35">
        <v>10.0</v>
      </c>
    </row>
    <row r="2968" ht="22.5" customHeight="1">
      <c r="A2968" s="37" t="s">
        <v>6156</v>
      </c>
      <c r="B2968" s="35" t="s">
        <v>6157</v>
      </c>
      <c r="C2968" s="35">
        <v>654.0</v>
      </c>
      <c r="D2968" s="35">
        <v>632.0</v>
      </c>
      <c r="E2968" s="35">
        <v>26840.0</v>
      </c>
      <c r="F2968" s="35" t="s">
        <v>11</v>
      </c>
    </row>
    <row r="2969" ht="22.5" customHeight="1">
      <c r="A2969" s="37" t="s">
        <v>6158</v>
      </c>
      <c r="B2969" s="35" t="s">
        <v>6159</v>
      </c>
      <c r="C2969" s="35">
        <v>4677.0</v>
      </c>
      <c r="D2969" s="35">
        <v>4849.0</v>
      </c>
      <c r="E2969" s="35">
        <v>23980.0</v>
      </c>
      <c r="F2969" s="35">
        <v>16.0</v>
      </c>
    </row>
    <row r="2970" ht="22.5" customHeight="1">
      <c r="A2970" s="37" t="s">
        <v>6160</v>
      </c>
      <c r="B2970" s="35" t="s">
        <v>6161</v>
      </c>
      <c r="C2970" s="35">
        <v>431.0</v>
      </c>
      <c r="D2970" s="35">
        <v>449.0</v>
      </c>
      <c r="E2970" s="35">
        <v>26880.0</v>
      </c>
      <c r="F2970" s="35" t="s">
        <v>11</v>
      </c>
    </row>
    <row r="2971" ht="22.5" customHeight="1">
      <c r="A2971" s="37" t="s">
        <v>6162</v>
      </c>
      <c r="B2971" s="35" t="s">
        <v>6163</v>
      </c>
      <c r="C2971" s="35">
        <v>262.0</v>
      </c>
      <c r="D2971" s="35">
        <v>259.0</v>
      </c>
      <c r="E2971" s="35">
        <v>26730.0</v>
      </c>
      <c r="F2971" s="35" t="s">
        <v>11</v>
      </c>
    </row>
    <row r="2972" ht="22.5" customHeight="1">
      <c r="A2972" s="37" t="s">
        <v>6164</v>
      </c>
      <c r="B2972" s="35" t="s">
        <v>6165</v>
      </c>
      <c r="C2972" s="35">
        <v>262.0</v>
      </c>
      <c r="D2972" s="35">
        <v>261.0</v>
      </c>
      <c r="E2972" s="35">
        <v>24950.0</v>
      </c>
      <c r="F2972" s="35" t="s">
        <v>11</v>
      </c>
    </row>
    <row r="2973" ht="22.5" customHeight="1">
      <c r="A2973" s="37" t="s">
        <v>6166</v>
      </c>
      <c r="B2973" s="35" t="s">
        <v>6167</v>
      </c>
      <c r="C2973" s="35">
        <v>1099.0</v>
      </c>
      <c r="D2973" s="35">
        <v>1062.0</v>
      </c>
      <c r="E2973" s="35">
        <v>29620.0</v>
      </c>
      <c r="F2973" s="35" t="s">
        <v>11</v>
      </c>
    </row>
    <row r="2974" ht="22.5" customHeight="1">
      <c r="A2974" s="37" t="s">
        <v>6168</v>
      </c>
      <c r="B2974" s="35" t="s">
        <v>6169</v>
      </c>
      <c r="C2974" s="35">
        <v>1004.0</v>
      </c>
      <c r="D2974" s="35">
        <v>1062.0</v>
      </c>
      <c r="E2974" s="35">
        <v>27180.0</v>
      </c>
      <c r="F2974" s="35" t="s">
        <v>11</v>
      </c>
    </row>
    <row r="2975" ht="22.5" customHeight="1">
      <c r="A2975" s="37" t="s">
        <v>6170</v>
      </c>
      <c r="B2975" s="35" t="s">
        <v>6171</v>
      </c>
      <c r="C2975" s="35">
        <v>245.0</v>
      </c>
      <c r="D2975" s="35">
        <v>259.0</v>
      </c>
      <c r="E2975" s="35">
        <v>24320.0</v>
      </c>
      <c r="F2975" s="35" t="s">
        <v>11</v>
      </c>
    </row>
    <row r="2976" ht="22.5" customHeight="1">
      <c r="A2976" s="37" t="s">
        <v>6172</v>
      </c>
      <c r="B2976" s="35" t="s">
        <v>6173</v>
      </c>
      <c r="C2976" s="35">
        <v>237.0</v>
      </c>
      <c r="D2976" s="35">
        <v>253.0</v>
      </c>
      <c r="E2976" s="35">
        <v>21350.0</v>
      </c>
      <c r="F2976" s="35" t="s">
        <v>11</v>
      </c>
    </row>
    <row r="2977" ht="22.5" customHeight="1">
      <c r="A2977" s="37" t="s">
        <v>6174</v>
      </c>
      <c r="B2977" s="35" t="s">
        <v>6175</v>
      </c>
      <c r="C2977" s="35">
        <v>649.0</v>
      </c>
      <c r="D2977" s="35">
        <v>626.0</v>
      </c>
      <c r="E2977" s="35">
        <v>30320.0</v>
      </c>
      <c r="F2977" s="35" t="s">
        <v>11</v>
      </c>
    </row>
    <row r="2978" ht="22.5" customHeight="1">
      <c r="A2978" s="37" t="s">
        <v>6176</v>
      </c>
      <c r="B2978" s="35" t="s">
        <v>6177</v>
      </c>
      <c r="C2978" s="35">
        <v>719.0</v>
      </c>
      <c r="D2978" s="35">
        <v>748.0</v>
      </c>
      <c r="E2978" s="35">
        <v>27600.0</v>
      </c>
      <c r="F2978" s="35" t="s">
        <v>11</v>
      </c>
    </row>
    <row r="2979" ht="22.5" customHeight="1">
      <c r="A2979" s="37" t="s">
        <v>6178</v>
      </c>
      <c r="B2979" s="35" t="s">
        <v>6179</v>
      </c>
      <c r="C2979" s="35">
        <v>1333.0</v>
      </c>
      <c r="D2979" s="35">
        <v>1328.0</v>
      </c>
      <c r="E2979" s="35">
        <v>24620.0</v>
      </c>
      <c r="F2979" s="35" t="s">
        <v>11</v>
      </c>
    </row>
    <row r="2980" ht="22.5" customHeight="1">
      <c r="A2980" s="37" t="s">
        <v>6180</v>
      </c>
      <c r="B2980" s="35" t="s">
        <v>6181</v>
      </c>
      <c r="C2980" s="35">
        <v>138.0</v>
      </c>
      <c r="D2980" s="35">
        <v>131.0</v>
      </c>
      <c r="E2980" s="35">
        <v>29360.0</v>
      </c>
      <c r="F2980" s="35" t="s">
        <v>11</v>
      </c>
    </row>
    <row r="2981" ht="22.5" customHeight="1">
      <c r="A2981" s="37" t="s">
        <v>6182</v>
      </c>
      <c r="B2981" s="35" t="s">
        <v>6183</v>
      </c>
      <c r="C2981" s="35">
        <v>174.0</v>
      </c>
      <c r="D2981" s="35">
        <v>177.0</v>
      </c>
      <c r="E2981" s="35">
        <v>26480.0</v>
      </c>
      <c r="F2981" s="35" t="s">
        <v>11</v>
      </c>
    </row>
    <row r="2982" ht="22.5" customHeight="1">
      <c r="A2982" s="37" t="s">
        <v>6184</v>
      </c>
      <c r="B2982" s="35" t="s">
        <v>6185</v>
      </c>
      <c r="C2982" s="35">
        <v>377.0</v>
      </c>
      <c r="D2982" s="35">
        <v>377.0</v>
      </c>
      <c r="E2982" s="35">
        <v>30440.0</v>
      </c>
      <c r="F2982" s="35" t="s">
        <v>11</v>
      </c>
    </row>
    <row r="2983" ht="22.5" customHeight="1">
      <c r="A2983" s="37" t="s">
        <v>6186</v>
      </c>
      <c r="B2983" s="35" t="s">
        <v>6187</v>
      </c>
      <c r="C2983" s="35">
        <v>232.0</v>
      </c>
      <c r="D2983" s="35">
        <v>218.0</v>
      </c>
      <c r="E2983" s="35">
        <v>25410.0</v>
      </c>
      <c r="F2983" s="35" t="s">
        <v>11</v>
      </c>
    </row>
    <row r="2984" ht="22.5" customHeight="1">
      <c r="A2984" s="37" t="s">
        <v>6188</v>
      </c>
      <c r="B2984" s="35" t="s">
        <v>6189</v>
      </c>
      <c r="C2984" s="35">
        <v>206.0</v>
      </c>
      <c r="D2984" s="35">
        <v>203.0</v>
      </c>
      <c r="E2984" s="35">
        <v>27160.0</v>
      </c>
      <c r="F2984" s="35" t="s">
        <v>11</v>
      </c>
    </row>
    <row r="2985" ht="22.5" customHeight="1">
      <c r="A2985" s="37" t="s">
        <v>6190</v>
      </c>
      <c r="B2985" s="35" t="s">
        <v>6191</v>
      </c>
      <c r="C2985" s="35">
        <v>380.0</v>
      </c>
      <c r="D2985" s="35">
        <v>355.0</v>
      </c>
      <c r="E2985" s="35">
        <v>22150.0</v>
      </c>
      <c r="F2985" s="35" t="s">
        <v>11</v>
      </c>
    </row>
    <row r="2986" ht="22.5" customHeight="1">
      <c r="A2986" s="37" t="s">
        <v>6192</v>
      </c>
      <c r="B2986" s="35" t="s">
        <v>6193</v>
      </c>
      <c r="C2986" s="35">
        <v>1270.0</v>
      </c>
      <c r="D2986" s="35">
        <v>1203.0</v>
      </c>
      <c r="E2986" s="35">
        <v>24380.0</v>
      </c>
      <c r="F2986" s="35" t="s">
        <v>11</v>
      </c>
    </row>
    <row r="2987" ht="22.5" customHeight="1">
      <c r="A2987" s="37" t="s">
        <v>6194</v>
      </c>
      <c r="B2987" s="35" t="s">
        <v>6195</v>
      </c>
      <c r="C2987" s="35">
        <v>201.0</v>
      </c>
      <c r="D2987" s="35">
        <v>197.0</v>
      </c>
      <c r="E2987" s="35">
        <v>23790.0</v>
      </c>
      <c r="F2987" s="35" t="s">
        <v>11</v>
      </c>
    </row>
    <row r="2988" ht="22.5" customHeight="1">
      <c r="A2988" s="37" t="s">
        <v>6196</v>
      </c>
      <c r="B2988" s="35" t="s">
        <v>6197</v>
      </c>
      <c r="C2988" s="35">
        <v>244.0</v>
      </c>
      <c r="D2988" s="35">
        <v>246.0</v>
      </c>
      <c r="E2988" s="35">
        <v>26990.0</v>
      </c>
      <c r="F2988" s="35" t="s">
        <v>11</v>
      </c>
    </row>
    <row r="2989" ht="22.5" customHeight="1">
      <c r="A2989" s="37" t="s">
        <v>6198</v>
      </c>
      <c r="B2989" s="35" t="s">
        <v>6199</v>
      </c>
      <c r="C2989" s="35">
        <v>252.0</v>
      </c>
      <c r="D2989" s="35">
        <v>267.0</v>
      </c>
      <c r="E2989" s="35">
        <v>25200.0</v>
      </c>
      <c r="F2989" s="35" t="s">
        <v>11</v>
      </c>
    </row>
    <row r="2990" ht="22.5" customHeight="1">
      <c r="A2990" s="37" t="s">
        <v>6200</v>
      </c>
      <c r="B2990" s="35" t="s">
        <v>6201</v>
      </c>
      <c r="C2990" s="35">
        <v>244.0</v>
      </c>
      <c r="D2990" s="35">
        <v>244.0</v>
      </c>
      <c r="E2990" s="35">
        <v>26210.0</v>
      </c>
      <c r="F2990" s="35" t="s">
        <v>11</v>
      </c>
    </row>
    <row r="2991" ht="22.5" customHeight="1">
      <c r="A2991" s="37" t="s">
        <v>6202</v>
      </c>
      <c r="B2991" s="35" t="s">
        <v>6203</v>
      </c>
      <c r="C2991" s="35">
        <v>226.0</v>
      </c>
      <c r="D2991" s="35">
        <v>228.0</v>
      </c>
      <c r="E2991" s="35">
        <v>28060.0</v>
      </c>
      <c r="F2991" s="35" t="s">
        <v>11</v>
      </c>
    </row>
    <row r="2992" ht="22.5" customHeight="1">
      <c r="A2992" s="37" t="s">
        <v>6204</v>
      </c>
      <c r="B2992" s="35" t="s">
        <v>6205</v>
      </c>
      <c r="C2992" s="35">
        <v>857.0</v>
      </c>
      <c r="D2992" s="35">
        <v>834.0</v>
      </c>
      <c r="E2992" s="35">
        <v>28690.0</v>
      </c>
      <c r="F2992" s="35" t="s">
        <v>11</v>
      </c>
    </row>
    <row r="2993" ht="22.5" customHeight="1">
      <c r="A2993" s="37" t="s">
        <v>6206</v>
      </c>
      <c r="B2993" s="35" t="s">
        <v>6207</v>
      </c>
      <c r="C2993" s="35">
        <v>188.0</v>
      </c>
      <c r="D2993" s="35">
        <v>183.0</v>
      </c>
      <c r="E2993" s="35">
        <v>23820.0</v>
      </c>
      <c r="F2993" s="35" t="s">
        <v>11</v>
      </c>
    </row>
    <row r="2994" ht="22.5" customHeight="1">
      <c r="A2994" s="37" t="s">
        <v>6208</v>
      </c>
      <c r="B2994" s="35" t="s">
        <v>6209</v>
      </c>
      <c r="C2994" s="35">
        <v>134.0</v>
      </c>
      <c r="D2994" s="35">
        <v>138.0</v>
      </c>
      <c r="E2994" s="35">
        <v>23880.0</v>
      </c>
      <c r="F2994" s="35" t="s">
        <v>11</v>
      </c>
    </row>
    <row r="2995" ht="22.5" customHeight="1">
      <c r="A2995" s="37" t="s">
        <v>6210</v>
      </c>
      <c r="B2995" s="35" t="s">
        <v>6211</v>
      </c>
      <c r="C2995" s="35">
        <v>651.0</v>
      </c>
      <c r="D2995" s="35">
        <v>660.0</v>
      </c>
      <c r="E2995" s="35">
        <v>28820.0</v>
      </c>
      <c r="F2995" s="35" t="s">
        <v>11</v>
      </c>
    </row>
    <row r="2996" ht="22.5" customHeight="1">
      <c r="A2996" s="37" t="s">
        <v>6212</v>
      </c>
      <c r="B2996" s="35" t="s">
        <v>6213</v>
      </c>
      <c r="C2996" s="35">
        <v>6575.0</v>
      </c>
      <c r="D2996" s="35">
        <v>6256.0</v>
      </c>
      <c r="E2996" s="35">
        <v>27160.0</v>
      </c>
      <c r="F2996" s="35">
        <v>13.0</v>
      </c>
    </row>
    <row r="2997" ht="22.5" customHeight="1">
      <c r="A2997" s="37" t="s">
        <v>6214</v>
      </c>
      <c r="B2997" s="35" t="s">
        <v>6215</v>
      </c>
      <c r="C2997" s="35">
        <v>4083.0</v>
      </c>
      <c r="D2997" s="35">
        <v>3866.0</v>
      </c>
      <c r="E2997" s="35">
        <v>24400.0</v>
      </c>
      <c r="F2997" s="35">
        <v>15.0</v>
      </c>
    </row>
    <row r="2998" ht="22.5" customHeight="1">
      <c r="A2998" s="37" t="s">
        <v>6216</v>
      </c>
      <c r="B2998" s="35" t="s">
        <v>6217</v>
      </c>
      <c r="C2998" s="35">
        <v>8770.0</v>
      </c>
      <c r="D2998" s="35">
        <v>8720.0</v>
      </c>
      <c r="E2998" s="35">
        <v>21290.0</v>
      </c>
      <c r="F2998" s="35">
        <v>23.0</v>
      </c>
    </row>
    <row r="2999" ht="22.5" customHeight="1">
      <c r="A2999" s="37" t="s">
        <v>6218</v>
      </c>
      <c r="B2999" s="35" t="s">
        <v>6219</v>
      </c>
      <c r="C2999" s="35">
        <v>746.0</v>
      </c>
      <c r="D2999" s="35">
        <v>768.0</v>
      </c>
      <c r="E2999" s="35">
        <v>26220.0</v>
      </c>
      <c r="F2999" s="35" t="s">
        <v>11</v>
      </c>
    </row>
    <row r="3000" ht="22.5" customHeight="1">
      <c r="A3000" s="37" t="s">
        <v>6220</v>
      </c>
      <c r="B3000" s="35" t="s">
        <v>6221</v>
      </c>
      <c r="C3000" s="35">
        <v>491.0</v>
      </c>
      <c r="D3000" s="35">
        <v>492.0</v>
      </c>
      <c r="E3000" s="35">
        <v>24230.0</v>
      </c>
      <c r="F3000" s="35" t="s">
        <v>11</v>
      </c>
    </row>
    <row r="3001" ht="22.5" customHeight="1">
      <c r="A3001" s="37" t="s">
        <v>6222</v>
      </c>
      <c r="B3001" s="35" t="s">
        <v>6223</v>
      </c>
      <c r="C3001" s="35">
        <v>226.0</v>
      </c>
      <c r="D3001" s="35">
        <v>222.0</v>
      </c>
      <c r="E3001" s="35">
        <v>29610.0</v>
      </c>
      <c r="F3001" s="35" t="s">
        <v>11</v>
      </c>
    </row>
    <row r="3002" ht="22.5" customHeight="1">
      <c r="A3002" s="37" t="s">
        <v>6224</v>
      </c>
      <c r="B3002" s="35" t="s">
        <v>6225</v>
      </c>
      <c r="C3002" s="35">
        <v>939.0</v>
      </c>
      <c r="D3002" s="35">
        <v>835.0</v>
      </c>
      <c r="E3002" s="35">
        <v>27240.0</v>
      </c>
      <c r="F3002" s="35" t="s">
        <v>11</v>
      </c>
    </row>
    <row r="3003" ht="22.5" customHeight="1">
      <c r="A3003" s="37" t="s">
        <v>6226</v>
      </c>
      <c r="B3003" s="35" t="s">
        <v>6227</v>
      </c>
      <c r="C3003" s="35">
        <v>587.0</v>
      </c>
      <c r="D3003" s="35">
        <v>636.0</v>
      </c>
      <c r="E3003" s="35">
        <v>26210.0</v>
      </c>
      <c r="F3003" s="35" t="s">
        <v>11</v>
      </c>
    </row>
    <row r="3004" ht="22.5" customHeight="1">
      <c r="A3004" s="37" t="s">
        <v>6228</v>
      </c>
      <c r="B3004" s="35" t="s">
        <v>6229</v>
      </c>
      <c r="C3004" s="35">
        <v>961.0</v>
      </c>
      <c r="D3004" s="35">
        <v>973.0</v>
      </c>
      <c r="E3004" s="35">
        <v>24780.0</v>
      </c>
      <c r="F3004" s="35" t="s">
        <v>11</v>
      </c>
    </row>
    <row r="3005" ht="22.5" customHeight="1">
      <c r="A3005" s="37" t="s">
        <v>6230</v>
      </c>
      <c r="B3005" s="35" t="s">
        <v>6231</v>
      </c>
      <c r="C3005" s="35">
        <v>3344.0</v>
      </c>
      <c r="D3005" s="35">
        <v>3321.0</v>
      </c>
      <c r="E3005" s="35">
        <v>22630.0</v>
      </c>
      <c r="F3005" s="35">
        <v>19.0</v>
      </c>
    </row>
    <row r="3006" ht="22.5" customHeight="1">
      <c r="A3006" s="37" t="s">
        <v>6232</v>
      </c>
      <c r="B3006" s="35" t="s">
        <v>6233</v>
      </c>
      <c r="C3006" s="35">
        <v>615.0</v>
      </c>
      <c r="D3006" s="35">
        <v>588.0</v>
      </c>
      <c r="E3006" s="35">
        <v>24860.0</v>
      </c>
      <c r="F3006" s="35" t="s">
        <v>11</v>
      </c>
    </row>
    <row r="3007" ht="22.5" customHeight="1">
      <c r="A3007" s="37" t="s">
        <v>6234</v>
      </c>
      <c r="B3007" s="35" t="s">
        <v>6235</v>
      </c>
      <c r="C3007" s="35">
        <v>609.0</v>
      </c>
      <c r="D3007" s="35">
        <v>592.0</v>
      </c>
      <c r="E3007" s="35">
        <v>24630.0</v>
      </c>
      <c r="F3007" s="35" t="s">
        <v>11</v>
      </c>
    </row>
    <row r="3008" ht="22.5" customHeight="1">
      <c r="A3008" s="37" t="s">
        <v>6236</v>
      </c>
      <c r="B3008" s="35" t="s">
        <v>6237</v>
      </c>
      <c r="C3008" s="35">
        <v>915.0</v>
      </c>
      <c r="D3008" s="35">
        <v>1084.0</v>
      </c>
      <c r="E3008" s="35">
        <v>28350.0</v>
      </c>
      <c r="F3008" s="35" t="s">
        <v>11</v>
      </c>
    </row>
    <row r="3009" ht="22.5" customHeight="1">
      <c r="A3009" s="37" t="s">
        <v>6238</v>
      </c>
      <c r="B3009" s="35" t="s">
        <v>6239</v>
      </c>
      <c r="C3009" s="35">
        <v>1753.0</v>
      </c>
      <c r="D3009" s="35">
        <v>1820.0</v>
      </c>
      <c r="E3009" s="35">
        <v>24240.0</v>
      </c>
      <c r="F3009" s="35" t="s">
        <v>11</v>
      </c>
    </row>
    <row r="3010" ht="22.5" customHeight="1">
      <c r="A3010" s="37" t="s">
        <v>6240</v>
      </c>
      <c r="B3010" s="35" t="s">
        <v>6241</v>
      </c>
      <c r="C3010" s="35">
        <v>8355.0</v>
      </c>
      <c r="D3010" s="35">
        <v>7973.0</v>
      </c>
      <c r="E3010" s="35">
        <v>20360.0</v>
      </c>
      <c r="F3010" s="35">
        <v>27.0</v>
      </c>
    </row>
    <row r="3011" ht="22.5" customHeight="1">
      <c r="A3011" s="37" t="s">
        <v>6242</v>
      </c>
      <c r="B3011" s="35" t="s">
        <v>6243</v>
      </c>
      <c r="C3011" s="35">
        <v>1629.0</v>
      </c>
      <c r="D3011" s="35">
        <v>1551.0</v>
      </c>
      <c r="E3011" s="35">
        <v>29560.0</v>
      </c>
      <c r="F3011" s="35" t="s">
        <v>11</v>
      </c>
    </row>
    <row r="3012" ht="22.5" customHeight="1">
      <c r="A3012" s="37" t="s">
        <v>6244</v>
      </c>
      <c r="B3012" s="35" t="s">
        <v>6245</v>
      </c>
      <c r="C3012" s="35">
        <v>435.0</v>
      </c>
      <c r="D3012" s="35">
        <v>425.0</v>
      </c>
      <c r="E3012" s="35">
        <v>22230.0</v>
      </c>
      <c r="F3012" s="35" t="s">
        <v>11</v>
      </c>
    </row>
    <row r="3013" ht="22.5" customHeight="1">
      <c r="A3013" s="37" t="s">
        <v>6246</v>
      </c>
      <c r="B3013" s="35" t="s">
        <v>6247</v>
      </c>
      <c r="C3013" s="35">
        <v>22946.0</v>
      </c>
      <c r="D3013" s="35">
        <v>22395.0</v>
      </c>
      <c r="E3013" s="35">
        <v>21380.0</v>
      </c>
      <c r="F3013" s="35">
        <v>25.4</v>
      </c>
    </row>
    <row r="3014" ht="22.5" customHeight="1">
      <c r="A3014" s="37" t="s">
        <v>6248</v>
      </c>
      <c r="B3014" s="35" t="s">
        <v>6249</v>
      </c>
      <c r="C3014" s="35">
        <v>266.0</v>
      </c>
      <c r="D3014" s="35">
        <v>263.0</v>
      </c>
      <c r="E3014" s="35">
        <v>23430.0</v>
      </c>
      <c r="F3014" s="35" t="s">
        <v>11</v>
      </c>
    </row>
    <row r="3015" ht="22.5" customHeight="1">
      <c r="A3015" s="37" t="s">
        <v>6250</v>
      </c>
      <c r="B3015" s="35" t="s">
        <v>6251</v>
      </c>
      <c r="C3015" s="35">
        <v>593.0</v>
      </c>
      <c r="D3015" s="35">
        <v>590.0</v>
      </c>
      <c r="E3015" s="35">
        <v>24590.0</v>
      </c>
      <c r="F3015" s="35" t="s">
        <v>11</v>
      </c>
    </row>
    <row r="3016" ht="22.5" customHeight="1">
      <c r="A3016" s="37" t="s">
        <v>6252</v>
      </c>
      <c r="B3016" s="35" t="s">
        <v>6253</v>
      </c>
      <c r="C3016" s="35">
        <v>528.0</v>
      </c>
      <c r="D3016" s="35">
        <v>501.0</v>
      </c>
      <c r="E3016" s="35">
        <v>24840.0</v>
      </c>
      <c r="F3016" s="35" t="s">
        <v>11</v>
      </c>
    </row>
    <row r="3017" ht="22.5" customHeight="1">
      <c r="A3017" s="37" t="s">
        <v>6254</v>
      </c>
      <c r="B3017" s="35" t="s">
        <v>6255</v>
      </c>
      <c r="C3017" s="35">
        <v>91.0</v>
      </c>
      <c r="D3017" s="35">
        <v>83.0</v>
      </c>
      <c r="E3017" s="35" t="s">
        <v>11</v>
      </c>
      <c r="F3017" s="35" t="s">
        <v>11</v>
      </c>
    </row>
    <row r="3018" ht="22.5" customHeight="1">
      <c r="A3018" s="37" t="s">
        <v>6256</v>
      </c>
      <c r="B3018" s="35" t="s">
        <v>6257</v>
      </c>
      <c r="C3018" s="35">
        <v>228.0</v>
      </c>
      <c r="D3018" s="35">
        <v>215.0</v>
      </c>
      <c r="E3018" s="35">
        <v>25930.0</v>
      </c>
      <c r="F3018" s="35" t="s">
        <v>11</v>
      </c>
    </row>
    <row r="3019" ht="22.5" customHeight="1">
      <c r="A3019" s="37" t="s">
        <v>6258</v>
      </c>
      <c r="B3019" s="35" t="s">
        <v>6259</v>
      </c>
      <c r="C3019" s="35">
        <v>890.0</v>
      </c>
      <c r="D3019" s="35">
        <v>904.0</v>
      </c>
      <c r="E3019" s="35">
        <v>25000.0</v>
      </c>
      <c r="F3019" s="35" t="s">
        <v>11</v>
      </c>
    </row>
    <row r="3020" ht="22.5" customHeight="1">
      <c r="A3020" s="37" t="s">
        <v>6260</v>
      </c>
      <c r="B3020" s="35" t="s">
        <v>6261</v>
      </c>
      <c r="C3020" s="35">
        <v>966.0</v>
      </c>
      <c r="D3020" s="35">
        <v>1024.0</v>
      </c>
      <c r="E3020" s="35">
        <v>25560.0</v>
      </c>
      <c r="F3020" s="35" t="s">
        <v>11</v>
      </c>
    </row>
    <row r="3021" ht="22.5" customHeight="1">
      <c r="A3021" s="37" t="s">
        <v>6262</v>
      </c>
      <c r="B3021" s="35" t="s">
        <v>6263</v>
      </c>
      <c r="C3021" s="35">
        <v>2838.0</v>
      </c>
      <c r="D3021" s="35">
        <v>2648.0</v>
      </c>
      <c r="E3021" s="35">
        <v>25800.0</v>
      </c>
      <c r="F3021" s="35">
        <v>13.0</v>
      </c>
    </row>
    <row r="3022" ht="22.5" customHeight="1">
      <c r="A3022" s="37" t="s">
        <v>6264</v>
      </c>
      <c r="B3022" s="35" t="s">
        <v>6265</v>
      </c>
      <c r="C3022" s="35">
        <v>2967.0</v>
      </c>
      <c r="D3022" s="35">
        <v>3003.0</v>
      </c>
      <c r="E3022" s="35">
        <v>25180.0</v>
      </c>
      <c r="F3022" s="35">
        <v>11.0</v>
      </c>
    </row>
    <row r="3023" ht="22.5" customHeight="1">
      <c r="A3023" s="37" t="s">
        <v>6266</v>
      </c>
      <c r="B3023" s="35" t="s">
        <v>6267</v>
      </c>
      <c r="C3023" s="35">
        <v>2378.0</v>
      </c>
      <c r="D3023" s="35">
        <v>2204.0</v>
      </c>
      <c r="E3023" s="35">
        <v>21200.0</v>
      </c>
      <c r="F3023" s="35">
        <v>27.0</v>
      </c>
    </row>
    <row r="3024" ht="22.5" customHeight="1">
      <c r="A3024" s="37" t="s">
        <v>6268</v>
      </c>
      <c r="B3024" s="35" t="s">
        <v>6269</v>
      </c>
      <c r="C3024" s="35">
        <v>54.0</v>
      </c>
      <c r="D3024" s="35">
        <v>69.0</v>
      </c>
      <c r="E3024" s="35" t="s">
        <v>11</v>
      </c>
      <c r="F3024" s="35" t="s">
        <v>11</v>
      </c>
    </row>
    <row r="3025" ht="22.5" customHeight="1">
      <c r="A3025" s="37" t="s">
        <v>6270</v>
      </c>
      <c r="B3025" s="35" t="s">
        <v>6271</v>
      </c>
      <c r="C3025" s="35">
        <v>67.0</v>
      </c>
      <c r="D3025" s="35">
        <v>66.0</v>
      </c>
      <c r="E3025" s="35" t="s">
        <v>11</v>
      </c>
      <c r="F3025" s="35" t="s">
        <v>11</v>
      </c>
    </row>
    <row r="3026" ht="22.5" customHeight="1">
      <c r="A3026" s="37" t="s">
        <v>6272</v>
      </c>
      <c r="B3026" s="35" t="s">
        <v>6273</v>
      </c>
      <c r="C3026" s="35">
        <v>9928.0</v>
      </c>
      <c r="D3026" s="35">
        <v>9521.0</v>
      </c>
      <c r="E3026" s="35">
        <v>22180.0</v>
      </c>
      <c r="F3026" s="35">
        <v>22.0</v>
      </c>
    </row>
    <row r="3027" ht="22.5" customHeight="1">
      <c r="A3027" s="37" t="s">
        <v>6274</v>
      </c>
      <c r="B3027" s="35" t="s">
        <v>6275</v>
      </c>
      <c r="C3027" s="35">
        <v>466.0</v>
      </c>
      <c r="D3027" s="35">
        <v>419.0</v>
      </c>
      <c r="E3027" s="35">
        <v>24170.0</v>
      </c>
      <c r="F3027" s="35" t="s">
        <v>11</v>
      </c>
    </row>
    <row r="3028" ht="22.5" customHeight="1">
      <c r="A3028" s="37" t="s">
        <v>6276</v>
      </c>
      <c r="B3028" s="35" t="s">
        <v>6277</v>
      </c>
      <c r="C3028" s="35">
        <v>250.0</v>
      </c>
      <c r="D3028" s="35">
        <v>253.0</v>
      </c>
      <c r="E3028" s="35">
        <v>23670.0</v>
      </c>
      <c r="F3028" s="35" t="s">
        <v>11</v>
      </c>
    </row>
    <row r="3029" ht="22.5" customHeight="1">
      <c r="A3029" s="37" t="s">
        <v>6278</v>
      </c>
      <c r="B3029" s="35" t="s">
        <v>6279</v>
      </c>
      <c r="C3029" s="35">
        <v>793.0</v>
      </c>
      <c r="D3029" s="35">
        <v>843.0</v>
      </c>
      <c r="E3029" s="35">
        <v>24840.0</v>
      </c>
      <c r="F3029" s="35" t="s">
        <v>11</v>
      </c>
    </row>
    <row r="3030" ht="22.5" customHeight="1">
      <c r="A3030" s="37" t="s">
        <v>6280</v>
      </c>
      <c r="B3030" s="35" t="s">
        <v>6281</v>
      </c>
      <c r="C3030" s="35">
        <v>738.0</v>
      </c>
      <c r="D3030" s="35">
        <v>778.0</v>
      </c>
      <c r="E3030" s="35">
        <v>30180.0</v>
      </c>
      <c r="F3030" s="35" t="s">
        <v>11</v>
      </c>
    </row>
    <row r="3031" ht="22.5" customHeight="1">
      <c r="A3031" s="37" t="s">
        <v>6282</v>
      </c>
      <c r="B3031" s="35" t="s">
        <v>6283</v>
      </c>
      <c r="C3031" s="35">
        <v>134057.0</v>
      </c>
      <c r="D3031" s="35">
        <v>136449.0</v>
      </c>
      <c r="E3031" s="35">
        <v>21400.0</v>
      </c>
      <c r="F3031" s="35">
        <v>29.3</v>
      </c>
    </row>
    <row r="3032" ht="22.5" customHeight="1">
      <c r="A3032" s="37" t="s">
        <v>6284</v>
      </c>
      <c r="B3032" s="35" t="s">
        <v>6285</v>
      </c>
      <c r="C3032" s="35">
        <v>254.0</v>
      </c>
      <c r="D3032" s="35">
        <v>233.0</v>
      </c>
      <c r="E3032" s="35">
        <v>24960.0</v>
      </c>
      <c r="F3032" s="35" t="s">
        <v>11</v>
      </c>
    </row>
    <row r="3033" ht="22.5" customHeight="1">
      <c r="A3033" s="37" t="s">
        <v>6286</v>
      </c>
      <c r="B3033" s="35" t="s">
        <v>6287</v>
      </c>
      <c r="C3033" s="35">
        <v>269.0</v>
      </c>
      <c r="D3033" s="35">
        <v>282.0</v>
      </c>
      <c r="E3033" s="35">
        <v>25870.0</v>
      </c>
      <c r="F3033" s="35" t="s">
        <v>11</v>
      </c>
    </row>
    <row r="3034" ht="22.5" customHeight="1">
      <c r="A3034" s="37" t="s">
        <v>6288</v>
      </c>
      <c r="B3034" s="35" t="s">
        <v>6289</v>
      </c>
      <c r="C3034" s="35">
        <v>542.0</v>
      </c>
      <c r="D3034" s="35">
        <v>543.0</v>
      </c>
      <c r="E3034" s="35">
        <v>29990.0</v>
      </c>
      <c r="F3034" s="35" t="s">
        <v>11</v>
      </c>
    </row>
    <row r="3035" ht="22.5" customHeight="1">
      <c r="A3035" s="37" t="s">
        <v>6290</v>
      </c>
      <c r="B3035" s="35" t="s">
        <v>6291</v>
      </c>
      <c r="C3035" s="35">
        <v>326.0</v>
      </c>
      <c r="D3035" s="35">
        <v>322.0</v>
      </c>
      <c r="E3035" s="35">
        <v>25240.0</v>
      </c>
      <c r="F3035" s="35" t="s">
        <v>11</v>
      </c>
    </row>
    <row r="3036" ht="22.5" customHeight="1">
      <c r="A3036" s="37" t="s">
        <v>6292</v>
      </c>
      <c r="B3036" s="35" t="s">
        <v>6293</v>
      </c>
      <c r="C3036" s="35">
        <v>29.0</v>
      </c>
      <c r="D3036" s="35">
        <v>31.0</v>
      </c>
      <c r="E3036" s="35" t="s">
        <v>11</v>
      </c>
      <c r="F3036" s="35" t="s">
        <v>11</v>
      </c>
    </row>
    <row r="3037" ht="22.5" customHeight="1">
      <c r="A3037" s="37" t="s">
        <v>6294</v>
      </c>
      <c r="B3037" s="35" t="s">
        <v>3174</v>
      </c>
      <c r="C3037" s="35">
        <v>33.0</v>
      </c>
      <c r="D3037" s="35">
        <v>33.0</v>
      </c>
      <c r="E3037" s="35" t="s">
        <v>11</v>
      </c>
      <c r="F3037" s="35" t="s">
        <v>11</v>
      </c>
    </row>
    <row r="3038" ht="22.5" customHeight="1">
      <c r="A3038" s="37" t="s">
        <v>6295</v>
      </c>
      <c r="B3038" s="35" t="s">
        <v>6296</v>
      </c>
      <c r="C3038" s="35">
        <v>165.0</v>
      </c>
      <c r="D3038" s="35">
        <v>152.0</v>
      </c>
      <c r="E3038" s="35">
        <v>25940.0</v>
      </c>
      <c r="F3038" s="35" t="s">
        <v>11</v>
      </c>
    </row>
    <row r="3039" ht="22.5" customHeight="1">
      <c r="A3039" s="37" t="s">
        <v>6297</v>
      </c>
      <c r="B3039" s="35" t="s">
        <v>6298</v>
      </c>
      <c r="C3039" s="35">
        <v>869.0</v>
      </c>
      <c r="D3039" s="35">
        <v>820.0</v>
      </c>
      <c r="E3039" s="35">
        <v>23410.0</v>
      </c>
      <c r="F3039" s="35" t="s">
        <v>11</v>
      </c>
    </row>
    <row r="3040" ht="22.5" customHeight="1">
      <c r="A3040" s="37" t="s">
        <v>6299</v>
      </c>
      <c r="B3040" s="35" t="s">
        <v>6300</v>
      </c>
      <c r="C3040" s="35">
        <v>212.0</v>
      </c>
      <c r="D3040" s="35">
        <v>212.0</v>
      </c>
      <c r="E3040" s="35">
        <v>23180.0</v>
      </c>
      <c r="F3040" s="35" t="s">
        <v>11</v>
      </c>
    </row>
    <row r="3041" ht="22.5" customHeight="1">
      <c r="A3041" s="37" t="s">
        <v>6301</v>
      </c>
      <c r="B3041" s="35" t="s">
        <v>6302</v>
      </c>
      <c r="C3041" s="35">
        <v>778.0</v>
      </c>
      <c r="D3041" s="35">
        <v>759.0</v>
      </c>
      <c r="E3041" s="35">
        <v>24480.0</v>
      </c>
      <c r="F3041" s="35" t="s">
        <v>11</v>
      </c>
    </row>
    <row r="3042" ht="22.5" customHeight="1">
      <c r="A3042" s="37" t="s">
        <v>6303</v>
      </c>
      <c r="B3042" s="35" t="s">
        <v>6304</v>
      </c>
      <c r="C3042" s="35">
        <v>108.0</v>
      </c>
      <c r="D3042" s="35">
        <v>136.0</v>
      </c>
      <c r="E3042" s="35">
        <v>25560.0</v>
      </c>
      <c r="F3042" s="35" t="s">
        <v>11</v>
      </c>
    </row>
    <row r="3043" ht="22.5" customHeight="1">
      <c r="A3043" s="37" t="s">
        <v>6305</v>
      </c>
      <c r="B3043" s="35" t="s">
        <v>6306</v>
      </c>
      <c r="C3043" s="35">
        <v>296.0</v>
      </c>
      <c r="D3043" s="35">
        <v>311.0</v>
      </c>
      <c r="E3043" s="35">
        <v>22420.0</v>
      </c>
      <c r="F3043" s="35" t="s">
        <v>11</v>
      </c>
    </row>
    <row r="3044" ht="22.5" customHeight="1">
      <c r="A3044" s="37" t="s">
        <v>6307</v>
      </c>
      <c r="B3044" s="35" t="s">
        <v>4568</v>
      </c>
      <c r="C3044" s="35">
        <v>594.0</v>
      </c>
      <c r="D3044" s="35">
        <v>614.0</v>
      </c>
      <c r="E3044" s="35">
        <v>24690.0</v>
      </c>
      <c r="F3044" s="35" t="s">
        <v>11</v>
      </c>
    </row>
    <row r="3045" ht="22.5" customHeight="1">
      <c r="A3045" s="37" t="s">
        <v>6308</v>
      </c>
      <c r="B3045" s="35" t="s">
        <v>6309</v>
      </c>
      <c r="C3045" s="35">
        <v>81.0</v>
      </c>
      <c r="D3045" s="35">
        <v>69.0</v>
      </c>
      <c r="E3045" s="35" t="s">
        <v>11</v>
      </c>
      <c r="F3045" s="35" t="s">
        <v>11</v>
      </c>
    </row>
    <row r="3046" ht="22.5" customHeight="1">
      <c r="A3046" s="37" t="s">
        <v>6310</v>
      </c>
      <c r="B3046" s="35" t="s">
        <v>6311</v>
      </c>
      <c r="C3046" s="35">
        <v>505.0</v>
      </c>
      <c r="D3046" s="35">
        <v>502.0</v>
      </c>
      <c r="E3046" s="35">
        <v>27940.0</v>
      </c>
      <c r="F3046" s="35" t="s">
        <v>11</v>
      </c>
    </row>
    <row r="3047" ht="22.5" customHeight="1">
      <c r="A3047" s="37" t="s">
        <v>6312</v>
      </c>
      <c r="B3047" s="35" t="s">
        <v>6313</v>
      </c>
      <c r="C3047" s="35">
        <v>142.0</v>
      </c>
      <c r="D3047" s="35">
        <v>170.0</v>
      </c>
      <c r="E3047" s="35">
        <v>22430.0</v>
      </c>
      <c r="F3047" s="35" t="s">
        <v>11</v>
      </c>
    </row>
    <row r="3048" ht="22.5" customHeight="1">
      <c r="A3048" s="37" t="s">
        <v>6314</v>
      </c>
      <c r="B3048" s="35" t="s">
        <v>6315</v>
      </c>
      <c r="C3048" s="35">
        <v>143.0</v>
      </c>
      <c r="D3048" s="35">
        <v>125.0</v>
      </c>
      <c r="E3048" s="35">
        <v>26280.0</v>
      </c>
      <c r="F3048" s="35" t="s">
        <v>11</v>
      </c>
    </row>
    <row r="3049" ht="22.5" customHeight="1">
      <c r="A3049" s="37" t="s">
        <v>6316</v>
      </c>
      <c r="B3049" s="35" t="s">
        <v>6317</v>
      </c>
      <c r="C3049" s="35">
        <v>1464.0</v>
      </c>
      <c r="D3049" s="35">
        <v>1346.0</v>
      </c>
      <c r="E3049" s="35">
        <v>22720.0</v>
      </c>
      <c r="F3049" s="35" t="s">
        <v>11</v>
      </c>
    </row>
    <row r="3050" ht="22.5" customHeight="1">
      <c r="A3050" s="37" t="s">
        <v>6318</v>
      </c>
      <c r="B3050" s="35" t="s">
        <v>6319</v>
      </c>
      <c r="C3050" s="35">
        <v>180.0</v>
      </c>
      <c r="D3050" s="35">
        <v>170.0</v>
      </c>
      <c r="E3050" s="35">
        <v>26270.0</v>
      </c>
      <c r="F3050" s="35" t="s">
        <v>11</v>
      </c>
    </row>
    <row r="3051" ht="22.5" customHeight="1">
      <c r="A3051" s="37" t="s">
        <v>6320</v>
      </c>
      <c r="B3051" s="35" t="s">
        <v>6321</v>
      </c>
      <c r="C3051" s="35">
        <v>145.0</v>
      </c>
      <c r="D3051" s="35">
        <v>119.0</v>
      </c>
      <c r="E3051" s="35">
        <v>25080.0</v>
      </c>
      <c r="F3051" s="35" t="s">
        <v>11</v>
      </c>
    </row>
    <row r="3052" ht="22.5" customHeight="1">
      <c r="A3052" s="37" t="s">
        <v>6322</v>
      </c>
      <c r="B3052" s="35" t="s">
        <v>6323</v>
      </c>
      <c r="C3052" s="35">
        <v>120.0</v>
      </c>
      <c r="D3052" s="35">
        <v>120.0</v>
      </c>
      <c r="E3052" s="35">
        <v>22150.0</v>
      </c>
      <c r="F3052" s="35" t="s">
        <v>11</v>
      </c>
    </row>
    <row r="3053" ht="22.5" customHeight="1">
      <c r="A3053" s="37" t="s">
        <v>6324</v>
      </c>
      <c r="B3053" s="35" t="s">
        <v>6325</v>
      </c>
      <c r="C3053" s="35">
        <v>286.0</v>
      </c>
      <c r="D3053" s="35">
        <v>246.0</v>
      </c>
      <c r="E3053" s="35">
        <v>25590.0</v>
      </c>
      <c r="F3053" s="35" t="s">
        <v>11</v>
      </c>
    </row>
    <row r="3054" ht="22.5" customHeight="1">
      <c r="A3054" s="37" t="s">
        <v>6326</v>
      </c>
      <c r="B3054" s="35" t="s">
        <v>6327</v>
      </c>
      <c r="C3054" s="35">
        <v>409.0</v>
      </c>
      <c r="D3054" s="35">
        <v>393.0</v>
      </c>
      <c r="E3054" s="35">
        <v>24920.0</v>
      </c>
      <c r="F3054" s="35" t="s">
        <v>11</v>
      </c>
    </row>
    <row r="3055" ht="22.5" customHeight="1">
      <c r="A3055" s="37" t="s">
        <v>6328</v>
      </c>
      <c r="B3055" s="35" t="s">
        <v>6329</v>
      </c>
      <c r="C3055" s="35">
        <v>165.0</v>
      </c>
      <c r="D3055" s="35">
        <v>154.0</v>
      </c>
      <c r="E3055" s="35">
        <v>24230.0</v>
      </c>
      <c r="F3055" s="35" t="s">
        <v>11</v>
      </c>
    </row>
    <row r="3056" ht="22.5" customHeight="1">
      <c r="A3056" s="37" t="s">
        <v>6330</v>
      </c>
      <c r="B3056" s="35" t="s">
        <v>6331</v>
      </c>
      <c r="C3056" s="35">
        <v>57.0</v>
      </c>
      <c r="D3056" s="35">
        <v>48.0</v>
      </c>
      <c r="E3056" s="35" t="s">
        <v>11</v>
      </c>
      <c r="F3056" s="35" t="s">
        <v>11</v>
      </c>
    </row>
    <row r="3057" ht="22.5" customHeight="1">
      <c r="A3057" s="37" t="s">
        <v>6332</v>
      </c>
      <c r="B3057" s="35" t="s">
        <v>6333</v>
      </c>
      <c r="C3057" s="35">
        <v>522.0</v>
      </c>
      <c r="D3057" s="35">
        <v>540.0</v>
      </c>
      <c r="E3057" s="35">
        <v>26220.0</v>
      </c>
      <c r="F3057" s="35" t="s">
        <v>11</v>
      </c>
    </row>
    <row r="3058" ht="22.5" customHeight="1">
      <c r="A3058" s="37" t="s">
        <v>6334</v>
      </c>
      <c r="B3058" s="35" t="s">
        <v>6335</v>
      </c>
      <c r="C3058" s="35">
        <v>64.0</v>
      </c>
      <c r="D3058" s="35">
        <v>63.0</v>
      </c>
      <c r="E3058" s="35" t="s">
        <v>11</v>
      </c>
      <c r="F3058" s="35" t="s">
        <v>11</v>
      </c>
    </row>
    <row r="3059" ht="22.5" customHeight="1">
      <c r="A3059" s="37" t="s">
        <v>6336</v>
      </c>
      <c r="B3059" s="35" t="s">
        <v>6337</v>
      </c>
      <c r="C3059" s="35">
        <v>192.0</v>
      </c>
      <c r="D3059" s="35">
        <v>152.0</v>
      </c>
      <c r="E3059" s="35">
        <v>25820.0</v>
      </c>
      <c r="F3059" s="35" t="s">
        <v>11</v>
      </c>
    </row>
    <row r="3060" ht="22.5" customHeight="1">
      <c r="A3060" s="37" t="s">
        <v>6338</v>
      </c>
      <c r="B3060" s="35" t="s">
        <v>6339</v>
      </c>
      <c r="C3060" s="35">
        <v>501.0</v>
      </c>
      <c r="D3060" s="35">
        <v>461.0</v>
      </c>
      <c r="E3060" s="35">
        <v>30470.0</v>
      </c>
      <c r="F3060" s="35" t="s">
        <v>11</v>
      </c>
    </row>
    <row r="3061" ht="22.5" customHeight="1">
      <c r="A3061" s="37" t="s">
        <v>6340</v>
      </c>
      <c r="B3061" s="35" t="s">
        <v>1923</v>
      </c>
      <c r="C3061" s="35">
        <v>266.0</v>
      </c>
      <c r="D3061" s="35">
        <v>253.0</v>
      </c>
      <c r="E3061" s="35">
        <v>25550.0</v>
      </c>
      <c r="F3061" s="35" t="s">
        <v>11</v>
      </c>
    </row>
    <row r="3062" ht="22.5" customHeight="1">
      <c r="A3062" s="37" t="s">
        <v>6341</v>
      </c>
      <c r="B3062" s="35" t="s">
        <v>6342</v>
      </c>
      <c r="C3062" s="35">
        <v>207.0</v>
      </c>
      <c r="D3062" s="35">
        <v>243.0</v>
      </c>
      <c r="E3062" s="35">
        <v>26450.0</v>
      </c>
      <c r="F3062" s="35" t="s">
        <v>11</v>
      </c>
    </row>
    <row r="3063" ht="22.5" customHeight="1">
      <c r="A3063" s="37" t="s">
        <v>6343</v>
      </c>
      <c r="B3063" s="35" t="s">
        <v>6344</v>
      </c>
      <c r="C3063" s="35">
        <v>72.0</v>
      </c>
      <c r="D3063" s="35">
        <v>78.0</v>
      </c>
      <c r="E3063" s="35" t="s">
        <v>11</v>
      </c>
      <c r="F3063" s="35" t="s">
        <v>11</v>
      </c>
    </row>
    <row r="3064" ht="22.5" customHeight="1">
      <c r="A3064" s="37" t="s">
        <v>6345</v>
      </c>
      <c r="B3064" s="35" t="s">
        <v>6346</v>
      </c>
      <c r="C3064" s="35">
        <v>230.0</v>
      </c>
      <c r="D3064" s="35">
        <v>233.0</v>
      </c>
      <c r="E3064" s="35">
        <v>23550.0</v>
      </c>
      <c r="F3064" s="35" t="s">
        <v>11</v>
      </c>
    </row>
    <row r="3065" ht="22.5" customHeight="1">
      <c r="A3065" s="37" t="s">
        <v>6347</v>
      </c>
      <c r="B3065" s="35" t="s">
        <v>4652</v>
      </c>
      <c r="C3065" s="35">
        <v>177.0</v>
      </c>
      <c r="D3065" s="35">
        <v>161.0</v>
      </c>
      <c r="E3065" s="35">
        <v>20940.0</v>
      </c>
      <c r="F3065" s="35" t="s">
        <v>11</v>
      </c>
    </row>
    <row r="3066" ht="22.5" customHeight="1">
      <c r="A3066" s="37" t="s">
        <v>6348</v>
      </c>
      <c r="B3066" s="35" t="s">
        <v>6349</v>
      </c>
      <c r="C3066" s="35">
        <v>106.0</v>
      </c>
      <c r="D3066" s="35">
        <v>104.0</v>
      </c>
      <c r="E3066" s="35">
        <v>24690.0</v>
      </c>
      <c r="F3066" s="35" t="s">
        <v>11</v>
      </c>
    </row>
    <row r="3067" ht="22.5" customHeight="1">
      <c r="A3067" s="37" t="s">
        <v>6350</v>
      </c>
      <c r="B3067" s="35" t="s">
        <v>6351</v>
      </c>
      <c r="C3067" s="35">
        <v>79.0</v>
      </c>
      <c r="D3067" s="35">
        <v>70.0</v>
      </c>
      <c r="E3067" s="35" t="s">
        <v>11</v>
      </c>
      <c r="F3067" s="35" t="s">
        <v>11</v>
      </c>
    </row>
    <row r="3068" ht="22.5" customHeight="1">
      <c r="A3068" s="37" t="s">
        <v>6352</v>
      </c>
      <c r="B3068" s="35" t="s">
        <v>6353</v>
      </c>
      <c r="C3068" s="35">
        <v>340.0</v>
      </c>
      <c r="D3068" s="35">
        <v>340.0</v>
      </c>
      <c r="E3068" s="35">
        <v>25770.0</v>
      </c>
      <c r="F3068" s="35" t="s">
        <v>11</v>
      </c>
    </row>
    <row r="3069" ht="22.5" customHeight="1">
      <c r="A3069" s="37" t="s">
        <v>6354</v>
      </c>
      <c r="B3069" s="35" t="s">
        <v>6355</v>
      </c>
      <c r="C3069" s="35">
        <v>79.0</v>
      </c>
      <c r="D3069" s="35">
        <v>79.0</v>
      </c>
      <c r="E3069" s="35" t="s">
        <v>11</v>
      </c>
      <c r="F3069" s="35" t="s">
        <v>11</v>
      </c>
    </row>
    <row r="3070" ht="22.5" customHeight="1">
      <c r="A3070" s="37" t="s">
        <v>6356</v>
      </c>
      <c r="B3070" s="35" t="s">
        <v>6357</v>
      </c>
      <c r="C3070" s="35">
        <v>104.0</v>
      </c>
      <c r="D3070" s="35">
        <v>126.0</v>
      </c>
      <c r="E3070" s="35">
        <v>23300.0</v>
      </c>
      <c r="F3070" s="35" t="s">
        <v>11</v>
      </c>
    </row>
    <row r="3071" ht="22.5" customHeight="1">
      <c r="A3071" s="37" t="s">
        <v>6358</v>
      </c>
      <c r="B3071" s="35" t="s">
        <v>6359</v>
      </c>
      <c r="C3071" s="35">
        <v>202.0</v>
      </c>
      <c r="D3071" s="35">
        <v>207.0</v>
      </c>
      <c r="E3071" s="35">
        <v>21870.0</v>
      </c>
      <c r="F3071" s="35" t="s">
        <v>11</v>
      </c>
    </row>
    <row r="3072" ht="22.5" customHeight="1">
      <c r="A3072" s="37" t="s">
        <v>6360</v>
      </c>
      <c r="B3072" s="35" t="s">
        <v>6361</v>
      </c>
      <c r="C3072" s="35">
        <v>1421.0</v>
      </c>
      <c r="D3072" s="35">
        <v>1396.0</v>
      </c>
      <c r="E3072" s="35">
        <v>21750.0</v>
      </c>
      <c r="F3072" s="35" t="s">
        <v>11</v>
      </c>
    </row>
    <row r="3073" ht="22.5" customHeight="1">
      <c r="A3073" s="37" t="s">
        <v>6362</v>
      </c>
      <c r="B3073" s="35" t="s">
        <v>6363</v>
      </c>
      <c r="C3073" s="35">
        <v>996.0</v>
      </c>
      <c r="D3073" s="35">
        <v>937.0</v>
      </c>
      <c r="E3073" s="35">
        <v>23770.0</v>
      </c>
      <c r="F3073" s="35" t="s">
        <v>11</v>
      </c>
    </row>
    <row r="3074" ht="22.5" customHeight="1">
      <c r="A3074" s="37" t="s">
        <v>6364</v>
      </c>
      <c r="B3074" s="35" t="s">
        <v>6365</v>
      </c>
      <c r="C3074" s="35">
        <v>176.0</v>
      </c>
      <c r="D3074" s="35">
        <v>161.0</v>
      </c>
      <c r="E3074" s="35">
        <v>30070.0</v>
      </c>
      <c r="F3074" s="35" t="s">
        <v>11</v>
      </c>
    </row>
    <row r="3075" ht="22.5" customHeight="1">
      <c r="A3075" s="37" t="s">
        <v>6366</v>
      </c>
      <c r="B3075" s="35" t="s">
        <v>6367</v>
      </c>
      <c r="C3075" s="35">
        <v>95.0</v>
      </c>
      <c r="D3075" s="35">
        <v>89.0</v>
      </c>
      <c r="E3075" s="35">
        <v>26520.0</v>
      </c>
      <c r="F3075" s="35" t="s">
        <v>11</v>
      </c>
    </row>
    <row r="3076" ht="22.5" customHeight="1">
      <c r="A3076" s="37" t="s">
        <v>6368</v>
      </c>
      <c r="B3076" s="35" t="s">
        <v>6369</v>
      </c>
      <c r="C3076" s="35">
        <v>298.0</v>
      </c>
      <c r="D3076" s="35">
        <v>278.0</v>
      </c>
      <c r="E3076" s="35">
        <v>27480.0</v>
      </c>
      <c r="F3076" s="35" t="s">
        <v>11</v>
      </c>
    </row>
    <row r="3077" ht="22.5" customHeight="1">
      <c r="A3077" s="37" t="s">
        <v>6370</v>
      </c>
      <c r="B3077" s="35" t="s">
        <v>6371</v>
      </c>
      <c r="C3077" s="35">
        <v>204.0</v>
      </c>
      <c r="D3077" s="35">
        <v>193.0</v>
      </c>
      <c r="E3077" s="35">
        <v>24620.0</v>
      </c>
      <c r="F3077" s="35" t="s">
        <v>11</v>
      </c>
    </row>
    <row r="3078" ht="22.5" customHeight="1">
      <c r="A3078" s="37" t="s">
        <v>6372</v>
      </c>
      <c r="B3078" s="35" t="s">
        <v>6373</v>
      </c>
      <c r="C3078" s="35">
        <v>226.0</v>
      </c>
      <c r="D3078" s="35">
        <v>215.0</v>
      </c>
      <c r="E3078" s="35">
        <v>24110.0</v>
      </c>
      <c r="F3078" s="35" t="s">
        <v>11</v>
      </c>
    </row>
    <row r="3079" ht="22.5" customHeight="1">
      <c r="A3079" s="37" t="s">
        <v>6374</v>
      </c>
      <c r="B3079" s="35" t="s">
        <v>6375</v>
      </c>
      <c r="C3079" s="35">
        <v>215.0</v>
      </c>
      <c r="D3079" s="35">
        <v>200.0</v>
      </c>
      <c r="E3079" s="35">
        <v>26080.0</v>
      </c>
      <c r="F3079" s="35" t="s">
        <v>11</v>
      </c>
    </row>
    <row r="3080" ht="22.5" customHeight="1">
      <c r="A3080" s="37" t="s">
        <v>6376</v>
      </c>
      <c r="B3080" s="35" t="s">
        <v>6377</v>
      </c>
      <c r="C3080" s="35">
        <v>1339.0</v>
      </c>
      <c r="D3080" s="35">
        <v>1352.0</v>
      </c>
      <c r="E3080" s="35">
        <v>24300.0</v>
      </c>
      <c r="F3080" s="35" t="s">
        <v>11</v>
      </c>
    </row>
    <row r="3081" ht="22.5" customHeight="1">
      <c r="A3081" s="37" t="s">
        <v>6378</v>
      </c>
      <c r="B3081" s="35" t="s">
        <v>6379</v>
      </c>
      <c r="C3081" s="35">
        <v>2095.0</v>
      </c>
      <c r="D3081" s="35">
        <v>1929.0</v>
      </c>
      <c r="E3081" s="35">
        <v>22170.0</v>
      </c>
      <c r="F3081" s="35" t="s">
        <v>11</v>
      </c>
    </row>
    <row r="3082" ht="22.5" customHeight="1">
      <c r="A3082" s="37" t="s">
        <v>6380</v>
      </c>
      <c r="B3082" s="35" t="s">
        <v>6381</v>
      </c>
      <c r="C3082" s="35">
        <v>160.0</v>
      </c>
      <c r="D3082" s="35">
        <v>153.0</v>
      </c>
      <c r="E3082" s="35">
        <v>25500.0</v>
      </c>
      <c r="F3082" s="35" t="s">
        <v>11</v>
      </c>
    </row>
    <row r="3083" ht="22.5" customHeight="1">
      <c r="A3083" s="37" t="s">
        <v>6382</v>
      </c>
      <c r="B3083" s="35" t="s">
        <v>302</v>
      </c>
      <c r="C3083" s="35">
        <v>131.0</v>
      </c>
      <c r="D3083" s="35">
        <v>109.0</v>
      </c>
      <c r="E3083" s="35">
        <v>26930.0</v>
      </c>
      <c r="F3083" s="35" t="s">
        <v>11</v>
      </c>
    </row>
    <row r="3084" ht="22.5" customHeight="1">
      <c r="A3084" s="37" t="s">
        <v>6383</v>
      </c>
      <c r="B3084" s="35" t="s">
        <v>6384</v>
      </c>
      <c r="C3084" s="35">
        <v>509.0</v>
      </c>
      <c r="D3084" s="35">
        <v>500.0</v>
      </c>
      <c r="E3084" s="35">
        <v>26030.0</v>
      </c>
      <c r="F3084" s="35" t="s">
        <v>11</v>
      </c>
    </row>
    <row r="3085" ht="22.5" customHeight="1">
      <c r="A3085" s="37" t="s">
        <v>6385</v>
      </c>
      <c r="B3085" s="35" t="s">
        <v>6386</v>
      </c>
      <c r="C3085" s="35">
        <v>333.0</v>
      </c>
      <c r="D3085" s="35">
        <v>301.0</v>
      </c>
      <c r="E3085" s="35">
        <v>26920.0</v>
      </c>
      <c r="F3085" s="35" t="s">
        <v>11</v>
      </c>
    </row>
    <row r="3086" ht="22.5" customHeight="1">
      <c r="A3086" s="37" t="s">
        <v>6387</v>
      </c>
      <c r="B3086" s="35" t="s">
        <v>6388</v>
      </c>
      <c r="C3086" s="35">
        <v>513.0</v>
      </c>
      <c r="D3086" s="35">
        <v>494.0</v>
      </c>
      <c r="E3086" s="35">
        <v>29200.0</v>
      </c>
      <c r="F3086" s="35" t="s">
        <v>11</v>
      </c>
    </row>
    <row r="3087" ht="22.5" customHeight="1">
      <c r="A3087" s="37" t="s">
        <v>6389</v>
      </c>
      <c r="B3087" s="35" t="s">
        <v>6390</v>
      </c>
      <c r="C3087" s="35">
        <v>357.0</v>
      </c>
      <c r="D3087" s="35">
        <v>297.0</v>
      </c>
      <c r="E3087" s="35">
        <v>26170.0</v>
      </c>
      <c r="F3087" s="35" t="s">
        <v>11</v>
      </c>
    </row>
    <row r="3088" ht="22.5" customHeight="1">
      <c r="A3088" s="37" t="s">
        <v>6391</v>
      </c>
      <c r="B3088" s="35" t="s">
        <v>6392</v>
      </c>
      <c r="C3088" s="35">
        <v>149.0</v>
      </c>
      <c r="D3088" s="35">
        <v>149.0</v>
      </c>
      <c r="E3088" s="35">
        <v>24930.0</v>
      </c>
      <c r="F3088" s="35" t="s">
        <v>11</v>
      </c>
    </row>
    <row r="3089" ht="22.5" customHeight="1">
      <c r="A3089" s="37" t="s">
        <v>6393</v>
      </c>
      <c r="B3089" s="35" t="s">
        <v>6394</v>
      </c>
      <c r="C3089" s="35">
        <v>92.0</v>
      </c>
      <c r="D3089" s="35">
        <v>80.0</v>
      </c>
      <c r="E3089" s="35" t="s">
        <v>11</v>
      </c>
      <c r="F3089" s="35" t="s">
        <v>11</v>
      </c>
    </row>
    <row r="3090" ht="22.5" customHeight="1">
      <c r="A3090" s="37" t="s">
        <v>6395</v>
      </c>
      <c r="B3090" s="35" t="s">
        <v>6396</v>
      </c>
      <c r="C3090" s="35">
        <v>752.0</v>
      </c>
      <c r="D3090" s="35">
        <v>717.0</v>
      </c>
      <c r="E3090" s="35">
        <v>28610.0</v>
      </c>
      <c r="F3090" s="35" t="s">
        <v>11</v>
      </c>
    </row>
    <row r="3091" ht="22.5" customHeight="1">
      <c r="A3091" s="37" t="s">
        <v>6397</v>
      </c>
      <c r="B3091" s="35" t="s">
        <v>6398</v>
      </c>
      <c r="C3091" s="35">
        <v>145.0</v>
      </c>
      <c r="D3091" s="35">
        <v>145.0</v>
      </c>
      <c r="E3091" s="35">
        <v>26900.0</v>
      </c>
      <c r="F3091" s="35" t="s">
        <v>11</v>
      </c>
    </row>
    <row r="3092" ht="22.5" customHeight="1">
      <c r="A3092" s="37" t="s">
        <v>6399</v>
      </c>
      <c r="B3092" s="35" t="s">
        <v>6400</v>
      </c>
      <c r="C3092" s="35">
        <v>222.0</v>
      </c>
      <c r="D3092" s="35">
        <v>197.0</v>
      </c>
      <c r="E3092" s="35">
        <v>25610.0</v>
      </c>
      <c r="F3092" s="35" t="s">
        <v>11</v>
      </c>
    </row>
    <row r="3093" ht="22.5" customHeight="1">
      <c r="A3093" s="37" t="s">
        <v>6401</v>
      </c>
      <c r="B3093" s="35" t="s">
        <v>6402</v>
      </c>
      <c r="C3093" s="35">
        <v>32.0</v>
      </c>
      <c r="D3093" s="35">
        <v>40.0</v>
      </c>
      <c r="E3093" s="35" t="s">
        <v>11</v>
      </c>
      <c r="F3093" s="35" t="s">
        <v>11</v>
      </c>
    </row>
    <row r="3094" ht="22.5" customHeight="1">
      <c r="A3094" s="37" t="s">
        <v>6403</v>
      </c>
      <c r="B3094" s="35" t="s">
        <v>6404</v>
      </c>
      <c r="C3094" s="35">
        <v>1070.0</v>
      </c>
      <c r="D3094" s="35">
        <v>1042.0</v>
      </c>
      <c r="E3094" s="35">
        <v>23520.0</v>
      </c>
      <c r="F3094" s="35" t="s">
        <v>11</v>
      </c>
    </row>
    <row r="3095" ht="22.5" customHeight="1">
      <c r="A3095" s="37" t="s">
        <v>6405</v>
      </c>
      <c r="B3095" s="35" t="s">
        <v>6406</v>
      </c>
      <c r="C3095" s="35">
        <v>231.0</v>
      </c>
      <c r="D3095" s="35">
        <v>240.0</v>
      </c>
      <c r="E3095" s="35">
        <v>24930.0</v>
      </c>
      <c r="F3095" s="35" t="s">
        <v>11</v>
      </c>
    </row>
    <row r="3096" ht="22.5" customHeight="1">
      <c r="A3096" s="37" t="s">
        <v>6407</v>
      </c>
      <c r="B3096" s="35" t="s">
        <v>6408</v>
      </c>
      <c r="C3096" s="35">
        <v>352.0</v>
      </c>
      <c r="D3096" s="35">
        <v>353.0</v>
      </c>
      <c r="E3096" s="35">
        <v>25160.0</v>
      </c>
      <c r="F3096" s="35" t="s">
        <v>11</v>
      </c>
    </row>
    <row r="3097" ht="22.5" customHeight="1">
      <c r="A3097" s="37" t="s">
        <v>6409</v>
      </c>
      <c r="B3097" s="35" t="s">
        <v>6410</v>
      </c>
      <c r="C3097" s="35">
        <v>257.0</v>
      </c>
      <c r="D3097" s="35">
        <v>279.0</v>
      </c>
      <c r="E3097" s="35">
        <v>25250.0</v>
      </c>
      <c r="F3097" s="35" t="s">
        <v>11</v>
      </c>
    </row>
    <row r="3098" ht="22.5" customHeight="1">
      <c r="A3098" s="37" t="s">
        <v>6411</v>
      </c>
      <c r="B3098" s="35" t="s">
        <v>6412</v>
      </c>
      <c r="C3098" s="35">
        <v>154.0</v>
      </c>
      <c r="D3098" s="35">
        <v>155.0</v>
      </c>
      <c r="E3098" s="35">
        <v>25490.0</v>
      </c>
      <c r="F3098" s="35" t="s">
        <v>11</v>
      </c>
    </row>
    <row r="3099" ht="22.5" customHeight="1">
      <c r="A3099" s="37" t="s">
        <v>6413</v>
      </c>
      <c r="B3099" s="35" t="s">
        <v>6414</v>
      </c>
      <c r="C3099" s="35">
        <v>627.0</v>
      </c>
      <c r="D3099" s="35">
        <v>815.0</v>
      </c>
      <c r="E3099" s="35">
        <v>28360.0</v>
      </c>
      <c r="F3099" s="35" t="s">
        <v>11</v>
      </c>
    </row>
    <row r="3100" ht="22.5" customHeight="1">
      <c r="A3100" s="37" t="s">
        <v>6415</v>
      </c>
      <c r="B3100" s="35" t="s">
        <v>6416</v>
      </c>
      <c r="C3100" s="35">
        <v>1162.0</v>
      </c>
      <c r="D3100" s="35">
        <v>1092.0</v>
      </c>
      <c r="E3100" s="35">
        <v>23790.0</v>
      </c>
      <c r="F3100" s="35" t="s">
        <v>11</v>
      </c>
    </row>
    <row r="3101" ht="22.5" customHeight="1">
      <c r="A3101" s="37" t="s">
        <v>6417</v>
      </c>
      <c r="B3101" s="35" t="s">
        <v>6418</v>
      </c>
      <c r="C3101" s="35">
        <v>437.0</v>
      </c>
      <c r="D3101" s="35">
        <v>517.0</v>
      </c>
      <c r="E3101" s="35">
        <v>30150.0</v>
      </c>
      <c r="F3101" s="35" t="s">
        <v>11</v>
      </c>
    </row>
    <row r="3102" ht="22.5" customHeight="1">
      <c r="A3102" s="37" t="s">
        <v>6419</v>
      </c>
      <c r="B3102" s="35" t="s">
        <v>6420</v>
      </c>
      <c r="C3102" s="35">
        <v>223.0</v>
      </c>
      <c r="D3102" s="35">
        <v>220.0</v>
      </c>
      <c r="E3102" s="35">
        <v>24230.0</v>
      </c>
      <c r="F3102" s="35" t="s">
        <v>11</v>
      </c>
    </row>
    <row r="3103" ht="22.5" customHeight="1">
      <c r="A3103" s="37" t="s">
        <v>6421</v>
      </c>
      <c r="B3103" s="35" t="s">
        <v>6422</v>
      </c>
      <c r="C3103" s="35">
        <v>968.0</v>
      </c>
      <c r="D3103" s="35">
        <v>882.0</v>
      </c>
      <c r="E3103" s="35">
        <v>24000.0</v>
      </c>
      <c r="F3103" s="35" t="s">
        <v>11</v>
      </c>
    </row>
    <row r="3104" ht="22.5" customHeight="1">
      <c r="A3104" s="37" t="s">
        <v>6423</v>
      </c>
      <c r="B3104" s="35" t="s">
        <v>6424</v>
      </c>
      <c r="C3104" s="35">
        <v>129.0</v>
      </c>
      <c r="D3104" s="35">
        <v>124.0</v>
      </c>
      <c r="E3104" s="35">
        <v>22880.0</v>
      </c>
      <c r="F3104" s="35" t="s">
        <v>11</v>
      </c>
    </row>
    <row r="3105" ht="22.5" customHeight="1">
      <c r="A3105" s="37" t="s">
        <v>6425</v>
      </c>
      <c r="B3105" s="35" t="s">
        <v>6426</v>
      </c>
      <c r="C3105" s="35">
        <v>102.0</v>
      </c>
      <c r="D3105" s="35">
        <v>91.0</v>
      </c>
      <c r="E3105" s="35" t="s">
        <v>11</v>
      </c>
      <c r="F3105" s="35" t="s">
        <v>11</v>
      </c>
    </row>
    <row r="3106" ht="22.5" customHeight="1">
      <c r="A3106" s="37" t="s">
        <v>6427</v>
      </c>
      <c r="B3106" s="35" t="s">
        <v>6428</v>
      </c>
      <c r="C3106" s="35">
        <v>230.0</v>
      </c>
      <c r="D3106" s="35">
        <v>209.0</v>
      </c>
      <c r="E3106" s="35">
        <v>27280.0</v>
      </c>
      <c r="F3106" s="35" t="s">
        <v>11</v>
      </c>
    </row>
    <row r="3107" ht="22.5" customHeight="1">
      <c r="A3107" s="37" t="s">
        <v>6429</v>
      </c>
      <c r="B3107" s="35" t="s">
        <v>6430</v>
      </c>
      <c r="C3107" s="35">
        <v>619.0</v>
      </c>
      <c r="D3107" s="35">
        <v>605.0</v>
      </c>
      <c r="E3107" s="35">
        <v>24860.0</v>
      </c>
      <c r="F3107" s="35" t="s">
        <v>11</v>
      </c>
    </row>
    <row r="3108" ht="22.5" customHeight="1">
      <c r="A3108" s="37" t="s">
        <v>6431</v>
      </c>
      <c r="B3108" s="35" t="s">
        <v>6432</v>
      </c>
      <c r="C3108" s="35">
        <v>860.0</v>
      </c>
      <c r="D3108" s="35">
        <v>900.0</v>
      </c>
      <c r="E3108" s="35">
        <v>24610.0</v>
      </c>
      <c r="F3108" s="35" t="s">
        <v>11</v>
      </c>
    </row>
    <row r="3109" ht="22.5" customHeight="1">
      <c r="A3109" s="37" t="s">
        <v>6433</v>
      </c>
      <c r="B3109" s="35" t="s">
        <v>6434</v>
      </c>
      <c r="C3109" s="35">
        <v>384.0</v>
      </c>
      <c r="D3109" s="35">
        <v>386.0</v>
      </c>
      <c r="E3109" s="35">
        <v>25270.0</v>
      </c>
      <c r="F3109" s="35" t="s">
        <v>11</v>
      </c>
    </row>
    <row r="3110" ht="22.5" customHeight="1">
      <c r="A3110" s="37" t="s">
        <v>6435</v>
      </c>
      <c r="B3110" s="35" t="s">
        <v>6436</v>
      </c>
      <c r="C3110" s="35">
        <v>67.0</v>
      </c>
      <c r="D3110" s="35">
        <v>57.0</v>
      </c>
      <c r="E3110" s="35" t="s">
        <v>11</v>
      </c>
      <c r="F3110" s="35" t="s">
        <v>11</v>
      </c>
    </row>
    <row r="3111" ht="22.5" customHeight="1">
      <c r="A3111" s="37" t="s">
        <v>6437</v>
      </c>
      <c r="B3111" s="35" t="s">
        <v>6438</v>
      </c>
      <c r="C3111" s="35">
        <v>133.0</v>
      </c>
      <c r="D3111" s="35">
        <v>137.0</v>
      </c>
      <c r="E3111" s="35">
        <v>25230.0</v>
      </c>
      <c r="F3111" s="35" t="s">
        <v>11</v>
      </c>
    </row>
    <row r="3112" ht="22.5" customHeight="1">
      <c r="A3112" s="37" t="s">
        <v>6439</v>
      </c>
      <c r="B3112" s="35" t="s">
        <v>6440</v>
      </c>
      <c r="C3112" s="35">
        <v>173.0</v>
      </c>
      <c r="D3112" s="35">
        <v>178.0</v>
      </c>
      <c r="E3112" s="35">
        <v>27000.0</v>
      </c>
      <c r="F3112" s="35" t="s">
        <v>11</v>
      </c>
    </row>
    <row r="3113" ht="22.5" customHeight="1">
      <c r="A3113" s="37" t="s">
        <v>6441</v>
      </c>
      <c r="B3113" s="35" t="s">
        <v>6442</v>
      </c>
      <c r="C3113" s="35">
        <v>181.0</v>
      </c>
      <c r="D3113" s="35">
        <v>161.0</v>
      </c>
      <c r="E3113" s="35">
        <v>25760.0</v>
      </c>
      <c r="F3113" s="35" t="s">
        <v>11</v>
      </c>
    </row>
    <row r="3114" ht="22.5" customHeight="1">
      <c r="A3114" s="37" t="s">
        <v>6443</v>
      </c>
      <c r="B3114" s="35" t="s">
        <v>6444</v>
      </c>
      <c r="C3114" s="35">
        <v>563.0</v>
      </c>
      <c r="D3114" s="35">
        <v>613.0</v>
      </c>
      <c r="E3114" s="35">
        <v>31260.0</v>
      </c>
      <c r="F3114" s="35" t="s">
        <v>11</v>
      </c>
    </row>
    <row r="3115" ht="22.5" customHeight="1">
      <c r="A3115" s="37" t="s">
        <v>6445</v>
      </c>
      <c r="B3115" s="35" t="s">
        <v>6446</v>
      </c>
      <c r="C3115" s="35">
        <v>78.0</v>
      </c>
      <c r="D3115" s="35">
        <v>64.0</v>
      </c>
      <c r="E3115" s="35" t="s">
        <v>11</v>
      </c>
      <c r="F3115" s="35" t="s">
        <v>11</v>
      </c>
    </row>
    <row r="3116" ht="22.5" customHeight="1">
      <c r="A3116" s="37" t="s">
        <v>6447</v>
      </c>
      <c r="B3116" s="35" t="s">
        <v>6448</v>
      </c>
      <c r="C3116" s="35">
        <v>363.0</v>
      </c>
      <c r="D3116" s="35">
        <v>329.0</v>
      </c>
      <c r="E3116" s="35">
        <v>22960.0</v>
      </c>
      <c r="F3116" s="35" t="s">
        <v>11</v>
      </c>
    </row>
    <row r="3117" ht="22.5" customHeight="1">
      <c r="A3117" s="37" t="s">
        <v>6449</v>
      </c>
      <c r="B3117" s="35" t="s">
        <v>6450</v>
      </c>
      <c r="C3117" s="35">
        <v>475.0</v>
      </c>
      <c r="D3117" s="35">
        <v>441.0</v>
      </c>
      <c r="E3117" s="35">
        <v>25900.0</v>
      </c>
      <c r="F3117" s="35" t="s">
        <v>11</v>
      </c>
    </row>
    <row r="3118" ht="22.5" customHeight="1">
      <c r="A3118" s="37" t="s">
        <v>6451</v>
      </c>
      <c r="B3118" s="35" t="s">
        <v>6452</v>
      </c>
      <c r="C3118" s="35">
        <v>237.0</v>
      </c>
      <c r="D3118" s="35">
        <v>247.0</v>
      </c>
      <c r="E3118" s="35">
        <v>25440.0</v>
      </c>
      <c r="F3118" s="35" t="s">
        <v>11</v>
      </c>
    </row>
    <row r="3119" ht="22.5" customHeight="1">
      <c r="A3119" s="37" t="s">
        <v>6453</v>
      </c>
      <c r="B3119" s="35" t="s">
        <v>6454</v>
      </c>
      <c r="C3119" s="35">
        <v>331.0</v>
      </c>
      <c r="D3119" s="35">
        <v>325.0</v>
      </c>
      <c r="E3119" s="35">
        <v>24520.0</v>
      </c>
      <c r="F3119" s="35" t="s">
        <v>11</v>
      </c>
    </row>
    <row r="3120" ht="22.5" customHeight="1">
      <c r="A3120" s="37" t="s">
        <v>6455</v>
      </c>
      <c r="B3120" s="35" t="s">
        <v>6456</v>
      </c>
      <c r="C3120" s="35">
        <v>334.0</v>
      </c>
      <c r="D3120" s="35">
        <v>349.0</v>
      </c>
      <c r="E3120" s="35">
        <v>28080.0</v>
      </c>
      <c r="F3120" s="35" t="s">
        <v>11</v>
      </c>
    </row>
    <row r="3121" ht="22.5" customHeight="1">
      <c r="A3121" s="37" t="s">
        <v>6457</v>
      </c>
      <c r="B3121" s="35" t="s">
        <v>6458</v>
      </c>
      <c r="C3121" s="35">
        <v>291.0</v>
      </c>
      <c r="D3121" s="35">
        <v>283.0</v>
      </c>
      <c r="E3121" s="35">
        <v>23450.0</v>
      </c>
      <c r="F3121" s="35" t="s">
        <v>11</v>
      </c>
    </row>
    <row r="3122" ht="22.5" customHeight="1">
      <c r="A3122" s="37" t="s">
        <v>6459</v>
      </c>
      <c r="B3122" s="35" t="s">
        <v>6460</v>
      </c>
      <c r="C3122" s="35">
        <v>293.0</v>
      </c>
      <c r="D3122" s="35">
        <v>276.0</v>
      </c>
      <c r="E3122" s="35">
        <v>26530.0</v>
      </c>
      <c r="F3122" s="35" t="s">
        <v>11</v>
      </c>
    </row>
    <row r="3123" ht="22.5" customHeight="1">
      <c r="A3123" s="37" t="s">
        <v>6461</v>
      </c>
      <c r="B3123" s="35" t="s">
        <v>6462</v>
      </c>
      <c r="C3123" s="35">
        <v>155.0</v>
      </c>
      <c r="D3123" s="35">
        <v>158.0</v>
      </c>
      <c r="E3123" s="35">
        <v>25690.0</v>
      </c>
      <c r="F3123" s="35" t="s">
        <v>11</v>
      </c>
    </row>
    <row r="3124" ht="22.5" customHeight="1">
      <c r="A3124" s="37" t="s">
        <v>6463</v>
      </c>
      <c r="B3124" s="35" t="s">
        <v>6464</v>
      </c>
      <c r="C3124" s="35">
        <v>122.0</v>
      </c>
      <c r="D3124" s="35">
        <v>113.0</v>
      </c>
      <c r="E3124" s="35">
        <v>22240.0</v>
      </c>
      <c r="F3124" s="35" t="s">
        <v>11</v>
      </c>
    </row>
    <row r="3125" ht="22.5" customHeight="1">
      <c r="A3125" s="37" t="s">
        <v>6465</v>
      </c>
      <c r="B3125" s="35" t="s">
        <v>6466</v>
      </c>
      <c r="C3125" s="35">
        <v>448.0</v>
      </c>
      <c r="D3125" s="35">
        <v>389.0</v>
      </c>
      <c r="E3125" s="35">
        <v>26690.0</v>
      </c>
      <c r="F3125" s="35" t="s">
        <v>11</v>
      </c>
    </row>
    <row r="3126" ht="22.5" customHeight="1">
      <c r="A3126" s="37" t="s">
        <v>6467</v>
      </c>
      <c r="B3126" s="35" t="s">
        <v>6468</v>
      </c>
      <c r="C3126" s="35">
        <v>550.0</v>
      </c>
      <c r="D3126" s="35">
        <v>540.0</v>
      </c>
      <c r="E3126" s="35">
        <v>26360.0</v>
      </c>
      <c r="F3126" s="35" t="s">
        <v>11</v>
      </c>
    </row>
    <row r="3127" ht="22.5" customHeight="1">
      <c r="A3127" s="37" t="s">
        <v>6469</v>
      </c>
      <c r="B3127" s="35" t="s">
        <v>6470</v>
      </c>
      <c r="C3127" s="35">
        <v>155.0</v>
      </c>
      <c r="D3127" s="35">
        <v>142.0</v>
      </c>
      <c r="E3127" s="35">
        <v>24060.0</v>
      </c>
      <c r="F3127" s="35" t="s">
        <v>11</v>
      </c>
    </row>
    <row r="3128" ht="22.5" customHeight="1">
      <c r="A3128" s="37" t="s">
        <v>6471</v>
      </c>
      <c r="B3128" s="35" t="s">
        <v>6472</v>
      </c>
      <c r="C3128" s="35">
        <v>503.0</v>
      </c>
      <c r="D3128" s="35">
        <v>493.0</v>
      </c>
      <c r="E3128" s="35">
        <v>24870.0</v>
      </c>
      <c r="F3128" s="35" t="s">
        <v>11</v>
      </c>
    </row>
    <row r="3129" ht="22.5" customHeight="1">
      <c r="A3129" s="37" t="s">
        <v>6473</v>
      </c>
      <c r="B3129" s="35" t="s">
        <v>6474</v>
      </c>
      <c r="C3129" s="35">
        <v>385.0</v>
      </c>
      <c r="D3129" s="35">
        <v>376.0</v>
      </c>
      <c r="E3129" s="35">
        <v>29000.0</v>
      </c>
      <c r="F3129" s="35" t="s">
        <v>11</v>
      </c>
    </row>
    <row r="3130" ht="22.5" customHeight="1">
      <c r="A3130" s="37" t="s">
        <v>6475</v>
      </c>
      <c r="B3130" s="35" t="s">
        <v>6476</v>
      </c>
      <c r="C3130" s="35">
        <v>699.0</v>
      </c>
      <c r="D3130" s="35">
        <v>725.0</v>
      </c>
      <c r="E3130" s="35">
        <v>24940.0</v>
      </c>
      <c r="F3130" s="35" t="s">
        <v>11</v>
      </c>
    </row>
    <row r="3131" ht="22.5" customHeight="1">
      <c r="A3131" s="37" t="s">
        <v>6477</v>
      </c>
      <c r="B3131" s="35" t="s">
        <v>6478</v>
      </c>
      <c r="C3131" s="35">
        <v>87.0</v>
      </c>
      <c r="D3131" s="35">
        <v>80.0</v>
      </c>
      <c r="E3131" s="35" t="s">
        <v>11</v>
      </c>
      <c r="F3131" s="35" t="s">
        <v>11</v>
      </c>
    </row>
    <row r="3132" ht="22.5" customHeight="1">
      <c r="A3132" s="37" t="s">
        <v>6479</v>
      </c>
      <c r="B3132" s="35" t="s">
        <v>6480</v>
      </c>
      <c r="C3132" s="35">
        <v>931.0</v>
      </c>
      <c r="D3132" s="35">
        <v>927.0</v>
      </c>
      <c r="E3132" s="35">
        <v>25490.0</v>
      </c>
      <c r="F3132" s="35" t="s">
        <v>11</v>
      </c>
    </row>
    <row r="3133" ht="22.5" customHeight="1">
      <c r="A3133" s="37" t="s">
        <v>6481</v>
      </c>
      <c r="B3133" s="35" t="s">
        <v>6482</v>
      </c>
      <c r="C3133" s="35">
        <v>868.0</v>
      </c>
      <c r="D3133" s="35">
        <v>783.0</v>
      </c>
      <c r="E3133" s="35">
        <v>25070.0</v>
      </c>
      <c r="F3133" s="35" t="s">
        <v>11</v>
      </c>
    </row>
    <row r="3134" ht="22.5" customHeight="1">
      <c r="A3134" s="37" t="s">
        <v>6483</v>
      </c>
      <c r="B3134" s="35" t="s">
        <v>6484</v>
      </c>
      <c r="C3134" s="35">
        <v>151.0</v>
      </c>
      <c r="D3134" s="35">
        <v>154.0</v>
      </c>
      <c r="E3134" s="35">
        <v>25600.0</v>
      </c>
      <c r="F3134" s="35" t="s">
        <v>11</v>
      </c>
    </row>
    <row r="3135" ht="22.5" customHeight="1">
      <c r="A3135" s="37" t="s">
        <v>6485</v>
      </c>
      <c r="B3135" s="35" t="s">
        <v>6486</v>
      </c>
      <c r="C3135" s="35">
        <v>550.0</v>
      </c>
      <c r="D3135" s="35">
        <v>528.0</v>
      </c>
      <c r="E3135" s="35">
        <v>26060.0</v>
      </c>
      <c r="F3135" s="35" t="s">
        <v>11</v>
      </c>
    </row>
    <row r="3136" ht="22.5" customHeight="1">
      <c r="A3136" s="37" t="s">
        <v>6487</v>
      </c>
      <c r="B3136" s="35" t="s">
        <v>6488</v>
      </c>
      <c r="C3136" s="35">
        <v>434.0</v>
      </c>
      <c r="D3136" s="35">
        <v>425.0</v>
      </c>
      <c r="E3136" s="35">
        <v>31200.0</v>
      </c>
      <c r="F3136" s="35" t="s">
        <v>11</v>
      </c>
    </row>
    <row r="3137" ht="22.5" customHeight="1">
      <c r="A3137" s="37" t="s">
        <v>6489</v>
      </c>
      <c r="B3137" s="35" t="s">
        <v>6490</v>
      </c>
      <c r="C3137" s="35">
        <v>3192.0</v>
      </c>
      <c r="D3137" s="35">
        <v>3234.0</v>
      </c>
      <c r="E3137" s="35">
        <v>27890.0</v>
      </c>
      <c r="F3137" s="35">
        <v>8.0</v>
      </c>
    </row>
    <row r="3138" ht="22.5" customHeight="1">
      <c r="A3138" s="37" t="s">
        <v>6491</v>
      </c>
      <c r="B3138" s="35" t="s">
        <v>6492</v>
      </c>
      <c r="C3138" s="35">
        <v>263.0</v>
      </c>
      <c r="D3138" s="35">
        <v>203.0</v>
      </c>
      <c r="E3138" s="35">
        <v>27170.0</v>
      </c>
      <c r="F3138" s="35" t="s">
        <v>11</v>
      </c>
    </row>
    <row r="3139" ht="22.5" customHeight="1">
      <c r="A3139" s="37" t="s">
        <v>6493</v>
      </c>
      <c r="B3139" s="35" t="s">
        <v>6494</v>
      </c>
      <c r="C3139" s="35">
        <v>241.0</v>
      </c>
      <c r="D3139" s="35">
        <v>211.0</v>
      </c>
      <c r="E3139" s="35">
        <v>24270.0</v>
      </c>
      <c r="F3139" s="35" t="s">
        <v>11</v>
      </c>
    </row>
    <row r="3140" ht="22.5" customHeight="1">
      <c r="A3140" s="37" t="s">
        <v>6495</v>
      </c>
      <c r="B3140" s="35" t="s">
        <v>6496</v>
      </c>
      <c r="C3140" s="35">
        <v>74.0</v>
      </c>
      <c r="D3140" s="35">
        <v>82.0</v>
      </c>
      <c r="E3140" s="35" t="s">
        <v>11</v>
      </c>
      <c r="F3140" s="35" t="s">
        <v>11</v>
      </c>
    </row>
    <row r="3141" ht="22.5" customHeight="1">
      <c r="A3141" s="37" t="s">
        <v>6497</v>
      </c>
      <c r="B3141" s="35" t="s">
        <v>6498</v>
      </c>
      <c r="C3141" s="35">
        <v>240.0</v>
      </c>
      <c r="D3141" s="35">
        <v>249.0</v>
      </c>
      <c r="E3141" s="35">
        <v>23120.0</v>
      </c>
      <c r="F3141" s="35" t="s">
        <v>11</v>
      </c>
    </row>
    <row r="3142" ht="22.5" customHeight="1">
      <c r="A3142" s="37" t="s">
        <v>6499</v>
      </c>
      <c r="B3142" s="35" t="s">
        <v>6500</v>
      </c>
      <c r="C3142" s="35">
        <v>1276.0</v>
      </c>
      <c r="D3142" s="35">
        <v>1184.0</v>
      </c>
      <c r="E3142" s="35">
        <v>24040.0</v>
      </c>
      <c r="F3142" s="35" t="s">
        <v>11</v>
      </c>
    </row>
    <row r="3143" ht="22.5" customHeight="1">
      <c r="A3143" s="37" t="s">
        <v>6501</v>
      </c>
      <c r="B3143" s="35" t="s">
        <v>6502</v>
      </c>
      <c r="C3143" s="35">
        <v>685.0</v>
      </c>
      <c r="D3143" s="35">
        <v>707.0</v>
      </c>
      <c r="E3143" s="35">
        <v>25780.0</v>
      </c>
      <c r="F3143" s="35" t="s">
        <v>11</v>
      </c>
    </row>
    <row r="3144" ht="22.5" customHeight="1">
      <c r="A3144" s="37" t="s">
        <v>6503</v>
      </c>
      <c r="B3144" s="35" t="s">
        <v>6504</v>
      </c>
      <c r="C3144" s="35">
        <v>128.0</v>
      </c>
      <c r="D3144" s="35">
        <v>120.0</v>
      </c>
      <c r="E3144" s="35">
        <v>26890.0</v>
      </c>
      <c r="F3144" s="35" t="s">
        <v>11</v>
      </c>
    </row>
    <row r="3145" ht="22.5" customHeight="1">
      <c r="A3145" s="37" t="s">
        <v>6505</v>
      </c>
      <c r="B3145" s="35" t="s">
        <v>6506</v>
      </c>
      <c r="C3145" s="35">
        <v>46.0</v>
      </c>
      <c r="D3145" s="35">
        <v>45.0</v>
      </c>
      <c r="E3145" s="35" t="s">
        <v>11</v>
      </c>
      <c r="F3145" s="35" t="s">
        <v>11</v>
      </c>
    </row>
    <row r="3146" ht="22.5" customHeight="1">
      <c r="A3146" s="37" t="s">
        <v>6507</v>
      </c>
      <c r="B3146" s="35" t="s">
        <v>4825</v>
      </c>
      <c r="C3146" s="35">
        <v>108.0</v>
      </c>
      <c r="D3146" s="35">
        <v>116.0</v>
      </c>
      <c r="E3146" s="35">
        <v>25310.0</v>
      </c>
      <c r="F3146" s="35" t="s">
        <v>11</v>
      </c>
    </row>
    <row r="3147" ht="22.5" customHeight="1">
      <c r="A3147" s="37" t="s">
        <v>6508</v>
      </c>
      <c r="B3147" s="35" t="s">
        <v>454</v>
      </c>
      <c r="C3147" s="35">
        <v>331.0</v>
      </c>
      <c r="D3147" s="35">
        <v>350.0</v>
      </c>
      <c r="E3147" s="35">
        <v>24460.0</v>
      </c>
      <c r="F3147" s="35" t="s">
        <v>11</v>
      </c>
    </row>
    <row r="3148" ht="22.5" customHeight="1">
      <c r="A3148" s="37" t="s">
        <v>6509</v>
      </c>
      <c r="B3148" s="35" t="s">
        <v>6510</v>
      </c>
      <c r="C3148" s="35">
        <v>269.0</v>
      </c>
      <c r="D3148" s="35">
        <v>341.0</v>
      </c>
      <c r="E3148" s="35">
        <v>29250.0</v>
      </c>
      <c r="F3148" s="35" t="s">
        <v>11</v>
      </c>
    </row>
    <row r="3149" ht="22.5" customHeight="1">
      <c r="A3149" s="37" t="s">
        <v>6511</v>
      </c>
      <c r="B3149" s="35" t="s">
        <v>6512</v>
      </c>
      <c r="C3149" s="35">
        <v>98.0</v>
      </c>
      <c r="D3149" s="35">
        <v>109.0</v>
      </c>
      <c r="E3149" s="35" t="s">
        <v>11</v>
      </c>
      <c r="F3149" s="35" t="s">
        <v>11</v>
      </c>
    </row>
    <row r="3150" ht="22.5" customHeight="1">
      <c r="A3150" s="37" t="s">
        <v>6513</v>
      </c>
      <c r="B3150" s="35" t="s">
        <v>6514</v>
      </c>
      <c r="C3150" s="35">
        <v>512.0</v>
      </c>
      <c r="D3150" s="35">
        <v>495.0</v>
      </c>
      <c r="E3150" s="35">
        <v>24820.0</v>
      </c>
      <c r="F3150" s="35" t="s">
        <v>11</v>
      </c>
    </row>
    <row r="3151" ht="22.5" customHeight="1">
      <c r="A3151" s="37" t="s">
        <v>6515</v>
      </c>
      <c r="B3151" s="35" t="s">
        <v>6516</v>
      </c>
      <c r="C3151" s="35">
        <v>139.0</v>
      </c>
      <c r="D3151" s="35">
        <v>155.0</v>
      </c>
      <c r="E3151" s="35">
        <v>23680.0</v>
      </c>
      <c r="F3151" s="35" t="s">
        <v>11</v>
      </c>
    </row>
    <row r="3152" ht="22.5" customHeight="1">
      <c r="A3152" s="37" t="s">
        <v>6517</v>
      </c>
      <c r="B3152" s="35" t="s">
        <v>6518</v>
      </c>
      <c r="C3152" s="35">
        <v>207.0</v>
      </c>
      <c r="D3152" s="35">
        <v>197.0</v>
      </c>
      <c r="E3152" s="35">
        <v>24880.0</v>
      </c>
      <c r="F3152" s="35" t="s">
        <v>11</v>
      </c>
    </row>
    <row r="3153" ht="22.5" customHeight="1">
      <c r="A3153" s="37" t="s">
        <v>6519</v>
      </c>
      <c r="B3153" s="35" t="s">
        <v>6520</v>
      </c>
      <c r="C3153" s="35">
        <v>311.0</v>
      </c>
      <c r="D3153" s="35">
        <v>341.0</v>
      </c>
      <c r="E3153" s="35">
        <v>27020.0</v>
      </c>
      <c r="F3153" s="35" t="s">
        <v>11</v>
      </c>
    </row>
    <row r="3154" ht="22.5" customHeight="1">
      <c r="A3154" s="37" t="s">
        <v>6521</v>
      </c>
      <c r="B3154" s="35" t="s">
        <v>6522</v>
      </c>
      <c r="C3154" s="35">
        <v>414.0</v>
      </c>
      <c r="D3154" s="35">
        <v>397.0</v>
      </c>
      <c r="E3154" s="35">
        <v>24160.0</v>
      </c>
      <c r="F3154" s="35" t="s">
        <v>11</v>
      </c>
    </row>
    <row r="3155" ht="22.5" customHeight="1">
      <c r="A3155" s="37" t="s">
        <v>6523</v>
      </c>
      <c r="B3155" s="35" t="s">
        <v>6524</v>
      </c>
      <c r="C3155" s="35">
        <v>517.0</v>
      </c>
      <c r="D3155" s="35">
        <v>514.0</v>
      </c>
      <c r="E3155" s="35">
        <v>28040.0</v>
      </c>
      <c r="F3155" s="35" t="s">
        <v>11</v>
      </c>
    </row>
    <row r="3156" ht="22.5" customHeight="1">
      <c r="A3156" s="37" t="s">
        <v>6525</v>
      </c>
      <c r="B3156" s="35" t="s">
        <v>6526</v>
      </c>
      <c r="C3156" s="35">
        <v>234.0</v>
      </c>
      <c r="D3156" s="35">
        <v>220.0</v>
      </c>
      <c r="E3156" s="35">
        <v>21990.0</v>
      </c>
      <c r="F3156" s="35" t="s">
        <v>11</v>
      </c>
    </row>
    <row r="3157" ht="22.5" customHeight="1">
      <c r="A3157" s="37" t="s">
        <v>6527</v>
      </c>
      <c r="B3157" s="35" t="s">
        <v>6528</v>
      </c>
      <c r="C3157" s="35">
        <v>310.0</v>
      </c>
      <c r="D3157" s="35">
        <v>294.0</v>
      </c>
      <c r="E3157" s="35">
        <v>27840.0</v>
      </c>
      <c r="F3157" s="35" t="s">
        <v>11</v>
      </c>
    </row>
    <row r="3158" ht="22.5" customHeight="1">
      <c r="A3158" s="37" t="s">
        <v>6529</v>
      </c>
      <c r="B3158" s="35" t="s">
        <v>6530</v>
      </c>
      <c r="C3158" s="35">
        <v>167.0</v>
      </c>
      <c r="D3158" s="35">
        <v>144.0</v>
      </c>
      <c r="E3158" s="35">
        <v>25500.0</v>
      </c>
      <c r="F3158" s="35" t="s">
        <v>11</v>
      </c>
    </row>
    <row r="3159" ht="22.5" customHeight="1">
      <c r="A3159" s="37" t="s">
        <v>6531</v>
      </c>
      <c r="B3159" s="35" t="s">
        <v>6532</v>
      </c>
      <c r="C3159" s="35">
        <v>134.0</v>
      </c>
      <c r="D3159" s="35">
        <v>140.0</v>
      </c>
      <c r="E3159" s="35">
        <v>22350.0</v>
      </c>
      <c r="F3159" s="35" t="s">
        <v>11</v>
      </c>
    </row>
    <row r="3160" ht="22.5" customHeight="1">
      <c r="A3160" s="37" t="s">
        <v>6533</v>
      </c>
      <c r="B3160" s="35" t="s">
        <v>6534</v>
      </c>
      <c r="C3160" s="35">
        <v>213.0</v>
      </c>
      <c r="D3160" s="35">
        <v>207.0</v>
      </c>
      <c r="E3160" s="35">
        <v>25450.0</v>
      </c>
      <c r="F3160" s="35" t="s">
        <v>11</v>
      </c>
    </row>
    <row r="3161" ht="22.5" customHeight="1">
      <c r="A3161" s="37" t="s">
        <v>6535</v>
      </c>
      <c r="B3161" s="35" t="s">
        <v>6536</v>
      </c>
      <c r="C3161" s="35">
        <v>541.0</v>
      </c>
      <c r="D3161" s="35">
        <v>556.0</v>
      </c>
      <c r="E3161" s="35">
        <v>25600.0</v>
      </c>
      <c r="F3161" s="35" t="s">
        <v>11</v>
      </c>
    </row>
    <row r="3162" ht="22.5" customHeight="1">
      <c r="A3162" s="37" t="s">
        <v>6537</v>
      </c>
      <c r="B3162" s="35" t="s">
        <v>6538</v>
      </c>
      <c r="C3162" s="35">
        <v>381.0</v>
      </c>
      <c r="D3162" s="35">
        <v>370.0</v>
      </c>
      <c r="E3162" s="35">
        <v>30360.0</v>
      </c>
      <c r="F3162" s="35" t="s">
        <v>11</v>
      </c>
    </row>
    <row r="3163" ht="22.5" customHeight="1">
      <c r="A3163" s="37" t="s">
        <v>6539</v>
      </c>
      <c r="B3163" s="35" t="s">
        <v>6540</v>
      </c>
      <c r="C3163" s="35">
        <v>101.0</v>
      </c>
      <c r="D3163" s="35">
        <v>90.0</v>
      </c>
      <c r="E3163" s="35">
        <v>31510.0</v>
      </c>
      <c r="F3163" s="35" t="s">
        <v>11</v>
      </c>
    </row>
    <row r="3164" ht="22.5" customHeight="1">
      <c r="A3164" s="37" t="s">
        <v>6541</v>
      </c>
      <c r="B3164" s="35" t="s">
        <v>6542</v>
      </c>
      <c r="C3164" s="35">
        <v>49.0</v>
      </c>
      <c r="D3164" s="35">
        <v>41.0</v>
      </c>
      <c r="E3164" s="35" t="s">
        <v>11</v>
      </c>
      <c r="F3164" s="35" t="s">
        <v>11</v>
      </c>
    </row>
    <row r="3165" ht="22.5" customHeight="1">
      <c r="A3165" s="37" t="s">
        <v>6543</v>
      </c>
      <c r="B3165" s="35" t="s">
        <v>6544</v>
      </c>
      <c r="C3165" s="35">
        <v>282.0</v>
      </c>
      <c r="D3165" s="35">
        <v>300.0</v>
      </c>
      <c r="E3165" s="35">
        <v>29320.0</v>
      </c>
      <c r="F3165" s="35" t="s">
        <v>11</v>
      </c>
    </row>
    <row r="3166" ht="22.5" customHeight="1">
      <c r="A3166" s="37" t="s">
        <v>6545</v>
      </c>
      <c r="B3166" s="35" t="s">
        <v>6546</v>
      </c>
      <c r="C3166" s="35">
        <v>1204.0</v>
      </c>
      <c r="D3166" s="35">
        <v>1191.0</v>
      </c>
      <c r="E3166" s="35">
        <v>31070.0</v>
      </c>
      <c r="F3166" s="35" t="s">
        <v>11</v>
      </c>
    </row>
    <row r="3167" ht="22.5" customHeight="1">
      <c r="A3167" s="37" t="s">
        <v>6547</v>
      </c>
      <c r="B3167" s="35" t="s">
        <v>6548</v>
      </c>
      <c r="C3167" s="35">
        <v>199.0</v>
      </c>
      <c r="D3167" s="35">
        <v>222.0</v>
      </c>
      <c r="E3167" s="35">
        <v>26480.0</v>
      </c>
      <c r="F3167" s="35" t="s">
        <v>11</v>
      </c>
    </row>
    <row r="3168" ht="22.5" customHeight="1">
      <c r="A3168" s="37" t="s">
        <v>6549</v>
      </c>
      <c r="B3168" s="35" t="s">
        <v>6550</v>
      </c>
      <c r="C3168" s="35">
        <v>740.0</v>
      </c>
      <c r="D3168" s="35">
        <v>704.0</v>
      </c>
      <c r="E3168" s="35">
        <v>24460.0</v>
      </c>
      <c r="F3168" s="35" t="s">
        <v>11</v>
      </c>
    </row>
    <row r="3169" ht="22.5" customHeight="1">
      <c r="A3169" s="37" t="s">
        <v>6551</v>
      </c>
      <c r="B3169" s="35" t="s">
        <v>6552</v>
      </c>
      <c r="C3169" s="35">
        <v>724.0</v>
      </c>
      <c r="D3169" s="35">
        <v>740.0</v>
      </c>
      <c r="E3169" s="35">
        <v>25950.0</v>
      </c>
      <c r="F3169" s="35" t="s">
        <v>11</v>
      </c>
    </row>
    <row r="3170" ht="22.5" customHeight="1">
      <c r="A3170" s="37" t="s">
        <v>6553</v>
      </c>
      <c r="B3170" s="35" t="s">
        <v>6554</v>
      </c>
      <c r="C3170" s="35">
        <v>4432.0</v>
      </c>
      <c r="D3170" s="35">
        <v>4359.0</v>
      </c>
      <c r="E3170" s="35">
        <v>26860.0</v>
      </c>
      <c r="F3170" s="35">
        <v>13.0</v>
      </c>
    </row>
    <row r="3171" ht="22.5" customHeight="1">
      <c r="A3171" s="37" t="s">
        <v>6555</v>
      </c>
      <c r="B3171" s="35" t="s">
        <v>6556</v>
      </c>
      <c r="C3171" s="35">
        <v>188.0</v>
      </c>
      <c r="D3171" s="35">
        <v>182.0</v>
      </c>
      <c r="E3171" s="35">
        <v>26940.0</v>
      </c>
      <c r="F3171" s="35" t="s">
        <v>11</v>
      </c>
    </row>
    <row r="3172" ht="22.5" customHeight="1">
      <c r="A3172" s="37" t="s">
        <v>6557</v>
      </c>
      <c r="B3172" s="35" t="s">
        <v>6558</v>
      </c>
      <c r="C3172" s="35">
        <v>706.0</v>
      </c>
      <c r="D3172" s="35">
        <v>705.0</v>
      </c>
      <c r="E3172" s="35">
        <v>26560.0</v>
      </c>
      <c r="F3172" s="35" t="s">
        <v>11</v>
      </c>
    </row>
    <row r="3173" ht="22.5" customHeight="1">
      <c r="A3173" s="37" t="s">
        <v>6559</v>
      </c>
      <c r="B3173" s="35" t="s">
        <v>6560</v>
      </c>
      <c r="C3173" s="35">
        <v>322.0</v>
      </c>
      <c r="D3173" s="35">
        <v>348.0</v>
      </c>
      <c r="E3173" s="35">
        <v>26320.0</v>
      </c>
      <c r="F3173" s="35" t="s">
        <v>11</v>
      </c>
    </row>
    <row r="3174" ht="22.5" customHeight="1">
      <c r="A3174" s="37" t="s">
        <v>6561</v>
      </c>
      <c r="B3174" s="35" t="s">
        <v>6562</v>
      </c>
      <c r="C3174" s="35">
        <v>1100.0</v>
      </c>
      <c r="D3174" s="35">
        <v>1035.0</v>
      </c>
      <c r="E3174" s="35">
        <v>24280.0</v>
      </c>
      <c r="F3174" s="35" t="s">
        <v>11</v>
      </c>
    </row>
    <row r="3175" ht="22.5" customHeight="1">
      <c r="A3175" s="37" t="s">
        <v>6563</v>
      </c>
      <c r="B3175" s="35" t="s">
        <v>6564</v>
      </c>
      <c r="C3175" s="35">
        <v>70.0</v>
      </c>
      <c r="D3175" s="35">
        <v>59.0</v>
      </c>
      <c r="E3175" s="35" t="s">
        <v>11</v>
      </c>
      <c r="F3175" s="35" t="s">
        <v>11</v>
      </c>
    </row>
    <row r="3176" ht="22.5" customHeight="1">
      <c r="A3176" s="37" t="s">
        <v>6565</v>
      </c>
      <c r="B3176" s="35" t="s">
        <v>6566</v>
      </c>
      <c r="C3176" s="35">
        <v>114.0</v>
      </c>
      <c r="D3176" s="35">
        <v>110.0</v>
      </c>
      <c r="E3176" s="35">
        <v>26040.0</v>
      </c>
      <c r="F3176" s="35" t="s">
        <v>11</v>
      </c>
    </row>
    <row r="3177" ht="22.5" customHeight="1">
      <c r="A3177" s="37" t="s">
        <v>6567</v>
      </c>
      <c r="B3177" s="35" t="s">
        <v>6568</v>
      </c>
      <c r="C3177" s="35">
        <v>603.0</v>
      </c>
      <c r="D3177" s="35">
        <v>548.0</v>
      </c>
      <c r="E3177" s="35">
        <v>29240.0</v>
      </c>
      <c r="F3177" s="35" t="s">
        <v>11</v>
      </c>
    </row>
    <row r="3178" ht="22.5" customHeight="1">
      <c r="A3178" s="37" t="s">
        <v>6569</v>
      </c>
      <c r="B3178" s="35" t="s">
        <v>6570</v>
      </c>
      <c r="C3178" s="35">
        <v>535.0</v>
      </c>
      <c r="D3178" s="35">
        <v>546.0</v>
      </c>
      <c r="E3178" s="35">
        <v>24680.0</v>
      </c>
      <c r="F3178" s="35" t="s">
        <v>11</v>
      </c>
    </row>
    <row r="3179" ht="22.5" customHeight="1">
      <c r="A3179" s="37" t="s">
        <v>6571</v>
      </c>
      <c r="B3179" s="35" t="s">
        <v>6572</v>
      </c>
      <c r="C3179" s="35">
        <v>518.0</v>
      </c>
      <c r="D3179" s="35">
        <v>513.0</v>
      </c>
      <c r="E3179" s="35">
        <v>31200.0</v>
      </c>
      <c r="F3179" s="35" t="s">
        <v>11</v>
      </c>
    </row>
    <row r="3180" ht="22.5" customHeight="1">
      <c r="A3180" s="37" t="s">
        <v>6573</v>
      </c>
      <c r="B3180" s="35" t="s">
        <v>6574</v>
      </c>
      <c r="C3180" s="35">
        <v>83.0</v>
      </c>
      <c r="D3180" s="35">
        <v>75.0</v>
      </c>
      <c r="E3180" s="35" t="s">
        <v>11</v>
      </c>
      <c r="F3180" s="35" t="s">
        <v>11</v>
      </c>
    </row>
    <row r="3181" ht="22.5" customHeight="1">
      <c r="A3181" s="37" t="s">
        <v>6575</v>
      </c>
      <c r="B3181" s="35" t="s">
        <v>6576</v>
      </c>
      <c r="C3181" s="35">
        <v>272.0</v>
      </c>
      <c r="D3181" s="35">
        <v>250.0</v>
      </c>
      <c r="E3181" s="35">
        <v>26670.0</v>
      </c>
      <c r="F3181" s="35" t="s">
        <v>11</v>
      </c>
    </row>
    <row r="3182" ht="22.5" customHeight="1">
      <c r="A3182" s="37" t="s">
        <v>6577</v>
      </c>
      <c r="B3182" s="35" t="s">
        <v>6578</v>
      </c>
      <c r="C3182" s="35">
        <v>745.0</v>
      </c>
      <c r="D3182" s="35">
        <v>688.0</v>
      </c>
      <c r="E3182" s="35">
        <v>24770.0</v>
      </c>
      <c r="F3182" s="35" t="s">
        <v>11</v>
      </c>
    </row>
    <row r="3183" ht="22.5" customHeight="1">
      <c r="A3183" s="37" t="s">
        <v>6579</v>
      </c>
      <c r="B3183" s="35" t="s">
        <v>6580</v>
      </c>
      <c r="C3183" s="35">
        <v>206.0</v>
      </c>
      <c r="D3183" s="35">
        <v>223.0</v>
      </c>
      <c r="E3183" s="35">
        <v>23900.0</v>
      </c>
      <c r="F3183" s="35" t="s">
        <v>11</v>
      </c>
    </row>
    <row r="3184" ht="22.5" customHeight="1">
      <c r="A3184" s="37" t="s">
        <v>6581</v>
      </c>
      <c r="B3184" s="35" t="s">
        <v>6582</v>
      </c>
      <c r="C3184" s="35">
        <v>103.0</v>
      </c>
      <c r="D3184" s="35">
        <v>90.0</v>
      </c>
      <c r="E3184" s="35" t="s">
        <v>11</v>
      </c>
      <c r="F3184" s="35" t="s">
        <v>11</v>
      </c>
    </row>
    <row r="3185" ht="22.5" customHeight="1">
      <c r="A3185" s="37" t="s">
        <v>6583</v>
      </c>
      <c r="B3185" s="35" t="s">
        <v>6584</v>
      </c>
      <c r="C3185" s="35">
        <v>121.0</v>
      </c>
      <c r="D3185" s="35">
        <v>123.0</v>
      </c>
      <c r="E3185" s="35">
        <v>24590.0</v>
      </c>
      <c r="F3185" s="35" t="s">
        <v>11</v>
      </c>
    </row>
    <row r="3186" ht="22.5" customHeight="1">
      <c r="A3186" s="37" t="s">
        <v>6585</v>
      </c>
      <c r="B3186" s="35" t="s">
        <v>6586</v>
      </c>
      <c r="C3186" s="35">
        <v>2477.0</v>
      </c>
      <c r="D3186" s="35">
        <v>2316.0</v>
      </c>
      <c r="E3186" s="35">
        <v>23120.0</v>
      </c>
      <c r="F3186" s="35">
        <v>19.0</v>
      </c>
    </row>
    <row r="3187" ht="22.5" customHeight="1">
      <c r="A3187" s="37" t="s">
        <v>6587</v>
      </c>
      <c r="B3187" s="35" t="s">
        <v>6588</v>
      </c>
      <c r="C3187" s="35">
        <v>266.0</v>
      </c>
      <c r="D3187" s="35">
        <v>278.0</v>
      </c>
      <c r="E3187" s="35">
        <v>24080.0</v>
      </c>
      <c r="F3187" s="35" t="s">
        <v>11</v>
      </c>
    </row>
    <row r="3188" ht="22.5" customHeight="1">
      <c r="A3188" s="37" t="s">
        <v>6589</v>
      </c>
      <c r="B3188" s="35" t="s">
        <v>6590</v>
      </c>
      <c r="C3188" s="35">
        <v>531.0</v>
      </c>
      <c r="D3188" s="35">
        <v>526.0</v>
      </c>
      <c r="E3188" s="35">
        <v>24570.0</v>
      </c>
      <c r="F3188" s="35" t="s">
        <v>11</v>
      </c>
    </row>
    <row r="3189" ht="22.5" customHeight="1">
      <c r="A3189" s="37" t="s">
        <v>6591</v>
      </c>
      <c r="B3189" s="35" t="s">
        <v>6592</v>
      </c>
      <c r="C3189" s="35">
        <v>276.0</v>
      </c>
      <c r="D3189" s="35">
        <v>272.0</v>
      </c>
      <c r="E3189" s="35">
        <v>25660.0</v>
      </c>
      <c r="F3189" s="35" t="s">
        <v>11</v>
      </c>
    </row>
    <row r="3190" ht="22.5" customHeight="1">
      <c r="A3190" s="37" t="s">
        <v>6593</v>
      </c>
      <c r="B3190" s="35" t="s">
        <v>6594</v>
      </c>
      <c r="C3190" s="35">
        <v>2083.0</v>
      </c>
      <c r="D3190" s="35">
        <v>1969.0</v>
      </c>
      <c r="E3190" s="35">
        <v>21400.0</v>
      </c>
      <c r="F3190" s="35">
        <v>22.0</v>
      </c>
    </row>
    <row r="3191" ht="22.5" customHeight="1">
      <c r="A3191" s="37" t="s">
        <v>6595</v>
      </c>
      <c r="B3191" s="35" t="s">
        <v>6596</v>
      </c>
      <c r="C3191" s="35">
        <v>659.0</v>
      </c>
      <c r="D3191" s="35">
        <v>699.0</v>
      </c>
      <c r="E3191" s="35">
        <v>27920.0</v>
      </c>
      <c r="F3191" s="35" t="s">
        <v>11</v>
      </c>
    </row>
    <row r="3192" ht="22.5" customHeight="1">
      <c r="A3192" s="37" t="s">
        <v>6597</v>
      </c>
      <c r="B3192" s="35" t="s">
        <v>6598</v>
      </c>
      <c r="C3192" s="35">
        <v>581.0</v>
      </c>
      <c r="D3192" s="35">
        <v>570.0</v>
      </c>
      <c r="E3192" s="35">
        <v>27760.0</v>
      </c>
      <c r="F3192" s="35" t="s">
        <v>11</v>
      </c>
    </row>
    <row r="3193" ht="22.5" customHeight="1">
      <c r="A3193" s="37" t="s">
        <v>6599</v>
      </c>
      <c r="B3193" s="35" t="s">
        <v>6600</v>
      </c>
      <c r="C3193" s="35">
        <v>73.0</v>
      </c>
      <c r="D3193" s="35">
        <v>60.0</v>
      </c>
      <c r="E3193" s="35" t="s">
        <v>11</v>
      </c>
      <c r="F3193" s="35" t="s">
        <v>11</v>
      </c>
    </row>
    <row r="3194" ht="22.5" customHeight="1">
      <c r="A3194" s="37" t="s">
        <v>6601</v>
      </c>
      <c r="B3194" s="35" t="s">
        <v>6602</v>
      </c>
      <c r="C3194" s="35">
        <v>1252.0</v>
      </c>
      <c r="D3194" s="35">
        <v>1190.0</v>
      </c>
      <c r="E3194" s="35">
        <v>23670.0</v>
      </c>
      <c r="F3194" s="35" t="s">
        <v>11</v>
      </c>
    </row>
    <row r="3195" ht="22.5" customHeight="1">
      <c r="A3195" s="37" t="s">
        <v>6603</v>
      </c>
      <c r="B3195" s="35" t="s">
        <v>6604</v>
      </c>
      <c r="C3195" s="35">
        <v>183.0</v>
      </c>
      <c r="D3195" s="35">
        <v>169.0</v>
      </c>
      <c r="E3195" s="35">
        <v>27420.0</v>
      </c>
      <c r="F3195" s="35" t="s">
        <v>11</v>
      </c>
    </row>
    <row r="3196" ht="22.5" customHeight="1">
      <c r="A3196" s="37" t="s">
        <v>6605</v>
      </c>
      <c r="B3196" s="35" t="s">
        <v>6606</v>
      </c>
      <c r="C3196" s="35">
        <v>171.0</v>
      </c>
      <c r="D3196" s="35">
        <v>172.0</v>
      </c>
      <c r="E3196" s="35">
        <v>25960.0</v>
      </c>
      <c r="F3196" s="35" t="s">
        <v>11</v>
      </c>
    </row>
    <row r="3197" ht="22.5" customHeight="1">
      <c r="A3197" s="37" t="s">
        <v>6607</v>
      </c>
      <c r="B3197" s="35" t="s">
        <v>6608</v>
      </c>
      <c r="C3197" s="35">
        <v>119.0</v>
      </c>
      <c r="D3197" s="35">
        <v>158.0</v>
      </c>
      <c r="E3197" s="35">
        <v>24560.0</v>
      </c>
      <c r="F3197" s="35" t="s">
        <v>11</v>
      </c>
    </row>
    <row r="3198" ht="22.5" customHeight="1">
      <c r="A3198" s="37" t="s">
        <v>6609</v>
      </c>
      <c r="B3198" s="35" t="s">
        <v>6610</v>
      </c>
      <c r="C3198" s="35">
        <v>134.0</v>
      </c>
      <c r="D3198" s="35">
        <v>152.0</v>
      </c>
      <c r="E3198" s="35">
        <v>25150.0</v>
      </c>
      <c r="F3198" s="35" t="s">
        <v>11</v>
      </c>
    </row>
    <row r="3199" ht="22.5" customHeight="1">
      <c r="A3199" s="37" t="s">
        <v>6611</v>
      </c>
      <c r="B3199" s="35" t="s">
        <v>6612</v>
      </c>
      <c r="C3199" s="35">
        <v>152.0</v>
      </c>
      <c r="D3199" s="35">
        <v>147.0</v>
      </c>
      <c r="E3199" s="35">
        <v>26170.0</v>
      </c>
      <c r="F3199" s="35" t="s">
        <v>11</v>
      </c>
    </row>
    <row r="3200" ht="22.5" customHeight="1">
      <c r="A3200" s="37" t="s">
        <v>6613</v>
      </c>
      <c r="B3200" s="35" t="s">
        <v>6614</v>
      </c>
      <c r="C3200" s="35">
        <v>238.0</v>
      </c>
      <c r="D3200" s="35">
        <v>240.0</v>
      </c>
      <c r="E3200" s="35">
        <v>22260.0</v>
      </c>
      <c r="F3200" s="35" t="s">
        <v>11</v>
      </c>
    </row>
    <row r="3201" ht="22.5" customHeight="1">
      <c r="A3201" s="37" t="s">
        <v>6615</v>
      </c>
      <c r="B3201" s="35" t="s">
        <v>6616</v>
      </c>
      <c r="C3201" s="35">
        <v>34.0</v>
      </c>
      <c r="D3201" s="35">
        <v>30.0</v>
      </c>
      <c r="E3201" s="35" t="s">
        <v>11</v>
      </c>
      <c r="F3201" s="35" t="s">
        <v>11</v>
      </c>
    </row>
    <row r="3202" ht="22.5" customHeight="1">
      <c r="A3202" s="37" t="s">
        <v>6617</v>
      </c>
      <c r="B3202" s="35" t="s">
        <v>6618</v>
      </c>
      <c r="C3202" s="35">
        <v>370.0</v>
      </c>
      <c r="D3202" s="35">
        <v>376.0</v>
      </c>
      <c r="E3202" s="35">
        <v>29550.0</v>
      </c>
      <c r="F3202" s="35" t="s">
        <v>11</v>
      </c>
    </row>
    <row r="3203" ht="22.5" customHeight="1">
      <c r="A3203" s="37" t="s">
        <v>6619</v>
      </c>
      <c r="B3203" s="35" t="s">
        <v>6620</v>
      </c>
      <c r="C3203" s="35">
        <v>546.0</v>
      </c>
      <c r="D3203" s="35">
        <v>516.0</v>
      </c>
      <c r="E3203" s="35">
        <v>27010.0</v>
      </c>
      <c r="F3203" s="35" t="s">
        <v>11</v>
      </c>
    </row>
    <row r="3204" ht="22.5" customHeight="1">
      <c r="A3204" s="37" t="s">
        <v>6621</v>
      </c>
      <c r="B3204" s="35" t="s">
        <v>6622</v>
      </c>
      <c r="C3204" s="35">
        <v>229.0</v>
      </c>
      <c r="D3204" s="35">
        <v>220.0</v>
      </c>
      <c r="E3204" s="35">
        <v>25620.0</v>
      </c>
      <c r="F3204" s="35" t="s">
        <v>11</v>
      </c>
    </row>
    <row r="3205" ht="22.5" customHeight="1">
      <c r="A3205" s="37" t="s">
        <v>6623</v>
      </c>
      <c r="B3205" s="35" t="s">
        <v>6624</v>
      </c>
      <c r="C3205" s="35">
        <v>49.0</v>
      </c>
      <c r="D3205" s="35">
        <v>45.0</v>
      </c>
      <c r="E3205" s="35" t="s">
        <v>11</v>
      </c>
      <c r="F3205" s="35" t="s">
        <v>11</v>
      </c>
    </row>
    <row r="3206" ht="22.5" customHeight="1">
      <c r="A3206" s="37" t="s">
        <v>6625</v>
      </c>
      <c r="B3206" s="35" t="s">
        <v>6626</v>
      </c>
      <c r="C3206" s="35">
        <v>340.0</v>
      </c>
      <c r="D3206" s="35">
        <v>387.0</v>
      </c>
      <c r="E3206" s="35">
        <v>29570.0</v>
      </c>
      <c r="F3206" s="35" t="s">
        <v>11</v>
      </c>
    </row>
    <row r="3207" ht="22.5" customHeight="1">
      <c r="A3207" s="37" t="s">
        <v>6627</v>
      </c>
      <c r="B3207" s="35" t="s">
        <v>6628</v>
      </c>
      <c r="C3207" s="35">
        <v>88.0</v>
      </c>
      <c r="D3207" s="35">
        <v>80.0</v>
      </c>
      <c r="E3207" s="35" t="s">
        <v>11</v>
      </c>
      <c r="F3207" s="35" t="s">
        <v>11</v>
      </c>
    </row>
    <row r="3208" ht="22.5" customHeight="1">
      <c r="A3208" s="37" t="s">
        <v>6629</v>
      </c>
      <c r="B3208" s="35" t="s">
        <v>6630</v>
      </c>
      <c r="C3208" s="35">
        <v>765.0</v>
      </c>
      <c r="D3208" s="35">
        <v>757.0</v>
      </c>
      <c r="E3208" s="35">
        <v>23270.0</v>
      </c>
      <c r="F3208" s="35" t="s">
        <v>11</v>
      </c>
    </row>
    <row r="3209" ht="22.5" customHeight="1">
      <c r="A3209" s="37" t="s">
        <v>6631</v>
      </c>
      <c r="B3209" s="35" t="s">
        <v>6632</v>
      </c>
      <c r="C3209" s="35">
        <v>916.0</v>
      </c>
      <c r="D3209" s="35">
        <v>865.0</v>
      </c>
      <c r="E3209" s="35">
        <v>23700.0</v>
      </c>
      <c r="F3209" s="35" t="s">
        <v>11</v>
      </c>
    </row>
    <row r="3210" ht="22.5" customHeight="1">
      <c r="A3210" s="37" t="s">
        <v>6633</v>
      </c>
      <c r="B3210" s="35" t="s">
        <v>6634</v>
      </c>
      <c r="C3210" s="35">
        <v>118.0</v>
      </c>
      <c r="D3210" s="35">
        <v>122.0</v>
      </c>
      <c r="E3210" s="35">
        <v>26270.0</v>
      </c>
      <c r="F3210" s="35" t="s">
        <v>11</v>
      </c>
    </row>
    <row r="3211" ht="22.5" customHeight="1">
      <c r="A3211" s="37" t="s">
        <v>6635</v>
      </c>
      <c r="B3211" s="35" t="s">
        <v>6636</v>
      </c>
      <c r="C3211" s="35">
        <v>364.0</v>
      </c>
      <c r="D3211" s="35">
        <v>305.0</v>
      </c>
      <c r="E3211" s="35">
        <v>26730.0</v>
      </c>
      <c r="F3211" s="35" t="s">
        <v>11</v>
      </c>
    </row>
    <row r="3212" ht="22.5" customHeight="1">
      <c r="A3212" s="37" t="s">
        <v>6637</v>
      </c>
      <c r="B3212" s="35" t="s">
        <v>3443</v>
      </c>
      <c r="C3212" s="35">
        <v>211.0</v>
      </c>
      <c r="D3212" s="35">
        <v>210.0</v>
      </c>
      <c r="E3212" s="35">
        <v>23220.0</v>
      </c>
      <c r="F3212" s="35" t="s">
        <v>11</v>
      </c>
    </row>
    <row r="3213" ht="22.5" customHeight="1">
      <c r="A3213" s="37" t="s">
        <v>6638</v>
      </c>
      <c r="B3213" s="35" t="s">
        <v>6639</v>
      </c>
      <c r="C3213" s="35">
        <v>153.0</v>
      </c>
      <c r="D3213" s="35">
        <v>149.0</v>
      </c>
      <c r="E3213" s="35">
        <v>27220.0</v>
      </c>
      <c r="F3213" s="35" t="s">
        <v>11</v>
      </c>
    </row>
    <row r="3214" ht="22.5" customHeight="1">
      <c r="A3214" s="37" t="s">
        <v>6640</v>
      </c>
      <c r="B3214" s="35" t="s">
        <v>6641</v>
      </c>
      <c r="C3214" s="35">
        <v>1735.0</v>
      </c>
      <c r="D3214" s="35">
        <v>1660.0</v>
      </c>
      <c r="E3214" s="35">
        <v>24150.0</v>
      </c>
      <c r="F3214" s="35" t="s">
        <v>11</v>
      </c>
    </row>
    <row r="3215" ht="22.5" customHeight="1">
      <c r="A3215" s="37" t="s">
        <v>6642</v>
      </c>
      <c r="B3215" s="35" t="s">
        <v>6643</v>
      </c>
      <c r="C3215" s="35">
        <v>6283.0</v>
      </c>
      <c r="D3215" s="35">
        <v>5982.0</v>
      </c>
      <c r="E3215" s="35">
        <v>24450.0</v>
      </c>
      <c r="F3215" s="35">
        <v>16.0</v>
      </c>
    </row>
    <row r="3216" ht="22.5" customHeight="1">
      <c r="A3216" s="37" t="s">
        <v>6644</v>
      </c>
      <c r="B3216" s="35" t="s">
        <v>6645</v>
      </c>
      <c r="C3216" s="35">
        <v>576.0</v>
      </c>
      <c r="D3216" s="35">
        <v>566.0</v>
      </c>
      <c r="E3216" s="35">
        <v>30570.0</v>
      </c>
      <c r="F3216" s="35" t="s">
        <v>11</v>
      </c>
    </row>
    <row r="3217" ht="22.5" customHeight="1">
      <c r="A3217" s="37" t="s">
        <v>6646</v>
      </c>
      <c r="B3217" s="35" t="s">
        <v>6647</v>
      </c>
      <c r="C3217" s="35">
        <v>332.0</v>
      </c>
      <c r="D3217" s="35">
        <v>313.0</v>
      </c>
      <c r="E3217" s="35">
        <v>23880.0</v>
      </c>
      <c r="F3217" s="35" t="s">
        <v>11</v>
      </c>
    </row>
    <row r="3218" ht="22.5" customHeight="1">
      <c r="A3218" s="37" t="s">
        <v>6648</v>
      </c>
      <c r="B3218" s="35" t="s">
        <v>6649</v>
      </c>
      <c r="C3218" s="35">
        <v>231.0</v>
      </c>
      <c r="D3218" s="35">
        <v>214.0</v>
      </c>
      <c r="E3218" s="35">
        <v>21050.0</v>
      </c>
      <c r="F3218" s="35" t="s">
        <v>11</v>
      </c>
    </row>
    <row r="3219" ht="22.5" customHeight="1">
      <c r="A3219" s="37" t="s">
        <v>6650</v>
      </c>
      <c r="B3219" s="35" t="s">
        <v>6651</v>
      </c>
      <c r="C3219" s="35">
        <v>154.0</v>
      </c>
      <c r="D3219" s="35">
        <v>152.0</v>
      </c>
      <c r="E3219" s="35">
        <v>26220.0</v>
      </c>
      <c r="F3219" s="35" t="s">
        <v>11</v>
      </c>
    </row>
    <row r="3220" ht="22.5" customHeight="1">
      <c r="A3220" s="37" t="s">
        <v>6652</v>
      </c>
      <c r="B3220" s="35" t="s">
        <v>6653</v>
      </c>
      <c r="C3220" s="35">
        <v>82.0</v>
      </c>
      <c r="D3220" s="35">
        <v>69.0</v>
      </c>
      <c r="E3220" s="35" t="s">
        <v>11</v>
      </c>
      <c r="F3220" s="35" t="s">
        <v>11</v>
      </c>
    </row>
    <row r="3221" ht="22.5" customHeight="1">
      <c r="A3221" s="37" t="s">
        <v>6654</v>
      </c>
      <c r="B3221" s="35" t="s">
        <v>6655</v>
      </c>
      <c r="C3221" s="35">
        <v>139.0</v>
      </c>
      <c r="D3221" s="35">
        <v>164.0</v>
      </c>
      <c r="E3221" s="35">
        <v>26350.0</v>
      </c>
      <c r="F3221" s="35" t="s">
        <v>11</v>
      </c>
    </row>
    <row r="3222" ht="22.5" customHeight="1">
      <c r="A3222" s="37" t="s">
        <v>6656</v>
      </c>
      <c r="B3222" s="35" t="s">
        <v>6657</v>
      </c>
      <c r="C3222" s="35">
        <v>69.0</v>
      </c>
      <c r="D3222" s="35">
        <v>65.0</v>
      </c>
      <c r="E3222" s="35" t="s">
        <v>11</v>
      </c>
      <c r="F3222" s="35" t="s">
        <v>11</v>
      </c>
    </row>
    <row r="3223" ht="22.5" customHeight="1">
      <c r="A3223" s="37" t="s">
        <v>6658</v>
      </c>
      <c r="B3223" s="35" t="s">
        <v>6659</v>
      </c>
      <c r="C3223" s="35">
        <v>102.0</v>
      </c>
      <c r="D3223" s="35">
        <v>99.0</v>
      </c>
      <c r="E3223" s="35" t="s">
        <v>11</v>
      </c>
      <c r="F3223" s="35" t="s">
        <v>11</v>
      </c>
    </row>
    <row r="3224" ht="22.5" customHeight="1">
      <c r="A3224" s="37" t="s">
        <v>6660</v>
      </c>
      <c r="B3224" s="35" t="s">
        <v>6661</v>
      </c>
      <c r="C3224" s="35">
        <v>303.0</v>
      </c>
      <c r="D3224" s="35">
        <v>304.0</v>
      </c>
      <c r="E3224" s="35">
        <v>24600.0</v>
      </c>
      <c r="F3224" s="35" t="s">
        <v>11</v>
      </c>
    </row>
    <row r="3225" ht="22.5" customHeight="1">
      <c r="A3225" s="37" t="s">
        <v>6662</v>
      </c>
      <c r="B3225" s="35" t="s">
        <v>6663</v>
      </c>
      <c r="C3225" s="35">
        <v>1436.0</v>
      </c>
      <c r="D3225" s="35">
        <v>1376.0</v>
      </c>
      <c r="E3225" s="35">
        <v>22980.0</v>
      </c>
      <c r="F3225" s="35" t="s">
        <v>11</v>
      </c>
    </row>
    <row r="3226" ht="22.5" customHeight="1">
      <c r="A3226" s="37" t="s">
        <v>6664</v>
      </c>
      <c r="B3226" s="35" t="s">
        <v>6665</v>
      </c>
      <c r="C3226" s="35">
        <v>121.0</v>
      </c>
      <c r="D3226" s="35">
        <v>115.0</v>
      </c>
      <c r="E3226" s="35" t="s">
        <v>11</v>
      </c>
      <c r="F3226" s="35" t="s">
        <v>11</v>
      </c>
    </row>
    <row r="3227" ht="22.5" customHeight="1">
      <c r="A3227" s="37" t="s">
        <v>6666</v>
      </c>
      <c r="B3227" s="35" t="s">
        <v>6667</v>
      </c>
      <c r="C3227" s="35">
        <v>123.0</v>
      </c>
      <c r="D3227" s="35">
        <v>127.0</v>
      </c>
      <c r="E3227" s="35">
        <v>25390.0</v>
      </c>
      <c r="F3227" s="35" t="s">
        <v>11</v>
      </c>
    </row>
    <row r="3228" ht="22.5" customHeight="1">
      <c r="A3228" s="37" t="s">
        <v>6668</v>
      </c>
      <c r="B3228" s="35" t="s">
        <v>6669</v>
      </c>
      <c r="C3228" s="35">
        <v>190.0</v>
      </c>
      <c r="D3228" s="35">
        <v>186.0</v>
      </c>
      <c r="E3228" s="35">
        <v>34520.0</v>
      </c>
      <c r="F3228" s="35" t="s">
        <v>11</v>
      </c>
    </row>
    <row r="3229" ht="22.5" customHeight="1">
      <c r="A3229" s="37" t="s">
        <v>6670</v>
      </c>
      <c r="B3229" s="35" t="s">
        <v>6671</v>
      </c>
      <c r="C3229" s="35">
        <v>278.0</v>
      </c>
      <c r="D3229" s="35">
        <v>270.0</v>
      </c>
      <c r="E3229" s="35">
        <v>23030.0</v>
      </c>
      <c r="F3229" s="35" t="s">
        <v>11</v>
      </c>
    </row>
    <row r="3230" ht="22.5" customHeight="1">
      <c r="A3230" s="37" t="s">
        <v>6672</v>
      </c>
      <c r="B3230" s="35" t="s">
        <v>6673</v>
      </c>
      <c r="C3230" s="35">
        <v>434.0</v>
      </c>
      <c r="D3230" s="35">
        <v>460.0</v>
      </c>
      <c r="E3230" s="35">
        <v>25900.0</v>
      </c>
      <c r="F3230" s="35" t="s">
        <v>11</v>
      </c>
    </row>
    <row r="3231" ht="22.5" customHeight="1">
      <c r="A3231" s="37" t="s">
        <v>6674</v>
      </c>
      <c r="B3231" s="35" t="s">
        <v>6675</v>
      </c>
      <c r="C3231" s="35">
        <v>2012.0</v>
      </c>
      <c r="D3231" s="35">
        <v>1958.0</v>
      </c>
      <c r="E3231" s="35">
        <v>23600.0</v>
      </c>
      <c r="F3231" s="35" t="s">
        <v>11</v>
      </c>
    </row>
    <row r="3232" ht="22.5" customHeight="1">
      <c r="A3232" s="37" t="s">
        <v>6676</v>
      </c>
      <c r="B3232" s="35" t="s">
        <v>6677</v>
      </c>
      <c r="C3232" s="35">
        <v>346.0</v>
      </c>
      <c r="D3232" s="35">
        <v>374.0</v>
      </c>
      <c r="E3232" s="35">
        <v>26280.0</v>
      </c>
      <c r="F3232" s="35" t="s">
        <v>11</v>
      </c>
    </row>
    <row r="3233" ht="22.5" customHeight="1">
      <c r="A3233" s="37" t="s">
        <v>6678</v>
      </c>
      <c r="B3233" s="35" t="s">
        <v>6679</v>
      </c>
      <c r="C3233" s="35">
        <v>298.0</v>
      </c>
      <c r="D3233" s="35">
        <v>281.0</v>
      </c>
      <c r="E3233" s="35">
        <v>24780.0</v>
      </c>
      <c r="F3233" s="35" t="s">
        <v>11</v>
      </c>
    </row>
    <row r="3234" ht="22.5" customHeight="1">
      <c r="A3234" s="37" t="s">
        <v>6680</v>
      </c>
      <c r="B3234" s="35" t="s">
        <v>6681</v>
      </c>
      <c r="C3234" s="35">
        <v>168.0</v>
      </c>
      <c r="D3234" s="35">
        <v>152.0</v>
      </c>
      <c r="E3234" s="35">
        <v>27920.0</v>
      </c>
      <c r="F3234" s="35" t="s">
        <v>11</v>
      </c>
    </row>
    <row r="3235" ht="22.5" customHeight="1">
      <c r="A3235" s="37" t="s">
        <v>6682</v>
      </c>
      <c r="B3235" s="35" t="s">
        <v>6683</v>
      </c>
      <c r="C3235" s="35">
        <v>235.0</v>
      </c>
      <c r="D3235" s="35">
        <v>215.0</v>
      </c>
      <c r="E3235" s="35">
        <v>24560.0</v>
      </c>
      <c r="F3235" s="35" t="s">
        <v>11</v>
      </c>
    </row>
    <row r="3236" ht="22.5" customHeight="1">
      <c r="A3236" s="37" t="s">
        <v>6684</v>
      </c>
      <c r="B3236" s="35" t="s">
        <v>6685</v>
      </c>
      <c r="C3236" s="35">
        <v>155.0</v>
      </c>
      <c r="D3236" s="35">
        <v>150.0</v>
      </c>
      <c r="E3236" s="35">
        <v>27990.0</v>
      </c>
      <c r="F3236" s="35" t="s">
        <v>11</v>
      </c>
    </row>
    <row r="3237" ht="22.5" customHeight="1">
      <c r="A3237" s="37" t="s">
        <v>6686</v>
      </c>
      <c r="B3237" s="35" t="s">
        <v>6687</v>
      </c>
      <c r="C3237" s="35">
        <v>797.0</v>
      </c>
      <c r="D3237" s="35">
        <v>737.0</v>
      </c>
      <c r="E3237" s="35">
        <v>26520.0</v>
      </c>
      <c r="F3237" s="35" t="s">
        <v>11</v>
      </c>
    </row>
    <row r="3238" ht="22.5" customHeight="1">
      <c r="A3238" s="37" t="s">
        <v>6688</v>
      </c>
      <c r="B3238" s="35" t="s">
        <v>6689</v>
      </c>
      <c r="C3238" s="35">
        <v>1246.0</v>
      </c>
      <c r="D3238" s="35">
        <v>1174.0</v>
      </c>
      <c r="E3238" s="35">
        <v>21720.0</v>
      </c>
      <c r="F3238" s="35" t="s">
        <v>11</v>
      </c>
    </row>
    <row r="3239" ht="22.5" customHeight="1">
      <c r="A3239" s="37" t="s">
        <v>6690</v>
      </c>
      <c r="B3239" s="35" t="s">
        <v>6691</v>
      </c>
      <c r="C3239" s="35">
        <v>563.0</v>
      </c>
      <c r="D3239" s="35">
        <v>555.0</v>
      </c>
      <c r="E3239" s="35">
        <v>23580.0</v>
      </c>
      <c r="F3239" s="35" t="s">
        <v>11</v>
      </c>
    </row>
    <row r="3240" ht="22.5" customHeight="1">
      <c r="A3240" s="37" t="s">
        <v>6692</v>
      </c>
      <c r="B3240" s="35" t="s">
        <v>6693</v>
      </c>
      <c r="C3240" s="35">
        <v>493.0</v>
      </c>
      <c r="D3240" s="35">
        <v>524.0</v>
      </c>
      <c r="E3240" s="35">
        <v>27000.0</v>
      </c>
      <c r="F3240" s="35" t="s">
        <v>11</v>
      </c>
    </row>
    <row r="3241" ht="22.5" customHeight="1">
      <c r="A3241" s="37" t="s">
        <v>6694</v>
      </c>
      <c r="B3241" s="35" t="s">
        <v>6695</v>
      </c>
      <c r="C3241" s="35">
        <v>540.0</v>
      </c>
      <c r="D3241" s="35">
        <v>517.0</v>
      </c>
      <c r="E3241" s="35">
        <v>28400.0</v>
      </c>
      <c r="F3241" s="35" t="s">
        <v>11</v>
      </c>
    </row>
    <row r="3242" ht="22.5" customHeight="1">
      <c r="A3242" s="37" t="s">
        <v>6696</v>
      </c>
      <c r="B3242" s="35" t="s">
        <v>6697</v>
      </c>
      <c r="C3242" s="35">
        <v>50.0</v>
      </c>
      <c r="D3242" s="35">
        <v>59.0</v>
      </c>
      <c r="E3242" s="35" t="s">
        <v>11</v>
      </c>
      <c r="F3242" s="35" t="s">
        <v>11</v>
      </c>
    </row>
    <row r="3243" ht="22.5" customHeight="1">
      <c r="A3243" s="37" t="s">
        <v>6698</v>
      </c>
      <c r="B3243" s="35" t="s">
        <v>6699</v>
      </c>
      <c r="C3243" s="35">
        <v>1427.0</v>
      </c>
      <c r="D3243" s="35">
        <v>1389.0</v>
      </c>
      <c r="E3243" s="35">
        <v>26280.0</v>
      </c>
      <c r="F3243" s="35" t="s">
        <v>11</v>
      </c>
    </row>
    <row r="3244" ht="22.5" customHeight="1">
      <c r="A3244" s="37" t="s">
        <v>6700</v>
      </c>
      <c r="B3244" s="35" t="s">
        <v>6701</v>
      </c>
      <c r="C3244" s="35">
        <v>1094.0</v>
      </c>
      <c r="D3244" s="35">
        <v>1081.0</v>
      </c>
      <c r="E3244" s="35">
        <v>23650.0</v>
      </c>
      <c r="F3244" s="35" t="s">
        <v>11</v>
      </c>
    </row>
    <row r="3245" ht="22.5" customHeight="1">
      <c r="A3245" s="37" t="s">
        <v>6702</v>
      </c>
      <c r="B3245" s="35" t="s">
        <v>6703</v>
      </c>
      <c r="C3245" s="35">
        <v>419.0</v>
      </c>
      <c r="D3245" s="35">
        <v>403.0</v>
      </c>
      <c r="E3245" s="35">
        <v>26830.0</v>
      </c>
      <c r="F3245" s="35" t="s">
        <v>11</v>
      </c>
    </row>
    <row r="3246" ht="22.5" customHeight="1">
      <c r="A3246" s="37" t="s">
        <v>6704</v>
      </c>
      <c r="B3246" s="35" t="s">
        <v>6705</v>
      </c>
      <c r="C3246" s="35">
        <v>45.0</v>
      </c>
      <c r="D3246" s="35">
        <v>44.0</v>
      </c>
      <c r="E3246" s="35" t="s">
        <v>11</v>
      </c>
      <c r="F3246" s="35" t="s">
        <v>11</v>
      </c>
    </row>
    <row r="3247" ht="22.5" customHeight="1">
      <c r="A3247" s="37" t="s">
        <v>6706</v>
      </c>
      <c r="B3247" s="35" t="s">
        <v>6707</v>
      </c>
      <c r="C3247" s="35">
        <v>177.0</v>
      </c>
      <c r="D3247" s="35">
        <v>168.0</v>
      </c>
      <c r="E3247" s="35">
        <v>25110.0</v>
      </c>
      <c r="F3247" s="35" t="s">
        <v>11</v>
      </c>
    </row>
    <row r="3248" ht="22.5" customHeight="1">
      <c r="A3248" s="37" t="s">
        <v>6708</v>
      </c>
      <c r="B3248" s="35" t="s">
        <v>6709</v>
      </c>
      <c r="C3248" s="35">
        <v>302.0</v>
      </c>
      <c r="D3248" s="35">
        <v>287.0</v>
      </c>
      <c r="E3248" s="35">
        <v>24920.0</v>
      </c>
      <c r="F3248" s="35" t="s">
        <v>11</v>
      </c>
    </row>
    <row r="3249" ht="22.5" customHeight="1">
      <c r="A3249" s="37" t="s">
        <v>6710</v>
      </c>
      <c r="B3249" s="35" t="s">
        <v>6711</v>
      </c>
      <c r="C3249" s="35">
        <v>350.0</v>
      </c>
      <c r="D3249" s="35">
        <v>346.0</v>
      </c>
      <c r="E3249" s="35">
        <v>27960.0</v>
      </c>
      <c r="F3249" s="35" t="s">
        <v>11</v>
      </c>
    </row>
    <row r="3250" ht="22.5" customHeight="1">
      <c r="A3250" s="37" t="s">
        <v>6712</v>
      </c>
      <c r="B3250" s="35" t="s">
        <v>6713</v>
      </c>
      <c r="C3250" s="35">
        <v>706.0</v>
      </c>
      <c r="D3250" s="35">
        <v>709.0</v>
      </c>
      <c r="E3250" s="35">
        <v>23400.0</v>
      </c>
      <c r="F3250" s="35" t="s">
        <v>11</v>
      </c>
    </row>
    <row r="3251" ht="22.5" customHeight="1">
      <c r="A3251" s="37" t="s">
        <v>6714</v>
      </c>
      <c r="B3251" s="35" t="s">
        <v>6715</v>
      </c>
      <c r="C3251" s="35">
        <v>401.0</v>
      </c>
      <c r="D3251" s="35">
        <v>417.0</v>
      </c>
      <c r="E3251" s="35">
        <v>21920.0</v>
      </c>
      <c r="F3251" s="35" t="s">
        <v>11</v>
      </c>
    </row>
    <row r="3252" ht="22.5" customHeight="1">
      <c r="A3252" s="37" t="s">
        <v>6716</v>
      </c>
      <c r="B3252" s="35" t="s">
        <v>6717</v>
      </c>
      <c r="C3252" s="35">
        <v>311.0</v>
      </c>
      <c r="D3252" s="35">
        <v>308.0</v>
      </c>
      <c r="E3252" s="35">
        <v>25870.0</v>
      </c>
      <c r="F3252" s="35" t="s">
        <v>11</v>
      </c>
    </row>
    <row r="3253" ht="22.5" customHeight="1">
      <c r="A3253" s="37" t="s">
        <v>6718</v>
      </c>
      <c r="B3253" s="35" t="s">
        <v>6719</v>
      </c>
      <c r="C3253" s="35">
        <v>350.0</v>
      </c>
      <c r="D3253" s="35">
        <v>333.0</v>
      </c>
      <c r="E3253" s="35">
        <v>27440.0</v>
      </c>
      <c r="F3253" s="35" t="s">
        <v>11</v>
      </c>
    </row>
    <row r="3254" ht="22.5" customHeight="1">
      <c r="A3254" s="37" t="s">
        <v>6720</v>
      </c>
      <c r="B3254" s="35" t="s">
        <v>6721</v>
      </c>
      <c r="C3254" s="35">
        <v>339.0</v>
      </c>
      <c r="D3254" s="35">
        <v>363.0</v>
      </c>
      <c r="E3254" s="35">
        <v>23660.0</v>
      </c>
      <c r="F3254" s="35" t="s">
        <v>11</v>
      </c>
    </row>
    <row r="3255" ht="22.5" customHeight="1">
      <c r="A3255" s="37" t="s">
        <v>6722</v>
      </c>
      <c r="B3255" s="35" t="s">
        <v>6723</v>
      </c>
      <c r="C3255" s="35">
        <v>240.0</v>
      </c>
      <c r="D3255" s="35">
        <v>250.0</v>
      </c>
      <c r="E3255" s="35">
        <v>22530.0</v>
      </c>
      <c r="F3255" s="35" t="s">
        <v>11</v>
      </c>
    </row>
    <row r="3256" ht="22.5" customHeight="1">
      <c r="A3256" s="37" t="s">
        <v>6724</v>
      </c>
      <c r="B3256" s="35" t="s">
        <v>6725</v>
      </c>
      <c r="C3256" s="35">
        <v>6106.0</v>
      </c>
      <c r="D3256" s="35">
        <v>5751.0</v>
      </c>
      <c r="E3256" s="35">
        <v>20460.0</v>
      </c>
      <c r="F3256" s="35">
        <v>28.0</v>
      </c>
    </row>
    <row r="3257" ht="22.5" customHeight="1">
      <c r="A3257" s="37" t="s">
        <v>6726</v>
      </c>
      <c r="B3257" s="35" t="s">
        <v>6727</v>
      </c>
      <c r="C3257" s="35">
        <v>1653.0</v>
      </c>
      <c r="D3257" s="35">
        <v>1576.0</v>
      </c>
      <c r="E3257" s="35">
        <v>26330.0</v>
      </c>
      <c r="F3257" s="35" t="s">
        <v>11</v>
      </c>
    </row>
    <row r="3258" ht="22.5" customHeight="1">
      <c r="A3258" s="37" t="s">
        <v>6728</v>
      </c>
      <c r="B3258" s="35" t="s">
        <v>6729</v>
      </c>
      <c r="C3258" s="35">
        <v>92.0</v>
      </c>
      <c r="D3258" s="35">
        <v>78.0</v>
      </c>
      <c r="E3258" s="35" t="s">
        <v>11</v>
      </c>
      <c r="F3258" s="35" t="s">
        <v>11</v>
      </c>
    </row>
    <row r="3259" ht="22.5" customHeight="1">
      <c r="A3259" s="37" t="s">
        <v>6730</v>
      </c>
      <c r="B3259" s="35" t="s">
        <v>6731</v>
      </c>
      <c r="C3259" s="35">
        <v>94.0</v>
      </c>
      <c r="D3259" s="35">
        <v>82.0</v>
      </c>
      <c r="E3259" s="35" t="s">
        <v>11</v>
      </c>
      <c r="F3259" s="35" t="s">
        <v>11</v>
      </c>
    </row>
    <row r="3260" ht="22.5" customHeight="1">
      <c r="A3260" s="37" t="s">
        <v>6732</v>
      </c>
      <c r="B3260" s="35" t="s">
        <v>6733</v>
      </c>
      <c r="C3260" s="35">
        <v>921.0</v>
      </c>
      <c r="D3260" s="35">
        <v>887.0</v>
      </c>
      <c r="E3260" s="35">
        <v>31010.0</v>
      </c>
      <c r="F3260" s="35" t="s">
        <v>11</v>
      </c>
    </row>
    <row r="3261" ht="22.5" customHeight="1">
      <c r="A3261" s="37" t="s">
        <v>6734</v>
      </c>
      <c r="B3261" s="35" t="s">
        <v>777</v>
      </c>
      <c r="C3261" s="35">
        <v>1430.0</v>
      </c>
      <c r="D3261" s="35">
        <v>1441.0</v>
      </c>
      <c r="E3261" s="35">
        <v>38400.0</v>
      </c>
      <c r="F3261" s="35" t="s">
        <v>11</v>
      </c>
    </row>
    <row r="3262" ht="22.5" customHeight="1">
      <c r="A3262" s="37" t="s">
        <v>6735</v>
      </c>
      <c r="B3262" s="35" t="s">
        <v>6736</v>
      </c>
      <c r="C3262" s="35">
        <v>424.0</v>
      </c>
      <c r="D3262" s="35">
        <v>357.0</v>
      </c>
      <c r="E3262" s="35">
        <v>26090.0</v>
      </c>
      <c r="F3262" s="35" t="s">
        <v>11</v>
      </c>
    </row>
    <row r="3263" ht="22.5" customHeight="1">
      <c r="A3263" s="37" t="s">
        <v>6737</v>
      </c>
      <c r="B3263" s="35" t="s">
        <v>6738</v>
      </c>
      <c r="C3263" s="35">
        <v>53.0</v>
      </c>
      <c r="D3263" s="35">
        <v>43.0</v>
      </c>
      <c r="E3263" s="35" t="s">
        <v>11</v>
      </c>
      <c r="F3263" s="35" t="s">
        <v>11</v>
      </c>
    </row>
    <row r="3264" ht="22.5" customHeight="1">
      <c r="A3264" s="37" t="s">
        <v>6739</v>
      </c>
      <c r="B3264" s="35" t="s">
        <v>6740</v>
      </c>
      <c r="C3264" s="35">
        <v>81.0</v>
      </c>
      <c r="D3264" s="35">
        <v>85.0</v>
      </c>
      <c r="E3264" s="35" t="s">
        <v>11</v>
      </c>
      <c r="F3264" s="35" t="s">
        <v>11</v>
      </c>
    </row>
    <row r="3265" ht="22.5" customHeight="1">
      <c r="A3265" s="37" t="s">
        <v>6741</v>
      </c>
      <c r="B3265" s="35" t="s">
        <v>6742</v>
      </c>
      <c r="C3265" s="35">
        <v>557.0</v>
      </c>
      <c r="D3265" s="35">
        <v>560.0</v>
      </c>
      <c r="E3265" s="35">
        <v>23580.0</v>
      </c>
      <c r="F3265" s="35" t="s">
        <v>11</v>
      </c>
    </row>
    <row r="3266" ht="22.5" customHeight="1">
      <c r="A3266" s="37" t="s">
        <v>6743</v>
      </c>
      <c r="B3266" s="35" t="s">
        <v>6744</v>
      </c>
      <c r="C3266" s="35">
        <v>299.0</v>
      </c>
      <c r="D3266" s="35">
        <v>282.0</v>
      </c>
      <c r="E3266" s="35">
        <v>24590.0</v>
      </c>
      <c r="F3266" s="35" t="s">
        <v>11</v>
      </c>
    </row>
    <row r="3267" ht="22.5" customHeight="1">
      <c r="A3267" s="37" t="s">
        <v>6745</v>
      </c>
      <c r="B3267" s="35" t="s">
        <v>6746</v>
      </c>
      <c r="C3267" s="35">
        <v>262.0</v>
      </c>
      <c r="D3267" s="35">
        <v>241.0</v>
      </c>
      <c r="E3267" s="35">
        <v>24640.0</v>
      </c>
      <c r="F3267" s="35" t="s">
        <v>11</v>
      </c>
    </row>
    <row r="3268" ht="22.5" customHeight="1">
      <c r="A3268" s="37" t="s">
        <v>6747</v>
      </c>
      <c r="B3268" s="35" t="s">
        <v>6748</v>
      </c>
      <c r="C3268" s="35">
        <v>544.0</v>
      </c>
      <c r="D3268" s="35">
        <v>510.0</v>
      </c>
      <c r="E3268" s="35">
        <v>27840.0</v>
      </c>
      <c r="F3268" s="35" t="s">
        <v>11</v>
      </c>
    </row>
    <row r="3269" ht="22.5" customHeight="1">
      <c r="A3269" s="37" t="s">
        <v>6749</v>
      </c>
      <c r="B3269" s="35" t="s">
        <v>6750</v>
      </c>
      <c r="C3269" s="35">
        <v>133.0</v>
      </c>
      <c r="D3269" s="35">
        <v>104.0</v>
      </c>
      <c r="E3269" s="35">
        <v>22310.0</v>
      </c>
      <c r="F3269" s="35" t="s">
        <v>11</v>
      </c>
    </row>
    <row r="3270" ht="22.5" customHeight="1">
      <c r="A3270" s="37" t="s">
        <v>6751</v>
      </c>
      <c r="B3270" s="35" t="s">
        <v>6752</v>
      </c>
      <c r="C3270" s="35">
        <v>5.0</v>
      </c>
      <c r="D3270" s="35">
        <v>7.0</v>
      </c>
      <c r="E3270" s="35" t="s">
        <v>11</v>
      </c>
      <c r="F3270" s="35" t="s">
        <v>11</v>
      </c>
    </row>
    <row r="3271" ht="22.5" customHeight="1">
      <c r="A3271" s="37" t="s">
        <v>6753</v>
      </c>
      <c r="B3271" s="35" t="s">
        <v>6754</v>
      </c>
      <c r="C3271" s="35">
        <v>1145.0</v>
      </c>
      <c r="D3271" s="35">
        <v>1099.0</v>
      </c>
      <c r="E3271" s="35">
        <v>22400.0</v>
      </c>
      <c r="F3271" s="35" t="s">
        <v>11</v>
      </c>
    </row>
    <row r="3272" ht="22.5" customHeight="1">
      <c r="A3272" s="37" t="s">
        <v>6755</v>
      </c>
      <c r="B3272" s="35" t="s">
        <v>6756</v>
      </c>
      <c r="C3272" s="35">
        <v>123.0</v>
      </c>
      <c r="D3272" s="35">
        <v>129.0</v>
      </c>
      <c r="E3272" s="35">
        <v>23620.0</v>
      </c>
      <c r="F3272" s="35" t="s">
        <v>11</v>
      </c>
    </row>
    <row r="3273" ht="22.5" customHeight="1">
      <c r="A3273" s="37" t="s">
        <v>6757</v>
      </c>
      <c r="B3273" s="35" t="s">
        <v>6758</v>
      </c>
      <c r="C3273" s="35">
        <v>361.0</v>
      </c>
      <c r="D3273" s="35">
        <v>342.0</v>
      </c>
      <c r="E3273" s="35">
        <v>27180.0</v>
      </c>
      <c r="F3273" s="35" t="s">
        <v>11</v>
      </c>
    </row>
    <row r="3274" ht="22.5" customHeight="1">
      <c r="A3274" s="37" t="s">
        <v>6759</v>
      </c>
      <c r="B3274" s="35" t="s">
        <v>6760</v>
      </c>
      <c r="C3274" s="35">
        <v>1816.0</v>
      </c>
      <c r="D3274" s="35">
        <v>1704.0</v>
      </c>
      <c r="E3274" s="35">
        <v>22880.0</v>
      </c>
      <c r="F3274" s="35" t="s">
        <v>11</v>
      </c>
    </row>
    <row r="3275" ht="22.5" customHeight="1">
      <c r="A3275" s="37" t="s">
        <v>6761</v>
      </c>
      <c r="B3275" s="35" t="s">
        <v>6762</v>
      </c>
      <c r="C3275" s="35">
        <v>298.0</v>
      </c>
      <c r="D3275" s="35">
        <v>300.0</v>
      </c>
      <c r="E3275" s="35">
        <v>24910.0</v>
      </c>
      <c r="F3275" s="35" t="s">
        <v>11</v>
      </c>
    </row>
    <row r="3276" ht="22.5" customHeight="1">
      <c r="A3276" s="37" t="s">
        <v>6763</v>
      </c>
      <c r="B3276" s="35" t="s">
        <v>6764</v>
      </c>
      <c r="C3276" s="35">
        <v>296.0</v>
      </c>
      <c r="D3276" s="35">
        <v>276.0</v>
      </c>
      <c r="E3276" s="35">
        <v>27370.0</v>
      </c>
      <c r="F3276" s="35" t="s">
        <v>11</v>
      </c>
    </row>
    <row r="3277" ht="22.5" customHeight="1">
      <c r="A3277" s="37" t="s">
        <v>6765</v>
      </c>
      <c r="B3277" s="35" t="s">
        <v>6766</v>
      </c>
      <c r="C3277" s="35">
        <v>187.0</v>
      </c>
      <c r="D3277" s="35">
        <v>201.0</v>
      </c>
      <c r="E3277" s="35">
        <v>25970.0</v>
      </c>
      <c r="F3277" s="35" t="s">
        <v>11</v>
      </c>
    </row>
    <row r="3278" ht="22.5" customHeight="1">
      <c r="A3278" s="37" t="s">
        <v>6767</v>
      </c>
      <c r="B3278" s="35" t="s">
        <v>6768</v>
      </c>
      <c r="C3278" s="35">
        <v>785.0</v>
      </c>
      <c r="D3278" s="35">
        <v>751.0</v>
      </c>
      <c r="E3278" s="35">
        <v>24060.0</v>
      </c>
      <c r="F3278" s="35" t="s">
        <v>11</v>
      </c>
    </row>
    <row r="3279" ht="22.5" customHeight="1">
      <c r="A3279" s="37" t="s">
        <v>6769</v>
      </c>
      <c r="B3279" s="35" t="s">
        <v>6770</v>
      </c>
      <c r="C3279" s="35">
        <v>122.0</v>
      </c>
      <c r="D3279" s="35">
        <v>132.0</v>
      </c>
      <c r="E3279" s="35">
        <v>21770.0</v>
      </c>
      <c r="F3279" s="35" t="s">
        <v>11</v>
      </c>
    </row>
    <row r="3280" ht="22.5" customHeight="1">
      <c r="A3280" s="37" t="s">
        <v>6771</v>
      </c>
      <c r="B3280" s="35" t="s">
        <v>6772</v>
      </c>
      <c r="C3280" s="35">
        <v>180.0</v>
      </c>
      <c r="D3280" s="35">
        <v>159.0</v>
      </c>
      <c r="E3280" s="35">
        <v>26360.0</v>
      </c>
      <c r="F3280" s="35" t="s">
        <v>11</v>
      </c>
    </row>
    <row r="3281" ht="22.5" customHeight="1">
      <c r="A3281" s="37" t="s">
        <v>6773</v>
      </c>
      <c r="B3281" s="35" t="s">
        <v>6774</v>
      </c>
      <c r="C3281" s="35">
        <v>511.0</v>
      </c>
      <c r="D3281" s="35">
        <v>504.0</v>
      </c>
      <c r="E3281" s="35">
        <v>25760.0</v>
      </c>
      <c r="F3281" s="35" t="s">
        <v>11</v>
      </c>
    </row>
    <row r="3282" ht="22.5" customHeight="1">
      <c r="A3282" s="37" t="s">
        <v>6775</v>
      </c>
      <c r="B3282" s="35" t="s">
        <v>6776</v>
      </c>
      <c r="C3282" s="35">
        <v>167.0</v>
      </c>
      <c r="D3282" s="35">
        <v>159.0</v>
      </c>
      <c r="E3282" s="35">
        <v>25470.0</v>
      </c>
      <c r="F3282" s="35" t="s">
        <v>11</v>
      </c>
    </row>
    <row r="3283" ht="22.5" customHeight="1">
      <c r="A3283" s="37" t="s">
        <v>6777</v>
      </c>
      <c r="B3283" s="35" t="s">
        <v>6778</v>
      </c>
      <c r="C3283" s="35">
        <v>767.0</v>
      </c>
      <c r="D3283" s="35">
        <v>715.0</v>
      </c>
      <c r="E3283" s="35">
        <v>23880.0</v>
      </c>
      <c r="F3283" s="35" t="s">
        <v>11</v>
      </c>
    </row>
    <row r="3284" ht="22.5" customHeight="1">
      <c r="A3284" s="37" t="s">
        <v>6779</v>
      </c>
      <c r="B3284" s="35" t="s">
        <v>6780</v>
      </c>
      <c r="C3284" s="35">
        <v>262.0</v>
      </c>
      <c r="D3284" s="35">
        <v>270.0</v>
      </c>
      <c r="E3284" s="35">
        <v>28500.0</v>
      </c>
      <c r="F3284" s="35" t="s">
        <v>11</v>
      </c>
    </row>
    <row r="3285" ht="22.5" customHeight="1">
      <c r="A3285" s="37" t="s">
        <v>6781</v>
      </c>
      <c r="B3285" s="35" t="s">
        <v>6782</v>
      </c>
      <c r="C3285" s="35">
        <v>243.0</v>
      </c>
      <c r="D3285" s="35">
        <v>244.0</v>
      </c>
      <c r="E3285" s="35">
        <v>26470.0</v>
      </c>
      <c r="F3285" s="35" t="s">
        <v>11</v>
      </c>
    </row>
    <row r="3286" ht="22.5" customHeight="1">
      <c r="A3286" s="37" t="s">
        <v>6783</v>
      </c>
      <c r="B3286" s="35" t="s">
        <v>6784</v>
      </c>
      <c r="C3286" s="35">
        <v>330.0</v>
      </c>
      <c r="D3286" s="35">
        <v>379.0</v>
      </c>
      <c r="E3286" s="35">
        <v>24240.0</v>
      </c>
      <c r="F3286" s="35" t="s">
        <v>11</v>
      </c>
    </row>
    <row r="3287" ht="22.5" customHeight="1">
      <c r="A3287" s="37" t="s">
        <v>6785</v>
      </c>
      <c r="B3287" s="35" t="s">
        <v>6786</v>
      </c>
      <c r="C3287" s="35">
        <v>391.0</v>
      </c>
      <c r="D3287" s="35">
        <v>398.0</v>
      </c>
      <c r="E3287" s="35">
        <v>22130.0</v>
      </c>
      <c r="F3287" s="35" t="s">
        <v>11</v>
      </c>
    </row>
    <row r="3288" ht="22.5" customHeight="1">
      <c r="A3288" s="37" t="s">
        <v>6787</v>
      </c>
      <c r="B3288" s="35" t="s">
        <v>6788</v>
      </c>
      <c r="C3288" s="35">
        <v>270.0</v>
      </c>
      <c r="D3288" s="35">
        <v>287.0</v>
      </c>
      <c r="E3288" s="35">
        <v>31750.0</v>
      </c>
      <c r="F3288" s="35" t="s">
        <v>11</v>
      </c>
    </row>
    <row r="3289" ht="22.5" customHeight="1">
      <c r="A3289" s="37" t="s">
        <v>6789</v>
      </c>
      <c r="B3289" s="35" t="s">
        <v>6790</v>
      </c>
      <c r="C3289" s="35">
        <v>136.0</v>
      </c>
      <c r="D3289" s="35">
        <v>126.0</v>
      </c>
      <c r="E3289" s="35">
        <v>27540.0</v>
      </c>
      <c r="F3289" s="35" t="s">
        <v>11</v>
      </c>
    </row>
    <row r="3290" ht="22.5" customHeight="1">
      <c r="A3290" s="37" t="s">
        <v>6791</v>
      </c>
      <c r="B3290" s="35" t="s">
        <v>6792</v>
      </c>
      <c r="C3290" s="35">
        <v>378.0</v>
      </c>
      <c r="D3290" s="35">
        <v>348.0</v>
      </c>
      <c r="E3290" s="35">
        <v>28130.0</v>
      </c>
      <c r="F3290" s="35" t="s">
        <v>11</v>
      </c>
    </row>
    <row r="3291" ht="22.5" customHeight="1">
      <c r="A3291" s="37" t="s">
        <v>6793</v>
      </c>
      <c r="B3291" s="35" t="s">
        <v>5100</v>
      </c>
      <c r="C3291" s="35">
        <v>168.0</v>
      </c>
      <c r="D3291" s="35">
        <v>166.0</v>
      </c>
      <c r="E3291" s="35">
        <v>22580.0</v>
      </c>
      <c r="F3291" s="35" t="s">
        <v>11</v>
      </c>
    </row>
    <row r="3292" ht="22.5" customHeight="1">
      <c r="A3292" s="37" t="s">
        <v>6794</v>
      </c>
      <c r="B3292" s="35" t="s">
        <v>6795</v>
      </c>
      <c r="C3292" s="35">
        <v>592.0</v>
      </c>
      <c r="D3292" s="35">
        <v>589.0</v>
      </c>
      <c r="E3292" s="35">
        <v>25070.0</v>
      </c>
      <c r="F3292" s="35" t="s">
        <v>11</v>
      </c>
    </row>
    <row r="3293" ht="22.5" customHeight="1">
      <c r="A3293" s="37" t="s">
        <v>6796</v>
      </c>
      <c r="B3293" s="35" t="s">
        <v>6797</v>
      </c>
      <c r="C3293" s="35">
        <v>1194.0</v>
      </c>
      <c r="D3293" s="35">
        <v>1128.0</v>
      </c>
      <c r="E3293" s="35">
        <v>21430.0</v>
      </c>
      <c r="F3293" s="35" t="s">
        <v>11</v>
      </c>
    </row>
    <row r="3294" ht="22.5" customHeight="1">
      <c r="A3294" s="37" t="s">
        <v>6798</v>
      </c>
      <c r="B3294" s="35" t="s">
        <v>6799</v>
      </c>
      <c r="C3294" s="35">
        <v>44.0</v>
      </c>
      <c r="D3294" s="35">
        <v>42.0</v>
      </c>
      <c r="E3294" s="35" t="s">
        <v>11</v>
      </c>
      <c r="F3294" s="35" t="s">
        <v>11</v>
      </c>
    </row>
    <row r="3295" ht="22.5" customHeight="1">
      <c r="A3295" s="37" t="s">
        <v>6800</v>
      </c>
      <c r="B3295" s="35" t="s">
        <v>6801</v>
      </c>
      <c r="C3295" s="35">
        <v>531.0</v>
      </c>
      <c r="D3295" s="35">
        <v>510.0</v>
      </c>
      <c r="E3295" s="35">
        <v>24740.0</v>
      </c>
      <c r="F3295" s="35" t="s">
        <v>11</v>
      </c>
    </row>
    <row r="3296" ht="22.5" customHeight="1">
      <c r="A3296" s="37" t="s">
        <v>6802</v>
      </c>
      <c r="B3296" s="35" t="s">
        <v>6803</v>
      </c>
      <c r="C3296" s="35">
        <v>231.0</v>
      </c>
      <c r="D3296" s="35">
        <v>204.0</v>
      </c>
      <c r="E3296" s="35">
        <v>24180.0</v>
      </c>
      <c r="F3296" s="35" t="s">
        <v>11</v>
      </c>
    </row>
    <row r="3297" ht="22.5" customHeight="1">
      <c r="A3297" s="37" t="s">
        <v>6804</v>
      </c>
      <c r="B3297" s="35" t="s">
        <v>6805</v>
      </c>
      <c r="C3297" s="35">
        <v>150.0</v>
      </c>
      <c r="D3297" s="35">
        <v>163.0</v>
      </c>
      <c r="E3297" s="35">
        <v>25430.0</v>
      </c>
      <c r="F3297" s="35" t="s">
        <v>11</v>
      </c>
    </row>
    <row r="3298" ht="22.5" customHeight="1">
      <c r="A3298" s="37" t="s">
        <v>6806</v>
      </c>
      <c r="B3298" s="35" t="s">
        <v>5106</v>
      </c>
      <c r="C3298" s="35">
        <v>266.0</v>
      </c>
      <c r="D3298" s="35">
        <v>270.0</v>
      </c>
      <c r="E3298" s="35">
        <v>26340.0</v>
      </c>
      <c r="F3298" s="35" t="s">
        <v>11</v>
      </c>
    </row>
    <row r="3299" ht="22.5" customHeight="1">
      <c r="A3299" s="37" t="s">
        <v>6807</v>
      </c>
      <c r="B3299" s="35" t="s">
        <v>829</v>
      </c>
      <c r="C3299" s="35">
        <v>161.0</v>
      </c>
      <c r="D3299" s="35">
        <v>171.0</v>
      </c>
      <c r="E3299" s="35">
        <v>26480.0</v>
      </c>
      <c r="F3299" s="35" t="s">
        <v>11</v>
      </c>
    </row>
    <row r="3300" ht="22.5" customHeight="1">
      <c r="A3300" s="37" t="s">
        <v>6808</v>
      </c>
      <c r="B3300" s="35" t="s">
        <v>6809</v>
      </c>
      <c r="C3300" s="35">
        <v>462.0</v>
      </c>
      <c r="D3300" s="35">
        <v>453.0</v>
      </c>
      <c r="E3300" s="35">
        <v>25780.0</v>
      </c>
      <c r="F3300" s="35" t="s">
        <v>11</v>
      </c>
    </row>
    <row r="3301" ht="22.5" customHeight="1">
      <c r="A3301" s="37" t="s">
        <v>6810</v>
      </c>
      <c r="B3301" s="35" t="s">
        <v>6811</v>
      </c>
      <c r="C3301" s="35">
        <v>103.0</v>
      </c>
      <c r="D3301" s="35">
        <v>91.0</v>
      </c>
      <c r="E3301" s="35">
        <v>23850.0</v>
      </c>
      <c r="F3301" s="35" t="s">
        <v>11</v>
      </c>
    </row>
    <row r="3302" ht="22.5" customHeight="1">
      <c r="A3302" s="37" t="s">
        <v>6812</v>
      </c>
      <c r="B3302" s="35" t="s">
        <v>3583</v>
      </c>
      <c r="C3302" s="35">
        <v>477.0</v>
      </c>
      <c r="D3302" s="35">
        <v>496.0</v>
      </c>
      <c r="E3302" s="35">
        <v>31800.0</v>
      </c>
      <c r="F3302" s="35" t="s">
        <v>11</v>
      </c>
    </row>
    <row r="3303" ht="22.5" customHeight="1">
      <c r="A3303" s="37" t="s">
        <v>6813</v>
      </c>
      <c r="B3303" s="35" t="s">
        <v>6814</v>
      </c>
      <c r="C3303" s="35">
        <v>138.0</v>
      </c>
      <c r="D3303" s="35">
        <v>136.0</v>
      </c>
      <c r="E3303" s="35">
        <v>24000.0</v>
      </c>
      <c r="F3303" s="35" t="s">
        <v>11</v>
      </c>
    </row>
    <row r="3304" ht="22.5" customHeight="1">
      <c r="A3304" s="37" t="s">
        <v>6815</v>
      </c>
      <c r="B3304" s="35" t="s">
        <v>6816</v>
      </c>
      <c r="C3304" s="35">
        <v>147.0</v>
      </c>
      <c r="D3304" s="35">
        <v>155.0</v>
      </c>
      <c r="E3304" s="35">
        <v>23270.0</v>
      </c>
      <c r="F3304" s="35" t="s">
        <v>11</v>
      </c>
    </row>
    <row r="3305" ht="22.5" customHeight="1">
      <c r="A3305" s="37" t="s">
        <v>6817</v>
      </c>
      <c r="B3305" s="35" t="s">
        <v>6818</v>
      </c>
      <c r="C3305" s="35">
        <v>2570.0</v>
      </c>
      <c r="D3305" s="35">
        <v>2414.0</v>
      </c>
      <c r="E3305" s="35">
        <v>22930.0</v>
      </c>
      <c r="F3305" s="35">
        <v>16.0</v>
      </c>
    </row>
    <row r="3306" ht="22.5" customHeight="1">
      <c r="A3306" s="37" t="s">
        <v>6819</v>
      </c>
      <c r="B3306" s="35" t="s">
        <v>6820</v>
      </c>
      <c r="C3306" s="35">
        <v>686.0</v>
      </c>
      <c r="D3306" s="35">
        <v>663.0</v>
      </c>
      <c r="E3306" s="35">
        <v>23910.0</v>
      </c>
      <c r="F3306" s="35" t="s">
        <v>11</v>
      </c>
    </row>
    <row r="3307" ht="22.5" customHeight="1">
      <c r="A3307" s="37" t="s">
        <v>6821</v>
      </c>
      <c r="B3307" s="35" t="s">
        <v>6822</v>
      </c>
      <c r="C3307" s="35">
        <v>154.0</v>
      </c>
      <c r="D3307" s="35">
        <v>142.0</v>
      </c>
      <c r="E3307" s="35">
        <v>28050.0</v>
      </c>
      <c r="F3307" s="35" t="s">
        <v>11</v>
      </c>
    </row>
    <row r="3308" ht="22.5" customHeight="1">
      <c r="A3308" s="37" t="s">
        <v>6823</v>
      </c>
      <c r="B3308" s="35" t="s">
        <v>6824</v>
      </c>
      <c r="C3308" s="35">
        <v>277.0</v>
      </c>
      <c r="D3308" s="35">
        <v>278.0</v>
      </c>
      <c r="E3308" s="35">
        <v>24370.0</v>
      </c>
      <c r="F3308" s="35" t="s">
        <v>11</v>
      </c>
    </row>
    <row r="3309" ht="22.5" customHeight="1">
      <c r="A3309" s="37" t="s">
        <v>6825</v>
      </c>
      <c r="B3309" s="35" t="s">
        <v>6826</v>
      </c>
      <c r="C3309" s="35">
        <v>291.0</v>
      </c>
      <c r="D3309" s="35">
        <v>299.0</v>
      </c>
      <c r="E3309" s="35">
        <v>25530.0</v>
      </c>
      <c r="F3309" s="35" t="s">
        <v>11</v>
      </c>
    </row>
    <row r="3310" ht="22.5" customHeight="1">
      <c r="A3310" s="37" t="s">
        <v>6827</v>
      </c>
      <c r="B3310" s="35" t="s">
        <v>5136</v>
      </c>
      <c r="C3310" s="35">
        <v>195.0</v>
      </c>
      <c r="D3310" s="35">
        <v>190.0</v>
      </c>
      <c r="E3310" s="35">
        <v>25010.0</v>
      </c>
      <c r="F3310" s="35" t="s">
        <v>11</v>
      </c>
    </row>
    <row r="3311" ht="22.5" customHeight="1">
      <c r="A3311" s="37" t="s">
        <v>6828</v>
      </c>
      <c r="B3311" s="35" t="s">
        <v>6829</v>
      </c>
      <c r="C3311" s="35">
        <v>506.0</v>
      </c>
      <c r="D3311" s="35">
        <v>531.0</v>
      </c>
      <c r="E3311" s="35">
        <v>29880.0</v>
      </c>
      <c r="F3311" s="35" t="s">
        <v>11</v>
      </c>
    </row>
    <row r="3312" ht="22.5" customHeight="1">
      <c r="A3312" s="37" t="s">
        <v>6830</v>
      </c>
      <c r="B3312" s="35" t="s">
        <v>6831</v>
      </c>
      <c r="C3312" s="35">
        <v>2063.0</v>
      </c>
      <c r="D3312" s="35">
        <v>1937.0</v>
      </c>
      <c r="E3312" s="35">
        <v>26460.0</v>
      </c>
      <c r="F3312" s="35" t="s">
        <v>11</v>
      </c>
    </row>
    <row r="3313" ht="22.5" customHeight="1">
      <c r="A3313" s="37" t="s">
        <v>6832</v>
      </c>
      <c r="B3313" s="35" t="s">
        <v>853</v>
      </c>
      <c r="C3313" s="35">
        <v>223.0</v>
      </c>
      <c r="D3313" s="35">
        <v>206.0</v>
      </c>
      <c r="E3313" s="35">
        <v>26200.0</v>
      </c>
      <c r="F3313" s="35" t="s">
        <v>11</v>
      </c>
    </row>
    <row r="3314" ht="22.5" customHeight="1">
      <c r="A3314" s="37" t="s">
        <v>6833</v>
      </c>
      <c r="B3314" s="35" t="s">
        <v>6834</v>
      </c>
      <c r="C3314" s="35">
        <v>3173.0</v>
      </c>
      <c r="D3314" s="35">
        <v>3221.0</v>
      </c>
      <c r="E3314" s="35">
        <v>21580.0</v>
      </c>
      <c r="F3314" s="35">
        <v>20.0</v>
      </c>
    </row>
    <row r="3315" ht="22.5" customHeight="1">
      <c r="A3315" s="37" t="s">
        <v>6835</v>
      </c>
      <c r="B3315" s="35" t="s">
        <v>6836</v>
      </c>
      <c r="C3315" s="35">
        <v>332.0</v>
      </c>
      <c r="D3315" s="35">
        <v>320.0</v>
      </c>
      <c r="E3315" s="35">
        <v>29260.0</v>
      </c>
      <c r="F3315" s="35" t="s">
        <v>11</v>
      </c>
    </row>
    <row r="3316" ht="22.5" customHeight="1">
      <c r="A3316" s="37" t="s">
        <v>6837</v>
      </c>
      <c r="B3316" s="35" t="s">
        <v>6838</v>
      </c>
      <c r="C3316" s="35">
        <v>146.0</v>
      </c>
      <c r="D3316" s="35">
        <v>152.0</v>
      </c>
      <c r="E3316" s="35">
        <v>26960.0</v>
      </c>
      <c r="F3316" s="35" t="s">
        <v>11</v>
      </c>
    </row>
    <row r="3317" ht="22.5" customHeight="1">
      <c r="A3317" s="37" t="s">
        <v>6839</v>
      </c>
      <c r="B3317" s="35" t="s">
        <v>6840</v>
      </c>
      <c r="C3317" s="35">
        <v>146.0</v>
      </c>
      <c r="D3317" s="35">
        <v>154.0</v>
      </c>
      <c r="E3317" s="35">
        <v>26710.0</v>
      </c>
      <c r="F3317" s="35" t="s">
        <v>11</v>
      </c>
    </row>
    <row r="3318" ht="22.5" customHeight="1">
      <c r="A3318" s="37" t="s">
        <v>6841</v>
      </c>
      <c r="B3318" s="35" t="s">
        <v>6842</v>
      </c>
      <c r="C3318" s="35">
        <v>164.0</v>
      </c>
      <c r="D3318" s="35">
        <v>168.0</v>
      </c>
      <c r="E3318" s="35">
        <v>20870.0</v>
      </c>
      <c r="F3318" s="35" t="s">
        <v>11</v>
      </c>
    </row>
    <row r="3319" ht="22.5" customHeight="1">
      <c r="A3319" s="37" t="s">
        <v>6843</v>
      </c>
      <c r="B3319" s="35" t="s">
        <v>6844</v>
      </c>
      <c r="C3319" s="35">
        <v>154.0</v>
      </c>
      <c r="D3319" s="35">
        <v>143.0</v>
      </c>
      <c r="E3319" s="35">
        <v>26630.0</v>
      </c>
      <c r="F3319" s="35" t="s">
        <v>11</v>
      </c>
    </row>
    <row r="3320" ht="22.5" customHeight="1">
      <c r="A3320" s="37" t="s">
        <v>6845</v>
      </c>
      <c r="B3320" s="35" t="s">
        <v>6846</v>
      </c>
      <c r="C3320" s="35">
        <v>51.0</v>
      </c>
      <c r="D3320" s="35">
        <v>54.0</v>
      </c>
      <c r="E3320" s="35" t="s">
        <v>11</v>
      </c>
      <c r="F3320" s="35" t="s">
        <v>11</v>
      </c>
    </row>
    <row r="3321" ht="22.5" customHeight="1">
      <c r="A3321" s="37" t="s">
        <v>6847</v>
      </c>
      <c r="B3321" s="35" t="s">
        <v>6848</v>
      </c>
      <c r="C3321" s="35">
        <v>108.0</v>
      </c>
      <c r="D3321" s="35">
        <v>97.0</v>
      </c>
      <c r="E3321" s="35" t="s">
        <v>11</v>
      </c>
      <c r="F3321" s="35" t="s">
        <v>11</v>
      </c>
    </row>
    <row r="3322" ht="22.5" customHeight="1">
      <c r="A3322" s="37" t="s">
        <v>6849</v>
      </c>
      <c r="B3322" s="35" t="s">
        <v>6850</v>
      </c>
      <c r="C3322" s="35">
        <v>161.0</v>
      </c>
      <c r="D3322" s="35">
        <v>162.0</v>
      </c>
      <c r="E3322" s="35">
        <v>26980.0</v>
      </c>
      <c r="F3322" s="35" t="s">
        <v>11</v>
      </c>
    </row>
    <row r="3323" ht="22.5" customHeight="1">
      <c r="A3323" s="37" t="s">
        <v>6851</v>
      </c>
      <c r="B3323" s="35" t="s">
        <v>6852</v>
      </c>
      <c r="C3323" s="35">
        <v>518.0</v>
      </c>
      <c r="D3323" s="35">
        <v>502.0</v>
      </c>
      <c r="E3323" s="35">
        <v>23590.0</v>
      </c>
      <c r="F3323" s="35" t="s">
        <v>11</v>
      </c>
    </row>
    <row r="3324" ht="22.5" customHeight="1">
      <c r="A3324" s="37" t="s">
        <v>6853</v>
      </c>
      <c r="B3324" s="35" t="s">
        <v>6854</v>
      </c>
      <c r="C3324" s="35">
        <v>175.0</v>
      </c>
      <c r="D3324" s="35">
        <v>163.0</v>
      </c>
      <c r="E3324" s="35">
        <v>25700.0</v>
      </c>
      <c r="F3324" s="35" t="s">
        <v>11</v>
      </c>
    </row>
    <row r="3325" ht="22.5" customHeight="1">
      <c r="A3325" s="37" t="s">
        <v>6855</v>
      </c>
      <c r="B3325" s="35" t="s">
        <v>6856</v>
      </c>
      <c r="C3325" s="35">
        <v>238.0</v>
      </c>
      <c r="D3325" s="35">
        <v>226.0</v>
      </c>
      <c r="E3325" s="35">
        <v>24870.0</v>
      </c>
      <c r="F3325" s="35" t="s">
        <v>11</v>
      </c>
    </row>
    <row r="3326" ht="22.5" customHeight="1">
      <c r="A3326" s="37" t="s">
        <v>6857</v>
      </c>
      <c r="B3326" s="35" t="s">
        <v>6858</v>
      </c>
      <c r="C3326" s="35">
        <v>301.0</v>
      </c>
      <c r="D3326" s="35">
        <v>314.0</v>
      </c>
      <c r="E3326" s="35">
        <v>25420.0</v>
      </c>
      <c r="F3326" s="35" t="s">
        <v>11</v>
      </c>
    </row>
    <row r="3327" ht="22.5" customHeight="1">
      <c r="A3327" s="37" t="s">
        <v>6859</v>
      </c>
      <c r="B3327" s="35" t="s">
        <v>6860</v>
      </c>
      <c r="C3327" s="35">
        <v>399.0</v>
      </c>
      <c r="D3327" s="35">
        <v>382.0</v>
      </c>
      <c r="E3327" s="35">
        <v>24450.0</v>
      </c>
      <c r="F3327" s="35" t="s">
        <v>11</v>
      </c>
    </row>
    <row r="3328" ht="22.5" customHeight="1">
      <c r="A3328" s="37" t="s">
        <v>6861</v>
      </c>
      <c r="B3328" s="35" t="s">
        <v>6862</v>
      </c>
      <c r="C3328" s="35">
        <v>1259.0</v>
      </c>
      <c r="D3328" s="35">
        <v>1363.0</v>
      </c>
      <c r="E3328" s="35">
        <v>25320.0</v>
      </c>
      <c r="F3328" s="35" t="s">
        <v>11</v>
      </c>
    </row>
    <row r="3329" ht="22.5" customHeight="1">
      <c r="A3329" s="37" t="s">
        <v>6863</v>
      </c>
      <c r="B3329" s="35" t="s">
        <v>6864</v>
      </c>
      <c r="C3329" s="35">
        <v>93.0</v>
      </c>
      <c r="D3329" s="35">
        <v>100.0</v>
      </c>
      <c r="E3329" s="35" t="s">
        <v>11</v>
      </c>
      <c r="F3329" s="35" t="s">
        <v>11</v>
      </c>
    </row>
    <row r="3330" ht="22.5" customHeight="1">
      <c r="A3330" s="37" t="s">
        <v>6865</v>
      </c>
      <c r="B3330" s="35" t="s">
        <v>6866</v>
      </c>
      <c r="C3330" s="35">
        <v>268.0</v>
      </c>
      <c r="D3330" s="35">
        <v>235.0</v>
      </c>
      <c r="E3330" s="35">
        <v>26160.0</v>
      </c>
      <c r="F3330" s="35" t="s">
        <v>11</v>
      </c>
    </row>
    <row r="3331" ht="22.5" customHeight="1">
      <c r="A3331" s="37" t="s">
        <v>6867</v>
      </c>
      <c r="B3331" s="35" t="s">
        <v>6868</v>
      </c>
      <c r="C3331" s="35">
        <v>80.0</v>
      </c>
      <c r="D3331" s="35">
        <v>79.0</v>
      </c>
      <c r="E3331" s="35" t="s">
        <v>11</v>
      </c>
      <c r="F3331" s="35" t="s">
        <v>11</v>
      </c>
    </row>
    <row r="3332" ht="22.5" customHeight="1">
      <c r="A3332" s="37" t="s">
        <v>6869</v>
      </c>
      <c r="B3332" s="35" t="s">
        <v>6870</v>
      </c>
      <c r="C3332" s="35">
        <v>208.0</v>
      </c>
      <c r="D3332" s="35">
        <v>216.0</v>
      </c>
      <c r="E3332" s="35">
        <v>28070.0</v>
      </c>
      <c r="F3332" s="35" t="s">
        <v>11</v>
      </c>
    </row>
    <row r="3333" ht="22.5" customHeight="1">
      <c r="A3333" s="37" t="s">
        <v>6871</v>
      </c>
      <c r="B3333" s="35" t="s">
        <v>3612</v>
      </c>
      <c r="C3333" s="35">
        <v>1837.0</v>
      </c>
      <c r="D3333" s="35">
        <v>1723.0</v>
      </c>
      <c r="E3333" s="35">
        <v>26060.0</v>
      </c>
      <c r="F3333" s="35" t="s">
        <v>11</v>
      </c>
    </row>
    <row r="3334" ht="22.5" customHeight="1">
      <c r="A3334" s="37" t="s">
        <v>6872</v>
      </c>
      <c r="B3334" s="35" t="s">
        <v>6873</v>
      </c>
      <c r="C3334" s="35">
        <v>158.0</v>
      </c>
      <c r="D3334" s="35">
        <v>154.0</v>
      </c>
      <c r="E3334" s="35">
        <v>24660.0</v>
      </c>
      <c r="F3334" s="35" t="s">
        <v>11</v>
      </c>
    </row>
    <row r="3335" ht="22.5" customHeight="1">
      <c r="A3335" s="37" t="s">
        <v>6874</v>
      </c>
      <c r="B3335" s="35" t="s">
        <v>6875</v>
      </c>
      <c r="C3335" s="35">
        <v>193.0</v>
      </c>
      <c r="D3335" s="35">
        <v>181.0</v>
      </c>
      <c r="E3335" s="35">
        <v>24170.0</v>
      </c>
      <c r="F3335" s="35" t="s">
        <v>11</v>
      </c>
    </row>
    <row r="3336" ht="22.5" customHeight="1">
      <c r="A3336" s="37" t="s">
        <v>6876</v>
      </c>
      <c r="B3336" s="35" t="s">
        <v>6877</v>
      </c>
      <c r="C3336" s="35">
        <v>417.0</v>
      </c>
      <c r="D3336" s="35">
        <v>380.0</v>
      </c>
      <c r="E3336" s="35">
        <v>27750.0</v>
      </c>
      <c r="F3336" s="35" t="s">
        <v>11</v>
      </c>
    </row>
    <row r="3337" ht="22.5" customHeight="1">
      <c r="A3337" s="37" t="s">
        <v>6878</v>
      </c>
      <c r="B3337" s="35" t="s">
        <v>6879</v>
      </c>
      <c r="C3337" s="35">
        <v>461.0</v>
      </c>
      <c r="D3337" s="35">
        <v>443.0</v>
      </c>
      <c r="E3337" s="35">
        <v>26380.0</v>
      </c>
      <c r="F3337" s="35" t="s">
        <v>11</v>
      </c>
    </row>
    <row r="3338" ht="22.5" customHeight="1">
      <c r="A3338" s="37" t="s">
        <v>6880</v>
      </c>
      <c r="B3338" s="35" t="s">
        <v>6881</v>
      </c>
      <c r="C3338" s="35">
        <v>176.0</v>
      </c>
      <c r="D3338" s="35">
        <v>151.0</v>
      </c>
      <c r="E3338" s="35">
        <v>24880.0</v>
      </c>
      <c r="F3338" s="35" t="s">
        <v>11</v>
      </c>
    </row>
    <row r="3339" ht="22.5" customHeight="1">
      <c r="A3339" s="37" t="s">
        <v>6882</v>
      </c>
      <c r="B3339" s="35" t="s">
        <v>3624</v>
      </c>
      <c r="C3339" s="35">
        <v>194.0</v>
      </c>
      <c r="D3339" s="35">
        <v>176.0</v>
      </c>
      <c r="E3339" s="35">
        <v>27190.0</v>
      </c>
      <c r="F3339" s="35" t="s">
        <v>11</v>
      </c>
    </row>
    <row r="3340" ht="22.5" customHeight="1">
      <c r="A3340" s="37" t="s">
        <v>6883</v>
      </c>
      <c r="B3340" s="35" t="s">
        <v>6884</v>
      </c>
      <c r="C3340" s="35">
        <v>552.0</v>
      </c>
      <c r="D3340" s="35">
        <v>501.0</v>
      </c>
      <c r="E3340" s="35">
        <v>23950.0</v>
      </c>
      <c r="F3340" s="35" t="s">
        <v>11</v>
      </c>
    </row>
    <row r="3341" ht="22.5" customHeight="1">
      <c r="A3341" s="37" t="s">
        <v>6885</v>
      </c>
      <c r="B3341" s="35" t="s">
        <v>881</v>
      </c>
      <c r="C3341" s="35">
        <v>177.0</v>
      </c>
      <c r="D3341" s="35">
        <v>163.0</v>
      </c>
      <c r="E3341" s="35">
        <v>24660.0</v>
      </c>
      <c r="F3341" s="35" t="s">
        <v>11</v>
      </c>
    </row>
    <row r="3342" ht="22.5" customHeight="1">
      <c r="A3342" s="37" t="s">
        <v>6886</v>
      </c>
      <c r="B3342" s="35" t="s">
        <v>6887</v>
      </c>
      <c r="C3342" s="35">
        <v>151.0</v>
      </c>
      <c r="D3342" s="35">
        <v>163.0</v>
      </c>
      <c r="E3342" s="35">
        <v>24880.0</v>
      </c>
      <c r="F3342" s="35" t="s">
        <v>11</v>
      </c>
    </row>
    <row r="3343" ht="22.5" customHeight="1">
      <c r="A3343" s="37" t="s">
        <v>6888</v>
      </c>
      <c r="B3343" s="35" t="s">
        <v>6889</v>
      </c>
      <c r="C3343" s="35">
        <v>176.0</v>
      </c>
      <c r="D3343" s="35">
        <v>193.0</v>
      </c>
      <c r="E3343" s="35">
        <v>23890.0</v>
      </c>
      <c r="F3343" s="35" t="s">
        <v>11</v>
      </c>
    </row>
    <row r="3344" ht="22.5" customHeight="1">
      <c r="A3344" s="37" t="s">
        <v>6890</v>
      </c>
      <c r="B3344" s="35" t="s">
        <v>6891</v>
      </c>
      <c r="C3344" s="35">
        <v>133.0</v>
      </c>
      <c r="D3344" s="35">
        <v>125.0</v>
      </c>
      <c r="E3344" s="35">
        <v>27020.0</v>
      </c>
      <c r="F3344" s="35" t="s">
        <v>11</v>
      </c>
    </row>
    <row r="3345" ht="22.5" customHeight="1">
      <c r="A3345" s="37" t="s">
        <v>6892</v>
      </c>
      <c r="B3345" s="35" t="s">
        <v>6893</v>
      </c>
      <c r="C3345" s="35">
        <v>513.0</v>
      </c>
      <c r="D3345" s="35">
        <v>558.0</v>
      </c>
      <c r="E3345" s="35">
        <v>26660.0</v>
      </c>
      <c r="F3345" s="35" t="s">
        <v>11</v>
      </c>
    </row>
    <row r="3346" ht="22.5" customHeight="1">
      <c r="A3346" s="37" t="s">
        <v>6894</v>
      </c>
      <c r="B3346" s="35" t="s">
        <v>6895</v>
      </c>
      <c r="C3346" s="35">
        <v>263.0</v>
      </c>
      <c r="D3346" s="35">
        <v>250.0</v>
      </c>
      <c r="E3346" s="35">
        <v>27270.0</v>
      </c>
      <c r="F3346" s="35" t="s">
        <v>11</v>
      </c>
    </row>
    <row r="3347" ht="22.5" customHeight="1">
      <c r="A3347" s="37" t="s">
        <v>6896</v>
      </c>
      <c r="B3347" s="35" t="s">
        <v>6897</v>
      </c>
      <c r="C3347" s="35">
        <v>154.0</v>
      </c>
      <c r="D3347" s="35">
        <v>166.0</v>
      </c>
      <c r="E3347" s="35">
        <v>25360.0</v>
      </c>
      <c r="F3347" s="35" t="s">
        <v>11</v>
      </c>
    </row>
    <row r="3348" ht="22.5" customHeight="1">
      <c r="A3348" s="37" t="s">
        <v>6898</v>
      </c>
      <c r="B3348" s="35" t="s">
        <v>6899</v>
      </c>
      <c r="C3348" s="35">
        <v>139.0</v>
      </c>
      <c r="D3348" s="35">
        <v>158.0</v>
      </c>
      <c r="E3348" s="35">
        <v>24240.0</v>
      </c>
      <c r="F3348" s="35" t="s">
        <v>11</v>
      </c>
    </row>
    <row r="3349" ht="22.5" customHeight="1">
      <c r="A3349" s="37" t="s">
        <v>6900</v>
      </c>
      <c r="B3349" s="35" t="s">
        <v>6901</v>
      </c>
      <c r="C3349" s="35">
        <v>203.0</v>
      </c>
      <c r="D3349" s="35">
        <v>211.0</v>
      </c>
      <c r="E3349" s="35">
        <v>23570.0</v>
      </c>
      <c r="F3349" s="35" t="s">
        <v>11</v>
      </c>
    </row>
    <row r="3350" ht="22.5" customHeight="1">
      <c r="A3350" s="37" t="s">
        <v>6902</v>
      </c>
      <c r="B3350" s="35" t="s">
        <v>6903</v>
      </c>
      <c r="C3350" s="35">
        <v>105.0</v>
      </c>
      <c r="D3350" s="35">
        <v>104.0</v>
      </c>
      <c r="E3350" s="35">
        <v>22650.0</v>
      </c>
      <c r="F3350" s="35" t="s">
        <v>11</v>
      </c>
    </row>
    <row r="3351" ht="22.5" customHeight="1">
      <c r="A3351" s="37" t="s">
        <v>6904</v>
      </c>
      <c r="B3351" s="35" t="s">
        <v>6905</v>
      </c>
      <c r="C3351" s="35">
        <v>86.0</v>
      </c>
      <c r="D3351" s="35">
        <v>96.0</v>
      </c>
      <c r="E3351" s="35" t="s">
        <v>11</v>
      </c>
      <c r="F3351" s="35" t="s">
        <v>11</v>
      </c>
    </row>
    <row r="3352" ht="22.5" customHeight="1">
      <c r="A3352" s="37" t="s">
        <v>6906</v>
      </c>
      <c r="B3352" s="35" t="s">
        <v>6907</v>
      </c>
      <c r="C3352" s="35">
        <v>243.0</v>
      </c>
      <c r="D3352" s="35">
        <v>223.0</v>
      </c>
      <c r="E3352" s="35">
        <v>27190.0</v>
      </c>
      <c r="F3352" s="35" t="s">
        <v>11</v>
      </c>
    </row>
    <row r="3353" ht="22.5" customHeight="1">
      <c r="A3353" s="37" t="s">
        <v>6908</v>
      </c>
      <c r="B3353" s="35" t="s">
        <v>6909</v>
      </c>
      <c r="C3353" s="35">
        <v>148.0</v>
      </c>
      <c r="D3353" s="35">
        <v>138.0</v>
      </c>
      <c r="E3353" s="35">
        <v>26750.0</v>
      </c>
      <c r="F3353" s="35" t="s">
        <v>11</v>
      </c>
    </row>
    <row r="3354" ht="22.5" customHeight="1">
      <c r="A3354" s="37" t="s">
        <v>6910</v>
      </c>
      <c r="B3354" s="35" t="s">
        <v>6911</v>
      </c>
      <c r="C3354" s="35">
        <v>293.0</v>
      </c>
      <c r="D3354" s="35">
        <v>286.0</v>
      </c>
      <c r="E3354" s="35">
        <v>26090.0</v>
      </c>
      <c r="F3354" s="35" t="s">
        <v>11</v>
      </c>
    </row>
    <row r="3355" ht="22.5" customHeight="1">
      <c r="A3355" s="37" t="s">
        <v>6912</v>
      </c>
      <c r="B3355" s="35" t="s">
        <v>6913</v>
      </c>
      <c r="C3355" s="35">
        <v>2207.0</v>
      </c>
      <c r="D3355" s="35">
        <v>2045.0</v>
      </c>
      <c r="E3355" s="35">
        <v>22920.0</v>
      </c>
      <c r="F3355" s="35" t="s">
        <v>11</v>
      </c>
    </row>
    <row r="3356" ht="22.5" customHeight="1">
      <c r="A3356" s="37" t="s">
        <v>6914</v>
      </c>
      <c r="B3356" s="35" t="s">
        <v>6915</v>
      </c>
      <c r="C3356" s="35">
        <v>74.0</v>
      </c>
      <c r="D3356" s="35">
        <v>69.0</v>
      </c>
      <c r="E3356" s="35" t="s">
        <v>11</v>
      </c>
      <c r="F3356" s="35" t="s">
        <v>11</v>
      </c>
    </row>
    <row r="3357" ht="22.5" customHeight="1">
      <c r="A3357" s="37" t="s">
        <v>6916</v>
      </c>
      <c r="B3357" s="35" t="s">
        <v>6917</v>
      </c>
      <c r="C3357" s="35">
        <v>324.0</v>
      </c>
      <c r="D3357" s="35">
        <v>296.0</v>
      </c>
      <c r="E3357" s="35">
        <v>26100.0</v>
      </c>
      <c r="F3357" s="35" t="s">
        <v>11</v>
      </c>
    </row>
    <row r="3358" ht="22.5" customHeight="1">
      <c r="A3358" s="37" t="s">
        <v>6918</v>
      </c>
      <c r="B3358" s="35" t="s">
        <v>6919</v>
      </c>
      <c r="C3358" s="35">
        <v>742.0</v>
      </c>
      <c r="D3358" s="35">
        <v>695.0</v>
      </c>
      <c r="E3358" s="35">
        <v>26260.0</v>
      </c>
      <c r="F3358" s="35" t="s">
        <v>11</v>
      </c>
    </row>
    <row r="3359" ht="22.5" customHeight="1">
      <c r="A3359" s="37" t="s">
        <v>6920</v>
      </c>
      <c r="B3359" s="35" t="s">
        <v>6921</v>
      </c>
      <c r="C3359" s="35">
        <v>176.0</v>
      </c>
      <c r="D3359" s="35">
        <v>177.0</v>
      </c>
      <c r="E3359" s="35">
        <v>25660.0</v>
      </c>
      <c r="F3359" s="35" t="s">
        <v>11</v>
      </c>
    </row>
    <row r="3360" ht="22.5" customHeight="1">
      <c r="A3360" s="37" t="s">
        <v>6922</v>
      </c>
      <c r="B3360" s="35" t="s">
        <v>6923</v>
      </c>
      <c r="C3360" s="35">
        <v>490.0</v>
      </c>
      <c r="D3360" s="35">
        <v>457.0</v>
      </c>
      <c r="E3360" s="35">
        <v>26090.0</v>
      </c>
      <c r="F3360" s="35" t="s">
        <v>11</v>
      </c>
    </row>
    <row r="3361" ht="22.5" customHeight="1">
      <c r="A3361" s="37" t="s">
        <v>6924</v>
      </c>
      <c r="B3361" s="35" t="s">
        <v>6925</v>
      </c>
      <c r="C3361" s="35">
        <v>183.0</v>
      </c>
      <c r="D3361" s="35">
        <v>176.0</v>
      </c>
      <c r="E3361" s="35">
        <v>28640.0</v>
      </c>
      <c r="F3361" s="35" t="s">
        <v>11</v>
      </c>
    </row>
    <row r="3362" ht="22.5" customHeight="1">
      <c r="A3362" s="37" t="s">
        <v>6926</v>
      </c>
      <c r="B3362" s="35" t="s">
        <v>6927</v>
      </c>
      <c r="C3362" s="35">
        <v>4569.0</v>
      </c>
      <c r="D3362" s="35">
        <v>4306.0</v>
      </c>
      <c r="E3362" s="35">
        <v>22080.0</v>
      </c>
      <c r="F3362" s="35">
        <v>18.0</v>
      </c>
    </row>
    <row r="3363" ht="22.5" customHeight="1">
      <c r="A3363" s="37" t="s">
        <v>6928</v>
      </c>
      <c r="B3363" s="35" t="s">
        <v>6929</v>
      </c>
      <c r="C3363" s="35">
        <v>233.0</v>
      </c>
      <c r="D3363" s="35">
        <v>244.0</v>
      </c>
      <c r="E3363" s="35">
        <v>21540.0</v>
      </c>
      <c r="F3363" s="35" t="s">
        <v>11</v>
      </c>
    </row>
    <row r="3364" ht="22.5" customHeight="1">
      <c r="A3364" s="37" t="s">
        <v>6930</v>
      </c>
      <c r="B3364" s="35" t="s">
        <v>6931</v>
      </c>
      <c r="C3364" s="35">
        <v>105.0</v>
      </c>
      <c r="D3364" s="35">
        <v>96.0</v>
      </c>
      <c r="E3364" s="35" t="s">
        <v>11</v>
      </c>
      <c r="F3364" s="35" t="s">
        <v>11</v>
      </c>
    </row>
    <row r="3365" ht="22.5" customHeight="1">
      <c r="A3365" s="37" t="s">
        <v>6932</v>
      </c>
      <c r="B3365" s="35" t="s">
        <v>6933</v>
      </c>
      <c r="C3365" s="35">
        <v>132.0</v>
      </c>
      <c r="D3365" s="35">
        <v>121.0</v>
      </c>
      <c r="E3365" s="35">
        <v>25090.0</v>
      </c>
      <c r="F3365" s="35" t="s">
        <v>11</v>
      </c>
    </row>
    <row r="3366" ht="22.5" customHeight="1">
      <c r="A3366" s="37" t="s">
        <v>6934</v>
      </c>
      <c r="B3366" s="35" t="s">
        <v>6935</v>
      </c>
      <c r="C3366" s="35">
        <v>2548.0</v>
      </c>
      <c r="D3366" s="35">
        <v>2397.0</v>
      </c>
      <c r="E3366" s="35">
        <v>20970.0</v>
      </c>
      <c r="F3366" s="35">
        <v>23.0</v>
      </c>
    </row>
    <row r="3367" ht="22.5" customHeight="1">
      <c r="A3367" s="37" t="s">
        <v>6936</v>
      </c>
      <c r="B3367" s="35" t="s">
        <v>6937</v>
      </c>
      <c r="C3367" s="35">
        <v>281.0</v>
      </c>
      <c r="D3367" s="35">
        <v>270.0</v>
      </c>
      <c r="E3367" s="35">
        <v>24850.0</v>
      </c>
      <c r="F3367" s="35" t="s">
        <v>11</v>
      </c>
    </row>
    <row r="3368" ht="22.5" customHeight="1">
      <c r="A3368" s="37" t="s">
        <v>6938</v>
      </c>
      <c r="B3368" s="35" t="s">
        <v>6939</v>
      </c>
      <c r="C3368" s="35">
        <v>346.0</v>
      </c>
      <c r="D3368" s="35">
        <v>327.0</v>
      </c>
      <c r="E3368" s="35">
        <v>24650.0</v>
      </c>
      <c r="F3368" s="35" t="s">
        <v>11</v>
      </c>
    </row>
    <row r="3369" ht="22.5" customHeight="1">
      <c r="A3369" s="37" t="s">
        <v>6940</v>
      </c>
      <c r="B3369" s="35" t="s">
        <v>6941</v>
      </c>
      <c r="C3369" s="35">
        <v>640.0</v>
      </c>
      <c r="D3369" s="35">
        <v>627.0</v>
      </c>
      <c r="E3369" s="35">
        <v>29900.0</v>
      </c>
      <c r="F3369" s="35" t="s">
        <v>11</v>
      </c>
    </row>
    <row r="3370" ht="22.5" customHeight="1">
      <c r="A3370" s="37" t="s">
        <v>6942</v>
      </c>
      <c r="B3370" s="35" t="s">
        <v>6943</v>
      </c>
      <c r="C3370" s="35">
        <v>428.0</v>
      </c>
      <c r="D3370" s="35">
        <v>399.0</v>
      </c>
      <c r="E3370" s="35">
        <v>24120.0</v>
      </c>
      <c r="F3370" s="35" t="s">
        <v>11</v>
      </c>
    </row>
    <row r="3371" ht="22.5" customHeight="1">
      <c r="A3371" s="37" t="s">
        <v>6944</v>
      </c>
      <c r="B3371" s="35" t="s">
        <v>6945</v>
      </c>
      <c r="C3371" s="35">
        <v>61.0</v>
      </c>
      <c r="D3371" s="35">
        <v>75.0</v>
      </c>
      <c r="E3371" s="35" t="s">
        <v>11</v>
      </c>
      <c r="F3371" s="35" t="s">
        <v>11</v>
      </c>
    </row>
    <row r="3372" ht="22.5" customHeight="1">
      <c r="A3372" s="37" t="s">
        <v>6946</v>
      </c>
      <c r="B3372" s="35" t="s">
        <v>6947</v>
      </c>
      <c r="C3372" s="35">
        <v>771.0</v>
      </c>
      <c r="D3372" s="35">
        <v>791.0</v>
      </c>
      <c r="E3372" s="35">
        <v>31380.0</v>
      </c>
      <c r="F3372" s="35" t="s">
        <v>11</v>
      </c>
    </row>
    <row r="3373" ht="22.5" customHeight="1">
      <c r="A3373" s="37" t="s">
        <v>6948</v>
      </c>
      <c r="B3373" s="35" t="s">
        <v>6949</v>
      </c>
      <c r="C3373" s="35">
        <v>254.0</v>
      </c>
      <c r="D3373" s="35">
        <v>234.0</v>
      </c>
      <c r="E3373" s="35">
        <v>26380.0</v>
      </c>
      <c r="F3373" s="35" t="s">
        <v>11</v>
      </c>
    </row>
    <row r="3374" ht="22.5" customHeight="1">
      <c r="A3374" s="37" t="s">
        <v>6950</v>
      </c>
      <c r="B3374" s="35" t="s">
        <v>6951</v>
      </c>
      <c r="C3374" s="35">
        <v>40.0</v>
      </c>
      <c r="D3374" s="35">
        <v>40.0</v>
      </c>
      <c r="E3374" s="35" t="s">
        <v>11</v>
      </c>
      <c r="F3374" s="35" t="s">
        <v>11</v>
      </c>
    </row>
    <row r="3375" ht="22.5" customHeight="1">
      <c r="A3375" s="37" t="s">
        <v>6952</v>
      </c>
      <c r="B3375" s="35" t="s">
        <v>6953</v>
      </c>
      <c r="C3375" s="35">
        <v>94.0</v>
      </c>
      <c r="D3375" s="35">
        <v>99.0</v>
      </c>
      <c r="E3375" s="35" t="s">
        <v>11</v>
      </c>
      <c r="F3375" s="35" t="s">
        <v>11</v>
      </c>
    </row>
    <row r="3376" ht="22.5" customHeight="1">
      <c r="A3376" s="37" t="s">
        <v>6954</v>
      </c>
      <c r="B3376" s="35" t="s">
        <v>6955</v>
      </c>
      <c r="C3376" s="35">
        <v>176.0</v>
      </c>
      <c r="D3376" s="35">
        <v>178.0</v>
      </c>
      <c r="E3376" s="35">
        <v>26560.0</v>
      </c>
      <c r="F3376" s="35" t="s">
        <v>11</v>
      </c>
    </row>
    <row r="3377" ht="22.5" customHeight="1">
      <c r="A3377" s="37" t="s">
        <v>6956</v>
      </c>
      <c r="B3377" s="35" t="s">
        <v>6957</v>
      </c>
      <c r="C3377" s="35">
        <v>433.0</v>
      </c>
      <c r="D3377" s="35">
        <v>465.0</v>
      </c>
      <c r="E3377" s="35">
        <v>28700.0</v>
      </c>
      <c r="F3377" s="35" t="s">
        <v>11</v>
      </c>
    </row>
    <row r="3378" ht="22.5" customHeight="1">
      <c r="A3378" s="37" t="s">
        <v>6958</v>
      </c>
      <c r="B3378" s="35" t="s">
        <v>6959</v>
      </c>
      <c r="C3378" s="35">
        <v>182.0</v>
      </c>
      <c r="D3378" s="35">
        <v>175.0</v>
      </c>
      <c r="E3378" s="35">
        <v>25910.0</v>
      </c>
      <c r="F3378" s="35" t="s">
        <v>11</v>
      </c>
    </row>
    <row r="3379" ht="22.5" customHeight="1">
      <c r="A3379" s="37" t="s">
        <v>6960</v>
      </c>
      <c r="B3379" s="35" t="s">
        <v>6961</v>
      </c>
      <c r="C3379" s="35">
        <v>318.0</v>
      </c>
      <c r="D3379" s="35">
        <v>321.0</v>
      </c>
      <c r="E3379" s="35">
        <v>28940.0</v>
      </c>
      <c r="F3379" s="35" t="s">
        <v>11</v>
      </c>
    </row>
    <row r="3380" ht="22.5" customHeight="1">
      <c r="A3380" s="37" t="s">
        <v>6962</v>
      </c>
      <c r="B3380" s="35" t="s">
        <v>6963</v>
      </c>
      <c r="C3380" s="35">
        <v>220.0</v>
      </c>
      <c r="D3380" s="35">
        <v>204.0</v>
      </c>
      <c r="E3380" s="35">
        <v>23780.0</v>
      </c>
      <c r="F3380" s="35" t="s">
        <v>11</v>
      </c>
    </row>
    <row r="3381" ht="22.5" customHeight="1">
      <c r="A3381" s="37" t="s">
        <v>6964</v>
      </c>
      <c r="B3381" s="35" t="s">
        <v>6965</v>
      </c>
      <c r="C3381" s="35">
        <v>407.0</v>
      </c>
      <c r="D3381" s="35">
        <v>409.0</v>
      </c>
      <c r="E3381" s="35">
        <v>26840.0</v>
      </c>
      <c r="F3381" s="35" t="s">
        <v>11</v>
      </c>
    </row>
    <row r="3382" ht="22.5" customHeight="1">
      <c r="A3382" s="37" t="s">
        <v>6966</v>
      </c>
      <c r="B3382" s="35" t="s">
        <v>6967</v>
      </c>
      <c r="C3382" s="35">
        <v>86.0</v>
      </c>
      <c r="D3382" s="35">
        <v>91.0</v>
      </c>
      <c r="E3382" s="35" t="s">
        <v>11</v>
      </c>
      <c r="F3382" s="35" t="s">
        <v>11</v>
      </c>
    </row>
    <row r="3383" ht="22.5" customHeight="1">
      <c r="A3383" s="37" t="s">
        <v>6968</v>
      </c>
      <c r="B3383" s="35" t="s">
        <v>6969</v>
      </c>
      <c r="C3383" s="35">
        <v>586.0</v>
      </c>
      <c r="D3383" s="35">
        <v>572.0</v>
      </c>
      <c r="E3383" s="35">
        <v>25560.0</v>
      </c>
      <c r="F3383" s="35" t="s">
        <v>11</v>
      </c>
    </row>
    <row r="3384" ht="22.5" customHeight="1">
      <c r="A3384" s="37" t="s">
        <v>6970</v>
      </c>
      <c r="B3384" s="35" t="s">
        <v>6971</v>
      </c>
      <c r="C3384" s="35">
        <v>324.0</v>
      </c>
      <c r="D3384" s="35">
        <v>303.0</v>
      </c>
      <c r="E3384" s="35">
        <v>25350.0</v>
      </c>
      <c r="F3384" s="35" t="s">
        <v>11</v>
      </c>
    </row>
    <row r="3385" ht="22.5" customHeight="1">
      <c r="A3385" s="37" t="s">
        <v>6972</v>
      </c>
      <c r="B3385" s="35" t="s">
        <v>6973</v>
      </c>
      <c r="C3385" s="35">
        <v>293.0</v>
      </c>
      <c r="D3385" s="35">
        <v>275.0</v>
      </c>
      <c r="E3385" s="35">
        <v>26580.0</v>
      </c>
      <c r="F3385" s="35" t="s">
        <v>11</v>
      </c>
    </row>
    <row r="3386" ht="22.5" customHeight="1">
      <c r="A3386" s="37" t="s">
        <v>6974</v>
      </c>
      <c r="B3386" s="35" t="s">
        <v>6975</v>
      </c>
      <c r="C3386" s="35">
        <v>335.0</v>
      </c>
      <c r="D3386" s="35">
        <v>361.0</v>
      </c>
      <c r="E3386" s="35">
        <v>23750.0</v>
      </c>
      <c r="F3386" s="35" t="s">
        <v>11</v>
      </c>
    </row>
    <row r="3387" ht="22.5" customHeight="1">
      <c r="A3387" s="37" t="s">
        <v>6976</v>
      </c>
      <c r="B3387" s="35" t="s">
        <v>6977</v>
      </c>
      <c r="C3387" s="35">
        <v>94.0</v>
      </c>
      <c r="D3387" s="35">
        <v>101.0</v>
      </c>
      <c r="E3387" s="35">
        <v>26930.0</v>
      </c>
      <c r="F3387" s="35" t="s">
        <v>11</v>
      </c>
    </row>
    <row r="3388" ht="22.5" customHeight="1">
      <c r="A3388" s="37" t="s">
        <v>6978</v>
      </c>
      <c r="B3388" s="35" t="s">
        <v>6979</v>
      </c>
      <c r="C3388" s="35">
        <v>360.0</v>
      </c>
      <c r="D3388" s="35">
        <v>386.0</v>
      </c>
      <c r="E3388" s="35">
        <v>31780.0</v>
      </c>
      <c r="F3388" s="35" t="s">
        <v>11</v>
      </c>
    </row>
    <row r="3389" ht="22.5" customHeight="1">
      <c r="A3389" s="37" t="s">
        <v>6980</v>
      </c>
      <c r="B3389" s="35" t="s">
        <v>6981</v>
      </c>
      <c r="C3389" s="35">
        <v>440.0</v>
      </c>
      <c r="D3389" s="35">
        <v>386.0</v>
      </c>
      <c r="E3389" s="35">
        <v>25080.0</v>
      </c>
      <c r="F3389" s="35" t="s">
        <v>11</v>
      </c>
    </row>
    <row r="3390" ht="22.5" customHeight="1">
      <c r="A3390" s="37" t="s">
        <v>6982</v>
      </c>
      <c r="B3390" s="35" t="s">
        <v>6983</v>
      </c>
      <c r="C3390" s="35">
        <v>137.0</v>
      </c>
      <c r="D3390" s="35">
        <v>126.0</v>
      </c>
      <c r="E3390" s="35">
        <v>26480.0</v>
      </c>
      <c r="F3390" s="35" t="s">
        <v>11</v>
      </c>
    </row>
    <row r="3391" ht="22.5" customHeight="1">
      <c r="A3391" s="37" t="s">
        <v>6984</v>
      </c>
      <c r="B3391" s="35" t="s">
        <v>6985</v>
      </c>
      <c r="C3391" s="35">
        <v>127.0</v>
      </c>
      <c r="D3391" s="35">
        <v>113.0</v>
      </c>
      <c r="E3391" s="35">
        <v>29800.0</v>
      </c>
      <c r="F3391" s="35" t="s">
        <v>11</v>
      </c>
    </row>
    <row r="3392" ht="22.5" customHeight="1">
      <c r="A3392" s="37" t="s">
        <v>6986</v>
      </c>
      <c r="B3392" s="35" t="s">
        <v>6987</v>
      </c>
      <c r="C3392" s="35">
        <v>177.0</v>
      </c>
      <c r="D3392" s="35">
        <v>161.0</v>
      </c>
      <c r="E3392" s="35">
        <v>29090.0</v>
      </c>
      <c r="F3392" s="35" t="s">
        <v>11</v>
      </c>
    </row>
    <row r="3393" ht="22.5" customHeight="1">
      <c r="A3393" s="37" t="s">
        <v>6988</v>
      </c>
      <c r="B3393" s="35" t="s">
        <v>6989</v>
      </c>
      <c r="C3393" s="35">
        <v>140.0</v>
      </c>
      <c r="D3393" s="35">
        <v>145.0</v>
      </c>
      <c r="E3393" s="35">
        <v>25520.0</v>
      </c>
      <c r="F3393" s="35" t="s">
        <v>11</v>
      </c>
    </row>
    <row r="3394" ht="22.5" customHeight="1">
      <c r="A3394" s="37" t="s">
        <v>6990</v>
      </c>
      <c r="B3394" s="35" t="s">
        <v>6991</v>
      </c>
      <c r="C3394" s="35">
        <v>422.0</v>
      </c>
      <c r="D3394" s="35">
        <v>404.0</v>
      </c>
      <c r="E3394" s="35">
        <v>29730.0</v>
      </c>
      <c r="F3394" s="35" t="s">
        <v>11</v>
      </c>
    </row>
    <row r="3395" ht="22.5" customHeight="1">
      <c r="A3395" s="37" t="s">
        <v>6992</v>
      </c>
      <c r="B3395" s="35" t="s">
        <v>6993</v>
      </c>
      <c r="C3395" s="35">
        <v>1325.0</v>
      </c>
      <c r="D3395" s="35">
        <v>1351.0</v>
      </c>
      <c r="E3395" s="35">
        <v>22940.0</v>
      </c>
      <c r="F3395" s="35" t="s">
        <v>11</v>
      </c>
    </row>
    <row r="3396" ht="22.5" customHeight="1">
      <c r="A3396" s="37" t="s">
        <v>6994</v>
      </c>
      <c r="B3396" s="35" t="s">
        <v>6995</v>
      </c>
      <c r="C3396" s="35">
        <v>149.0</v>
      </c>
      <c r="D3396" s="35">
        <v>142.0</v>
      </c>
      <c r="E3396" s="35">
        <v>27130.0</v>
      </c>
      <c r="F3396" s="35" t="s">
        <v>11</v>
      </c>
    </row>
    <row r="3397" ht="22.5" customHeight="1">
      <c r="A3397" s="37" t="s">
        <v>6996</v>
      </c>
      <c r="B3397" s="35" t="s">
        <v>6997</v>
      </c>
      <c r="C3397" s="35">
        <v>343.0</v>
      </c>
      <c r="D3397" s="35">
        <v>322.0</v>
      </c>
      <c r="E3397" s="35">
        <v>25360.0</v>
      </c>
      <c r="F3397" s="35" t="s">
        <v>11</v>
      </c>
    </row>
    <row r="3398" ht="22.5" customHeight="1">
      <c r="A3398" s="37" t="s">
        <v>6998</v>
      </c>
      <c r="B3398" s="35" t="s">
        <v>6999</v>
      </c>
      <c r="C3398" s="35">
        <v>177.0</v>
      </c>
      <c r="D3398" s="35">
        <v>143.0</v>
      </c>
      <c r="E3398" s="35">
        <v>26230.0</v>
      </c>
      <c r="F3398" s="35" t="s">
        <v>11</v>
      </c>
    </row>
    <row r="3399" ht="22.5" customHeight="1">
      <c r="A3399" s="37" t="s">
        <v>7000</v>
      </c>
      <c r="B3399" s="35" t="s">
        <v>7001</v>
      </c>
      <c r="C3399" s="35">
        <v>4611.0</v>
      </c>
      <c r="D3399" s="35">
        <v>4378.0</v>
      </c>
      <c r="E3399" s="35">
        <v>19330.0</v>
      </c>
      <c r="F3399" s="35">
        <v>32.0</v>
      </c>
    </row>
    <row r="3400" ht="22.5" customHeight="1">
      <c r="A3400" s="37" t="s">
        <v>7002</v>
      </c>
      <c r="B3400" s="35" t="s">
        <v>3708</v>
      </c>
      <c r="C3400" s="35">
        <v>501.0</v>
      </c>
      <c r="D3400" s="35">
        <v>492.0</v>
      </c>
      <c r="E3400" s="35">
        <v>25520.0</v>
      </c>
      <c r="F3400" s="35" t="s">
        <v>11</v>
      </c>
    </row>
    <row r="3401" ht="22.5" customHeight="1">
      <c r="A3401" s="37" t="s">
        <v>7003</v>
      </c>
      <c r="B3401" s="35" t="s">
        <v>7004</v>
      </c>
      <c r="C3401" s="35">
        <v>630.0</v>
      </c>
      <c r="D3401" s="35">
        <v>624.0</v>
      </c>
      <c r="E3401" s="35">
        <v>28590.0</v>
      </c>
      <c r="F3401" s="35" t="s">
        <v>11</v>
      </c>
    </row>
    <row r="3402" ht="22.5" customHeight="1">
      <c r="A3402" s="37" t="s">
        <v>7005</v>
      </c>
      <c r="B3402" s="35" t="s">
        <v>7006</v>
      </c>
      <c r="C3402" s="35">
        <v>92.0</v>
      </c>
      <c r="D3402" s="35">
        <v>94.0</v>
      </c>
      <c r="E3402" s="35" t="s">
        <v>11</v>
      </c>
      <c r="F3402" s="35" t="s">
        <v>11</v>
      </c>
    </row>
    <row r="3403" ht="22.5" customHeight="1">
      <c r="A3403" s="37" t="s">
        <v>7007</v>
      </c>
      <c r="B3403" s="35" t="s">
        <v>7008</v>
      </c>
      <c r="C3403" s="35">
        <v>124.0</v>
      </c>
      <c r="D3403" s="35">
        <v>115.0</v>
      </c>
      <c r="E3403" s="35">
        <v>32780.0</v>
      </c>
      <c r="F3403" s="35" t="s">
        <v>11</v>
      </c>
    </row>
    <row r="3404" ht="22.5" customHeight="1">
      <c r="A3404" s="37" t="s">
        <v>7009</v>
      </c>
      <c r="B3404" s="35" t="s">
        <v>7010</v>
      </c>
      <c r="C3404" s="35">
        <v>1016.0</v>
      </c>
      <c r="D3404" s="35">
        <v>1027.0</v>
      </c>
      <c r="E3404" s="35">
        <v>27050.0</v>
      </c>
      <c r="F3404" s="35" t="s">
        <v>11</v>
      </c>
    </row>
    <row r="3405" ht="22.5" customHeight="1">
      <c r="A3405" s="37" t="s">
        <v>7011</v>
      </c>
      <c r="B3405" s="35" t="s">
        <v>7012</v>
      </c>
      <c r="C3405" s="35">
        <v>775.0</v>
      </c>
      <c r="D3405" s="35">
        <v>760.0</v>
      </c>
      <c r="E3405" s="35">
        <v>26140.0</v>
      </c>
      <c r="F3405" s="35" t="s">
        <v>11</v>
      </c>
    </row>
    <row r="3406" ht="22.5" customHeight="1">
      <c r="A3406" s="37" t="s">
        <v>7013</v>
      </c>
      <c r="B3406" s="35" t="s">
        <v>7014</v>
      </c>
      <c r="C3406" s="35">
        <v>1641.0</v>
      </c>
      <c r="D3406" s="35">
        <v>1640.0</v>
      </c>
      <c r="E3406" s="35">
        <v>21750.0</v>
      </c>
      <c r="F3406" s="35" t="s">
        <v>11</v>
      </c>
    </row>
    <row r="3407" ht="22.5" customHeight="1">
      <c r="A3407" s="37" t="s">
        <v>7015</v>
      </c>
      <c r="B3407" s="35" t="s">
        <v>7016</v>
      </c>
      <c r="C3407" s="35">
        <v>84.0</v>
      </c>
      <c r="D3407" s="35">
        <v>84.0</v>
      </c>
      <c r="E3407" s="35" t="s">
        <v>11</v>
      </c>
      <c r="F3407" s="35" t="s">
        <v>11</v>
      </c>
    </row>
    <row r="3408" ht="22.5" customHeight="1">
      <c r="A3408" s="37" t="s">
        <v>7017</v>
      </c>
      <c r="B3408" s="35" t="s">
        <v>7018</v>
      </c>
      <c r="C3408" s="35">
        <v>180.0</v>
      </c>
      <c r="D3408" s="35">
        <v>170.0</v>
      </c>
      <c r="E3408" s="35">
        <v>24950.0</v>
      </c>
      <c r="F3408" s="35" t="s">
        <v>11</v>
      </c>
    </row>
    <row r="3409" ht="22.5" customHeight="1">
      <c r="A3409" s="37" t="s">
        <v>7019</v>
      </c>
      <c r="B3409" s="35" t="s">
        <v>7020</v>
      </c>
      <c r="C3409" s="35">
        <v>291.0</v>
      </c>
      <c r="D3409" s="35">
        <v>302.0</v>
      </c>
      <c r="E3409" s="35">
        <v>23800.0</v>
      </c>
      <c r="F3409" s="35" t="s">
        <v>11</v>
      </c>
    </row>
    <row r="3410" ht="22.5" customHeight="1">
      <c r="A3410" s="37" t="s">
        <v>7021</v>
      </c>
      <c r="B3410" s="35" t="s">
        <v>7022</v>
      </c>
      <c r="C3410" s="35">
        <v>580.0</v>
      </c>
      <c r="D3410" s="35">
        <v>527.0</v>
      </c>
      <c r="E3410" s="35">
        <v>26360.0</v>
      </c>
      <c r="F3410" s="35" t="s">
        <v>11</v>
      </c>
    </row>
    <row r="3411" ht="22.5" customHeight="1">
      <c r="A3411" s="37" t="s">
        <v>7023</v>
      </c>
      <c r="B3411" s="35" t="s">
        <v>7024</v>
      </c>
      <c r="C3411" s="35">
        <v>394.0</v>
      </c>
      <c r="D3411" s="35">
        <v>378.0</v>
      </c>
      <c r="E3411" s="35">
        <v>29510.0</v>
      </c>
      <c r="F3411" s="35" t="s">
        <v>11</v>
      </c>
    </row>
    <row r="3412" ht="22.5" customHeight="1">
      <c r="A3412" s="37" t="s">
        <v>7025</v>
      </c>
      <c r="B3412" s="35" t="s">
        <v>7026</v>
      </c>
      <c r="C3412" s="35">
        <v>538.0</v>
      </c>
      <c r="D3412" s="35">
        <v>576.0</v>
      </c>
      <c r="E3412" s="35">
        <v>32870.0</v>
      </c>
      <c r="F3412" s="35" t="s">
        <v>11</v>
      </c>
    </row>
    <row r="3413" ht="22.5" customHeight="1">
      <c r="A3413" s="37" t="s">
        <v>7027</v>
      </c>
      <c r="B3413" s="35" t="s">
        <v>7028</v>
      </c>
      <c r="C3413" s="35">
        <v>126.0</v>
      </c>
      <c r="D3413" s="35">
        <v>106.0</v>
      </c>
      <c r="E3413" s="35">
        <v>25650.0</v>
      </c>
      <c r="F3413" s="35" t="s">
        <v>11</v>
      </c>
    </row>
    <row r="3414" ht="22.5" customHeight="1">
      <c r="A3414" s="37" t="s">
        <v>7029</v>
      </c>
      <c r="B3414" s="35" t="s">
        <v>7030</v>
      </c>
      <c r="C3414" s="35">
        <v>424.0</v>
      </c>
      <c r="D3414" s="35">
        <v>438.0</v>
      </c>
      <c r="E3414" s="35">
        <v>28060.0</v>
      </c>
      <c r="F3414" s="35" t="s">
        <v>11</v>
      </c>
    </row>
    <row r="3415" ht="22.5" customHeight="1">
      <c r="A3415" s="37" t="s">
        <v>7031</v>
      </c>
      <c r="B3415" s="35" t="s">
        <v>7032</v>
      </c>
      <c r="C3415" s="35">
        <v>363.0</v>
      </c>
      <c r="D3415" s="35">
        <v>347.0</v>
      </c>
      <c r="E3415" s="35">
        <v>26470.0</v>
      </c>
      <c r="F3415" s="35" t="s">
        <v>11</v>
      </c>
    </row>
    <row r="3416" ht="22.5" customHeight="1">
      <c r="A3416" s="37" t="s">
        <v>7033</v>
      </c>
      <c r="B3416" s="35" t="s">
        <v>7034</v>
      </c>
      <c r="C3416" s="35">
        <v>128.0</v>
      </c>
      <c r="D3416" s="35">
        <v>137.0</v>
      </c>
      <c r="E3416" s="35">
        <v>26790.0</v>
      </c>
      <c r="F3416" s="35" t="s">
        <v>11</v>
      </c>
    </row>
    <row r="3417" ht="22.5" customHeight="1">
      <c r="A3417" s="37" t="s">
        <v>7035</v>
      </c>
      <c r="B3417" s="35" t="s">
        <v>7036</v>
      </c>
      <c r="C3417" s="35">
        <v>195.0</v>
      </c>
      <c r="D3417" s="35">
        <v>194.0</v>
      </c>
      <c r="E3417" s="35">
        <v>27230.0</v>
      </c>
      <c r="F3417" s="35" t="s">
        <v>11</v>
      </c>
    </row>
    <row r="3418" ht="22.5" customHeight="1">
      <c r="A3418" s="37" t="s">
        <v>7037</v>
      </c>
      <c r="B3418" s="35" t="s">
        <v>7038</v>
      </c>
      <c r="C3418" s="35">
        <v>224.0</v>
      </c>
      <c r="D3418" s="35">
        <v>178.0</v>
      </c>
      <c r="E3418" s="35">
        <v>23660.0</v>
      </c>
      <c r="F3418" s="35" t="s">
        <v>11</v>
      </c>
    </row>
    <row r="3419" ht="22.5" customHeight="1">
      <c r="A3419" s="37" t="s">
        <v>7039</v>
      </c>
      <c r="B3419" s="35" t="s">
        <v>7040</v>
      </c>
      <c r="C3419" s="35">
        <v>614.0</v>
      </c>
      <c r="D3419" s="35">
        <v>764.0</v>
      </c>
      <c r="E3419" s="35">
        <v>28180.0</v>
      </c>
      <c r="F3419" s="35" t="s">
        <v>11</v>
      </c>
    </row>
    <row r="3420" ht="22.5" customHeight="1">
      <c r="A3420" s="37" t="s">
        <v>7041</v>
      </c>
      <c r="B3420" s="35" t="s">
        <v>7042</v>
      </c>
      <c r="C3420" s="35">
        <v>183.0</v>
      </c>
      <c r="D3420" s="35">
        <v>192.0</v>
      </c>
      <c r="E3420" s="35">
        <v>27090.0</v>
      </c>
      <c r="F3420" s="35" t="s">
        <v>11</v>
      </c>
    </row>
    <row r="3421" ht="22.5" customHeight="1">
      <c r="A3421" s="37" t="s">
        <v>7043</v>
      </c>
      <c r="B3421" s="35" t="s">
        <v>5324</v>
      </c>
      <c r="C3421" s="35">
        <v>45.0</v>
      </c>
      <c r="D3421" s="35">
        <v>38.0</v>
      </c>
      <c r="E3421" s="35" t="s">
        <v>11</v>
      </c>
      <c r="F3421" s="35" t="s">
        <v>11</v>
      </c>
    </row>
    <row r="3422" ht="22.5" customHeight="1">
      <c r="A3422" s="37" t="s">
        <v>7044</v>
      </c>
      <c r="B3422" s="35" t="s">
        <v>7045</v>
      </c>
      <c r="C3422" s="35">
        <v>189.0</v>
      </c>
      <c r="D3422" s="35">
        <v>184.0</v>
      </c>
      <c r="E3422" s="35">
        <v>25490.0</v>
      </c>
      <c r="F3422" s="35" t="s">
        <v>11</v>
      </c>
    </row>
    <row r="3423" ht="22.5" customHeight="1">
      <c r="A3423" s="37" t="s">
        <v>7046</v>
      </c>
      <c r="B3423" s="35" t="s">
        <v>7047</v>
      </c>
      <c r="C3423" s="35">
        <v>57.0</v>
      </c>
      <c r="D3423" s="35">
        <v>45.0</v>
      </c>
      <c r="E3423" s="35" t="s">
        <v>11</v>
      </c>
      <c r="F3423" s="35" t="s">
        <v>11</v>
      </c>
    </row>
    <row r="3424" ht="22.5" customHeight="1">
      <c r="A3424" s="37" t="s">
        <v>7048</v>
      </c>
      <c r="B3424" s="35" t="s">
        <v>7049</v>
      </c>
      <c r="C3424" s="35">
        <v>516.0</v>
      </c>
      <c r="D3424" s="35">
        <v>522.0</v>
      </c>
      <c r="E3424" s="35">
        <v>26980.0</v>
      </c>
      <c r="F3424" s="35" t="s">
        <v>11</v>
      </c>
    </row>
    <row r="3425" ht="22.5" customHeight="1">
      <c r="A3425" s="37" t="s">
        <v>7050</v>
      </c>
      <c r="B3425" s="35" t="s">
        <v>7051</v>
      </c>
      <c r="C3425" s="35">
        <v>117.0</v>
      </c>
      <c r="D3425" s="35">
        <v>108.0</v>
      </c>
      <c r="E3425" s="35">
        <v>24500.0</v>
      </c>
      <c r="F3425" s="35" t="s">
        <v>11</v>
      </c>
    </row>
    <row r="3426" ht="22.5" customHeight="1">
      <c r="A3426" s="37" t="s">
        <v>7052</v>
      </c>
      <c r="B3426" s="35" t="s">
        <v>7053</v>
      </c>
      <c r="C3426" s="35">
        <v>507.0</v>
      </c>
      <c r="D3426" s="35">
        <v>527.0</v>
      </c>
      <c r="E3426" s="35">
        <v>22880.0</v>
      </c>
      <c r="F3426" s="35" t="s">
        <v>11</v>
      </c>
    </row>
    <row r="3427" ht="22.5" customHeight="1">
      <c r="A3427" s="37" t="s">
        <v>7054</v>
      </c>
      <c r="B3427" s="35" t="s">
        <v>7055</v>
      </c>
      <c r="C3427" s="35">
        <v>169.0</v>
      </c>
      <c r="D3427" s="35">
        <v>165.0</v>
      </c>
      <c r="E3427" s="35">
        <v>25210.0</v>
      </c>
      <c r="F3427" s="35" t="s">
        <v>11</v>
      </c>
    </row>
    <row r="3428" ht="22.5" customHeight="1">
      <c r="A3428" s="37" t="s">
        <v>7056</v>
      </c>
      <c r="B3428" s="35" t="s">
        <v>7057</v>
      </c>
      <c r="C3428" s="35">
        <v>150.0</v>
      </c>
      <c r="D3428" s="35">
        <v>150.0</v>
      </c>
      <c r="E3428" s="35">
        <v>20740.0</v>
      </c>
      <c r="F3428" s="35" t="s">
        <v>11</v>
      </c>
    </row>
    <row r="3429" ht="22.5" customHeight="1">
      <c r="A3429" s="37" t="s">
        <v>7058</v>
      </c>
      <c r="B3429" s="35" t="s">
        <v>7059</v>
      </c>
      <c r="C3429" s="35">
        <v>1180.0</v>
      </c>
      <c r="D3429" s="35">
        <v>1111.0</v>
      </c>
      <c r="E3429" s="35">
        <v>23550.0</v>
      </c>
      <c r="F3429" s="35" t="s">
        <v>11</v>
      </c>
    </row>
    <row r="3430" ht="22.5" customHeight="1">
      <c r="A3430" s="37" t="s">
        <v>7060</v>
      </c>
      <c r="B3430" s="35" t="s">
        <v>7061</v>
      </c>
      <c r="C3430" s="35">
        <v>1679.0</v>
      </c>
      <c r="D3430" s="35">
        <v>1622.0</v>
      </c>
      <c r="E3430" s="35">
        <v>24230.0</v>
      </c>
      <c r="F3430" s="35" t="s">
        <v>11</v>
      </c>
    </row>
    <row r="3431" ht="22.5" customHeight="1">
      <c r="A3431" s="37" t="s">
        <v>7062</v>
      </c>
      <c r="B3431" s="35" t="s">
        <v>7063</v>
      </c>
      <c r="C3431" s="35">
        <v>665.0</v>
      </c>
      <c r="D3431" s="35">
        <v>679.0</v>
      </c>
      <c r="E3431" s="35">
        <v>25630.0</v>
      </c>
      <c r="F3431" s="35" t="s">
        <v>11</v>
      </c>
    </row>
    <row r="3432" ht="22.5" customHeight="1">
      <c r="A3432" s="37" t="s">
        <v>7064</v>
      </c>
      <c r="B3432" s="35" t="s">
        <v>7065</v>
      </c>
      <c r="C3432" s="35">
        <v>268.0</v>
      </c>
      <c r="D3432" s="35">
        <v>247.0</v>
      </c>
      <c r="E3432" s="35">
        <v>21420.0</v>
      </c>
      <c r="F3432" s="35" t="s">
        <v>11</v>
      </c>
    </row>
    <row r="3433" ht="22.5" customHeight="1">
      <c r="A3433" s="37" t="s">
        <v>7066</v>
      </c>
      <c r="B3433" s="35" t="s">
        <v>7067</v>
      </c>
      <c r="C3433" s="35">
        <v>785.0</v>
      </c>
      <c r="D3433" s="35">
        <v>749.0</v>
      </c>
      <c r="E3433" s="35">
        <v>25550.0</v>
      </c>
      <c r="F3433" s="35" t="s">
        <v>11</v>
      </c>
    </row>
    <row r="3434" ht="22.5" customHeight="1">
      <c r="A3434" s="37" t="s">
        <v>7068</v>
      </c>
      <c r="B3434" s="35" t="s">
        <v>7069</v>
      </c>
      <c r="C3434" s="35">
        <v>76.0</v>
      </c>
      <c r="D3434" s="35">
        <v>65.0</v>
      </c>
      <c r="E3434" s="35" t="s">
        <v>11</v>
      </c>
      <c r="F3434" s="35" t="s">
        <v>11</v>
      </c>
    </row>
    <row r="3435" ht="22.5" customHeight="1">
      <c r="A3435" s="37" t="s">
        <v>7070</v>
      </c>
      <c r="B3435" s="35" t="s">
        <v>7071</v>
      </c>
      <c r="C3435" s="35">
        <v>113.0</v>
      </c>
      <c r="D3435" s="35">
        <v>118.0</v>
      </c>
      <c r="E3435" s="35" t="s">
        <v>11</v>
      </c>
      <c r="F3435" s="35" t="s">
        <v>11</v>
      </c>
    </row>
    <row r="3436" ht="22.5" customHeight="1">
      <c r="A3436" s="37" t="s">
        <v>7072</v>
      </c>
      <c r="B3436" s="35" t="s">
        <v>7073</v>
      </c>
      <c r="C3436" s="35">
        <v>113.0</v>
      </c>
      <c r="D3436" s="35">
        <v>111.0</v>
      </c>
      <c r="E3436" s="35">
        <v>24640.0</v>
      </c>
      <c r="F3436" s="35" t="s">
        <v>11</v>
      </c>
    </row>
    <row r="3437" ht="22.5" customHeight="1">
      <c r="A3437" s="37" t="s">
        <v>7074</v>
      </c>
      <c r="B3437" s="35" t="s">
        <v>7075</v>
      </c>
      <c r="C3437" s="35">
        <v>518.0</v>
      </c>
      <c r="D3437" s="35">
        <v>532.0</v>
      </c>
      <c r="E3437" s="35">
        <v>28360.0</v>
      </c>
      <c r="F3437" s="35" t="s">
        <v>11</v>
      </c>
    </row>
    <row r="3438" ht="22.5" customHeight="1">
      <c r="A3438" s="37" t="s">
        <v>7076</v>
      </c>
      <c r="B3438" s="35" t="s">
        <v>7077</v>
      </c>
      <c r="C3438" s="35">
        <v>150.0</v>
      </c>
      <c r="D3438" s="35">
        <v>134.0</v>
      </c>
      <c r="E3438" s="35">
        <v>26170.0</v>
      </c>
      <c r="F3438" s="35" t="s">
        <v>11</v>
      </c>
    </row>
    <row r="3439" ht="22.5" customHeight="1">
      <c r="A3439" s="37" t="s">
        <v>7078</v>
      </c>
      <c r="B3439" s="35" t="s">
        <v>7079</v>
      </c>
      <c r="C3439" s="35">
        <v>85.0</v>
      </c>
      <c r="D3439" s="35">
        <v>87.0</v>
      </c>
      <c r="E3439" s="35" t="s">
        <v>11</v>
      </c>
      <c r="F3439" s="35" t="s">
        <v>11</v>
      </c>
    </row>
    <row r="3440" ht="22.5" customHeight="1">
      <c r="A3440" s="37" t="s">
        <v>7080</v>
      </c>
      <c r="B3440" s="35" t="s">
        <v>7081</v>
      </c>
      <c r="C3440" s="35">
        <v>550.0</v>
      </c>
      <c r="D3440" s="35">
        <v>553.0</v>
      </c>
      <c r="E3440" s="35">
        <v>26240.0</v>
      </c>
      <c r="F3440" s="35" t="s">
        <v>11</v>
      </c>
    </row>
    <row r="3441" ht="22.5" customHeight="1">
      <c r="A3441" s="37" t="s">
        <v>7082</v>
      </c>
      <c r="B3441" s="35" t="s">
        <v>7083</v>
      </c>
      <c r="C3441" s="35">
        <v>471.0</v>
      </c>
      <c r="D3441" s="35">
        <v>442.0</v>
      </c>
      <c r="E3441" s="35">
        <v>28570.0</v>
      </c>
      <c r="F3441" s="35" t="s">
        <v>11</v>
      </c>
    </row>
    <row r="3442" ht="22.5" customHeight="1">
      <c r="A3442" s="37" t="s">
        <v>7084</v>
      </c>
      <c r="B3442" s="35" t="s">
        <v>7085</v>
      </c>
      <c r="C3442" s="35">
        <v>117.0</v>
      </c>
      <c r="D3442" s="35">
        <v>98.0</v>
      </c>
      <c r="E3442" s="35" t="s">
        <v>11</v>
      </c>
      <c r="F3442" s="35" t="s">
        <v>11</v>
      </c>
    </row>
    <row r="3443" ht="22.5" customHeight="1">
      <c r="A3443" s="37" t="s">
        <v>7086</v>
      </c>
      <c r="B3443" s="35" t="s">
        <v>7087</v>
      </c>
      <c r="C3443" s="35">
        <v>65.0</v>
      </c>
      <c r="D3443" s="35">
        <v>51.0</v>
      </c>
      <c r="E3443" s="35" t="s">
        <v>11</v>
      </c>
      <c r="F3443" s="35" t="s">
        <v>11</v>
      </c>
    </row>
    <row r="3444" ht="22.5" customHeight="1">
      <c r="A3444" s="37" t="s">
        <v>7088</v>
      </c>
      <c r="B3444" s="35" t="s">
        <v>7089</v>
      </c>
      <c r="C3444" s="35">
        <v>222.0</v>
      </c>
      <c r="D3444" s="35">
        <v>260.0</v>
      </c>
      <c r="E3444" s="35">
        <v>28990.0</v>
      </c>
      <c r="F3444" s="35" t="s">
        <v>11</v>
      </c>
    </row>
    <row r="3445" ht="22.5" customHeight="1">
      <c r="A3445" s="37" t="s">
        <v>7090</v>
      </c>
      <c r="B3445" s="35" t="s">
        <v>7091</v>
      </c>
      <c r="C3445" s="35">
        <v>352.0</v>
      </c>
      <c r="D3445" s="35">
        <v>328.0</v>
      </c>
      <c r="E3445" s="35">
        <v>26420.0</v>
      </c>
      <c r="F3445" s="35" t="s">
        <v>11</v>
      </c>
    </row>
    <row r="3446" ht="22.5" customHeight="1">
      <c r="A3446" s="37" t="s">
        <v>7092</v>
      </c>
      <c r="B3446" s="35" t="s">
        <v>7093</v>
      </c>
      <c r="C3446" s="35">
        <v>703.0</v>
      </c>
      <c r="D3446" s="35">
        <v>725.0</v>
      </c>
      <c r="E3446" s="35">
        <v>26500.0</v>
      </c>
      <c r="F3446" s="35" t="s">
        <v>11</v>
      </c>
    </row>
    <row r="3447" ht="22.5" customHeight="1">
      <c r="A3447" s="37" t="s">
        <v>7094</v>
      </c>
      <c r="B3447" s="35" t="s">
        <v>7095</v>
      </c>
      <c r="C3447" s="35">
        <v>915.0</v>
      </c>
      <c r="D3447" s="35">
        <v>859.0</v>
      </c>
      <c r="E3447" s="35">
        <v>23950.0</v>
      </c>
      <c r="F3447" s="35" t="s">
        <v>11</v>
      </c>
    </row>
    <row r="3448" ht="22.5" customHeight="1">
      <c r="A3448" s="37" t="s">
        <v>7096</v>
      </c>
      <c r="B3448" s="35" t="s">
        <v>7097</v>
      </c>
      <c r="C3448" s="35">
        <v>195.0</v>
      </c>
      <c r="D3448" s="35">
        <v>192.0</v>
      </c>
      <c r="E3448" s="35">
        <v>24400.0</v>
      </c>
      <c r="F3448" s="35" t="s">
        <v>11</v>
      </c>
    </row>
    <row r="3449" ht="22.5" customHeight="1">
      <c r="A3449" s="37" t="s">
        <v>7098</v>
      </c>
      <c r="B3449" s="35" t="s">
        <v>7099</v>
      </c>
      <c r="C3449" s="35">
        <v>131.0</v>
      </c>
      <c r="D3449" s="35">
        <v>133.0</v>
      </c>
      <c r="E3449" s="35">
        <v>22840.0</v>
      </c>
      <c r="F3449" s="35" t="s">
        <v>11</v>
      </c>
    </row>
    <row r="3450" ht="22.5" customHeight="1">
      <c r="A3450" s="37" t="s">
        <v>7100</v>
      </c>
      <c r="B3450" s="35" t="s">
        <v>7101</v>
      </c>
      <c r="C3450" s="35">
        <v>203.0</v>
      </c>
      <c r="D3450" s="35">
        <v>183.0</v>
      </c>
      <c r="E3450" s="35">
        <v>24030.0</v>
      </c>
      <c r="F3450" s="35" t="s">
        <v>11</v>
      </c>
    </row>
    <row r="3451" ht="22.5" customHeight="1">
      <c r="A3451" s="37" t="s">
        <v>7102</v>
      </c>
      <c r="B3451" s="35" t="s">
        <v>7103</v>
      </c>
      <c r="C3451" s="35">
        <v>171.0</v>
      </c>
      <c r="D3451" s="35">
        <v>170.0</v>
      </c>
      <c r="E3451" s="35">
        <v>25910.0</v>
      </c>
      <c r="F3451" s="35" t="s">
        <v>11</v>
      </c>
    </row>
    <row r="3452" ht="22.5" customHeight="1">
      <c r="A3452" s="37" t="s">
        <v>7104</v>
      </c>
      <c r="B3452" s="35" t="s">
        <v>7105</v>
      </c>
      <c r="C3452" s="35">
        <v>173.0</v>
      </c>
      <c r="D3452" s="35">
        <v>154.0</v>
      </c>
      <c r="E3452" s="35">
        <v>28200.0</v>
      </c>
      <c r="F3452" s="35" t="s">
        <v>11</v>
      </c>
    </row>
    <row r="3453" ht="22.5" customHeight="1">
      <c r="A3453" s="37" t="s">
        <v>7106</v>
      </c>
      <c r="B3453" s="35" t="s">
        <v>7107</v>
      </c>
      <c r="C3453" s="35">
        <v>167.0</v>
      </c>
      <c r="D3453" s="35">
        <v>156.0</v>
      </c>
      <c r="E3453" s="35">
        <v>25830.0</v>
      </c>
      <c r="F3453" s="35" t="s">
        <v>11</v>
      </c>
    </row>
    <row r="3454" ht="22.5" customHeight="1">
      <c r="A3454" s="37" t="s">
        <v>7108</v>
      </c>
      <c r="B3454" s="35" t="s">
        <v>7109</v>
      </c>
      <c r="C3454" s="35">
        <v>182.0</v>
      </c>
      <c r="D3454" s="35">
        <v>166.0</v>
      </c>
      <c r="E3454" s="35">
        <v>24620.0</v>
      </c>
      <c r="F3454" s="35" t="s">
        <v>11</v>
      </c>
    </row>
    <row r="3455" ht="22.5" customHeight="1">
      <c r="A3455" s="37" t="s">
        <v>7110</v>
      </c>
      <c r="B3455" s="35" t="s">
        <v>7111</v>
      </c>
      <c r="C3455" s="35">
        <v>301.0</v>
      </c>
      <c r="D3455" s="35">
        <v>292.0</v>
      </c>
      <c r="E3455" s="35">
        <v>24550.0</v>
      </c>
      <c r="F3455" s="35" t="s">
        <v>11</v>
      </c>
    </row>
    <row r="3456" ht="22.5" customHeight="1">
      <c r="A3456" s="37" t="s">
        <v>7112</v>
      </c>
      <c r="B3456" s="35" t="s">
        <v>7113</v>
      </c>
      <c r="C3456" s="35">
        <v>400.0</v>
      </c>
      <c r="D3456" s="35">
        <v>395.0</v>
      </c>
      <c r="E3456" s="35">
        <v>24850.0</v>
      </c>
      <c r="F3456" s="35" t="s">
        <v>11</v>
      </c>
    </row>
    <row r="3457" ht="22.5" customHeight="1">
      <c r="A3457" s="37" t="s">
        <v>7114</v>
      </c>
      <c r="B3457" s="35" t="s">
        <v>7115</v>
      </c>
      <c r="C3457" s="35">
        <v>227.0</v>
      </c>
      <c r="D3457" s="35">
        <v>217.0</v>
      </c>
      <c r="E3457" s="35">
        <v>24520.0</v>
      </c>
      <c r="F3457" s="35" t="s">
        <v>11</v>
      </c>
    </row>
    <row r="3458" ht="22.5" customHeight="1">
      <c r="A3458" s="37" t="s">
        <v>7116</v>
      </c>
      <c r="B3458" s="35" t="s">
        <v>7117</v>
      </c>
      <c r="C3458" s="35">
        <v>359.0</v>
      </c>
      <c r="D3458" s="35">
        <v>327.0</v>
      </c>
      <c r="E3458" s="35">
        <v>22960.0</v>
      </c>
      <c r="F3458" s="35" t="s">
        <v>11</v>
      </c>
    </row>
    <row r="3459" ht="22.5" customHeight="1">
      <c r="A3459" s="37" t="s">
        <v>7118</v>
      </c>
      <c r="B3459" s="35" t="s">
        <v>7119</v>
      </c>
      <c r="C3459" s="35">
        <v>219.0</v>
      </c>
      <c r="D3459" s="35">
        <v>223.0</v>
      </c>
      <c r="E3459" s="35">
        <v>22530.0</v>
      </c>
      <c r="F3459" s="35" t="s">
        <v>11</v>
      </c>
    </row>
    <row r="3460" ht="22.5" customHeight="1">
      <c r="A3460" s="37" t="s">
        <v>7120</v>
      </c>
      <c r="B3460" s="35" t="s">
        <v>7121</v>
      </c>
      <c r="C3460" s="35">
        <v>137.0</v>
      </c>
      <c r="D3460" s="35">
        <v>142.0</v>
      </c>
      <c r="E3460" s="35">
        <v>24410.0</v>
      </c>
      <c r="F3460" s="35" t="s">
        <v>11</v>
      </c>
    </row>
    <row r="3461" ht="22.5" customHeight="1">
      <c r="A3461" s="37" t="s">
        <v>7122</v>
      </c>
      <c r="B3461" s="35" t="s">
        <v>7123</v>
      </c>
      <c r="C3461" s="35">
        <v>385.0</v>
      </c>
      <c r="D3461" s="35">
        <v>346.0</v>
      </c>
      <c r="E3461" s="35">
        <v>24200.0</v>
      </c>
      <c r="F3461" s="35" t="s">
        <v>11</v>
      </c>
    </row>
    <row r="3462" ht="22.5" customHeight="1">
      <c r="A3462" s="37" t="s">
        <v>7124</v>
      </c>
      <c r="B3462" s="35" t="s">
        <v>7125</v>
      </c>
      <c r="C3462" s="35">
        <v>111.0</v>
      </c>
      <c r="D3462" s="35">
        <v>108.0</v>
      </c>
      <c r="E3462" s="35" t="s">
        <v>11</v>
      </c>
      <c r="F3462" s="35" t="s">
        <v>11</v>
      </c>
    </row>
    <row r="3463" ht="22.5" customHeight="1">
      <c r="A3463" s="37" t="s">
        <v>7126</v>
      </c>
      <c r="B3463" s="35" t="s">
        <v>7127</v>
      </c>
      <c r="C3463" s="35">
        <v>442.0</v>
      </c>
      <c r="D3463" s="35">
        <v>463.0</v>
      </c>
      <c r="E3463" s="35">
        <v>22070.0</v>
      </c>
      <c r="F3463" s="35" t="s">
        <v>11</v>
      </c>
    </row>
    <row r="3464" ht="22.5" customHeight="1">
      <c r="A3464" s="37" t="s">
        <v>7128</v>
      </c>
      <c r="B3464" s="35" t="s">
        <v>7129</v>
      </c>
      <c r="C3464" s="35">
        <v>141.0</v>
      </c>
      <c r="D3464" s="35">
        <v>142.0</v>
      </c>
      <c r="E3464" s="35">
        <v>25250.0</v>
      </c>
      <c r="F3464" s="35" t="s">
        <v>11</v>
      </c>
    </row>
    <row r="3465" ht="22.5" customHeight="1">
      <c r="A3465" s="37" t="s">
        <v>7130</v>
      </c>
      <c r="B3465" s="35" t="s">
        <v>7131</v>
      </c>
      <c r="C3465" s="35">
        <v>397.0</v>
      </c>
      <c r="D3465" s="35">
        <v>374.0</v>
      </c>
      <c r="E3465" s="35">
        <v>21620.0</v>
      </c>
      <c r="F3465" s="35" t="s">
        <v>11</v>
      </c>
    </row>
    <row r="3466" ht="22.5" customHeight="1">
      <c r="A3466" s="37" t="s">
        <v>7132</v>
      </c>
      <c r="B3466" s="35" t="s">
        <v>7133</v>
      </c>
      <c r="C3466" s="35">
        <v>1205.0</v>
      </c>
      <c r="D3466" s="35">
        <v>1148.0</v>
      </c>
      <c r="E3466" s="35">
        <v>27800.0</v>
      </c>
      <c r="F3466" s="35" t="s">
        <v>11</v>
      </c>
    </row>
    <row r="3467" ht="22.5" customHeight="1">
      <c r="A3467" s="37" t="s">
        <v>7134</v>
      </c>
      <c r="B3467" s="35" t="s">
        <v>7135</v>
      </c>
      <c r="C3467" s="35">
        <v>621.0</v>
      </c>
      <c r="D3467" s="35">
        <v>590.0</v>
      </c>
      <c r="E3467" s="35">
        <v>22630.0</v>
      </c>
      <c r="F3467" s="35" t="s">
        <v>11</v>
      </c>
    </row>
    <row r="3468" ht="22.5" customHeight="1">
      <c r="A3468" s="37" t="s">
        <v>7136</v>
      </c>
      <c r="B3468" s="35" t="s">
        <v>7137</v>
      </c>
      <c r="C3468" s="35">
        <v>86.0</v>
      </c>
      <c r="D3468" s="35">
        <v>77.0</v>
      </c>
      <c r="E3468" s="35">
        <v>22220.0</v>
      </c>
      <c r="F3468" s="35" t="s">
        <v>11</v>
      </c>
    </row>
    <row r="3469" ht="22.5" customHeight="1">
      <c r="A3469" s="37" t="s">
        <v>7138</v>
      </c>
      <c r="B3469" s="35" t="s">
        <v>7139</v>
      </c>
      <c r="C3469" s="35">
        <v>1660.0</v>
      </c>
      <c r="D3469" s="35">
        <v>1500.0</v>
      </c>
      <c r="E3469" s="35">
        <v>23350.0</v>
      </c>
      <c r="F3469" s="35" t="s">
        <v>11</v>
      </c>
    </row>
    <row r="3470" ht="22.5" customHeight="1">
      <c r="A3470" s="37" t="s">
        <v>7140</v>
      </c>
      <c r="B3470" s="35" t="s">
        <v>7141</v>
      </c>
      <c r="C3470" s="35">
        <v>5621.0</v>
      </c>
      <c r="D3470" s="35">
        <v>5680.0</v>
      </c>
      <c r="E3470" s="35">
        <v>24150.0</v>
      </c>
      <c r="F3470" s="35">
        <v>15.0</v>
      </c>
    </row>
    <row r="3471" ht="22.5" customHeight="1">
      <c r="A3471" s="37" t="s">
        <v>7142</v>
      </c>
      <c r="B3471" s="35" t="s">
        <v>7143</v>
      </c>
      <c r="C3471" s="35">
        <v>271.0</v>
      </c>
      <c r="D3471" s="35">
        <v>292.0</v>
      </c>
      <c r="E3471" s="35">
        <v>24660.0</v>
      </c>
      <c r="F3471" s="35" t="s">
        <v>11</v>
      </c>
    </row>
    <row r="3472" ht="22.5" customHeight="1">
      <c r="A3472" s="37" t="s">
        <v>7144</v>
      </c>
      <c r="B3472" s="35" t="s">
        <v>7145</v>
      </c>
      <c r="C3472" s="35">
        <v>77.0</v>
      </c>
      <c r="D3472" s="35">
        <v>67.0</v>
      </c>
      <c r="E3472" s="35" t="s">
        <v>11</v>
      </c>
      <c r="F3472" s="35" t="s">
        <v>11</v>
      </c>
    </row>
    <row r="3473" ht="22.5" customHeight="1">
      <c r="A3473" s="37" t="s">
        <v>7146</v>
      </c>
      <c r="B3473" s="35" t="s">
        <v>7147</v>
      </c>
      <c r="C3473" s="35">
        <v>281.0</v>
      </c>
      <c r="D3473" s="35">
        <v>289.0</v>
      </c>
      <c r="E3473" s="35">
        <v>22690.0</v>
      </c>
      <c r="F3473" s="35" t="s">
        <v>11</v>
      </c>
    </row>
    <row r="3474" ht="22.5" customHeight="1">
      <c r="A3474" s="37" t="s">
        <v>7148</v>
      </c>
      <c r="B3474" s="35" t="s">
        <v>7149</v>
      </c>
      <c r="C3474" s="35">
        <v>200.0</v>
      </c>
      <c r="D3474" s="35">
        <v>197.0</v>
      </c>
      <c r="E3474" s="35">
        <v>25230.0</v>
      </c>
      <c r="F3474" s="35" t="s">
        <v>11</v>
      </c>
    </row>
    <row r="3475" ht="22.5" customHeight="1">
      <c r="A3475" s="37" t="s">
        <v>7150</v>
      </c>
      <c r="B3475" s="35" t="s">
        <v>7151</v>
      </c>
      <c r="C3475" s="35">
        <v>534.0</v>
      </c>
      <c r="D3475" s="35">
        <v>521.0</v>
      </c>
      <c r="E3475" s="35">
        <v>22150.0</v>
      </c>
      <c r="F3475" s="35" t="s">
        <v>11</v>
      </c>
    </row>
    <row r="3476" ht="22.5" customHeight="1">
      <c r="A3476" s="37" t="s">
        <v>7152</v>
      </c>
      <c r="B3476" s="35" t="s">
        <v>7153</v>
      </c>
      <c r="C3476" s="35">
        <v>156.0</v>
      </c>
      <c r="D3476" s="35">
        <v>151.0</v>
      </c>
      <c r="E3476" s="35">
        <v>25080.0</v>
      </c>
      <c r="F3476" s="35" t="s">
        <v>11</v>
      </c>
    </row>
    <row r="3477" ht="22.5" customHeight="1">
      <c r="A3477" s="37" t="s">
        <v>7154</v>
      </c>
      <c r="B3477" s="35" t="s">
        <v>7155</v>
      </c>
      <c r="C3477" s="35">
        <v>127.0</v>
      </c>
      <c r="D3477" s="35">
        <v>117.0</v>
      </c>
      <c r="E3477" s="35">
        <v>26530.0</v>
      </c>
      <c r="F3477" s="35" t="s">
        <v>11</v>
      </c>
    </row>
    <row r="3478" ht="22.5" customHeight="1">
      <c r="A3478" s="37" t="s">
        <v>7156</v>
      </c>
      <c r="B3478" s="35" t="s">
        <v>7157</v>
      </c>
      <c r="C3478" s="35">
        <v>624.0</v>
      </c>
      <c r="D3478" s="35">
        <v>628.0</v>
      </c>
      <c r="E3478" s="35">
        <v>24430.0</v>
      </c>
      <c r="F3478" s="35" t="s">
        <v>11</v>
      </c>
    </row>
    <row r="3479" ht="22.5" customHeight="1">
      <c r="A3479" s="37" t="s">
        <v>7158</v>
      </c>
      <c r="B3479" s="35" t="s">
        <v>7159</v>
      </c>
      <c r="C3479" s="35">
        <v>299.0</v>
      </c>
      <c r="D3479" s="35">
        <v>290.0</v>
      </c>
      <c r="E3479" s="35">
        <v>28070.0</v>
      </c>
      <c r="F3479" s="35" t="s">
        <v>11</v>
      </c>
    </row>
    <row r="3480" ht="22.5" customHeight="1">
      <c r="A3480" s="37" t="s">
        <v>7160</v>
      </c>
      <c r="B3480" s="35" t="s">
        <v>7161</v>
      </c>
      <c r="C3480" s="35">
        <v>516.0</v>
      </c>
      <c r="D3480" s="35">
        <v>472.0</v>
      </c>
      <c r="E3480" s="35">
        <v>23110.0</v>
      </c>
      <c r="F3480" s="35" t="s">
        <v>11</v>
      </c>
    </row>
    <row r="3481" ht="22.5" customHeight="1">
      <c r="A3481" s="37" t="s">
        <v>7162</v>
      </c>
      <c r="B3481" s="35" t="s">
        <v>7163</v>
      </c>
      <c r="C3481" s="35">
        <v>274.0</v>
      </c>
      <c r="D3481" s="35">
        <v>280.0</v>
      </c>
      <c r="E3481" s="35">
        <v>19300.0</v>
      </c>
      <c r="F3481" s="35" t="s">
        <v>11</v>
      </c>
    </row>
    <row r="3482" ht="22.5" customHeight="1">
      <c r="A3482" s="37" t="s">
        <v>7164</v>
      </c>
      <c r="B3482" s="35" t="s">
        <v>7165</v>
      </c>
      <c r="C3482" s="35">
        <v>106.0</v>
      </c>
      <c r="D3482" s="35">
        <v>97.0</v>
      </c>
      <c r="E3482" s="35" t="s">
        <v>11</v>
      </c>
      <c r="F3482" s="35" t="s">
        <v>11</v>
      </c>
    </row>
    <row r="3483" ht="22.5" customHeight="1">
      <c r="A3483" s="37" t="s">
        <v>7166</v>
      </c>
      <c r="B3483" s="35" t="s">
        <v>7167</v>
      </c>
      <c r="C3483" s="35">
        <v>192.0</v>
      </c>
      <c r="D3483" s="35">
        <v>182.0</v>
      </c>
      <c r="E3483" s="35">
        <v>26150.0</v>
      </c>
      <c r="F3483" s="35" t="s">
        <v>11</v>
      </c>
    </row>
    <row r="3484" ht="22.5" customHeight="1">
      <c r="A3484" s="37" t="s">
        <v>7168</v>
      </c>
      <c r="B3484" s="35" t="s">
        <v>7169</v>
      </c>
      <c r="C3484" s="35">
        <v>78.0</v>
      </c>
      <c r="D3484" s="35">
        <v>70.0</v>
      </c>
      <c r="E3484" s="35" t="s">
        <v>11</v>
      </c>
      <c r="F3484" s="35" t="s">
        <v>11</v>
      </c>
    </row>
    <row r="3485" ht="22.5" customHeight="1">
      <c r="A3485" s="37" t="s">
        <v>7170</v>
      </c>
      <c r="B3485" s="35" t="s">
        <v>7171</v>
      </c>
      <c r="C3485" s="35">
        <v>285.0</v>
      </c>
      <c r="D3485" s="35">
        <v>255.0</v>
      </c>
      <c r="E3485" s="35">
        <v>27440.0</v>
      </c>
      <c r="F3485" s="35" t="s">
        <v>11</v>
      </c>
    </row>
    <row r="3486" ht="22.5" customHeight="1">
      <c r="A3486" s="37" t="s">
        <v>7172</v>
      </c>
      <c r="B3486" s="35" t="s">
        <v>7173</v>
      </c>
      <c r="C3486" s="35">
        <v>1239.0</v>
      </c>
      <c r="D3486" s="35">
        <v>1302.0</v>
      </c>
      <c r="E3486" s="35">
        <v>26680.0</v>
      </c>
      <c r="F3486" s="35" t="s">
        <v>11</v>
      </c>
    </row>
    <row r="3487" ht="22.5" customHeight="1">
      <c r="A3487" s="37" t="s">
        <v>7174</v>
      </c>
      <c r="B3487" s="35" t="s">
        <v>7175</v>
      </c>
      <c r="C3487" s="35">
        <v>53.0</v>
      </c>
      <c r="D3487" s="35">
        <v>51.0</v>
      </c>
      <c r="E3487" s="35" t="s">
        <v>11</v>
      </c>
      <c r="F3487" s="35" t="s">
        <v>11</v>
      </c>
    </row>
    <row r="3488" ht="22.5" customHeight="1">
      <c r="A3488" s="37" t="s">
        <v>7176</v>
      </c>
      <c r="B3488" s="35" t="s">
        <v>7177</v>
      </c>
      <c r="C3488" s="35">
        <v>599.0</v>
      </c>
      <c r="D3488" s="35">
        <v>575.0</v>
      </c>
      <c r="E3488" s="35">
        <v>23290.0</v>
      </c>
      <c r="F3488" s="35" t="s">
        <v>11</v>
      </c>
    </row>
    <row r="3489" ht="22.5" customHeight="1">
      <c r="A3489" s="37" t="s">
        <v>7178</v>
      </c>
      <c r="B3489" s="35" t="s">
        <v>7179</v>
      </c>
      <c r="C3489" s="35">
        <v>113.0</v>
      </c>
      <c r="D3489" s="35">
        <v>120.0</v>
      </c>
      <c r="E3489" s="35">
        <v>27630.0</v>
      </c>
      <c r="F3489" s="35" t="s">
        <v>11</v>
      </c>
    </row>
    <row r="3490" ht="22.5" customHeight="1">
      <c r="A3490" s="37" t="s">
        <v>7180</v>
      </c>
      <c r="B3490" s="35" t="s">
        <v>7181</v>
      </c>
      <c r="C3490" s="35">
        <v>825.0</v>
      </c>
      <c r="D3490" s="35">
        <v>840.0</v>
      </c>
      <c r="E3490" s="35">
        <v>23920.0</v>
      </c>
      <c r="F3490" s="35" t="s">
        <v>11</v>
      </c>
    </row>
    <row r="3491" ht="22.5" customHeight="1">
      <c r="A3491" s="37" t="s">
        <v>7182</v>
      </c>
      <c r="B3491" s="35" t="s">
        <v>7183</v>
      </c>
      <c r="C3491" s="35">
        <v>178.0</v>
      </c>
      <c r="D3491" s="35">
        <v>184.0</v>
      </c>
      <c r="E3491" s="35">
        <v>26270.0</v>
      </c>
      <c r="F3491" s="35" t="s">
        <v>11</v>
      </c>
    </row>
    <row r="3492" ht="22.5" customHeight="1">
      <c r="A3492" s="37" t="s">
        <v>7184</v>
      </c>
      <c r="B3492" s="35" t="s">
        <v>7185</v>
      </c>
      <c r="C3492" s="35">
        <v>122.0</v>
      </c>
      <c r="D3492" s="35">
        <v>128.0</v>
      </c>
      <c r="E3492" s="35">
        <v>25470.0</v>
      </c>
      <c r="F3492" s="35" t="s">
        <v>11</v>
      </c>
    </row>
    <row r="3493" ht="22.5" customHeight="1">
      <c r="A3493" s="37" t="s">
        <v>7186</v>
      </c>
      <c r="B3493" s="35" t="s">
        <v>7187</v>
      </c>
      <c r="C3493" s="35">
        <v>141.0</v>
      </c>
      <c r="D3493" s="35">
        <v>149.0</v>
      </c>
      <c r="E3493" s="35">
        <v>27780.0</v>
      </c>
      <c r="F3493" s="35" t="s">
        <v>11</v>
      </c>
    </row>
    <row r="3494" ht="22.5" customHeight="1">
      <c r="A3494" s="37" t="s">
        <v>7188</v>
      </c>
      <c r="B3494" s="35" t="s">
        <v>7189</v>
      </c>
      <c r="C3494" s="35">
        <v>200.0</v>
      </c>
      <c r="D3494" s="35">
        <v>190.0</v>
      </c>
      <c r="E3494" s="35">
        <v>25590.0</v>
      </c>
      <c r="F3494" s="35" t="s">
        <v>11</v>
      </c>
    </row>
    <row r="3495" ht="22.5" customHeight="1">
      <c r="A3495" s="37" t="s">
        <v>7190</v>
      </c>
      <c r="B3495" s="35" t="s">
        <v>7191</v>
      </c>
      <c r="C3495" s="35">
        <v>188.0</v>
      </c>
      <c r="D3495" s="35">
        <v>189.0</v>
      </c>
      <c r="E3495" s="35">
        <v>24510.0</v>
      </c>
      <c r="F3495" s="35" t="s">
        <v>11</v>
      </c>
    </row>
    <row r="3496" ht="22.5" customHeight="1">
      <c r="A3496" s="37" t="s">
        <v>7192</v>
      </c>
      <c r="B3496" s="35" t="s">
        <v>7193</v>
      </c>
      <c r="C3496" s="35">
        <v>422.0</v>
      </c>
      <c r="D3496" s="35">
        <v>410.0</v>
      </c>
      <c r="E3496" s="35">
        <v>23600.0</v>
      </c>
      <c r="F3496" s="35" t="s">
        <v>11</v>
      </c>
    </row>
    <row r="3497" ht="22.5" customHeight="1">
      <c r="A3497" s="37" t="s">
        <v>7194</v>
      </c>
      <c r="B3497" s="35" t="s">
        <v>7195</v>
      </c>
      <c r="C3497" s="35">
        <v>503.0</v>
      </c>
      <c r="D3497" s="35">
        <v>505.0</v>
      </c>
      <c r="E3497" s="35">
        <v>23290.0</v>
      </c>
      <c r="F3497" s="35" t="s">
        <v>11</v>
      </c>
    </row>
    <row r="3498" ht="22.5" customHeight="1">
      <c r="A3498" s="37" t="s">
        <v>7196</v>
      </c>
      <c r="B3498" s="35" t="s">
        <v>3886</v>
      </c>
      <c r="C3498" s="35">
        <v>180.0</v>
      </c>
      <c r="D3498" s="35">
        <v>205.0</v>
      </c>
      <c r="E3498" s="35">
        <v>24050.0</v>
      </c>
      <c r="F3498" s="35" t="s">
        <v>11</v>
      </c>
    </row>
    <row r="3499" ht="22.5" customHeight="1">
      <c r="A3499" s="37" t="s">
        <v>7197</v>
      </c>
      <c r="B3499" s="35" t="s">
        <v>7198</v>
      </c>
      <c r="C3499" s="35">
        <v>197.0</v>
      </c>
      <c r="D3499" s="35">
        <v>216.0</v>
      </c>
      <c r="E3499" s="35">
        <v>24570.0</v>
      </c>
      <c r="F3499" s="35" t="s">
        <v>11</v>
      </c>
    </row>
    <row r="3500" ht="22.5" customHeight="1">
      <c r="A3500" s="37" t="s">
        <v>7199</v>
      </c>
      <c r="B3500" s="35" t="s">
        <v>7200</v>
      </c>
      <c r="C3500" s="35">
        <v>106.0</v>
      </c>
      <c r="D3500" s="35">
        <v>107.0</v>
      </c>
      <c r="E3500" s="35" t="s">
        <v>11</v>
      </c>
      <c r="F3500" s="35" t="s">
        <v>11</v>
      </c>
    </row>
    <row r="3501" ht="22.5" customHeight="1">
      <c r="A3501" s="37" t="s">
        <v>7201</v>
      </c>
      <c r="B3501" s="35" t="s">
        <v>7202</v>
      </c>
      <c r="C3501" s="35">
        <v>1254.0</v>
      </c>
      <c r="D3501" s="35">
        <v>1285.0</v>
      </c>
      <c r="E3501" s="35">
        <v>26520.0</v>
      </c>
      <c r="F3501" s="35" t="s">
        <v>11</v>
      </c>
    </row>
    <row r="3502" ht="22.5" customHeight="1">
      <c r="A3502" s="37" t="s">
        <v>7203</v>
      </c>
      <c r="B3502" s="35" t="s">
        <v>7204</v>
      </c>
      <c r="C3502" s="35">
        <v>589.0</v>
      </c>
      <c r="D3502" s="35">
        <v>546.0</v>
      </c>
      <c r="E3502" s="35">
        <v>23430.0</v>
      </c>
      <c r="F3502" s="35" t="s">
        <v>11</v>
      </c>
    </row>
    <row r="3503" ht="22.5" customHeight="1">
      <c r="A3503" s="37" t="s">
        <v>7205</v>
      </c>
      <c r="B3503" s="35" t="s">
        <v>7206</v>
      </c>
      <c r="C3503" s="35">
        <v>175.0</v>
      </c>
      <c r="D3503" s="35">
        <v>183.0</v>
      </c>
      <c r="E3503" s="35">
        <v>26500.0</v>
      </c>
      <c r="F3503" s="35" t="s">
        <v>11</v>
      </c>
    </row>
    <row r="3504" ht="22.5" customHeight="1">
      <c r="A3504" s="37" t="s">
        <v>7207</v>
      </c>
      <c r="B3504" s="35" t="s">
        <v>7208</v>
      </c>
      <c r="C3504" s="35">
        <v>154.0</v>
      </c>
      <c r="D3504" s="35">
        <v>154.0</v>
      </c>
      <c r="E3504" s="35">
        <v>26330.0</v>
      </c>
      <c r="F3504" s="35" t="s">
        <v>11</v>
      </c>
    </row>
    <row r="3505" ht="22.5" customHeight="1">
      <c r="A3505" s="37" t="s">
        <v>7209</v>
      </c>
      <c r="B3505" s="35" t="s">
        <v>7210</v>
      </c>
      <c r="C3505" s="35">
        <v>310.0</v>
      </c>
      <c r="D3505" s="35">
        <v>298.0</v>
      </c>
      <c r="E3505" s="35">
        <v>25570.0</v>
      </c>
      <c r="F3505" s="35" t="s">
        <v>11</v>
      </c>
    </row>
    <row r="3506" ht="22.5" customHeight="1">
      <c r="A3506" s="37" t="s">
        <v>7211</v>
      </c>
      <c r="B3506" s="35" t="s">
        <v>7212</v>
      </c>
      <c r="C3506" s="35">
        <v>6.0</v>
      </c>
      <c r="D3506" s="35">
        <v>9.0</v>
      </c>
      <c r="E3506" s="35" t="s">
        <v>11</v>
      </c>
      <c r="F3506" s="35" t="s">
        <v>11</v>
      </c>
    </row>
    <row r="3507" ht="22.5" customHeight="1">
      <c r="A3507" s="37" t="s">
        <v>7213</v>
      </c>
      <c r="B3507" s="35" t="s">
        <v>7214</v>
      </c>
      <c r="C3507" s="35">
        <v>197.0</v>
      </c>
      <c r="D3507" s="35">
        <v>183.0</v>
      </c>
      <c r="E3507" s="35">
        <v>23900.0</v>
      </c>
      <c r="F3507" s="35" t="s">
        <v>11</v>
      </c>
    </row>
    <row r="3508" ht="22.5" customHeight="1">
      <c r="A3508" s="37" t="s">
        <v>7215</v>
      </c>
      <c r="B3508" s="35" t="s">
        <v>7216</v>
      </c>
      <c r="C3508" s="35">
        <v>604.0</v>
      </c>
      <c r="D3508" s="35">
        <v>587.0</v>
      </c>
      <c r="E3508" s="35">
        <v>25310.0</v>
      </c>
      <c r="F3508" s="35" t="s">
        <v>11</v>
      </c>
    </row>
    <row r="3509" ht="22.5" customHeight="1">
      <c r="A3509" s="37" t="s">
        <v>7217</v>
      </c>
      <c r="B3509" s="35" t="s">
        <v>7218</v>
      </c>
      <c r="C3509" s="35">
        <v>103.0</v>
      </c>
      <c r="D3509" s="35">
        <v>106.0</v>
      </c>
      <c r="E3509" s="35">
        <v>24240.0</v>
      </c>
      <c r="F3509" s="35" t="s">
        <v>11</v>
      </c>
    </row>
    <row r="3510" ht="22.5" customHeight="1">
      <c r="A3510" s="37" t="s">
        <v>7219</v>
      </c>
      <c r="B3510" s="35" t="s">
        <v>7220</v>
      </c>
      <c r="C3510" s="35">
        <v>2825.0</v>
      </c>
      <c r="D3510" s="35">
        <v>2540.0</v>
      </c>
      <c r="E3510" s="35">
        <v>22890.0</v>
      </c>
      <c r="F3510" s="35">
        <v>22.0</v>
      </c>
    </row>
    <row r="3511" ht="22.5" customHeight="1">
      <c r="A3511" s="37" t="s">
        <v>7221</v>
      </c>
      <c r="B3511" s="35" t="s">
        <v>7222</v>
      </c>
      <c r="C3511" s="35">
        <v>176.0</v>
      </c>
      <c r="D3511" s="35">
        <v>144.0</v>
      </c>
      <c r="E3511" s="35">
        <v>24370.0</v>
      </c>
      <c r="F3511" s="35" t="s">
        <v>11</v>
      </c>
    </row>
    <row r="3512" ht="22.5" customHeight="1">
      <c r="A3512" s="37" t="s">
        <v>7223</v>
      </c>
      <c r="B3512" s="35" t="s">
        <v>7224</v>
      </c>
      <c r="C3512" s="35">
        <v>288.0</v>
      </c>
      <c r="D3512" s="35">
        <v>290.0</v>
      </c>
      <c r="E3512" s="35">
        <v>25260.0</v>
      </c>
      <c r="F3512" s="35" t="s">
        <v>11</v>
      </c>
    </row>
    <row r="3513" ht="22.5" customHeight="1">
      <c r="A3513" s="37" t="s">
        <v>7225</v>
      </c>
      <c r="B3513" s="35" t="s">
        <v>7226</v>
      </c>
      <c r="C3513" s="35">
        <v>88.0</v>
      </c>
      <c r="D3513" s="35">
        <v>88.0</v>
      </c>
      <c r="E3513" s="35" t="s">
        <v>11</v>
      </c>
      <c r="F3513" s="35" t="s">
        <v>11</v>
      </c>
    </row>
    <row r="3514" ht="22.5" customHeight="1">
      <c r="A3514" s="37" t="s">
        <v>7227</v>
      </c>
      <c r="B3514" s="35" t="s">
        <v>7228</v>
      </c>
      <c r="C3514" s="35">
        <v>126.0</v>
      </c>
      <c r="D3514" s="35">
        <v>105.0</v>
      </c>
      <c r="E3514" s="35" t="s">
        <v>11</v>
      </c>
      <c r="F3514" s="35" t="s">
        <v>11</v>
      </c>
    </row>
    <row r="3515" ht="22.5" customHeight="1">
      <c r="A3515" s="37" t="s">
        <v>7229</v>
      </c>
      <c r="B3515" s="35" t="s">
        <v>7230</v>
      </c>
      <c r="C3515" s="35">
        <v>238.0</v>
      </c>
      <c r="D3515" s="35">
        <v>237.0</v>
      </c>
      <c r="E3515" s="35">
        <v>25900.0</v>
      </c>
      <c r="F3515" s="35" t="s">
        <v>11</v>
      </c>
    </row>
    <row r="3516" ht="22.5" customHeight="1">
      <c r="A3516" s="37" t="s">
        <v>7231</v>
      </c>
      <c r="B3516" s="35" t="s">
        <v>7232</v>
      </c>
      <c r="C3516" s="35">
        <v>188.0</v>
      </c>
      <c r="D3516" s="35">
        <v>217.0</v>
      </c>
      <c r="E3516" s="35">
        <v>24870.0</v>
      </c>
      <c r="F3516" s="35" t="s">
        <v>11</v>
      </c>
    </row>
    <row r="3517" ht="22.5" customHeight="1">
      <c r="A3517" s="37" t="s">
        <v>7233</v>
      </c>
      <c r="B3517" s="35" t="s">
        <v>7234</v>
      </c>
      <c r="C3517" s="35">
        <v>561.0</v>
      </c>
      <c r="D3517" s="35">
        <v>569.0</v>
      </c>
      <c r="E3517" s="35">
        <v>24580.0</v>
      </c>
      <c r="F3517" s="35" t="s">
        <v>11</v>
      </c>
    </row>
    <row r="3518" ht="22.5" customHeight="1">
      <c r="A3518" s="37" t="s">
        <v>7235</v>
      </c>
      <c r="B3518" s="35" t="s">
        <v>7236</v>
      </c>
      <c r="C3518" s="35">
        <v>118.0</v>
      </c>
      <c r="D3518" s="35">
        <v>122.0</v>
      </c>
      <c r="E3518" s="35">
        <v>25440.0</v>
      </c>
      <c r="F3518" s="35" t="s">
        <v>11</v>
      </c>
    </row>
    <row r="3519" ht="22.5" customHeight="1">
      <c r="A3519" s="37" t="s">
        <v>7237</v>
      </c>
      <c r="B3519" s="35" t="s">
        <v>7238</v>
      </c>
      <c r="C3519" s="35">
        <v>188.0</v>
      </c>
      <c r="D3519" s="35">
        <v>184.0</v>
      </c>
      <c r="E3519" s="35">
        <v>23090.0</v>
      </c>
      <c r="F3519" s="35" t="s">
        <v>11</v>
      </c>
    </row>
    <row r="3520" ht="22.5" customHeight="1">
      <c r="A3520" s="37" t="s">
        <v>7239</v>
      </c>
      <c r="B3520" s="35" t="s">
        <v>7240</v>
      </c>
      <c r="C3520" s="35">
        <v>589.0</v>
      </c>
      <c r="D3520" s="35">
        <v>521.0</v>
      </c>
      <c r="E3520" s="35">
        <v>27330.0</v>
      </c>
      <c r="F3520" s="35" t="s">
        <v>11</v>
      </c>
    </row>
    <row r="3521" ht="22.5" customHeight="1">
      <c r="A3521" s="37" t="s">
        <v>7241</v>
      </c>
      <c r="B3521" s="35" t="s">
        <v>7242</v>
      </c>
      <c r="C3521" s="35">
        <v>564.0</v>
      </c>
      <c r="D3521" s="35">
        <v>604.0</v>
      </c>
      <c r="E3521" s="35">
        <v>27120.0</v>
      </c>
      <c r="F3521" s="35" t="s">
        <v>11</v>
      </c>
    </row>
    <row r="3522" ht="22.5" customHeight="1">
      <c r="A3522" s="37" t="s">
        <v>7243</v>
      </c>
      <c r="B3522" s="35" t="s">
        <v>7244</v>
      </c>
      <c r="C3522" s="35">
        <v>211.0</v>
      </c>
      <c r="D3522" s="35">
        <v>202.0</v>
      </c>
      <c r="E3522" s="35">
        <v>25370.0</v>
      </c>
      <c r="F3522" s="35" t="s">
        <v>11</v>
      </c>
    </row>
    <row r="3523" ht="22.5" customHeight="1">
      <c r="A3523" s="37" t="s">
        <v>7245</v>
      </c>
      <c r="B3523" s="35" t="s">
        <v>7246</v>
      </c>
      <c r="C3523" s="35">
        <v>359.0</v>
      </c>
      <c r="D3523" s="35">
        <v>337.0</v>
      </c>
      <c r="E3523" s="35">
        <v>24430.0</v>
      </c>
      <c r="F3523" s="35" t="s">
        <v>11</v>
      </c>
    </row>
    <row r="3524" ht="22.5" customHeight="1">
      <c r="A3524" s="37" t="s">
        <v>7247</v>
      </c>
      <c r="B3524" s="35" t="s">
        <v>7248</v>
      </c>
      <c r="C3524" s="35">
        <v>664.0</v>
      </c>
      <c r="D3524" s="35">
        <v>620.0</v>
      </c>
      <c r="E3524" s="35">
        <v>24410.0</v>
      </c>
      <c r="F3524" s="35" t="s">
        <v>11</v>
      </c>
    </row>
    <row r="3525" ht="22.5" customHeight="1">
      <c r="A3525" s="37" t="s">
        <v>7249</v>
      </c>
      <c r="B3525" s="35" t="s">
        <v>7250</v>
      </c>
      <c r="C3525" s="35">
        <v>144.0</v>
      </c>
      <c r="D3525" s="35">
        <v>121.0</v>
      </c>
      <c r="E3525" s="35">
        <v>27490.0</v>
      </c>
      <c r="F3525" s="35" t="s">
        <v>11</v>
      </c>
    </row>
    <row r="3526" ht="22.5" customHeight="1">
      <c r="A3526" s="37" t="s">
        <v>7251</v>
      </c>
      <c r="B3526" s="35" t="s">
        <v>7252</v>
      </c>
      <c r="C3526" s="35">
        <v>1201.0</v>
      </c>
      <c r="D3526" s="35">
        <v>1109.0</v>
      </c>
      <c r="E3526" s="35">
        <v>22940.0</v>
      </c>
      <c r="F3526" s="35" t="s">
        <v>11</v>
      </c>
    </row>
    <row r="3527" ht="22.5" customHeight="1">
      <c r="A3527" s="37" t="s">
        <v>7253</v>
      </c>
      <c r="B3527" s="35" t="s">
        <v>7254</v>
      </c>
      <c r="C3527" s="35">
        <v>322.0</v>
      </c>
      <c r="D3527" s="35">
        <v>349.0</v>
      </c>
      <c r="E3527" s="35">
        <v>30130.0</v>
      </c>
      <c r="F3527" s="35" t="s">
        <v>11</v>
      </c>
    </row>
    <row r="3528" ht="22.5" customHeight="1">
      <c r="A3528" s="37" t="s">
        <v>7255</v>
      </c>
      <c r="B3528" s="35" t="s">
        <v>7256</v>
      </c>
      <c r="C3528" s="35">
        <v>958.0</v>
      </c>
      <c r="D3528" s="35">
        <v>921.0</v>
      </c>
      <c r="E3528" s="35">
        <v>25280.0</v>
      </c>
      <c r="F3528" s="35" t="s">
        <v>11</v>
      </c>
    </row>
    <row r="3529" ht="22.5" customHeight="1">
      <c r="A3529" s="37" t="s">
        <v>7257</v>
      </c>
      <c r="B3529" s="35" t="s">
        <v>7258</v>
      </c>
      <c r="C3529" s="35">
        <v>643.0</v>
      </c>
      <c r="D3529" s="35">
        <v>593.0</v>
      </c>
      <c r="E3529" s="35">
        <v>24880.0</v>
      </c>
      <c r="F3529" s="35" t="s">
        <v>11</v>
      </c>
    </row>
    <row r="3530" ht="22.5" customHeight="1">
      <c r="A3530" s="37" t="s">
        <v>7259</v>
      </c>
      <c r="B3530" s="35" t="s">
        <v>7260</v>
      </c>
      <c r="C3530" s="35">
        <v>558.0</v>
      </c>
      <c r="D3530" s="35">
        <v>585.0</v>
      </c>
      <c r="E3530" s="35">
        <v>25180.0</v>
      </c>
      <c r="F3530" s="35" t="s">
        <v>11</v>
      </c>
    </row>
    <row r="3531" ht="22.5" customHeight="1">
      <c r="A3531" s="37" t="s">
        <v>7261</v>
      </c>
      <c r="B3531" s="35" t="s">
        <v>7262</v>
      </c>
      <c r="C3531" s="35">
        <v>606.0</v>
      </c>
      <c r="D3531" s="35">
        <v>594.0</v>
      </c>
      <c r="E3531" s="35">
        <v>25010.0</v>
      </c>
      <c r="F3531" s="35" t="s">
        <v>11</v>
      </c>
    </row>
    <row r="3532" ht="22.5" customHeight="1">
      <c r="A3532" s="37" t="s">
        <v>7263</v>
      </c>
      <c r="B3532" s="35" t="s">
        <v>7264</v>
      </c>
      <c r="C3532" s="35">
        <v>227.0</v>
      </c>
      <c r="D3532" s="35">
        <v>216.0</v>
      </c>
      <c r="E3532" s="35">
        <v>26520.0</v>
      </c>
      <c r="F3532" s="35" t="s">
        <v>11</v>
      </c>
    </row>
    <row r="3533" ht="22.5" customHeight="1">
      <c r="A3533" s="37" t="s">
        <v>7265</v>
      </c>
      <c r="B3533" s="35" t="s">
        <v>7266</v>
      </c>
      <c r="C3533" s="35">
        <v>145.0</v>
      </c>
      <c r="D3533" s="35">
        <v>146.0</v>
      </c>
      <c r="E3533" s="35">
        <v>25330.0</v>
      </c>
      <c r="F3533" s="35" t="s">
        <v>11</v>
      </c>
    </row>
    <row r="3534" ht="22.5" customHeight="1">
      <c r="A3534" s="37" t="s">
        <v>7267</v>
      </c>
      <c r="B3534" s="35" t="s">
        <v>7268</v>
      </c>
      <c r="C3534" s="35">
        <v>214.0</v>
      </c>
      <c r="D3534" s="35">
        <v>217.0</v>
      </c>
      <c r="E3534" s="35">
        <v>26770.0</v>
      </c>
      <c r="F3534" s="35" t="s">
        <v>11</v>
      </c>
    </row>
    <row r="3535" ht="22.5" customHeight="1">
      <c r="A3535" s="37" t="s">
        <v>7269</v>
      </c>
      <c r="B3535" s="35" t="s">
        <v>7270</v>
      </c>
      <c r="C3535" s="35">
        <v>6255.0</v>
      </c>
      <c r="D3535" s="35">
        <v>5935.0</v>
      </c>
      <c r="E3535" s="35">
        <v>21880.0</v>
      </c>
      <c r="F3535" s="35">
        <v>23.0</v>
      </c>
    </row>
    <row r="3536" ht="22.5" customHeight="1">
      <c r="A3536" s="37" t="s">
        <v>7271</v>
      </c>
      <c r="B3536" s="35" t="s">
        <v>7272</v>
      </c>
      <c r="C3536" s="35">
        <v>205.0</v>
      </c>
      <c r="D3536" s="35">
        <v>175.0</v>
      </c>
      <c r="E3536" s="35">
        <v>30960.0</v>
      </c>
      <c r="F3536" s="35" t="s">
        <v>11</v>
      </c>
    </row>
    <row r="3537" ht="22.5" customHeight="1">
      <c r="A3537" s="37" t="s">
        <v>7273</v>
      </c>
      <c r="B3537" s="35" t="s">
        <v>7274</v>
      </c>
      <c r="C3537" s="35">
        <v>95.0</v>
      </c>
      <c r="D3537" s="35">
        <v>102.0</v>
      </c>
      <c r="E3537" s="35">
        <v>22060.0</v>
      </c>
      <c r="F3537" s="35" t="s">
        <v>11</v>
      </c>
    </row>
    <row r="3538" ht="22.5" customHeight="1">
      <c r="A3538" s="37" t="s">
        <v>7275</v>
      </c>
      <c r="B3538" s="35" t="s">
        <v>7276</v>
      </c>
      <c r="C3538" s="35">
        <v>82.0</v>
      </c>
      <c r="D3538" s="35">
        <v>93.0</v>
      </c>
      <c r="E3538" s="35" t="s">
        <v>11</v>
      </c>
      <c r="F3538" s="35" t="s">
        <v>11</v>
      </c>
    </row>
    <row r="3539" ht="22.5" customHeight="1">
      <c r="A3539" s="37" t="s">
        <v>7277</v>
      </c>
      <c r="B3539" s="35" t="s">
        <v>7278</v>
      </c>
      <c r="C3539" s="35">
        <v>327.0</v>
      </c>
      <c r="D3539" s="35">
        <v>339.0</v>
      </c>
      <c r="E3539" s="35">
        <v>26160.0</v>
      </c>
      <c r="F3539" s="35" t="s">
        <v>11</v>
      </c>
    </row>
    <row r="3540" ht="22.5" customHeight="1">
      <c r="A3540" s="37" t="s">
        <v>7279</v>
      </c>
      <c r="B3540" s="35" t="s">
        <v>7280</v>
      </c>
      <c r="C3540" s="35">
        <v>352.0</v>
      </c>
      <c r="D3540" s="35">
        <v>362.0</v>
      </c>
      <c r="E3540" s="35">
        <v>23660.0</v>
      </c>
      <c r="F3540" s="35" t="s">
        <v>11</v>
      </c>
    </row>
    <row r="3541" ht="22.5" customHeight="1">
      <c r="A3541" s="37" t="s">
        <v>7281</v>
      </c>
      <c r="B3541" s="35" t="s">
        <v>1251</v>
      </c>
      <c r="C3541" s="35">
        <v>312.0</v>
      </c>
      <c r="D3541" s="35">
        <v>327.0</v>
      </c>
      <c r="E3541" s="35">
        <v>22990.0</v>
      </c>
      <c r="F3541" s="35" t="s">
        <v>11</v>
      </c>
    </row>
    <row r="3542" ht="22.5" customHeight="1">
      <c r="A3542" s="37" t="s">
        <v>7282</v>
      </c>
      <c r="B3542" s="35" t="s">
        <v>7283</v>
      </c>
      <c r="C3542" s="35">
        <v>3980.0</v>
      </c>
      <c r="D3542" s="35">
        <v>3936.0</v>
      </c>
      <c r="E3542" s="35">
        <v>23770.0</v>
      </c>
      <c r="F3542" s="35">
        <v>15.0</v>
      </c>
    </row>
    <row r="3543" ht="22.5" customHeight="1">
      <c r="A3543" s="37" t="s">
        <v>7284</v>
      </c>
      <c r="B3543" s="35" t="s">
        <v>7285</v>
      </c>
      <c r="C3543" s="35">
        <v>518.0</v>
      </c>
      <c r="D3543" s="35">
        <v>469.0</v>
      </c>
      <c r="E3543" s="35">
        <v>24740.0</v>
      </c>
      <c r="F3543" s="35" t="s">
        <v>11</v>
      </c>
    </row>
    <row r="3544" ht="22.5" customHeight="1">
      <c r="A3544" s="37" t="s">
        <v>7286</v>
      </c>
      <c r="B3544" s="35" t="s">
        <v>7287</v>
      </c>
      <c r="C3544" s="35">
        <v>371.0</v>
      </c>
      <c r="D3544" s="35">
        <v>382.0</v>
      </c>
      <c r="E3544" s="35">
        <v>25850.0</v>
      </c>
      <c r="F3544" s="35" t="s">
        <v>11</v>
      </c>
    </row>
    <row r="3545" ht="22.5" customHeight="1">
      <c r="A3545" s="37" t="s">
        <v>7288</v>
      </c>
      <c r="B3545" s="35" t="s">
        <v>7289</v>
      </c>
      <c r="C3545" s="35">
        <v>406.0</v>
      </c>
      <c r="D3545" s="35">
        <v>372.0</v>
      </c>
      <c r="E3545" s="35">
        <v>25320.0</v>
      </c>
      <c r="F3545" s="35" t="s">
        <v>11</v>
      </c>
    </row>
    <row r="3546" ht="22.5" customHeight="1">
      <c r="A3546" s="37" t="s">
        <v>7290</v>
      </c>
      <c r="B3546" s="35" t="s">
        <v>7291</v>
      </c>
      <c r="C3546" s="35">
        <v>93.0</v>
      </c>
      <c r="D3546" s="35">
        <v>96.0</v>
      </c>
      <c r="E3546" s="35" t="s">
        <v>11</v>
      </c>
      <c r="F3546" s="35" t="s">
        <v>11</v>
      </c>
    </row>
    <row r="3547" ht="22.5" customHeight="1">
      <c r="A3547" s="37" t="s">
        <v>7292</v>
      </c>
      <c r="B3547" s="35" t="s">
        <v>7293</v>
      </c>
      <c r="C3547" s="35">
        <v>86.0</v>
      </c>
      <c r="D3547" s="35">
        <v>75.0</v>
      </c>
      <c r="E3547" s="35" t="s">
        <v>11</v>
      </c>
      <c r="F3547" s="35" t="s">
        <v>11</v>
      </c>
    </row>
    <row r="3548" ht="22.5" customHeight="1">
      <c r="A3548" s="37" t="s">
        <v>7294</v>
      </c>
      <c r="B3548" s="35" t="s">
        <v>7295</v>
      </c>
      <c r="C3548" s="35">
        <v>317.0</v>
      </c>
      <c r="D3548" s="35">
        <v>314.0</v>
      </c>
      <c r="E3548" s="35">
        <v>24910.0</v>
      </c>
      <c r="F3548" s="35" t="s">
        <v>11</v>
      </c>
    </row>
    <row r="3549" ht="22.5" customHeight="1">
      <c r="A3549" s="37" t="s">
        <v>7296</v>
      </c>
      <c r="B3549" s="35" t="s">
        <v>7297</v>
      </c>
      <c r="C3549" s="35">
        <v>181.0</v>
      </c>
      <c r="D3549" s="35">
        <v>165.0</v>
      </c>
      <c r="E3549" s="35">
        <v>26190.0</v>
      </c>
      <c r="F3549" s="35" t="s">
        <v>11</v>
      </c>
    </row>
    <row r="3550" ht="22.5" customHeight="1">
      <c r="A3550" s="37" t="s">
        <v>7298</v>
      </c>
      <c r="B3550" s="35" t="s">
        <v>3983</v>
      </c>
      <c r="C3550" s="35">
        <v>716.0</v>
      </c>
      <c r="D3550" s="35">
        <v>693.0</v>
      </c>
      <c r="E3550" s="35">
        <v>25830.0</v>
      </c>
      <c r="F3550" s="35" t="s">
        <v>11</v>
      </c>
    </row>
    <row r="3551" ht="22.5" customHeight="1">
      <c r="A3551" s="37" t="s">
        <v>7299</v>
      </c>
      <c r="B3551" s="35" t="s">
        <v>7300</v>
      </c>
      <c r="C3551" s="35">
        <v>831.0</v>
      </c>
      <c r="D3551" s="35">
        <v>789.0</v>
      </c>
      <c r="E3551" s="35">
        <v>23310.0</v>
      </c>
      <c r="F3551" s="35" t="s">
        <v>11</v>
      </c>
    </row>
    <row r="3552" ht="22.5" customHeight="1">
      <c r="A3552" s="37" t="s">
        <v>7301</v>
      </c>
      <c r="B3552" s="35" t="s">
        <v>7302</v>
      </c>
      <c r="C3552" s="35">
        <v>248.0</v>
      </c>
      <c r="D3552" s="35">
        <v>261.0</v>
      </c>
      <c r="E3552" s="35">
        <v>24860.0</v>
      </c>
      <c r="F3552" s="35" t="s">
        <v>11</v>
      </c>
    </row>
    <row r="3553" ht="22.5" customHeight="1">
      <c r="A3553" s="37" t="s">
        <v>7303</v>
      </c>
      <c r="B3553" s="35" t="s">
        <v>7304</v>
      </c>
      <c r="C3553" s="35">
        <v>987.0</v>
      </c>
      <c r="D3553" s="35">
        <v>1013.0</v>
      </c>
      <c r="E3553" s="35">
        <v>27150.0</v>
      </c>
      <c r="F3553" s="35" t="s">
        <v>11</v>
      </c>
    </row>
    <row r="3554" ht="22.5" customHeight="1">
      <c r="A3554" s="37" t="s">
        <v>7305</v>
      </c>
      <c r="B3554" s="35" t="s">
        <v>7306</v>
      </c>
      <c r="C3554" s="35">
        <v>289.0</v>
      </c>
      <c r="D3554" s="35">
        <v>277.0</v>
      </c>
      <c r="E3554" s="35">
        <v>31160.0</v>
      </c>
      <c r="F3554" s="35" t="s">
        <v>11</v>
      </c>
    </row>
    <row r="3555" ht="22.5" customHeight="1">
      <c r="A3555" s="37" t="s">
        <v>7307</v>
      </c>
      <c r="B3555" s="35" t="s">
        <v>7308</v>
      </c>
      <c r="C3555" s="35">
        <v>1080.0</v>
      </c>
      <c r="D3555" s="35">
        <v>1047.0</v>
      </c>
      <c r="E3555" s="35">
        <v>28690.0</v>
      </c>
      <c r="F3555" s="35" t="s">
        <v>11</v>
      </c>
    </row>
    <row r="3556" ht="22.5" customHeight="1">
      <c r="A3556" s="37" t="s">
        <v>7309</v>
      </c>
      <c r="B3556" s="35" t="s">
        <v>7310</v>
      </c>
      <c r="C3556" s="35">
        <v>2339.0</v>
      </c>
      <c r="D3556" s="35">
        <v>2284.0</v>
      </c>
      <c r="E3556" s="35">
        <v>22030.0</v>
      </c>
      <c r="F3556" s="35">
        <v>21.0</v>
      </c>
    </row>
    <row r="3557" ht="22.5" customHeight="1">
      <c r="A3557" s="37" t="s">
        <v>7311</v>
      </c>
      <c r="B3557" s="35" t="s">
        <v>7312</v>
      </c>
      <c r="C3557" s="35">
        <v>156.0</v>
      </c>
      <c r="D3557" s="35">
        <v>174.0</v>
      </c>
      <c r="E3557" s="35">
        <v>22000.0</v>
      </c>
      <c r="F3557" s="35" t="s">
        <v>11</v>
      </c>
    </row>
    <row r="3558" ht="22.5" customHeight="1">
      <c r="A3558" s="37" t="s">
        <v>7313</v>
      </c>
      <c r="B3558" s="35" t="s">
        <v>7314</v>
      </c>
      <c r="C3558" s="35">
        <v>81.0</v>
      </c>
      <c r="D3558" s="35">
        <v>89.0</v>
      </c>
      <c r="E3558" s="35" t="s">
        <v>11</v>
      </c>
      <c r="F3558" s="35" t="s">
        <v>11</v>
      </c>
    </row>
    <row r="3559" ht="22.5" customHeight="1">
      <c r="A3559" s="37" t="s">
        <v>7315</v>
      </c>
      <c r="B3559" s="35" t="s">
        <v>7316</v>
      </c>
      <c r="C3559" s="35">
        <v>361.0</v>
      </c>
      <c r="D3559" s="35">
        <v>368.0</v>
      </c>
      <c r="E3559" s="35">
        <v>26030.0</v>
      </c>
      <c r="F3559" s="35" t="s">
        <v>11</v>
      </c>
    </row>
    <row r="3560" ht="22.5" customHeight="1">
      <c r="A3560" s="37" t="s">
        <v>7317</v>
      </c>
      <c r="B3560" s="35" t="s">
        <v>7318</v>
      </c>
      <c r="C3560" s="35">
        <v>96.0</v>
      </c>
      <c r="D3560" s="35">
        <v>106.0</v>
      </c>
      <c r="E3560" s="35" t="s">
        <v>11</v>
      </c>
      <c r="F3560" s="35" t="s">
        <v>11</v>
      </c>
    </row>
    <row r="3561" ht="22.5" customHeight="1">
      <c r="A3561" s="37" t="s">
        <v>7319</v>
      </c>
      <c r="B3561" s="35" t="s">
        <v>7320</v>
      </c>
      <c r="C3561" s="35">
        <v>323.0</v>
      </c>
      <c r="D3561" s="35">
        <v>334.0</v>
      </c>
      <c r="E3561" s="35">
        <v>27230.0</v>
      </c>
      <c r="F3561" s="35" t="s">
        <v>11</v>
      </c>
    </row>
    <row r="3562" ht="22.5" customHeight="1">
      <c r="A3562" s="37" t="s">
        <v>7321</v>
      </c>
      <c r="B3562" s="35" t="s">
        <v>7322</v>
      </c>
      <c r="C3562" s="35">
        <v>153.0</v>
      </c>
      <c r="D3562" s="35">
        <v>144.0</v>
      </c>
      <c r="E3562" s="35">
        <v>23110.0</v>
      </c>
      <c r="F3562" s="35" t="s">
        <v>11</v>
      </c>
    </row>
    <row r="3563" ht="22.5" customHeight="1">
      <c r="A3563" s="37" t="s">
        <v>7323</v>
      </c>
      <c r="B3563" s="35" t="s">
        <v>7324</v>
      </c>
      <c r="C3563" s="35">
        <v>521.0</v>
      </c>
      <c r="D3563" s="35">
        <v>509.0</v>
      </c>
      <c r="E3563" s="35">
        <v>22750.0</v>
      </c>
      <c r="F3563" s="35" t="s">
        <v>11</v>
      </c>
    </row>
    <row r="3564" ht="22.5" customHeight="1">
      <c r="A3564" s="37" t="s">
        <v>7325</v>
      </c>
      <c r="B3564" s="35" t="s">
        <v>7326</v>
      </c>
      <c r="C3564" s="35">
        <v>266.0</v>
      </c>
      <c r="D3564" s="35">
        <v>263.0</v>
      </c>
      <c r="E3564" s="35">
        <v>26010.0</v>
      </c>
      <c r="F3564" s="35" t="s">
        <v>11</v>
      </c>
    </row>
    <row r="3565" ht="22.5" customHeight="1">
      <c r="A3565" s="37" t="s">
        <v>7327</v>
      </c>
      <c r="B3565" s="35" t="s">
        <v>7328</v>
      </c>
      <c r="C3565" s="35">
        <v>285.0</v>
      </c>
      <c r="D3565" s="35">
        <v>263.0</v>
      </c>
      <c r="E3565" s="35">
        <v>26100.0</v>
      </c>
      <c r="F3565" s="35" t="s">
        <v>11</v>
      </c>
    </row>
    <row r="3566" ht="22.5" customHeight="1">
      <c r="A3566" s="37" t="s">
        <v>7329</v>
      </c>
      <c r="B3566" s="35" t="s">
        <v>1305</v>
      </c>
      <c r="C3566" s="35">
        <v>222.0</v>
      </c>
      <c r="D3566" s="35">
        <v>212.0</v>
      </c>
      <c r="E3566" s="35">
        <v>23240.0</v>
      </c>
      <c r="F3566" s="35" t="s">
        <v>11</v>
      </c>
    </row>
    <row r="3567" ht="22.5" customHeight="1">
      <c r="A3567" s="37" t="s">
        <v>7330</v>
      </c>
      <c r="B3567" s="35" t="s">
        <v>7331</v>
      </c>
      <c r="C3567" s="35">
        <v>853.0</v>
      </c>
      <c r="D3567" s="35">
        <v>828.0</v>
      </c>
      <c r="E3567" s="35">
        <v>24540.0</v>
      </c>
      <c r="F3567" s="35" t="s">
        <v>11</v>
      </c>
    </row>
    <row r="3568" ht="22.5" customHeight="1">
      <c r="A3568" s="37" t="s">
        <v>7332</v>
      </c>
      <c r="B3568" s="35" t="s">
        <v>7333</v>
      </c>
      <c r="C3568" s="35">
        <v>1316.0</v>
      </c>
      <c r="D3568" s="35">
        <v>1196.0</v>
      </c>
      <c r="E3568" s="35">
        <v>23150.0</v>
      </c>
      <c r="F3568" s="35" t="s">
        <v>11</v>
      </c>
    </row>
    <row r="3569" ht="22.5" customHeight="1">
      <c r="A3569" s="37" t="s">
        <v>7334</v>
      </c>
      <c r="B3569" s="35" t="s">
        <v>7335</v>
      </c>
      <c r="C3569" s="35">
        <v>243.0</v>
      </c>
      <c r="D3569" s="35">
        <v>242.0</v>
      </c>
      <c r="E3569" s="35">
        <v>22800.0</v>
      </c>
      <c r="F3569" s="35" t="s">
        <v>11</v>
      </c>
    </row>
    <row r="3570" ht="22.5" customHeight="1">
      <c r="A3570" s="37" t="s">
        <v>7336</v>
      </c>
      <c r="B3570" s="35" t="s">
        <v>7337</v>
      </c>
      <c r="C3570" s="35">
        <v>730.0</v>
      </c>
      <c r="D3570" s="35">
        <v>636.0</v>
      </c>
      <c r="E3570" s="35">
        <v>24530.0</v>
      </c>
      <c r="F3570" s="35" t="s">
        <v>11</v>
      </c>
    </row>
    <row r="3571" ht="22.5" customHeight="1">
      <c r="A3571" s="37" t="s">
        <v>7338</v>
      </c>
      <c r="B3571" s="35" t="s">
        <v>7339</v>
      </c>
      <c r="C3571" s="35">
        <v>387.0</v>
      </c>
      <c r="D3571" s="35">
        <v>373.0</v>
      </c>
      <c r="E3571" s="35">
        <v>24250.0</v>
      </c>
      <c r="F3571" s="35" t="s">
        <v>11</v>
      </c>
    </row>
    <row r="3572" ht="22.5" customHeight="1">
      <c r="A3572" s="37" t="s">
        <v>7340</v>
      </c>
      <c r="B3572" s="35" t="s">
        <v>7341</v>
      </c>
      <c r="C3572" s="35">
        <v>127.0</v>
      </c>
      <c r="D3572" s="35">
        <v>121.0</v>
      </c>
      <c r="E3572" s="35">
        <v>25940.0</v>
      </c>
      <c r="F3572" s="35" t="s">
        <v>11</v>
      </c>
    </row>
    <row r="3573" ht="22.5" customHeight="1">
      <c r="A3573" s="37" t="s">
        <v>7342</v>
      </c>
      <c r="B3573" s="35" t="s">
        <v>7343</v>
      </c>
      <c r="C3573" s="35">
        <v>317.0</v>
      </c>
      <c r="D3573" s="35">
        <v>322.0</v>
      </c>
      <c r="E3573" s="35">
        <v>25730.0</v>
      </c>
      <c r="F3573" s="35" t="s">
        <v>11</v>
      </c>
    </row>
    <row r="3574" ht="22.5" customHeight="1">
      <c r="A3574" s="37" t="s">
        <v>7344</v>
      </c>
      <c r="B3574" s="35" t="s">
        <v>7345</v>
      </c>
      <c r="C3574" s="35">
        <v>74.0</v>
      </c>
      <c r="D3574" s="35">
        <v>83.0</v>
      </c>
      <c r="E3574" s="35" t="s">
        <v>11</v>
      </c>
      <c r="F3574" s="35" t="s">
        <v>11</v>
      </c>
    </row>
    <row r="3575" ht="22.5" customHeight="1">
      <c r="A3575" s="37" t="s">
        <v>7346</v>
      </c>
      <c r="B3575" s="35" t="s">
        <v>4041</v>
      </c>
      <c r="C3575" s="35">
        <v>217.0</v>
      </c>
      <c r="D3575" s="35">
        <v>196.0</v>
      </c>
      <c r="E3575" s="35">
        <v>25180.0</v>
      </c>
      <c r="F3575" s="35" t="s">
        <v>11</v>
      </c>
    </row>
    <row r="3576" ht="22.5" customHeight="1">
      <c r="A3576" s="37" t="s">
        <v>7347</v>
      </c>
      <c r="B3576" s="35" t="s">
        <v>7348</v>
      </c>
      <c r="C3576" s="35">
        <v>1171.0</v>
      </c>
      <c r="D3576" s="35">
        <v>1127.0</v>
      </c>
      <c r="E3576" s="35">
        <v>23580.0</v>
      </c>
      <c r="F3576" s="35" t="s">
        <v>11</v>
      </c>
    </row>
    <row r="3577" ht="22.5" customHeight="1">
      <c r="A3577" s="37" t="s">
        <v>7349</v>
      </c>
      <c r="B3577" s="35" t="s">
        <v>7350</v>
      </c>
      <c r="C3577" s="35">
        <v>221.0</v>
      </c>
      <c r="D3577" s="35">
        <v>206.0</v>
      </c>
      <c r="E3577" s="35">
        <v>28750.0</v>
      </c>
      <c r="F3577" s="35" t="s">
        <v>11</v>
      </c>
    </row>
    <row r="3578" ht="22.5" customHeight="1">
      <c r="A3578" s="37" t="s">
        <v>7351</v>
      </c>
      <c r="B3578" s="35" t="s">
        <v>7352</v>
      </c>
      <c r="C3578" s="35">
        <v>389.0</v>
      </c>
      <c r="D3578" s="35">
        <v>434.0</v>
      </c>
      <c r="E3578" s="35">
        <v>25800.0</v>
      </c>
      <c r="F3578" s="35" t="s">
        <v>11</v>
      </c>
    </row>
    <row r="3579" ht="22.5" customHeight="1">
      <c r="A3579" s="37" t="s">
        <v>7353</v>
      </c>
      <c r="B3579" s="35" t="s">
        <v>7354</v>
      </c>
      <c r="C3579" s="35">
        <v>930.0</v>
      </c>
      <c r="D3579" s="35">
        <v>998.0</v>
      </c>
      <c r="E3579" s="35">
        <v>27080.0</v>
      </c>
      <c r="F3579" s="35" t="s">
        <v>11</v>
      </c>
    </row>
    <row r="3580" ht="22.5" customHeight="1">
      <c r="A3580" s="37" t="s">
        <v>7355</v>
      </c>
      <c r="B3580" s="35" t="s">
        <v>7356</v>
      </c>
      <c r="C3580" s="35">
        <v>630.0</v>
      </c>
      <c r="D3580" s="35">
        <v>608.0</v>
      </c>
      <c r="E3580" s="35">
        <v>23910.0</v>
      </c>
      <c r="F3580" s="35" t="s">
        <v>11</v>
      </c>
    </row>
    <row r="3581" ht="22.5" customHeight="1">
      <c r="A3581" s="37" t="s">
        <v>7357</v>
      </c>
      <c r="B3581" s="35" t="s">
        <v>7358</v>
      </c>
      <c r="C3581" s="35">
        <v>312.0</v>
      </c>
      <c r="D3581" s="35">
        <v>313.0</v>
      </c>
      <c r="E3581" s="35">
        <v>24090.0</v>
      </c>
      <c r="F3581" s="35" t="s">
        <v>11</v>
      </c>
    </row>
    <row r="3582" ht="22.5" customHeight="1">
      <c r="A3582" s="37" t="s">
        <v>7359</v>
      </c>
      <c r="B3582" s="35" t="s">
        <v>7360</v>
      </c>
      <c r="C3582" s="35">
        <v>446.0</v>
      </c>
      <c r="D3582" s="35">
        <v>431.0</v>
      </c>
      <c r="E3582" s="35">
        <v>27160.0</v>
      </c>
      <c r="F3582" s="35" t="s">
        <v>11</v>
      </c>
    </row>
    <row r="3583" ht="22.5" customHeight="1">
      <c r="A3583" s="37" t="s">
        <v>7361</v>
      </c>
      <c r="B3583" s="35" t="s">
        <v>7362</v>
      </c>
      <c r="C3583" s="35">
        <v>205.0</v>
      </c>
      <c r="D3583" s="35">
        <v>198.0</v>
      </c>
      <c r="E3583" s="35">
        <v>24550.0</v>
      </c>
      <c r="F3583" s="35" t="s">
        <v>11</v>
      </c>
    </row>
    <row r="3584" ht="22.5" customHeight="1">
      <c r="A3584" s="37" t="s">
        <v>7363</v>
      </c>
      <c r="B3584" s="35" t="s">
        <v>7364</v>
      </c>
      <c r="C3584" s="35">
        <v>233.0</v>
      </c>
      <c r="D3584" s="35">
        <v>244.0</v>
      </c>
      <c r="E3584" s="35">
        <v>28880.0</v>
      </c>
      <c r="F3584" s="35" t="s">
        <v>11</v>
      </c>
    </row>
    <row r="3585" ht="22.5" customHeight="1">
      <c r="A3585" s="37" t="s">
        <v>7365</v>
      </c>
      <c r="B3585" s="35" t="s">
        <v>7366</v>
      </c>
      <c r="C3585" s="35">
        <v>1069.0</v>
      </c>
      <c r="D3585" s="35">
        <v>1025.0</v>
      </c>
      <c r="E3585" s="35">
        <v>23780.0</v>
      </c>
      <c r="F3585" s="35" t="s">
        <v>11</v>
      </c>
    </row>
    <row r="3586" ht="22.5" customHeight="1">
      <c r="A3586" s="37" t="s">
        <v>7367</v>
      </c>
      <c r="B3586" s="35" t="s">
        <v>7368</v>
      </c>
      <c r="C3586" s="35">
        <v>735.0</v>
      </c>
      <c r="D3586" s="35">
        <v>686.0</v>
      </c>
      <c r="E3586" s="35">
        <v>26120.0</v>
      </c>
      <c r="F3586" s="35" t="s">
        <v>11</v>
      </c>
    </row>
    <row r="3587" ht="22.5" customHeight="1">
      <c r="A3587" s="37" t="s">
        <v>7369</v>
      </c>
      <c r="B3587" s="35" t="s">
        <v>7370</v>
      </c>
      <c r="C3587" s="35">
        <v>7579.0</v>
      </c>
      <c r="D3587" s="35">
        <v>7090.0</v>
      </c>
      <c r="E3587" s="35">
        <v>21030.0</v>
      </c>
      <c r="F3587" s="35">
        <v>27.0</v>
      </c>
    </row>
    <row r="3588" ht="22.5" customHeight="1">
      <c r="A3588" s="37" t="s">
        <v>7371</v>
      </c>
      <c r="B3588" s="35" t="s">
        <v>7372</v>
      </c>
      <c r="C3588" s="35">
        <v>731.0</v>
      </c>
      <c r="D3588" s="35">
        <v>679.0</v>
      </c>
      <c r="E3588" s="35">
        <v>24840.0</v>
      </c>
      <c r="F3588" s="35" t="s">
        <v>11</v>
      </c>
    </row>
    <row r="3589" ht="22.5" customHeight="1">
      <c r="A3589" s="37" t="s">
        <v>7373</v>
      </c>
      <c r="B3589" s="35" t="s">
        <v>7374</v>
      </c>
      <c r="C3589" s="35">
        <v>1337.0</v>
      </c>
      <c r="D3589" s="35">
        <v>1273.0</v>
      </c>
      <c r="E3589" s="35">
        <v>24160.0</v>
      </c>
      <c r="F3589" s="35" t="s">
        <v>11</v>
      </c>
    </row>
    <row r="3590" ht="22.5" customHeight="1">
      <c r="A3590" s="37" t="s">
        <v>7375</v>
      </c>
      <c r="B3590" s="35" t="s">
        <v>7376</v>
      </c>
      <c r="C3590" s="35">
        <v>363.0</v>
      </c>
      <c r="D3590" s="35">
        <v>391.0</v>
      </c>
      <c r="E3590" s="35">
        <v>24280.0</v>
      </c>
      <c r="F3590" s="35" t="s">
        <v>11</v>
      </c>
    </row>
    <row r="3591" ht="22.5" customHeight="1">
      <c r="A3591" s="37" t="s">
        <v>7377</v>
      </c>
      <c r="B3591" s="35" t="s">
        <v>7378</v>
      </c>
      <c r="C3591" s="35">
        <v>280.0</v>
      </c>
      <c r="D3591" s="35">
        <v>280.0</v>
      </c>
      <c r="E3591" s="35">
        <v>28010.0</v>
      </c>
      <c r="F3591" s="35" t="s">
        <v>11</v>
      </c>
    </row>
    <row r="3592" ht="22.5" customHeight="1">
      <c r="A3592" s="37" t="s">
        <v>7379</v>
      </c>
      <c r="B3592" s="35" t="s">
        <v>7380</v>
      </c>
      <c r="C3592" s="35">
        <v>1504.0</v>
      </c>
      <c r="D3592" s="35">
        <v>1482.0</v>
      </c>
      <c r="E3592" s="35">
        <v>25720.0</v>
      </c>
      <c r="F3592" s="35" t="s">
        <v>11</v>
      </c>
    </row>
    <row r="3593" ht="22.5" customHeight="1">
      <c r="A3593" s="37" t="s">
        <v>7381</v>
      </c>
      <c r="B3593" s="35" t="s">
        <v>7382</v>
      </c>
      <c r="C3593" s="35">
        <v>281.0</v>
      </c>
      <c r="D3593" s="35">
        <v>284.0</v>
      </c>
      <c r="E3593" s="35">
        <v>28170.0</v>
      </c>
      <c r="F3593" s="35" t="s">
        <v>11</v>
      </c>
    </row>
    <row r="3594" ht="22.5" customHeight="1">
      <c r="A3594" s="37" t="s">
        <v>7383</v>
      </c>
      <c r="B3594" s="35" t="s">
        <v>7384</v>
      </c>
      <c r="C3594" s="35">
        <v>878.0</v>
      </c>
      <c r="D3594" s="35">
        <v>897.0</v>
      </c>
      <c r="E3594" s="35">
        <v>31330.0</v>
      </c>
      <c r="F3594" s="35" t="s">
        <v>11</v>
      </c>
    </row>
    <row r="3595" ht="22.5" customHeight="1">
      <c r="A3595" s="37" t="s">
        <v>7385</v>
      </c>
      <c r="B3595" s="35" t="s">
        <v>7386</v>
      </c>
      <c r="C3595" s="35">
        <v>755.0</v>
      </c>
      <c r="D3595" s="35">
        <v>753.0</v>
      </c>
      <c r="E3595" s="35">
        <v>24360.0</v>
      </c>
      <c r="F3595" s="35" t="s">
        <v>11</v>
      </c>
    </row>
    <row r="3596" ht="22.5" customHeight="1">
      <c r="A3596" s="37" t="s">
        <v>7387</v>
      </c>
      <c r="B3596" s="35" t="s">
        <v>7388</v>
      </c>
      <c r="C3596" s="35">
        <v>121.0</v>
      </c>
      <c r="D3596" s="35">
        <v>107.0</v>
      </c>
      <c r="E3596" s="35">
        <v>25010.0</v>
      </c>
      <c r="F3596" s="35" t="s">
        <v>11</v>
      </c>
    </row>
    <row r="3597" ht="22.5" customHeight="1">
      <c r="A3597" s="37" t="s">
        <v>7389</v>
      </c>
      <c r="B3597" s="35" t="s">
        <v>7390</v>
      </c>
      <c r="C3597" s="35">
        <v>2408.0</v>
      </c>
      <c r="D3597" s="35">
        <v>2282.0</v>
      </c>
      <c r="E3597" s="35">
        <v>23890.0</v>
      </c>
      <c r="F3597" s="35">
        <v>18.0</v>
      </c>
    </row>
    <row r="3598" ht="22.5" customHeight="1">
      <c r="A3598" s="37" t="s">
        <v>7391</v>
      </c>
      <c r="B3598" s="35" t="s">
        <v>7392</v>
      </c>
      <c r="C3598" s="35">
        <v>101.0</v>
      </c>
      <c r="D3598" s="35">
        <v>127.0</v>
      </c>
      <c r="E3598" s="35">
        <v>21530.0</v>
      </c>
      <c r="F3598" s="35" t="s">
        <v>11</v>
      </c>
    </row>
    <row r="3599" ht="22.5" customHeight="1">
      <c r="A3599" s="37" t="s">
        <v>7393</v>
      </c>
      <c r="B3599" s="35" t="s">
        <v>7394</v>
      </c>
      <c r="C3599" s="35">
        <v>2467.0</v>
      </c>
      <c r="D3599" s="35">
        <v>2425.0</v>
      </c>
      <c r="E3599" s="35">
        <v>28970.0</v>
      </c>
      <c r="F3599" s="35">
        <v>13.0</v>
      </c>
    </row>
    <row r="3600" ht="22.5" customHeight="1">
      <c r="A3600" s="37" t="s">
        <v>7395</v>
      </c>
      <c r="B3600" s="35" t="s">
        <v>7396</v>
      </c>
      <c r="C3600" s="35">
        <v>615.0</v>
      </c>
      <c r="D3600" s="35">
        <v>563.0</v>
      </c>
      <c r="E3600" s="35">
        <v>25290.0</v>
      </c>
      <c r="F3600" s="35" t="s">
        <v>11</v>
      </c>
    </row>
    <row r="3601" ht="22.5" customHeight="1">
      <c r="A3601" s="37" t="s">
        <v>7397</v>
      </c>
      <c r="B3601" s="35" t="s">
        <v>7398</v>
      </c>
      <c r="C3601" s="35">
        <v>840.0</v>
      </c>
      <c r="D3601" s="35">
        <v>826.0</v>
      </c>
      <c r="E3601" s="35">
        <v>28730.0</v>
      </c>
      <c r="F3601" s="35" t="s">
        <v>11</v>
      </c>
    </row>
    <row r="3602" ht="22.5" customHeight="1">
      <c r="A3602" s="37" t="s">
        <v>7399</v>
      </c>
      <c r="B3602" s="35" t="s">
        <v>7400</v>
      </c>
      <c r="C3602" s="35">
        <v>1469.0</v>
      </c>
      <c r="D3602" s="35">
        <v>1438.0</v>
      </c>
      <c r="E3602" s="35">
        <v>21250.0</v>
      </c>
      <c r="F3602" s="35" t="s">
        <v>11</v>
      </c>
    </row>
    <row r="3603" ht="22.5" customHeight="1">
      <c r="A3603" s="37" t="s">
        <v>7401</v>
      </c>
      <c r="B3603" s="35" t="s">
        <v>7402</v>
      </c>
      <c r="C3603" s="35">
        <v>283.0</v>
      </c>
      <c r="D3603" s="35">
        <v>268.0</v>
      </c>
      <c r="E3603" s="35">
        <v>26230.0</v>
      </c>
      <c r="F3603" s="35" t="s">
        <v>11</v>
      </c>
    </row>
    <row r="3604" ht="22.5" customHeight="1">
      <c r="A3604" s="37" t="s">
        <v>7403</v>
      </c>
      <c r="B3604" s="35" t="s">
        <v>7404</v>
      </c>
      <c r="C3604" s="35">
        <v>103.0</v>
      </c>
      <c r="D3604" s="35">
        <v>111.0</v>
      </c>
      <c r="E3604" s="35" t="s">
        <v>11</v>
      </c>
      <c r="F3604" s="35" t="s">
        <v>11</v>
      </c>
    </row>
    <row r="3605" ht="22.5" customHeight="1">
      <c r="A3605" s="37" t="s">
        <v>7405</v>
      </c>
      <c r="B3605" s="35" t="s">
        <v>7406</v>
      </c>
      <c r="C3605" s="35">
        <v>1211.0</v>
      </c>
      <c r="D3605" s="35">
        <v>1335.0</v>
      </c>
      <c r="E3605" s="35">
        <v>27370.0</v>
      </c>
      <c r="F3605" s="35" t="s">
        <v>11</v>
      </c>
    </row>
    <row r="3606" ht="22.5" customHeight="1">
      <c r="A3606" s="37" t="s">
        <v>7407</v>
      </c>
      <c r="B3606" s="35" t="s">
        <v>7408</v>
      </c>
      <c r="C3606" s="35">
        <v>266.0</v>
      </c>
      <c r="D3606" s="35">
        <v>263.0</v>
      </c>
      <c r="E3606" s="35">
        <v>25430.0</v>
      </c>
      <c r="F3606" s="35" t="s">
        <v>11</v>
      </c>
    </row>
    <row r="3607" ht="22.5" customHeight="1">
      <c r="A3607" s="37" t="s">
        <v>7409</v>
      </c>
      <c r="B3607" s="35" t="s">
        <v>7410</v>
      </c>
      <c r="C3607" s="35">
        <v>314.0</v>
      </c>
      <c r="D3607" s="35">
        <v>304.0</v>
      </c>
      <c r="E3607" s="35">
        <v>23290.0</v>
      </c>
      <c r="F3607" s="35" t="s">
        <v>11</v>
      </c>
    </row>
    <row r="3608" ht="22.5" customHeight="1">
      <c r="A3608" s="37" t="s">
        <v>7411</v>
      </c>
      <c r="B3608" s="35" t="s">
        <v>7412</v>
      </c>
      <c r="C3608" s="35">
        <v>552.0</v>
      </c>
      <c r="D3608" s="35">
        <v>572.0</v>
      </c>
      <c r="E3608" s="35">
        <v>30870.0</v>
      </c>
      <c r="F3608" s="35" t="s">
        <v>11</v>
      </c>
    </row>
    <row r="3609" ht="22.5" customHeight="1">
      <c r="A3609" s="37" t="s">
        <v>7413</v>
      </c>
      <c r="B3609" s="35" t="s">
        <v>7414</v>
      </c>
      <c r="C3609" s="35">
        <v>695.0</v>
      </c>
      <c r="D3609" s="35">
        <v>761.0</v>
      </c>
      <c r="E3609" s="35">
        <v>24710.0</v>
      </c>
      <c r="F3609" s="35" t="s">
        <v>11</v>
      </c>
    </row>
    <row r="3610" ht="22.5" customHeight="1">
      <c r="A3610" s="37" t="s">
        <v>7415</v>
      </c>
      <c r="B3610" s="35" t="s">
        <v>7416</v>
      </c>
      <c r="C3610" s="35">
        <v>555.0</v>
      </c>
      <c r="D3610" s="35">
        <v>572.0</v>
      </c>
      <c r="E3610" s="35">
        <v>25200.0</v>
      </c>
      <c r="F3610" s="35" t="s">
        <v>11</v>
      </c>
    </row>
    <row r="3611" ht="22.5" customHeight="1">
      <c r="A3611" s="37" t="s">
        <v>7417</v>
      </c>
      <c r="B3611" s="35" t="s">
        <v>7418</v>
      </c>
      <c r="C3611" s="35">
        <v>87.0</v>
      </c>
      <c r="D3611" s="35">
        <v>79.0</v>
      </c>
      <c r="E3611" s="35" t="s">
        <v>11</v>
      </c>
      <c r="F3611" s="35" t="s">
        <v>11</v>
      </c>
    </row>
    <row r="3612" ht="22.5" customHeight="1">
      <c r="A3612" s="37" t="s">
        <v>7419</v>
      </c>
      <c r="B3612" s="35" t="s">
        <v>7420</v>
      </c>
      <c r="C3612" s="35">
        <v>298.0</v>
      </c>
      <c r="D3612" s="35">
        <v>278.0</v>
      </c>
      <c r="E3612" s="35">
        <v>24560.0</v>
      </c>
      <c r="F3612" s="35" t="s">
        <v>11</v>
      </c>
    </row>
    <row r="3613" ht="22.5" customHeight="1">
      <c r="A3613" s="37" t="s">
        <v>7421</v>
      </c>
      <c r="B3613" s="35" t="s">
        <v>7422</v>
      </c>
      <c r="C3613" s="35">
        <v>120.0</v>
      </c>
      <c r="D3613" s="35">
        <v>125.0</v>
      </c>
      <c r="E3613" s="35">
        <v>20930.0</v>
      </c>
      <c r="F3613" s="35" t="s">
        <v>11</v>
      </c>
    </row>
    <row r="3614" ht="22.5" customHeight="1">
      <c r="A3614" s="37" t="s">
        <v>7423</v>
      </c>
      <c r="B3614" s="35" t="s">
        <v>7424</v>
      </c>
      <c r="C3614" s="35">
        <v>1396.0</v>
      </c>
      <c r="D3614" s="35">
        <v>1280.0</v>
      </c>
      <c r="E3614" s="35">
        <v>25160.0</v>
      </c>
      <c r="F3614" s="35" t="s">
        <v>11</v>
      </c>
    </row>
    <row r="3615" ht="22.5" customHeight="1">
      <c r="A3615" s="37" t="s">
        <v>7425</v>
      </c>
      <c r="B3615" s="35" t="s">
        <v>7426</v>
      </c>
      <c r="C3615" s="35">
        <v>648.0</v>
      </c>
      <c r="D3615" s="35">
        <v>626.0</v>
      </c>
      <c r="E3615" s="35">
        <v>29260.0</v>
      </c>
      <c r="F3615" s="35" t="s">
        <v>11</v>
      </c>
    </row>
    <row r="3616" ht="22.5" customHeight="1">
      <c r="A3616" s="37" t="s">
        <v>7427</v>
      </c>
      <c r="B3616" s="35" t="s">
        <v>7428</v>
      </c>
      <c r="C3616" s="35">
        <v>267.0</v>
      </c>
      <c r="D3616" s="35">
        <v>233.0</v>
      </c>
      <c r="E3616" s="35">
        <v>23000.0</v>
      </c>
      <c r="F3616" s="35" t="s">
        <v>11</v>
      </c>
    </row>
    <row r="3617" ht="22.5" customHeight="1">
      <c r="A3617" s="37" t="s">
        <v>7429</v>
      </c>
      <c r="B3617" s="35" t="s">
        <v>7430</v>
      </c>
      <c r="C3617" s="35">
        <v>792.0</v>
      </c>
      <c r="D3617" s="35">
        <v>764.0</v>
      </c>
      <c r="E3617" s="35">
        <v>25700.0</v>
      </c>
      <c r="F3617" s="35" t="s">
        <v>11</v>
      </c>
    </row>
    <row r="3618" ht="22.5" customHeight="1">
      <c r="A3618" s="37" t="s">
        <v>7431</v>
      </c>
      <c r="B3618" s="35" t="s">
        <v>7432</v>
      </c>
      <c r="C3618" s="35">
        <v>564.0</v>
      </c>
      <c r="D3618" s="35">
        <v>514.0</v>
      </c>
      <c r="E3618" s="35">
        <v>26370.0</v>
      </c>
      <c r="F3618" s="35" t="s">
        <v>11</v>
      </c>
    </row>
    <row r="3619" ht="22.5" customHeight="1">
      <c r="A3619" s="37" t="s">
        <v>7433</v>
      </c>
      <c r="B3619" s="35" t="s">
        <v>7434</v>
      </c>
      <c r="C3619" s="35">
        <v>441.0</v>
      </c>
      <c r="D3619" s="35">
        <v>427.0</v>
      </c>
      <c r="E3619" s="35">
        <v>24800.0</v>
      </c>
      <c r="F3619" s="35" t="s">
        <v>11</v>
      </c>
    </row>
    <row r="3620" ht="22.5" customHeight="1">
      <c r="A3620" s="37" t="s">
        <v>7435</v>
      </c>
      <c r="B3620" s="35" t="s">
        <v>7436</v>
      </c>
      <c r="C3620" s="35">
        <v>1102.0</v>
      </c>
      <c r="D3620" s="35">
        <v>1102.0</v>
      </c>
      <c r="E3620" s="35">
        <v>25980.0</v>
      </c>
      <c r="F3620" s="35" t="s">
        <v>11</v>
      </c>
    </row>
    <row r="3621" ht="22.5" customHeight="1">
      <c r="A3621" s="37" t="s">
        <v>7437</v>
      </c>
      <c r="B3621" s="35" t="s">
        <v>7438</v>
      </c>
      <c r="C3621" s="35">
        <v>325.0</v>
      </c>
      <c r="D3621" s="35">
        <v>311.0</v>
      </c>
      <c r="E3621" s="35">
        <v>25920.0</v>
      </c>
      <c r="F3621" s="35" t="s">
        <v>11</v>
      </c>
    </row>
    <row r="3622" ht="22.5" customHeight="1">
      <c r="A3622" s="37" t="s">
        <v>7439</v>
      </c>
      <c r="B3622" s="35" t="s">
        <v>7440</v>
      </c>
      <c r="C3622" s="35">
        <v>142.0</v>
      </c>
      <c r="D3622" s="35">
        <v>139.0</v>
      </c>
      <c r="E3622" s="35">
        <v>23470.0</v>
      </c>
      <c r="F3622" s="35" t="s">
        <v>11</v>
      </c>
    </row>
    <row r="3623" ht="22.5" customHeight="1">
      <c r="A3623" s="37" t="s">
        <v>7441</v>
      </c>
      <c r="B3623" s="35" t="s">
        <v>7442</v>
      </c>
      <c r="C3623" s="35">
        <v>282.0</v>
      </c>
      <c r="D3623" s="35">
        <v>269.0</v>
      </c>
      <c r="E3623" s="35">
        <v>26500.0</v>
      </c>
      <c r="F3623" s="35" t="s">
        <v>11</v>
      </c>
    </row>
    <row r="3624" ht="22.5" customHeight="1">
      <c r="A3624" s="37" t="s">
        <v>7443</v>
      </c>
      <c r="B3624" s="35" t="s">
        <v>7444</v>
      </c>
      <c r="C3624" s="35">
        <v>997.0</v>
      </c>
      <c r="D3624" s="35">
        <v>1123.0</v>
      </c>
      <c r="E3624" s="35">
        <v>28130.0</v>
      </c>
      <c r="F3624" s="35" t="s">
        <v>11</v>
      </c>
    </row>
    <row r="3625" ht="22.5" customHeight="1">
      <c r="A3625" s="37" t="s">
        <v>7445</v>
      </c>
      <c r="B3625" s="35" t="s">
        <v>7446</v>
      </c>
      <c r="C3625" s="35">
        <v>280.0</v>
      </c>
      <c r="D3625" s="35">
        <v>262.0</v>
      </c>
      <c r="E3625" s="35">
        <v>24460.0</v>
      </c>
      <c r="F3625" s="35" t="s">
        <v>11</v>
      </c>
    </row>
    <row r="3626" ht="22.5" customHeight="1">
      <c r="A3626" s="37" t="s">
        <v>7447</v>
      </c>
      <c r="B3626" s="35" t="s">
        <v>7448</v>
      </c>
      <c r="C3626" s="35">
        <v>343.0</v>
      </c>
      <c r="D3626" s="35">
        <v>379.0</v>
      </c>
      <c r="E3626" s="35">
        <v>23220.0</v>
      </c>
      <c r="F3626" s="35" t="s">
        <v>11</v>
      </c>
    </row>
    <row r="3627" ht="22.5" customHeight="1">
      <c r="A3627" s="37" t="s">
        <v>7449</v>
      </c>
      <c r="B3627" s="35" t="s">
        <v>7450</v>
      </c>
      <c r="C3627" s="35">
        <v>198.0</v>
      </c>
      <c r="D3627" s="35">
        <v>188.0</v>
      </c>
      <c r="E3627" s="35">
        <v>25730.0</v>
      </c>
      <c r="F3627" s="35" t="s">
        <v>11</v>
      </c>
    </row>
    <row r="3628" ht="22.5" customHeight="1">
      <c r="A3628" s="37" t="s">
        <v>7451</v>
      </c>
      <c r="B3628" s="35" t="s">
        <v>7452</v>
      </c>
      <c r="C3628" s="35">
        <v>126.0</v>
      </c>
      <c r="D3628" s="35">
        <v>139.0</v>
      </c>
      <c r="E3628" s="35">
        <v>23340.0</v>
      </c>
      <c r="F3628" s="35" t="s">
        <v>11</v>
      </c>
    </row>
    <row r="3629" ht="22.5" customHeight="1">
      <c r="A3629" s="37" t="s">
        <v>7453</v>
      </c>
      <c r="B3629" s="35" t="s">
        <v>7454</v>
      </c>
      <c r="C3629" s="35">
        <v>29.0</v>
      </c>
      <c r="D3629" s="35">
        <v>28.0</v>
      </c>
      <c r="E3629" s="35" t="s">
        <v>11</v>
      </c>
      <c r="F3629" s="35" t="s">
        <v>11</v>
      </c>
    </row>
    <row r="3630" ht="22.5" customHeight="1">
      <c r="A3630" s="37" t="s">
        <v>7455</v>
      </c>
      <c r="B3630" s="35" t="s">
        <v>7456</v>
      </c>
      <c r="C3630" s="35">
        <v>132.0</v>
      </c>
      <c r="D3630" s="35">
        <v>137.0</v>
      </c>
      <c r="E3630" s="35">
        <v>24120.0</v>
      </c>
      <c r="F3630" s="35" t="s">
        <v>11</v>
      </c>
    </row>
    <row r="3631" ht="22.5" customHeight="1">
      <c r="A3631" s="37" t="s">
        <v>7457</v>
      </c>
      <c r="B3631" s="35" t="s">
        <v>7458</v>
      </c>
      <c r="C3631" s="35">
        <v>175.0</v>
      </c>
      <c r="D3631" s="35">
        <v>164.0</v>
      </c>
      <c r="E3631" s="35">
        <v>24500.0</v>
      </c>
      <c r="F3631" s="35" t="s">
        <v>11</v>
      </c>
    </row>
    <row r="3632" ht="22.5" customHeight="1">
      <c r="A3632" s="37" t="s">
        <v>7459</v>
      </c>
      <c r="B3632" s="35" t="s">
        <v>7460</v>
      </c>
      <c r="C3632" s="35">
        <v>366.0</v>
      </c>
      <c r="D3632" s="35">
        <v>346.0</v>
      </c>
      <c r="E3632" s="35">
        <v>25990.0</v>
      </c>
      <c r="F3632" s="35" t="s">
        <v>11</v>
      </c>
    </row>
    <row r="3633" ht="22.5" customHeight="1">
      <c r="A3633" s="37" t="s">
        <v>7461</v>
      </c>
      <c r="B3633" s="35" t="s">
        <v>7462</v>
      </c>
      <c r="C3633" s="35">
        <v>515.0</v>
      </c>
      <c r="D3633" s="35">
        <v>530.0</v>
      </c>
      <c r="E3633" s="35">
        <v>29190.0</v>
      </c>
      <c r="F3633" s="35" t="s">
        <v>11</v>
      </c>
    </row>
    <row r="3634" ht="22.5" customHeight="1">
      <c r="A3634" s="37" t="s">
        <v>7464</v>
      </c>
      <c r="B3634" s="35" t="s">
        <v>7465</v>
      </c>
      <c r="C3634" s="35">
        <v>250.0</v>
      </c>
      <c r="D3634" s="35">
        <v>223.0</v>
      </c>
      <c r="E3634" s="35">
        <v>23320.0</v>
      </c>
      <c r="F3634" s="35" t="s">
        <v>11</v>
      </c>
    </row>
    <row r="3635" ht="22.5" customHeight="1">
      <c r="A3635" s="37" t="s">
        <v>7466</v>
      </c>
      <c r="B3635" s="35" t="s">
        <v>7467</v>
      </c>
      <c r="C3635" s="35">
        <v>679.0</v>
      </c>
      <c r="D3635" s="35">
        <v>609.0</v>
      </c>
      <c r="E3635" s="35">
        <v>25210.0</v>
      </c>
      <c r="F3635" s="35" t="s">
        <v>11</v>
      </c>
    </row>
    <row r="3636" ht="22.5" customHeight="1">
      <c r="A3636" s="37" t="s">
        <v>7468</v>
      </c>
      <c r="B3636" s="35" t="s">
        <v>7469</v>
      </c>
      <c r="C3636" s="35">
        <v>178.0</v>
      </c>
      <c r="D3636" s="35">
        <v>181.0</v>
      </c>
      <c r="E3636" s="35">
        <v>25670.0</v>
      </c>
      <c r="F3636" s="35" t="s">
        <v>11</v>
      </c>
    </row>
    <row r="3637" ht="22.5" customHeight="1">
      <c r="A3637" s="37" t="s">
        <v>7470</v>
      </c>
      <c r="B3637" s="35" t="s">
        <v>7471</v>
      </c>
      <c r="C3637" s="35">
        <v>3552.0</v>
      </c>
      <c r="D3637" s="35">
        <v>3636.0</v>
      </c>
      <c r="E3637" s="35">
        <v>26090.0</v>
      </c>
      <c r="F3637" s="35">
        <v>15.0</v>
      </c>
    </row>
    <row r="3638" ht="22.5" customHeight="1">
      <c r="A3638" s="37" t="s">
        <v>7472</v>
      </c>
      <c r="B3638" s="35" t="s">
        <v>7473</v>
      </c>
      <c r="C3638" s="35">
        <v>126.0</v>
      </c>
      <c r="D3638" s="35">
        <v>149.0</v>
      </c>
      <c r="E3638" s="35">
        <v>25590.0</v>
      </c>
      <c r="F3638" s="35" t="s">
        <v>11</v>
      </c>
    </row>
    <row r="3639" ht="22.5" customHeight="1">
      <c r="A3639" s="37" t="s">
        <v>7474</v>
      </c>
      <c r="B3639" s="35" t="s">
        <v>7475</v>
      </c>
      <c r="C3639" s="35">
        <v>155.0</v>
      </c>
      <c r="D3639" s="35">
        <v>152.0</v>
      </c>
      <c r="E3639" s="35">
        <v>24220.0</v>
      </c>
      <c r="F3639" s="35" t="s">
        <v>11</v>
      </c>
    </row>
    <row r="3640" ht="22.5" customHeight="1">
      <c r="A3640" s="37" t="s">
        <v>7476</v>
      </c>
      <c r="B3640" s="35" t="s">
        <v>7477</v>
      </c>
      <c r="C3640" s="35">
        <v>1613.0</v>
      </c>
      <c r="D3640" s="35">
        <v>1626.0</v>
      </c>
      <c r="E3640" s="35">
        <v>22930.0</v>
      </c>
      <c r="F3640" s="35" t="s">
        <v>11</v>
      </c>
    </row>
    <row r="3641" ht="22.5" customHeight="1">
      <c r="A3641" s="37" t="s">
        <v>7478</v>
      </c>
      <c r="B3641" s="35" t="s">
        <v>7479</v>
      </c>
      <c r="C3641" s="35">
        <v>751.0</v>
      </c>
      <c r="D3641" s="35">
        <v>755.0</v>
      </c>
      <c r="E3641" s="35">
        <v>24770.0</v>
      </c>
      <c r="F3641" s="35" t="s">
        <v>11</v>
      </c>
    </row>
    <row r="3642" ht="22.5" customHeight="1">
      <c r="A3642" s="37" t="s">
        <v>7480</v>
      </c>
      <c r="B3642" s="35" t="s">
        <v>7481</v>
      </c>
      <c r="C3642" s="35">
        <v>587.0</v>
      </c>
      <c r="D3642" s="35">
        <v>577.0</v>
      </c>
      <c r="E3642" s="35">
        <v>24540.0</v>
      </c>
      <c r="F3642" s="35" t="s">
        <v>11</v>
      </c>
    </row>
    <row r="3643" ht="22.5" customHeight="1">
      <c r="A3643" s="37" t="s">
        <v>7482</v>
      </c>
      <c r="B3643" s="35" t="s">
        <v>7483</v>
      </c>
      <c r="C3643" s="35">
        <v>3008.0</v>
      </c>
      <c r="D3643" s="35">
        <v>2894.0</v>
      </c>
      <c r="E3643" s="35">
        <v>22780.0</v>
      </c>
      <c r="F3643" s="35">
        <v>21.0</v>
      </c>
    </row>
    <row r="3644" ht="22.5" customHeight="1">
      <c r="A3644" s="37" t="s">
        <v>7484</v>
      </c>
      <c r="B3644" s="35" t="s">
        <v>7485</v>
      </c>
      <c r="C3644" s="35">
        <v>306.0</v>
      </c>
      <c r="D3644" s="35">
        <v>304.0</v>
      </c>
      <c r="E3644" s="35">
        <v>26430.0</v>
      </c>
      <c r="F3644" s="35" t="s">
        <v>11</v>
      </c>
    </row>
    <row r="3645" ht="22.5" customHeight="1">
      <c r="A3645" s="37" t="s">
        <v>7486</v>
      </c>
      <c r="B3645" s="35" t="s">
        <v>7487</v>
      </c>
      <c r="C3645" s="35">
        <v>212.0</v>
      </c>
      <c r="D3645" s="35">
        <v>209.0</v>
      </c>
      <c r="E3645" s="35">
        <v>26600.0</v>
      </c>
      <c r="F3645" s="35" t="s">
        <v>11</v>
      </c>
    </row>
    <row r="3646" ht="22.5" customHeight="1">
      <c r="A3646" s="37" t="s">
        <v>7488</v>
      </c>
      <c r="B3646" s="35" t="s">
        <v>7489</v>
      </c>
      <c r="C3646" s="35">
        <v>107.0</v>
      </c>
      <c r="D3646" s="35">
        <v>100.0</v>
      </c>
      <c r="E3646" s="35" t="s">
        <v>11</v>
      </c>
      <c r="F3646" s="35" t="s">
        <v>11</v>
      </c>
    </row>
    <row r="3647" ht="22.5" customHeight="1">
      <c r="A3647" s="37" t="s">
        <v>7490</v>
      </c>
      <c r="B3647" s="35" t="s">
        <v>7491</v>
      </c>
      <c r="C3647" s="35">
        <v>112.0</v>
      </c>
      <c r="D3647" s="35">
        <v>101.0</v>
      </c>
      <c r="E3647" s="35">
        <v>24890.0</v>
      </c>
      <c r="F3647" s="35" t="s">
        <v>11</v>
      </c>
    </row>
    <row r="3648" ht="22.5" customHeight="1">
      <c r="A3648" s="37" t="s">
        <v>7492</v>
      </c>
      <c r="B3648" s="35" t="s">
        <v>7493</v>
      </c>
      <c r="C3648" s="35">
        <v>5786.0</v>
      </c>
      <c r="D3648" s="35">
        <v>5833.0</v>
      </c>
      <c r="E3648" s="35">
        <v>20760.0</v>
      </c>
      <c r="F3648" s="35">
        <v>27.0</v>
      </c>
    </row>
    <row r="3649" ht="22.5" customHeight="1">
      <c r="A3649" s="37" t="s">
        <v>7494</v>
      </c>
      <c r="B3649" s="35" t="s">
        <v>7495</v>
      </c>
      <c r="C3649" s="35">
        <v>726.0</v>
      </c>
      <c r="D3649" s="35">
        <v>720.0</v>
      </c>
      <c r="E3649" s="35">
        <v>27560.0</v>
      </c>
      <c r="F3649" s="35" t="s">
        <v>11</v>
      </c>
    </row>
    <row r="3650" ht="22.5" customHeight="1">
      <c r="A3650" s="37" t="s">
        <v>7496</v>
      </c>
      <c r="B3650" s="35" t="s">
        <v>7497</v>
      </c>
      <c r="C3650" s="35">
        <v>134.0</v>
      </c>
      <c r="D3650" s="35">
        <v>129.0</v>
      </c>
      <c r="E3650" s="35">
        <v>25950.0</v>
      </c>
      <c r="F3650" s="35" t="s">
        <v>11</v>
      </c>
    </row>
    <row r="3651" ht="22.5" customHeight="1">
      <c r="A3651" s="37" t="s">
        <v>7498</v>
      </c>
      <c r="B3651" s="35" t="s">
        <v>7499</v>
      </c>
      <c r="C3651" s="35">
        <v>3101.0</v>
      </c>
      <c r="D3651" s="35">
        <v>2987.0</v>
      </c>
      <c r="E3651" s="35">
        <v>22740.0</v>
      </c>
      <c r="F3651" s="35">
        <v>17.0</v>
      </c>
    </row>
    <row r="3652" ht="22.5" customHeight="1">
      <c r="A3652" s="37" t="s">
        <v>7500</v>
      </c>
      <c r="B3652" s="35" t="s">
        <v>7501</v>
      </c>
      <c r="C3652" s="35">
        <v>611.0</v>
      </c>
      <c r="D3652" s="35">
        <v>613.0</v>
      </c>
      <c r="E3652" s="35">
        <v>31620.0</v>
      </c>
      <c r="F3652" s="35" t="s">
        <v>11</v>
      </c>
    </row>
    <row r="3653" ht="22.5" customHeight="1">
      <c r="A3653" s="37" t="s">
        <v>7502</v>
      </c>
      <c r="B3653" s="35" t="s">
        <v>7503</v>
      </c>
      <c r="C3653" s="35">
        <v>393.0</v>
      </c>
      <c r="D3653" s="35">
        <v>344.0</v>
      </c>
      <c r="E3653" s="35">
        <v>24820.0</v>
      </c>
      <c r="F3653" s="35" t="s">
        <v>11</v>
      </c>
    </row>
    <row r="3654" ht="22.5" customHeight="1">
      <c r="A3654" s="37" t="s">
        <v>7504</v>
      </c>
      <c r="B3654" s="35" t="s">
        <v>7505</v>
      </c>
      <c r="C3654" s="35">
        <v>1037.0</v>
      </c>
      <c r="D3654" s="35">
        <v>991.0</v>
      </c>
      <c r="E3654" s="35">
        <v>24100.0</v>
      </c>
      <c r="F3654" s="35" t="s">
        <v>11</v>
      </c>
    </row>
    <row r="3655" ht="22.5" customHeight="1">
      <c r="A3655" s="37" t="s">
        <v>7506</v>
      </c>
      <c r="B3655" s="35" t="s">
        <v>7507</v>
      </c>
      <c r="C3655" s="35">
        <v>314.0</v>
      </c>
      <c r="D3655" s="35">
        <v>333.0</v>
      </c>
      <c r="E3655" s="35">
        <v>25380.0</v>
      </c>
      <c r="F3655" s="35" t="s">
        <v>11</v>
      </c>
    </row>
    <row r="3656" ht="22.5" customHeight="1">
      <c r="A3656" s="37" t="s">
        <v>7508</v>
      </c>
      <c r="B3656" s="35" t="s">
        <v>7509</v>
      </c>
      <c r="C3656" s="35">
        <v>352.0</v>
      </c>
      <c r="D3656" s="35">
        <v>351.0</v>
      </c>
      <c r="E3656" s="35">
        <v>26450.0</v>
      </c>
      <c r="F3656" s="35" t="s">
        <v>11</v>
      </c>
    </row>
    <row r="3657" ht="22.5" customHeight="1">
      <c r="A3657" s="37" t="s">
        <v>7510</v>
      </c>
      <c r="B3657" s="35" t="s">
        <v>7511</v>
      </c>
      <c r="C3657" s="35">
        <v>477.0</v>
      </c>
      <c r="D3657" s="35">
        <v>469.0</v>
      </c>
      <c r="E3657" s="35">
        <v>20550.0</v>
      </c>
      <c r="F3657" s="35" t="s">
        <v>11</v>
      </c>
    </row>
    <row r="3658" ht="22.5" customHeight="1">
      <c r="A3658" s="37" t="s">
        <v>7512</v>
      </c>
      <c r="B3658" s="35" t="s">
        <v>7513</v>
      </c>
      <c r="C3658" s="35">
        <v>1205.0</v>
      </c>
      <c r="D3658" s="35">
        <v>1187.0</v>
      </c>
      <c r="E3658" s="35">
        <v>35360.0</v>
      </c>
      <c r="F3658" s="35" t="s">
        <v>11</v>
      </c>
    </row>
    <row r="3659" ht="22.5" customHeight="1">
      <c r="A3659" s="37" t="s">
        <v>7514</v>
      </c>
      <c r="B3659" s="35" t="s">
        <v>7515</v>
      </c>
      <c r="C3659" s="35">
        <v>27.0</v>
      </c>
      <c r="D3659" s="35">
        <v>36.0</v>
      </c>
      <c r="E3659" s="35" t="s">
        <v>11</v>
      </c>
      <c r="F3659" s="35" t="s">
        <v>11</v>
      </c>
    </row>
    <row r="3660" ht="22.5" customHeight="1">
      <c r="A3660" s="37" t="s">
        <v>7516</v>
      </c>
      <c r="B3660" s="35" t="s">
        <v>7517</v>
      </c>
      <c r="C3660" s="35">
        <v>225.0</v>
      </c>
      <c r="D3660" s="35">
        <v>218.0</v>
      </c>
      <c r="E3660" s="35">
        <v>27430.0</v>
      </c>
      <c r="F3660" s="35" t="s">
        <v>11</v>
      </c>
    </row>
    <row r="3661" ht="22.5" customHeight="1">
      <c r="A3661" s="37" t="s">
        <v>7518</v>
      </c>
      <c r="B3661" s="35" t="s">
        <v>7519</v>
      </c>
      <c r="C3661" s="35">
        <v>111.0</v>
      </c>
      <c r="D3661" s="35">
        <v>116.0</v>
      </c>
      <c r="E3661" s="35">
        <v>25890.0</v>
      </c>
      <c r="F3661" s="35" t="s">
        <v>11</v>
      </c>
    </row>
    <row r="3662" ht="22.5" customHeight="1">
      <c r="A3662" s="37" t="s">
        <v>7520</v>
      </c>
      <c r="B3662" s="35" t="s">
        <v>7521</v>
      </c>
      <c r="C3662" s="35">
        <v>878.0</v>
      </c>
      <c r="D3662" s="35">
        <v>883.0</v>
      </c>
      <c r="E3662" s="35">
        <v>24170.0</v>
      </c>
      <c r="F3662" s="35" t="s">
        <v>11</v>
      </c>
    </row>
    <row r="3663" ht="22.5" customHeight="1">
      <c r="A3663" s="37" t="s">
        <v>7522</v>
      </c>
      <c r="B3663" s="35" t="s">
        <v>7523</v>
      </c>
      <c r="C3663" s="35">
        <v>437.0</v>
      </c>
      <c r="D3663" s="35">
        <v>425.0</v>
      </c>
      <c r="E3663" s="35">
        <v>25790.0</v>
      </c>
      <c r="F3663" s="35" t="s">
        <v>11</v>
      </c>
    </row>
    <row r="3664" ht="22.5" customHeight="1">
      <c r="A3664" s="37" t="s">
        <v>7524</v>
      </c>
      <c r="B3664" s="35" t="s">
        <v>7525</v>
      </c>
      <c r="C3664" s="35">
        <v>1170.0</v>
      </c>
      <c r="D3664" s="35">
        <v>1409.0</v>
      </c>
      <c r="E3664" s="35">
        <v>39460.0</v>
      </c>
      <c r="F3664" s="35" t="s">
        <v>11</v>
      </c>
    </row>
    <row r="3665" ht="22.5" customHeight="1">
      <c r="A3665" s="37" t="s">
        <v>7526</v>
      </c>
      <c r="B3665" s="35" t="s">
        <v>7527</v>
      </c>
      <c r="C3665" s="35">
        <v>206.0</v>
      </c>
      <c r="D3665" s="35">
        <v>224.0</v>
      </c>
      <c r="E3665" s="35">
        <v>25300.0</v>
      </c>
      <c r="F3665" s="35" t="s">
        <v>11</v>
      </c>
    </row>
    <row r="3666" ht="22.5" customHeight="1">
      <c r="A3666" s="37" t="s">
        <v>7528</v>
      </c>
      <c r="B3666" s="35" t="s">
        <v>7529</v>
      </c>
      <c r="C3666" s="35">
        <v>377.0</v>
      </c>
      <c r="D3666" s="35">
        <v>383.0</v>
      </c>
      <c r="E3666" s="35">
        <v>27700.0</v>
      </c>
      <c r="F3666" s="35" t="s">
        <v>11</v>
      </c>
    </row>
    <row r="3667" ht="22.5" customHeight="1">
      <c r="A3667" s="37" t="s">
        <v>7530</v>
      </c>
      <c r="B3667" s="35" t="s">
        <v>7531</v>
      </c>
      <c r="C3667" s="35">
        <v>89.0</v>
      </c>
      <c r="D3667" s="35">
        <v>79.0</v>
      </c>
      <c r="E3667" s="35" t="s">
        <v>11</v>
      </c>
      <c r="F3667" s="35" t="s">
        <v>11</v>
      </c>
    </row>
    <row r="3668" ht="22.5" customHeight="1">
      <c r="A3668" s="37" t="s">
        <v>7532</v>
      </c>
      <c r="B3668" s="35" t="s">
        <v>7533</v>
      </c>
      <c r="C3668" s="35">
        <v>1855.0</v>
      </c>
      <c r="D3668" s="35">
        <v>1809.0</v>
      </c>
      <c r="E3668" s="35">
        <v>22500.0</v>
      </c>
      <c r="F3668" s="35" t="s">
        <v>11</v>
      </c>
    </row>
    <row r="3669" ht="22.5" customHeight="1">
      <c r="A3669" s="37" t="s">
        <v>7534</v>
      </c>
      <c r="B3669" s="35" t="s">
        <v>7535</v>
      </c>
      <c r="C3669" s="35">
        <v>81.0</v>
      </c>
      <c r="D3669" s="35">
        <v>80.0</v>
      </c>
      <c r="E3669" s="35" t="s">
        <v>11</v>
      </c>
      <c r="F3669" s="35" t="s">
        <v>11</v>
      </c>
    </row>
    <row r="3670" ht="22.5" customHeight="1">
      <c r="A3670" s="37" t="s">
        <v>7536</v>
      </c>
      <c r="B3670" s="35" t="s">
        <v>1553</v>
      </c>
      <c r="C3670" s="35">
        <v>165.0</v>
      </c>
      <c r="D3670" s="35">
        <v>155.0</v>
      </c>
      <c r="E3670" s="35">
        <v>24990.0</v>
      </c>
      <c r="F3670" s="35" t="s">
        <v>11</v>
      </c>
    </row>
    <row r="3671" ht="22.5" customHeight="1">
      <c r="A3671" s="37" t="s">
        <v>7537</v>
      </c>
      <c r="B3671" s="35" t="s">
        <v>7538</v>
      </c>
      <c r="C3671" s="35">
        <v>267.0</v>
      </c>
      <c r="D3671" s="35">
        <v>279.0</v>
      </c>
      <c r="E3671" s="35">
        <v>23120.0</v>
      </c>
      <c r="F3671" s="35" t="s">
        <v>11</v>
      </c>
    </row>
    <row r="3672" ht="22.5" customHeight="1">
      <c r="A3672" s="37" t="s">
        <v>7539</v>
      </c>
      <c r="B3672" s="35" t="s">
        <v>7540</v>
      </c>
      <c r="C3672" s="35">
        <v>392.0</v>
      </c>
      <c r="D3672" s="35">
        <v>390.0</v>
      </c>
      <c r="E3672" s="35">
        <v>24850.0</v>
      </c>
      <c r="F3672" s="35" t="s">
        <v>11</v>
      </c>
    </row>
    <row r="3673" ht="22.5" customHeight="1">
      <c r="A3673" s="37" t="s">
        <v>7541</v>
      </c>
      <c r="B3673" s="35" t="s">
        <v>7542</v>
      </c>
      <c r="C3673" s="35">
        <v>1907.0</v>
      </c>
      <c r="D3673" s="35">
        <v>1772.0</v>
      </c>
      <c r="E3673" s="35">
        <v>20700.0</v>
      </c>
      <c r="F3673" s="35" t="s">
        <v>11</v>
      </c>
    </row>
    <row r="3674" ht="22.5" customHeight="1">
      <c r="A3674" s="37" t="s">
        <v>7543</v>
      </c>
      <c r="B3674" s="35" t="s">
        <v>7544</v>
      </c>
      <c r="C3674" s="35">
        <v>282.0</v>
      </c>
      <c r="D3674" s="35">
        <v>302.0</v>
      </c>
      <c r="E3674" s="35">
        <v>24040.0</v>
      </c>
      <c r="F3674" s="35" t="s">
        <v>11</v>
      </c>
    </row>
    <row r="3675" ht="22.5" customHeight="1">
      <c r="A3675" s="37" t="s">
        <v>7545</v>
      </c>
      <c r="B3675" s="35" t="s">
        <v>7546</v>
      </c>
      <c r="C3675" s="35">
        <v>1291.0</v>
      </c>
      <c r="D3675" s="35">
        <v>1252.0</v>
      </c>
      <c r="E3675" s="35">
        <v>25500.0</v>
      </c>
      <c r="F3675" s="35" t="s">
        <v>11</v>
      </c>
    </row>
    <row r="3676" ht="22.5" customHeight="1">
      <c r="A3676" s="37" t="s">
        <v>7547</v>
      </c>
      <c r="B3676" s="35" t="s">
        <v>7548</v>
      </c>
      <c r="C3676" s="35">
        <v>1258.0</v>
      </c>
      <c r="D3676" s="35">
        <v>1279.0</v>
      </c>
      <c r="E3676" s="35">
        <v>25970.0</v>
      </c>
      <c r="F3676" s="35" t="s">
        <v>11</v>
      </c>
    </row>
    <row r="3677" ht="22.5" customHeight="1">
      <c r="A3677" s="37" t="s">
        <v>7549</v>
      </c>
      <c r="B3677" s="35" t="s">
        <v>7550</v>
      </c>
      <c r="C3677" s="35">
        <v>995.0</v>
      </c>
      <c r="D3677" s="35">
        <v>976.0</v>
      </c>
      <c r="E3677" s="35">
        <v>29770.0</v>
      </c>
      <c r="F3677" s="35" t="s">
        <v>11</v>
      </c>
    </row>
    <row r="3678" ht="22.5" customHeight="1">
      <c r="A3678" s="37" t="s">
        <v>7551</v>
      </c>
      <c r="B3678" s="35" t="s">
        <v>4283</v>
      </c>
      <c r="C3678" s="35">
        <v>1376.0</v>
      </c>
      <c r="D3678" s="35">
        <v>1344.0</v>
      </c>
      <c r="E3678" s="35">
        <v>26500.0</v>
      </c>
      <c r="F3678" s="35" t="s">
        <v>11</v>
      </c>
    </row>
    <row r="3679" ht="22.5" customHeight="1">
      <c r="A3679" s="37" t="s">
        <v>7552</v>
      </c>
      <c r="B3679" s="35" t="s">
        <v>7553</v>
      </c>
      <c r="C3679" s="35">
        <v>57.0</v>
      </c>
      <c r="D3679" s="35">
        <v>47.0</v>
      </c>
      <c r="E3679" s="35" t="s">
        <v>11</v>
      </c>
      <c r="F3679" s="35" t="s">
        <v>11</v>
      </c>
    </row>
    <row r="3680" ht="22.5" customHeight="1">
      <c r="A3680" s="37" t="s">
        <v>7554</v>
      </c>
      <c r="B3680" s="35" t="s">
        <v>7555</v>
      </c>
      <c r="C3680" s="35">
        <v>2510.0</v>
      </c>
      <c r="D3680" s="35">
        <v>2306.0</v>
      </c>
      <c r="E3680" s="35">
        <v>25760.0</v>
      </c>
      <c r="F3680" s="35" t="s">
        <v>11</v>
      </c>
    </row>
    <row r="3681" ht="22.5" customHeight="1">
      <c r="A3681" s="37" t="s">
        <v>7556</v>
      </c>
      <c r="B3681" s="35" t="s">
        <v>7557</v>
      </c>
      <c r="C3681" s="35">
        <v>495.0</v>
      </c>
      <c r="D3681" s="35">
        <v>504.0</v>
      </c>
      <c r="E3681" s="35">
        <v>27920.0</v>
      </c>
      <c r="F3681" s="35" t="s">
        <v>11</v>
      </c>
    </row>
    <row r="3682" ht="22.5" customHeight="1">
      <c r="A3682" s="37" t="s">
        <v>7558</v>
      </c>
      <c r="B3682" s="35" t="s">
        <v>7559</v>
      </c>
      <c r="C3682" s="35">
        <v>239.0</v>
      </c>
      <c r="D3682" s="35">
        <v>263.0</v>
      </c>
      <c r="E3682" s="35">
        <v>30830.0</v>
      </c>
      <c r="F3682" s="35" t="s">
        <v>11</v>
      </c>
    </row>
    <row r="3683" ht="22.5" customHeight="1">
      <c r="A3683" s="37" t="s">
        <v>7560</v>
      </c>
      <c r="B3683" s="35" t="s">
        <v>7561</v>
      </c>
      <c r="C3683" s="35">
        <v>2846.0</v>
      </c>
      <c r="D3683" s="35">
        <v>2739.0</v>
      </c>
      <c r="E3683" s="35">
        <v>27190.0</v>
      </c>
      <c r="F3683" s="35">
        <v>11.0</v>
      </c>
    </row>
    <row r="3684" ht="22.5" customHeight="1">
      <c r="A3684" s="37" t="s">
        <v>7562</v>
      </c>
      <c r="B3684" s="35" t="s">
        <v>7563</v>
      </c>
      <c r="C3684" s="35">
        <v>3979.0</v>
      </c>
      <c r="D3684" s="35">
        <v>4179.0</v>
      </c>
      <c r="E3684" s="35">
        <v>28780.0</v>
      </c>
      <c r="F3684" s="35">
        <v>9.0</v>
      </c>
    </row>
    <row r="3685" ht="22.5" customHeight="1">
      <c r="A3685" s="37" t="s">
        <v>7564</v>
      </c>
      <c r="B3685" s="35" t="s">
        <v>2901</v>
      </c>
      <c r="C3685" s="35">
        <v>267.0</v>
      </c>
      <c r="D3685" s="35">
        <v>269.0</v>
      </c>
      <c r="E3685" s="35">
        <v>27240.0</v>
      </c>
      <c r="F3685" s="35" t="s">
        <v>11</v>
      </c>
    </row>
    <row r="3686" ht="22.5" customHeight="1">
      <c r="A3686" s="37" t="s">
        <v>7565</v>
      </c>
      <c r="B3686" s="35" t="s">
        <v>7566</v>
      </c>
      <c r="C3686" s="35">
        <v>71.0</v>
      </c>
      <c r="D3686" s="35">
        <v>74.0</v>
      </c>
      <c r="E3686" s="35" t="s">
        <v>11</v>
      </c>
      <c r="F3686" s="35" t="s">
        <v>11</v>
      </c>
    </row>
    <row r="3687" ht="22.5" customHeight="1">
      <c r="A3687" s="37" t="s">
        <v>7567</v>
      </c>
      <c r="B3687" s="35" t="s">
        <v>7568</v>
      </c>
      <c r="C3687" s="35">
        <v>175.0</v>
      </c>
      <c r="D3687" s="35">
        <v>178.0</v>
      </c>
      <c r="E3687" s="35">
        <v>26230.0</v>
      </c>
      <c r="F3687" s="35" t="s">
        <v>11</v>
      </c>
    </row>
    <row r="3688" ht="22.5" customHeight="1">
      <c r="A3688" s="37" t="s">
        <v>7569</v>
      </c>
      <c r="B3688" s="35" t="s">
        <v>7570</v>
      </c>
      <c r="C3688" s="35">
        <v>932.0</v>
      </c>
      <c r="D3688" s="35">
        <v>1096.0</v>
      </c>
      <c r="E3688" s="35">
        <v>30760.0</v>
      </c>
      <c r="F3688" s="35" t="s">
        <v>11</v>
      </c>
    </row>
    <row r="3689" ht="22.5" customHeight="1">
      <c r="A3689" s="37" t="s">
        <v>7571</v>
      </c>
      <c r="B3689" s="35" t="s">
        <v>7572</v>
      </c>
      <c r="C3689" s="35">
        <v>647.0</v>
      </c>
      <c r="D3689" s="35">
        <v>623.0</v>
      </c>
      <c r="E3689" s="35">
        <v>23750.0</v>
      </c>
      <c r="F3689" s="35" t="s">
        <v>11</v>
      </c>
    </row>
    <row r="3690" ht="22.5" customHeight="1">
      <c r="A3690" s="37" t="s">
        <v>7573</v>
      </c>
      <c r="B3690" s="35" t="s">
        <v>7574</v>
      </c>
      <c r="C3690" s="35">
        <v>294.0</v>
      </c>
      <c r="D3690" s="35">
        <v>324.0</v>
      </c>
      <c r="E3690" s="35">
        <v>25040.0</v>
      </c>
      <c r="F3690" s="35" t="s">
        <v>11</v>
      </c>
    </row>
    <row r="3691" ht="22.5" customHeight="1">
      <c r="A3691" s="37" t="s">
        <v>7575</v>
      </c>
      <c r="B3691" s="35" t="s">
        <v>7576</v>
      </c>
      <c r="C3691" s="35">
        <v>208.0</v>
      </c>
      <c r="D3691" s="35">
        <v>217.0</v>
      </c>
      <c r="E3691" s="35">
        <v>23950.0</v>
      </c>
      <c r="F3691" s="35" t="s">
        <v>11</v>
      </c>
    </row>
    <row r="3692" ht="22.5" customHeight="1">
      <c r="A3692" s="37" t="s">
        <v>7577</v>
      </c>
      <c r="B3692" s="35" t="s">
        <v>7578</v>
      </c>
      <c r="C3692" s="35">
        <v>168.0</v>
      </c>
      <c r="D3692" s="35">
        <v>162.0</v>
      </c>
      <c r="E3692" s="35">
        <v>27540.0</v>
      </c>
      <c r="F3692" s="35" t="s">
        <v>11</v>
      </c>
    </row>
    <row r="3693" ht="22.5" customHeight="1">
      <c r="A3693" s="37" t="s">
        <v>7579</v>
      </c>
      <c r="B3693" s="35" t="s">
        <v>7580</v>
      </c>
      <c r="C3693" s="35">
        <v>213.0</v>
      </c>
      <c r="D3693" s="35">
        <v>235.0</v>
      </c>
      <c r="E3693" s="35">
        <v>25330.0</v>
      </c>
      <c r="F3693" s="35" t="s">
        <v>11</v>
      </c>
    </row>
    <row r="3694" ht="22.5" customHeight="1">
      <c r="A3694" s="37" t="s">
        <v>7581</v>
      </c>
      <c r="B3694" s="35" t="s">
        <v>7582</v>
      </c>
      <c r="C3694" s="35">
        <v>162.0</v>
      </c>
      <c r="D3694" s="35">
        <v>162.0</v>
      </c>
      <c r="E3694" s="35">
        <v>21050.0</v>
      </c>
      <c r="F3694" s="35" t="s">
        <v>11</v>
      </c>
    </row>
    <row r="3695" ht="22.5" customHeight="1">
      <c r="A3695" s="37" t="s">
        <v>7583</v>
      </c>
      <c r="B3695" s="35" t="s">
        <v>7584</v>
      </c>
      <c r="C3695" s="35">
        <v>125.0</v>
      </c>
      <c r="D3695" s="35">
        <v>124.0</v>
      </c>
      <c r="E3695" s="35">
        <v>29620.0</v>
      </c>
      <c r="F3695" s="35" t="s">
        <v>11</v>
      </c>
    </row>
    <row r="3696" ht="22.5" customHeight="1">
      <c r="A3696" s="37" t="s">
        <v>7585</v>
      </c>
      <c r="B3696" s="35" t="s">
        <v>7586</v>
      </c>
      <c r="C3696" s="35">
        <v>325.0</v>
      </c>
      <c r="D3696" s="35">
        <v>288.0</v>
      </c>
      <c r="E3696" s="35">
        <v>27840.0</v>
      </c>
      <c r="F3696" s="35" t="s">
        <v>11</v>
      </c>
    </row>
    <row r="3697" ht="22.5" customHeight="1">
      <c r="A3697" s="37" t="s">
        <v>7587</v>
      </c>
      <c r="B3697" s="35" t="s">
        <v>7588</v>
      </c>
      <c r="C3697" s="35">
        <v>182.0</v>
      </c>
      <c r="D3697" s="35">
        <v>186.0</v>
      </c>
      <c r="E3697" s="35">
        <v>25710.0</v>
      </c>
      <c r="F3697" s="35" t="s">
        <v>11</v>
      </c>
    </row>
    <row r="3698" ht="22.5" customHeight="1">
      <c r="A3698" s="37" t="s">
        <v>7589</v>
      </c>
      <c r="B3698" s="35" t="s">
        <v>7590</v>
      </c>
      <c r="C3698" s="35">
        <v>64.0</v>
      </c>
      <c r="D3698" s="35">
        <v>84.0</v>
      </c>
      <c r="E3698" s="35" t="s">
        <v>11</v>
      </c>
      <c r="F3698" s="35" t="s">
        <v>11</v>
      </c>
    </row>
    <row r="3699" ht="22.5" customHeight="1">
      <c r="A3699" s="37" t="s">
        <v>7591</v>
      </c>
      <c r="B3699" s="35" t="s">
        <v>7592</v>
      </c>
      <c r="C3699" s="35">
        <v>186.0</v>
      </c>
      <c r="D3699" s="35">
        <v>190.0</v>
      </c>
      <c r="E3699" s="35">
        <v>25990.0</v>
      </c>
      <c r="F3699" s="35" t="s">
        <v>11</v>
      </c>
    </row>
    <row r="3700" ht="22.5" customHeight="1">
      <c r="A3700" s="37" t="s">
        <v>7593</v>
      </c>
      <c r="B3700" s="35" t="s">
        <v>7594</v>
      </c>
      <c r="C3700" s="35">
        <v>59.0</v>
      </c>
      <c r="D3700" s="35">
        <v>58.0</v>
      </c>
      <c r="E3700" s="35" t="s">
        <v>11</v>
      </c>
      <c r="F3700" s="35" t="s">
        <v>11</v>
      </c>
    </row>
    <row r="3701" ht="22.5" customHeight="1">
      <c r="A3701" s="37" t="s">
        <v>7595</v>
      </c>
      <c r="B3701" s="35" t="s">
        <v>7596</v>
      </c>
      <c r="C3701" s="35">
        <v>1067.0</v>
      </c>
      <c r="D3701" s="35">
        <v>1085.0</v>
      </c>
      <c r="E3701" s="35">
        <v>29210.0</v>
      </c>
      <c r="F3701" s="35" t="s">
        <v>11</v>
      </c>
    </row>
    <row r="3702" ht="22.5" customHeight="1">
      <c r="A3702" s="37" t="s">
        <v>7597</v>
      </c>
      <c r="B3702" s="35" t="s">
        <v>7598</v>
      </c>
      <c r="C3702" s="35">
        <v>140.0</v>
      </c>
      <c r="D3702" s="35">
        <v>139.0</v>
      </c>
      <c r="E3702" s="35">
        <v>22400.0</v>
      </c>
      <c r="F3702" s="35" t="s">
        <v>11</v>
      </c>
    </row>
    <row r="3703" ht="22.5" customHeight="1">
      <c r="A3703" s="37" t="s">
        <v>7599</v>
      </c>
      <c r="B3703" s="35" t="s">
        <v>7600</v>
      </c>
      <c r="C3703" s="35">
        <v>172.0</v>
      </c>
      <c r="D3703" s="35">
        <v>198.0</v>
      </c>
      <c r="E3703" s="35">
        <v>21120.0</v>
      </c>
      <c r="F3703" s="35" t="s">
        <v>11</v>
      </c>
    </row>
    <row r="3704" ht="22.5" customHeight="1">
      <c r="A3704" s="37" t="s">
        <v>7601</v>
      </c>
      <c r="B3704" s="35" t="s">
        <v>7602</v>
      </c>
      <c r="C3704" s="35">
        <v>310.0</v>
      </c>
      <c r="D3704" s="35">
        <v>323.0</v>
      </c>
      <c r="E3704" s="35">
        <v>24110.0</v>
      </c>
      <c r="F3704" s="35" t="s">
        <v>11</v>
      </c>
    </row>
    <row r="3705" ht="22.5" customHeight="1">
      <c r="A3705" s="37" t="s">
        <v>7603</v>
      </c>
      <c r="B3705" s="35" t="s">
        <v>7604</v>
      </c>
      <c r="C3705" s="35">
        <v>156.0</v>
      </c>
      <c r="D3705" s="35">
        <v>145.0</v>
      </c>
      <c r="E3705" s="35">
        <v>24280.0</v>
      </c>
      <c r="F3705" s="35" t="s">
        <v>11</v>
      </c>
    </row>
    <row r="3706" ht="22.5" customHeight="1">
      <c r="A3706" s="37" t="s">
        <v>7605</v>
      </c>
      <c r="B3706" s="35" t="s">
        <v>7606</v>
      </c>
      <c r="C3706" s="35">
        <v>563.0</v>
      </c>
      <c r="D3706" s="35">
        <v>552.0</v>
      </c>
      <c r="E3706" s="35">
        <v>28060.0</v>
      </c>
      <c r="F3706" s="35" t="s">
        <v>11</v>
      </c>
    </row>
    <row r="3707" ht="22.5" customHeight="1">
      <c r="A3707" s="37" t="s">
        <v>7607</v>
      </c>
      <c r="B3707" s="35" t="s">
        <v>7608</v>
      </c>
      <c r="C3707" s="35">
        <v>662.0</v>
      </c>
      <c r="D3707" s="35">
        <v>661.0</v>
      </c>
      <c r="E3707" s="35">
        <v>30690.0</v>
      </c>
      <c r="F3707" s="35" t="s">
        <v>11</v>
      </c>
    </row>
    <row r="3708" ht="22.5" customHeight="1">
      <c r="A3708" s="37" t="s">
        <v>7609</v>
      </c>
      <c r="B3708" s="35" t="s">
        <v>7610</v>
      </c>
      <c r="C3708" s="35">
        <v>129.0</v>
      </c>
      <c r="D3708" s="35">
        <v>124.0</v>
      </c>
      <c r="E3708" s="35">
        <v>22400.0</v>
      </c>
      <c r="F3708" s="35" t="s">
        <v>11</v>
      </c>
    </row>
    <row r="3709" ht="22.5" customHeight="1">
      <c r="A3709" s="37" t="s">
        <v>7611</v>
      </c>
      <c r="B3709" s="35" t="s">
        <v>7612</v>
      </c>
      <c r="C3709" s="35">
        <v>372.0</v>
      </c>
      <c r="D3709" s="35">
        <v>380.0</v>
      </c>
      <c r="E3709" s="35">
        <v>26890.0</v>
      </c>
      <c r="F3709" s="35" t="s">
        <v>11</v>
      </c>
    </row>
    <row r="3710" ht="22.5" customHeight="1">
      <c r="A3710" s="37" t="s">
        <v>7613</v>
      </c>
      <c r="B3710" s="35" t="s">
        <v>7614</v>
      </c>
      <c r="C3710" s="35">
        <v>144.0</v>
      </c>
      <c r="D3710" s="35">
        <v>141.0</v>
      </c>
      <c r="E3710" s="35">
        <v>23020.0</v>
      </c>
      <c r="F3710" s="35" t="s">
        <v>11</v>
      </c>
    </row>
    <row r="3711" ht="22.5" customHeight="1">
      <c r="A3711" s="37" t="s">
        <v>7615</v>
      </c>
      <c r="B3711" s="35" t="s">
        <v>6057</v>
      </c>
      <c r="C3711" s="35">
        <v>62.0</v>
      </c>
      <c r="D3711" s="35">
        <v>54.0</v>
      </c>
      <c r="E3711" s="35" t="s">
        <v>11</v>
      </c>
      <c r="F3711" s="35" t="s">
        <v>11</v>
      </c>
    </row>
    <row r="3712" ht="22.5" customHeight="1">
      <c r="A3712" s="37" t="s">
        <v>7616</v>
      </c>
      <c r="B3712" s="35" t="s">
        <v>7617</v>
      </c>
      <c r="C3712" s="35">
        <v>144.0</v>
      </c>
      <c r="D3712" s="35">
        <v>147.0</v>
      </c>
      <c r="E3712" s="35">
        <v>27710.0</v>
      </c>
      <c r="F3712" s="35" t="s">
        <v>11</v>
      </c>
    </row>
    <row r="3713" ht="22.5" customHeight="1">
      <c r="A3713" s="37" t="s">
        <v>7618</v>
      </c>
      <c r="B3713" s="35" t="s">
        <v>7619</v>
      </c>
      <c r="C3713" s="35">
        <v>195.0</v>
      </c>
      <c r="D3713" s="35">
        <v>207.0</v>
      </c>
      <c r="E3713" s="35">
        <v>26940.0</v>
      </c>
      <c r="F3713" s="35" t="s">
        <v>11</v>
      </c>
    </row>
    <row r="3714" ht="22.5" customHeight="1">
      <c r="A3714" s="37" t="s">
        <v>7620</v>
      </c>
      <c r="B3714" s="35" t="s">
        <v>7621</v>
      </c>
      <c r="C3714" s="35">
        <v>353.0</v>
      </c>
      <c r="D3714" s="35">
        <v>318.0</v>
      </c>
      <c r="E3714" s="35">
        <v>26540.0</v>
      </c>
      <c r="F3714" s="35" t="s">
        <v>11</v>
      </c>
    </row>
    <row r="3715" ht="22.5" customHeight="1">
      <c r="A3715" s="37" t="s">
        <v>7622</v>
      </c>
      <c r="B3715" s="35" t="s">
        <v>7623</v>
      </c>
      <c r="C3715" s="35">
        <v>393.0</v>
      </c>
      <c r="D3715" s="35">
        <v>353.0</v>
      </c>
      <c r="E3715" s="35">
        <v>24800.0</v>
      </c>
      <c r="F3715" s="35" t="s">
        <v>11</v>
      </c>
    </row>
    <row r="3716" ht="22.5" customHeight="1">
      <c r="A3716" s="37" t="s">
        <v>7624</v>
      </c>
      <c r="B3716" s="35" t="s">
        <v>7625</v>
      </c>
      <c r="C3716" s="35">
        <v>356.0</v>
      </c>
      <c r="D3716" s="35">
        <v>334.0</v>
      </c>
      <c r="E3716" s="35">
        <v>24140.0</v>
      </c>
      <c r="F3716" s="35" t="s">
        <v>11</v>
      </c>
    </row>
    <row r="3717" ht="22.5" customHeight="1">
      <c r="A3717" s="37" t="s">
        <v>7626</v>
      </c>
      <c r="B3717" s="35" t="s">
        <v>7627</v>
      </c>
      <c r="C3717" s="35">
        <v>358.0</v>
      </c>
      <c r="D3717" s="35">
        <v>332.0</v>
      </c>
      <c r="E3717" s="35">
        <v>25080.0</v>
      </c>
      <c r="F3717" s="35" t="s">
        <v>11</v>
      </c>
    </row>
    <row r="3718" ht="22.5" customHeight="1">
      <c r="A3718" s="37" t="s">
        <v>7628</v>
      </c>
      <c r="B3718" s="35" t="s">
        <v>7629</v>
      </c>
      <c r="C3718" s="35">
        <v>299.0</v>
      </c>
      <c r="D3718" s="35">
        <v>308.0</v>
      </c>
      <c r="E3718" s="35">
        <v>23890.0</v>
      </c>
      <c r="F3718" s="35" t="s">
        <v>11</v>
      </c>
    </row>
    <row r="3719" ht="22.5" customHeight="1">
      <c r="A3719" s="37" t="s">
        <v>7630</v>
      </c>
      <c r="B3719" s="35" t="s">
        <v>7631</v>
      </c>
      <c r="C3719" s="35">
        <v>818.0</v>
      </c>
      <c r="D3719" s="35">
        <v>805.0</v>
      </c>
      <c r="E3719" s="35">
        <v>24630.0</v>
      </c>
      <c r="F3719" s="35" t="s">
        <v>11</v>
      </c>
    </row>
    <row r="3720" ht="22.5" customHeight="1">
      <c r="A3720" s="37" t="s">
        <v>7632</v>
      </c>
      <c r="B3720" s="35" t="s">
        <v>7633</v>
      </c>
      <c r="C3720" s="35">
        <v>461.0</v>
      </c>
      <c r="D3720" s="35">
        <v>435.0</v>
      </c>
      <c r="E3720" s="35">
        <v>25990.0</v>
      </c>
      <c r="F3720" s="35" t="s">
        <v>11</v>
      </c>
    </row>
    <row r="3721" ht="22.5" customHeight="1">
      <c r="A3721" s="37" t="s">
        <v>7634</v>
      </c>
      <c r="B3721" s="35" t="s">
        <v>7635</v>
      </c>
      <c r="C3721" s="35">
        <v>248.0</v>
      </c>
      <c r="D3721" s="35">
        <v>234.0</v>
      </c>
      <c r="E3721" s="35">
        <v>23610.0</v>
      </c>
      <c r="F3721" s="35" t="s">
        <v>11</v>
      </c>
    </row>
    <row r="3722" ht="22.5" customHeight="1">
      <c r="A3722" s="37" t="s">
        <v>7636</v>
      </c>
      <c r="B3722" s="35" t="s">
        <v>7637</v>
      </c>
      <c r="C3722" s="35">
        <v>249.0</v>
      </c>
      <c r="D3722" s="35">
        <v>220.0</v>
      </c>
      <c r="E3722" s="35">
        <v>25190.0</v>
      </c>
      <c r="F3722" s="35" t="s">
        <v>11</v>
      </c>
    </row>
    <row r="3723" ht="22.5" customHeight="1">
      <c r="A3723" s="37" t="s">
        <v>7638</v>
      </c>
      <c r="B3723" s="35" t="s">
        <v>7639</v>
      </c>
      <c r="C3723" s="35">
        <v>548.0</v>
      </c>
      <c r="D3723" s="35">
        <v>549.0</v>
      </c>
      <c r="E3723" s="35">
        <v>22290.0</v>
      </c>
      <c r="F3723" s="35" t="s">
        <v>11</v>
      </c>
    </row>
    <row r="3724" ht="22.5" customHeight="1">
      <c r="A3724" s="37" t="s">
        <v>7640</v>
      </c>
      <c r="B3724" s="35" t="s">
        <v>7641</v>
      </c>
      <c r="C3724" s="35">
        <v>40.0</v>
      </c>
      <c r="D3724" s="35">
        <v>29.0</v>
      </c>
      <c r="E3724" s="35" t="s">
        <v>11</v>
      </c>
      <c r="F3724" s="35" t="s">
        <v>11</v>
      </c>
    </row>
    <row r="3725" ht="22.5" customHeight="1">
      <c r="A3725" s="37" t="s">
        <v>7642</v>
      </c>
      <c r="B3725" s="35" t="s">
        <v>1695</v>
      </c>
      <c r="C3725" s="35">
        <v>100.0</v>
      </c>
      <c r="D3725" s="35">
        <v>98.0</v>
      </c>
      <c r="E3725" s="35" t="s">
        <v>11</v>
      </c>
      <c r="F3725" s="35" t="s">
        <v>11</v>
      </c>
    </row>
    <row r="3726" ht="22.5" customHeight="1">
      <c r="A3726" s="37" t="s">
        <v>7643</v>
      </c>
      <c r="B3726" s="35" t="s">
        <v>7644</v>
      </c>
      <c r="C3726" s="35">
        <v>288.0</v>
      </c>
      <c r="D3726" s="35">
        <v>288.0</v>
      </c>
      <c r="E3726" s="35">
        <v>27150.0</v>
      </c>
      <c r="F3726" s="35" t="s">
        <v>11</v>
      </c>
    </row>
    <row r="3727" ht="22.5" customHeight="1">
      <c r="A3727" s="37" t="s">
        <v>7645</v>
      </c>
      <c r="B3727" s="35" t="s">
        <v>7646</v>
      </c>
      <c r="C3727" s="35">
        <v>636.0</v>
      </c>
      <c r="D3727" s="35">
        <v>655.0</v>
      </c>
      <c r="E3727" s="35">
        <v>24460.0</v>
      </c>
      <c r="F3727" s="35" t="s">
        <v>11</v>
      </c>
    </row>
    <row r="3728" ht="22.5" customHeight="1">
      <c r="A3728" s="37" t="s">
        <v>7647</v>
      </c>
      <c r="B3728" s="35" t="s">
        <v>7648</v>
      </c>
      <c r="C3728" s="35">
        <v>220.0</v>
      </c>
      <c r="D3728" s="35">
        <v>222.0</v>
      </c>
      <c r="E3728" s="35">
        <v>25660.0</v>
      </c>
      <c r="F3728" s="35" t="s">
        <v>11</v>
      </c>
    </row>
    <row r="3729" ht="22.5" customHeight="1">
      <c r="A3729" s="37" t="s">
        <v>7649</v>
      </c>
      <c r="B3729" s="35" t="s">
        <v>7650</v>
      </c>
      <c r="C3729" s="35">
        <v>151.0</v>
      </c>
      <c r="D3729" s="35">
        <v>132.0</v>
      </c>
      <c r="E3729" s="35">
        <v>24500.0</v>
      </c>
      <c r="F3729" s="35" t="s">
        <v>11</v>
      </c>
    </row>
    <row r="3730" ht="22.5" customHeight="1">
      <c r="A3730" s="37" t="s">
        <v>7651</v>
      </c>
      <c r="B3730" s="35" t="s">
        <v>7652</v>
      </c>
      <c r="C3730" s="35">
        <v>125.0</v>
      </c>
      <c r="D3730" s="35">
        <v>120.0</v>
      </c>
      <c r="E3730" s="35">
        <v>27260.0</v>
      </c>
      <c r="F3730" s="35" t="s">
        <v>11</v>
      </c>
    </row>
    <row r="3731" ht="22.5" customHeight="1">
      <c r="A3731" s="37" t="s">
        <v>7653</v>
      </c>
      <c r="B3731" s="35" t="s">
        <v>7654</v>
      </c>
      <c r="C3731" s="35">
        <v>851.0</v>
      </c>
      <c r="D3731" s="35">
        <v>815.0</v>
      </c>
      <c r="E3731" s="35">
        <v>25570.0</v>
      </c>
      <c r="F3731" s="35" t="s">
        <v>11</v>
      </c>
    </row>
    <row r="3732" ht="22.5" customHeight="1">
      <c r="A3732" s="37" t="s">
        <v>7655</v>
      </c>
      <c r="B3732" s="35" t="s">
        <v>6101</v>
      </c>
      <c r="C3732" s="35">
        <v>395.0</v>
      </c>
      <c r="D3732" s="35">
        <v>414.0</v>
      </c>
      <c r="E3732" s="35">
        <v>24760.0</v>
      </c>
      <c r="F3732" s="35" t="s">
        <v>11</v>
      </c>
    </row>
    <row r="3733" ht="22.5" customHeight="1">
      <c r="A3733" s="37" t="s">
        <v>7656</v>
      </c>
      <c r="B3733" s="35" t="s">
        <v>7657</v>
      </c>
      <c r="C3733" s="35">
        <v>246.0</v>
      </c>
      <c r="D3733" s="35">
        <v>233.0</v>
      </c>
      <c r="E3733" s="35">
        <v>26690.0</v>
      </c>
      <c r="F3733" s="35" t="s">
        <v>11</v>
      </c>
    </row>
    <row r="3734" ht="22.5" customHeight="1">
      <c r="A3734" s="37" t="s">
        <v>7658</v>
      </c>
      <c r="B3734" s="35" t="s">
        <v>7659</v>
      </c>
      <c r="C3734" s="35">
        <v>406.0</v>
      </c>
      <c r="D3734" s="35">
        <v>444.0</v>
      </c>
      <c r="E3734" s="35">
        <v>28020.0</v>
      </c>
      <c r="F3734" s="35" t="s">
        <v>11</v>
      </c>
    </row>
    <row r="3735" ht="22.5" customHeight="1">
      <c r="A3735" s="37" t="s">
        <v>7660</v>
      </c>
      <c r="B3735" s="35" t="s">
        <v>7661</v>
      </c>
      <c r="C3735" s="35">
        <v>87.0</v>
      </c>
      <c r="D3735" s="35">
        <v>79.0</v>
      </c>
      <c r="E3735" s="35" t="s">
        <v>11</v>
      </c>
      <c r="F3735" s="35" t="s">
        <v>11</v>
      </c>
    </row>
    <row r="3736" ht="22.5" customHeight="1">
      <c r="A3736" s="37" t="s">
        <v>7662</v>
      </c>
      <c r="B3736" s="35" t="s">
        <v>7663</v>
      </c>
      <c r="C3736" s="35">
        <v>308.0</v>
      </c>
      <c r="D3736" s="35">
        <v>268.0</v>
      </c>
      <c r="E3736" s="35">
        <v>28110.0</v>
      </c>
      <c r="F3736" s="35" t="s">
        <v>11</v>
      </c>
    </row>
    <row r="3737" ht="22.5" customHeight="1">
      <c r="A3737" s="37" t="s">
        <v>7664</v>
      </c>
      <c r="B3737" s="35" t="s">
        <v>7665</v>
      </c>
      <c r="C3737" s="35">
        <v>540.0</v>
      </c>
      <c r="D3737" s="35">
        <v>531.0</v>
      </c>
      <c r="E3737" s="35">
        <v>27980.0</v>
      </c>
      <c r="F3737" s="35" t="s">
        <v>11</v>
      </c>
    </row>
    <row r="3738" ht="22.5" customHeight="1">
      <c r="A3738" s="37" t="s">
        <v>7666</v>
      </c>
      <c r="B3738" s="35" t="s">
        <v>4409</v>
      </c>
      <c r="C3738" s="35">
        <v>149.0</v>
      </c>
      <c r="D3738" s="35">
        <v>141.0</v>
      </c>
      <c r="E3738" s="35">
        <v>23190.0</v>
      </c>
      <c r="F3738" s="35" t="s">
        <v>11</v>
      </c>
    </row>
    <row r="3739" ht="22.5" customHeight="1">
      <c r="A3739" s="37" t="s">
        <v>7667</v>
      </c>
      <c r="B3739" s="35" t="s">
        <v>7668</v>
      </c>
      <c r="C3739" s="35">
        <v>93.0</v>
      </c>
      <c r="D3739" s="35">
        <v>97.0</v>
      </c>
      <c r="E3739" s="35" t="s">
        <v>11</v>
      </c>
      <c r="F3739" s="35" t="s">
        <v>11</v>
      </c>
    </row>
    <row r="3740" ht="22.5" customHeight="1">
      <c r="A3740" s="37" t="s">
        <v>7669</v>
      </c>
      <c r="B3740" s="35" t="s">
        <v>7670</v>
      </c>
      <c r="C3740" s="35">
        <v>163.0</v>
      </c>
      <c r="D3740" s="35">
        <v>174.0</v>
      </c>
      <c r="E3740" s="35">
        <v>24690.0</v>
      </c>
      <c r="F3740" s="35" t="s">
        <v>11</v>
      </c>
    </row>
    <row r="3741" ht="22.5" customHeight="1">
      <c r="A3741" s="37" t="s">
        <v>7671</v>
      </c>
      <c r="B3741" s="35" t="s">
        <v>7672</v>
      </c>
      <c r="C3741" s="35">
        <v>150.0</v>
      </c>
      <c r="D3741" s="35">
        <v>147.0</v>
      </c>
      <c r="E3741" s="35">
        <v>24060.0</v>
      </c>
      <c r="F3741" s="35" t="s">
        <v>11</v>
      </c>
    </row>
    <row r="3742" ht="22.5" customHeight="1">
      <c r="A3742" s="37" t="s">
        <v>7673</v>
      </c>
      <c r="B3742" s="35" t="s">
        <v>7674</v>
      </c>
      <c r="C3742" s="35">
        <v>165.0</v>
      </c>
      <c r="D3742" s="35">
        <v>168.0</v>
      </c>
      <c r="E3742" s="35">
        <v>25830.0</v>
      </c>
      <c r="F3742" s="35" t="s">
        <v>11</v>
      </c>
    </row>
    <row r="3743" ht="22.5" customHeight="1">
      <c r="A3743" s="37" t="s">
        <v>7675</v>
      </c>
      <c r="B3743" s="35" t="s">
        <v>7676</v>
      </c>
      <c r="C3743" s="35">
        <v>735.0</v>
      </c>
      <c r="D3743" s="35">
        <v>929.0</v>
      </c>
      <c r="E3743" s="35">
        <v>30270.0</v>
      </c>
      <c r="F3743" s="35" t="s">
        <v>11</v>
      </c>
    </row>
    <row r="3744" ht="22.5" customHeight="1">
      <c r="A3744" s="37" t="s">
        <v>7677</v>
      </c>
      <c r="B3744" s="35" t="s">
        <v>7678</v>
      </c>
      <c r="C3744" s="35">
        <v>252.0</v>
      </c>
      <c r="D3744" s="35">
        <v>241.0</v>
      </c>
      <c r="E3744" s="35">
        <v>28660.0</v>
      </c>
      <c r="F3744" s="35" t="s">
        <v>11</v>
      </c>
    </row>
    <row r="3745" ht="22.5" customHeight="1">
      <c r="A3745" s="37" t="s">
        <v>7679</v>
      </c>
      <c r="B3745" s="35" t="s">
        <v>7680</v>
      </c>
      <c r="C3745" s="35">
        <v>2368.0</v>
      </c>
      <c r="D3745" s="35">
        <v>2263.0</v>
      </c>
      <c r="E3745" s="35">
        <v>26490.0</v>
      </c>
      <c r="F3745" s="35">
        <v>8.0</v>
      </c>
    </row>
    <row r="3746" ht="22.5" customHeight="1">
      <c r="A3746" s="37" t="s">
        <v>7681</v>
      </c>
      <c r="B3746" s="35" t="s">
        <v>7682</v>
      </c>
      <c r="C3746" s="35">
        <v>58.0</v>
      </c>
      <c r="D3746" s="35">
        <v>46.0</v>
      </c>
      <c r="E3746" s="35" t="s">
        <v>11</v>
      </c>
      <c r="F3746" s="35" t="s">
        <v>11</v>
      </c>
    </row>
    <row r="3747" ht="22.5" customHeight="1">
      <c r="A3747" s="37" t="s">
        <v>7683</v>
      </c>
      <c r="B3747" s="35" t="s">
        <v>7684</v>
      </c>
      <c r="C3747" s="35">
        <v>473.0</v>
      </c>
      <c r="D3747" s="35">
        <v>461.0</v>
      </c>
      <c r="E3747" s="35">
        <v>24640.0</v>
      </c>
      <c r="F3747" s="35" t="s">
        <v>11</v>
      </c>
    </row>
    <row r="3748" ht="22.5" customHeight="1">
      <c r="A3748" s="37" t="s">
        <v>7685</v>
      </c>
      <c r="B3748" s="35" t="s">
        <v>7686</v>
      </c>
      <c r="C3748" s="35">
        <v>190.0</v>
      </c>
      <c r="D3748" s="35">
        <v>177.0</v>
      </c>
      <c r="E3748" s="35">
        <v>23670.0</v>
      </c>
      <c r="F3748" s="35" t="s">
        <v>11</v>
      </c>
    </row>
    <row r="3749" ht="22.5" customHeight="1">
      <c r="A3749" s="37" t="s">
        <v>7687</v>
      </c>
      <c r="B3749" s="35" t="s">
        <v>7688</v>
      </c>
      <c r="C3749" s="35">
        <v>127.0</v>
      </c>
      <c r="D3749" s="35">
        <v>137.0</v>
      </c>
      <c r="E3749" s="35">
        <v>26870.0</v>
      </c>
      <c r="F3749" s="35" t="s">
        <v>11</v>
      </c>
    </row>
    <row r="3750" ht="22.5" customHeight="1">
      <c r="A3750" s="37" t="s">
        <v>7689</v>
      </c>
      <c r="B3750" s="35" t="s">
        <v>7690</v>
      </c>
      <c r="C3750" s="35">
        <v>1422.0</v>
      </c>
      <c r="D3750" s="35">
        <v>1545.0</v>
      </c>
      <c r="E3750" s="35">
        <v>29640.0</v>
      </c>
      <c r="F3750" s="35" t="s">
        <v>11</v>
      </c>
    </row>
    <row r="3751" ht="22.5" customHeight="1">
      <c r="A3751" s="37" t="s">
        <v>7691</v>
      </c>
      <c r="B3751" s="35" t="s">
        <v>7692</v>
      </c>
      <c r="C3751" s="35">
        <v>4464.0</v>
      </c>
      <c r="D3751" s="35">
        <v>4647.0</v>
      </c>
      <c r="E3751" s="35">
        <v>26170.0</v>
      </c>
      <c r="F3751" s="35">
        <v>8.0</v>
      </c>
    </row>
    <row r="3752" ht="22.5" customHeight="1">
      <c r="A3752" s="37" t="s">
        <v>7693</v>
      </c>
      <c r="B3752" s="35" t="s">
        <v>7694</v>
      </c>
      <c r="C3752" s="35">
        <v>152.0</v>
      </c>
      <c r="D3752" s="35">
        <v>138.0</v>
      </c>
      <c r="E3752" s="35">
        <v>26000.0</v>
      </c>
      <c r="F3752" s="35" t="s">
        <v>11</v>
      </c>
    </row>
    <row r="3753" ht="22.5" customHeight="1">
      <c r="A3753" s="37" t="s">
        <v>7695</v>
      </c>
      <c r="B3753" s="35" t="s">
        <v>7696</v>
      </c>
      <c r="C3753" s="35">
        <v>366.0</v>
      </c>
      <c r="D3753" s="35">
        <v>294.0</v>
      </c>
      <c r="E3753" s="35">
        <v>24360.0</v>
      </c>
      <c r="F3753" s="35" t="s">
        <v>11</v>
      </c>
    </row>
    <row r="3754" ht="22.5" customHeight="1">
      <c r="A3754" s="37" t="s">
        <v>7697</v>
      </c>
      <c r="B3754" s="35" t="s">
        <v>7698</v>
      </c>
      <c r="C3754" s="35">
        <v>588.0</v>
      </c>
      <c r="D3754" s="35">
        <v>530.0</v>
      </c>
      <c r="E3754" s="35">
        <v>24650.0</v>
      </c>
      <c r="F3754" s="35" t="s">
        <v>11</v>
      </c>
    </row>
    <row r="3755" ht="22.5" customHeight="1">
      <c r="A3755" s="37" t="s">
        <v>7699</v>
      </c>
      <c r="B3755" s="35" t="s">
        <v>7700</v>
      </c>
      <c r="C3755" s="35">
        <v>274.0</v>
      </c>
      <c r="D3755" s="35">
        <v>288.0</v>
      </c>
      <c r="E3755" s="35">
        <v>27290.0</v>
      </c>
      <c r="F3755" s="35" t="s">
        <v>11</v>
      </c>
    </row>
    <row r="3756" ht="22.5" customHeight="1">
      <c r="A3756" s="37" t="s">
        <v>7701</v>
      </c>
      <c r="B3756" s="35" t="s">
        <v>7702</v>
      </c>
      <c r="C3756" s="35">
        <v>181.0</v>
      </c>
      <c r="D3756" s="35">
        <v>167.0</v>
      </c>
      <c r="E3756" s="35">
        <v>25280.0</v>
      </c>
      <c r="F3756" s="35" t="s">
        <v>11</v>
      </c>
    </row>
    <row r="3757" ht="22.5" customHeight="1">
      <c r="A3757" s="37" t="s">
        <v>7703</v>
      </c>
      <c r="B3757" s="35" t="s">
        <v>7704</v>
      </c>
      <c r="C3757" s="35">
        <v>155.0</v>
      </c>
      <c r="D3757" s="35">
        <v>160.0</v>
      </c>
      <c r="E3757" s="35">
        <v>27080.0</v>
      </c>
      <c r="F3757" s="35" t="s">
        <v>11</v>
      </c>
    </row>
    <row r="3758" ht="22.5" customHeight="1">
      <c r="A3758" s="37" t="s">
        <v>7705</v>
      </c>
      <c r="B3758" s="35" t="s">
        <v>7706</v>
      </c>
      <c r="C3758" s="35">
        <v>474.0</v>
      </c>
      <c r="D3758" s="35">
        <v>468.0</v>
      </c>
      <c r="E3758" s="35">
        <v>24100.0</v>
      </c>
      <c r="F3758" s="35" t="s">
        <v>11</v>
      </c>
    </row>
    <row r="3759" ht="22.5" customHeight="1">
      <c r="A3759" s="37" t="s">
        <v>7707</v>
      </c>
      <c r="B3759" s="35" t="s">
        <v>7708</v>
      </c>
      <c r="C3759" s="35">
        <v>271.0</v>
      </c>
      <c r="D3759" s="35">
        <v>281.0</v>
      </c>
      <c r="E3759" s="35">
        <v>24370.0</v>
      </c>
      <c r="F3759" s="35" t="s">
        <v>11</v>
      </c>
    </row>
    <row r="3760" ht="22.5" customHeight="1">
      <c r="A3760" s="37" t="s">
        <v>7709</v>
      </c>
      <c r="B3760" s="35" t="s">
        <v>7710</v>
      </c>
      <c r="C3760" s="35">
        <v>491.0</v>
      </c>
      <c r="D3760" s="35">
        <v>503.0</v>
      </c>
      <c r="E3760" s="35">
        <v>22400.0</v>
      </c>
      <c r="F3760" s="35" t="s">
        <v>11</v>
      </c>
    </row>
    <row r="3761" ht="22.5" customHeight="1">
      <c r="A3761" s="37" t="s">
        <v>7711</v>
      </c>
      <c r="B3761" s="35" t="s">
        <v>7712</v>
      </c>
      <c r="C3761" s="35">
        <v>483.0</v>
      </c>
      <c r="D3761" s="35">
        <v>474.0</v>
      </c>
      <c r="E3761" s="35">
        <v>23720.0</v>
      </c>
      <c r="F3761" s="35" t="s">
        <v>11</v>
      </c>
    </row>
    <row r="3762" ht="22.5" customHeight="1">
      <c r="A3762" s="37" t="s">
        <v>7713</v>
      </c>
      <c r="B3762" s="35" t="s">
        <v>7714</v>
      </c>
      <c r="C3762" s="35">
        <v>127.0</v>
      </c>
      <c r="D3762" s="35">
        <v>136.0</v>
      </c>
      <c r="E3762" s="35">
        <v>22410.0</v>
      </c>
      <c r="F3762" s="35" t="s">
        <v>11</v>
      </c>
    </row>
    <row r="3763" ht="22.5" customHeight="1">
      <c r="A3763" s="37" t="s">
        <v>7715</v>
      </c>
      <c r="B3763" s="35" t="s">
        <v>7716</v>
      </c>
      <c r="C3763" s="35">
        <v>603.0</v>
      </c>
      <c r="D3763" s="35">
        <v>595.0</v>
      </c>
      <c r="E3763" s="35">
        <v>24940.0</v>
      </c>
      <c r="F3763" s="35" t="s">
        <v>11</v>
      </c>
    </row>
    <row r="3764" ht="22.5" customHeight="1">
      <c r="A3764" s="37" t="s">
        <v>7717</v>
      </c>
      <c r="B3764" s="35" t="s">
        <v>7718</v>
      </c>
      <c r="C3764" s="35">
        <v>142.0</v>
      </c>
      <c r="D3764" s="35">
        <v>130.0</v>
      </c>
      <c r="E3764" s="35">
        <v>27460.0</v>
      </c>
      <c r="F3764" s="35" t="s">
        <v>11</v>
      </c>
    </row>
    <row r="3765" ht="22.5" customHeight="1">
      <c r="A3765" s="37" t="s">
        <v>7719</v>
      </c>
      <c r="B3765" s="35" t="s">
        <v>7720</v>
      </c>
      <c r="C3765" s="35">
        <v>96.0</v>
      </c>
      <c r="D3765" s="35">
        <v>96.0</v>
      </c>
      <c r="E3765" s="35" t="s">
        <v>11</v>
      </c>
      <c r="F3765" s="35" t="s">
        <v>11</v>
      </c>
    </row>
    <row r="3766" ht="22.5" customHeight="1">
      <c r="A3766" s="37" t="s">
        <v>7721</v>
      </c>
      <c r="B3766" s="35" t="s">
        <v>7722</v>
      </c>
      <c r="C3766" s="35">
        <v>437.0</v>
      </c>
      <c r="D3766" s="35">
        <v>459.0</v>
      </c>
      <c r="E3766" s="35">
        <v>24710.0</v>
      </c>
      <c r="F3766" s="35" t="s">
        <v>11</v>
      </c>
    </row>
    <row r="3767" ht="22.5" customHeight="1">
      <c r="A3767" s="37" t="s">
        <v>7723</v>
      </c>
      <c r="B3767" s="35" t="s">
        <v>7724</v>
      </c>
      <c r="C3767" s="35">
        <v>837.0</v>
      </c>
      <c r="D3767" s="35">
        <v>839.0</v>
      </c>
      <c r="E3767" s="35">
        <v>24630.0</v>
      </c>
      <c r="F3767" s="35" t="s">
        <v>11</v>
      </c>
    </row>
    <row r="3768" ht="22.5" customHeight="1">
      <c r="A3768" s="37" t="s">
        <v>7725</v>
      </c>
      <c r="B3768" s="35" t="s">
        <v>7726</v>
      </c>
      <c r="C3768" s="35">
        <v>89.0</v>
      </c>
      <c r="D3768" s="35">
        <v>78.0</v>
      </c>
      <c r="E3768" s="35" t="s">
        <v>11</v>
      </c>
      <c r="F3768" s="35" t="s">
        <v>11</v>
      </c>
    </row>
    <row r="3769" ht="22.5" customHeight="1">
      <c r="A3769" s="37" t="s">
        <v>7727</v>
      </c>
      <c r="B3769" s="35" t="s">
        <v>7728</v>
      </c>
      <c r="C3769" s="35">
        <v>758.0</v>
      </c>
      <c r="D3769" s="35">
        <v>743.0</v>
      </c>
      <c r="E3769" s="35">
        <v>25230.0</v>
      </c>
      <c r="F3769" s="35" t="s">
        <v>11</v>
      </c>
    </row>
    <row r="3770" ht="22.5" customHeight="1">
      <c r="A3770" s="37" t="s">
        <v>7729</v>
      </c>
      <c r="B3770" s="35" t="s">
        <v>6185</v>
      </c>
      <c r="C3770" s="35">
        <v>222.0</v>
      </c>
      <c r="D3770" s="35">
        <v>230.0</v>
      </c>
      <c r="E3770" s="35">
        <v>23530.0</v>
      </c>
      <c r="F3770" s="35" t="s">
        <v>11</v>
      </c>
    </row>
    <row r="3771" ht="22.5" customHeight="1">
      <c r="A3771" s="37" t="s">
        <v>7730</v>
      </c>
      <c r="B3771" s="35" t="s">
        <v>7731</v>
      </c>
      <c r="C3771" s="35">
        <v>143.0</v>
      </c>
      <c r="D3771" s="35">
        <v>139.0</v>
      </c>
      <c r="E3771" s="35">
        <v>23190.0</v>
      </c>
      <c r="F3771" s="35" t="s">
        <v>11</v>
      </c>
    </row>
    <row r="3772" ht="22.5" customHeight="1">
      <c r="A3772" s="37" t="s">
        <v>7732</v>
      </c>
      <c r="B3772" s="35" t="s">
        <v>7733</v>
      </c>
      <c r="C3772" s="35">
        <v>150.0</v>
      </c>
      <c r="D3772" s="35">
        <v>121.0</v>
      </c>
      <c r="E3772" s="35">
        <v>27770.0</v>
      </c>
      <c r="F3772" s="35" t="s">
        <v>11</v>
      </c>
    </row>
    <row r="3773" ht="22.5" customHeight="1">
      <c r="A3773" s="37" t="s">
        <v>7734</v>
      </c>
      <c r="B3773" s="35" t="s">
        <v>7735</v>
      </c>
      <c r="C3773" s="35">
        <v>263.0</v>
      </c>
      <c r="D3773" s="35">
        <v>249.0</v>
      </c>
      <c r="E3773" s="35">
        <v>27710.0</v>
      </c>
      <c r="F3773" s="35" t="s">
        <v>11</v>
      </c>
    </row>
    <row r="3774" ht="22.5" customHeight="1">
      <c r="A3774" s="37" t="s">
        <v>7736</v>
      </c>
      <c r="B3774" s="35" t="s">
        <v>7737</v>
      </c>
      <c r="C3774" s="35">
        <v>121.0</v>
      </c>
      <c r="D3774" s="35">
        <v>103.0</v>
      </c>
      <c r="E3774" s="35">
        <v>22760.0</v>
      </c>
      <c r="F3774" s="35" t="s">
        <v>11</v>
      </c>
    </row>
    <row r="3775" ht="22.5" customHeight="1">
      <c r="A3775" s="37" t="s">
        <v>7738</v>
      </c>
      <c r="B3775" s="35" t="s">
        <v>7739</v>
      </c>
      <c r="C3775" s="35">
        <v>816.0</v>
      </c>
      <c r="D3775" s="35">
        <v>732.0</v>
      </c>
      <c r="E3775" s="35">
        <v>24360.0</v>
      </c>
      <c r="F3775" s="35" t="s">
        <v>11</v>
      </c>
    </row>
    <row r="3776" ht="22.5" customHeight="1">
      <c r="A3776" s="37" t="s">
        <v>7740</v>
      </c>
      <c r="B3776" s="35" t="s">
        <v>7741</v>
      </c>
      <c r="C3776" s="35">
        <v>1268.0</v>
      </c>
      <c r="D3776" s="35">
        <v>1302.0</v>
      </c>
      <c r="E3776" s="35">
        <v>21750.0</v>
      </c>
      <c r="F3776" s="35" t="s">
        <v>11</v>
      </c>
    </row>
    <row r="3777" ht="22.5" customHeight="1">
      <c r="A3777" s="37" t="s">
        <v>7742</v>
      </c>
      <c r="B3777" s="35" t="s">
        <v>7743</v>
      </c>
      <c r="C3777" s="35">
        <v>60.0</v>
      </c>
      <c r="D3777" s="35">
        <v>46.0</v>
      </c>
      <c r="E3777" s="35" t="s">
        <v>11</v>
      </c>
      <c r="F3777" s="35" t="s">
        <v>11</v>
      </c>
    </row>
    <row r="3778" ht="22.5" customHeight="1">
      <c r="A3778" s="37" t="s">
        <v>7744</v>
      </c>
      <c r="B3778" s="35" t="s">
        <v>7745</v>
      </c>
      <c r="C3778" s="35">
        <v>92.0</v>
      </c>
      <c r="D3778" s="35">
        <v>87.0</v>
      </c>
      <c r="E3778" s="35" t="s">
        <v>11</v>
      </c>
      <c r="F3778" s="35" t="s">
        <v>11</v>
      </c>
    </row>
    <row r="3779" ht="22.5" customHeight="1">
      <c r="A3779" s="37" t="s">
        <v>7746</v>
      </c>
      <c r="B3779" s="35" t="s">
        <v>7747</v>
      </c>
      <c r="C3779" s="35">
        <v>304.0</v>
      </c>
      <c r="D3779" s="35">
        <v>296.0</v>
      </c>
      <c r="E3779" s="35">
        <v>22430.0</v>
      </c>
      <c r="F3779" s="35" t="s">
        <v>11</v>
      </c>
    </row>
    <row r="3780" ht="22.5" customHeight="1">
      <c r="A3780" s="37" t="s">
        <v>7748</v>
      </c>
      <c r="B3780" s="35" t="s">
        <v>7749</v>
      </c>
      <c r="C3780" s="35">
        <v>127.0</v>
      </c>
      <c r="D3780" s="35">
        <v>130.0</v>
      </c>
      <c r="E3780" s="35">
        <v>25680.0</v>
      </c>
      <c r="F3780" s="35" t="s">
        <v>11</v>
      </c>
    </row>
    <row r="3781" ht="22.5" customHeight="1">
      <c r="A3781" s="37" t="s">
        <v>7750</v>
      </c>
      <c r="B3781" s="35" t="s">
        <v>7751</v>
      </c>
      <c r="C3781" s="35">
        <v>514.0</v>
      </c>
      <c r="D3781" s="35">
        <v>490.0</v>
      </c>
      <c r="E3781" s="35">
        <v>24910.0</v>
      </c>
      <c r="F3781" s="35" t="s">
        <v>11</v>
      </c>
    </row>
    <row r="3782" ht="22.5" customHeight="1">
      <c r="A3782" s="37" t="s">
        <v>7752</v>
      </c>
      <c r="B3782" s="35" t="s">
        <v>7753</v>
      </c>
      <c r="C3782" s="35">
        <v>267.0</v>
      </c>
      <c r="D3782" s="35">
        <v>264.0</v>
      </c>
      <c r="E3782" s="35">
        <v>31250.0</v>
      </c>
      <c r="F3782" s="35" t="s">
        <v>11</v>
      </c>
    </row>
    <row r="3783" ht="22.5" customHeight="1">
      <c r="A3783" s="37" t="s">
        <v>7754</v>
      </c>
      <c r="B3783" s="35" t="s">
        <v>7755</v>
      </c>
      <c r="C3783" s="35">
        <v>227.0</v>
      </c>
      <c r="D3783" s="35">
        <v>243.0</v>
      </c>
      <c r="E3783" s="35">
        <v>29150.0</v>
      </c>
      <c r="F3783" s="35" t="s">
        <v>11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88"/>
    <col customWidth="1" min="2" max="2" width="37.63"/>
    <col customWidth="1" min="3" max="4" width="18.38"/>
    <col customWidth="1" min="5" max="5" width="25.25"/>
    <col customWidth="1" min="6" max="6" width="21.38"/>
  </cols>
  <sheetData>
    <row r="1" ht="22.5" customHeight="1">
      <c r="A1" s="38" t="s">
        <v>22</v>
      </c>
      <c r="B1" s="38" t="s">
        <v>25</v>
      </c>
      <c r="C1" s="38" t="s">
        <v>273</v>
      </c>
      <c r="D1" s="38" t="s">
        <v>276</v>
      </c>
      <c r="E1" s="38" t="s">
        <v>277</v>
      </c>
      <c r="F1" s="38" t="s">
        <v>278</v>
      </c>
    </row>
    <row r="2" ht="22.5" customHeight="1">
      <c r="A2" s="22" t="s">
        <v>35</v>
      </c>
      <c r="B2" s="39" t="s">
        <v>41</v>
      </c>
      <c r="C2" s="40">
        <v>180816.0</v>
      </c>
      <c r="D2" s="40">
        <v>184392.0</v>
      </c>
      <c r="E2" s="40">
        <v>23640.0</v>
      </c>
      <c r="F2" s="40">
        <v>23.5</v>
      </c>
    </row>
    <row r="3" ht="22.5" customHeight="1">
      <c r="A3" s="22" t="s">
        <v>49</v>
      </c>
      <c r="B3" s="39" t="s">
        <v>50</v>
      </c>
      <c r="C3" s="40">
        <v>55470.0</v>
      </c>
      <c r="D3" s="40">
        <v>54027.0</v>
      </c>
      <c r="E3" s="40">
        <v>22590.0</v>
      </c>
      <c r="F3" s="40">
        <v>21.6</v>
      </c>
    </row>
    <row r="4" ht="22.5" customHeight="1">
      <c r="A4" s="22" t="s">
        <v>71</v>
      </c>
      <c r="B4" s="39" t="s">
        <v>72</v>
      </c>
      <c r="C4" s="40">
        <v>70957.0</v>
      </c>
      <c r="D4" s="40">
        <v>69764.0</v>
      </c>
      <c r="E4" s="40">
        <v>22340.0</v>
      </c>
      <c r="F4" s="40">
        <v>21.1</v>
      </c>
    </row>
    <row r="5" ht="22.5" customHeight="1">
      <c r="A5" s="22" t="s">
        <v>98</v>
      </c>
      <c r="B5" s="39" t="s">
        <v>99</v>
      </c>
      <c r="C5" s="40">
        <v>102272.0</v>
      </c>
      <c r="D5" s="40">
        <v>102743.0</v>
      </c>
      <c r="E5" s="40">
        <v>25990.0</v>
      </c>
      <c r="F5" s="40">
        <v>11.1</v>
      </c>
    </row>
    <row r="6" ht="22.5" customHeight="1">
      <c r="A6" s="22" t="s">
        <v>129</v>
      </c>
      <c r="B6" s="39" t="s">
        <v>115</v>
      </c>
      <c r="C6" s="40">
        <v>86512.0</v>
      </c>
      <c r="D6" s="40">
        <v>90234.0</v>
      </c>
      <c r="E6" s="40">
        <v>19250.0</v>
      </c>
      <c r="F6" s="40">
        <v>33.5</v>
      </c>
    </row>
    <row r="7" ht="22.5" customHeight="1">
      <c r="A7" s="22" t="s">
        <v>180</v>
      </c>
      <c r="B7" s="39" t="s">
        <v>130</v>
      </c>
      <c r="C7" s="40">
        <v>149258.0</v>
      </c>
      <c r="D7" s="40">
        <v>149282.0</v>
      </c>
      <c r="E7" s="40">
        <v>22540.0</v>
      </c>
      <c r="F7" s="40">
        <v>22.4</v>
      </c>
    </row>
    <row r="8" ht="22.5" customHeight="1">
      <c r="A8" s="22" t="s">
        <v>220</v>
      </c>
      <c r="B8" s="39" t="s">
        <v>141</v>
      </c>
      <c r="C8" s="40">
        <v>105269.0</v>
      </c>
      <c r="D8" s="40">
        <v>98895.0</v>
      </c>
      <c r="E8" s="40">
        <v>22150.0</v>
      </c>
      <c r="F8" s="40">
        <v>23.0</v>
      </c>
    </row>
    <row r="9" ht="22.5" customHeight="1">
      <c r="A9" s="22" t="s">
        <v>68</v>
      </c>
      <c r="B9" s="39" t="s">
        <v>67</v>
      </c>
      <c r="C9" s="40">
        <v>52328.0</v>
      </c>
      <c r="D9" s="40">
        <v>51809.0</v>
      </c>
      <c r="E9" s="40">
        <v>22560.0</v>
      </c>
      <c r="F9" s="40">
        <v>23.9</v>
      </c>
    </row>
    <row r="10" ht="22.5" customHeight="1">
      <c r="A10" s="22" t="s">
        <v>255</v>
      </c>
      <c r="B10" s="39" t="s">
        <v>145</v>
      </c>
      <c r="C10" s="40">
        <v>125651.0</v>
      </c>
      <c r="D10" s="40">
        <v>122247.0</v>
      </c>
      <c r="E10" s="40">
        <v>20580.0</v>
      </c>
      <c r="F10" s="40">
        <v>28.6</v>
      </c>
    </row>
    <row r="11" ht="22.5" customHeight="1">
      <c r="A11" s="22" t="s">
        <v>268</v>
      </c>
      <c r="B11" s="39" t="s">
        <v>146</v>
      </c>
      <c r="C11" s="40">
        <v>192594.0</v>
      </c>
      <c r="D11" s="40">
        <v>191738.0</v>
      </c>
      <c r="E11" s="40">
        <v>22000.0</v>
      </c>
      <c r="F11" s="40">
        <v>25.0</v>
      </c>
    </row>
    <row r="12" ht="22.5" customHeight="1">
      <c r="A12" s="22" t="s">
        <v>285</v>
      </c>
      <c r="B12" s="39" t="s">
        <v>116</v>
      </c>
      <c r="C12" s="40">
        <v>125835.0</v>
      </c>
      <c r="D12" s="40">
        <v>125793.0</v>
      </c>
      <c r="E12" s="40">
        <v>21790.0</v>
      </c>
      <c r="F12" s="40">
        <v>23.3</v>
      </c>
    </row>
    <row r="13" ht="22.5" customHeight="1">
      <c r="A13" s="22" t="s">
        <v>300</v>
      </c>
      <c r="B13" s="39" t="s">
        <v>118</v>
      </c>
      <c r="C13" s="40">
        <v>276895.0</v>
      </c>
      <c r="D13" s="40">
        <v>275028.0</v>
      </c>
      <c r="E13" s="40">
        <v>22990.0</v>
      </c>
      <c r="F13" s="40">
        <v>19.4</v>
      </c>
    </row>
    <row r="14" ht="22.5" customHeight="1">
      <c r="A14" s="22" t="s">
        <v>312</v>
      </c>
      <c r="B14" s="39" t="s">
        <v>120</v>
      </c>
      <c r="C14" s="40">
        <v>81906.0</v>
      </c>
      <c r="D14" s="40">
        <v>80120.0</v>
      </c>
      <c r="E14" s="40">
        <v>23780.0</v>
      </c>
      <c r="F14" s="40">
        <v>17.6</v>
      </c>
    </row>
    <row r="15" ht="22.5" customHeight="1">
      <c r="A15" s="22" t="s">
        <v>323</v>
      </c>
      <c r="B15" s="39" t="s">
        <v>127</v>
      </c>
      <c r="C15" s="40">
        <v>241934.0</v>
      </c>
      <c r="D15" s="40">
        <v>242013.0</v>
      </c>
      <c r="E15" s="40">
        <v>21190.0</v>
      </c>
      <c r="F15" s="40">
        <v>25.3</v>
      </c>
    </row>
    <row r="16" ht="22.5" customHeight="1">
      <c r="A16" s="22" t="s">
        <v>325</v>
      </c>
      <c r="B16" s="39" t="s">
        <v>121</v>
      </c>
      <c r="C16" s="40">
        <v>49191.0</v>
      </c>
      <c r="D16" s="40">
        <v>47572.0</v>
      </c>
      <c r="E16" s="40">
        <v>23410.0</v>
      </c>
      <c r="F16" s="40">
        <v>18.5</v>
      </c>
    </row>
    <row r="17" ht="22.5" customHeight="1">
      <c r="A17" s="22" t="s">
        <v>328</v>
      </c>
      <c r="B17" s="39" t="s">
        <v>122</v>
      </c>
      <c r="C17" s="40">
        <v>158754.0</v>
      </c>
      <c r="D17" s="40">
        <v>158419.0</v>
      </c>
      <c r="E17" s="40">
        <v>21900.0</v>
      </c>
      <c r="F17" s="40">
        <v>23.6</v>
      </c>
    </row>
    <row r="18" ht="22.5" customHeight="1">
      <c r="A18" s="22" t="s">
        <v>181</v>
      </c>
      <c r="B18" s="39" t="s">
        <v>123</v>
      </c>
      <c r="C18" s="40">
        <v>54319.0</v>
      </c>
      <c r="D18" s="40">
        <v>54040.0</v>
      </c>
      <c r="E18" s="40">
        <v>24320.0</v>
      </c>
      <c r="F18" s="40">
        <v>17.0</v>
      </c>
    </row>
    <row r="19" ht="22.5" customHeight="1">
      <c r="A19" s="22" t="s">
        <v>333</v>
      </c>
      <c r="B19" s="39" t="s">
        <v>124</v>
      </c>
      <c r="C19" s="40">
        <v>82281.0</v>
      </c>
      <c r="D19" s="40">
        <v>83992.0</v>
      </c>
      <c r="E19" s="40">
        <v>25950.0</v>
      </c>
      <c r="F19" s="40">
        <v>16.3</v>
      </c>
    </row>
    <row r="20" ht="22.5" customHeight="1">
      <c r="A20" s="22" t="s">
        <v>338</v>
      </c>
      <c r="B20" s="39" t="s">
        <v>128</v>
      </c>
      <c r="C20" s="40">
        <v>66334.0</v>
      </c>
      <c r="D20" s="40">
        <v>64943.0</v>
      </c>
      <c r="E20" s="40">
        <v>25280.0</v>
      </c>
      <c r="F20" s="40">
        <v>13.7</v>
      </c>
    </row>
    <row r="21" ht="22.5" customHeight="1">
      <c r="A21" s="22" t="s">
        <v>341</v>
      </c>
      <c r="B21" s="39" t="s">
        <v>131</v>
      </c>
      <c r="C21" s="40">
        <v>102607.0</v>
      </c>
      <c r="D21" s="40">
        <v>103106.0</v>
      </c>
      <c r="E21" s="40">
        <v>24370.0</v>
      </c>
      <c r="F21" s="40">
        <v>19.2</v>
      </c>
    </row>
    <row r="22" ht="22.5" customHeight="1">
      <c r="A22" s="22" t="s">
        <v>346</v>
      </c>
      <c r="B22" s="39" t="s">
        <v>132</v>
      </c>
      <c r="C22" s="40">
        <v>113211.0</v>
      </c>
      <c r="D22" s="40">
        <v>111647.0</v>
      </c>
      <c r="E22" s="40">
        <v>22740.0</v>
      </c>
      <c r="F22" s="40">
        <v>20.6</v>
      </c>
    </row>
    <row r="23" ht="22.5" customHeight="1">
      <c r="A23" s="22" t="s">
        <v>349</v>
      </c>
      <c r="B23" s="39" t="s">
        <v>135</v>
      </c>
      <c r="C23" s="40">
        <v>64841.0</v>
      </c>
      <c r="D23" s="40">
        <v>62870.0</v>
      </c>
      <c r="E23" s="40">
        <v>21850.0</v>
      </c>
      <c r="F23" s="40">
        <v>22.3</v>
      </c>
    </row>
    <row r="24" ht="22.5" customHeight="1">
      <c r="A24" s="22" t="s">
        <v>189</v>
      </c>
      <c r="B24" s="39" t="s">
        <v>136</v>
      </c>
      <c r="C24" s="40">
        <v>42884.0</v>
      </c>
      <c r="D24" s="40">
        <v>41835.0</v>
      </c>
      <c r="E24" s="40">
        <v>23010.0</v>
      </c>
      <c r="F24" s="40">
        <v>22.4</v>
      </c>
    </row>
    <row r="25" ht="22.5" customHeight="1">
      <c r="A25" s="22" t="s">
        <v>354</v>
      </c>
      <c r="B25" s="39" t="s">
        <v>139</v>
      </c>
      <c r="C25" s="40">
        <v>105743.0</v>
      </c>
      <c r="D25" s="40">
        <v>104207.0</v>
      </c>
      <c r="E25" s="40">
        <v>23440.0</v>
      </c>
      <c r="F25" s="40">
        <v>17.6</v>
      </c>
    </row>
    <row r="26" ht="22.5" customHeight="1">
      <c r="A26" s="22" t="s">
        <v>147</v>
      </c>
      <c r="B26" s="39" t="s">
        <v>140</v>
      </c>
      <c r="C26" s="40">
        <v>80781.0</v>
      </c>
      <c r="D26" s="40">
        <v>79010.0</v>
      </c>
      <c r="E26" s="40">
        <v>22260.0</v>
      </c>
      <c r="F26" s="40">
        <v>24.0</v>
      </c>
    </row>
    <row r="27" ht="22.5" customHeight="1">
      <c r="A27" s="22" t="s">
        <v>360</v>
      </c>
      <c r="B27" s="39" t="s">
        <v>148</v>
      </c>
      <c r="C27" s="40">
        <v>21867.0</v>
      </c>
      <c r="D27" s="40">
        <v>21385.0</v>
      </c>
      <c r="E27" s="40">
        <v>26230.0</v>
      </c>
      <c r="F27" s="40">
        <v>10.3</v>
      </c>
    </row>
    <row r="28" ht="22.5" customHeight="1">
      <c r="A28" s="22" t="s">
        <v>363</v>
      </c>
      <c r="B28" s="39" t="s">
        <v>149</v>
      </c>
      <c r="C28" s="40">
        <v>30153.0</v>
      </c>
      <c r="D28" s="40">
        <v>28503.0</v>
      </c>
      <c r="E28" s="40">
        <v>22920.0</v>
      </c>
      <c r="F28" s="40">
        <v>20.9</v>
      </c>
    </row>
    <row r="29" ht="22.5" customHeight="1">
      <c r="A29" s="22" t="s">
        <v>366</v>
      </c>
      <c r="B29" s="39" t="s">
        <v>214</v>
      </c>
      <c r="C29" s="40">
        <v>39399.0</v>
      </c>
      <c r="D29" s="40">
        <v>40306.0</v>
      </c>
      <c r="E29" s="40">
        <v>25980.0</v>
      </c>
      <c r="F29" s="40">
        <v>11.6</v>
      </c>
    </row>
    <row r="30" ht="22.5" customHeight="1">
      <c r="A30" s="22" t="s">
        <v>371</v>
      </c>
      <c r="B30" s="39" t="s">
        <v>216</v>
      </c>
      <c r="C30" s="40">
        <v>21686.0</v>
      </c>
      <c r="D30" s="40">
        <v>21154.0</v>
      </c>
      <c r="E30" s="40">
        <v>23850.0</v>
      </c>
      <c r="F30" s="40">
        <v>14.0</v>
      </c>
    </row>
    <row r="31" ht="22.5" customHeight="1">
      <c r="A31" s="22" t="s">
        <v>374</v>
      </c>
      <c r="B31" s="39" t="s">
        <v>218</v>
      </c>
      <c r="C31" s="40">
        <v>28252.0</v>
      </c>
      <c r="D31" s="40">
        <v>27658.0</v>
      </c>
      <c r="E31" s="40">
        <v>24700.0</v>
      </c>
      <c r="F31" s="40">
        <v>13.0</v>
      </c>
    </row>
    <row r="32" ht="22.5" customHeight="1">
      <c r="A32" s="22" t="s">
        <v>377</v>
      </c>
      <c r="B32" s="39" t="s">
        <v>219</v>
      </c>
      <c r="C32" s="40">
        <v>42151.0</v>
      </c>
      <c r="D32" s="40">
        <v>42999.0</v>
      </c>
      <c r="E32" s="40">
        <v>25860.0</v>
      </c>
      <c r="F32" s="40">
        <v>10.6</v>
      </c>
    </row>
    <row r="33" ht="22.5" customHeight="1">
      <c r="A33" s="22" t="s">
        <v>380</v>
      </c>
      <c r="B33" s="39" t="s">
        <v>223</v>
      </c>
      <c r="C33" s="40">
        <v>25187.0</v>
      </c>
      <c r="D33" s="40">
        <v>25148.0</v>
      </c>
      <c r="E33" s="40">
        <v>24080.0</v>
      </c>
      <c r="F33" s="40">
        <v>14.7</v>
      </c>
    </row>
    <row r="34" ht="22.5" customHeight="1">
      <c r="A34" s="22" t="s">
        <v>138</v>
      </c>
      <c r="B34" s="39" t="s">
        <v>137</v>
      </c>
      <c r="C34" s="40">
        <v>17380.0</v>
      </c>
      <c r="D34" s="40">
        <v>16523.0</v>
      </c>
      <c r="E34" s="40">
        <v>24100.0</v>
      </c>
      <c r="F34" s="40">
        <v>16.0</v>
      </c>
    </row>
    <row r="35" ht="22.5" customHeight="1">
      <c r="A35" s="22" t="s">
        <v>387</v>
      </c>
      <c r="B35" s="39" t="s">
        <v>225</v>
      </c>
      <c r="C35" s="40">
        <v>33144.0</v>
      </c>
      <c r="D35" s="40">
        <v>32495.0</v>
      </c>
      <c r="E35" s="40">
        <v>24290.0</v>
      </c>
      <c r="F35" s="40">
        <v>14.2</v>
      </c>
    </row>
    <row r="36" ht="22.5" customHeight="1">
      <c r="A36" s="22" t="s">
        <v>390</v>
      </c>
      <c r="B36" s="39" t="s">
        <v>224</v>
      </c>
      <c r="C36" s="40">
        <v>95294.0</v>
      </c>
      <c r="D36" s="40">
        <v>99749.0</v>
      </c>
      <c r="E36" s="40">
        <v>29620.0</v>
      </c>
      <c r="F36" s="40">
        <v>8.0</v>
      </c>
    </row>
    <row r="37" ht="22.5" customHeight="1">
      <c r="A37" s="22" t="s">
        <v>103</v>
      </c>
      <c r="B37" s="39" t="s">
        <v>102</v>
      </c>
      <c r="C37" s="40">
        <v>29643.0</v>
      </c>
      <c r="D37" s="40">
        <v>29037.0</v>
      </c>
      <c r="E37" s="40">
        <v>25030.0</v>
      </c>
      <c r="F37" s="40">
        <v>13.0</v>
      </c>
    </row>
    <row r="38" ht="22.5" customHeight="1">
      <c r="A38" s="22" t="s">
        <v>396</v>
      </c>
      <c r="B38" s="39" t="s">
        <v>228</v>
      </c>
      <c r="C38" s="40">
        <v>23717.0</v>
      </c>
      <c r="D38" s="40">
        <v>24968.0</v>
      </c>
      <c r="E38" s="40">
        <v>31670.0</v>
      </c>
      <c r="F38" s="40">
        <v>8.8</v>
      </c>
    </row>
    <row r="39" ht="22.5" customHeight="1">
      <c r="A39" s="22" t="s">
        <v>400</v>
      </c>
      <c r="B39" s="39" t="s">
        <v>229</v>
      </c>
      <c r="C39" s="40">
        <v>38782.0</v>
      </c>
      <c r="D39" s="40">
        <v>37863.0</v>
      </c>
      <c r="E39" s="40">
        <v>25250.0</v>
      </c>
      <c r="F39" s="40">
        <v>12.5</v>
      </c>
    </row>
    <row r="40" ht="22.5" customHeight="1">
      <c r="A40" s="22" t="s">
        <v>402</v>
      </c>
      <c r="B40" s="39" t="s">
        <v>230</v>
      </c>
      <c r="C40" s="40">
        <v>18371.0</v>
      </c>
      <c r="D40" s="40">
        <v>17968.0</v>
      </c>
      <c r="E40" s="40">
        <v>23790.0</v>
      </c>
      <c r="F40" s="40">
        <v>16.0</v>
      </c>
    </row>
    <row r="41" ht="22.5" customHeight="1">
      <c r="A41" s="22" t="s">
        <v>406</v>
      </c>
      <c r="B41" s="39" t="s">
        <v>231</v>
      </c>
      <c r="C41" s="40">
        <v>60767.0</v>
      </c>
      <c r="D41" s="40">
        <v>61824.0</v>
      </c>
      <c r="E41" s="40">
        <v>27960.0</v>
      </c>
      <c r="F41" s="40">
        <v>8.1</v>
      </c>
    </row>
    <row r="42" ht="22.5" customHeight="1">
      <c r="A42" s="22" t="s">
        <v>83</v>
      </c>
      <c r="B42" s="39" t="s">
        <v>82</v>
      </c>
      <c r="C42" s="40">
        <v>16923.0</v>
      </c>
      <c r="D42" s="40">
        <v>16257.0</v>
      </c>
      <c r="E42" s="40">
        <v>21700.0</v>
      </c>
      <c r="F42" s="40">
        <v>24.0</v>
      </c>
    </row>
    <row r="43" ht="22.5" customHeight="1">
      <c r="A43" s="22" t="s">
        <v>411</v>
      </c>
      <c r="B43" s="39" t="s">
        <v>150</v>
      </c>
      <c r="C43" s="40">
        <v>23107.0</v>
      </c>
      <c r="D43" s="40">
        <v>23211.0</v>
      </c>
      <c r="E43" s="40">
        <v>24030.0</v>
      </c>
      <c r="F43" s="40">
        <v>14.1</v>
      </c>
    </row>
    <row r="44" ht="22.5" customHeight="1">
      <c r="A44" s="22" t="s">
        <v>414</v>
      </c>
      <c r="B44" s="39" t="s">
        <v>151</v>
      </c>
      <c r="C44" s="40">
        <v>44831.0</v>
      </c>
      <c r="D44" s="40">
        <v>44610.0</v>
      </c>
      <c r="E44" s="40">
        <v>34810.0</v>
      </c>
      <c r="F44" s="40">
        <v>7.1</v>
      </c>
    </row>
    <row r="45" ht="22.5" customHeight="1">
      <c r="A45" s="22" t="s">
        <v>417</v>
      </c>
      <c r="B45" s="39" t="s">
        <v>152</v>
      </c>
      <c r="C45" s="40">
        <v>20391.0</v>
      </c>
      <c r="D45" s="40">
        <v>19637.0</v>
      </c>
      <c r="E45" s="40">
        <v>23140.0</v>
      </c>
      <c r="F45" s="40">
        <v>17.0</v>
      </c>
    </row>
    <row r="46" ht="22.5" customHeight="1">
      <c r="A46" s="22" t="s">
        <v>420</v>
      </c>
      <c r="B46" s="39" t="s">
        <v>155</v>
      </c>
      <c r="C46" s="40">
        <v>21163.0</v>
      </c>
      <c r="D46" s="40">
        <v>20928.0</v>
      </c>
      <c r="E46" s="40">
        <v>24840.0</v>
      </c>
      <c r="F46" s="40">
        <v>13.4</v>
      </c>
    </row>
    <row r="47" ht="22.5" customHeight="1">
      <c r="A47" s="22" t="s">
        <v>79</v>
      </c>
      <c r="B47" s="39" t="s">
        <v>78</v>
      </c>
      <c r="C47" s="40">
        <v>20923.0</v>
      </c>
      <c r="D47" s="40">
        <v>20865.0</v>
      </c>
      <c r="E47" s="40">
        <v>24780.0</v>
      </c>
      <c r="F47" s="40">
        <v>12.7</v>
      </c>
    </row>
    <row r="48" ht="22.5" customHeight="1">
      <c r="A48" s="22" t="s">
        <v>427</v>
      </c>
      <c r="B48" s="39" t="s">
        <v>158</v>
      </c>
      <c r="C48" s="40">
        <v>27435.0</v>
      </c>
      <c r="D48" s="40">
        <v>26393.0</v>
      </c>
      <c r="E48" s="40">
        <v>23420.0</v>
      </c>
      <c r="F48" s="40">
        <v>17.2</v>
      </c>
    </row>
    <row r="49" ht="22.5" customHeight="1">
      <c r="A49" s="22" t="s">
        <v>430</v>
      </c>
      <c r="B49" s="39" t="s">
        <v>159</v>
      </c>
      <c r="C49" s="40">
        <v>32930.0</v>
      </c>
      <c r="D49" s="40">
        <v>32039.0</v>
      </c>
      <c r="E49" s="40">
        <v>24540.0</v>
      </c>
      <c r="F49" s="40">
        <v>13.6</v>
      </c>
    </row>
    <row r="50" ht="22.5" customHeight="1">
      <c r="A50" s="22" t="s">
        <v>435</v>
      </c>
      <c r="B50" s="39" t="s">
        <v>160</v>
      </c>
      <c r="C50" s="40">
        <v>17849.0</v>
      </c>
      <c r="D50" s="40">
        <v>18131.0</v>
      </c>
      <c r="E50" s="40">
        <v>28230.0</v>
      </c>
      <c r="F50" s="40">
        <v>7.0</v>
      </c>
    </row>
    <row r="51" ht="22.5" customHeight="1">
      <c r="A51" s="22" t="s">
        <v>438</v>
      </c>
      <c r="B51" s="39" t="s">
        <v>161</v>
      </c>
      <c r="C51" s="40">
        <v>27330.0</v>
      </c>
      <c r="D51" s="40">
        <v>28202.0</v>
      </c>
      <c r="E51" s="40">
        <v>25520.0</v>
      </c>
      <c r="F51" s="40">
        <v>12.0</v>
      </c>
    </row>
    <row r="52" ht="22.5" customHeight="1">
      <c r="A52" s="22" t="s">
        <v>441</v>
      </c>
      <c r="B52" s="39" t="s">
        <v>163</v>
      </c>
      <c r="C52" s="40">
        <v>22209.0</v>
      </c>
      <c r="D52" s="40">
        <v>22357.0</v>
      </c>
      <c r="E52" s="40">
        <v>24540.0</v>
      </c>
      <c r="F52" s="40">
        <v>13.8</v>
      </c>
    </row>
    <row r="53" ht="22.5" customHeight="1">
      <c r="A53" s="22" t="s">
        <v>254</v>
      </c>
      <c r="B53" s="39" t="s">
        <v>165</v>
      </c>
      <c r="C53" s="40">
        <v>26448.0</v>
      </c>
      <c r="D53" s="40">
        <v>25590.0</v>
      </c>
      <c r="E53" s="40">
        <v>22900.0</v>
      </c>
      <c r="F53" s="40">
        <v>19.3</v>
      </c>
    </row>
    <row r="54" ht="22.5" customHeight="1">
      <c r="A54" s="22" t="s">
        <v>447</v>
      </c>
      <c r="B54" s="39" t="s">
        <v>167</v>
      </c>
      <c r="C54" s="40">
        <v>29729.0</v>
      </c>
      <c r="D54" s="40">
        <v>29526.0</v>
      </c>
      <c r="E54" s="40">
        <v>23150.0</v>
      </c>
      <c r="F54" s="40">
        <v>17.9</v>
      </c>
    </row>
    <row r="55" ht="22.5" customHeight="1">
      <c r="A55" s="22" t="s">
        <v>449</v>
      </c>
      <c r="B55" s="39" t="s">
        <v>169</v>
      </c>
      <c r="C55" s="40">
        <v>33399.0</v>
      </c>
      <c r="D55" s="40">
        <v>33442.0</v>
      </c>
      <c r="E55" s="40">
        <v>26140.0</v>
      </c>
      <c r="F55" s="40">
        <v>10.1</v>
      </c>
    </row>
    <row r="56" ht="22.5" customHeight="1">
      <c r="A56" s="22" t="s">
        <v>452</v>
      </c>
      <c r="B56" s="39" t="s">
        <v>170</v>
      </c>
      <c r="C56" s="40">
        <v>22926.0</v>
      </c>
      <c r="D56" s="40">
        <v>22523.0</v>
      </c>
      <c r="E56" s="40">
        <v>25850.0</v>
      </c>
      <c r="F56" s="40">
        <v>11.8</v>
      </c>
    </row>
    <row r="57" ht="22.5" customHeight="1">
      <c r="A57" s="22" t="s">
        <v>457</v>
      </c>
      <c r="B57" s="39" t="s">
        <v>171</v>
      </c>
      <c r="C57" s="40">
        <v>53436.0</v>
      </c>
      <c r="D57" s="40">
        <v>53437.0</v>
      </c>
      <c r="E57" s="40">
        <v>26130.0</v>
      </c>
      <c r="F57" s="40">
        <v>10.3</v>
      </c>
    </row>
    <row r="58" ht="22.5" customHeight="1">
      <c r="A58" s="22" t="s">
        <v>460</v>
      </c>
      <c r="B58" s="39" t="s">
        <v>173</v>
      </c>
      <c r="C58" s="40">
        <v>16282.0</v>
      </c>
      <c r="D58" s="40">
        <v>15898.0</v>
      </c>
      <c r="E58" s="40">
        <v>26930.0</v>
      </c>
      <c r="F58" s="40">
        <v>10.0</v>
      </c>
    </row>
    <row r="59" ht="22.5" customHeight="1">
      <c r="A59" s="22" t="s">
        <v>463</v>
      </c>
      <c r="B59" s="39" t="s">
        <v>175</v>
      </c>
      <c r="C59" s="40">
        <v>33799.0</v>
      </c>
      <c r="D59" s="40">
        <v>34469.0</v>
      </c>
      <c r="E59" s="40">
        <v>27230.0</v>
      </c>
      <c r="F59" s="40">
        <v>11.1</v>
      </c>
    </row>
    <row r="60" ht="22.5" customHeight="1">
      <c r="A60" s="22" t="s">
        <v>168</v>
      </c>
      <c r="B60" s="39" t="s">
        <v>166</v>
      </c>
      <c r="C60" s="40">
        <v>6999.0</v>
      </c>
      <c r="D60" s="40">
        <v>6622.0</v>
      </c>
      <c r="E60" s="40">
        <v>21250.0</v>
      </c>
      <c r="F60" s="40">
        <v>24.0</v>
      </c>
    </row>
    <row r="61" ht="22.5" customHeight="1">
      <c r="A61" s="22" t="s">
        <v>470</v>
      </c>
      <c r="B61" s="39" t="s">
        <v>176</v>
      </c>
      <c r="C61" s="40">
        <v>38379.0</v>
      </c>
      <c r="D61" s="40">
        <v>38351.0</v>
      </c>
      <c r="E61" s="40">
        <v>26310.0</v>
      </c>
      <c r="F61" s="40">
        <v>12.7</v>
      </c>
    </row>
    <row r="62" ht="22.5" customHeight="1">
      <c r="A62" s="22" t="s">
        <v>157</v>
      </c>
      <c r="B62" s="39" t="s">
        <v>156</v>
      </c>
      <c r="C62" s="40">
        <v>21271.0</v>
      </c>
      <c r="D62" s="40">
        <v>20346.0</v>
      </c>
      <c r="E62" s="40">
        <v>20630.0</v>
      </c>
      <c r="F62" s="40">
        <v>26.0</v>
      </c>
    </row>
    <row r="63" ht="22.5" customHeight="1">
      <c r="A63" s="22" t="s">
        <v>475</v>
      </c>
      <c r="B63" s="39" t="s">
        <v>178</v>
      </c>
      <c r="C63" s="40">
        <v>37550.0</v>
      </c>
      <c r="D63" s="40">
        <v>35390.0</v>
      </c>
      <c r="E63" s="40">
        <v>24010.0</v>
      </c>
      <c r="F63" s="40">
        <v>14.9</v>
      </c>
    </row>
    <row r="64" ht="22.5" customHeight="1">
      <c r="A64" s="22" t="s">
        <v>107</v>
      </c>
      <c r="B64" s="39" t="s">
        <v>106</v>
      </c>
      <c r="C64" s="40">
        <v>5675.0</v>
      </c>
      <c r="D64" s="40">
        <v>5512.0</v>
      </c>
      <c r="E64" s="40">
        <v>25290.0</v>
      </c>
      <c r="F64" s="40">
        <v>10.0</v>
      </c>
    </row>
    <row r="65" ht="22.5" customHeight="1">
      <c r="A65" s="22" t="s">
        <v>357</v>
      </c>
      <c r="B65" s="39" t="s">
        <v>182</v>
      </c>
      <c r="C65" s="40">
        <v>15740.0</v>
      </c>
      <c r="D65" s="40">
        <v>15224.0</v>
      </c>
      <c r="E65" s="40">
        <v>25680.0</v>
      </c>
      <c r="F65" s="40">
        <v>12.0</v>
      </c>
    </row>
    <row r="66" ht="22.5" customHeight="1">
      <c r="A66" s="22" t="s">
        <v>87</v>
      </c>
      <c r="B66" s="39" t="s">
        <v>86</v>
      </c>
      <c r="C66" s="40">
        <v>5484.0</v>
      </c>
      <c r="D66" s="40">
        <v>5505.0</v>
      </c>
      <c r="E66" s="40">
        <v>25190.0</v>
      </c>
      <c r="F66" s="40">
        <v>13.0</v>
      </c>
    </row>
    <row r="67" ht="22.5" customHeight="1">
      <c r="A67" s="22" t="s">
        <v>482</v>
      </c>
      <c r="B67" s="39" t="s">
        <v>183</v>
      </c>
      <c r="C67" s="40">
        <v>37135.0</v>
      </c>
      <c r="D67" s="40">
        <v>37535.0</v>
      </c>
      <c r="E67" s="40">
        <v>26840.0</v>
      </c>
      <c r="F67" s="40">
        <v>11.0</v>
      </c>
    </row>
    <row r="68" ht="22.5" customHeight="1">
      <c r="A68" s="22" t="s">
        <v>485</v>
      </c>
      <c r="B68" s="39" t="s">
        <v>185</v>
      </c>
      <c r="C68" s="40">
        <v>25803.0</v>
      </c>
      <c r="D68" s="40">
        <v>25273.0</v>
      </c>
      <c r="E68" s="40">
        <v>23630.0</v>
      </c>
      <c r="F68" s="40">
        <v>16.9</v>
      </c>
    </row>
    <row r="69" ht="22.5" customHeight="1">
      <c r="A69" s="22" t="s">
        <v>488</v>
      </c>
      <c r="B69" s="39" t="s">
        <v>187</v>
      </c>
      <c r="C69" s="40">
        <v>15741.0</v>
      </c>
      <c r="D69" s="40">
        <v>15781.0</v>
      </c>
      <c r="E69" s="40">
        <v>23240.0</v>
      </c>
      <c r="F69" s="40">
        <v>17.0</v>
      </c>
    </row>
    <row r="70" ht="22.5" customHeight="1">
      <c r="A70" s="22" t="s">
        <v>491</v>
      </c>
      <c r="B70" s="39" t="s">
        <v>188</v>
      </c>
      <c r="C70" s="40">
        <v>23660.0</v>
      </c>
      <c r="D70" s="40">
        <v>23801.0</v>
      </c>
      <c r="E70" s="40">
        <v>25840.0</v>
      </c>
      <c r="F70" s="40">
        <v>13.0</v>
      </c>
    </row>
    <row r="71" ht="22.5" customHeight="1">
      <c r="A71" s="22" t="s">
        <v>494</v>
      </c>
      <c r="B71" s="39" t="s">
        <v>200</v>
      </c>
      <c r="C71" s="40">
        <v>32964.0</v>
      </c>
      <c r="D71" s="40">
        <v>31901.0</v>
      </c>
      <c r="E71" s="40">
        <v>23240.0</v>
      </c>
      <c r="F71" s="40">
        <v>20.1</v>
      </c>
    </row>
    <row r="72" ht="22.5" customHeight="1">
      <c r="A72" s="22" t="s">
        <v>499</v>
      </c>
      <c r="B72" s="39" t="s">
        <v>202</v>
      </c>
      <c r="C72" s="40">
        <v>14908.0</v>
      </c>
      <c r="D72" s="40">
        <v>14470.0</v>
      </c>
      <c r="E72" s="40">
        <v>24330.0</v>
      </c>
      <c r="F72" s="40">
        <v>15.0</v>
      </c>
    </row>
    <row r="73" ht="22.5" customHeight="1">
      <c r="A73" s="22" t="s">
        <v>501</v>
      </c>
      <c r="B73" s="39" t="s">
        <v>190</v>
      </c>
      <c r="C73" s="40">
        <v>18297.0</v>
      </c>
      <c r="D73" s="40">
        <v>18086.0</v>
      </c>
      <c r="E73" s="40">
        <v>25560.0</v>
      </c>
      <c r="F73" s="40">
        <v>12.0</v>
      </c>
    </row>
    <row r="74" ht="22.5" customHeight="1">
      <c r="A74" s="22" t="s">
        <v>504</v>
      </c>
      <c r="B74" s="39" t="s">
        <v>191</v>
      </c>
      <c r="C74" s="40">
        <v>24248.0</v>
      </c>
      <c r="D74" s="40">
        <v>24109.0</v>
      </c>
      <c r="E74" s="40">
        <v>24370.0</v>
      </c>
      <c r="F74" s="40">
        <v>12.8</v>
      </c>
    </row>
    <row r="75" ht="22.5" customHeight="1">
      <c r="A75" s="22" t="s">
        <v>508</v>
      </c>
      <c r="B75" s="39" t="s">
        <v>192</v>
      </c>
      <c r="C75" s="40">
        <v>48441.0</v>
      </c>
      <c r="D75" s="40">
        <v>48048.0</v>
      </c>
      <c r="E75" s="40">
        <v>25710.0</v>
      </c>
      <c r="F75" s="40">
        <v>14.3</v>
      </c>
    </row>
    <row r="76" ht="22.5" customHeight="1">
      <c r="A76" s="22" t="s">
        <v>509</v>
      </c>
      <c r="B76" s="39" t="s">
        <v>195</v>
      </c>
      <c r="C76" s="40">
        <v>55733.0</v>
      </c>
      <c r="D76" s="40">
        <v>55548.0</v>
      </c>
      <c r="E76" s="40">
        <v>28270.0</v>
      </c>
      <c r="F76" s="40">
        <v>8.0</v>
      </c>
    </row>
    <row r="77" ht="22.5" customHeight="1">
      <c r="A77" s="22" t="s">
        <v>74</v>
      </c>
      <c r="B77" s="39" t="s">
        <v>73</v>
      </c>
      <c r="C77" s="40">
        <v>14565.0</v>
      </c>
      <c r="D77" s="40">
        <v>14337.0</v>
      </c>
      <c r="E77" s="40">
        <v>23550.0</v>
      </c>
      <c r="F77" s="40">
        <v>15.0</v>
      </c>
    </row>
    <row r="78" ht="22.5" customHeight="1">
      <c r="A78" s="22" t="s">
        <v>514</v>
      </c>
      <c r="B78" s="39" t="s">
        <v>196</v>
      </c>
      <c r="C78" s="40">
        <v>22104.0</v>
      </c>
      <c r="D78" s="40">
        <v>22081.0</v>
      </c>
      <c r="E78" s="40">
        <v>27170.0</v>
      </c>
      <c r="F78" s="40">
        <v>9.0</v>
      </c>
    </row>
    <row r="79" ht="22.5" customHeight="1">
      <c r="A79" s="22" t="s">
        <v>517</v>
      </c>
      <c r="B79" s="39" t="s">
        <v>197</v>
      </c>
      <c r="C79" s="40">
        <v>28416.0</v>
      </c>
      <c r="D79" s="40">
        <v>27713.0</v>
      </c>
      <c r="E79" s="40">
        <v>24530.0</v>
      </c>
      <c r="F79" s="40">
        <v>14.1</v>
      </c>
    </row>
    <row r="80" ht="22.5" customHeight="1">
      <c r="A80" s="22" t="s">
        <v>217</v>
      </c>
      <c r="B80" s="39" t="s">
        <v>198</v>
      </c>
      <c r="C80" s="40">
        <v>31207.0</v>
      </c>
      <c r="D80" s="40">
        <v>30577.0</v>
      </c>
      <c r="E80" s="40">
        <v>23320.0</v>
      </c>
      <c r="F80" s="40">
        <v>18.2</v>
      </c>
    </row>
    <row r="81" ht="22.5" customHeight="1">
      <c r="A81" s="22" t="s">
        <v>524</v>
      </c>
      <c r="B81" s="39" t="s">
        <v>203</v>
      </c>
      <c r="C81" s="40">
        <v>30249.0</v>
      </c>
      <c r="D81" s="40">
        <v>29412.0</v>
      </c>
      <c r="E81" s="40">
        <v>25350.0</v>
      </c>
      <c r="F81" s="40">
        <v>11.5</v>
      </c>
    </row>
    <row r="82" ht="22.5" customHeight="1">
      <c r="A82" s="22" t="s">
        <v>527</v>
      </c>
      <c r="B82" s="39" t="s">
        <v>204</v>
      </c>
      <c r="C82" s="40">
        <v>27456.0</v>
      </c>
      <c r="D82" s="40">
        <v>26962.0</v>
      </c>
      <c r="E82" s="40">
        <v>24390.0</v>
      </c>
      <c r="F82" s="40">
        <v>13.5</v>
      </c>
    </row>
    <row r="83" ht="22.5" customHeight="1">
      <c r="A83" s="22" t="s">
        <v>530</v>
      </c>
      <c r="B83" s="39" t="s">
        <v>205</v>
      </c>
      <c r="C83" s="40">
        <v>25206.0</v>
      </c>
      <c r="D83" s="40">
        <v>24208.0</v>
      </c>
      <c r="E83" s="40">
        <v>20100.0</v>
      </c>
      <c r="F83" s="40">
        <v>29.7</v>
      </c>
    </row>
    <row r="84" ht="22.5" customHeight="1">
      <c r="A84" s="22" t="s">
        <v>533</v>
      </c>
      <c r="B84" s="39" t="s">
        <v>206</v>
      </c>
      <c r="C84" s="40">
        <v>38364.0</v>
      </c>
      <c r="D84" s="40">
        <v>36913.0</v>
      </c>
      <c r="E84" s="40">
        <v>23180.0</v>
      </c>
      <c r="F84" s="40">
        <v>18.9</v>
      </c>
    </row>
    <row r="85" ht="22.5" customHeight="1">
      <c r="A85" s="22" t="s">
        <v>534</v>
      </c>
      <c r="B85" s="39" t="s">
        <v>207</v>
      </c>
      <c r="C85" s="40">
        <v>31450.0</v>
      </c>
      <c r="D85" s="40">
        <v>30685.0</v>
      </c>
      <c r="E85" s="40">
        <v>24940.0</v>
      </c>
      <c r="F85" s="40">
        <v>13.9</v>
      </c>
    </row>
    <row r="86" ht="22.5" customHeight="1">
      <c r="A86" s="22" t="s">
        <v>537</v>
      </c>
      <c r="B86" s="39" t="s">
        <v>210</v>
      </c>
      <c r="C86" s="40">
        <v>26605.0</v>
      </c>
      <c r="D86" s="40">
        <v>26314.0</v>
      </c>
      <c r="E86" s="40">
        <v>26250.0</v>
      </c>
      <c r="F86" s="40">
        <v>9.6</v>
      </c>
    </row>
    <row r="87" ht="22.5" customHeight="1">
      <c r="A87" s="22" t="s">
        <v>91</v>
      </c>
      <c r="B87" s="39" t="s">
        <v>90</v>
      </c>
      <c r="C87" s="40">
        <v>20284.0</v>
      </c>
      <c r="D87" s="40">
        <v>20310.0</v>
      </c>
      <c r="E87" s="40">
        <v>25120.0</v>
      </c>
      <c r="F87" s="40">
        <v>12.0</v>
      </c>
    </row>
    <row r="88" ht="22.5" customHeight="1">
      <c r="A88" s="22" t="s">
        <v>95</v>
      </c>
      <c r="B88" s="39" t="s">
        <v>94</v>
      </c>
      <c r="C88" s="40">
        <v>16083.0</v>
      </c>
      <c r="D88" s="40">
        <v>15838.0</v>
      </c>
      <c r="E88" s="40">
        <v>24580.0</v>
      </c>
      <c r="F88" s="40">
        <v>14.0</v>
      </c>
    </row>
    <row r="89" ht="22.5" customHeight="1">
      <c r="A89" s="22" t="s">
        <v>544</v>
      </c>
      <c r="B89" s="39" t="s">
        <v>211</v>
      </c>
      <c r="C89" s="40">
        <v>20318.0</v>
      </c>
      <c r="D89" s="40">
        <v>20462.0</v>
      </c>
      <c r="E89" s="40">
        <v>28390.0</v>
      </c>
      <c r="F89" s="40">
        <v>7.0</v>
      </c>
    </row>
    <row r="90" ht="22.5" customHeight="1">
      <c r="A90" s="22" t="s">
        <v>549</v>
      </c>
      <c r="B90" s="39" t="s">
        <v>212</v>
      </c>
      <c r="C90" s="40">
        <v>22805.0</v>
      </c>
      <c r="D90" s="40">
        <v>22072.0</v>
      </c>
      <c r="E90" s="40">
        <v>23690.0</v>
      </c>
      <c r="F90" s="40">
        <v>14.1</v>
      </c>
    </row>
    <row r="91" ht="22.5" customHeight="1">
      <c r="A91" s="22" t="s">
        <v>552</v>
      </c>
      <c r="B91" s="39" t="s">
        <v>234</v>
      </c>
      <c r="C91" s="40">
        <v>107763.0</v>
      </c>
      <c r="D91" s="40">
        <v>109884.0</v>
      </c>
      <c r="E91" s="40">
        <v>25670.0</v>
      </c>
      <c r="F91" s="40">
        <v>16.5</v>
      </c>
    </row>
    <row r="92" ht="22.5" customHeight="1">
      <c r="A92" s="22" t="s">
        <v>555</v>
      </c>
      <c r="B92" s="39" t="s">
        <v>235</v>
      </c>
      <c r="C92" s="40">
        <v>196901.0</v>
      </c>
      <c r="D92" s="40">
        <v>191478.0</v>
      </c>
      <c r="E92" s="40">
        <v>23270.0</v>
      </c>
      <c r="F92" s="40">
        <v>20.3</v>
      </c>
    </row>
    <row r="93" ht="22.5" customHeight="1">
      <c r="A93" s="22" t="s">
        <v>558</v>
      </c>
      <c r="B93" s="39" t="s">
        <v>236</v>
      </c>
      <c r="C93" s="40">
        <v>1170630.0</v>
      </c>
      <c r="D93" s="40">
        <v>1195234.0</v>
      </c>
      <c r="E93" s="40">
        <v>24430.0</v>
      </c>
      <c r="F93" s="40">
        <v>21.4</v>
      </c>
    </row>
  </sheetData>
  <dataValidations>
    <dataValidation allowBlank="1" showDropDown="1" sqref="A2:A93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88"/>
    <col customWidth="1" min="2" max="2" width="37.63"/>
    <col customWidth="1" min="3" max="4" width="18.38"/>
    <col customWidth="1" min="5" max="5" width="25.25"/>
    <col customWidth="1" min="6" max="6" width="21.38"/>
  </cols>
  <sheetData>
    <row r="1">
      <c r="A1" s="41" t="s">
        <v>22</v>
      </c>
      <c r="B1" s="41" t="s">
        <v>25</v>
      </c>
      <c r="C1" s="41" t="s">
        <v>273</v>
      </c>
      <c r="D1" s="41" t="s">
        <v>276</v>
      </c>
      <c r="E1" s="41" t="s">
        <v>277</v>
      </c>
      <c r="F1" s="41" t="s">
        <v>278</v>
      </c>
    </row>
    <row r="2">
      <c r="A2" s="42" t="s">
        <v>35</v>
      </c>
      <c r="B2" s="43" t="s">
        <v>41</v>
      </c>
      <c r="C2" s="44">
        <v>180816.0</v>
      </c>
      <c r="D2" s="44">
        <v>184392.0</v>
      </c>
      <c r="E2" s="44">
        <v>23640.0</v>
      </c>
      <c r="F2" s="44">
        <v>23.5</v>
      </c>
    </row>
    <row r="3">
      <c r="A3" s="42" t="s">
        <v>49</v>
      </c>
      <c r="B3" s="43" t="s">
        <v>50</v>
      </c>
      <c r="C3" s="44">
        <v>55470.0</v>
      </c>
      <c r="D3" s="44">
        <v>54027.0</v>
      </c>
      <c r="E3" s="44">
        <v>22590.0</v>
      </c>
      <c r="F3" s="44">
        <v>21.6</v>
      </c>
    </row>
    <row r="4">
      <c r="A4" s="42" t="s">
        <v>71</v>
      </c>
      <c r="B4" s="43" t="s">
        <v>72</v>
      </c>
      <c r="C4" s="44">
        <v>70957.0</v>
      </c>
      <c r="D4" s="44">
        <v>69764.0</v>
      </c>
      <c r="E4" s="44">
        <v>22340.0</v>
      </c>
      <c r="F4" s="44">
        <v>21.1</v>
      </c>
    </row>
    <row r="5">
      <c r="A5" s="42" t="s">
        <v>98</v>
      </c>
      <c r="B5" s="43" t="s">
        <v>99</v>
      </c>
      <c r="C5" s="44">
        <v>102272.0</v>
      </c>
      <c r="D5" s="44">
        <v>102743.0</v>
      </c>
      <c r="E5" s="44">
        <v>25990.0</v>
      </c>
      <c r="F5" s="44">
        <v>11.1</v>
      </c>
    </row>
    <row r="6">
      <c r="A6" s="42" t="s">
        <v>129</v>
      </c>
      <c r="B6" s="43" t="s">
        <v>115</v>
      </c>
      <c r="C6" s="44">
        <v>86512.0</v>
      </c>
      <c r="D6" s="44">
        <v>90234.0</v>
      </c>
      <c r="E6" s="44">
        <v>19250.0</v>
      </c>
      <c r="F6" s="44">
        <v>33.5</v>
      </c>
    </row>
    <row r="7">
      <c r="A7" s="42" t="s">
        <v>180</v>
      </c>
      <c r="B7" s="43" t="s">
        <v>130</v>
      </c>
      <c r="C7" s="44">
        <v>149258.0</v>
      </c>
      <c r="D7" s="44">
        <v>149282.0</v>
      </c>
      <c r="E7" s="44">
        <v>22540.0</v>
      </c>
      <c r="F7" s="44">
        <v>22.4</v>
      </c>
    </row>
    <row r="8">
      <c r="A8" s="42" t="s">
        <v>220</v>
      </c>
      <c r="B8" s="43" t="s">
        <v>141</v>
      </c>
      <c r="C8" s="44">
        <v>105269.0</v>
      </c>
      <c r="D8" s="44">
        <v>98895.0</v>
      </c>
      <c r="E8" s="44">
        <v>22150.0</v>
      </c>
      <c r="F8" s="44">
        <v>23.0</v>
      </c>
    </row>
    <row r="9">
      <c r="A9" s="42" t="s">
        <v>68</v>
      </c>
      <c r="B9" s="43" t="s">
        <v>67</v>
      </c>
      <c r="C9" s="44">
        <v>52328.0</v>
      </c>
      <c r="D9" s="44">
        <v>51809.0</v>
      </c>
      <c r="E9" s="44">
        <v>22560.0</v>
      </c>
      <c r="F9" s="44">
        <v>23.9</v>
      </c>
    </row>
    <row r="10">
      <c r="A10" s="42" t="s">
        <v>255</v>
      </c>
      <c r="B10" s="43" t="s">
        <v>145</v>
      </c>
      <c r="C10" s="44">
        <v>125651.0</v>
      </c>
      <c r="D10" s="44">
        <v>122247.0</v>
      </c>
      <c r="E10" s="44">
        <v>20580.0</v>
      </c>
      <c r="F10" s="44">
        <v>28.6</v>
      </c>
    </row>
    <row r="11">
      <c r="A11" s="42" t="s">
        <v>268</v>
      </c>
      <c r="B11" s="43" t="s">
        <v>146</v>
      </c>
      <c r="C11" s="44">
        <v>192594.0</v>
      </c>
      <c r="D11" s="44">
        <v>191738.0</v>
      </c>
      <c r="E11" s="44">
        <v>22000.0</v>
      </c>
      <c r="F11" s="44">
        <v>25.0</v>
      </c>
    </row>
    <row r="12">
      <c r="A12" s="42" t="s">
        <v>285</v>
      </c>
      <c r="B12" s="43" t="s">
        <v>116</v>
      </c>
      <c r="C12" s="44">
        <v>125835.0</v>
      </c>
      <c r="D12" s="44">
        <v>125793.0</v>
      </c>
      <c r="E12" s="44">
        <v>21790.0</v>
      </c>
      <c r="F12" s="44">
        <v>23.3</v>
      </c>
    </row>
    <row r="13">
      <c r="A13" s="42" t="s">
        <v>300</v>
      </c>
      <c r="B13" s="43" t="s">
        <v>118</v>
      </c>
      <c r="C13" s="44">
        <v>276895.0</v>
      </c>
      <c r="D13" s="44">
        <v>275028.0</v>
      </c>
      <c r="E13" s="44">
        <v>22990.0</v>
      </c>
      <c r="F13" s="44">
        <v>19.4</v>
      </c>
    </row>
    <row r="14">
      <c r="A14" s="42" t="s">
        <v>312</v>
      </c>
      <c r="B14" s="43" t="s">
        <v>120</v>
      </c>
      <c r="C14" s="44">
        <v>81906.0</v>
      </c>
      <c r="D14" s="44">
        <v>80120.0</v>
      </c>
      <c r="E14" s="44">
        <v>23780.0</v>
      </c>
      <c r="F14" s="44">
        <v>17.6</v>
      </c>
    </row>
    <row r="15">
      <c r="A15" s="42" t="s">
        <v>323</v>
      </c>
      <c r="B15" s="43" t="s">
        <v>127</v>
      </c>
      <c r="C15" s="44">
        <v>241934.0</v>
      </c>
      <c r="D15" s="44">
        <v>242013.0</v>
      </c>
      <c r="E15" s="44">
        <v>21190.0</v>
      </c>
      <c r="F15" s="44">
        <v>25.3</v>
      </c>
    </row>
    <row r="16">
      <c r="A16" s="42" t="s">
        <v>325</v>
      </c>
      <c r="B16" s="43" t="s">
        <v>121</v>
      </c>
      <c r="C16" s="44">
        <v>49191.0</v>
      </c>
      <c r="D16" s="44">
        <v>47572.0</v>
      </c>
      <c r="E16" s="44">
        <v>23410.0</v>
      </c>
      <c r="F16" s="44">
        <v>18.5</v>
      </c>
    </row>
    <row r="17">
      <c r="A17" s="42" t="s">
        <v>328</v>
      </c>
      <c r="B17" s="43" t="s">
        <v>122</v>
      </c>
      <c r="C17" s="44">
        <v>158754.0</v>
      </c>
      <c r="D17" s="44">
        <v>158419.0</v>
      </c>
      <c r="E17" s="44">
        <v>21900.0</v>
      </c>
      <c r="F17" s="44">
        <v>23.6</v>
      </c>
    </row>
    <row r="18">
      <c r="A18" s="42" t="s">
        <v>181</v>
      </c>
      <c r="B18" s="43" t="s">
        <v>123</v>
      </c>
      <c r="C18" s="44">
        <v>54319.0</v>
      </c>
      <c r="D18" s="44">
        <v>54040.0</v>
      </c>
      <c r="E18" s="44">
        <v>24320.0</v>
      </c>
      <c r="F18" s="44">
        <v>17.0</v>
      </c>
    </row>
    <row r="19">
      <c r="A19" s="42" t="s">
        <v>333</v>
      </c>
      <c r="B19" s="43" t="s">
        <v>124</v>
      </c>
      <c r="C19" s="44">
        <v>82281.0</v>
      </c>
      <c r="D19" s="44">
        <v>83992.0</v>
      </c>
      <c r="E19" s="44">
        <v>25950.0</v>
      </c>
      <c r="F19" s="44">
        <v>16.3</v>
      </c>
    </row>
    <row r="20">
      <c r="A20" s="42" t="s">
        <v>338</v>
      </c>
      <c r="B20" s="43" t="s">
        <v>128</v>
      </c>
      <c r="C20" s="44">
        <v>66334.0</v>
      </c>
      <c r="D20" s="44">
        <v>64943.0</v>
      </c>
      <c r="E20" s="44">
        <v>25280.0</v>
      </c>
      <c r="F20" s="44">
        <v>13.7</v>
      </c>
    </row>
    <row r="21">
      <c r="A21" s="42" t="s">
        <v>341</v>
      </c>
      <c r="B21" s="43" t="s">
        <v>131</v>
      </c>
      <c r="C21" s="44">
        <v>102607.0</v>
      </c>
      <c r="D21" s="44">
        <v>103106.0</v>
      </c>
      <c r="E21" s="44">
        <v>24370.0</v>
      </c>
      <c r="F21" s="44">
        <v>19.2</v>
      </c>
    </row>
    <row r="22">
      <c r="A22" s="42" t="s">
        <v>346</v>
      </c>
      <c r="B22" s="43" t="s">
        <v>132</v>
      </c>
      <c r="C22" s="44">
        <v>113211.0</v>
      </c>
      <c r="D22" s="44">
        <v>111647.0</v>
      </c>
      <c r="E22" s="44">
        <v>22740.0</v>
      </c>
      <c r="F22" s="44">
        <v>20.6</v>
      </c>
    </row>
    <row r="23">
      <c r="A23" s="42" t="s">
        <v>349</v>
      </c>
      <c r="B23" s="43" t="s">
        <v>135</v>
      </c>
      <c r="C23" s="44">
        <v>64841.0</v>
      </c>
      <c r="D23" s="44">
        <v>62870.0</v>
      </c>
      <c r="E23" s="44">
        <v>21850.0</v>
      </c>
      <c r="F23" s="44">
        <v>22.3</v>
      </c>
    </row>
    <row r="24">
      <c r="A24" s="42" t="s">
        <v>189</v>
      </c>
      <c r="B24" s="43" t="s">
        <v>136</v>
      </c>
      <c r="C24" s="44">
        <v>42884.0</v>
      </c>
      <c r="D24" s="44">
        <v>41835.0</v>
      </c>
      <c r="E24" s="44">
        <v>23010.0</v>
      </c>
      <c r="F24" s="44">
        <v>22.4</v>
      </c>
    </row>
    <row r="25">
      <c r="A25" s="42" t="s">
        <v>354</v>
      </c>
      <c r="B25" s="43" t="s">
        <v>139</v>
      </c>
      <c r="C25" s="44">
        <v>105743.0</v>
      </c>
      <c r="D25" s="44">
        <v>104207.0</v>
      </c>
      <c r="E25" s="44">
        <v>23440.0</v>
      </c>
      <c r="F25" s="44">
        <v>17.6</v>
      </c>
    </row>
    <row r="26">
      <c r="A26" s="42" t="s">
        <v>147</v>
      </c>
      <c r="B26" s="43" t="s">
        <v>140</v>
      </c>
      <c r="C26" s="44">
        <v>80781.0</v>
      </c>
      <c r="D26" s="44">
        <v>79010.0</v>
      </c>
      <c r="E26" s="44">
        <v>22260.0</v>
      </c>
      <c r="F26" s="44">
        <v>24.0</v>
      </c>
    </row>
    <row r="27">
      <c r="A27" s="42" t="s">
        <v>360</v>
      </c>
      <c r="B27" s="43" t="s">
        <v>148</v>
      </c>
      <c r="C27" s="44">
        <v>21867.0</v>
      </c>
      <c r="D27" s="44">
        <v>21385.0</v>
      </c>
      <c r="E27" s="44">
        <v>26230.0</v>
      </c>
      <c r="F27" s="44">
        <v>10.3</v>
      </c>
    </row>
    <row r="28">
      <c r="A28" s="42" t="s">
        <v>363</v>
      </c>
      <c r="B28" s="43" t="s">
        <v>149</v>
      </c>
      <c r="C28" s="44">
        <v>30153.0</v>
      </c>
      <c r="D28" s="44">
        <v>28503.0</v>
      </c>
      <c r="E28" s="44">
        <v>22920.0</v>
      </c>
      <c r="F28" s="44">
        <v>20.9</v>
      </c>
    </row>
    <row r="29">
      <c r="A29" s="42" t="s">
        <v>366</v>
      </c>
      <c r="B29" s="43" t="s">
        <v>214</v>
      </c>
      <c r="C29" s="44">
        <v>39399.0</v>
      </c>
      <c r="D29" s="44">
        <v>40306.0</v>
      </c>
      <c r="E29" s="44">
        <v>25980.0</v>
      </c>
      <c r="F29" s="44">
        <v>11.6</v>
      </c>
    </row>
    <row r="30">
      <c r="A30" s="42" t="s">
        <v>371</v>
      </c>
      <c r="B30" s="43" t="s">
        <v>216</v>
      </c>
      <c r="C30" s="44">
        <v>21686.0</v>
      </c>
      <c r="D30" s="44">
        <v>21154.0</v>
      </c>
      <c r="E30" s="44">
        <v>23850.0</v>
      </c>
      <c r="F30" s="44">
        <v>14.0</v>
      </c>
    </row>
    <row r="31">
      <c r="A31" s="42" t="s">
        <v>374</v>
      </c>
      <c r="B31" s="43" t="s">
        <v>218</v>
      </c>
      <c r="C31" s="44">
        <v>28252.0</v>
      </c>
      <c r="D31" s="44">
        <v>27658.0</v>
      </c>
      <c r="E31" s="44">
        <v>24700.0</v>
      </c>
      <c r="F31" s="44">
        <v>13.0</v>
      </c>
    </row>
    <row r="32">
      <c r="A32" s="42" t="s">
        <v>377</v>
      </c>
      <c r="B32" s="43" t="s">
        <v>219</v>
      </c>
      <c r="C32" s="44">
        <v>42151.0</v>
      </c>
      <c r="D32" s="44">
        <v>42999.0</v>
      </c>
      <c r="E32" s="44">
        <v>25860.0</v>
      </c>
      <c r="F32" s="44">
        <v>10.6</v>
      </c>
    </row>
    <row r="33">
      <c r="A33" s="42" t="s">
        <v>380</v>
      </c>
      <c r="B33" s="43" t="s">
        <v>223</v>
      </c>
      <c r="C33" s="44">
        <v>25187.0</v>
      </c>
      <c r="D33" s="44">
        <v>25148.0</v>
      </c>
      <c r="E33" s="44">
        <v>24080.0</v>
      </c>
      <c r="F33" s="44">
        <v>14.7</v>
      </c>
    </row>
    <row r="34">
      <c r="A34" s="42" t="s">
        <v>138</v>
      </c>
      <c r="B34" s="43" t="s">
        <v>137</v>
      </c>
      <c r="C34" s="44">
        <v>17380.0</v>
      </c>
      <c r="D34" s="44">
        <v>16523.0</v>
      </c>
      <c r="E34" s="44">
        <v>24100.0</v>
      </c>
      <c r="F34" s="44">
        <v>16.0</v>
      </c>
    </row>
    <row r="35">
      <c r="A35" s="42" t="s">
        <v>387</v>
      </c>
      <c r="B35" s="43" t="s">
        <v>225</v>
      </c>
      <c r="C35" s="44">
        <v>33144.0</v>
      </c>
      <c r="D35" s="44">
        <v>32495.0</v>
      </c>
      <c r="E35" s="44">
        <v>24290.0</v>
      </c>
      <c r="F35" s="44">
        <v>14.2</v>
      </c>
    </row>
    <row r="36">
      <c r="A36" s="42" t="s">
        <v>390</v>
      </c>
      <c r="B36" s="43" t="s">
        <v>224</v>
      </c>
      <c r="C36" s="44">
        <v>95294.0</v>
      </c>
      <c r="D36" s="44">
        <v>99749.0</v>
      </c>
      <c r="E36" s="44">
        <v>29620.0</v>
      </c>
      <c r="F36" s="44">
        <v>8.0</v>
      </c>
    </row>
    <row r="37">
      <c r="A37" s="42" t="s">
        <v>103</v>
      </c>
      <c r="B37" s="43" t="s">
        <v>102</v>
      </c>
      <c r="C37" s="44">
        <v>29643.0</v>
      </c>
      <c r="D37" s="44">
        <v>29037.0</v>
      </c>
      <c r="E37" s="44">
        <v>25030.0</v>
      </c>
      <c r="F37" s="44">
        <v>13.0</v>
      </c>
    </row>
    <row r="38">
      <c r="A38" s="42" t="s">
        <v>396</v>
      </c>
      <c r="B38" s="43" t="s">
        <v>228</v>
      </c>
      <c r="C38" s="44">
        <v>23717.0</v>
      </c>
      <c r="D38" s="44">
        <v>24968.0</v>
      </c>
      <c r="E38" s="44">
        <v>31670.0</v>
      </c>
      <c r="F38" s="44">
        <v>8.8</v>
      </c>
    </row>
    <row r="39">
      <c r="A39" s="42" t="s">
        <v>400</v>
      </c>
      <c r="B39" s="43" t="s">
        <v>229</v>
      </c>
      <c r="C39" s="44">
        <v>38782.0</v>
      </c>
      <c r="D39" s="44">
        <v>37863.0</v>
      </c>
      <c r="E39" s="44">
        <v>25250.0</v>
      </c>
      <c r="F39" s="44">
        <v>12.5</v>
      </c>
    </row>
    <row r="40">
      <c r="A40" s="42" t="s">
        <v>402</v>
      </c>
      <c r="B40" s="43" t="s">
        <v>230</v>
      </c>
      <c r="C40" s="44">
        <v>18371.0</v>
      </c>
      <c r="D40" s="44">
        <v>17968.0</v>
      </c>
      <c r="E40" s="44">
        <v>23790.0</v>
      </c>
      <c r="F40" s="44">
        <v>16.0</v>
      </c>
    </row>
    <row r="41">
      <c r="A41" s="42" t="s">
        <v>406</v>
      </c>
      <c r="B41" s="43" t="s">
        <v>231</v>
      </c>
      <c r="C41" s="44">
        <v>60767.0</v>
      </c>
      <c r="D41" s="44">
        <v>61824.0</v>
      </c>
      <c r="E41" s="44">
        <v>27960.0</v>
      </c>
      <c r="F41" s="44">
        <v>8.1</v>
      </c>
    </row>
    <row r="42">
      <c r="A42" s="42" t="s">
        <v>83</v>
      </c>
      <c r="B42" s="43" t="s">
        <v>82</v>
      </c>
      <c r="C42" s="44">
        <v>16923.0</v>
      </c>
      <c r="D42" s="44">
        <v>16257.0</v>
      </c>
      <c r="E42" s="44">
        <v>21700.0</v>
      </c>
      <c r="F42" s="44">
        <v>24.0</v>
      </c>
    </row>
    <row r="43">
      <c r="A43" s="42" t="s">
        <v>411</v>
      </c>
      <c r="B43" s="43" t="s">
        <v>150</v>
      </c>
      <c r="C43" s="44">
        <v>23107.0</v>
      </c>
      <c r="D43" s="44">
        <v>23211.0</v>
      </c>
      <c r="E43" s="44">
        <v>24030.0</v>
      </c>
      <c r="F43" s="44">
        <v>14.1</v>
      </c>
    </row>
    <row r="44">
      <c r="A44" s="42" t="s">
        <v>414</v>
      </c>
      <c r="B44" s="43" t="s">
        <v>151</v>
      </c>
      <c r="C44" s="44">
        <v>44831.0</v>
      </c>
      <c r="D44" s="44">
        <v>44610.0</v>
      </c>
      <c r="E44" s="44">
        <v>34810.0</v>
      </c>
      <c r="F44" s="44">
        <v>7.1</v>
      </c>
    </row>
    <row r="45">
      <c r="A45" s="42" t="s">
        <v>417</v>
      </c>
      <c r="B45" s="43" t="s">
        <v>152</v>
      </c>
      <c r="C45" s="44">
        <v>20391.0</v>
      </c>
      <c r="D45" s="44">
        <v>19637.0</v>
      </c>
      <c r="E45" s="44">
        <v>23140.0</v>
      </c>
      <c r="F45" s="44">
        <v>17.0</v>
      </c>
    </row>
    <row r="46">
      <c r="A46" s="42" t="s">
        <v>420</v>
      </c>
      <c r="B46" s="43" t="s">
        <v>155</v>
      </c>
      <c r="C46" s="44">
        <v>21163.0</v>
      </c>
      <c r="D46" s="44">
        <v>20928.0</v>
      </c>
      <c r="E46" s="44">
        <v>24840.0</v>
      </c>
      <c r="F46" s="44">
        <v>13.4</v>
      </c>
    </row>
    <row r="47">
      <c r="A47" s="42" t="s">
        <v>79</v>
      </c>
      <c r="B47" s="43" t="s">
        <v>78</v>
      </c>
      <c r="C47" s="44">
        <v>20923.0</v>
      </c>
      <c r="D47" s="44">
        <v>20865.0</v>
      </c>
      <c r="E47" s="44">
        <v>24780.0</v>
      </c>
      <c r="F47" s="44">
        <v>12.7</v>
      </c>
    </row>
    <row r="48">
      <c r="A48" s="42" t="s">
        <v>427</v>
      </c>
      <c r="B48" s="43" t="s">
        <v>158</v>
      </c>
      <c r="C48" s="44">
        <v>27435.0</v>
      </c>
      <c r="D48" s="44">
        <v>26393.0</v>
      </c>
      <c r="E48" s="44">
        <v>23420.0</v>
      </c>
      <c r="F48" s="44">
        <v>17.2</v>
      </c>
    </row>
    <row r="49">
      <c r="A49" s="42" t="s">
        <v>430</v>
      </c>
      <c r="B49" s="43" t="s">
        <v>159</v>
      </c>
      <c r="C49" s="44">
        <v>32930.0</v>
      </c>
      <c r="D49" s="44">
        <v>32039.0</v>
      </c>
      <c r="E49" s="44">
        <v>24540.0</v>
      </c>
      <c r="F49" s="44">
        <v>13.6</v>
      </c>
    </row>
    <row r="50">
      <c r="A50" s="42" t="s">
        <v>435</v>
      </c>
      <c r="B50" s="43" t="s">
        <v>160</v>
      </c>
      <c r="C50" s="44">
        <v>17849.0</v>
      </c>
      <c r="D50" s="44">
        <v>18131.0</v>
      </c>
      <c r="E50" s="44">
        <v>28230.0</v>
      </c>
      <c r="F50" s="44">
        <v>7.0</v>
      </c>
    </row>
    <row r="51">
      <c r="A51" s="42" t="s">
        <v>438</v>
      </c>
      <c r="B51" s="43" t="s">
        <v>161</v>
      </c>
      <c r="C51" s="44">
        <v>27330.0</v>
      </c>
      <c r="D51" s="44">
        <v>28202.0</v>
      </c>
      <c r="E51" s="44">
        <v>25520.0</v>
      </c>
      <c r="F51" s="44">
        <v>12.0</v>
      </c>
    </row>
    <row r="52">
      <c r="A52" s="42" t="s">
        <v>441</v>
      </c>
      <c r="B52" s="43" t="s">
        <v>163</v>
      </c>
      <c r="C52" s="44">
        <v>22209.0</v>
      </c>
      <c r="D52" s="44">
        <v>22357.0</v>
      </c>
      <c r="E52" s="44">
        <v>24540.0</v>
      </c>
      <c r="F52" s="44">
        <v>13.8</v>
      </c>
    </row>
    <row r="53">
      <c r="A53" s="42" t="s">
        <v>254</v>
      </c>
      <c r="B53" s="43" t="s">
        <v>165</v>
      </c>
      <c r="C53" s="44">
        <v>26448.0</v>
      </c>
      <c r="D53" s="44">
        <v>25590.0</v>
      </c>
      <c r="E53" s="44">
        <v>22900.0</v>
      </c>
      <c r="F53" s="44">
        <v>19.3</v>
      </c>
    </row>
    <row r="54">
      <c r="A54" s="42" t="s">
        <v>447</v>
      </c>
      <c r="B54" s="43" t="s">
        <v>167</v>
      </c>
      <c r="C54" s="44">
        <v>29729.0</v>
      </c>
      <c r="D54" s="44">
        <v>29526.0</v>
      </c>
      <c r="E54" s="44">
        <v>23150.0</v>
      </c>
      <c r="F54" s="44">
        <v>17.9</v>
      </c>
    </row>
    <row r="55">
      <c r="A55" s="42" t="s">
        <v>449</v>
      </c>
      <c r="B55" s="43" t="s">
        <v>169</v>
      </c>
      <c r="C55" s="44">
        <v>33399.0</v>
      </c>
      <c r="D55" s="44">
        <v>33442.0</v>
      </c>
      <c r="E55" s="44">
        <v>26140.0</v>
      </c>
      <c r="F55" s="44">
        <v>10.1</v>
      </c>
    </row>
    <row r="56">
      <c r="A56" s="42" t="s">
        <v>452</v>
      </c>
      <c r="B56" s="43" t="s">
        <v>170</v>
      </c>
      <c r="C56" s="44">
        <v>22926.0</v>
      </c>
      <c r="D56" s="44">
        <v>22523.0</v>
      </c>
      <c r="E56" s="44">
        <v>25850.0</v>
      </c>
      <c r="F56" s="44">
        <v>11.8</v>
      </c>
    </row>
    <row r="57">
      <c r="A57" s="42" t="s">
        <v>457</v>
      </c>
      <c r="B57" s="43" t="s">
        <v>171</v>
      </c>
      <c r="C57" s="44">
        <v>53436.0</v>
      </c>
      <c r="D57" s="44">
        <v>53437.0</v>
      </c>
      <c r="E57" s="44">
        <v>26130.0</v>
      </c>
      <c r="F57" s="44">
        <v>10.3</v>
      </c>
    </row>
    <row r="58">
      <c r="A58" s="42" t="s">
        <v>460</v>
      </c>
      <c r="B58" s="43" t="s">
        <v>173</v>
      </c>
      <c r="C58" s="44">
        <v>16282.0</v>
      </c>
      <c r="D58" s="44">
        <v>15898.0</v>
      </c>
      <c r="E58" s="44">
        <v>26930.0</v>
      </c>
      <c r="F58" s="44">
        <v>10.0</v>
      </c>
    </row>
    <row r="59">
      <c r="A59" s="42" t="s">
        <v>463</v>
      </c>
      <c r="B59" s="43" t="s">
        <v>175</v>
      </c>
      <c r="C59" s="44">
        <v>33799.0</v>
      </c>
      <c r="D59" s="44">
        <v>34469.0</v>
      </c>
      <c r="E59" s="44">
        <v>27230.0</v>
      </c>
      <c r="F59" s="44">
        <v>11.1</v>
      </c>
    </row>
    <row r="60">
      <c r="A60" s="42" t="s">
        <v>168</v>
      </c>
      <c r="B60" s="43" t="s">
        <v>166</v>
      </c>
      <c r="C60" s="44">
        <v>6999.0</v>
      </c>
      <c r="D60" s="44">
        <v>6622.0</v>
      </c>
      <c r="E60" s="44">
        <v>21250.0</v>
      </c>
      <c r="F60" s="44">
        <v>24.0</v>
      </c>
    </row>
    <row r="61">
      <c r="A61" s="42" t="s">
        <v>470</v>
      </c>
      <c r="B61" s="43" t="s">
        <v>176</v>
      </c>
      <c r="C61" s="44">
        <v>38379.0</v>
      </c>
      <c r="D61" s="44">
        <v>38351.0</v>
      </c>
      <c r="E61" s="44">
        <v>26310.0</v>
      </c>
      <c r="F61" s="44">
        <v>12.7</v>
      </c>
    </row>
    <row r="62">
      <c r="A62" s="42" t="s">
        <v>157</v>
      </c>
      <c r="B62" s="43" t="s">
        <v>156</v>
      </c>
      <c r="C62" s="44">
        <v>21271.0</v>
      </c>
      <c r="D62" s="44">
        <v>20346.0</v>
      </c>
      <c r="E62" s="44">
        <v>20630.0</v>
      </c>
      <c r="F62" s="44">
        <v>26.0</v>
      </c>
    </row>
    <row r="63">
      <c r="A63" s="42" t="s">
        <v>475</v>
      </c>
      <c r="B63" s="43" t="s">
        <v>178</v>
      </c>
      <c r="C63" s="44">
        <v>37550.0</v>
      </c>
      <c r="D63" s="44">
        <v>35390.0</v>
      </c>
      <c r="E63" s="44">
        <v>24010.0</v>
      </c>
      <c r="F63" s="44">
        <v>14.9</v>
      </c>
    </row>
    <row r="64">
      <c r="A64" s="42" t="s">
        <v>107</v>
      </c>
      <c r="B64" s="43" t="s">
        <v>106</v>
      </c>
      <c r="C64" s="44">
        <v>5675.0</v>
      </c>
      <c r="D64" s="44">
        <v>5512.0</v>
      </c>
      <c r="E64" s="44">
        <v>25290.0</v>
      </c>
      <c r="F64" s="44">
        <v>10.0</v>
      </c>
    </row>
    <row r="65">
      <c r="A65" s="42" t="s">
        <v>357</v>
      </c>
      <c r="B65" s="43" t="s">
        <v>182</v>
      </c>
      <c r="C65" s="44">
        <v>15740.0</v>
      </c>
      <c r="D65" s="44">
        <v>15224.0</v>
      </c>
      <c r="E65" s="44">
        <v>25680.0</v>
      </c>
      <c r="F65" s="44">
        <v>12.0</v>
      </c>
    </row>
    <row r="66">
      <c r="A66" s="42" t="s">
        <v>87</v>
      </c>
      <c r="B66" s="43" t="s">
        <v>86</v>
      </c>
      <c r="C66" s="44">
        <v>5484.0</v>
      </c>
      <c r="D66" s="44">
        <v>5505.0</v>
      </c>
      <c r="E66" s="44">
        <v>25190.0</v>
      </c>
      <c r="F66" s="44">
        <v>13.0</v>
      </c>
    </row>
    <row r="67">
      <c r="A67" s="42" t="s">
        <v>482</v>
      </c>
      <c r="B67" s="43" t="s">
        <v>183</v>
      </c>
      <c r="C67" s="44">
        <v>37135.0</v>
      </c>
      <c r="D67" s="44">
        <v>37535.0</v>
      </c>
      <c r="E67" s="44">
        <v>26840.0</v>
      </c>
      <c r="F67" s="44">
        <v>11.0</v>
      </c>
    </row>
    <row r="68">
      <c r="A68" s="42" t="s">
        <v>485</v>
      </c>
      <c r="B68" s="43" t="s">
        <v>185</v>
      </c>
      <c r="C68" s="44">
        <v>25803.0</v>
      </c>
      <c r="D68" s="44">
        <v>25273.0</v>
      </c>
      <c r="E68" s="44">
        <v>23630.0</v>
      </c>
      <c r="F68" s="44">
        <v>16.9</v>
      </c>
    </row>
    <row r="69">
      <c r="A69" s="42" t="s">
        <v>488</v>
      </c>
      <c r="B69" s="43" t="s">
        <v>187</v>
      </c>
      <c r="C69" s="44">
        <v>15741.0</v>
      </c>
      <c r="D69" s="44">
        <v>15781.0</v>
      </c>
      <c r="E69" s="44">
        <v>23240.0</v>
      </c>
      <c r="F69" s="44">
        <v>17.0</v>
      </c>
    </row>
    <row r="70">
      <c r="A70" s="42" t="s">
        <v>491</v>
      </c>
      <c r="B70" s="43" t="s">
        <v>188</v>
      </c>
      <c r="C70" s="44">
        <v>23660.0</v>
      </c>
      <c r="D70" s="44">
        <v>23801.0</v>
      </c>
      <c r="E70" s="44">
        <v>25840.0</v>
      </c>
      <c r="F70" s="44">
        <v>13.0</v>
      </c>
    </row>
    <row r="71">
      <c r="A71" s="42" t="s">
        <v>494</v>
      </c>
      <c r="B71" s="43" t="s">
        <v>200</v>
      </c>
      <c r="C71" s="44">
        <v>32964.0</v>
      </c>
      <c r="D71" s="44">
        <v>31901.0</v>
      </c>
      <c r="E71" s="44">
        <v>23240.0</v>
      </c>
      <c r="F71" s="44">
        <v>20.1</v>
      </c>
    </row>
    <row r="72">
      <c r="A72" s="42" t="s">
        <v>499</v>
      </c>
      <c r="B72" s="43" t="s">
        <v>202</v>
      </c>
      <c r="C72" s="44">
        <v>14908.0</v>
      </c>
      <c r="D72" s="44">
        <v>14470.0</v>
      </c>
      <c r="E72" s="44">
        <v>24330.0</v>
      </c>
      <c r="F72" s="44">
        <v>15.0</v>
      </c>
    </row>
    <row r="73">
      <c r="A73" s="42" t="s">
        <v>501</v>
      </c>
      <c r="B73" s="43" t="s">
        <v>190</v>
      </c>
      <c r="C73" s="44">
        <v>18297.0</v>
      </c>
      <c r="D73" s="44">
        <v>18086.0</v>
      </c>
      <c r="E73" s="44">
        <v>25560.0</v>
      </c>
      <c r="F73" s="44">
        <v>12.0</v>
      </c>
    </row>
    <row r="74">
      <c r="A74" s="42" t="s">
        <v>504</v>
      </c>
      <c r="B74" s="43" t="s">
        <v>191</v>
      </c>
      <c r="C74" s="44">
        <v>24248.0</v>
      </c>
      <c r="D74" s="44">
        <v>24109.0</v>
      </c>
      <c r="E74" s="44">
        <v>24370.0</v>
      </c>
      <c r="F74" s="44">
        <v>12.8</v>
      </c>
    </row>
    <row r="75">
      <c r="A75" s="42" t="s">
        <v>508</v>
      </c>
      <c r="B75" s="43" t="s">
        <v>192</v>
      </c>
      <c r="C75" s="44">
        <v>48441.0</v>
      </c>
      <c r="D75" s="44">
        <v>48048.0</v>
      </c>
      <c r="E75" s="44">
        <v>25710.0</v>
      </c>
      <c r="F75" s="44">
        <v>14.3</v>
      </c>
    </row>
    <row r="76">
      <c r="A76" s="42" t="s">
        <v>509</v>
      </c>
      <c r="B76" s="43" t="s">
        <v>195</v>
      </c>
      <c r="C76" s="44">
        <v>55733.0</v>
      </c>
      <c r="D76" s="44">
        <v>55548.0</v>
      </c>
      <c r="E76" s="44">
        <v>28270.0</v>
      </c>
      <c r="F76" s="44">
        <v>8.0</v>
      </c>
    </row>
    <row r="77">
      <c r="A77" s="42" t="s">
        <v>74</v>
      </c>
      <c r="B77" s="43" t="s">
        <v>73</v>
      </c>
      <c r="C77" s="44">
        <v>14565.0</v>
      </c>
      <c r="D77" s="44">
        <v>14337.0</v>
      </c>
      <c r="E77" s="44">
        <v>23550.0</v>
      </c>
      <c r="F77" s="44">
        <v>15.0</v>
      </c>
    </row>
    <row r="78">
      <c r="A78" s="42" t="s">
        <v>514</v>
      </c>
      <c r="B78" s="43" t="s">
        <v>196</v>
      </c>
      <c r="C78" s="44">
        <v>22104.0</v>
      </c>
      <c r="D78" s="44">
        <v>22081.0</v>
      </c>
      <c r="E78" s="44">
        <v>27170.0</v>
      </c>
      <c r="F78" s="44">
        <v>9.0</v>
      </c>
    </row>
    <row r="79">
      <c r="A79" s="42" t="s">
        <v>517</v>
      </c>
      <c r="B79" s="43" t="s">
        <v>197</v>
      </c>
      <c r="C79" s="44">
        <v>28416.0</v>
      </c>
      <c r="D79" s="44">
        <v>27713.0</v>
      </c>
      <c r="E79" s="44">
        <v>24530.0</v>
      </c>
      <c r="F79" s="44">
        <v>14.1</v>
      </c>
    </row>
    <row r="80">
      <c r="A80" s="42" t="s">
        <v>217</v>
      </c>
      <c r="B80" s="43" t="s">
        <v>198</v>
      </c>
      <c r="C80" s="44">
        <v>31207.0</v>
      </c>
      <c r="D80" s="44">
        <v>30577.0</v>
      </c>
      <c r="E80" s="44">
        <v>23320.0</v>
      </c>
      <c r="F80" s="44">
        <v>18.2</v>
      </c>
    </row>
    <row r="81">
      <c r="A81" s="42" t="s">
        <v>524</v>
      </c>
      <c r="B81" s="43" t="s">
        <v>203</v>
      </c>
      <c r="C81" s="44">
        <v>30249.0</v>
      </c>
      <c r="D81" s="44">
        <v>29412.0</v>
      </c>
      <c r="E81" s="44">
        <v>25350.0</v>
      </c>
      <c r="F81" s="44">
        <v>11.5</v>
      </c>
    </row>
    <row r="82">
      <c r="A82" s="42" t="s">
        <v>527</v>
      </c>
      <c r="B82" s="43" t="s">
        <v>204</v>
      </c>
      <c r="C82" s="44">
        <v>27456.0</v>
      </c>
      <c r="D82" s="44">
        <v>26962.0</v>
      </c>
      <c r="E82" s="44">
        <v>24390.0</v>
      </c>
      <c r="F82" s="44">
        <v>13.5</v>
      </c>
    </row>
    <row r="83">
      <c r="A83" s="42" t="s">
        <v>530</v>
      </c>
      <c r="B83" s="43" t="s">
        <v>205</v>
      </c>
      <c r="C83" s="44">
        <v>25206.0</v>
      </c>
      <c r="D83" s="44">
        <v>24208.0</v>
      </c>
      <c r="E83" s="44">
        <v>20100.0</v>
      </c>
      <c r="F83" s="44">
        <v>29.7</v>
      </c>
    </row>
    <row r="84">
      <c r="A84" s="42" t="s">
        <v>533</v>
      </c>
      <c r="B84" s="43" t="s">
        <v>206</v>
      </c>
      <c r="C84" s="44">
        <v>38364.0</v>
      </c>
      <c r="D84" s="44">
        <v>36913.0</v>
      </c>
      <c r="E84" s="44">
        <v>23180.0</v>
      </c>
      <c r="F84" s="44">
        <v>18.9</v>
      </c>
    </row>
    <row r="85">
      <c r="A85" s="42" t="s">
        <v>534</v>
      </c>
      <c r="B85" s="43" t="s">
        <v>207</v>
      </c>
      <c r="C85" s="44">
        <v>31450.0</v>
      </c>
      <c r="D85" s="44">
        <v>30685.0</v>
      </c>
      <c r="E85" s="44">
        <v>24940.0</v>
      </c>
      <c r="F85" s="44">
        <v>13.9</v>
      </c>
    </row>
    <row r="86">
      <c r="A86" s="42" t="s">
        <v>537</v>
      </c>
      <c r="B86" s="43" t="s">
        <v>210</v>
      </c>
      <c r="C86" s="44">
        <v>26605.0</v>
      </c>
      <c r="D86" s="44">
        <v>26314.0</v>
      </c>
      <c r="E86" s="44">
        <v>26250.0</v>
      </c>
      <c r="F86" s="44">
        <v>9.6</v>
      </c>
    </row>
    <row r="87">
      <c r="A87" s="42" t="s">
        <v>91</v>
      </c>
      <c r="B87" s="43" t="s">
        <v>90</v>
      </c>
      <c r="C87" s="44">
        <v>20284.0</v>
      </c>
      <c r="D87" s="44">
        <v>20310.0</v>
      </c>
      <c r="E87" s="44">
        <v>25120.0</v>
      </c>
      <c r="F87" s="44">
        <v>12.0</v>
      </c>
    </row>
    <row r="88">
      <c r="A88" s="42" t="s">
        <v>95</v>
      </c>
      <c r="B88" s="43" t="s">
        <v>94</v>
      </c>
      <c r="C88" s="44">
        <v>16083.0</v>
      </c>
      <c r="D88" s="44">
        <v>15838.0</v>
      </c>
      <c r="E88" s="44">
        <v>24580.0</v>
      </c>
      <c r="F88" s="44">
        <v>14.0</v>
      </c>
    </row>
    <row r="89">
      <c r="A89" s="42" t="s">
        <v>544</v>
      </c>
      <c r="B89" s="43" t="s">
        <v>211</v>
      </c>
      <c r="C89" s="44">
        <v>20318.0</v>
      </c>
      <c r="D89" s="44">
        <v>20462.0</v>
      </c>
      <c r="E89" s="44">
        <v>28390.0</v>
      </c>
      <c r="F89" s="44">
        <v>7.0</v>
      </c>
    </row>
    <row r="90">
      <c r="A90" s="42" t="s">
        <v>549</v>
      </c>
      <c r="B90" s="43" t="s">
        <v>212</v>
      </c>
      <c r="C90" s="44">
        <v>22805.0</v>
      </c>
      <c r="D90" s="44">
        <v>22072.0</v>
      </c>
      <c r="E90" s="44">
        <v>23690.0</v>
      </c>
      <c r="F90" s="44">
        <v>14.1</v>
      </c>
    </row>
    <row r="91">
      <c r="A91" s="42" t="s">
        <v>552</v>
      </c>
      <c r="B91" s="43" t="s">
        <v>234</v>
      </c>
      <c r="C91" s="44">
        <v>107763.0</v>
      </c>
      <c r="D91" s="44">
        <v>109884.0</v>
      </c>
      <c r="E91" s="44">
        <v>25670.0</v>
      </c>
      <c r="F91" s="44">
        <v>16.5</v>
      </c>
    </row>
    <row r="92">
      <c r="A92" s="42" t="s">
        <v>555</v>
      </c>
      <c r="B92" s="43" t="s">
        <v>235</v>
      </c>
      <c r="C92" s="44">
        <v>196901.0</v>
      </c>
      <c r="D92" s="44">
        <v>191478.0</v>
      </c>
      <c r="E92" s="44">
        <v>23270.0</v>
      </c>
      <c r="F92" s="44">
        <v>20.3</v>
      </c>
    </row>
    <row r="93">
      <c r="A93" s="42" t="s">
        <v>558</v>
      </c>
      <c r="B93" s="43" t="s">
        <v>236</v>
      </c>
      <c r="C93" s="44">
        <v>1170630.0</v>
      </c>
      <c r="D93" s="44">
        <v>1195234.0</v>
      </c>
      <c r="E93" s="44">
        <v>24430.0</v>
      </c>
      <c r="F93" s="44">
        <v>21.4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0.5"/>
    <col customWidth="1" min="2" max="2" width="35.0"/>
    <col customWidth="1" min="3" max="6" width="14.0"/>
  </cols>
  <sheetData>
    <row r="1" ht="15.75" customHeight="1">
      <c r="A1" s="45" t="s">
        <v>51</v>
      </c>
      <c r="B1" s="45" t="s">
        <v>52</v>
      </c>
      <c r="C1" s="45" t="s">
        <v>273</v>
      </c>
      <c r="D1" s="45" t="s">
        <v>276</v>
      </c>
      <c r="E1" s="45" t="s">
        <v>277</v>
      </c>
      <c r="F1" s="45" t="s">
        <v>278</v>
      </c>
    </row>
    <row r="2" ht="15.75" customHeight="1">
      <c r="A2" s="46" t="s">
        <v>59</v>
      </c>
      <c r="B2" s="47" t="s">
        <v>60</v>
      </c>
      <c r="C2" s="47">
        <v>498.0</v>
      </c>
      <c r="D2" s="47">
        <v>518.0</v>
      </c>
      <c r="E2" s="47">
        <v>24700.0</v>
      </c>
      <c r="F2" s="47" t="s">
        <v>11</v>
      </c>
    </row>
    <row r="3" ht="15.75" customHeight="1">
      <c r="A3" s="46" t="s">
        <v>63</v>
      </c>
      <c r="B3" s="47" t="s">
        <v>64</v>
      </c>
      <c r="C3" s="47">
        <v>598.0</v>
      </c>
      <c r="D3" s="47">
        <v>584.0</v>
      </c>
      <c r="E3" s="47">
        <v>25260.0</v>
      </c>
      <c r="F3" s="47" t="s">
        <v>11</v>
      </c>
    </row>
    <row r="4" ht="15.75" customHeight="1">
      <c r="A4" s="46" t="s">
        <v>65</v>
      </c>
      <c r="B4" s="47" t="s">
        <v>66</v>
      </c>
      <c r="C4" s="47">
        <v>1012.0</v>
      </c>
      <c r="D4" s="47">
        <v>1004.0</v>
      </c>
      <c r="E4" s="47">
        <v>26000.0</v>
      </c>
      <c r="F4" s="47" t="s">
        <v>11</v>
      </c>
    </row>
    <row r="5" ht="15.75" customHeight="1">
      <c r="A5" s="46" t="s">
        <v>69</v>
      </c>
      <c r="B5" s="47" t="s">
        <v>70</v>
      </c>
      <c r="C5" s="47">
        <v>177.0</v>
      </c>
      <c r="D5" s="47">
        <v>189.0</v>
      </c>
      <c r="E5" s="47">
        <v>21320.0</v>
      </c>
      <c r="F5" s="47" t="s">
        <v>11</v>
      </c>
    </row>
    <row r="6" ht="15.75" customHeight="1">
      <c r="A6" s="46" t="s">
        <v>76</v>
      </c>
      <c r="B6" s="47" t="s">
        <v>77</v>
      </c>
      <c r="C6" s="47">
        <v>384.0</v>
      </c>
      <c r="D6" s="47">
        <v>417.0</v>
      </c>
      <c r="E6" s="47">
        <v>27790.0</v>
      </c>
      <c r="F6" s="47" t="s">
        <v>11</v>
      </c>
    </row>
    <row r="7" ht="15.75" customHeight="1">
      <c r="A7" s="46" t="s">
        <v>80</v>
      </c>
      <c r="B7" s="47" t="s">
        <v>81</v>
      </c>
      <c r="C7" s="47">
        <v>255.0</v>
      </c>
      <c r="D7" s="47">
        <v>259.0</v>
      </c>
      <c r="E7" s="47">
        <v>25470.0</v>
      </c>
      <c r="F7" s="47" t="s">
        <v>11</v>
      </c>
    </row>
    <row r="8" ht="15.75" customHeight="1">
      <c r="A8" s="46" t="s">
        <v>84</v>
      </c>
      <c r="B8" s="47" t="s">
        <v>85</v>
      </c>
      <c r="C8" s="47">
        <v>125.0</v>
      </c>
      <c r="D8" s="47">
        <v>118.0</v>
      </c>
      <c r="E8" s="47">
        <v>26000.0</v>
      </c>
      <c r="F8" s="47" t="s">
        <v>11</v>
      </c>
    </row>
    <row r="9" ht="15.75" customHeight="1">
      <c r="A9" s="46" t="s">
        <v>88</v>
      </c>
      <c r="B9" s="47" t="s">
        <v>89</v>
      </c>
      <c r="C9" s="47">
        <v>291.0</v>
      </c>
      <c r="D9" s="47">
        <v>306.0</v>
      </c>
      <c r="E9" s="47">
        <v>26290.0</v>
      </c>
      <c r="F9" s="47" t="s">
        <v>11</v>
      </c>
    </row>
    <row r="10" ht="15.75" customHeight="1">
      <c r="A10" s="46" t="s">
        <v>92</v>
      </c>
      <c r="B10" s="47" t="s">
        <v>93</v>
      </c>
      <c r="C10" s="47">
        <v>543.0</v>
      </c>
      <c r="D10" s="47">
        <v>517.0</v>
      </c>
      <c r="E10" s="47">
        <v>25820.0</v>
      </c>
      <c r="F10" s="47" t="s">
        <v>11</v>
      </c>
    </row>
    <row r="11" ht="15.75" customHeight="1">
      <c r="A11" s="46" t="s">
        <v>96</v>
      </c>
      <c r="B11" s="47" t="s">
        <v>97</v>
      </c>
      <c r="C11" s="47">
        <v>177.0</v>
      </c>
      <c r="D11" s="47">
        <v>163.0</v>
      </c>
      <c r="E11" s="47">
        <v>26140.0</v>
      </c>
      <c r="F11" s="47" t="s">
        <v>11</v>
      </c>
    </row>
    <row r="12" ht="15.75" customHeight="1">
      <c r="A12" s="46" t="s">
        <v>100</v>
      </c>
      <c r="B12" s="47" t="s">
        <v>101</v>
      </c>
      <c r="C12" s="47">
        <v>1155.0</v>
      </c>
      <c r="D12" s="47">
        <v>1205.0</v>
      </c>
      <c r="E12" s="47">
        <v>27570.0</v>
      </c>
      <c r="F12" s="47" t="s">
        <v>11</v>
      </c>
    </row>
    <row r="13" ht="15.75" customHeight="1">
      <c r="A13" s="46" t="s">
        <v>104</v>
      </c>
      <c r="B13" s="47" t="s">
        <v>105</v>
      </c>
      <c r="C13" s="47">
        <v>70.0</v>
      </c>
      <c r="D13" s="47">
        <v>79.0</v>
      </c>
      <c r="E13" s="47" t="s">
        <v>11</v>
      </c>
      <c r="F13" s="47" t="s">
        <v>11</v>
      </c>
    </row>
    <row r="14" ht="15.75" customHeight="1">
      <c r="A14" s="46" t="s">
        <v>108</v>
      </c>
      <c r="B14" s="47" t="s">
        <v>109</v>
      </c>
      <c r="C14" s="47">
        <v>404.0</v>
      </c>
      <c r="D14" s="47">
        <v>391.0</v>
      </c>
      <c r="E14" s="47">
        <v>27200.0</v>
      </c>
      <c r="F14" s="47" t="s">
        <v>11</v>
      </c>
    </row>
    <row r="15" ht="15.75" customHeight="1">
      <c r="A15" s="46" t="s">
        <v>111</v>
      </c>
      <c r="B15" s="47" t="s">
        <v>112</v>
      </c>
      <c r="C15" s="47">
        <v>744.0</v>
      </c>
      <c r="D15" s="47">
        <v>707.0</v>
      </c>
      <c r="E15" s="47">
        <v>25340.0</v>
      </c>
      <c r="F15" s="47" t="s">
        <v>11</v>
      </c>
    </row>
    <row r="16" ht="15.75" customHeight="1">
      <c r="A16" s="46" t="s">
        <v>113</v>
      </c>
      <c r="B16" s="47" t="s">
        <v>114</v>
      </c>
      <c r="C16" s="47">
        <v>75.0</v>
      </c>
      <c r="D16" s="47">
        <v>78.0</v>
      </c>
      <c r="E16" s="47" t="s">
        <v>11</v>
      </c>
      <c r="F16" s="47" t="s">
        <v>11</v>
      </c>
    </row>
    <row r="17" ht="15.75" customHeight="1">
      <c r="A17" s="46" t="s">
        <v>117</v>
      </c>
      <c r="B17" s="47" t="s">
        <v>119</v>
      </c>
      <c r="C17" s="47">
        <v>228.0</v>
      </c>
      <c r="D17" s="47">
        <v>212.0</v>
      </c>
      <c r="E17" s="47">
        <v>24940.0</v>
      </c>
      <c r="F17" s="47" t="s">
        <v>11</v>
      </c>
    </row>
    <row r="18" ht="15.75" customHeight="1">
      <c r="A18" s="46" t="s">
        <v>125</v>
      </c>
      <c r="B18" s="47" t="s">
        <v>126</v>
      </c>
      <c r="C18" s="47">
        <v>315.0</v>
      </c>
      <c r="D18" s="47">
        <v>274.0</v>
      </c>
      <c r="E18" s="47">
        <v>25510.0</v>
      </c>
      <c r="F18" s="47" t="s">
        <v>11</v>
      </c>
    </row>
    <row r="19" ht="15.75" customHeight="1">
      <c r="A19" s="46" t="s">
        <v>133</v>
      </c>
      <c r="B19" s="47" t="s">
        <v>134</v>
      </c>
      <c r="C19" s="47">
        <v>2533.0</v>
      </c>
      <c r="D19" s="47">
        <v>2472.0</v>
      </c>
      <c r="E19" s="47">
        <v>23090.0</v>
      </c>
      <c r="F19" s="47">
        <v>16.0</v>
      </c>
    </row>
    <row r="20" ht="15.75" customHeight="1">
      <c r="A20" s="46" t="s">
        <v>143</v>
      </c>
      <c r="B20" s="47" t="s">
        <v>144</v>
      </c>
      <c r="C20" s="47">
        <v>364.0</v>
      </c>
      <c r="D20" s="47">
        <v>349.0</v>
      </c>
      <c r="E20" s="47">
        <v>23740.0</v>
      </c>
      <c r="F20" s="47" t="s">
        <v>11</v>
      </c>
    </row>
    <row r="21" ht="15.75" customHeight="1">
      <c r="A21" s="46" t="s">
        <v>153</v>
      </c>
      <c r="B21" s="47" t="s">
        <v>154</v>
      </c>
      <c r="C21" s="47">
        <v>456.0</v>
      </c>
      <c r="D21" s="47">
        <v>456.0</v>
      </c>
      <c r="E21" s="47">
        <v>23100.0</v>
      </c>
      <c r="F21" s="47" t="s">
        <v>11</v>
      </c>
    </row>
    <row r="22" ht="15.75" customHeight="1">
      <c r="A22" s="46" t="s">
        <v>162</v>
      </c>
      <c r="B22" s="47" t="s">
        <v>164</v>
      </c>
      <c r="C22" s="47">
        <v>87.0</v>
      </c>
      <c r="D22" s="47">
        <v>76.0</v>
      </c>
      <c r="E22" s="47" t="s">
        <v>11</v>
      </c>
      <c r="F22" s="47" t="s">
        <v>11</v>
      </c>
    </row>
    <row r="23" ht="15.75" customHeight="1">
      <c r="A23" s="46" t="s">
        <v>172</v>
      </c>
      <c r="B23" s="47" t="s">
        <v>174</v>
      </c>
      <c r="C23" s="47">
        <v>403.0</v>
      </c>
      <c r="D23" s="47">
        <v>396.0</v>
      </c>
      <c r="E23" s="47">
        <v>25950.0</v>
      </c>
      <c r="F23" s="47" t="s">
        <v>11</v>
      </c>
    </row>
    <row r="24" ht="15.75" customHeight="1">
      <c r="A24" s="46" t="s">
        <v>177</v>
      </c>
      <c r="B24" s="47" t="s">
        <v>179</v>
      </c>
      <c r="C24" s="47">
        <v>103.0</v>
      </c>
      <c r="D24" s="47">
        <v>96.0</v>
      </c>
      <c r="E24" s="47" t="s">
        <v>11</v>
      </c>
      <c r="F24" s="47" t="s">
        <v>11</v>
      </c>
    </row>
    <row r="25" ht="15.75" customHeight="1">
      <c r="A25" s="46" t="s">
        <v>184</v>
      </c>
      <c r="B25" s="47" t="s">
        <v>186</v>
      </c>
      <c r="C25" s="47">
        <v>53.0</v>
      </c>
      <c r="D25" s="47">
        <v>45.0</v>
      </c>
      <c r="E25" s="47" t="s">
        <v>11</v>
      </c>
      <c r="F25" s="47" t="s">
        <v>11</v>
      </c>
    </row>
    <row r="26" ht="15.75" customHeight="1">
      <c r="A26" s="46" t="s">
        <v>193</v>
      </c>
      <c r="B26" s="47" t="s">
        <v>194</v>
      </c>
      <c r="C26" s="47">
        <v>371.0</v>
      </c>
      <c r="D26" s="47">
        <v>361.0</v>
      </c>
      <c r="E26" s="47">
        <v>26150.0</v>
      </c>
      <c r="F26" s="47" t="s">
        <v>11</v>
      </c>
    </row>
    <row r="27" ht="15.75" customHeight="1">
      <c r="A27" s="46" t="s">
        <v>199</v>
      </c>
      <c r="B27" s="47" t="s">
        <v>201</v>
      </c>
      <c r="C27" s="47">
        <v>222.0</v>
      </c>
      <c r="D27" s="47">
        <v>209.0</v>
      </c>
      <c r="E27" s="47">
        <v>22280.0</v>
      </c>
      <c r="F27" s="47" t="s">
        <v>11</v>
      </c>
    </row>
    <row r="28" ht="15.75" customHeight="1">
      <c r="A28" s="46" t="s">
        <v>208</v>
      </c>
      <c r="B28" s="47" t="s">
        <v>209</v>
      </c>
      <c r="C28" s="47">
        <v>2604.0</v>
      </c>
      <c r="D28" s="47">
        <v>2578.0</v>
      </c>
      <c r="E28" s="47">
        <v>25840.0</v>
      </c>
      <c r="F28" s="47">
        <v>11.0</v>
      </c>
    </row>
    <row r="29" ht="15.75" customHeight="1">
      <c r="A29" s="46" t="s">
        <v>213</v>
      </c>
      <c r="B29" s="47" t="s">
        <v>215</v>
      </c>
      <c r="C29" s="47">
        <v>363.0</v>
      </c>
      <c r="D29" s="47">
        <v>337.0</v>
      </c>
      <c r="E29" s="47">
        <v>27020.0</v>
      </c>
      <c r="F29" s="47" t="s">
        <v>11</v>
      </c>
    </row>
    <row r="30" ht="15.75" customHeight="1">
      <c r="A30" s="46" t="s">
        <v>221</v>
      </c>
      <c r="B30" s="47" t="s">
        <v>222</v>
      </c>
      <c r="C30" s="47">
        <v>269.0</v>
      </c>
      <c r="D30" s="47">
        <v>238.0</v>
      </c>
      <c r="E30" s="47">
        <v>25630.0</v>
      </c>
      <c r="F30" s="47" t="s">
        <v>11</v>
      </c>
    </row>
    <row r="31" ht="15.75" customHeight="1">
      <c r="A31" s="46" t="s">
        <v>226</v>
      </c>
      <c r="B31" s="47" t="s">
        <v>227</v>
      </c>
      <c r="C31" s="47">
        <v>657.0</v>
      </c>
      <c r="D31" s="47">
        <v>658.0</v>
      </c>
      <c r="E31" s="47">
        <v>20520.0</v>
      </c>
      <c r="F31" s="47" t="s">
        <v>11</v>
      </c>
    </row>
    <row r="32" ht="15.75" customHeight="1">
      <c r="A32" s="46" t="s">
        <v>232</v>
      </c>
      <c r="B32" s="47" t="s">
        <v>233</v>
      </c>
      <c r="C32" s="47">
        <v>253.0</v>
      </c>
      <c r="D32" s="47">
        <v>231.0</v>
      </c>
      <c r="E32" s="47">
        <v>21870.0</v>
      </c>
      <c r="F32" s="47" t="s">
        <v>11</v>
      </c>
    </row>
    <row r="33" ht="15.75" customHeight="1">
      <c r="A33" s="46" t="s">
        <v>238</v>
      </c>
      <c r="B33" s="47" t="s">
        <v>239</v>
      </c>
      <c r="C33" s="47">
        <v>105.0</v>
      </c>
      <c r="D33" s="47">
        <v>102.0</v>
      </c>
      <c r="E33" s="47">
        <v>27820.0</v>
      </c>
      <c r="F33" s="47" t="s">
        <v>11</v>
      </c>
    </row>
    <row r="34" ht="15.75" customHeight="1">
      <c r="A34" s="46" t="s">
        <v>240</v>
      </c>
      <c r="B34" s="47" t="s">
        <v>241</v>
      </c>
      <c r="C34" s="47">
        <v>118.0</v>
      </c>
      <c r="D34" s="47">
        <v>104.0</v>
      </c>
      <c r="E34" s="47">
        <v>26480.0</v>
      </c>
      <c r="F34" s="47" t="s">
        <v>11</v>
      </c>
    </row>
    <row r="35" ht="15.75" customHeight="1">
      <c r="A35" s="46" t="s">
        <v>242</v>
      </c>
      <c r="B35" s="47" t="s">
        <v>243</v>
      </c>
      <c r="C35" s="47">
        <v>279.0</v>
      </c>
      <c r="D35" s="47">
        <v>273.0</v>
      </c>
      <c r="E35" s="47">
        <v>24790.0</v>
      </c>
      <c r="F35" s="47" t="s">
        <v>11</v>
      </c>
    </row>
    <row r="36" ht="15.75" customHeight="1">
      <c r="A36" s="46" t="s">
        <v>244</v>
      </c>
      <c r="B36" s="47" t="s">
        <v>245</v>
      </c>
      <c r="C36" s="47">
        <v>82.0</v>
      </c>
      <c r="D36" s="47">
        <v>72.0</v>
      </c>
      <c r="E36" s="47" t="s">
        <v>11</v>
      </c>
      <c r="F36" s="47" t="s">
        <v>11</v>
      </c>
    </row>
    <row r="37" ht="15.75" customHeight="1">
      <c r="A37" s="46" t="s">
        <v>246</v>
      </c>
      <c r="B37" s="47" t="s">
        <v>247</v>
      </c>
      <c r="C37" s="47">
        <v>1422.0</v>
      </c>
      <c r="D37" s="47">
        <v>1348.0</v>
      </c>
      <c r="E37" s="47">
        <v>24480.0</v>
      </c>
      <c r="F37" s="47" t="s">
        <v>11</v>
      </c>
    </row>
    <row r="38" ht="15.75" customHeight="1">
      <c r="A38" s="46" t="s">
        <v>248</v>
      </c>
      <c r="B38" s="47" t="s">
        <v>249</v>
      </c>
      <c r="C38" s="47">
        <v>57.0</v>
      </c>
      <c r="D38" s="47">
        <v>62.0</v>
      </c>
      <c r="E38" s="47" t="s">
        <v>11</v>
      </c>
      <c r="F38" s="47" t="s">
        <v>11</v>
      </c>
    </row>
    <row r="39" ht="15.75" customHeight="1">
      <c r="A39" s="46" t="s">
        <v>250</v>
      </c>
      <c r="B39" s="47" t="s">
        <v>251</v>
      </c>
      <c r="C39" s="47">
        <v>169.0</v>
      </c>
      <c r="D39" s="47">
        <v>176.0</v>
      </c>
      <c r="E39" s="47">
        <v>21760.0</v>
      </c>
      <c r="F39" s="47" t="s">
        <v>11</v>
      </c>
    </row>
    <row r="40" ht="15.75" customHeight="1">
      <c r="A40" s="46" t="s">
        <v>252</v>
      </c>
      <c r="B40" s="47" t="s">
        <v>253</v>
      </c>
      <c r="C40" s="47">
        <v>178.0</v>
      </c>
      <c r="D40" s="47">
        <v>175.0</v>
      </c>
      <c r="E40" s="47">
        <v>23920.0</v>
      </c>
      <c r="F40" s="47" t="s">
        <v>11</v>
      </c>
    </row>
    <row r="41" ht="15.75" customHeight="1">
      <c r="A41" s="46" t="s">
        <v>256</v>
      </c>
      <c r="B41" s="47" t="s">
        <v>257</v>
      </c>
      <c r="C41" s="47">
        <v>814.0</v>
      </c>
      <c r="D41" s="47">
        <v>777.0</v>
      </c>
      <c r="E41" s="47">
        <v>25610.0</v>
      </c>
      <c r="F41" s="47" t="s">
        <v>11</v>
      </c>
    </row>
    <row r="42" ht="15.75" customHeight="1">
      <c r="A42" s="46" t="s">
        <v>258</v>
      </c>
      <c r="B42" s="47" t="s">
        <v>259</v>
      </c>
      <c r="C42" s="47">
        <v>389.0</v>
      </c>
      <c r="D42" s="47">
        <v>369.0</v>
      </c>
      <c r="E42" s="47">
        <v>27130.0</v>
      </c>
      <c r="F42" s="47" t="s">
        <v>11</v>
      </c>
    </row>
    <row r="43" ht="15.75" customHeight="1">
      <c r="A43" s="46" t="s">
        <v>260</v>
      </c>
      <c r="B43" s="47" t="s">
        <v>261</v>
      </c>
      <c r="C43" s="47">
        <v>69.0</v>
      </c>
      <c r="D43" s="47">
        <v>62.0</v>
      </c>
      <c r="E43" s="47" t="s">
        <v>11</v>
      </c>
      <c r="F43" s="47" t="s">
        <v>11</v>
      </c>
    </row>
    <row r="44" ht="15.75" customHeight="1">
      <c r="A44" s="46" t="s">
        <v>262</v>
      </c>
      <c r="B44" s="47" t="s">
        <v>263</v>
      </c>
      <c r="C44" s="47">
        <v>26.0</v>
      </c>
      <c r="D44" s="47">
        <v>26.0</v>
      </c>
      <c r="E44" s="47" t="s">
        <v>11</v>
      </c>
      <c r="F44" s="47" t="s">
        <v>11</v>
      </c>
    </row>
    <row r="45" ht="15.75" customHeight="1">
      <c r="A45" s="46" t="s">
        <v>264</v>
      </c>
      <c r="B45" s="47" t="s">
        <v>265</v>
      </c>
      <c r="C45" s="47">
        <v>555.0</v>
      </c>
      <c r="D45" s="47">
        <v>555.0</v>
      </c>
      <c r="E45" s="47">
        <v>25430.0</v>
      </c>
      <c r="F45" s="47" t="s">
        <v>11</v>
      </c>
    </row>
    <row r="46" ht="15.75" customHeight="1">
      <c r="A46" s="46" t="s">
        <v>266</v>
      </c>
      <c r="B46" s="47" t="s">
        <v>267</v>
      </c>
      <c r="C46" s="47">
        <v>114.0</v>
      </c>
      <c r="D46" s="47">
        <v>108.0</v>
      </c>
      <c r="E46" s="47">
        <v>26470.0</v>
      </c>
      <c r="F46" s="47" t="s">
        <v>11</v>
      </c>
    </row>
    <row r="47" ht="15.75" customHeight="1">
      <c r="A47" s="46" t="s">
        <v>269</v>
      </c>
      <c r="B47" s="47" t="s">
        <v>270</v>
      </c>
      <c r="C47" s="47">
        <v>134.0</v>
      </c>
      <c r="D47" s="47">
        <v>130.0</v>
      </c>
      <c r="E47" s="47">
        <v>27750.0</v>
      </c>
      <c r="F47" s="47" t="s">
        <v>11</v>
      </c>
    </row>
    <row r="48" ht="15.75" customHeight="1">
      <c r="A48" s="46" t="s">
        <v>271</v>
      </c>
      <c r="B48" s="47" t="s">
        <v>272</v>
      </c>
      <c r="C48" s="47">
        <v>740.0</v>
      </c>
      <c r="D48" s="47">
        <v>752.0</v>
      </c>
      <c r="E48" s="47">
        <v>26480.0</v>
      </c>
      <c r="F48" s="47" t="s">
        <v>11</v>
      </c>
    </row>
    <row r="49" ht="15.75" customHeight="1">
      <c r="A49" s="46" t="s">
        <v>274</v>
      </c>
      <c r="B49" s="47" t="s">
        <v>275</v>
      </c>
      <c r="C49" s="47">
        <v>330.0</v>
      </c>
      <c r="D49" s="47">
        <v>316.0</v>
      </c>
      <c r="E49" s="47">
        <v>24490.0</v>
      </c>
      <c r="F49" s="47" t="s">
        <v>11</v>
      </c>
    </row>
    <row r="50" ht="15.75" customHeight="1">
      <c r="A50" s="46" t="s">
        <v>279</v>
      </c>
      <c r="B50" s="47" t="s">
        <v>280</v>
      </c>
      <c r="C50" s="47">
        <v>384.0</v>
      </c>
      <c r="D50" s="47">
        <v>380.0</v>
      </c>
      <c r="E50" s="47">
        <v>29670.0</v>
      </c>
      <c r="F50" s="47" t="s">
        <v>11</v>
      </c>
    </row>
    <row r="51" ht="15.75" customHeight="1">
      <c r="A51" s="46" t="s">
        <v>281</v>
      </c>
      <c r="B51" s="47" t="s">
        <v>282</v>
      </c>
      <c r="C51" s="47">
        <v>139.0</v>
      </c>
      <c r="D51" s="47">
        <v>131.0</v>
      </c>
      <c r="E51" s="47">
        <v>25620.0</v>
      </c>
      <c r="F51" s="47" t="s">
        <v>11</v>
      </c>
    </row>
    <row r="52" ht="15.75" customHeight="1">
      <c r="A52" s="46" t="s">
        <v>283</v>
      </c>
      <c r="B52" s="47" t="s">
        <v>284</v>
      </c>
      <c r="C52" s="47">
        <v>570.0</v>
      </c>
      <c r="D52" s="47">
        <v>599.0</v>
      </c>
      <c r="E52" s="47">
        <v>28870.0</v>
      </c>
      <c r="F52" s="47" t="s">
        <v>11</v>
      </c>
    </row>
    <row r="53" ht="15.75" customHeight="1">
      <c r="A53" s="46" t="s">
        <v>286</v>
      </c>
      <c r="B53" s="47" t="s">
        <v>287</v>
      </c>
      <c r="C53" s="47">
        <v>538.0</v>
      </c>
      <c r="D53" s="47">
        <v>516.0</v>
      </c>
      <c r="E53" s="47">
        <v>27310.0</v>
      </c>
      <c r="F53" s="47" t="s">
        <v>11</v>
      </c>
    </row>
    <row r="54" ht="15.75" customHeight="1">
      <c r="A54" s="46" t="s">
        <v>288</v>
      </c>
      <c r="B54" s="47" t="s">
        <v>289</v>
      </c>
      <c r="C54" s="47">
        <v>92.0</v>
      </c>
      <c r="D54" s="47">
        <v>82.0</v>
      </c>
      <c r="E54" s="47" t="s">
        <v>11</v>
      </c>
      <c r="F54" s="47" t="s">
        <v>11</v>
      </c>
    </row>
    <row r="55" ht="15.75" customHeight="1">
      <c r="A55" s="46" t="s">
        <v>290</v>
      </c>
      <c r="B55" s="47" t="s">
        <v>291</v>
      </c>
      <c r="C55" s="47">
        <v>177.0</v>
      </c>
      <c r="D55" s="47">
        <v>168.0</v>
      </c>
      <c r="E55" s="47">
        <v>24770.0</v>
      </c>
      <c r="F55" s="47" t="s">
        <v>11</v>
      </c>
    </row>
    <row r="56" ht="15.75" customHeight="1">
      <c r="A56" s="46" t="s">
        <v>292</v>
      </c>
      <c r="B56" s="47" t="s">
        <v>293</v>
      </c>
      <c r="C56" s="47">
        <v>1424.0</v>
      </c>
      <c r="D56" s="47">
        <v>1281.0</v>
      </c>
      <c r="E56" s="47">
        <v>21310.0</v>
      </c>
      <c r="F56" s="47" t="s">
        <v>11</v>
      </c>
    </row>
    <row r="57" ht="15.75" customHeight="1">
      <c r="A57" s="46" t="s">
        <v>294</v>
      </c>
      <c r="B57" s="47" t="s">
        <v>295</v>
      </c>
      <c r="C57" s="47">
        <v>844.0</v>
      </c>
      <c r="D57" s="47">
        <v>794.0</v>
      </c>
      <c r="E57" s="47">
        <v>24450.0</v>
      </c>
      <c r="F57" s="47" t="s">
        <v>11</v>
      </c>
    </row>
    <row r="58" ht="15.75" customHeight="1">
      <c r="A58" s="46" t="s">
        <v>296</v>
      </c>
      <c r="B58" s="47" t="s">
        <v>297</v>
      </c>
      <c r="C58" s="47">
        <v>2699.0</v>
      </c>
      <c r="D58" s="47">
        <v>2579.0</v>
      </c>
      <c r="E58" s="47">
        <v>19790.0</v>
      </c>
      <c r="F58" s="47">
        <v>29.0</v>
      </c>
    </row>
    <row r="59" ht="15.75" customHeight="1">
      <c r="A59" s="46" t="s">
        <v>298</v>
      </c>
      <c r="B59" s="47" t="s">
        <v>299</v>
      </c>
      <c r="C59" s="47">
        <v>268.0</v>
      </c>
      <c r="D59" s="47">
        <v>263.0</v>
      </c>
      <c r="E59" s="47">
        <v>26390.0</v>
      </c>
      <c r="F59" s="47" t="s">
        <v>11</v>
      </c>
    </row>
    <row r="60" ht="15.75" customHeight="1">
      <c r="A60" s="46" t="s">
        <v>301</v>
      </c>
      <c r="B60" s="47" t="s">
        <v>302</v>
      </c>
      <c r="C60" s="47">
        <v>250.0</v>
      </c>
      <c r="D60" s="47">
        <v>268.0</v>
      </c>
      <c r="E60" s="47">
        <v>23230.0</v>
      </c>
      <c r="F60" s="47" t="s">
        <v>11</v>
      </c>
    </row>
    <row r="61" ht="15.75" customHeight="1">
      <c r="A61" s="46" t="s">
        <v>303</v>
      </c>
      <c r="B61" s="47" t="s">
        <v>304</v>
      </c>
      <c r="C61" s="47">
        <v>136.0</v>
      </c>
      <c r="D61" s="47">
        <v>131.0</v>
      </c>
      <c r="E61" s="47">
        <v>29840.0</v>
      </c>
      <c r="F61" s="47" t="s">
        <v>11</v>
      </c>
    </row>
    <row r="62" ht="15.75" customHeight="1">
      <c r="A62" s="46" t="s">
        <v>305</v>
      </c>
      <c r="B62" s="47" t="s">
        <v>306</v>
      </c>
      <c r="C62" s="47">
        <v>381.0</v>
      </c>
      <c r="D62" s="47">
        <v>378.0</v>
      </c>
      <c r="E62" s="47">
        <v>24840.0</v>
      </c>
      <c r="F62" s="47" t="s">
        <v>11</v>
      </c>
    </row>
    <row r="63" ht="15.75" customHeight="1">
      <c r="A63" s="46" t="s">
        <v>307</v>
      </c>
      <c r="B63" s="47" t="s">
        <v>308</v>
      </c>
      <c r="C63" s="47">
        <v>3810.0</v>
      </c>
      <c r="D63" s="47">
        <v>3659.0</v>
      </c>
      <c r="E63" s="47">
        <v>22680.0</v>
      </c>
      <c r="F63" s="47">
        <v>19.0</v>
      </c>
    </row>
    <row r="64" ht="15.75" customHeight="1">
      <c r="A64" s="46" t="s">
        <v>309</v>
      </c>
      <c r="B64" s="47" t="s">
        <v>310</v>
      </c>
      <c r="C64" s="47">
        <v>602.0</v>
      </c>
      <c r="D64" s="47">
        <v>560.0</v>
      </c>
      <c r="E64" s="47">
        <v>22400.0</v>
      </c>
      <c r="F64" s="47" t="s">
        <v>11</v>
      </c>
    </row>
    <row r="65" ht="15.75" customHeight="1">
      <c r="A65" s="46" t="s">
        <v>311</v>
      </c>
      <c r="B65" s="47" t="s">
        <v>313</v>
      </c>
      <c r="C65" s="47">
        <v>204.0</v>
      </c>
      <c r="D65" s="47">
        <v>191.0</v>
      </c>
      <c r="E65" s="47">
        <v>25700.0</v>
      </c>
      <c r="F65" s="47" t="s">
        <v>11</v>
      </c>
    </row>
    <row r="66" ht="15.75" customHeight="1">
      <c r="A66" s="46" t="s">
        <v>314</v>
      </c>
      <c r="B66" s="47" t="s">
        <v>315</v>
      </c>
      <c r="C66" s="47">
        <v>213.0</v>
      </c>
      <c r="D66" s="47">
        <v>205.0</v>
      </c>
      <c r="E66" s="47">
        <v>24670.0</v>
      </c>
      <c r="F66" s="47" t="s">
        <v>11</v>
      </c>
    </row>
    <row r="67" ht="15.75" customHeight="1">
      <c r="A67" s="46" t="s">
        <v>316</v>
      </c>
      <c r="B67" s="47" t="s">
        <v>317</v>
      </c>
      <c r="C67" s="47">
        <v>103.0</v>
      </c>
      <c r="D67" s="47">
        <v>85.0</v>
      </c>
      <c r="E67" s="47" t="s">
        <v>11</v>
      </c>
      <c r="F67" s="47" t="s">
        <v>11</v>
      </c>
    </row>
    <row r="68" ht="15.75" customHeight="1">
      <c r="A68" s="46" t="s">
        <v>318</v>
      </c>
      <c r="B68" s="47" t="s">
        <v>319</v>
      </c>
      <c r="C68" s="47">
        <v>111.0</v>
      </c>
      <c r="D68" s="47">
        <v>104.0</v>
      </c>
      <c r="E68" s="47" t="s">
        <v>11</v>
      </c>
      <c r="F68" s="47" t="s">
        <v>11</v>
      </c>
    </row>
    <row r="69" ht="15.75" customHeight="1">
      <c r="A69" s="46" t="s">
        <v>320</v>
      </c>
      <c r="B69" s="47" t="s">
        <v>321</v>
      </c>
      <c r="C69" s="47">
        <v>452.0</v>
      </c>
      <c r="D69" s="47">
        <v>431.0</v>
      </c>
      <c r="E69" s="47">
        <v>24430.0</v>
      </c>
      <c r="F69" s="47" t="s">
        <v>11</v>
      </c>
    </row>
    <row r="70" ht="15.75" customHeight="1">
      <c r="A70" s="46" t="s">
        <v>322</v>
      </c>
      <c r="B70" s="47" t="s">
        <v>324</v>
      </c>
      <c r="C70" s="47">
        <v>651.0</v>
      </c>
      <c r="D70" s="47">
        <v>631.0</v>
      </c>
      <c r="E70" s="47">
        <v>27780.0</v>
      </c>
      <c r="F70" s="47" t="s">
        <v>11</v>
      </c>
    </row>
    <row r="71" ht="15.75" customHeight="1">
      <c r="A71" s="46" t="s">
        <v>326</v>
      </c>
      <c r="B71" s="47" t="s">
        <v>327</v>
      </c>
      <c r="C71" s="47">
        <v>188.0</v>
      </c>
      <c r="D71" s="47">
        <v>178.0</v>
      </c>
      <c r="E71" s="47">
        <v>28150.0</v>
      </c>
      <c r="F71" s="47" t="s">
        <v>11</v>
      </c>
    </row>
    <row r="72" ht="15.75" customHeight="1">
      <c r="A72" s="46" t="s">
        <v>329</v>
      </c>
      <c r="B72" s="47" t="s">
        <v>330</v>
      </c>
      <c r="C72" s="47">
        <v>653.0</v>
      </c>
      <c r="D72" s="47">
        <v>722.0</v>
      </c>
      <c r="E72" s="47">
        <v>24880.0</v>
      </c>
      <c r="F72" s="47" t="s">
        <v>11</v>
      </c>
    </row>
    <row r="73" ht="15.75" customHeight="1">
      <c r="A73" s="46" t="s">
        <v>331</v>
      </c>
      <c r="B73" s="47" t="s">
        <v>332</v>
      </c>
      <c r="C73" s="47">
        <v>604.0</v>
      </c>
      <c r="D73" s="47">
        <v>601.0</v>
      </c>
      <c r="E73" s="47">
        <v>25070.0</v>
      </c>
      <c r="F73" s="47" t="s">
        <v>11</v>
      </c>
    </row>
    <row r="74" ht="15.75" customHeight="1">
      <c r="A74" s="46" t="s">
        <v>334</v>
      </c>
      <c r="B74" s="47" t="s">
        <v>335</v>
      </c>
      <c r="C74" s="47">
        <v>199.0</v>
      </c>
      <c r="D74" s="47">
        <v>203.0</v>
      </c>
      <c r="E74" s="47">
        <v>25930.0</v>
      </c>
      <c r="F74" s="47" t="s">
        <v>11</v>
      </c>
    </row>
    <row r="75" ht="15.75" customHeight="1">
      <c r="A75" s="46" t="s">
        <v>336</v>
      </c>
      <c r="B75" s="47" t="s">
        <v>337</v>
      </c>
      <c r="C75" s="47">
        <v>162.0</v>
      </c>
      <c r="D75" s="47">
        <v>159.0</v>
      </c>
      <c r="E75" s="47">
        <v>30200.0</v>
      </c>
      <c r="F75" s="47" t="s">
        <v>11</v>
      </c>
    </row>
    <row r="76" ht="15.75" customHeight="1">
      <c r="A76" s="46" t="s">
        <v>339</v>
      </c>
      <c r="B76" s="47" t="s">
        <v>340</v>
      </c>
      <c r="C76" s="47">
        <v>160.0</v>
      </c>
      <c r="D76" s="47">
        <v>166.0</v>
      </c>
      <c r="E76" s="47">
        <v>25090.0</v>
      </c>
      <c r="F76" s="47" t="s">
        <v>11</v>
      </c>
    </row>
    <row r="77" ht="15.75" customHeight="1">
      <c r="A77" s="46" t="s">
        <v>342</v>
      </c>
      <c r="B77" s="47" t="s">
        <v>343</v>
      </c>
      <c r="C77" s="47">
        <v>152.0</v>
      </c>
      <c r="D77" s="47">
        <v>132.0</v>
      </c>
      <c r="E77" s="47">
        <v>22520.0</v>
      </c>
      <c r="F77" s="47" t="s">
        <v>11</v>
      </c>
    </row>
    <row r="78" ht="15.75" customHeight="1">
      <c r="A78" s="46" t="s">
        <v>344</v>
      </c>
      <c r="B78" s="47" t="s">
        <v>345</v>
      </c>
      <c r="C78" s="47">
        <v>350.0</v>
      </c>
      <c r="D78" s="47">
        <v>309.0</v>
      </c>
      <c r="E78" s="47">
        <v>28770.0</v>
      </c>
      <c r="F78" s="47" t="s">
        <v>11</v>
      </c>
    </row>
    <row r="79" ht="15.75" customHeight="1">
      <c r="A79" s="46" t="s">
        <v>347</v>
      </c>
      <c r="B79" s="47" t="s">
        <v>348</v>
      </c>
      <c r="C79" s="47">
        <v>440.0</v>
      </c>
      <c r="D79" s="47">
        <v>421.0</v>
      </c>
      <c r="E79" s="47">
        <v>27460.0</v>
      </c>
      <c r="F79" s="47" t="s">
        <v>11</v>
      </c>
    </row>
    <row r="80" ht="15.75" customHeight="1">
      <c r="A80" s="46" t="s">
        <v>350</v>
      </c>
      <c r="B80" s="47" t="s">
        <v>351</v>
      </c>
      <c r="C80" s="47">
        <v>111.0</v>
      </c>
      <c r="D80" s="47">
        <v>120.0</v>
      </c>
      <c r="E80" s="47">
        <v>27560.0</v>
      </c>
      <c r="F80" s="47" t="s">
        <v>11</v>
      </c>
    </row>
    <row r="81" ht="15.75" customHeight="1">
      <c r="A81" s="46" t="s">
        <v>352</v>
      </c>
      <c r="B81" s="47" t="s">
        <v>353</v>
      </c>
      <c r="C81" s="47">
        <v>749.0</v>
      </c>
      <c r="D81" s="47">
        <v>736.0</v>
      </c>
      <c r="E81" s="47">
        <v>26620.0</v>
      </c>
      <c r="F81" s="47" t="s">
        <v>11</v>
      </c>
    </row>
    <row r="82" ht="15.75" customHeight="1">
      <c r="A82" s="46" t="s">
        <v>355</v>
      </c>
      <c r="B82" s="47" t="s">
        <v>356</v>
      </c>
      <c r="C82" s="47">
        <v>260.0</v>
      </c>
      <c r="D82" s="47">
        <v>248.0</v>
      </c>
      <c r="E82" s="47">
        <v>27910.0</v>
      </c>
      <c r="F82" s="47" t="s">
        <v>11</v>
      </c>
    </row>
    <row r="83" ht="15.75" customHeight="1">
      <c r="A83" s="46" t="s">
        <v>358</v>
      </c>
      <c r="B83" s="47" t="s">
        <v>359</v>
      </c>
      <c r="C83" s="47">
        <v>1043.0</v>
      </c>
      <c r="D83" s="47">
        <v>991.0</v>
      </c>
      <c r="E83" s="47">
        <v>26190.0</v>
      </c>
      <c r="F83" s="47" t="s">
        <v>11</v>
      </c>
    </row>
    <row r="84" ht="15.75" customHeight="1">
      <c r="A84" s="46" t="s">
        <v>361</v>
      </c>
      <c r="B84" s="47" t="s">
        <v>362</v>
      </c>
      <c r="C84" s="47">
        <v>1048.0</v>
      </c>
      <c r="D84" s="47">
        <v>979.0</v>
      </c>
      <c r="E84" s="47">
        <v>25140.0</v>
      </c>
      <c r="F84" s="47" t="s">
        <v>11</v>
      </c>
    </row>
    <row r="85" ht="15.75" customHeight="1">
      <c r="A85" s="46" t="s">
        <v>364</v>
      </c>
      <c r="B85" s="47" t="s">
        <v>365</v>
      </c>
      <c r="C85" s="47">
        <v>30.0</v>
      </c>
      <c r="D85" s="47">
        <v>31.0</v>
      </c>
      <c r="E85" s="47" t="s">
        <v>11</v>
      </c>
      <c r="F85" s="47" t="s">
        <v>11</v>
      </c>
    </row>
    <row r="86" ht="15.75" customHeight="1">
      <c r="A86" s="46" t="s">
        <v>367</v>
      </c>
      <c r="B86" s="47" t="s">
        <v>368</v>
      </c>
      <c r="C86" s="47">
        <v>88.0</v>
      </c>
      <c r="D86" s="47">
        <v>80.0</v>
      </c>
      <c r="E86" s="47" t="s">
        <v>11</v>
      </c>
      <c r="F86" s="47" t="s">
        <v>11</v>
      </c>
    </row>
    <row r="87" ht="15.75" customHeight="1">
      <c r="A87" s="46" t="s">
        <v>369</v>
      </c>
      <c r="B87" s="47" t="s">
        <v>370</v>
      </c>
      <c r="C87" s="47">
        <v>1154.0</v>
      </c>
      <c r="D87" s="47">
        <v>1130.0</v>
      </c>
      <c r="E87" s="47">
        <v>25940.0</v>
      </c>
      <c r="F87" s="47" t="s">
        <v>11</v>
      </c>
    </row>
    <row r="88" ht="15.75" customHeight="1">
      <c r="A88" s="46" t="s">
        <v>372</v>
      </c>
      <c r="B88" s="47" t="s">
        <v>373</v>
      </c>
      <c r="C88" s="47">
        <v>213.0</v>
      </c>
      <c r="D88" s="47">
        <v>194.0</v>
      </c>
      <c r="E88" s="47">
        <v>26790.0</v>
      </c>
      <c r="F88" s="47" t="s">
        <v>11</v>
      </c>
    </row>
    <row r="89" ht="15.75" customHeight="1">
      <c r="A89" s="46" t="s">
        <v>375</v>
      </c>
      <c r="B89" s="47" t="s">
        <v>376</v>
      </c>
      <c r="C89" s="47">
        <v>106.0</v>
      </c>
      <c r="D89" s="47">
        <v>98.0</v>
      </c>
      <c r="E89" s="47">
        <v>26730.0</v>
      </c>
      <c r="F89" s="47" t="s">
        <v>11</v>
      </c>
    </row>
    <row r="90" ht="15.75" customHeight="1">
      <c r="A90" s="46" t="s">
        <v>378</v>
      </c>
      <c r="B90" s="47" t="s">
        <v>379</v>
      </c>
      <c r="C90" s="47">
        <v>1290.0</v>
      </c>
      <c r="D90" s="47">
        <v>1162.0</v>
      </c>
      <c r="E90" s="47">
        <v>22560.0</v>
      </c>
      <c r="F90" s="47" t="s">
        <v>11</v>
      </c>
    </row>
    <row r="91" ht="15.75" customHeight="1">
      <c r="A91" s="46" t="s">
        <v>381</v>
      </c>
      <c r="B91" s="47" t="s">
        <v>382</v>
      </c>
      <c r="C91" s="47">
        <v>447.0</v>
      </c>
      <c r="D91" s="47">
        <v>474.0</v>
      </c>
      <c r="E91" s="47">
        <v>28400.0</v>
      </c>
      <c r="F91" s="47" t="s">
        <v>11</v>
      </c>
    </row>
    <row r="92" ht="15.75" customHeight="1">
      <c r="A92" s="46" t="s">
        <v>383</v>
      </c>
      <c r="B92" s="47" t="s">
        <v>384</v>
      </c>
      <c r="C92" s="47">
        <v>5664.0</v>
      </c>
      <c r="D92" s="47">
        <v>5605.0</v>
      </c>
      <c r="E92" s="47">
        <v>17770.0</v>
      </c>
      <c r="F92" s="47">
        <v>39.0</v>
      </c>
    </row>
    <row r="93" ht="15.75" customHeight="1">
      <c r="A93" s="46" t="s">
        <v>385</v>
      </c>
      <c r="B93" s="47" t="s">
        <v>386</v>
      </c>
      <c r="C93" s="47">
        <v>201.0</v>
      </c>
      <c r="D93" s="47">
        <v>187.0</v>
      </c>
      <c r="E93" s="47">
        <v>24700.0</v>
      </c>
      <c r="F93" s="47" t="s">
        <v>11</v>
      </c>
    </row>
    <row r="94" ht="15.75" customHeight="1">
      <c r="A94" s="46" t="s">
        <v>388</v>
      </c>
      <c r="B94" s="47" t="s">
        <v>389</v>
      </c>
      <c r="C94" s="47">
        <v>259.0</v>
      </c>
      <c r="D94" s="47">
        <v>272.0</v>
      </c>
      <c r="E94" s="47">
        <v>22700.0</v>
      </c>
      <c r="F94" s="47" t="s">
        <v>11</v>
      </c>
    </row>
    <row r="95" ht="15.75" customHeight="1">
      <c r="A95" s="46" t="s">
        <v>391</v>
      </c>
      <c r="B95" s="47" t="s">
        <v>392</v>
      </c>
      <c r="C95" s="47">
        <v>375.0</v>
      </c>
      <c r="D95" s="47">
        <v>375.0</v>
      </c>
      <c r="E95" s="47">
        <v>30380.0</v>
      </c>
      <c r="F95" s="47" t="s">
        <v>11</v>
      </c>
    </row>
    <row r="96" ht="15.75" customHeight="1">
      <c r="A96" s="46" t="s">
        <v>393</v>
      </c>
      <c r="B96" s="47" t="s">
        <v>394</v>
      </c>
      <c r="C96" s="47">
        <v>236.0</v>
      </c>
      <c r="D96" s="47">
        <v>212.0</v>
      </c>
      <c r="E96" s="47">
        <v>27020.0</v>
      </c>
      <c r="F96" s="47" t="s">
        <v>11</v>
      </c>
    </row>
    <row r="97" ht="15.75" customHeight="1">
      <c r="A97" s="46" t="s">
        <v>395</v>
      </c>
      <c r="B97" s="47" t="s">
        <v>397</v>
      </c>
      <c r="C97" s="47">
        <v>137.0</v>
      </c>
      <c r="D97" s="47">
        <v>137.0</v>
      </c>
      <c r="E97" s="47">
        <v>24390.0</v>
      </c>
      <c r="F97" s="47" t="s">
        <v>11</v>
      </c>
    </row>
    <row r="98" ht="15.75" customHeight="1">
      <c r="A98" s="46" t="s">
        <v>398</v>
      </c>
      <c r="B98" s="47" t="s">
        <v>399</v>
      </c>
      <c r="C98" s="47">
        <v>193.0</v>
      </c>
      <c r="D98" s="47">
        <v>170.0</v>
      </c>
      <c r="E98" s="47">
        <v>22910.0</v>
      </c>
      <c r="F98" s="47" t="s">
        <v>11</v>
      </c>
    </row>
    <row r="99" ht="15.75" customHeight="1">
      <c r="A99" s="46" t="s">
        <v>401</v>
      </c>
      <c r="B99" s="47" t="s">
        <v>403</v>
      </c>
      <c r="C99" s="47">
        <v>187.0</v>
      </c>
      <c r="D99" s="47">
        <v>181.0</v>
      </c>
      <c r="E99" s="47">
        <v>25270.0</v>
      </c>
      <c r="F99" s="47" t="s">
        <v>11</v>
      </c>
    </row>
    <row r="100" ht="15.75" customHeight="1">
      <c r="A100" s="46" t="s">
        <v>404</v>
      </c>
      <c r="B100" s="47" t="s">
        <v>405</v>
      </c>
      <c r="C100" s="47">
        <v>1324.0</v>
      </c>
      <c r="D100" s="47">
        <v>1315.0</v>
      </c>
      <c r="E100" s="47">
        <v>23060.0</v>
      </c>
      <c r="F100" s="47" t="s">
        <v>11</v>
      </c>
    </row>
    <row r="101" ht="15.75" customHeight="1">
      <c r="A101" s="46" t="s">
        <v>407</v>
      </c>
      <c r="B101" s="47" t="s">
        <v>408</v>
      </c>
      <c r="C101" s="47">
        <v>102.0</v>
      </c>
      <c r="D101" s="47">
        <v>96.0</v>
      </c>
      <c r="E101" s="47" t="s">
        <v>11</v>
      </c>
      <c r="F101" s="47" t="s">
        <v>11</v>
      </c>
    </row>
    <row r="102" ht="15.75" customHeight="1">
      <c r="A102" s="46" t="s">
        <v>409</v>
      </c>
      <c r="B102" s="47" t="s">
        <v>410</v>
      </c>
      <c r="C102" s="47">
        <v>202.0</v>
      </c>
      <c r="D102" s="47">
        <v>183.0</v>
      </c>
      <c r="E102" s="47">
        <v>26000.0</v>
      </c>
      <c r="F102" s="47" t="s">
        <v>11</v>
      </c>
    </row>
    <row r="103" ht="15.75" customHeight="1">
      <c r="A103" s="46" t="s">
        <v>412</v>
      </c>
      <c r="B103" s="47" t="s">
        <v>413</v>
      </c>
      <c r="C103" s="47">
        <v>822.0</v>
      </c>
      <c r="D103" s="47">
        <v>809.0</v>
      </c>
      <c r="E103" s="47">
        <v>22750.0</v>
      </c>
      <c r="F103" s="47" t="s">
        <v>11</v>
      </c>
    </row>
    <row r="104" ht="15.75" customHeight="1">
      <c r="A104" s="46" t="s">
        <v>415</v>
      </c>
      <c r="B104" s="47" t="s">
        <v>416</v>
      </c>
      <c r="C104" s="47">
        <v>103.0</v>
      </c>
      <c r="D104" s="47">
        <v>104.0</v>
      </c>
      <c r="E104" s="47" t="s">
        <v>11</v>
      </c>
      <c r="F104" s="47" t="s">
        <v>11</v>
      </c>
    </row>
    <row r="105" ht="15.75" customHeight="1">
      <c r="A105" s="46" t="s">
        <v>418</v>
      </c>
      <c r="B105" s="47" t="s">
        <v>419</v>
      </c>
      <c r="C105" s="47">
        <v>158.0</v>
      </c>
      <c r="D105" s="47">
        <v>140.0</v>
      </c>
      <c r="E105" s="47">
        <v>28970.0</v>
      </c>
      <c r="F105" s="47" t="s">
        <v>11</v>
      </c>
    </row>
    <row r="106" ht="15.75" customHeight="1">
      <c r="A106" s="46" t="s">
        <v>421</v>
      </c>
      <c r="B106" s="47" t="s">
        <v>422</v>
      </c>
      <c r="C106" s="47">
        <v>486.0</v>
      </c>
      <c r="D106" s="47">
        <v>464.0</v>
      </c>
      <c r="E106" s="47">
        <v>23760.0</v>
      </c>
      <c r="F106" s="47" t="s">
        <v>11</v>
      </c>
    </row>
    <row r="107" ht="15.75" customHeight="1">
      <c r="A107" s="46" t="s">
        <v>423</v>
      </c>
      <c r="B107" s="47" t="s">
        <v>424</v>
      </c>
      <c r="C107" s="47">
        <v>2213.0</v>
      </c>
      <c r="D107" s="47">
        <v>2248.0</v>
      </c>
      <c r="E107" s="47">
        <v>22340.0</v>
      </c>
      <c r="F107" s="47">
        <v>22.0</v>
      </c>
    </row>
    <row r="108" ht="15.75" customHeight="1">
      <c r="A108" s="46" t="s">
        <v>425</v>
      </c>
      <c r="B108" s="47" t="s">
        <v>426</v>
      </c>
      <c r="C108" s="47">
        <v>708.0</v>
      </c>
      <c r="D108" s="47">
        <v>702.0</v>
      </c>
      <c r="E108" s="47">
        <v>26750.0</v>
      </c>
      <c r="F108" s="47" t="s">
        <v>11</v>
      </c>
    </row>
    <row r="109" ht="15.75" customHeight="1">
      <c r="A109" s="46" t="s">
        <v>428</v>
      </c>
      <c r="B109" s="47" t="s">
        <v>429</v>
      </c>
      <c r="C109" s="47">
        <v>565.0</v>
      </c>
      <c r="D109" s="47">
        <v>554.0</v>
      </c>
      <c r="E109" s="47">
        <v>25730.0</v>
      </c>
      <c r="F109" s="47" t="s">
        <v>11</v>
      </c>
    </row>
    <row r="110" ht="15.75" customHeight="1">
      <c r="A110" s="46" t="s">
        <v>431</v>
      </c>
      <c r="B110" s="47" t="s">
        <v>432</v>
      </c>
      <c r="C110" s="47">
        <v>1529.0</v>
      </c>
      <c r="D110" s="47">
        <v>1788.0</v>
      </c>
      <c r="E110" s="47">
        <v>24530.0</v>
      </c>
      <c r="F110" s="47" t="s">
        <v>11</v>
      </c>
    </row>
    <row r="111" ht="15.75" customHeight="1">
      <c r="A111" s="46" t="s">
        <v>433</v>
      </c>
      <c r="B111" s="47" t="s">
        <v>434</v>
      </c>
      <c r="C111" s="47">
        <v>203.0</v>
      </c>
      <c r="D111" s="47">
        <v>195.0</v>
      </c>
      <c r="E111" s="47">
        <v>26490.0</v>
      </c>
      <c r="F111" s="47" t="s">
        <v>11</v>
      </c>
    </row>
    <row r="112" ht="15.75" customHeight="1">
      <c r="A112" s="46" t="s">
        <v>436</v>
      </c>
      <c r="B112" s="47" t="s">
        <v>437</v>
      </c>
      <c r="C112" s="47">
        <v>146.0</v>
      </c>
      <c r="D112" s="47">
        <v>131.0</v>
      </c>
      <c r="E112" s="47">
        <v>24420.0</v>
      </c>
      <c r="F112" s="47" t="s">
        <v>11</v>
      </c>
    </row>
    <row r="113" ht="15.75" customHeight="1">
      <c r="A113" s="46" t="s">
        <v>439</v>
      </c>
      <c r="B113" s="47" t="s">
        <v>440</v>
      </c>
      <c r="C113" s="47">
        <v>67.0</v>
      </c>
      <c r="D113" s="47">
        <v>64.0</v>
      </c>
      <c r="E113" s="47" t="s">
        <v>11</v>
      </c>
      <c r="F113" s="47" t="s">
        <v>11</v>
      </c>
    </row>
    <row r="114" ht="15.75" customHeight="1">
      <c r="A114" s="46" t="s">
        <v>442</v>
      </c>
      <c r="B114" s="47" t="s">
        <v>443</v>
      </c>
      <c r="C114" s="47">
        <v>121.0</v>
      </c>
      <c r="D114" s="47">
        <v>129.0</v>
      </c>
      <c r="E114" s="47">
        <v>25490.0</v>
      </c>
      <c r="F114" s="47" t="s">
        <v>11</v>
      </c>
    </row>
    <row r="115" ht="15.75" customHeight="1">
      <c r="A115" s="46" t="s">
        <v>444</v>
      </c>
      <c r="B115" s="47" t="s">
        <v>445</v>
      </c>
      <c r="C115" s="47">
        <v>340.0</v>
      </c>
      <c r="D115" s="47">
        <v>317.0</v>
      </c>
      <c r="E115" s="47">
        <v>24510.0</v>
      </c>
      <c r="F115" s="47" t="s">
        <v>11</v>
      </c>
    </row>
    <row r="116" ht="15.75" customHeight="1">
      <c r="A116" s="46" t="s">
        <v>446</v>
      </c>
      <c r="B116" s="47" t="s">
        <v>448</v>
      </c>
      <c r="C116" s="47">
        <v>195.0</v>
      </c>
      <c r="D116" s="47">
        <v>193.0</v>
      </c>
      <c r="E116" s="47">
        <v>24490.0</v>
      </c>
      <c r="F116" s="47" t="s">
        <v>11</v>
      </c>
    </row>
    <row r="117" ht="15.75" customHeight="1">
      <c r="A117" s="46" t="s">
        <v>450</v>
      </c>
      <c r="B117" s="47" t="s">
        <v>451</v>
      </c>
      <c r="C117" s="47">
        <v>244.0</v>
      </c>
      <c r="D117" s="47">
        <v>210.0</v>
      </c>
      <c r="E117" s="47">
        <v>24150.0</v>
      </c>
      <c r="F117" s="47" t="s">
        <v>11</v>
      </c>
    </row>
    <row r="118" ht="15.75" customHeight="1">
      <c r="A118" s="46" t="s">
        <v>453</v>
      </c>
      <c r="B118" s="47" t="s">
        <v>454</v>
      </c>
      <c r="C118" s="47">
        <v>53.0</v>
      </c>
      <c r="D118" s="47">
        <v>55.0</v>
      </c>
      <c r="E118" s="47" t="s">
        <v>11</v>
      </c>
      <c r="F118" s="47" t="s">
        <v>11</v>
      </c>
    </row>
    <row r="119" ht="15.75" customHeight="1">
      <c r="A119" s="46" t="s">
        <v>455</v>
      </c>
      <c r="B119" s="47" t="s">
        <v>456</v>
      </c>
      <c r="C119" s="47">
        <v>303.0</v>
      </c>
      <c r="D119" s="47">
        <v>296.0</v>
      </c>
      <c r="E119" s="47">
        <v>25710.0</v>
      </c>
      <c r="F119" s="47" t="s">
        <v>11</v>
      </c>
    </row>
    <row r="120" ht="15.75" customHeight="1">
      <c r="A120" s="46" t="s">
        <v>458</v>
      </c>
      <c r="B120" s="47" t="s">
        <v>459</v>
      </c>
      <c r="C120" s="47">
        <v>653.0</v>
      </c>
      <c r="D120" s="47">
        <v>653.0</v>
      </c>
      <c r="E120" s="47">
        <v>24240.0</v>
      </c>
      <c r="F120" s="47" t="s">
        <v>11</v>
      </c>
    </row>
    <row r="121" ht="15.75" customHeight="1">
      <c r="A121" s="46" t="s">
        <v>461</v>
      </c>
      <c r="B121" s="47" t="s">
        <v>462</v>
      </c>
      <c r="C121" s="47">
        <v>213.0</v>
      </c>
      <c r="D121" s="47">
        <v>175.0</v>
      </c>
      <c r="E121" s="47">
        <v>27220.0</v>
      </c>
      <c r="F121" s="47" t="s">
        <v>11</v>
      </c>
    </row>
    <row r="122" ht="15.75" customHeight="1">
      <c r="A122" s="46" t="s">
        <v>464</v>
      </c>
      <c r="B122" s="47" t="s">
        <v>465</v>
      </c>
      <c r="C122" s="47">
        <v>456.0</v>
      </c>
      <c r="D122" s="47">
        <v>463.0</v>
      </c>
      <c r="E122" s="47">
        <v>19930.0</v>
      </c>
      <c r="F122" s="47" t="s">
        <v>11</v>
      </c>
    </row>
    <row r="123" ht="15.75" customHeight="1">
      <c r="A123" s="46" t="s">
        <v>466</v>
      </c>
      <c r="B123" s="47" t="s">
        <v>467</v>
      </c>
      <c r="C123" s="47">
        <v>189.0</v>
      </c>
      <c r="D123" s="47">
        <v>199.0</v>
      </c>
      <c r="E123" s="47">
        <v>24000.0</v>
      </c>
      <c r="F123" s="47" t="s">
        <v>11</v>
      </c>
    </row>
    <row r="124" ht="15.75" customHeight="1">
      <c r="A124" s="46" t="s">
        <v>468</v>
      </c>
      <c r="B124" s="47" t="s">
        <v>469</v>
      </c>
      <c r="C124" s="47">
        <v>1532.0</v>
      </c>
      <c r="D124" s="47">
        <v>1411.0</v>
      </c>
      <c r="E124" s="47">
        <v>27230.0</v>
      </c>
      <c r="F124" s="47" t="s">
        <v>11</v>
      </c>
    </row>
    <row r="125" ht="15.75" customHeight="1">
      <c r="A125" s="46" t="s">
        <v>471</v>
      </c>
      <c r="B125" s="47" t="s">
        <v>472</v>
      </c>
      <c r="C125" s="47">
        <v>19.0</v>
      </c>
      <c r="D125" s="47">
        <v>20.0</v>
      </c>
      <c r="E125" s="47" t="s">
        <v>11</v>
      </c>
      <c r="F125" s="47" t="s">
        <v>11</v>
      </c>
    </row>
    <row r="126" ht="15.75" customHeight="1">
      <c r="A126" s="46" t="s">
        <v>473</v>
      </c>
      <c r="B126" s="47" t="s">
        <v>474</v>
      </c>
      <c r="C126" s="47">
        <v>193.0</v>
      </c>
      <c r="D126" s="47">
        <v>204.0</v>
      </c>
      <c r="E126" s="47">
        <v>23700.0</v>
      </c>
      <c r="F126" s="47" t="s">
        <v>11</v>
      </c>
    </row>
    <row r="127" ht="15.75" customHeight="1">
      <c r="A127" s="46" t="s">
        <v>476</v>
      </c>
      <c r="B127" s="47" t="s">
        <v>477</v>
      </c>
      <c r="C127" s="47">
        <v>1880.0</v>
      </c>
      <c r="D127" s="47">
        <v>1947.0</v>
      </c>
      <c r="E127" s="47">
        <v>26680.0</v>
      </c>
      <c r="F127" s="47" t="s">
        <v>11</v>
      </c>
    </row>
    <row r="128" ht="15.75" customHeight="1">
      <c r="A128" s="46" t="s">
        <v>478</v>
      </c>
      <c r="B128" s="47" t="s">
        <v>479</v>
      </c>
      <c r="C128" s="47">
        <v>203.0</v>
      </c>
      <c r="D128" s="47">
        <v>188.0</v>
      </c>
      <c r="E128" s="47">
        <v>27460.0</v>
      </c>
      <c r="F128" s="47" t="s">
        <v>11</v>
      </c>
    </row>
    <row r="129" ht="15.75" customHeight="1">
      <c r="A129" s="46" t="s">
        <v>480</v>
      </c>
      <c r="B129" s="47" t="s">
        <v>481</v>
      </c>
      <c r="C129" s="47">
        <v>411.0</v>
      </c>
      <c r="D129" s="47">
        <v>410.0</v>
      </c>
      <c r="E129" s="47">
        <v>21950.0</v>
      </c>
      <c r="F129" s="47" t="s">
        <v>11</v>
      </c>
    </row>
    <row r="130" ht="15.75" customHeight="1">
      <c r="A130" s="46" t="s">
        <v>483</v>
      </c>
      <c r="B130" s="47" t="s">
        <v>484</v>
      </c>
      <c r="C130" s="47">
        <v>869.0</v>
      </c>
      <c r="D130" s="47">
        <v>795.0</v>
      </c>
      <c r="E130" s="47">
        <v>23420.0</v>
      </c>
      <c r="F130" s="47" t="s">
        <v>11</v>
      </c>
    </row>
    <row r="131" ht="15.75" customHeight="1">
      <c r="A131" s="46" t="s">
        <v>486</v>
      </c>
      <c r="B131" s="47" t="s">
        <v>487</v>
      </c>
      <c r="C131" s="47">
        <v>1168.0</v>
      </c>
      <c r="D131" s="47">
        <v>1122.0</v>
      </c>
      <c r="E131" s="47">
        <v>21550.0</v>
      </c>
      <c r="F131" s="47" t="s">
        <v>11</v>
      </c>
    </row>
    <row r="132" ht="15.75" customHeight="1">
      <c r="A132" s="46" t="s">
        <v>489</v>
      </c>
      <c r="B132" s="47" t="s">
        <v>490</v>
      </c>
      <c r="C132" s="47">
        <v>128.0</v>
      </c>
      <c r="D132" s="47">
        <v>123.0</v>
      </c>
      <c r="E132" s="47">
        <v>26700.0</v>
      </c>
      <c r="F132" s="47" t="s">
        <v>11</v>
      </c>
    </row>
    <row r="133" ht="15.75" customHeight="1">
      <c r="A133" s="46" t="s">
        <v>492</v>
      </c>
      <c r="B133" s="47" t="s">
        <v>493</v>
      </c>
      <c r="C133" s="47">
        <v>152.0</v>
      </c>
      <c r="D133" s="47">
        <v>126.0</v>
      </c>
      <c r="E133" s="47">
        <v>24800.0</v>
      </c>
      <c r="F133" s="47" t="s">
        <v>11</v>
      </c>
    </row>
    <row r="134" ht="15.75" customHeight="1">
      <c r="A134" s="46" t="s">
        <v>495</v>
      </c>
      <c r="B134" s="47" t="s">
        <v>496</v>
      </c>
      <c r="C134" s="47">
        <v>190.0</v>
      </c>
      <c r="D134" s="47">
        <v>175.0</v>
      </c>
      <c r="E134" s="47">
        <v>27850.0</v>
      </c>
      <c r="F134" s="47" t="s">
        <v>11</v>
      </c>
    </row>
    <row r="135" ht="15.75" customHeight="1">
      <c r="A135" s="46" t="s">
        <v>497</v>
      </c>
      <c r="B135" s="47" t="s">
        <v>498</v>
      </c>
      <c r="C135" s="47">
        <v>438.0</v>
      </c>
      <c r="D135" s="47">
        <v>459.0</v>
      </c>
      <c r="E135" s="47">
        <v>26040.0</v>
      </c>
      <c r="F135" s="47" t="s">
        <v>11</v>
      </c>
    </row>
    <row r="136" ht="15.75" customHeight="1">
      <c r="A136" s="46" t="s">
        <v>500</v>
      </c>
      <c r="B136" s="47" t="s">
        <v>502</v>
      </c>
      <c r="C136" s="47">
        <v>454.0</v>
      </c>
      <c r="D136" s="47">
        <v>426.0</v>
      </c>
      <c r="E136" s="47">
        <v>23350.0</v>
      </c>
      <c r="F136" s="47" t="s">
        <v>11</v>
      </c>
    </row>
    <row r="137" ht="15.75" customHeight="1">
      <c r="A137" s="46" t="s">
        <v>503</v>
      </c>
      <c r="B137" s="47" t="s">
        <v>505</v>
      </c>
      <c r="C137" s="47">
        <v>1788.0</v>
      </c>
      <c r="D137" s="47">
        <v>1745.0</v>
      </c>
      <c r="E137" s="47">
        <v>20000.0</v>
      </c>
      <c r="F137" s="47" t="s">
        <v>11</v>
      </c>
    </row>
    <row r="138" ht="15.75" customHeight="1">
      <c r="A138" s="46" t="s">
        <v>506</v>
      </c>
      <c r="B138" s="47" t="s">
        <v>507</v>
      </c>
      <c r="C138" s="47">
        <v>244.0</v>
      </c>
      <c r="D138" s="47">
        <v>246.0</v>
      </c>
      <c r="E138" s="47">
        <v>28870.0</v>
      </c>
      <c r="F138" s="47" t="s">
        <v>11</v>
      </c>
    </row>
    <row r="139" ht="15.75" customHeight="1">
      <c r="A139" s="46" t="s">
        <v>510</v>
      </c>
      <c r="B139" s="47" t="s">
        <v>511</v>
      </c>
      <c r="C139" s="47">
        <v>192.0</v>
      </c>
      <c r="D139" s="47">
        <v>186.0</v>
      </c>
      <c r="E139" s="47">
        <v>20950.0</v>
      </c>
      <c r="F139" s="47" t="s">
        <v>11</v>
      </c>
    </row>
    <row r="140" ht="15.75" customHeight="1">
      <c r="A140" s="46" t="s">
        <v>512</v>
      </c>
      <c r="B140" s="47" t="s">
        <v>513</v>
      </c>
      <c r="C140" s="47">
        <v>145.0</v>
      </c>
      <c r="D140" s="47">
        <v>143.0</v>
      </c>
      <c r="E140" s="47">
        <v>25980.0</v>
      </c>
      <c r="F140" s="47" t="s">
        <v>11</v>
      </c>
    </row>
    <row r="141" ht="15.75" customHeight="1">
      <c r="A141" s="46" t="s">
        <v>515</v>
      </c>
      <c r="B141" s="47" t="s">
        <v>516</v>
      </c>
      <c r="C141" s="47">
        <v>546.0</v>
      </c>
      <c r="D141" s="47">
        <v>547.0</v>
      </c>
      <c r="E141" s="47">
        <v>26260.0</v>
      </c>
      <c r="F141" s="47" t="s">
        <v>11</v>
      </c>
    </row>
    <row r="142" ht="15.75" customHeight="1">
      <c r="A142" s="46" t="s">
        <v>518</v>
      </c>
      <c r="B142" s="47" t="s">
        <v>519</v>
      </c>
      <c r="C142" s="47">
        <v>87.0</v>
      </c>
      <c r="D142" s="47">
        <v>88.0</v>
      </c>
      <c r="E142" s="47" t="s">
        <v>11</v>
      </c>
      <c r="F142" s="47" t="s">
        <v>11</v>
      </c>
    </row>
    <row r="143" ht="15.75" customHeight="1">
      <c r="A143" s="46" t="s">
        <v>520</v>
      </c>
      <c r="B143" s="47" t="s">
        <v>521</v>
      </c>
      <c r="C143" s="47">
        <v>258.0</v>
      </c>
      <c r="D143" s="47">
        <v>248.0</v>
      </c>
      <c r="E143" s="47">
        <v>26520.0</v>
      </c>
      <c r="F143" s="47" t="s">
        <v>11</v>
      </c>
    </row>
    <row r="144" ht="15.75" customHeight="1">
      <c r="A144" s="46" t="s">
        <v>522</v>
      </c>
      <c r="B144" s="47" t="s">
        <v>523</v>
      </c>
      <c r="C144" s="47">
        <v>67.0</v>
      </c>
      <c r="D144" s="47">
        <v>58.0</v>
      </c>
      <c r="E144" s="47" t="s">
        <v>11</v>
      </c>
      <c r="F144" s="47" t="s">
        <v>11</v>
      </c>
    </row>
    <row r="145" ht="15.75" customHeight="1">
      <c r="A145" s="46" t="s">
        <v>525</v>
      </c>
      <c r="B145" s="47" t="s">
        <v>526</v>
      </c>
      <c r="C145" s="47">
        <v>64.0</v>
      </c>
      <c r="D145" s="47">
        <v>63.0</v>
      </c>
      <c r="E145" s="47" t="s">
        <v>11</v>
      </c>
      <c r="F145" s="47" t="s">
        <v>11</v>
      </c>
    </row>
    <row r="146" ht="15.75" customHeight="1">
      <c r="A146" s="46" t="s">
        <v>528</v>
      </c>
      <c r="B146" s="47" t="s">
        <v>529</v>
      </c>
      <c r="C146" s="47">
        <v>115.0</v>
      </c>
      <c r="D146" s="47">
        <v>111.0</v>
      </c>
      <c r="E146" s="47">
        <v>31620.0</v>
      </c>
      <c r="F146" s="47" t="s">
        <v>11</v>
      </c>
    </row>
    <row r="147" ht="15.75" customHeight="1">
      <c r="A147" s="46" t="s">
        <v>531</v>
      </c>
      <c r="B147" s="47" t="s">
        <v>532</v>
      </c>
      <c r="C147" s="47">
        <v>89.0</v>
      </c>
      <c r="D147" s="47">
        <v>87.0</v>
      </c>
      <c r="E147" s="47" t="s">
        <v>11</v>
      </c>
      <c r="F147" s="47" t="s">
        <v>11</v>
      </c>
    </row>
    <row r="148" ht="15.75" customHeight="1">
      <c r="A148" s="46" t="s">
        <v>535</v>
      </c>
      <c r="B148" s="47" t="s">
        <v>536</v>
      </c>
      <c r="C148" s="47">
        <v>763.0</v>
      </c>
      <c r="D148" s="47">
        <v>801.0</v>
      </c>
      <c r="E148" s="47">
        <v>26320.0</v>
      </c>
      <c r="F148" s="47" t="s">
        <v>11</v>
      </c>
    </row>
    <row r="149" ht="15.75" customHeight="1">
      <c r="A149" s="46" t="s">
        <v>538</v>
      </c>
      <c r="B149" s="47" t="s">
        <v>539</v>
      </c>
      <c r="C149" s="47">
        <v>361.0</v>
      </c>
      <c r="D149" s="47">
        <v>375.0</v>
      </c>
      <c r="E149" s="47">
        <v>25180.0</v>
      </c>
      <c r="F149" s="47" t="s">
        <v>11</v>
      </c>
    </row>
    <row r="150" ht="15.75" customHeight="1">
      <c r="A150" s="46" t="s">
        <v>540</v>
      </c>
      <c r="B150" s="47" t="s">
        <v>541</v>
      </c>
      <c r="C150" s="47">
        <v>174.0</v>
      </c>
      <c r="D150" s="47">
        <v>201.0</v>
      </c>
      <c r="E150" s="47">
        <v>25640.0</v>
      </c>
      <c r="F150" s="47" t="s">
        <v>11</v>
      </c>
    </row>
    <row r="151" ht="15.75" customHeight="1">
      <c r="A151" s="46" t="s">
        <v>542</v>
      </c>
      <c r="B151" s="47" t="s">
        <v>543</v>
      </c>
      <c r="C151" s="47">
        <v>253.0</v>
      </c>
      <c r="D151" s="47">
        <v>234.0</v>
      </c>
      <c r="E151" s="47">
        <v>25520.0</v>
      </c>
      <c r="F151" s="47" t="s">
        <v>11</v>
      </c>
    </row>
    <row r="152" ht="15.75" customHeight="1">
      <c r="A152" s="46" t="s">
        <v>545</v>
      </c>
      <c r="B152" s="47" t="s">
        <v>546</v>
      </c>
      <c r="C152" s="47">
        <v>848.0</v>
      </c>
      <c r="D152" s="47">
        <v>827.0</v>
      </c>
      <c r="E152" s="47">
        <v>26100.0</v>
      </c>
      <c r="F152" s="47" t="s">
        <v>11</v>
      </c>
    </row>
    <row r="153" ht="15.75" customHeight="1">
      <c r="A153" s="46" t="s">
        <v>547</v>
      </c>
      <c r="B153" s="47" t="s">
        <v>548</v>
      </c>
      <c r="C153" s="47">
        <v>284.0</v>
      </c>
      <c r="D153" s="47">
        <v>272.0</v>
      </c>
      <c r="E153" s="47">
        <v>22560.0</v>
      </c>
      <c r="F153" s="47" t="s">
        <v>11</v>
      </c>
    </row>
    <row r="154" ht="15.75" customHeight="1">
      <c r="A154" s="46" t="s">
        <v>550</v>
      </c>
      <c r="B154" s="47" t="s">
        <v>551</v>
      </c>
      <c r="C154" s="47">
        <v>280.0</v>
      </c>
      <c r="D154" s="47">
        <v>313.0</v>
      </c>
      <c r="E154" s="47">
        <v>23240.0</v>
      </c>
      <c r="F154" s="47" t="s">
        <v>11</v>
      </c>
    </row>
    <row r="155" ht="15.75" customHeight="1">
      <c r="A155" s="46" t="s">
        <v>553</v>
      </c>
      <c r="B155" s="47" t="s">
        <v>554</v>
      </c>
      <c r="C155" s="47">
        <v>539.0</v>
      </c>
      <c r="D155" s="47">
        <v>495.0</v>
      </c>
      <c r="E155" s="47">
        <v>21950.0</v>
      </c>
      <c r="F155" s="47" t="s">
        <v>11</v>
      </c>
    </row>
    <row r="156" ht="15.75" customHeight="1">
      <c r="A156" s="46" t="s">
        <v>556</v>
      </c>
      <c r="B156" s="47" t="s">
        <v>557</v>
      </c>
      <c r="C156" s="47">
        <v>278.0</v>
      </c>
      <c r="D156" s="47">
        <v>301.0</v>
      </c>
      <c r="E156" s="47">
        <v>24250.0</v>
      </c>
      <c r="F156" s="47" t="s">
        <v>11</v>
      </c>
    </row>
    <row r="157" ht="15.75" customHeight="1">
      <c r="A157" s="46" t="s">
        <v>559</v>
      </c>
      <c r="B157" s="47" t="s">
        <v>560</v>
      </c>
      <c r="C157" s="47">
        <v>2617.0</v>
      </c>
      <c r="D157" s="47">
        <v>2594.0</v>
      </c>
      <c r="E157" s="47">
        <v>23580.0</v>
      </c>
      <c r="F157" s="47">
        <v>17.0</v>
      </c>
    </row>
    <row r="158" ht="15.75" customHeight="1">
      <c r="A158" s="46" t="s">
        <v>561</v>
      </c>
      <c r="B158" s="47" t="s">
        <v>562</v>
      </c>
      <c r="C158" s="47">
        <v>316.0</v>
      </c>
      <c r="D158" s="47">
        <v>323.0</v>
      </c>
      <c r="E158" s="47">
        <v>26240.0</v>
      </c>
      <c r="F158" s="47" t="s">
        <v>11</v>
      </c>
    </row>
    <row r="159" ht="15.75" customHeight="1">
      <c r="A159" s="46" t="s">
        <v>563</v>
      </c>
      <c r="B159" s="47" t="s">
        <v>564</v>
      </c>
      <c r="C159" s="47">
        <v>1652.0</v>
      </c>
      <c r="D159" s="47">
        <v>1568.0</v>
      </c>
      <c r="E159" s="47">
        <v>23480.0</v>
      </c>
      <c r="F159" s="47" t="s">
        <v>11</v>
      </c>
    </row>
    <row r="160" ht="15.75" customHeight="1">
      <c r="A160" s="46" t="s">
        <v>565</v>
      </c>
      <c r="B160" s="47" t="s">
        <v>566</v>
      </c>
      <c r="C160" s="47">
        <v>352.0</v>
      </c>
      <c r="D160" s="47">
        <v>361.0</v>
      </c>
      <c r="E160" s="47">
        <v>27350.0</v>
      </c>
      <c r="F160" s="47" t="s">
        <v>11</v>
      </c>
    </row>
    <row r="161" ht="15.75" customHeight="1">
      <c r="A161" s="46" t="s">
        <v>567</v>
      </c>
      <c r="B161" s="47" t="s">
        <v>568</v>
      </c>
      <c r="C161" s="47">
        <v>881.0</v>
      </c>
      <c r="D161" s="47">
        <v>895.0</v>
      </c>
      <c r="E161" s="47">
        <v>25530.0</v>
      </c>
      <c r="F161" s="47" t="s">
        <v>11</v>
      </c>
    </row>
    <row r="162" ht="15.75" customHeight="1">
      <c r="A162" s="46" t="s">
        <v>569</v>
      </c>
      <c r="B162" s="47" t="s">
        <v>570</v>
      </c>
      <c r="C162" s="47">
        <v>15107.0</v>
      </c>
      <c r="D162" s="47">
        <v>15097.0</v>
      </c>
      <c r="E162" s="47">
        <v>20900.0</v>
      </c>
      <c r="F162" s="47">
        <v>29.0</v>
      </c>
    </row>
    <row r="163" ht="15.75" customHeight="1">
      <c r="A163" s="46" t="s">
        <v>572</v>
      </c>
      <c r="B163" s="47" t="s">
        <v>573</v>
      </c>
      <c r="C163" s="47">
        <v>83.0</v>
      </c>
      <c r="D163" s="47">
        <v>83.0</v>
      </c>
      <c r="E163" s="47" t="s">
        <v>11</v>
      </c>
      <c r="F163" s="47" t="s">
        <v>11</v>
      </c>
    </row>
    <row r="164" ht="15.75" customHeight="1">
      <c r="A164" s="46" t="s">
        <v>574</v>
      </c>
      <c r="B164" s="47" t="s">
        <v>575</v>
      </c>
      <c r="C164" s="47">
        <v>127.0</v>
      </c>
      <c r="D164" s="47">
        <v>125.0</v>
      </c>
      <c r="E164" s="47">
        <v>24420.0</v>
      </c>
      <c r="F164" s="47" t="s">
        <v>11</v>
      </c>
    </row>
    <row r="165" ht="15.75" customHeight="1">
      <c r="A165" s="46" t="s">
        <v>576</v>
      </c>
      <c r="B165" s="47" t="s">
        <v>577</v>
      </c>
      <c r="C165" s="47">
        <v>87.0</v>
      </c>
      <c r="D165" s="47">
        <v>91.0</v>
      </c>
      <c r="E165" s="47" t="s">
        <v>11</v>
      </c>
      <c r="F165" s="47" t="s">
        <v>11</v>
      </c>
    </row>
    <row r="166" ht="15.75" customHeight="1">
      <c r="A166" s="46" t="s">
        <v>578</v>
      </c>
      <c r="B166" s="47" t="s">
        <v>579</v>
      </c>
      <c r="C166" s="47">
        <v>249.0</v>
      </c>
      <c r="D166" s="47">
        <v>238.0</v>
      </c>
      <c r="E166" s="47">
        <v>27640.0</v>
      </c>
      <c r="F166" s="47" t="s">
        <v>11</v>
      </c>
    </row>
    <row r="167" ht="15.75" customHeight="1">
      <c r="A167" s="46" t="s">
        <v>580</v>
      </c>
      <c r="B167" s="47" t="s">
        <v>581</v>
      </c>
      <c r="C167" s="47">
        <v>11878.0</v>
      </c>
      <c r="D167" s="47">
        <v>11596.0</v>
      </c>
      <c r="E167" s="47">
        <v>20410.0</v>
      </c>
      <c r="F167" s="47">
        <v>30.0</v>
      </c>
    </row>
    <row r="168" ht="15.75" customHeight="1">
      <c r="A168" s="46" t="s">
        <v>582</v>
      </c>
      <c r="B168" s="47" t="s">
        <v>583</v>
      </c>
      <c r="C168" s="47">
        <v>818.0</v>
      </c>
      <c r="D168" s="47">
        <v>859.0</v>
      </c>
      <c r="E168" s="47">
        <v>24800.0</v>
      </c>
      <c r="F168" s="47" t="s">
        <v>11</v>
      </c>
    </row>
    <row r="169" ht="15.75" customHeight="1">
      <c r="A169" s="46" t="s">
        <v>584</v>
      </c>
      <c r="B169" s="47" t="s">
        <v>585</v>
      </c>
      <c r="C169" s="47">
        <v>150.0</v>
      </c>
      <c r="D169" s="47">
        <v>153.0</v>
      </c>
      <c r="E169" s="47">
        <v>23630.0</v>
      </c>
      <c r="F169" s="47" t="s">
        <v>11</v>
      </c>
    </row>
    <row r="170" ht="15.75" customHeight="1">
      <c r="A170" s="46" t="s">
        <v>586</v>
      </c>
      <c r="B170" s="47" t="s">
        <v>587</v>
      </c>
      <c r="C170" s="47">
        <v>205.0</v>
      </c>
      <c r="D170" s="47">
        <v>214.0</v>
      </c>
      <c r="E170" s="47">
        <v>21990.0</v>
      </c>
      <c r="F170" s="47" t="s">
        <v>11</v>
      </c>
    </row>
    <row r="171" ht="15.75" customHeight="1">
      <c r="A171" s="46" t="s">
        <v>588</v>
      </c>
      <c r="B171" s="47" t="s">
        <v>589</v>
      </c>
      <c r="C171" s="47">
        <v>142.0</v>
      </c>
      <c r="D171" s="47">
        <v>147.0</v>
      </c>
      <c r="E171" s="47">
        <v>25730.0</v>
      </c>
      <c r="F171" s="47" t="s">
        <v>11</v>
      </c>
    </row>
    <row r="172" ht="15.75" customHeight="1">
      <c r="A172" s="46" t="s">
        <v>590</v>
      </c>
      <c r="B172" s="47" t="s">
        <v>591</v>
      </c>
      <c r="C172" s="47">
        <v>106.0</v>
      </c>
      <c r="D172" s="47">
        <v>127.0</v>
      </c>
      <c r="E172" s="47">
        <v>27400.0</v>
      </c>
      <c r="F172" s="47" t="s">
        <v>11</v>
      </c>
    </row>
    <row r="173" ht="15.75" customHeight="1">
      <c r="A173" s="46" t="s">
        <v>592</v>
      </c>
      <c r="B173" s="47" t="s">
        <v>593</v>
      </c>
      <c r="C173" s="47">
        <v>392.0</v>
      </c>
      <c r="D173" s="47">
        <v>378.0</v>
      </c>
      <c r="E173" s="47">
        <v>25530.0</v>
      </c>
      <c r="F173" s="47" t="s">
        <v>11</v>
      </c>
    </row>
    <row r="174" ht="15.75" customHeight="1">
      <c r="A174" s="46" t="s">
        <v>594</v>
      </c>
      <c r="B174" s="47" t="s">
        <v>595</v>
      </c>
      <c r="C174" s="47">
        <v>710.0</v>
      </c>
      <c r="D174" s="47">
        <v>742.0</v>
      </c>
      <c r="E174" s="47">
        <v>25400.0</v>
      </c>
      <c r="F174" s="47" t="s">
        <v>11</v>
      </c>
    </row>
    <row r="175" ht="15.75" customHeight="1">
      <c r="A175" s="46" t="s">
        <v>596</v>
      </c>
      <c r="B175" s="47" t="s">
        <v>597</v>
      </c>
      <c r="C175" s="47">
        <v>80.0</v>
      </c>
      <c r="D175" s="47">
        <v>98.0</v>
      </c>
      <c r="E175" s="47" t="s">
        <v>11</v>
      </c>
      <c r="F175" s="47" t="s">
        <v>11</v>
      </c>
    </row>
    <row r="176" ht="15.75" customHeight="1">
      <c r="A176" s="46" t="s">
        <v>598</v>
      </c>
      <c r="B176" s="47" t="s">
        <v>599</v>
      </c>
      <c r="C176" s="47">
        <v>125.0</v>
      </c>
      <c r="D176" s="47">
        <v>136.0</v>
      </c>
      <c r="E176" s="47">
        <v>21900.0</v>
      </c>
      <c r="F176" s="47" t="s">
        <v>11</v>
      </c>
    </row>
    <row r="177" ht="15.75" customHeight="1">
      <c r="A177" s="46" t="s">
        <v>600</v>
      </c>
      <c r="B177" s="47" t="s">
        <v>601</v>
      </c>
      <c r="C177" s="47">
        <v>187.0</v>
      </c>
      <c r="D177" s="47">
        <v>197.0</v>
      </c>
      <c r="E177" s="47">
        <v>28710.0</v>
      </c>
      <c r="F177" s="47" t="s">
        <v>11</v>
      </c>
    </row>
    <row r="178" ht="15.75" customHeight="1">
      <c r="A178" s="46" t="s">
        <v>602</v>
      </c>
      <c r="B178" s="47" t="s">
        <v>603</v>
      </c>
      <c r="C178" s="47">
        <v>355.0</v>
      </c>
      <c r="D178" s="47">
        <v>329.0</v>
      </c>
      <c r="E178" s="47">
        <v>24340.0</v>
      </c>
      <c r="F178" s="47" t="s">
        <v>11</v>
      </c>
    </row>
    <row r="179" ht="15.75" customHeight="1">
      <c r="A179" s="46" t="s">
        <v>604</v>
      </c>
      <c r="B179" s="47" t="s">
        <v>605</v>
      </c>
      <c r="C179" s="47">
        <v>404.0</v>
      </c>
      <c r="D179" s="47">
        <v>389.0</v>
      </c>
      <c r="E179" s="47">
        <v>24630.0</v>
      </c>
      <c r="F179" s="47" t="s">
        <v>11</v>
      </c>
    </row>
    <row r="180" ht="15.75" customHeight="1">
      <c r="A180" s="46" t="s">
        <v>606</v>
      </c>
      <c r="B180" s="47" t="s">
        <v>607</v>
      </c>
      <c r="C180" s="47">
        <v>1353.0</v>
      </c>
      <c r="D180" s="47">
        <v>1296.0</v>
      </c>
      <c r="E180" s="47">
        <v>27010.0</v>
      </c>
      <c r="F180" s="47" t="s">
        <v>11</v>
      </c>
    </row>
    <row r="181" ht="15.75" customHeight="1">
      <c r="A181" s="46" t="s">
        <v>608</v>
      </c>
      <c r="B181" s="47" t="s">
        <v>609</v>
      </c>
      <c r="C181" s="47">
        <v>1109.0</v>
      </c>
      <c r="D181" s="47">
        <v>1195.0</v>
      </c>
      <c r="E181" s="47">
        <v>26980.0</v>
      </c>
      <c r="F181" s="47" t="s">
        <v>11</v>
      </c>
    </row>
    <row r="182" ht="15.75" customHeight="1">
      <c r="A182" s="46" t="s">
        <v>610</v>
      </c>
      <c r="B182" s="47" t="s">
        <v>611</v>
      </c>
      <c r="C182" s="47">
        <v>149.0</v>
      </c>
      <c r="D182" s="47">
        <v>140.0</v>
      </c>
      <c r="E182" s="47">
        <v>24320.0</v>
      </c>
      <c r="F182" s="47" t="s">
        <v>11</v>
      </c>
    </row>
    <row r="183" ht="15.75" customHeight="1">
      <c r="A183" s="46" t="s">
        <v>612</v>
      </c>
      <c r="B183" s="47" t="s">
        <v>613</v>
      </c>
      <c r="C183" s="47">
        <v>362.0</v>
      </c>
      <c r="D183" s="47">
        <v>359.0</v>
      </c>
      <c r="E183" s="47">
        <v>22340.0</v>
      </c>
      <c r="F183" s="47" t="s">
        <v>11</v>
      </c>
    </row>
    <row r="184" ht="15.75" customHeight="1">
      <c r="A184" s="46" t="s">
        <v>614</v>
      </c>
      <c r="B184" s="47" t="s">
        <v>615</v>
      </c>
      <c r="C184" s="47">
        <v>530.0</v>
      </c>
      <c r="D184" s="47">
        <v>526.0</v>
      </c>
      <c r="E184" s="47">
        <v>25680.0</v>
      </c>
      <c r="F184" s="47" t="s">
        <v>11</v>
      </c>
    </row>
    <row r="185" ht="15.75" customHeight="1">
      <c r="A185" s="46" t="s">
        <v>616</v>
      </c>
      <c r="B185" s="47" t="s">
        <v>617</v>
      </c>
      <c r="C185" s="47">
        <v>510.0</v>
      </c>
      <c r="D185" s="47">
        <v>484.0</v>
      </c>
      <c r="E185" s="47">
        <v>26150.0</v>
      </c>
      <c r="F185" s="47" t="s">
        <v>11</v>
      </c>
    </row>
    <row r="186" ht="15.75" customHeight="1">
      <c r="A186" s="46" t="s">
        <v>618</v>
      </c>
      <c r="B186" s="47" t="s">
        <v>619</v>
      </c>
      <c r="C186" s="47">
        <v>370.0</v>
      </c>
      <c r="D186" s="47">
        <v>364.0</v>
      </c>
      <c r="E186" s="47">
        <v>26330.0</v>
      </c>
      <c r="F186" s="47" t="s">
        <v>11</v>
      </c>
    </row>
    <row r="187" ht="15.75" customHeight="1">
      <c r="A187" s="46" t="s">
        <v>620</v>
      </c>
      <c r="B187" s="47" t="s">
        <v>621</v>
      </c>
      <c r="C187" s="47">
        <v>66.0</v>
      </c>
      <c r="D187" s="47">
        <v>62.0</v>
      </c>
      <c r="E187" s="47" t="s">
        <v>11</v>
      </c>
      <c r="F187" s="47" t="s">
        <v>11</v>
      </c>
    </row>
    <row r="188" ht="15.75" customHeight="1">
      <c r="A188" s="46" t="s">
        <v>622</v>
      </c>
      <c r="B188" s="47" t="s">
        <v>623</v>
      </c>
      <c r="C188" s="47">
        <v>193.0</v>
      </c>
      <c r="D188" s="47">
        <v>173.0</v>
      </c>
      <c r="E188" s="47">
        <v>23520.0</v>
      </c>
      <c r="F188" s="47" t="s">
        <v>11</v>
      </c>
    </row>
    <row r="189" ht="15.75" customHeight="1">
      <c r="A189" s="46" t="s">
        <v>624</v>
      </c>
      <c r="B189" s="47" t="s">
        <v>625</v>
      </c>
      <c r="C189" s="47">
        <v>930.0</v>
      </c>
      <c r="D189" s="47">
        <v>882.0</v>
      </c>
      <c r="E189" s="47">
        <v>27650.0</v>
      </c>
      <c r="F189" s="47" t="s">
        <v>11</v>
      </c>
    </row>
    <row r="190" ht="15.75" customHeight="1">
      <c r="A190" s="46" t="s">
        <v>626</v>
      </c>
      <c r="B190" s="47" t="s">
        <v>627</v>
      </c>
      <c r="C190" s="47">
        <v>314.0</v>
      </c>
      <c r="D190" s="47">
        <v>289.0</v>
      </c>
      <c r="E190" s="47">
        <v>28110.0</v>
      </c>
      <c r="F190" s="47" t="s">
        <v>11</v>
      </c>
    </row>
    <row r="191" ht="15.75" customHeight="1">
      <c r="A191" s="46" t="s">
        <v>628</v>
      </c>
      <c r="B191" s="47" t="s">
        <v>629</v>
      </c>
      <c r="C191" s="47">
        <v>552.0</v>
      </c>
      <c r="D191" s="47">
        <v>509.0</v>
      </c>
      <c r="E191" s="47">
        <v>26280.0</v>
      </c>
      <c r="F191" s="47" t="s">
        <v>11</v>
      </c>
    </row>
    <row r="192" ht="15.75" customHeight="1">
      <c r="A192" s="46" t="s">
        <v>630</v>
      </c>
      <c r="B192" s="47" t="s">
        <v>631</v>
      </c>
      <c r="C192" s="47">
        <v>228.0</v>
      </c>
      <c r="D192" s="47">
        <v>243.0</v>
      </c>
      <c r="E192" s="47">
        <v>26610.0</v>
      </c>
      <c r="F192" s="47" t="s">
        <v>11</v>
      </c>
    </row>
    <row r="193" ht="15.75" customHeight="1">
      <c r="A193" s="46" t="s">
        <v>632</v>
      </c>
      <c r="B193" s="47" t="s">
        <v>633</v>
      </c>
      <c r="C193" s="47">
        <v>635.0</v>
      </c>
      <c r="D193" s="47">
        <v>589.0</v>
      </c>
      <c r="E193" s="47">
        <v>24220.0</v>
      </c>
      <c r="F193" s="47" t="s">
        <v>11</v>
      </c>
    </row>
    <row r="194" ht="15.75" customHeight="1">
      <c r="A194" s="46" t="s">
        <v>634</v>
      </c>
      <c r="B194" s="47" t="s">
        <v>635</v>
      </c>
      <c r="C194" s="47">
        <v>120.0</v>
      </c>
      <c r="D194" s="47">
        <v>97.0</v>
      </c>
      <c r="E194" s="47" t="s">
        <v>11</v>
      </c>
      <c r="F194" s="47" t="s">
        <v>11</v>
      </c>
    </row>
    <row r="195" ht="15.75" customHeight="1">
      <c r="A195" s="46" t="s">
        <v>636</v>
      </c>
      <c r="B195" s="47" t="s">
        <v>637</v>
      </c>
      <c r="C195" s="47">
        <v>438.0</v>
      </c>
      <c r="D195" s="47">
        <v>467.0</v>
      </c>
      <c r="E195" s="47">
        <v>25560.0</v>
      </c>
      <c r="F195" s="47" t="s">
        <v>11</v>
      </c>
    </row>
    <row r="196" ht="15.75" customHeight="1">
      <c r="A196" s="46" t="s">
        <v>638</v>
      </c>
      <c r="B196" s="47" t="s">
        <v>639</v>
      </c>
      <c r="C196" s="47">
        <v>1310.0</v>
      </c>
      <c r="D196" s="47">
        <v>1308.0</v>
      </c>
      <c r="E196" s="47">
        <v>21840.0</v>
      </c>
      <c r="F196" s="47" t="s">
        <v>11</v>
      </c>
    </row>
    <row r="197" ht="15.75" customHeight="1">
      <c r="A197" s="46" t="s">
        <v>640</v>
      </c>
      <c r="B197" s="47" t="s">
        <v>641</v>
      </c>
      <c r="C197" s="47">
        <v>68.0</v>
      </c>
      <c r="D197" s="47">
        <v>61.0</v>
      </c>
      <c r="E197" s="47" t="s">
        <v>11</v>
      </c>
      <c r="F197" s="47" t="s">
        <v>11</v>
      </c>
    </row>
    <row r="198" ht="15.75" customHeight="1">
      <c r="A198" s="46" t="s">
        <v>642</v>
      </c>
      <c r="B198" s="47" t="s">
        <v>643</v>
      </c>
      <c r="C198" s="47">
        <v>248.0</v>
      </c>
      <c r="D198" s="47">
        <v>207.0</v>
      </c>
      <c r="E198" s="47">
        <v>24200.0</v>
      </c>
      <c r="F198" s="47" t="s">
        <v>11</v>
      </c>
    </row>
    <row r="199" ht="15.75" customHeight="1">
      <c r="A199" s="46" t="s">
        <v>644</v>
      </c>
      <c r="B199" s="47" t="s">
        <v>645</v>
      </c>
      <c r="C199" s="47">
        <v>78.0</v>
      </c>
      <c r="D199" s="47">
        <v>71.0</v>
      </c>
      <c r="E199" s="47" t="s">
        <v>11</v>
      </c>
      <c r="F199" s="47" t="s">
        <v>11</v>
      </c>
    </row>
    <row r="200" ht="15.75" customHeight="1">
      <c r="A200" s="46" t="s">
        <v>646</v>
      </c>
      <c r="B200" s="47" t="s">
        <v>647</v>
      </c>
      <c r="C200" s="47">
        <v>214.0</v>
      </c>
      <c r="D200" s="47">
        <v>224.0</v>
      </c>
      <c r="E200" s="47">
        <v>26920.0</v>
      </c>
      <c r="F200" s="47" t="s">
        <v>11</v>
      </c>
    </row>
    <row r="201" ht="15.75" customHeight="1">
      <c r="A201" s="46" t="s">
        <v>648</v>
      </c>
      <c r="B201" s="47" t="s">
        <v>649</v>
      </c>
      <c r="C201" s="47">
        <v>278.0</v>
      </c>
      <c r="D201" s="47">
        <v>256.0</v>
      </c>
      <c r="E201" s="47">
        <v>27400.0</v>
      </c>
      <c r="F201" s="47" t="s">
        <v>11</v>
      </c>
    </row>
    <row r="202" ht="15.75" customHeight="1">
      <c r="A202" s="46" t="s">
        <v>650</v>
      </c>
      <c r="B202" s="47" t="s">
        <v>651</v>
      </c>
      <c r="C202" s="47">
        <v>685.0</v>
      </c>
      <c r="D202" s="47">
        <v>654.0</v>
      </c>
      <c r="E202" s="47">
        <v>22790.0</v>
      </c>
      <c r="F202" s="47" t="s">
        <v>11</v>
      </c>
    </row>
    <row r="203" ht="15.75" customHeight="1">
      <c r="A203" s="46" t="s">
        <v>652</v>
      </c>
      <c r="B203" s="47" t="s">
        <v>653</v>
      </c>
      <c r="C203" s="47">
        <v>360.0</v>
      </c>
      <c r="D203" s="47">
        <v>352.0</v>
      </c>
      <c r="E203" s="47">
        <v>26370.0</v>
      </c>
      <c r="F203" s="47" t="s">
        <v>11</v>
      </c>
    </row>
    <row r="204" ht="15.75" customHeight="1">
      <c r="A204" s="46" t="s">
        <v>654</v>
      </c>
      <c r="B204" s="47" t="s">
        <v>655</v>
      </c>
      <c r="C204" s="47">
        <v>285.0</v>
      </c>
      <c r="D204" s="47">
        <v>357.0</v>
      </c>
      <c r="E204" s="47">
        <v>25320.0</v>
      </c>
      <c r="F204" s="47" t="s">
        <v>11</v>
      </c>
    </row>
    <row r="205" ht="15.75" customHeight="1">
      <c r="A205" s="46" t="s">
        <v>656</v>
      </c>
      <c r="B205" s="47" t="s">
        <v>657</v>
      </c>
      <c r="C205" s="47">
        <v>707.0</v>
      </c>
      <c r="D205" s="47">
        <v>674.0</v>
      </c>
      <c r="E205" s="47">
        <v>24500.0</v>
      </c>
      <c r="F205" s="47" t="s">
        <v>11</v>
      </c>
    </row>
    <row r="206" ht="15.75" customHeight="1">
      <c r="A206" s="46" t="s">
        <v>658</v>
      </c>
      <c r="B206" s="47" t="s">
        <v>659</v>
      </c>
      <c r="C206" s="47">
        <v>332.0</v>
      </c>
      <c r="D206" s="47">
        <v>306.0</v>
      </c>
      <c r="E206" s="47">
        <v>24810.0</v>
      </c>
      <c r="F206" s="47" t="s">
        <v>11</v>
      </c>
    </row>
    <row r="207" ht="15.75" customHeight="1">
      <c r="A207" s="46" t="s">
        <v>660</v>
      </c>
      <c r="B207" s="47" t="s">
        <v>661</v>
      </c>
      <c r="C207" s="47">
        <v>61.0</v>
      </c>
      <c r="D207" s="47">
        <v>61.0</v>
      </c>
      <c r="E207" s="47" t="s">
        <v>11</v>
      </c>
      <c r="F207" s="47" t="s">
        <v>11</v>
      </c>
    </row>
    <row r="208" ht="15.75" customHeight="1">
      <c r="A208" s="46" t="s">
        <v>662</v>
      </c>
      <c r="B208" s="47" t="s">
        <v>663</v>
      </c>
      <c r="C208" s="47">
        <v>801.0</v>
      </c>
      <c r="D208" s="47">
        <v>851.0</v>
      </c>
      <c r="E208" s="47">
        <v>25500.0</v>
      </c>
      <c r="F208" s="47" t="s">
        <v>11</v>
      </c>
    </row>
    <row r="209" ht="15.75" customHeight="1">
      <c r="A209" s="46" t="s">
        <v>664</v>
      </c>
      <c r="B209" s="47" t="s">
        <v>665</v>
      </c>
      <c r="C209" s="47">
        <v>306.0</v>
      </c>
      <c r="D209" s="47">
        <v>332.0</v>
      </c>
      <c r="E209" s="47">
        <v>26910.0</v>
      </c>
      <c r="F209" s="47" t="s">
        <v>11</v>
      </c>
    </row>
    <row r="210" ht="15.75" customHeight="1">
      <c r="A210" s="46" t="s">
        <v>666</v>
      </c>
      <c r="B210" s="47" t="s">
        <v>667</v>
      </c>
      <c r="C210" s="47">
        <v>1014.0</v>
      </c>
      <c r="D210" s="47">
        <v>990.0</v>
      </c>
      <c r="E210" s="47">
        <v>24440.0</v>
      </c>
      <c r="F210" s="47" t="s">
        <v>11</v>
      </c>
    </row>
    <row r="211" ht="15.75" customHeight="1">
      <c r="A211" s="46" t="s">
        <v>668</v>
      </c>
      <c r="B211" s="47" t="s">
        <v>669</v>
      </c>
      <c r="C211" s="47">
        <v>624.0</v>
      </c>
      <c r="D211" s="47">
        <v>649.0</v>
      </c>
      <c r="E211" s="47">
        <v>24960.0</v>
      </c>
      <c r="F211" s="47" t="s">
        <v>11</v>
      </c>
    </row>
    <row r="212" ht="15.75" customHeight="1">
      <c r="A212" s="46" t="s">
        <v>670</v>
      </c>
      <c r="B212" s="47" t="s">
        <v>671</v>
      </c>
      <c r="C212" s="47">
        <v>219.0</v>
      </c>
      <c r="D212" s="47">
        <v>194.0</v>
      </c>
      <c r="E212" s="47">
        <v>21800.0</v>
      </c>
      <c r="F212" s="47" t="s">
        <v>11</v>
      </c>
    </row>
    <row r="213" ht="15.75" customHeight="1">
      <c r="A213" s="46" t="s">
        <v>672</v>
      </c>
      <c r="B213" s="47" t="s">
        <v>673</v>
      </c>
      <c r="C213" s="47">
        <v>436.0</v>
      </c>
      <c r="D213" s="47">
        <v>443.0</v>
      </c>
      <c r="E213" s="47">
        <v>25010.0</v>
      </c>
      <c r="F213" s="47" t="s">
        <v>11</v>
      </c>
    </row>
    <row r="214" ht="15.75" customHeight="1">
      <c r="A214" s="46" t="s">
        <v>674</v>
      </c>
      <c r="B214" s="47" t="s">
        <v>675</v>
      </c>
      <c r="C214" s="47">
        <v>149.0</v>
      </c>
      <c r="D214" s="47">
        <v>161.0</v>
      </c>
      <c r="E214" s="47">
        <v>28490.0</v>
      </c>
      <c r="F214" s="47" t="s">
        <v>11</v>
      </c>
    </row>
    <row r="215" ht="15.75" customHeight="1">
      <c r="A215" s="46" t="s">
        <v>676</v>
      </c>
      <c r="B215" s="47" t="s">
        <v>677</v>
      </c>
      <c r="C215" s="47">
        <v>31.0</v>
      </c>
      <c r="D215" s="47">
        <v>39.0</v>
      </c>
      <c r="E215" s="47" t="s">
        <v>11</v>
      </c>
      <c r="F215" s="47" t="s">
        <v>11</v>
      </c>
    </row>
    <row r="216" ht="15.75" customHeight="1">
      <c r="A216" s="46" t="s">
        <v>678</v>
      </c>
      <c r="B216" s="47" t="s">
        <v>679</v>
      </c>
      <c r="C216" s="47">
        <v>300.0</v>
      </c>
      <c r="D216" s="47">
        <v>304.0</v>
      </c>
      <c r="E216" s="47">
        <v>24810.0</v>
      </c>
      <c r="F216" s="47" t="s">
        <v>11</v>
      </c>
    </row>
    <row r="217" ht="15.75" customHeight="1">
      <c r="A217" s="46" t="s">
        <v>680</v>
      </c>
      <c r="B217" s="47" t="s">
        <v>681</v>
      </c>
      <c r="C217" s="47">
        <v>350.0</v>
      </c>
      <c r="D217" s="47">
        <v>352.0</v>
      </c>
      <c r="E217" s="47">
        <v>23590.0</v>
      </c>
      <c r="F217" s="47" t="s">
        <v>11</v>
      </c>
    </row>
    <row r="218" ht="15.75" customHeight="1">
      <c r="A218" s="46" t="s">
        <v>682</v>
      </c>
      <c r="B218" s="47" t="s">
        <v>683</v>
      </c>
      <c r="C218" s="47">
        <v>88.0</v>
      </c>
      <c r="D218" s="47">
        <v>82.0</v>
      </c>
      <c r="E218" s="47" t="s">
        <v>11</v>
      </c>
      <c r="F218" s="47" t="s">
        <v>11</v>
      </c>
    </row>
    <row r="219" ht="15.75" customHeight="1">
      <c r="A219" s="46" t="s">
        <v>684</v>
      </c>
      <c r="B219" s="47" t="s">
        <v>685</v>
      </c>
      <c r="C219" s="47">
        <v>1826.0</v>
      </c>
      <c r="D219" s="47">
        <v>1808.0</v>
      </c>
      <c r="E219" s="47">
        <v>25430.0</v>
      </c>
      <c r="F219" s="47" t="s">
        <v>11</v>
      </c>
    </row>
    <row r="220" ht="15.75" customHeight="1">
      <c r="A220" s="46" t="s">
        <v>686</v>
      </c>
      <c r="B220" s="47" t="s">
        <v>687</v>
      </c>
      <c r="C220" s="47">
        <v>133.0</v>
      </c>
      <c r="D220" s="47">
        <v>126.0</v>
      </c>
      <c r="E220" s="47">
        <v>27380.0</v>
      </c>
      <c r="F220" s="47" t="s">
        <v>11</v>
      </c>
    </row>
    <row r="221" ht="15.75" customHeight="1">
      <c r="A221" s="46" t="s">
        <v>688</v>
      </c>
      <c r="B221" s="47" t="s">
        <v>689</v>
      </c>
      <c r="C221" s="47">
        <v>333.0</v>
      </c>
      <c r="D221" s="47">
        <v>361.0</v>
      </c>
      <c r="E221" s="47">
        <v>24580.0</v>
      </c>
      <c r="F221" s="47" t="s">
        <v>11</v>
      </c>
    </row>
    <row r="222" ht="15.75" customHeight="1">
      <c r="A222" s="46" t="s">
        <v>690</v>
      </c>
      <c r="B222" s="47" t="s">
        <v>691</v>
      </c>
      <c r="C222" s="47">
        <v>66.0</v>
      </c>
      <c r="D222" s="47">
        <v>78.0</v>
      </c>
      <c r="E222" s="47" t="s">
        <v>11</v>
      </c>
      <c r="F222" s="47" t="s">
        <v>11</v>
      </c>
    </row>
    <row r="223" ht="15.75" customHeight="1">
      <c r="A223" s="46" t="s">
        <v>692</v>
      </c>
      <c r="B223" s="47" t="s">
        <v>693</v>
      </c>
      <c r="C223" s="47">
        <v>188.0</v>
      </c>
      <c r="D223" s="47">
        <v>174.0</v>
      </c>
      <c r="E223" s="47">
        <v>24030.0</v>
      </c>
      <c r="F223" s="47" t="s">
        <v>11</v>
      </c>
    </row>
    <row r="224" ht="15.75" customHeight="1">
      <c r="A224" s="46" t="s">
        <v>694</v>
      </c>
      <c r="B224" s="47" t="s">
        <v>695</v>
      </c>
      <c r="C224" s="47">
        <v>938.0</v>
      </c>
      <c r="D224" s="47">
        <v>926.0</v>
      </c>
      <c r="E224" s="47">
        <v>23440.0</v>
      </c>
      <c r="F224" s="47" t="s">
        <v>11</v>
      </c>
    </row>
    <row r="225" ht="15.75" customHeight="1">
      <c r="A225" s="46" t="s">
        <v>696</v>
      </c>
      <c r="B225" s="47" t="s">
        <v>697</v>
      </c>
      <c r="C225" s="47">
        <v>344.0</v>
      </c>
      <c r="D225" s="47">
        <v>366.0</v>
      </c>
      <c r="E225" s="47">
        <v>23230.0</v>
      </c>
      <c r="F225" s="47" t="s">
        <v>11</v>
      </c>
    </row>
    <row r="226" ht="15.75" customHeight="1">
      <c r="A226" s="46" t="s">
        <v>698</v>
      </c>
      <c r="B226" s="47" t="s">
        <v>699</v>
      </c>
      <c r="C226" s="47">
        <v>143.0</v>
      </c>
      <c r="D226" s="47">
        <v>127.0</v>
      </c>
      <c r="E226" s="47">
        <v>23900.0</v>
      </c>
      <c r="F226" s="47" t="s">
        <v>11</v>
      </c>
    </row>
    <row r="227" ht="15.75" customHeight="1">
      <c r="A227" s="46" t="s">
        <v>700</v>
      </c>
      <c r="B227" s="47" t="s">
        <v>701</v>
      </c>
      <c r="C227" s="47">
        <v>82.0</v>
      </c>
      <c r="D227" s="47">
        <v>84.0</v>
      </c>
      <c r="E227" s="47" t="s">
        <v>11</v>
      </c>
      <c r="F227" s="47" t="s">
        <v>11</v>
      </c>
    </row>
    <row r="228" ht="15.75" customHeight="1">
      <c r="A228" s="46" t="s">
        <v>702</v>
      </c>
      <c r="B228" s="47" t="s">
        <v>703</v>
      </c>
      <c r="C228" s="47">
        <v>117.0</v>
      </c>
      <c r="D228" s="47">
        <v>119.0</v>
      </c>
      <c r="E228" s="47">
        <v>25270.0</v>
      </c>
      <c r="F228" s="47" t="s">
        <v>11</v>
      </c>
    </row>
    <row r="229" ht="15.75" customHeight="1">
      <c r="A229" s="46" t="s">
        <v>704</v>
      </c>
      <c r="B229" s="47" t="s">
        <v>705</v>
      </c>
      <c r="C229" s="47">
        <v>346.0</v>
      </c>
      <c r="D229" s="47">
        <v>335.0</v>
      </c>
      <c r="E229" s="47">
        <v>24640.0</v>
      </c>
      <c r="F229" s="47" t="s">
        <v>11</v>
      </c>
    </row>
    <row r="230" ht="15.75" customHeight="1">
      <c r="A230" s="46" t="s">
        <v>706</v>
      </c>
      <c r="B230" s="47" t="s">
        <v>707</v>
      </c>
      <c r="C230" s="47">
        <v>1498.0</v>
      </c>
      <c r="D230" s="47">
        <v>1472.0</v>
      </c>
      <c r="E230" s="47">
        <v>22750.0</v>
      </c>
      <c r="F230" s="47" t="s">
        <v>11</v>
      </c>
    </row>
    <row r="231" ht="15.75" customHeight="1">
      <c r="A231" s="46" t="s">
        <v>708</v>
      </c>
      <c r="B231" s="47" t="s">
        <v>709</v>
      </c>
      <c r="C231" s="47">
        <v>1837.0</v>
      </c>
      <c r="D231" s="47">
        <v>1812.0</v>
      </c>
      <c r="E231" s="47">
        <v>23700.0</v>
      </c>
      <c r="F231" s="47" t="s">
        <v>11</v>
      </c>
    </row>
    <row r="232" ht="15.75" customHeight="1">
      <c r="A232" s="46" t="s">
        <v>710</v>
      </c>
      <c r="B232" s="47" t="s">
        <v>711</v>
      </c>
      <c r="C232" s="47">
        <v>1230.0</v>
      </c>
      <c r="D232" s="47">
        <v>1166.0</v>
      </c>
      <c r="E232" s="47">
        <v>23540.0</v>
      </c>
      <c r="F232" s="47" t="s">
        <v>11</v>
      </c>
    </row>
    <row r="233" ht="15.75" customHeight="1">
      <c r="A233" s="46" t="s">
        <v>712</v>
      </c>
      <c r="B233" s="47" t="s">
        <v>713</v>
      </c>
      <c r="C233" s="47">
        <v>257.0</v>
      </c>
      <c r="D233" s="47">
        <v>183.0</v>
      </c>
      <c r="E233" s="47">
        <v>25620.0</v>
      </c>
      <c r="F233" s="47" t="s">
        <v>11</v>
      </c>
    </row>
    <row r="234" ht="15.75" customHeight="1">
      <c r="A234" s="46" t="s">
        <v>714</v>
      </c>
      <c r="B234" s="47" t="s">
        <v>715</v>
      </c>
      <c r="C234" s="47">
        <v>105.0</v>
      </c>
      <c r="D234" s="47">
        <v>87.0</v>
      </c>
      <c r="E234" s="47" t="s">
        <v>11</v>
      </c>
      <c r="F234" s="47" t="s">
        <v>11</v>
      </c>
    </row>
    <row r="235" ht="15.75" customHeight="1">
      <c r="A235" s="46" t="s">
        <v>716</v>
      </c>
      <c r="B235" s="47" t="s">
        <v>717</v>
      </c>
      <c r="C235" s="47">
        <v>647.0</v>
      </c>
      <c r="D235" s="47">
        <v>591.0</v>
      </c>
      <c r="E235" s="47">
        <v>26940.0</v>
      </c>
      <c r="F235" s="47" t="s">
        <v>11</v>
      </c>
    </row>
    <row r="236" ht="15.75" customHeight="1">
      <c r="A236" s="46" t="s">
        <v>718</v>
      </c>
      <c r="B236" s="47" t="s">
        <v>719</v>
      </c>
      <c r="C236" s="47">
        <v>2905.0</v>
      </c>
      <c r="D236" s="47">
        <v>3049.0</v>
      </c>
      <c r="E236" s="47">
        <v>23690.0</v>
      </c>
      <c r="F236" s="47">
        <v>20.0</v>
      </c>
    </row>
    <row r="237" ht="15.75" customHeight="1">
      <c r="A237" s="46" t="s">
        <v>720</v>
      </c>
      <c r="B237" s="47" t="s">
        <v>721</v>
      </c>
      <c r="C237" s="47">
        <v>64.0</v>
      </c>
      <c r="D237" s="47">
        <v>64.0</v>
      </c>
      <c r="E237" s="47" t="s">
        <v>11</v>
      </c>
      <c r="F237" s="47" t="s">
        <v>11</v>
      </c>
    </row>
    <row r="238" ht="15.75" customHeight="1">
      <c r="A238" s="46" t="s">
        <v>722</v>
      </c>
      <c r="B238" s="47" t="s">
        <v>723</v>
      </c>
      <c r="C238" s="47">
        <v>1789.0</v>
      </c>
      <c r="D238" s="47">
        <v>1733.0</v>
      </c>
      <c r="E238" s="47">
        <v>24820.0</v>
      </c>
      <c r="F238" s="47" t="s">
        <v>11</v>
      </c>
    </row>
    <row r="239" ht="15.75" customHeight="1">
      <c r="A239" s="46" t="s">
        <v>724</v>
      </c>
      <c r="B239" s="47" t="s">
        <v>725</v>
      </c>
      <c r="C239" s="47">
        <v>606.0</v>
      </c>
      <c r="D239" s="47">
        <v>607.0</v>
      </c>
      <c r="E239" s="47">
        <v>25420.0</v>
      </c>
      <c r="F239" s="47" t="s">
        <v>11</v>
      </c>
    </row>
    <row r="240" ht="15.75" customHeight="1">
      <c r="A240" s="46" t="s">
        <v>726</v>
      </c>
      <c r="B240" s="47" t="s">
        <v>727</v>
      </c>
      <c r="C240" s="47">
        <v>157.0</v>
      </c>
      <c r="D240" s="47">
        <v>152.0</v>
      </c>
      <c r="E240" s="47">
        <v>23310.0</v>
      </c>
      <c r="F240" s="47" t="s">
        <v>11</v>
      </c>
    </row>
    <row r="241" ht="15.75" customHeight="1">
      <c r="A241" s="46" t="s">
        <v>728</v>
      </c>
      <c r="B241" s="47" t="s">
        <v>729</v>
      </c>
      <c r="C241" s="47">
        <v>102.0</v>
      </c>
      <c r="D241" s="47">
        <v>102.0</v>
      </c>
      <c r="E241" s="47" t="s">
        <v>11</v>
      </c>
      <c r="F241" s="47" t="s">
        <v>11</v>
      </c>
    </row>
    <row r="242" ht="15.75" customHeight="1">
      <c r="A242" s="46" t="s">
        <v>730</v>
      </c>
      <c r="B242" s="47" t="s">
        <v>731</v>
      </c>
      <c r="C242" s="47">
        <v>76.0</v>
      </c>
      <c r="D242" s="47">
        <v>84.0</v>
      </c>
      <c r="E242" s="47" t="s">
        <v>11</v>
      </c>
      <c r="F242" s="47" t="s">
        <v>11</v>
      </c>
    </row>
    <row r="243" ht="15.75" customHeight="1">
      <c r="A243" s="46" t="s">
        <v>732</v>
      </c>
      <c r="B243" s="47" t="s">
        <v>733</v>
      </c>
      <c r="C243" s="47">
        <v>28.0</v>
      </c>
      <c r="D243" s="47">
        <v>28.0</v>
      </c>
      <c r="E243" s="47" t="s">
        <v>11</v>
      </c>
      <c r="F243" s="47" t="s">
        <v>11</v>
      </c>
    </row>
    <row r="244" ht="15.75" customHeight="1">
      <c r="A244" s="46" t="s">
        <v>734</v>
      </c>
      <c r="B244" s="47" t="s">
        <v>735</v>
      </c>
      <c r="C244" s="47">
        <v>71.0</v>
      </c>
      <c r="D244" s="47">
        <v>72.0</v>
      </c>
      <c r="E244" s="47" t="s">
        <v>11</v>
      </c>
      <c r="F244" s="47" t="s">
        <v>11</v>
      </c>
    </row>
    <row r="245" ht="15.75" customHeight="1">
      <c r="A245" s="46" t="s">
        <v>736</v>
      </c>
      <c r="B245" s="47" t="s">
        <v>737</v>
      </c>
      <c r="C245" s="47">
        <v>355.0</v>
      </c>
      <c r="D245" s="47">
        <v>361.0</v>
      </c>
      <c r="E245" s="47">
        <v>27400.0</v>
      </c>
      <c r="F245" s="47" t="s">
        <v>11</v>
      </c>
    </row>
    <row r="246" ht="15.75" customHeight="1">
      <c r="A246" s="46" t="s">
        <v>738</v>
      </c>
      <c r="B246" s="47" t="s">
        <v>739</v>
      </c>
      <c r="C246" s="47">
        <v>128.0</v>
      </c>
      <c r="D246" s="47">
        <v>126.0</v>
      </c>
      <c r="E246" s="47">
        <v>28120.0</v>
      </c>
      <c r="F246" s="47" t="s">
        <v>11</v>
      </c>
    </row>
    <row r="247" ht="15.75" customHeight="1">
      <c r="A247" s="46" t="s">
        <v>740</v>
      </c>
      <c r="B247" s="47" t="s">
        <v>741</v>
      </c>
      <c r="C247" s="47">
        <v>143.0</v>
      </c>
      <c r="D247" s="47">
        <v>161.0</v>
      </c>
      <c r="E247" s="47">
        <v>24010.0</v>
      </c>
      <c r="F247" s="47" t="s">
        <v>11</v>
      </c>
    </row>
    <row r="248" ht="15.75" customHeight="1">
      <c r="A248" s="46" t="s">
        <v>742</v>
      </c>
      <c r="B248" s="47" t="s">
        <v>743</v>
      </c>
      <c r="C248" s="47">
        <v>125.0</v>
      </c>
      <c r="D248" s="47">
        <v>123.0</v>
      </c>
      <c r="E248" s="47">
        <v>22820.0</v>
      </c>
      <c r="F248" s="47" t="s">
        <v>11</v>
      </c>
    </row>
    <row r="249" ht="15.75" customHeight="1">
      <c r="A249" s="46" t="s">
        <v>744</v>
      </c>
      <c r="B249" s="47" t="s">
        <v>745</v>
      </c>
      <c r="C249" s="47">
        <v>436.0</v>
      </c>
      <c r="D249" s="47">
        <v>424.0</v>
      </c>
      <c r="E249" s="47">
        <v>29600.0</v>
      </c>
      <c r="F249" s="47" t="s">
        <v>11</v>
      </c>
    </row>
    <row r="250" ht="15.75" customHeight="1">
      <c r="A250" s="46" t="s">
        <v>746</v>
      </c>
      <c r="B250" s="47" t="s">
        <v>747</v>
      </c>
      <c r="C250" s="47">
        <v>379.0</v>
      </c>
      <c r="D250" s="47">
        <v>378.0</v>
      </c>
      <c r="E250" s="47">
        <v>25180.0</v>
      </c>
      <c r="F250" s="47" t="s">
        <v>11</v>
      </c>
    </row>
    <row r="251" ht="15.75" customHeight="1">
      <c r="A251" s="46" t="s">
        <v>748</v>
      </c>
      <c r="B251" s="47" t="s">
        <v>749</v>
      </c>
      <c r="C251" s="47">
        <v>398.0</v>
      </c>
      <c r="D251" s="47">
        <v>370.0</v>
      </c>
      <c r="E251" s="47">
        <v>28370.0</v>
      </c>
      <c r="F251" s="47" t="s">
        <v>11</v>
      </c>
    </row>
    <row r="252" ht="15.75" customHeight="1">
      <c r="A252" s="46" t="s">
        <v>750</v>
      </c>
      <c r="B252" s="47" t="s">
        <v>751</v>
      </c>
      <c r="C252" s="47">
        <v>650.0</v>
      </c>
      <c r="D252" s="47">
        <v>609.0</v>
      </c>
      <c r="E252" s="47">
        <v>22980.0</v>
      </c>
      <c r="F252" s="47" t="s">
        <v>11</v>
      </c>
    </row>
    <row r="253" ht="15.75" customHeight="1">
      <c r="A253" s="46" t="s">
        <v>752</v>
      </c>
      <c r="B253" s="47" t="s">
        <v>753</v>
      </c>
      <c r="C253" s="47">
        <v>391.0</v>
      </c>
      <c r="D253" s="47">
        <v>392.0</v>
      </c>
      <c r="E253" s="47">
        <v>22570.0</v>
      </c>
      <c r="F253" s="47" t="s">
        <v>11</v>
      </c>
    </row>
    <row r="254" ht="15.75" customHeight="1">
      <c r="A254" s="46" t="s">
        <v>754</v>
      </c>
      <c r="B254" s="47" t="s">
        <v>755</v>
      </c>
      <c r="C254" s="47">
        <v>216.0</v>
      </c>
      <c r="D254" s="47">
        <v>208.0</v>
      </c>
      <c r="E254" s="47">
        <v>24770.0</v>
      </c>
      <c r="F254" s="47" t="s">
        <v>11</v>
      </c>
    </row>
    <row r="255" ht="15.75" customHeight="1">
      <c r="A255" s="46" t="s">
        <v>756</v>
      </c>
      <c r="B255" s="47" t="s">
        <v>757</v>
      </c>
      <c r="C255" s="47">
        <v>114.0</v>
      </c>
      <c r="D255" s="47">
        <v>114.0</v>
      </c>
      <c r="E255" s="47">
        <v>26450.0</v>
      </c>
      <c r="F255" s="47" t="s">
        <v>11</v>
      </c>
    </row>
    <row r="256" ht="15.75" customHeight="1">
      <c r="A256" s="46" t="s">
        <v>758</v>
      </c>
      <c r="B256" s="47" t="s">
        <v>759</v>
      </c>
      <c r="C256" s="47">
        <v>747.0</v>
      </c>
      <c r="D256" s="47">
        <v>717.0</v>
      </c>
      <c r="E256" s="47">
        <v>22030.0</v>
      </c>
      <c r="F256" s="47" t="s">
        <v>11</v>
      </c>
    </row>
    <row r="257" ht="15.75" customHeight="1">
      <c r="A257" s="46" t="s">
        <v>760</v>
      </c>
      <c r="B257" s="47" t="s">
        <v>761</v>
      </c>
      <c r="C257" s="47">
        <v>99.0</v>
      </c>
      <c r="D257" s="47">
        <v>84.0</v>
      </c>
      <c r="E257" s="47" t="s">
        <v>11</v>
      </c>
      <c r="F257" s="47" t="s">
        <v>11</v>
      </c>
    </row>
    <row r="258" ht="15.75" customHeight="1">
      <c r="A258" s="46" t="s">
        <v>762</v>
      </c>
      <c r="B258" s="47" t="s">
        <v>763</v>
      </c>
      <c r="C258" s="47">
        <v>49.0</v>
      </c>
      <c r="D258" s="47">
        <v>30.0</v>
      </c>
      <c r="E258" s="47" t="s">
        <v>11</v>
      </c>
      <c r="F258" s="47" t="s">
        <v>11</v>
      </c>
    </row>
    <row r="259" ht="15.75" customHeight="1">
      <c r="A259" s="46" t="s">
        <v>764</v>
      </c>
      <c r="B259" s="47" t="s">
        <v>765</v>
      </c>
      <c r="C259" s="47">
        <v>289.0</v>
      </c>
      <c r="D259" s="47">
        <v>287.0</v>
      </c>
      <c r="E259" s="47">
        <v>25930.0</v>
      </c>
      <c r="F259" s="47" t="s">
        <v>11</v>
      </c>
    </row>
    <row r="260" ht="15.75" customHeight="1">
      <c r="A260" s="46" t="s">
        <v>766</v>
      </c>
      <c r="B260" s="47" t="s">
        <v>767</v>
      </c>
      <c r="C260" s="47">
        <v>654.0</v>
      </c>
      <c r="D260" s="47">
        <v>654.0</v>
      </c>
      <c r="E260" s="47">
        <v>27190.0</v>
      </c>
      <c r="F260" s="47" t="s">
        <v>11</v>
      </c>
    </row>
    <row r="261" ht="15.75" customHeight="1">
      <c r="A261" s="46" t="s">
        <v>768</v>
      </c>
      <c r="B261" s="47" t="s">
        <v>769</v>
      </c>
      <c r="C261" s="47">
        <v>154.0</v>
      </c>
      <c r="D261" s="47">
        <v>148.0</v>
      </c>
      <c r="E261" s="47">
        <v>23650.0</v>
      </c>
      <c r="F261" s="47" t="s">
        <v>11</v>
      </c>
    </row>
    <row r="262" ht="15.75" customHeight="1">
      <c r="A262" s="46" t="s">
        <v>770</v>
      </c>
      <c r="B262" s="47" t="s">
        <v>771</v>
      </c>
      <c r="C262" s="47">
        <v>162.0</v>
      </c>
      <c r="D262" s="47">
        <v>153.0</v>
      </c>
      <c r="E262" s="47">
        <v>22910.0</v>
      </c>
      <c r="F262" s="47" t="s">
        <v>11</v>
      </c>
    </row>
    <row r="263" ht="15.75" customHeight="1">
      <c r="A263" s="46" t="s">
        <v>772</v>
      </c>
      <c r="B263" s="47" t="s">
        <v>773</v>
      </c>
      <c r="C263" s="47">
        <v>132.0</v>
      </c>
      <c r="D263" s="47">
        <v>134.0</v>
      </c>
      <c r="E263" s="47">
        <v>24540.0</v>
      </c>
      <c r="F263" s="47" t="s">
        <v>11</v>
      </c>
    </row>
    <row r="264" ht="15.75" customHeight="1">
      <c r="A264" s="46" t="s">
        <v>774</v>
      </c>
      <c r="B264" s="47" t="s">
        <v>775</v>
      </c>
      <c r="C264" s="47">
        <v>75.0</v>
      </c>
      <c r="D264" s="47">
        <v>75.0</v>
      </c>
      <c r="E264" s="47" t="s">
        <v>11</v>
      </c>
      <c r="F264" s="47" t="s">
        <v>11</v>
      </c>
    </row>
    <row r="265" ht="15.75" customHeight="1">
      <c r="A265" s="46" t="s">
        <v>776</v>
      </c>
      <c r="B265" s="47" t="s">
        <v>777</v>
      </c>
      <c r="C265" s="47">
        <v>222.0</v>
      </c>
      <c r="D265" s="47">
        <v>191.0</v>
      </c>
      <c r="E265" s="47">
        <v>24590.0</v>
      </c>
      <c r="F265" s="47" t="s">
        <v>11</v>
      </c>
    </row>
    <row r="266" ht="15.75" customHeight="1">
      <c r="A266" s="46" t="s">
        <v>778</v>
      </c>
      <c r="B266" s="47" t="s">
        <v>779</v>
      </c>
      <c r="C266" s="47">
        <v>200.0</v>
      </c>
      <c r="D266" s="47">
        <v>164.0</v>
      </c>
      <c r="E266" s="47">
        <v>24390.0</v>
      </c>
      <c r="F266" s="47" t="s">
        <v>11</v>
      </c>
    </row>
    <row r="267" ht="15.75" customHeight="1">
      <c r="A267" s="46" t="s">
        <v>780</v>
      </c>
      <c r="B267" s="47" t="s">
        <v>781</v>
      </c>
      <c r="C267" s="47">
        <v>324.0</v>
      </c>
      <c r="D267" s="47">
        <v>307.0</v>
      </c>
      <c r="E267" s="47">
        <v>18100.0</v>
      </c>
      <c r="F267" s="47" t="s">
        <v>11</v>
      </c>
    </row>
    <row r="268" ht="15.75" customHeight="1">
      <c r="A268" s="46" t="s">
        <v>782</v>
      </c>
      <c r="B268" s="47" t="s">
        <v>783</v>
      </c>
      <c r="C268" s="47">
        <v>122.0</v>
      </c>
      <c r="D268" s="47">
        <v>122.0</v>
      </c>
      <c r="E268" s="47">
        <v>25990.0</v>
      </c>
      <c r="F268" s="47" t="s">
        <v>11</v>
      </c>
    </row>
    <row r="269" ht="15.75" customHeight="1">
      <c r="A269" s="46" t="s">
        <v>784</v>
      </c>
      <c r="B269" s="47" t="s">
        <v>785</v>
      </c>
      <c r="C269" s="47">
        <v>340.0</v>
      </c>
      <c r="D269" s="47">
        <v>337.0</v>
      </c>
      <c r="E269" s="47">
        <v>23140.0</v>
      </c>
      <c r="F269" s="47" t="s">
        <v>11</v>
      </c>
    </row>
    <row r="270" ht="15.75" customHeight="1">
      <c r="A270" s="46" t="s">
        <v>786</v>
      </c>
      <c r="B270" s="47" t="s">
        <v>787</v>
      </c>
      <c r="C270" s="47">
        <v>30.0</v>
      </c>
      <c r="D270" s="47">
        <v>38.0</v>
      </c>
      <c r="E270" s="47" t="s">
        <v>11</v>
      </c>
      <c r="F270" s="47" t="s">
        <v>11</v>
      </c>
    </row>
    <row r="271" ht="15.75" customHeight="1">
      <c r="A271" s="46" t="s">
        <v>788</v>
      </c>
      <c r="B271" s="47" t="s">
        <v>789</v>
      </c>
      <c r="C271" s="47">
        <v>556.0</v>
      </c>
      <c r="D271" s="47">
        <v>534.0</v>
      </c>
      <c r="E271" s="47">
        <v>26480.0</v>
      </c>
      <c r="F271" s="47" t="s">
        <v>11</v>
      </c>
    </row>
    <row r="272" ht="15.75" customHeight="1">
      <c r="A272" s="46" t="s">
        <v>790</v>
      </c>
      <c r="B272" s="47" t="s">
        <v>791</v>
      </c>
      <c r="C272" s="47">
        <v>392.0</v>
      </c>
      <c r="D272" s="47">
        <v>395.0</v>
      </c>
      <c r="E272" s="47">
        <v>26920.0</v>
      </c>
      <c r="F272" s="47" t="s">
        <v>11</v>
      </c>
    </row>
    <row r="273" ht="15.75" customHeight="1">
      <c r="A273" s="46" t="s">
        <v>792</v>
      </c>
      <c r="B273" s="47" t="s">
        <v>793</v>
      </c>
      <c r="C273" s="47">
        <v>261.0</v>
      </c>
      <c r="D273" s="47">
        <v>241.0</v>
      </c>
      <c r="E273" s="47">
        <v>24040.0</v>
      </c>
      <c r="F273" s="47" t="s">
        <v>11</v>
      </c>
    </row>
    <row r="274" ht="15.75" customHeight="1">
      <c r="A274" s="46" t="s">
        <v>794</v>
      </c>
      <c r="B274" s="47" t="s">
        <v>795</v>
      </c>
      <c r="C274" s="47">
        <v>417.0</v>
      </c>
      <c r="D274" s="47">
        <v>438.0</v>
      </c>
      <c r="E274" s="47">
        <v>24200.0</v>
      </c>
      <c r="F274" s="47" t="s">
        <v>11</v>
      </c>
    </row>
    <row r="275" ht="15.75" customHeight="1">
      <c r="A275" s="46" t="s">
        <v>796</v>
      </c>
      <c r="B275" s="47" t="s">
        <v>797</v>
      </c>
      <c r="C275" s="47">
        <v>284.0</v>
      </c>
      <c r="D275" s="47">
        <v>278.0</v>
      </c>
      <c r="E275" s="47">
        <v>22920.0</v>
      </c>
      <c r="F275" s="47" t="s">
        <v>11</v>
      </c>
    </row>
    <row r="276" ht="15.75" customHeight="1">
      <c r="A276" s="46" t="s">
        <v>798</v>
      </c>
      <c r="B276" s="47" t="s">
        <v>799</v>
      </c>
      <c r="C276" s="47">
        <v>97.0</v>
      </c>
      <c r="D276" s="47">
        <v>98.0</v>
      </c>
      <c r="E276" s="47" t="s">
        <v>11</v>
      </c>
      <c r="F276" s="47" t="s">
        <v>11</v>
      </c>
    </row>
    <row r="277" ht="15.75" customHeight="1">
      <c r="A277" s="46" t="s">
        <v>800</v>
      </c>
      <c r="B277" s="47" t="s">
        <v>801</v>
      </c>
      <c r="C277" s="47">
        <v>858.0</v>
      </c>
      <c r="D277" s="47">
        <v>847.0</v>
      </c>
      <c r="E277" s="47">
        <v>23800.0</v>
      </c>
      <c r="F277" s="47" t="s">
        <v>11</v>
      </c>
    </row>
    <row r="278" ht="15.75" customHeight="1">
      <c r="A278" s="46" t="s">
        <v>802</v>
      </c>
      <c r="B278" s="47" t="s">
        <v>803</v>
      </c>
      <c r="C278" s="47">
        <v>1022.0</v>
      </c>
      <c r="D278" s="47">
        <v>1072.0</v>
      </c>
      <c r="E278" s="47">
        <v>27880.0</v>
      </c>
      <c r="F278" s="47" t="s">
        <v>11</v>
      </c>
    </row>
    <row r="279" ht="15.75" customHeight="1">
      <c r="A279" s="46" t="s">
        <v>804</v>
      </c>
      <c r="B279" s="47" t="s">
        <v>805</v>
      </c>
      <c r="C279" s="47">
        <v>344.0</v>
      </c>
      <c r="D279" s="47">
        <v>345.0</v>
      </c>
      <c r="E279" s="47">
        <v>24420.0</v>
      </c>
      <c r="F279" s="47" t="s">
        <v>11</v>
      </c>
    </row>
    <row r="280" ht="15.75" customHeight="1">
      <c r="A280" s="46" t="s">
        <v>806</v>
      </c>
      <c r="B280" s="47" t="s">
        <v>807</v>
      </c>
      <c r="C280" s="47">
        <v>417.0</v>
      </c>
      <c r="D280" s="47">
        <v>399.0</v>
      </c>
      <c r="E280" s="47">
        <v>27400.0</v>
      </c>
      <c r="F280" s="47" t="s">
        <v>11</v>
      </c>
    </row>
    <row r="281" ht="15.75" customHeight="1">
      <c r="A281" s="46" t="s">
        <v>808</v>
      </c>
      <c r="B281" s="47" t="s">
        <v>809</v>
      </c>
      <c r="C281" s="47">
        <v>2776.0</v>
      </c>
      <c r="D281" s="47">
        <v>2691.0</v>
      </c>
      <c r="E281" s="47">
        <v>26290.0</v>
      </c>
      <c r="F281" s="47">
        <v>11.0</v>
      </c>
    </row>
    <row r="282" ht="15.75" customHeight="1">
      <c r="A282" s="46" t="s">
        <v>810</v>
      </c>
      <c r="B282" s="47" t="s">
        <v>811</v>
      </c>
      <c r="C282" s="47">
        <v>412.0</v>
      </c>
      <c r="D282" s="47">
        <v>408.0</v>
      </c>
      <c r="E282" s="47">
        <v>23650.0</v>
      </c>
      <c r="F282" s="47" t="s">
        <v>11</v>
      </c>
    </row>
    <row r="283" ht="15.75" customHeight="1">
      <c r="A283" s="46" t="s">
        <v>812</v>
      </c>
      <c r="B283" s="47" t="s">
        <v>813</v>
      </c>
      <c r="C283" s="47">
        <v>1253.0</v>
      </c>
      <c r="D283" s="47">
        <v>1329.0</v>
      </c>
      <c r="E283" s="47">
        <v>24610.0</v>
      </c>
      <c r="F283" s="47" t="s">
        <v>11</v>
      </c>
    </row>
    <row r="284" ht="15.75" customHeight="1">
      <c r="A284" s="46" t="s">
        <v>814</v>
      </c>
      <c r="B284" s="47" t="s">
        <v>815</v>
      </c>
      <c r="C284" s="47">
        <v>557.0</v>
      </c>
      <c r="D284" s="47">
        <v>543.0</v>
      </c>
      <c r="E284" s="47">
        <v>24090.0</v>
      </c>
      <c r="F284" s="47" t="s">
        <v>11</v>
      </c>
    </row>
    <row r="285" ht="15.75" customHeight="1">
      <c r="A285" s="46" t="s">
        <v>816</v>
      </c>
      <c r="B285" s="47" t="s">
        <v>817</v>
      </c>
      <c r="C285" s="47">
        <v>213.0</v>
      </c>
      <c r="D285" s="47">
        <v>208.0</v>
      </c>
      <c r="E285" s="47">
        <v>27690.0</v>
      </c>
      <c r="F285" s="47" t="s">
        <v>11</v>
      </c>
    </row>
    <row r="286" ht="15.75" customHeight="1">
      <c r="A286" s="46" t="s">
        <v>818</v>
      </c>
      <c r="B286" s="47" t="s">
        <v>819</v>
      </c>
      <c r="C286" s="47">
        <v>859.0</v>
      </c>
      <c r="D286" s="47">
        <v>839.0</v>
      </c>
      <c r="E286" s="47">
        <v>21440.0</v>
      </c>
      <c r="F286" s="47" t="s">
        <v>11</v>
      </c>
    </row>
    <row r="287" ht="15.75" customHeight="1">
      <c r="A287" s="46" t="s">
        <v>820</v>
      </c>
      <c r="B287" s="47" t="s">
        <v>821</v>
      </c>
      <c r="C287" s="47">
        <v>1208.0</v>
      </c>
      <c r="D287" s="47">
        <v>1157.0</v>
      </c>
      <c r="E287" s="47">
        <v>26230.0</v>
      </c>
      <c r="F287" s="47" t="s">
        <v>11</v>
      </c>
    </row>
    <row r="288" ht="15.75" customHeight="1">
      <c r="A288" s="46" t="s">
        <v>822</v>
      </c>
      <c r="B288" s="47" t="s">
        <v>823</v>
      </c>
      <c r="C288" s="47">
        <v>118.0</v>
      </c>
      <c r="D288" s="47">
        <v>125.0</v>
      </c>
      <c r="E288" s="47">
        <v>26170.0</v>
      </c>
      <c r="F288" s="47" t="s">
        <v>11</v>
      </c>
    </row>
    <row r="289" ht="15.75" customHeight="1">
      <c r="A289" s="46" t="s">
        <v>824</v>
      </c>
      <c r="B289" s="47" t="s">
        <v>825</v>
      </c>
      <c r="C289" s="47">
        <v>1459.0</v>
      </c>
      <c r="D289" s="47">
        <v>1436.0</v>
      </c>
      <c r="E289" s="47">
        <v>22200.0</v>
      </c>
      <c r="F289" s="47" t="s">
        <v>11</v>
      </c>
    </row>
    <row r="290" ht="15.75" customHeight="1">
      <c r="A290" s="46" t="s">
        <v>826</v>
      </c>
      <c r="B290" s="47" t="s">
        <v>827</v>
      </c>
      <c r="C290" s="47">
        <v>570.0</v>
      </c>
      <c r="D290" s="47">
        <v>522.0</v>
      </c>
      <c r="E290" s="47">
        <v>24650.0</v>
      </c>
      <c r="F290" s="47" t="s">
        <v>11</v>
      </c>
    </row>
    <row r="291" ht="15.75" customHeight="1">
      <c r="A291" s="46" t="s">
        <v>828</v>
      </c>
      <c r="B291" s="47" t="s">
        <v>829</v>
      </c>
      <c r="C291" s="47">
        <v>317.0</v>
      </c>
      <c r="D291" s="47">
        <v>363.0</v>
      </c>
      <c r="E291" s="47">
        <v>27490.0</v>
      </c>
      <c r="F291" s="47" t="s">
        <v>11</v>
      </c>
    </row>
    <row r="292" ht="15.75" customHeight="1">
      <c r="A292" s="46" t="s">
        <v>830</v>
      </c>
      <c r="B292" s="47" t="s">
        <v>831</v>
      </c>
      <c r="C292" s="47">
        <v>654.0</v>
      </c>
      <c r="D292" s="47">
        <v>724.0</v>
      </c>
      <c r="E292" s="47">
        <v>36460.0</v>
      </c>
      <c r="F292" s="47" t="s">
        <v>11</v>
      </c>
    </row>
    <row r="293" ht="15.75" customHeight="1">
      <c r="A293" s="46" t="s">
        <v>832</v>
      </c>
      <c r="B293" s="47" t="s">
        <v>833</v>
      </c>
      <c r="C293" s="47">
        <v>2859.0</v>
      </c>
      <c r="D293" s="47">
        <v>2796.0</v>
      </c>
      <c r="E293" s="47">
        <v>18440.0</v>
      </c>
      <c r="F293" s="47">
        <v>37.0</v>
      </c>
    </row>
    <row r="294" ht="15.75" customHeight="1">
      <c r="A294" s="46" t="s">
        <v>834</v>
      </c>
      <c r="B294" s="47" t="s">
        <v>835</v>
      </c>
      <c r="C294" s="47">
        <v>3053.0</v>
      </c>
      <c r="D294" s="47">
        <v>2836.0</v>
      </c>
      <c r="E294" s="47">
        <v>21370.0</v>
      </c>
      <c r="F294" s="47">
        <v>25.0</v>
      </c>
    </row>
    <row r="295" ht="15.75" customHeight="1">
      <c r="A295" s="46" t="s">
        <v>836</v>
      </c>
      <c r="B295" s="47" t="s">
        <v>837</v>
      </c>
      <c r="C295" s="47">
        <v>542.0</v>
      </c>
      <c r="D295" s="47">
        <v>526.0</v>
      </c>
      <c r="E295" s="47">
        <v>22840.0</v>
      </c>
      <c r="F295" s="47" t="s">
        <v>11</v>
      </c>
    </row>
    <row r="296" ht="15.75" customHeight="1">
      <c r="A296" s="46" t="s">
        <v>838</v>
      </c>
      <c r="B296" s="47" t="s">
        <v>839</v>
      </c>
      <c r="C296" s="47">
        <v>2085.0</v>
      </c>
      <c r="D296" s="47">
        <v>2027.0</v>
      </c>
      <c r="E296" s="47">
        <v>25040.0</v>
      </c>
      <c r="F296" s="47" t="s">
        <v>11</v>
      </c>
    </row>
    <row r="297" ht="15.75" customHeight="1">
      <c r="A297" s="46" t="s">
        <v>840</v>
      </c>
      <c r="B297" s="47" t="s">
        <v>841</v>
      </c>
      <c r="C297" s="47">
        <v>486.0</v>
      </c>
      <c r="D297" s="47">
        <v>519.0</v>
      </c>
      <c r="E297" s="47">
        <v>23580.0</v>
      </c>
      <c r="F297" s="47" t="s">
        <v>11</v>
      </c>
    </row>
    <row r="298" ht="15.75" customHeight="1">
      <c r="A298" s="46" t="s">
        <v>842</v>
      </c>
      <c r="B298" s="47" t="s">
        <v>843</v>
      </c>
      <c r="C298" s="47">
        <v>680.0</v>
      </c>
      <c r="D298" s="47">
        <v>704.0</v>
      </c>
      <c r="E298" s="47">
        <v>24940.0</v>
      </c>
      <c r="F298" s="47" t="s">
        <v>11</v>
      </c>
    </row>
    <row r="299" ht="15.75" customHeight="1">
      <c r="A299" s="46" t="s">
        <v>844</v>
      </c>
      <c r="B299" s="47" t="s">
        <v>845</v>
      </c>
      <c r="C299" s="47">
        <v>256.0</v>
      </c>
      <c r="D299" s="47">
        <v>249.0</v>
      </c>
      <c r="E299" s="47">
        <v>24670.0</v>
      </c>
      <c r="F299" s="47" t="s">
        <v>11</v>
      </c>
    </row>
    <row r="300" ht="15.75" customHeight="1">
      <c r="A300" s="46" t="s">
        <v>846</v>
      </c>
      <c r="B300" s="47" t="s">
        <v>847</v>
      </c>
      <c r="C300" s="47">
        <v>1118.0</v>
      </c>
      <c r="D300" s="47">
        <v>1103.0</v>
      </c>
      <c r="E300" s="47">
        <v>23720.0</v>
      </c>
      <c r="F300" s="47" t="s">
        <v>11</v>
      </c>
    </row>
    <row r="301" ht="15.75" customHeight="1">
      <c r="A301" s="46" t="s">
        <v>848</v>
      </c>
      <c r="B301" s="47" t="s">
        <v>849</v>
      </c>
      <c r="C301" s="47">
        <v>468.0</v>
      </c>
      <c r="D301" s="47">
        <v>420.0</v>
      </c>
      <c r="E301" s="47">
        <v>23840.0</v>
      </c>
      <c r="F301" s="47" t="s">
        <v>11</v>
      </c>
    </row>
    <row r="302" ht="15.75" customHeight="1">
      <c r="A302" s="46" t="s">
        <v>850</v>
      </c>
      <c r="B302" s="47" t="s">
        <v>851</v>
      </c>
      <c r="C302" s="47">
        <v>1687.0</v>
      </c>
      <c r="D302" s="47">
        <v>1701.0</v>
      </c>
      <c r="E302" s="47">
        <v>23860.0</v>
      </c>
      <c r="F302" s="47" t="s">
        <v>11</v>
      </c>
    </row>
    <row r="303" ht="15.75" customHeight="1">
      <c r="A303" s="46" t="s">
        <v>852</v>
      </c>
      <c r="B303" s="47" t="s">
        <v>853</v>
      </c>
      <c r="C303" s="47">
        <v>136.0</v>
      </c>
      <c r="D303" s="47">
        <v>130.0</v>
      </c>
      <c r="E303" s="47">
        <v>28230.0</v>
      </c>
      <c r="F303" s="47" t="s">
        <v>11</v>
      </c>
    </row>
    <row r="304" ht="15.75" customHeight="1">
      <c r="A304" s="46" t="s">
        <v>854</v>
      </c>
      <c r="B304" s="47" t="s">
        <v>855</v>
      </c>
      <c r="C304" s="47">
        <v>220.0</v>
      </c>
      <c r="D304" s="47">
        <v>194.0</v>
      </c>
      <c r="E304" s="47">
        <v>28190.0</v>
      </c>
      <c r="F304" s="47" t="s">
        <v>11</v>
      </c>
    </row>
    <row r="305" ht="15.75" customHeight="1">
      <c r="A305" s="46" t="s">
        <v>856</v>
      </c>
      <c r="B305" s="47" t="s">
        <v>857</v>
      </c>
      <c r="C305" s="47">
        <v>1386.0</v>
      </c>
      <c r="D305" s="47">
        <v>1355.0</v>
      </c>
      <c r="E305" s="47">
        <v>22910.0</v>
      </c>
      <c r="F305" s="47" t="s">
        <v>11</v>
      </c>
    </row>
    <row r="306" ht="15.75" customHeight="1">
      <c r="A306" s="46" t="s">
        <v>858</v>
      </c>
      <c r="B306" s="47" t="s">
        <v>859</v>
      </c>
      <c r="C306" s="47">
        <v>469.0</v>
      </c>
      <c r="D306" s="47">
        <v>518.0</v>
      </c>
      <c r="E306" s="47">
        <v>21530.0</v>
      </c>
      <c r="F306" s="47" t="s">
        <v>11</v>
      </c>
    </row>
    <row r="307" ht="15.75" customHeight="1">
      <c r="A307" s="46" t="s">
        <v>860</v>
      </c>
      <c r="B307" s="47" t="s">
        <v>861</v>
      </c>
      <c r="C307" s="47">
        <v>250.0</v>
      </c>
      <c r="D307" s="47">
        <v>232.0</v>
      </c>
      <c r="E307" s="47">
        <v>30960.0</v>
      </c>
      <c r="F307" s="47" t="s">
        <v>11</v>
      </c>
    </row>
    <row r="308" ht="15.75" customHeight="1">
      <c r="A308" s="46" t="s">
        <v>862</v>
      </c>
      <c r="B308" s="47" t="s">
        <v>863</v>
      </c>
      <c r="C308" s="47">
        <v>913.0</v>
      </c>
      <c r="D308" s="47">
        <v>862.0</v>
      </c>
      <c r="E308" s="47">
        <v>25470.0</v>
      </c>
      <c r="F308" s="47" t="s">
        <v>11</v>
      </c>
    </row>
    <row r="309" ht="15.75" customHeight="1">
      <c r="A309" s="46" t="s">
        <v>864</v>
      </c>
      <c r="B309" s="47" t="s">
        <v>865</v>
      </c>
      <c r="C309" s="47">
        <v>389.0</v>
      </c>
      <c r="D309" s="47">
        <v>378.0</v>
      </c>
      <c r="E309" s="47">
        <v>27900.0</v>
      </c>
      <c r="F309" s="47" t="s">
        <v>11</v>
      </c>
    </row>
    <row r="310" ht="15.75" customHeight="1">
      <c r="A310" s="46" t="s">
        <v>866</v>
      </c>
      <c r="B310" s="47" t="s">
        <v>867</v>
      </c>
      <c r="C310" s="47">
        <v>127.0</v>
      </c>
      <c r="D310" s="47">
        <v>140.0</v>
      </c>
      <c r="E310" s="47">
        <v>28070.0</v>
      </c>
      <c r="F310" s="47" t="s">
        <v>11</v>
      </c>
    </row>
    <row r="311" ht="15.75" customHeight="1">
      <c r="A311" s="46" t="s">
        <v>868</v>
      </c>
      <c r="B311" s="47" t="s">
        <v>869</v>
      </c>
      <c r="C311" s="47">
        <v>277.0</v>
      </c>
      <c r="D311" s="47">
        <v>280.0</v>
      </c>
      <c r="E311" s="47">
        <v>25480.0</v>
      </c>
      <c r="F311" s="47" t="s">
        <v>11</v>
      </c>
    </row>
    <row r="312" ht="15.75" customHeight="1">
      <c r="A312" s="46" t="s">
        <v>870</v>
      </c>
      <c r="B312" s="47" t="s">
        <v>871</v>
      </c>
      <c r="C312" s="47">
        <v>489.0</v>
      </c>
      <c r="D312" s="47">
        <v>483.0</v>
      </c>
      <c r="E312" s="47">
        <v>25900.0</v>
      </c>
      <c r="F312" s="47" t="s">
        <v>11</v>
      </c>
    </row>
    <row r="313" ht="15.75" customHeight="1">
      <c r="A313" s="46" t="s">
        <v>872</v>
      </c>
      <c r="B313" s="47" t="s">
        <v>873</v>
      </c>
      <c r="C313" s="47">
        <v>165.0</v>
      </c>
      <c r="D313" s="47">
        <v>166.0</v>
      </c>
      <c r="E313" s="47">
        <v>23450.0</v>
      </c>
      <c r="F313" s="47" t="s">
        <v>11</v>
      </c>
    </row>
    <row r="314" ht="15.75" customHeight="1">
      <c r="A314" s="46" t="s">
        <v>874</v>
      </c>
      <c r="B314" s="47" t="s">
        <v>875</v>
      </c>
      <c r="C314" s="47">
        <v>524.0</v>
      </c>
      <c r="D314" s="47">
        <v>535.0</v>
      </c>
      <c r="E314" s="47">
        <v>27690.0</v>
      </c>
      <c r="F314" s="47" t="s">
        <v>11</v>
      </c>
    </row>
    <row r="315" ht="15.75" customHeight="1">
      <c r="A315" s="46" t="s">
        <v>876</v>
      </c>
      <c r="B315" s="47" t="s">
        <v>877</v>
      </c>
      <c r="C315" s="47">
        <v>419.0</v>
      </c>
      <c r="D315" s="47">
        <v>404.0</v>
      </c>
      <c r="E315" s="47">
        <v>26320.0</v>
      </c>
      <c r="F315" s="47" t="s">
        <v>11</v>
      </c>
    </row>
    <row r="316" ht="15.75" customHeight="1">
      <c r="A316" s="46" t="s">
        <v>878</v>
      </c>
      <c r="B316" s="47" t="s">
        <v>879</v>
      </c>
      <c r="C316" s="47">
        <v>474.0</v>
      </c>
      <c r="D316" s="47">
        <v>463.0</v>
      </c>
      <c r="E316" s="47">
        <v>29410.0</v>
      </c>
      <c r="F316" s="47" t="s">
        <v>11</v>
      </c>
    </row>
    <row r="317" ht="15.75" customHeight="1">
      <c r="A317" s="46" t="s">
        <v>880</v>
      </c>
      <c r="B317" s="47" t="s">
        <v>881</v>
      </c>
      <c r="C317" s="47">
        <v>113.0</v>
      </c>
      <c r="D317" s="47">
        <v>106.0</v>
      </c>
      <c r="E317" s="47">
        <v>21640.0</v>
      </c>
      <c r="F317" s="47" t="s">
        <v>11</v>
      </c>
    </row>
    <row r="318" ht="15.75" customHeight="1">
      <c r="A318" s="46" t="s">
        <v>882</v>
      </c>
      <c r="B318" s="47" t="s">
        <v>883</v>
      </c>
      <c r="C318" s="47">
        <v>268.0</v>
      </c>
      <c r="D318" s="47">
        <v>272.0</v>
      </c>
      <c r="E318" s="47">
        <v>25610.0</v>
      </c>
      <c r="F318" s="47" t="s">
        <v>11</v>
      </c>
    </row>
    <row r="319" ht="15.75" customHeight="1">
      <c r="A319" s="46" t="s">
        <v>884</v>
      </c>
      <c r="B319" s="47" t="s">
        <v>885</v>
      </c>
      <c r="C319" s="47">
        <v>161.0</v>
      </c>
      <c r="D319" s="47">
        <v>160.0</v>
      </c>
      <c r="E319" s="47">
        <v>22600.0</v>
      </c>
      <c r="F319" s="47" t="s">
        <v>11</v>
      </c>
    </row>
    <row r="320" ht="15.75" customHeight="1">
      <c r="A320" s="46" t="s">
        <v>886</v>
      </c>
      <c r="B320" s="47" t="s">
        <v>887</v>
      </c>
      <c r="C320" s="47">
        <v>2945.0</v>
      </c>
      <c r="D320" s="47">
        <v>2890.0</v>
      </c>
      <c r="E320" s="47">
        <v>21300.0</v>
      </c>
      <c r="F320" s="47">
        <v>20.0</v>
      </c>
    </row>
    <row r="321" ht="15.75" customHeight="1">
      <c r="A321" s="46" t="s">
        <v>888</v>
      </c>
      <c r="B321" s="47" t="s">
        <v>889</v>
      </c>
      <c r="C321" s="47">
        <v>192.0</v>
      </c>
      <c r="D321" s="47">
        <v>166.0</v>
      </c>
      <c r="E321" s="47">
        <v>24750.0</v>
      </c>
      <c r="F321" s="47" t="s">
        <v>11</v>
      </c>
    </row>
    <row r="322" ht="15.75" customHeight="1">
      <c r="A322" s="46" t="s">
        <v>890</v>
      </c>
      <c r="B322" s="47" t="s">
        <v>891</v>
      </c>
      <c r="C322" s="47">
        <v>998.0</v>
      </c>
      <c r="D322" s="47">
        <v>971.0</v>
      </c>
      <c r="E322" s="47">
        <v>25700.0</v>
      </c>
      <c r="F322" s="47" t="s">
        <v>11</v>
      </c>
    </row>
    <row r="323" ht="15.75" customHeight="1">
      <c r="A323" s="46" t="s">
        <v>892</v>
      </c>
      <c r="B323" s="47" t="s">
        <v>893</v>
      </c>
      <c r="C323" s="47">
        <v>176.0</v>
      </c>
      <c r="D323" s="47">
        <v>198.0</v>
      </c>
      <c r="E323" s="47">
        <v>25950.0</v>
      </c>
      <c r="F323" s="47" t="s">
        <v>11</v>
      </c>
    </row>
    <row r="324" ht="15.75" customHeight="1">
      <c r="A324" s="46" t="s">
        <v>894</v>
      </c>
      <c r="B324" s="47" t="s">
        <v>895</v>
      </c>
      <c r="C324" s="47">
        <v>261.0</v>
      </c>
      <c r="D324" s="47">
        <v>236.0</v>
      </c>
      <c r="E324" s="47">
        <v>24090.0</v>
      </c>
      <c r="F324" s="47" t="s">
        <v>11</v>
      </c>
    </row>
    <row r="325" ht="15.75" customHeight="1">
      <c r="A325" s="46" t="s">
        <v>896</v>
      </c>
      <c r="B325" s="47" t="s">
        <v>897</v>
      </c>
      <c r="C325" s="47">
        <v>687.0</v>
      </c>
      <c r="D325" s="47">
        <v>683.0</v>
      </c>
      <c r="E325" s="47">
        <v>25750.0</v>
      </c>
      <c r="F325" s="47" t="s">
        <v>11</v>
      </c>
    </row>
    <row r="326" ht="15.75" customHeight="1">
      <c r="A326" s="46" t="s">
        <v>898</v>
      </c>
      <c r="B326" s="47" t="s">
        <v>899</v>
      </c>
      <c r="C326" s="47">
        <v>5276.0</v>
      </c>
      <c r="D326" s="47">
        <v>5183.0</v>
      </c>
      <c r="E326" s="47">
        <v>23200.0</v>
      </c>
      <c r="F326" s="47">
        <v>17.0</v>
      </c>
    </row>
    <row r="327" ht="15.75" customHeight="1">
      <c r="A327" s="46" t="s">
        <v>900</v>
      </c>
      <c r="B327" s="47" t="s">
        <v>901</v>
      </c>
      <c r="C327" s="47">
        <v>277.0</v>
      </c>
      <c r="D327" s="47">
        <v>258.0</v>
      </c>
      <c r="E327" s="47">
        <v>28140.0</v>
      </c>
      <c r="F327" s="47" t="s">
        <v>11</v>
      </c>
    </row>
    <row r="328" ht="15.75" customHeight="1">
      <c r="A328" s="46" t="s">
        <v>902</v>
      </c>
      <c r="B328" s="47" t="s">
        <v>903</v>
      </c>
      <c r="C328" s="47">
        <v>135.0</v>
      </c>
      <c r="D328" s="47">
        <v>127.0</v>
      </c>
      <c r="E328" s="47">
        <v>23730.0</v>
      </c>
      <c r="F328" s="47" t="s">
        <v>11</v>
      </c>
    </row>
    <row r="329" ht="15.75" customHeight="1">
      <c r="A329" s="46" t="s">
        <v>904</v>
      </c>
      <c r="B329" s="47" t="s">
        <v>905</v>
      </c>
      <c r="C329" s="47">
        <v>81.0</v>
      </c>
      <c r="D329" s="47">
        <v>84.0</v>
      </c>
      <c r="E329" s="47" t="s">
        <v>11</v>
      </c>
      <c r="F329" s="47" t="s">
        <v>11</v>
      </c>
    </row>
    <row r="330" ht="15.75" customHeight="1">
      <c r="A330" s="46" t="s">
        <v>906</v>
      </c>
      <c r="B330" s="47" t="s">
        <v>907</v>
      </c>
      <c r="C330" s="47">
        <v>42.0</v>
      </c>
      <c r="D330" s="47">
        <v>37.0</v>
      </c>
      <c r="E330" s="47" t="s">
        <v>11</v>
      </c>
      <c r="F330" s="47" t="s">
        <v>11</v>
      </c>
    </row>
    <row r="331" ht="15.75" customHeight="1">
      <c r="A331" s="46" t="s">
        <v>908</v>
      </c>
      <c r="B331" s="47" t="s">
        <v>909</v>
      </c>
      <c r="C331" s="47">
        <v>672.0</v>
      </c>
      <c r="D331" s="47">
        <v>630.0</v>
      </c>
      <c r="E331" s="47">
        <v>25180.0</v>
      </c>
      <c r="F331" s="47" t="s">
        <v>11</v>
      </c>
    </row>
    <row r="332" ht="15.75" customHeight="1">
      <c r="A332" s="46" t="s">
        <v>910</v>
      </c>
      <c r="B332" s="47" t="s">
        <v>911</v>
      </c>
      <c r="C332" s="47">
        <v>450.0</v>
      </c>
      <c r="D332" s="47">
        <v>425.0</v>
      </c>
      <c r="E332" s="47">
        <v>27380.0</v>
      </c>
      <c r="F332" s="47" t="s">
        <v>11</v>
      </c>
    </row>
    <row r="333" ht="15.75" customHeight="1">
      <c r="A333" s="46" t="s">
        <v>912</v>
      </c>
      <c r="B333" s="47" t="s">
        <v>913</v>
      </c>
      <c r="C333" s="47">
        <v>57.0</v>
      </c>
      <c r="D333" s="47">
        <v>65.0</v>
      </c>
      <c r="E333" s="47" t="s">
        <v>11</v>
      </c>
      <c r="F333" s="47" t="s">
        <v>11</v>
      </c>
    </row>
    <row r="334" ht="15.75" customHeight="1">
      <c r="A334" s="46" t="s">
        <v>914</v>
      </c>
      <c r="B334" s="47" t="s">
        <v>915</v>
      </c>
      <c r="C334" s="47">
        <v>135.0</v>
      </c>
      <c r="D334" s="47">
        <v>140.0</v>
      </c>
      <c r="E334" s="47">
        <v>20070.0</v>
      </c>
      <c r="F334" s="47" t="s">
        <v>11</v>
      </c>
    </row>
    <row r="335" ht="15.75" customHeight="1">
      <c r="A335" s="46" t="s">
        <v>916</v>
      </c>
      <c r="B335" s="47" t="s">
        <v>917</v>
      </c>
      <c r="C335" s="47">
        <v>116.0</v>
      </c>
      <c r="D335" s="47">
        <v>120.0</v>
      </c>
      <c r="E335" s="47">
        <v>26740.0</v>
      </c>
      <c r="F335" s="47" t="s">
        <v>11</v>
      </c>
    </row>
    <row r="336" ht="15.75" customHeight="1">
      <c r="A336" s="46" t="s">
        <v>918</v>
      </c>
      <c r="B336" s="47" t="s">
        <v>919</v>
      </c>
      <c r="C336" s="47">
        <v>560.0</v>
      </c>
      <c r="D336" s="47">
        <v>572.0</v>
      </c>
      <c r="E336" s="47">
        <v>24600.0</v>
      </c>
      <c r="F336" s="47" t="s">
        <v>11</v>
      </c>
    </row>
    <row r="337" ht="15.75" customHeight="1">
      <c r="A337" s="46" t="s">
        <v>920</v>
      </c>
      <c r="B337" s="47" t="s">
        <v>921</v>
      </c>
      <c r="C337" s="47">
        <v>301.0</v>
      </c>
      <c r="D337" s="47">
        <v>275.0</v>
      </c>
      <c r="E337" s="47">
        <v>24040.0</v>
      </c>
      <c r="F337" s="47" t="s">
        <v>11</v>
      </c>
    </row>
    <row r="338" ht="15.75" customHeight="1">
      <c r="A338" s="46" t="s">
        <v>922</v>
      </c>
      <c r="B338" s="47" t="s">
        <v>923</v>
      </c>
      <c r="C338" s="47">
        <v>83.0</v>
      </c>
      <c r="D338" s="47">
        <v>80.0</v>
      </c>
      <c r="E338" s="47" t="s">
        <v>11</v>
      </c>
      <c r="F338" s="47" t="s">
        <v>11</v>
      </c>
    </row>
    <row r="339" ht="15.75" customHeight="1">
      <c r="A339" s="46" t="s">
        <v>924</v>
      </c>
      <c r="B339" s="47" t="s">
        <v>925</v>
      </c>
      <c r="C339" s="47">
        <v>980.0</v>
      </c>
      <c r="D339" s="47">
        <v>1011.0</v>
      </c>
      <c r="E339" s="47">
        <v>27280.0</v>
      </c>
      <c r="F339" s="47" t="s">
        <v>11</v>
      </c>
    </row>
    <row r="340" ht="15.75" customHeight="1">
      <c r="A340" s="46" t="s">
        <v>926</v>
      </c>
      <c r="B340" s="47" t="s">
        <v>927</v>
      </c>
      <c r="C340" s="47">
        <v>252.0</v>
      </c>
      <c r="D340" s="47">
        <v>227.0</v>
      </c>
      <c r="E340" s="47">
        <v>24210.0</v>
      </c>
      <c r="F340" s="47" t="s">
        <v>11</v>
      </c>
    </row>
    <row r="341" ht="15.75" customHeight="1">
      <c r="A341" s="46" t="s">
        <v>928</v>
      </c>
      <c r="B341" s="47" t="s">
        <v>929</v>
      </c>
      <c r="C341" s="47">
        <v>73.0</v>
      </c>
      <c r="D341" s="47">
        <v>56.0</v>
      </c>
      <c r="E341" s="47" t="s">
        <v>11</v>
      </c>
      <c r="F341" s="47" t="s">
        <v>11</v>
      </c>
    </row>
    <row r="342" ht="15.75" customHeight="1">
      <c r="A342" s="46" t="s">
        <v>930</v>
      </c>
      <c r="B342" s="47" t="s">
        <v>931</v>
      </c>
      <c r="C342" s="47">
        <v>358.0</v>
      </c>
      <c r="D342" s="47">
        <v>304.0</v>
      </c>
      <c r="E342" s="47">
        <v>22570.0</v>
      </c>
      <c r="F342" s="47" t="s">
        <v>11</v>
      </c>
    </row>
    <row r="343" ht="15.75" customHeight="1">
      <c r="A343" s="46" t="s">
        <v>932</v>
      </c>
      <c r="B343" s="47" t="s">
        <v>933</v>
      </c>
      <c r="C343" s="47">
        <v>1355.0</v>
      </c>
      <c r="D343" s="47">
        <v>1280.0</v>
      </c>
      <c r="E343" s="47">
        <v>25640.0</v>
      </c>
      <c r="F343" s="47" t="s">
        <v>11</v>
      </c>
    </row>
    <row r="344" ht="15.75" customHeight="1">
      <c r="A344" s="46" t="s">
        <v>934</v>
      </c>
      <c r="B344" s="47" t="s">
        <v>935</v>
      </c>
      <c r="C344" s="47">
        <v>2704.0</v>
      </c>
      <c r="D344" s="47">
        <v>2792.0</v>
      </c>
      <c r="E344" s="47">
        <v>26320.0</v>
      </c>
      <c r="F344" s="47">
        <v>9.0</v>
      </c>
    </row>
    <row r="345" ht="15.75" customHeight="1">
      <c r="A345" s="46" t="s">
        <v>936</v>
      </c>
      <c r="B345" s="47" t="s">
        <v>937</v>
      </c>
      <c r="C345" s="47">
        <v>4824.0</v>
      </c>
      <c r="D345" s="47">
        <v>4490.0</v>
      </c>
      <c r="E345" s="47">
        <v>19250.0</v>
      </c>
      <c r="F345" s="47">
        <v>33.0</v>
      </c>
    </row>
    <row r="346" ht="15.75" customHeight="1">
      <c r="A346" s="46" t="s">
        <v>938</v>
      </c>
      <c r="B346" s="47" t="s">
        <v>939</v>
      </c>
      <c r="C346" s="47">
        <v>243.0</v>
      </c>
      <c r="D346" s="47">
        <v>238.0</v>
      </c>
      <c r="E346" s="47">
        <v>26800.0</v>
      </c>
      <c r="F346" s="47" t="s">
        <v>11</v>
      </c>
    </row>
    <row r="347" ht="15.75" customHeight="1">
      <c r="A347" s="46" t="s">
        <v>940</v>
      </c>
      <c r="B347" s="47" t="s">
        <v>941</v>
      </c>
      <c r="C347" s="47">
        <v>423.0</v>
      </c>
      <c r="D347" s="47">
        <v>357.0</v>
      </c>
      <c r="E347" s="47">
        <v>21520.0</v>
      </c>
      <c r="F347" s="47" t="s">
        <v>11</v>
      </c>
    </row>
    <row r="348" ht="15.75" customHeight="1">
      <c r="A348" s="46" t="s">
        <v>942</v>
      </c>
      <c r="B348" s="47" t="s">
        <v>943</v>
      </c>
      <c r="C348" s="47">
        <v>253.0</v>
      </c>
      <c r="D348" s="47">
        <v>244.0</v>
      </c>
      <c r="E348" s="47">
        <v>27660.0</v>
      </c>
      <c r="F348" s="47" t="s">
        <v>11</v>
      </c>
    </row>
    <row r="349" ht="15.75" customHeight="1">
      <c r="A349" s="46" t="s">
        <v>944</v>
      </c>
      <c r="B349" s="47" t="s">
        <v>945</v>
      </c>
      <c r="C349" s="47">
        <v>318.0</v>
      </c>
      <c r="D349" s="47">
        <v>320.0</v>
      </c>
      <c r="E349" s="47">
        <v>22850.0</v>
      </c>
      <c r="F349" s="47" t="s">
        <v>11</v>
      </c>
    </row>
    <row r="350" ht="15.75" customHeight="1">
      <c r="A350" s="46" t="s">
        <v>946</v>
      </c>
      <c r="B350" s="47" t="s">
        <v>947</v>
      </c>
      <c r="C350" s="47">
        <v>133.0</v>
      </c>
      <c r="D350" s="47">
        <v>179.0</v>
      </c>
      <c r="E350" s="47">
        <v>24150.0</v>
      </c>
      <c r="F350" s="47" t="s">
        <v>11</v>
      </c>
    </row>
    <row r="351" ht="15.75" customHeight="1">
      <c r="A351" s="46" t="s">
        <v>948</v>
      </c>
      <c r="B351" s="47" t="s">
        <v>949</v>
      </c>
      <c r="C351" s="47">
        <v>580.0</v>
      </c>
      <c r="D351" s="47">
        <v>556.0</v>
      </c>
      <c r="E351" s="47">
        <v>27390.0</v>
      </c>
      <c r="F351" s="47" t="s">
        <v>11</v>
      </c>
    </row>
    <row r="352" ht="15.75" customHeight="1">
      <c r="A352" s="46" t="s">
        <v>950</v>
      </c>
      <c r="B352" s="47" t="s">
        <v>951</v>
      </c>
      <c r="C352" s="47">
        <v>242.0</v>
      </c>
      <c r="D352" s="47">
        <v>244.0</v>
      </c>
      <c r="E352" s="47">
        <v>22610.0</v>
      </c>
      <c r="F352" s="47" t="s">
        <v>11</v>
      </c>
    </row>
    <row r="353" ht="15.75" customHeight="1">
      <c r="A353" s="46" t="s">
        <v>952</v>
      </c>
      <c r="B353" s="47" t="s">
        <v>953</v>
      </c>
      <c r="C353" s="47">
        <v>598.0</v>
      </c>
      <c r="D353" s="47">
        <v>545.0</v>
      </c>
      <c r="E353" s="47">
        <v>23910.0</v>
      </c>
      <c r="F353" s="47" t="s">
        <v>11</v>
      </c>
    </row>
    <row r="354" ht="15.75" customHeight="1">
      <c r="A354" s="46" t="s">
        <v>954</v>
      </c>
      <c r="B354" s="47" t="s">
        <v>955</v>
      </c>
      <c r="C354" s="47">
        <v>1610.0</v>
      </c>
      <c r="D354" s="47">
        <v>1569.0</v>
      </c>
      <c r="E354" s="47">
        <v>23750.0</v>
      </c>
      <c r="F354" s="47" t="s">
        <v>11</v>
      </c>
    </row>
    <row r="355" ht="15.75" customHeight="1">
      <c r="A355" s="46" t="s">
        <v>956</v>
      </c>
      <c r="B355" s="47" t="s">
        <v>957</v>
      </c>
      <c r="C355" s="47">
        <v>371.0</v>
      </c>
      <c r="D355" s="47">
        <v>343.0</v>
      </c>
      <c r="E355" s="47">
        <v>26050.0</v>
      </c>
      <c r="F355" s="47" t="s">
        <v>11</v>
      </c>
    </row>
    <row r="356" ht="15.75" customHeight="1">
      <c r="A356" s="46" t="s">
        <v>958</v>
      </c>
      <c r="B356" s="47" t="s">
        <v>959</v>
      </c>
      <c r="C356" s="47">
        <v>208.0</v>
      </c>
      <c r="D356" s="47">
        <v>203.0</v>
      </c>
      <c r="E356" s="47">
        <v>25430.0</v>
      </c>
      <c r="F356" s="47" t="s">
        <v>11</v>
      </c>
    </row>
    <row r="357" ht="15.75" customHeight="1">
      <c r="A357" s="46" t="s">
        <v>960</v>
      </c>
      <c r="B357" s="47" t="s">
        <v>961</v>
      </c>
      <c r="C357" s="47">
        <v>877.0</v>
      </c>
      <c r="D357" s="47">
        <v>822.0</v>
      </c>
      <c r="E357" s="47">
        <v>22480.0</v>
      </c>
      <c r="F357" s="47" t="s">
        <v>11</v>
      </c>
    </row>
    <row r="358" ht="15.75" customHeight="1">
      <c r="A358" s="46" t="s">
        <v>962</v>
      </c>
      <c r="B358" s="47" t="s">
        <v>963</v>
      </c>
      <c r="C358" s="47">
        <v>167.0</v>
      </c>
      <c r="D358" s="47">
        <v>165.0</v>
      </c>
      <c r="E358" s="47">
        <v>27820.0</v>
      </c>
      <c r="F358" s="47" t="s">
        <v>11</v>
      </c>
    </row>
    <row r="359" ht="15.75" customHeight="1">
      <c r="A359" s="46" t="s">
        <v>964</v>
      </c>
      <c r="B359" s="47" t="s">
        <v>965</v>
      </c>
      <c r="C359" s="47">
        <v>166.0</v>
      </c>
      <c r="D359" s="47">
        <v>189.0</v>
      </c>
      <c r="E359" s="47">
        <v>23970.0</v>
      </c>
      <c r="F359" s="47" t="s">
        <v>11</v>
      </c>
    </row>
    <row r="360" ht="15.75" customHeight="1">
      <c r="A360" s="46" t="s">
        <v>966</v>
      </c>
      <c r="B360" s="47" t="s">
        <v>967</v>
      </c>
      <c r="C360" s="47">
        <v>144.0</v>
      </c>
      <c r="D360" s="47">
        <v>131.0</v>
      </c>
      <c r="E360" s="47">
        <v>24980.0</v>
      </c>
      <c r="F360" s="47" t="s">
        <v>11</v>
      </c>
    </row>
    <row r="361" ht="15.75" customHeight="1">
      <c r="A361" s="46" t="s">
        <v>968</v>
      </c>
      <c r="B361" s="47" t="s">
        <v>969</v>
      </c>
      <c r="C361" s="47">
        <v>143.0</v>
      </c>
      <c r="D361" s="47">
        <v>125.0</v>
      </c>
      <c r="E361" s="47">
        <v>22850.0</v>
      </c>
      <c r="F361" s="47" t="s">
        <v>11</v>
      </c>
    </row>
    <row r="362" ht="15.75" customHeight="1">
      <c r="A362" s="46" t="s">
        <v>970</v>
      </c>
      <c r="B362" s="47" t="s">
        <v>971</v>
      </c>
      <c r="C362" s="47">
        <v>230.0</v>
      </c>
      <c r="D362" s="47">
        <v>192.0</v>
      </c>
      <c r="E362" s="47">
        <v>23710.0</v>
      </c>
      <c r="F362" s="47" t="s">
        <v>11</v>
      </c>
    </row>
    <row r="363" ht="15.75" customHeight="1">
      <c r="A363" s="46" t="s">
        <v>972</v>
      </c>
      <c r="B363" s="47" t="s">
        <v>973</v>
      </c>
      <c r="C363" s="47">
        <v>25.0</v>
      </c>
      <c r="D363" s="47">
        <v>28.0</v>
      </c>
      <c r="E363" s="47" t="s">
        <v>11</v>
      </c>
      <c r="F363" s="47" t="s">
        <v>11</v>
      </c>
    </row>
    <row r="364" ht="15.75" customHeight="1">
      <c r="A364" s="46" t="s">
        <v>974</v>
      </c>
      <c r="B364" s="47" t="s">
        <v>975</v>
      </c>
      <c r="C364" s="47">
        <v>8813.0</v>
      </c>
      <c r="D364" s="47">
        <v>8469.0</v>
      </c>
      <c r="E364" s="47">
        <v>18280.0</v>
      </c>
      <c r="F364" s="47">
        <v>35.0</v>
      </c>
    </row>
    <row r="365" ht="15.75" customHeight="1">
      <c r="A365" s="46" t="s">
        <v>976</v>
      </c>
      <c r="B365" s="47" t="s">
        <v>977</v>
      </c>
      <c r="C365" s="47">
        <v>1387.0</v>
      </c>
      <c r="D365" s="47">
        <v>1343.0</v>
      </c>
      <c r="E365" s="47">
        <v>26900.0</v>
      </c>
      <c r="F365" s="47" t="s">
        <v>11</v>
      </c>
    </row>
    <row r="366" ht="15.75" customHeight="1">
      <c r="A366" s="46" t="s">
        <v>978</v>
      </c>
      <c r="B366" s="47" t="s">
        <v>979</v>
      </c>
      <c r="C366" s="47">
        <v>1464.0</v>
      </c>
      <c r="D366" s="47">
        <v>1412.0</v>
      </c>
      <c r="E366" s="47">
        <v>27200.0</v>
      </c>
      <c r="F366" s="47" t="s">
        <v>11</v>
      </c>
    </row>
    <row r="367" ht="15.75" customHeight="1">
      <c r="A367" s="46" t="s">
        <v>980</v>
      </c>
      <c r="B367" s="47" t="s">
        <v>981</v>
      </c>
      <c r="C367" s="47">
        <v>53.0</v>
      </c>
      <c r="D367" s="47">
        <v>57.0</v>
      </c>
      <c r="E367" s="47" t="s">
        <v>11</v>
      </c>
      <c r="F367" s="47" t="s">
        <v>11</v>
      </c>
    </row>
    <row r="368" ht="15.75" customHeight="1">
      <c r="A368" s="46" t="s">
        <v>982</v>
      </c>
      <c r="B368" s="47" t="s">
        <v>983</v>
      </c>
      <c r="C368" s="47">
        <v>149.0</v>
      </c>
      <c r="D368" s="47">
        <v>170.0</v>
      </c>
      <c r="E368" s="47">
        <v>23870.0</v>
      </c>
      <c r="F368" s="47" t="s">
        <v>11</v>
      </c>
    </row>
    <row r="369" ht="15.75" customHeight="1">
      <c r="A369" s="46" t="s">
        <v>984</v>
      </c>
      <c r="B369" s="47" t="s">
        <v>985</v>
      </c>
      <c r="C369" s="47">
        <v>239.0</v>
      </c>
      <c r="D369" s="47">
        <v>224.0</v>
      </c>
      <c r="E369" s="47">
        <v>22550.0</v>
      </c>
      <c r="F369" s="47" t="s">
        <v>11</v>
      </c>
    </row>
    <row r="370" ht="15.75" customHeight="1">
      <c r="A370" s="46" t="s">
        <v>986</v>
      </c>
      <c r="B370" s="47" t="s">
        <v>987</v>
      </c>
      <c r="C370" s="47">
        <v>1031.0</v>
      </c>
      <c r="D370" s="47">
        <v>999.0</v>
      </c>
      <c r="E370" s="47">
        <v>27960.0</v>
      </c>
      <c r="F370" s="47" t="s">
        <v>11</v>
      </c>
    </row>
    <row r="371" ht="15.75" customHeight="1">
      <c r="A371" s="46" t="s">
        <v>988</v>
      </c>
      <c r="B371" s="47" t="s">
        <v>989</v>
      </c>
      <c r="C371" s="47">
        <v>232.0</v>
      </c>
      <c r="D371" s="47">
        <v>218.0</v>
      </c>
      <c r="E371" s="47">
        <v>22720.0</v>
      </c>
      <c r="F371" s="47" t="s">
        <v>11</v>
      </c>
    </row>
    <row r="372" ht="15.75" customHeight="1">
      <c r="A372" s="46" t="s">
        <v>990</v>
      </c>
      <c r="B372" s="47" t="s">
        <v>991</v>
      </c>
      <c r="C372" s="47">
        <v>645.0</v>
      </c>
      <c r="D372" s="47">
        <v>672.0</v>
      </c>
      <c r="E372" s="47">
        <v>25410.0</v>
      </c>
      <c r="F372" s="47" t="s">
        <v>11</v>
      </c>
    </row>
    <row r="373" ht="15.75" customHeight="1">
      <c r="A373" s="46" t="s">
        <v>992</v>
      </c>
      <c r="B373" s="47" t="s">
        <v>993</v>
      </c>
      <c r="C373" s="47">
        <v>271.0</v>
      </c>
      <c r="D373" s="47">
        <v>251.0</v>
      </c>
      <c r="E373" s="47">
        <v>26340.0</v>
      </c>
      <c r="F373" s="47" t="s">
        <v>11</v>
      </c>
    </row>
    <row r="374" ht="15.75" customHeight="1">
      <c r="A374" s="46" t="s">
        <v>994</v>
      </c>
      <c r="B374" s="47" t="s">
        <v>995</v>
      </c>
      <c r="C374" s="47">
        <v>205.0</v>
      </c>
      <c r="D374" s="47">
        <v>229.0</v>
      </c>
      <c r="E374" s="47">
        <v>22690.0</v>
      </c>
      <c r="F374" s="47" t="s">
        <v>11</v>
      </c>
    </row>
    <row r="375" ht="15.75" customHeight="1">
      <c r="A375" s="46" t="s">
        <v>996</v>
      </c>
      <c r="B375" s="47" t="s">
        <v>997</v>
      </c>
      <c r="C375" s="47">
        <v>299.0</v>
      </c>
      <c r="D375" s="47">
        <v>328.0</v>
      </c>
      <c r="E375" s="47">
        <v>25670.0</v>
      </c>
      <c r="F375" s="47" t="s">
        <v>11</v>
      </c>
    </row>
    <row r="376" ht="15.75" customHeight="1">
      <c r="A376" s="46" t="s">
        <v>998</v>
      </c>
      <c r="B376" s="47" t="s">
        <v>999</v>
      </c>
      <c r="C376" s="47">
        <v>144.0</v>
      </c>
      <c r="D376" s="47">
        <v>141.0</v>
      </c>
      <c r="E376" s="47">
        <v>25070.0</v>
      </c>
      <c r="F376" s="47" t="s">
        <v>11</v>
      </c>
    </row>
    <row r="377" ht="15.75" customHeight="1">
      <c r="A377" s="46" t="s">
        <v>1000</v>
      </c>
      <c r="B377" s="47" t="s">
        <v>1001</v>
      </c>
      <c r="C377" s="47">
        <v>146.0</v>
      </c>
      <c r="D377" s="47">
        <v>120.0</v>
      </c>
      <c r="E377" s="47">
        <v>26890.0</v>
      </c>
      <c r="F377" s="47" t="s">
        <v>11</v>
      </c>
    </row>
    <row r="378" ht="15.75" customHeight="1">
      <c r="A378" s="46" t="s">
        <v>1002</v>
      </c>
      <c r="B378" s="47" t="s">
        <v>1003</v>
      </c>
      <c r="C378" s="47">
        <v>64.0</v>
      </c>
      <c r="D378" s="47">
        <v>60.0</v>
      </c>
      <c r="E378" s="47" t="s">
        <v>11</v>
      </c>
      <c r="F378" s="47" t="s">
        <v>11</v>
      </c>
    </row>
    <row r="379" ht="15.75" customHeight="1">
      <c r="A379" s="46" t="s">
        <v>1004</v>
      </c>
      <c r="B379" s="47" t="s">
        <v>1005</v>
      </c>
      <c r="C379" s="47">
        <v>1260.0</v>
      </c>
      <c r="D379" s="47">
        <v>1153.0</v>
      </c>
      <c r="E379" s="47">
        <v>24770.0</v>
      </c>
      <c r="F379" s="47" t="s">
        <v>11</v>
      </c>
    </row>
    <row r="380" ht="15.75" customHeight="1">
      <c r="A380" s="46" t="s">
        <v>1006</v>
      </c>
      <c r="B380" s="47" t="s">
        <v>1007</v>
      </c>
      <c r="C380" s="47">
        <v>277.0</v>
      </c>
      <c r="D380" s="47">
        <v>288.0</v>
      </c>
      <c r="E380" s="47">
        <v>24960.0</v>
      </c>
      <c r="F380" s="47" t="s">
        <v>11</v>
      </c>
    </row>
    <row r="381" ht="15.75" customHeight="1">
      <c r="A381" s="46" t="s">
        <v>1008</v>
      </c>
      <c r="B381" s="47" t="s">
        <v>1009</v>
      </c>
      <c r="C381" s="47">
        <v>599.0</v>
      </c>
      <c r="D381" s="47">
        <v>604.0</v>
      </c>
      <c r="E381" s="47">
        <v>25920.0</v>
      </c>
      <c r="F381" s="47" t="s">
        <v>11</v>
      </c>
    </row>
    <row r="382" ht="15.75" customHeight="1">
      <c r="A382" s="46" t="s">
        <v>1010</v>
      </c>
      <c r="B382" s="47" t="s">
        <v>1011</v>
      </c>
      <c r="C382" s="47">
        <v>149.0</v>
      </c>
      <c r="D382" s="47">
        <v>149.0</v>
      </c>
      <c r="E382" s="47">
        <v>24730.0</v>
      </c>
      <c r="F382" s="47" t="s">
        <v>11</v>
      </c>
    </row>
    <row r="383" ht="15.75" customHeight="1">
      <c r="A383" s="46" t="s">
        <v>1012</v>
      </c>
      <c r="B383" s="47" t="s">
        <v>1013</v>
      </c>
      <c r="C383" s="47">
        <v>196.0</v>
      </c>
      <c r="D383" s="47">
        <v>189.0</v>
      </c>
      <c r="E383" s="47">
        <v>26020.0</v>
      </c>
      <c r="F383" s="47" t="s">
        <v>11</v>
      </c>
    </row>
    <row r="384" ht="15.75" customHeight="1">
      <c r="A384" s="46" t="s">
        <v>1014</v>
      </c>
      <c r="B384" s="47" t="s">
        <v>1015</v>
      </c>
      <c r="C384" s="47">
        <v>37.0</v>
      </c>
      <c r="D384" s="47">
        <v>38.0</v>
      </c>
      <c r="E384" s="47" t="s">
        <v>11</v>
      </c>
      <c r="F384" s="47" t="s">
        <v>11</v>
      </c>
    </row>
    <row r="385" ht="15.75" customHeight="1">
      <c r="A385" s="46" t="s">
        <v>1016</v>
      </c>
      <c r="B385" s="47" t="s">
        <v>1017</v>
      </c>
      <c r="C385" s="47">
        <v>269.0</v>
      </c>
      <c r="D385" s="47">
        <v>241.0</v>
      </c>
      <c r="E385" s="47">
        <v>22610.0</v>
      </c>
      <c r="F385" s="47" t="s">
        <v>11</v>
      </c>
    </row>
    <row r="386" ht="15.75" customHeight="1">
      <c r="A386" s="46" t="s">
        <v>1018</v>
      </c>
      <c r="B386" s="47" t="s">
        <v>1019</v>
      </c>
      <c r="C386" s="47">
        <v>187.0</v>
      </c>
      <c r="D386" s="47">
        <v>167.0</v>
      </c>
      <c r="E386" s="47">
        <v>24840.0</v>
      </c>
      <c r="F386" s="47" t="s">
        <v>11</v>
      </c>
    </row>
    <row r="387" ht="15.75" customHeight="1">
      <c r="A387" s="46" t="s">
        <v>1020</v>
      </c>
      <c r="B387" s="47" t="s">
        <v>1021</v>
      </c>
      <c r="C387" s="47">
        <v>541.0</v>
      </c>
      <c r="D387" s="47">
        <v>503.0</v>
      </c>
      <c r="E387" s="47">
        <v>23520.0</v>
      </c>
      <c r="F387" s="47" t="s">
        <v>11</v>
      </c>
    </row>
    <row r="388" ht="15.75" customHeight="1">
      <c r="A388" s="46" t="s">
        <v>1022</v>
      </c>
      <c r="B388" s="47" t="s">
        <v>1023</v>
      </c>
      <c r="C388" s="47">
        <v>137.0</v>
      </c>
      <c r="D388" s="47">
        <v>126.0</v>
      </c>
      <c r="E388" s="47">
        <v>25800.0</v>
      </c>
      <c r="F388" s="47" t="s">
        <v>11</v>
      </c>
    </row>
    <row r="389" ht="15.75" customHeight="1">
      <c r="A389" s="46" t="s">
        <v>1024</v>
      </c>
      <c r="B389" s="47" t="s">
        <v>1025</v>
      </c>
      <c r="C389" s="47">
        <v>182.0</v>
      </c>
      <c r="D389" s="47">
        <v>216.0</v>
      </c>
      <c r="E389" s="47">
        <v>27450.0</v>
      </c>
      <c r="F389" s="47" t="s">
        <v>11</v>
      </c>
    </row>
    <row r="390" ht="15.75" customHeight="1">
      <c r="A390" s="46" t="s">
        <v>1026</v>
      </c>
      <c r="B390" s="47" t="s">
        <v>1027</v>
      </c>
      <c r="C390" s="47">
        <v>24876.0</v>
      </c>
      <c r="D390" s="47">
        <v>24220.0</v>
      </c>
      <c r="E390" s="47">
        <v>19870.0</v>
      </c>
      <c r="F390" s="47">
        <v>31.9</v>
      </c>
    </row>
    <row r="391" ht="15.75" customHeight="1">
      <c r="A391" s="46" t="s">
        <v>1028</v>
      </c>
      <c r="B391" s="47" t="s">
        <v>1029</v>
      </c>
      <c r="C391" s="47">
        <v>268.0</v>
      </c>
      <c r="D391" s="47">
        <v>283.0</v>
      </c>
      <c r="E391" s="47">
        <v>23800.0</v>
      </c>
      <c r="F391" s="47" t="s">
        <v>11</v>
      </c>
    </row>
    <row r="392" ht="15.75" customHeight="1">
      <c r="A392" s="46" t="s">
        <v>1030</v>
      </c>
      <c r="B392" s="47" t="s">
        <v>1031</v>
      </c>
      <c r="C392" s="47">
        <v>244.0</v>
      </c>
      <c r="D392" s="47">
        <v>239.0</v>
      </c>
      <c r="E392" s="47">
        <v>29010.0</v>
      </c>
      <c r="F392" s="47" t="s">
        <v>11</v>
      </c>
    </row>
    <row r="393" ht="15.75" customHeight="1">
      <c r="A393" s="46" t="s">
        <v>1032</v>
      </c>
      <c r="B393" s="47" t="s">
        <v>1033</v>
      </c>
      <c r="C393" s="47">
        <v>208.0</v>
      </c>
      <c r="D393" s="47">
        <v>198.0</v>
      </c>
      <c r="E393" s="47">
        <v>23980.0</v>
      </c>
      <c r="F393" s="47" t="s">
        <v>11</v>
      </c>
    </row>
    <row r="394" ht="15.75" customHeight="1">
      <c r="A394" s="46" t="s">
        <v>1034</v>
      </c>
      <c r="B394" s="47" t="s">
        <v>1035</v>
      </c>
      <c r="C394" s="47">
        <v>99.0</v>
      </c>
      <c r="D394" s="47">
        <v>96.0</v>
      </c>
      <c r="E394" s="47" t="s">
        <v>11</v>
      </c>
      <c r="F394" s="47" t="s">
        <v>11</v>
      </c>
    </row>
    <row r="395" ht="15.75" customHeight="1">
      <c r="A395" s="46" t="s">
        <v>1036</v>
      </c>
      <c r="B395" s="47" t="s">
        <v>1037</v>
      </c>
      <c r="C395" s="47">
        <v>250.0</v>
      </c>
      <c r="D395" s="47">
        <v>251.0</v>
      </c>
      <c r="E395" s="47">
        <v>28770.0</v>
      </c>
      <c r="F395" s="47" t="s">
        <v>11</v>
      </c>
    </row>
    <row r="396" ht="15.75" customHeight="1">
      <c r="A396" s="46" t="s">
        <v>1038</v>
      </c>
      <c r="B396" s="47" t="s">
        <v>1039</v>
      </c>
      <c r="C396" s="47">
        <v>202.0</v>
      </c>
      <c r="D396" s="47">
        <v>203.0</v>
      </c>
      <c r="E396" s="47">
        <v>23870.0</v>
      </c>
      <c r="F396" s="47" t="s">
        <v>11</v>
      </c>
    </row>
    <row r="397" ht="15.75" customHeight="1">
      <c r="A397" s="46" t="s">
        <v>1040</v>
      </c>
      <c r="B397" s="47" t="s">
        <v>1041</v>
      </c>
      <c r="C397" s="47">
        <v>159.0</v>
      </c>
      <c r="D397" s="47">
        <v>155.0</v>
      </c>
      <c r="E397" s="47">
        <v>29760.0</v>
      </c>
      <c r="F397" s="47" t="s">
        <v>11</v>
      </c>
    </row>
    <row r="398" ht="15.75" customHeight="1">
      <c r="A398" s="46" t="s">
        <v>1042</v>
      </c>
      <c r="B398" s="47" t="s">
        <v>1043</v>
      </c>
      <c r="C398" s="47">
        <v>430.0</v>
      </c>
      <c r="D398" s="47">
        <v>409.0</v>
      </c>
      <c r="E398" s="47">
        <v>23030.0</v>
      </c>
      <c r="F398" s="47" t="s">
        <v>11</v>
      </c>
    </row>
    <row r="399" ht="15.75" customHeight="1">
      <c r="A399" s="46" t="s">
        <v>1044</v>
      </c>
      <c r="B399" s="47" t="s">
        <v>1045</v>
      </c>
      <c r="C399" s="47">
        <v>100.0</v>
      </c>
      <c r="D399" s="47">
        <v>125.0</v>
      </c>
      <c r="E399" s="47">
        <v>22810.0</v>
      </c>
      <c r="F399" s="47" t="s">
        <v>11</v>
      </c>
    </row>
    <row r="400" ht="15.75" customHeight="1">
      <c r="A400" s="46" t="s">
        <v>1046</v>
      </c>
      <c r="B400" s="47" t="s">
        <v>1047</v>
      </c>
      <c r="C400" s="47">
        <v>213.0</v>
      </c>
      <c r="D400" s="47">
        <v>223.0</v>
      </c>
      <c r="E400" s="47">
        <v>25010.0</v>
      </c>
      <c r="F400" s="47" t="s">
        <v>11</v>
      </c>
    </row>
    <row r="401" ht="15.75" customHeight="1">
      <c r="A401" s="46" t="s">
        <v>1048</v>
      </c>
      <c r="B401" s="47" t="s">
        <v>1049</v>
      </c>
      <c r="C401" s="47">
        <v>270.0</v>
      </c>
      <c r="D401" s="47">
        <v>269.0</v>
      </c>
      <c r="E401" s="47">
        <v>27500.0</v>
      </c>
      <c r="F401" s="47" t="s">
        <v>11</v>
      </c>
    </row>
    <row r="402" ht="15.75" customHeight="1">
      <c r="A402" s="46" t="s">
        <v>1050</v>
      </c>
      <c r="B402" s="47" t="s">
        <v>1051</v>
      </c>
      <c r="C402" s="47">
        <v>832.0</v>
      </c>
      <c r="D402" s="47">
        <v>790.0</v>
      </c>
      <c r="E402" s="47">
        <v>27790.0</v>
      </c>
      <c r="F402" s="47" t="s">
        <v>11</v>
      </c>
    </row>
    <row r="403" ht="15.75" customHeight="1">
      <c r="A403" s="46" t="s">
        <v>1052</v>
      </c>
      <c r="B403" s="47" t="s">
        <v>1053</v>
      </c>
      <c r="C403" s="47">
        <v>102.0</v>
      </c>
      <c r="D403" s="47">
        <v>83.0</v>
      </c>
      <c r="E403" s="47" t="s">
        <v>11</v>
      </c>
      <c r="F403" s="47" t="s">
        <v>11</v>
      </c>
    </row>
    <row r="404" ht="15.75" customHeight="1">
      <c r="A404" s="46" t="s">
        <v>1054</v>
      </c>
      <c r="B404" s="47" t="s">
        <v>1055</v>
      </c>
      <c r="C404" s="47">
        <v>810.0</v>
      </c>
      <c r="D404" s="47">
        <v>754.0</v>
      </c>
      <c r="E404" s="47">
        <v>21650.0</v>
      </c>
      <c r="F404" s="47" t="s">
        <v>11</v>
      </c>
    </row>
    <row r="405" ht="15.75" customHeight="1">
      <c r="A405" s="46" t="s">
        <v>1056</v>
      </c>
      <c r="B405" s="47" t="s">
        <v>1057</v>
      </c>
      <c r="C405" s="47">
        <v>420.0</v>
      </c>
      <c r="D405" s="47">
        <v>455.0</v>
      </c>
      <c r="E405" s="47">
        <v>25750.0</v>
      </c>
      <c r="F405" s="47" t="s">
        <v>11</v>
      </c>
    </row>
    <row r="406" ht="15.75" customHeight="1">
      <c r="A406" s="46" t="s">
        <v>1058</v>
      </c>
      <c r="B406" s="47" t="s">
        <v>1059</v>
      </c>
      <c r="C406" s="47">
        <v>106.0</v>
      </c>
      <c r="D406" s="47">
        <v>101.0</v>
      </c>
      <c r="E406" s="47">
        <v>25810.0</v>
      </c>
      <c r="F406" s="47" t="s">
        <v>11</v>
      </c>
    </row>
    <row r="407" ht="15.75" customHeight="1">
      <c r="A407" s="46" t="s">
        <v>1060</v>
      </c>
      <c r="B407" s="47" t="s">
        <v>1061</v>
      </c>
      <c r="C407" s="47">
        <v>173.0</v>
      </c>
      <c r="D407" s="47">
        <v>190.0</v>
      </c>
      <c r="E407" s="47">
        <v>22120.0</v>
      </c>
      <c r="F407" s="47" t="s">
        <v>11</v>
      </c>
    </row>
    <row r="408" ht="15.75" customHeight="1">
      <c r="A408" s="46" t="s">
        <v>1062</v>
      </c>
      <c r="B408" s="47" t="s">
        <v>1063</v>
      </c>
      <c r="C408" s="47">
        <v>545.0</v>
      </c>
      <c r="D408" s="47">
        <v>543.0</v>
      </c>
      <c r="E408" s="47">
        <v>25000.0</v>
      </c>
      <c r="F408" s="47" t="s">
        <v>11</v>
      </c>
    </row>
    <row r="409" ht="15.75" customHeight="1">
      <c r="A409" s="46" t="s">
        <v>1064</v>
      </c>
      <c r="B409" s="47" t="s">
        <v>1065</v>
      </c>
      <c r="C409" s="47">
        <v>141.0</v>
      </c>
      <c r="D409" s="47">
        <v>140.0</v>
      </c>
      <c r="E409" s="47">
        <v>22540.0</v>
      </c>
      <c r="F409" s="47" t="s">
        <v>11</v>
      </c>
    </row>
    <row r="410" ht="15.75" customHeight="1">
      <c r="A410" s="46" t="s">
        <v>1066</v>
      </c>
      <c r="B410" s="47" t="s">
        <v>1067</v>
      </c>
      <c r="C410" s="47">
        <v>74.0</v>
      </c>
      <c r="D410" s="47">
        <v>65.0</v>
      </c>
      <c r="E410" s="47" t="s">
        <v>11</v>
      </c>
      <c r="F410" s="47" t="s">
        <v>11</v>
      </c>
    </row>
    <row r="411" ht="15.75" customHeight="1">
      <c r="A411" s="46" t="s">
        <v>1068</v>
      </c>
      <c r="B411" s="47" t="s">
        <v>1069</v>
      </c>
      <c r="C411" s="47">
        <v>118.0</v>
      </c>
      <c r="D411" s="47">
        <v>117.0</v>
      </c>
      <c r="E411" s="47">
        <v>26560.0</v>
      </c>
      <c r="F411" s="47" t="s">
        <v>11</v>
      </c>
    </row>
    <row r="412" ht="15.75" customHeight="1">
      <c r="A412" s="46" t="s">
        <v>1070</v>
      </c>
      <c r="B412" s="47" t="s">
        <v>1071</v>
      </c>
      <c r="C412" s="47">
        <v>1298.0</v>
      </c>
      <c r="D412" s="47">
        <v>1264.0</v>
      </c>
      <c r="E412" s="47">
        <v>22340.0</v>
      </c>
      <c r="F412" s="47" t="s">
        <v>11</v>
      </c>
    </row>
    <row r="413" ht="15.75" customHeight="1">
      <c r="A413" s="46" t="s">
        <v>1072</v>
      </c>
      <c r="B413" s="47" t="s">
        <v>1073</v>
      </c>
      <c r="C413" s="47">
        <v>391.0</v>
      </c>
      <c r="D413" s="47">
        <v>385.0</v>
      </c>
      <c r="E413" s="47">
        <v>23570.0</v>
      </c>
      <c r="F413" s="47" t="s">
        <v>11</v>
      </c>
    </row>
    <row r="414" ht="15.75" customHeight="1">
      <c r="A414" s="46" t="s">
        <v>1074</v>
      </c>
      <c r="B414" s="47" t="s">
        <v>1075</v>
      </c>
      <c r="C414" s="47">
        <v>187.0</v>
      </c>
      <c r="D414" s="47">
        <v>192.0</v>
      </c>
      <c r="E414" s="47">
        <v>26300.0</v>
      </c>
      <c r="F414" s="47" t="s">
        <v>11</v>
      </c>
    </row>
    <row r="415" ht="15.75" customHeight="1">
      <c r="A415" s="46" t="s">
        <v>1076</v>
      </c>
      <c r="B415" s="47" t="s">
        <v>1077</v>
      </c>
      <c r="C415" s="47">
        <v>225.0</v>
      </c>
      <c r="D415" s="47">
        <v>220.0</v>
      </c>
      <c r="E415" s="47">
        <v>24020.0</v>
      </c>
      <c r="F415" s="47" t="s">
        <v>11</v>
      </c>
    </row>
    <row r="416" ht="15.75" customHeight="1">
      <c r="A416" s="46" t="s">
        <v>1078</v>
      </c>
      <c r="B416" s="47" t="s">
        <v>1079</v>
      </c>
      <c r="C416" s="47">
        <v>74.0</v>
      </c>
      <c r="D416" s="47">
        <v>84.0</v>
      </c>
      <c r="E416" s="47" t="s">
        <v>11</v>
      </c>
      <c r="F416" s="47" t="s">
        <v>11</v>
      </c>
    </row>
    <row r="417" ht="15.75" customHeight="1">
      <c r="A417" s="46" t="s">
        <v>1080</v>
      </c>
      <c r="B417" s="47" t="s">
        <v>1081</v>
      </c>
      <c r="C417" s="47">
        <v>262.0</v>
      </c>
      <c r="D417" s="47">
        <v>249.0</v>
      </c>
      <c r="E417" s="47">
        <v>25690.0</v>
      </c>
      <c r="F417" s="47" t="s">
        <v>11</v>
      </c>
    </row>
    <row r="418" ht="15.75" customHeight="1">
      <c r="A418" s="46" t="s">
        <v>1082</v>
      </c>
      <c r="B418" s="47" t="s">
        <v>1083</v>
      </c>
      <c r="C418" s="47">
        <v>1180.0</v>
      </c>
      <c r="D418" s="47">
        <v>1232.0</v>
      </c>
      <c r="E418" s="47">
        <v>24680.0</v>
      </c>
      <c r="F418" s="47" t="s">
        <v>11</v>
      </c>
    </row>
    <row r="419" ht="15.75" customHeight="1">
      <c r="A419" s="46" t="s">
        <v>1084</v>
      </c>
      <c r="B419" s="47" t="s">
        <v>1085</v>
      </c>
      <c r="C419" s="47">
        <v>142.0</v>
      </c>
      <c r="D419" s="47">
        <v>141.0</v>
      </c>
      <c r="E419" s="47">
        <v>22710.0</v>
      </c>
      <c r="F419" s="47" t="s">
        <v>11</v>
      </c>
    </row>
    <row r="420" ht="15.75" customHeight="1">
      <c r="A420" s="46" t="s">
        <v>1086</v>
      </c>
      <c r="B420" s="47" t="s">
        <v>1087</v>
      </c>
      <c r="C420" s="47">
        <v>199.0</v>
      </c>
      <c r="D420" s="47">
        <v>203.0</v>
      </c>
      <c r="E420" s="47">
        <v>26720.0</v>
      </c>
      <c r="F420" s="47" t="s">
        <v>11</v>
      </c>
    </row>
    <row r="421" ht="15.75" customHeight="1">
      <c r="A421" s="46" t="s">
        <v>1088</v>
      </c>
      <c r="B421" s="47" t="s">
        <v>1089</v>
      </c>
      <c r="C421" s="47">
        <v>91.0</v>
      </c>
      <c r="D421" s="47">
        <v>85.0</v>
      </c>
      <c r="E421" s="47" t="s">
        <v>11</v>
      </c>
      <c r="F421" s="47" t="s">
        <v>11</v>
      </c>
    </row>
    <row r="422" ht="15.75" customHeight="1">
      <c r="A422" s="46" t="s">
        <v>1090</v>
      </c>
      <c r="B422" s="47" t="s">
        <v>1091</v>
      </c>
      <c r="C422" s="47">
        <v>195.0</v>
      </c>
      <c r="D422" s="47">
        <v>202.0</v>
      </c>
      <c r="E422" s="47">
        <v>30590.0</v>
      </c>
      <c r="F422" s="47" t="s">
        <v>11</v>
      </c>
    </row>
    <row r="423" ht="15.75" customHeight="1">
      <c r="A423" s="46" t="s">
        <v>1092</v>
      </c>
      <c r="B423" s="47" t="s">
        <v>1093</v>
      </c>
      <c r="C423" s="47">
        <v>114.0</v>
      </c>
      <c r="D423" s="47">
        <v>110.0</v>
      </c>
      <c r="E423" s="47">
        <v>21810.0</v>
      </c>
      <c r="F423" s="47" t="s">
        <v>11</v>
      </c>
    </row>
    <row r="424" ht="15.75" customHeight="1">
      <c r="A424" s="46" t="s">
        <v>1094</v>
      </c>
      <c r="B424" s="47" t="s">
        <v>1095</v>
      </c>
      <c r="C424" s="47">
        <v>285.0</v>
      </c>
      <c r="D424" s="47">
        <v>266.0</v>
      </c>
      <c r="E424" s="47">
        <v>22750.0</v>
      </c>
      <c r="F424" s="47" t="s">
        <v>11</v>
      </c>
    </row>
    <row r="425" ht="15.75" customHeight="1">
      <c r="A425" s="46" t="s">
        <v>1096</v>
      </c>
      <c r="B425" s="47" t="s">
        <v>1097</v>
      </c>
      <c r="C425" s="47">
        <v>121.0</v>
      </c>
      <c r="D425" s="47">
        <v>118.0</v>
      </c>
      <c r="E425" s="47">
        <v>28660.0</v>
      </c>
      <c r="F425" s="47" t="s">
        <v>11</v>
      </c>
    </row>
    <row r="426" ht="15.75" customHeight="1">
      <c r="A426" s="46" t="s">
        <v>1098</v>
      </c>
      <c r="B426" s="47" t="s">
        <v>1099</v>
      </c>
      <c r="C426" s="47">
        <v>147.0</v>
      </c>
      <c r="D426" s="47">
        <v>126.0</v>
      </c>
      <c r="E426" s="47">
        <v>23580.0</v>
      </c>
      <c r="F426" s="47" t="s">
        <v>11</v>
      </c>
    </row>
    <row r="427" ht="15.75" customHeight="1">
      <c r="A427" s="46" t="s">
        <v>1100</v>
      </c>
      <c r="B427" s="47" t="s">
        <v>1101</v>
      </c>
      <c r="C427" s="47">
        <v>122.0</v>
      </c>
      <c r="D427" s="47">
        <v>108.0</v>
      </c>
      <c r="E427" s="47">
        <v>22540.0</v>
      </c>
      <c r="F427" s="47" t="s">
        <v>11</v>
      </c>
    </row>
    <row r="428" ht="15.75" customHeight="1">
      <c r="A428" s="46" t="s">
        <v>1102</v>
      </c>
      <c r="B428" s="47" t="s">
        <v>1103</v>
      </c>
      <c r="C428" s="47">
        <v>73.0</v>
      </c>
      <c r="D428" s="47">
        <v>64.0</v>
      </c>
      <c r="E428" s="47" t="s">
        <v>11</v>
      </c>
      <c r="F428" s="47" t="s">
        <v>11</v>
      </c>
    </row>
    <row r="429" ht="15.75" customHeight="1">
      <c r="A429" s="46" t="s">
        <v>1104</v>
      </c>
      <c r="B429" s="47" t="s">
        <v>1105</v>
      </c>
      <c r="C429" s="47">
        <v>376.0</v>
      </c>
      <c r="D429" s="47">
        <v>357.0</v>
      </c>
      <c r="E429" s="47">
        <v>21710.0</v>
      </c>
      <c r="F429" s="47" t="s">
        <v>11</v>
      </c>
    </row>
    <row r="430" ht="15.75" customHeight="1">
      <c r="A430" s="46" t="s">
        <v>1106</v>
      </c>
      <c r="B430" s="47" t="s">
        <v>1107</v>
      </c>
      <c r="C430" s="47">
        <v>125.0</v>
      </c>
      <c r="D430" s="47">
        <v>122.0</v>
      </c>
      <c r="E430" s="47">
        <v>24820.0</v>
      </c>
      <c r="F430" s="47" t="s">
        <v>11</v>
      </c>
    </row>
    <row r="431" ht="15.75" customHeight="1">
      <c r="A431" s="46" t="s">
        <v>1108</v>
      </c>
      <c r="B431" s="47" t="s">
        <v>1109</v>
      </c>
      <c r="C431" s="47">
        <v>239.0</v>
      </c>
      <c r="D431" s="47">
        <v>232.0</v>
      </c>
      <c r="E431" s="47">
        <v>26110.0</v>
      </c>
      <c r="F431" s="47" t="s">
        <v>11</v>
      </c>
    </row>
    <row r="432" ht="15.75" customHeight="1">
      <c r="A432" s="46" t="s">
        <v>1110</v>
      </c>
      <c r="B432" s="47" t="s">
        <v>1111</v>
      </c>
      <c r="C432" s="47">
        <v>411.0</v>
      </c>
      <c r="D432" s="47">
        <v>392.0</v>
      </c>
      <c r="E432" s="47">
        <v>25370.0</v>
      </c>
      <c r="F432" s="47" t="s">
        <v>11</v>
      </c>
    </row>
    <row r="433" ht="15.75" customHeight="1">
      <c r="A433" s="46" t="s">
        <v>1112</v>
      </c>
      <c r="B433" s="47" t="s">
        <v>1113</v>
      </c>
      <c r="C433" s="47">
        <v>410.0</v>
      </c>
      <c r="D433" s="47">
        <v>403.0</v>
      </c>
      <c r="E433" s="47">
        <v>24410.0</v>
      </c>
      <c r="F433" s="47" t="s">
        <v>11</v>
      </c>
    </row>
    <row r="434" ht="15.75" customHeight="1">
      <c r="A434" s="46" t="s">
        <v>1114</v>
      </c>
      <c r="B434" s="47" t="s">
        <v>1115</v>
      </c>
      <c r="C434" s="47">
        <v>203.0</v>
      </c>
      <c r="D434" s="47">
        <v>178.0</v>
      </c>
      <c r="E434" s="47">
        <v>24100.0</v>
      </c>
      <c r="F434" s="47" t="s">
        <v>11</v>
      </c>
    </row>
    <row r="435" ht="15.75" customHeight="1">
      <c r="A435" s="46" t="s">
        <v>1116</v>
      </c>
      <c r="B435" s="47" t="s">
        <v>1117</v>
      </c>
      <c r="C435" s="47">
        <v>307.0</v>
      </c>
      <c r="D435" s="47">
        <v>311.0</v>
      </c>
      <c r="E435" s="47">
        <v>24150.0</v>
      </c>
      <c r="F435" s="47" t="s">
        <v>11</v>
      </c>
    </row>
    <row r="436" ht="15.75" customHeight="1">
      <c r="A436" s="46" t="s">
        <v>1118</v>
      </c>
      <c r="B436" s="47" t="s">
        <v>1119</v>
      </c>
      <c r="C436" s="47">
        <v>435.0</v>
      </c>
      <c r="D436" s="47">
        <v>389.0</v>
      </c>
      <c r="E436" s="47">
        <v>22860.0</v>
      </c>
      <c r="F436" s="47" t="s">
        <v>11</v>
      </c>
    </row>
    <row r="437" ht="15.75" customHeight="1">
      <c r="A437" s="46" t="s">
        <v>1120</v>
      </c>
      <c r="B437" s="47" t="s">
        <v>1121</v>
      </c>
      <c r="C437" s="47">
        <v>818.0</v>
      </c>
      <c r="D437" s="47">
        <v>821.0</v>
      </c>
      <c r="E437" s="47">
        <v>26150.0</v>
      </c>
      <c r="F437" s="47" t="s">
        <v>11</v>
      </c>
    </row>
    <row r="438" ht="15.75" customHeight="1">
      <c r="A438" s="46" t="s">
        <v>1122</v>
      </c>
      <c r="B438" s="47" t="s">
        <v>1123</v>
      </c>
      <c r="C438" s="47">
        <v>173.0</v>
      </c>
      <c r="D438" s="47">
        <v>151.0</v>
      </c>
      <c r="E438" s="47">
        <v>29900.0</v>
      </c>
      <c r="F438" s="47" t="s">
        <v>11</v>
      </c>
    </row>
    <row r="439" ht="15.75" customHeight="1">
      <c r="A439" s="46" t="s">
        <v>1124</v>
      </c>
      <c r="B439" s="47" t="s">
        <v>1125</v>
      </c>
      <c r="C439" s="47">
        <v>192.0</v>
      </c>
      <c r="D439" s="47">
        <v>203.0</v>
      </c>
      <c r="E439" s="47">
        <v>24430.0</v>
      </c>
      <c r="F439" s="47" t="s">
        <v>11</v>
      </c>
    </row>
    <row r="440" ht="15.75" customHeight="1">
      <c r="A440" s="46" t="s">
        <v>1126</v>
      </c>
      <c r="B440" s="47" t="s">
        <v>1127</v>
      </c>
      <c r="C440" s="47">
        <v>369.0</v>
      </c>
      <c r="D440" s="47">
        <v>341.0</v>
      </c>
      <c r="E440" s="47">
        <v>25410.0</v>
      </c>
      <c r="F440" s="47" t="s">
        <v>11</v>
      </c>
    </row>
    <row r="441" ht="15.75" customHeight="1">
      <c r="A441" s="46" t="s">
        <v>1128</v>
      </c>
      <c r="B441" s="47" t="s">
        <v>1129</v>
      </c>
      <c r="C441" s="47">
        <v>240.0</v>
      </c>
      <c r="D441" s="47">
        <v>221.0</v>
      </c>
      <c r="E441" s="47">
        <v>25990.0</v>
      </c>
      <c r="F441" s="47" t="s">
        <v>11</v>
      </c>
    </row>
    <row r="442" ht="15.75" customHeight="1">
      <c r="A442" s="46" t="s">
        <v>1130</v>
      </c>
      <c r="B442" s="47" t="s">
        <v>1131</v>
      </c>
      <c r="C442" s="47">
        <v>86.0</v>
      </c>
      <c r="D442" s="47">
        <v>83.0</v>
      </c>
      <c r="E442" s="47" t="s">
        <v>11</v>
      </c>
      <c r="F442" s="47" t="s">
        <v>11</v>
      </c>
    </row>
    <row r="443" ht="15.75" customHeight="1">
      <c r="A443" s="46" t="s">
        <v>1132</v>
      </c>
      <c r="B443" s="47" t="s">
        <v>1133</v>
      </c>
      <c r="C443" s="47">
        <v>370.0</v>
      </c>
      <c r="D443" s="47">
        <v>377.0</v>
      </c>
      <c r="E443" s="47">
        <v>25850.0</v>
      </c>
      <c r="F443" s="47" t="s">
        <v>11</v>
      </c>
    </row>
    <row r="444" ht="15.75" customHeight="1">
      <c r="A444" s="46" t="s">
        <v>1134</v>
      </c>
      <c r="B444" s="47" t="s">
        <v>1135</v>
      </c>
      <c r="C444" s="47">
        <v>485.0</v>
      </c>
      <c r="D444" s="47">
        <v>530.0</v>
      </c>
      <c r="E444" s="47">
        <v>24940.0</v>
      </c>
      <c r="F444" s="47" t="s">
        <v>11</v>
      </c>
    </row>
    <row r="445" ht="15.75" customHeight="1">
      <c r="A445" s="46" t="s">
        <v>1136</v>
      </c>
      <c r="B445" s="47" t="s">
        <v>1137</v>
      </c>
      <c r="C445" s="47">
        <v>130.0</v>
      </c>
      <c r="D445" s="47">
        <v>125.0</v>
      </c>
      <c r="E445" s="47">
        <v>26920.0</v>
      </c>
      <c r="F445" s="47" t="s">
        <v>11</v>
      </c>
    </row>
    <row r="446" ht="15.75" customHeight="1">
      <c r="A446" s="46" t="s">
        <v>1138</v>
      </c>
      <c r="B446" s="47" t="s">
        <v>1139</v>
      </c>
      <c r="C446" s="47">
        <v>50.0</v>
      </c>
      <c r="D446" s="47">
        <v>47.0</v>
      </c>
      <c r="E446" s="47" t="s">
        <v>11</v>
      </c>
      <c r="F446" s="47" t="s">
        <v>11</v>
      </c>
    </row>
    <row r="447" ht="15.75" customHeight="1">
      <c r="A447" s="46" t="s">
        <v>1140</v>
      </c>
      <c r="B447" s="47" t="s">
        <v>1141</v>
      </c>
      <c r="C447" s="47">
        <v>2268.0</v>
      </c>
      <c r="D447" s="47">
        <v>2229.0</v>
      </c>
      <c r="E447" s="47">
        <v>21320.0</v>
      </c>
      <c r="F447" s="47">
        <v>25.0</v>
      </c>
    </row>
    <row r="448" ht="15.75" customHeight="1">
      <c r="A448" s="46" t="s">
        <v>1142</v>
      </c>
      <c r="B448" s="47" t="s">
        <v>1143</v>
      </c>
      <c r="C448" s="47">
        <v>475.0</v>
      </c>
      <c r="D448" s="47">
        <v>483.0</v>
      </c>
      <c r="E448" s="47">
        <v>20840.0</v>
      </c>
      <c r="F448" s="47" t="s">
        <v>11</v>
      </c>
    </row>
    <row r="449" ht="15.75" customHeight="1">
      <c r="A449" s="46" t="s">
        <v>1144</v>
      </c>
      <c r="B449" s="47" t="s">
        <v>1145</v>
      </c>
      <c r="C449" s="47">
        <v>434.0</v>
      </c>
      <c r="D449" s="47">
        <v>410.0</v>
      </c>
      <c r="E449" s="47">
        <v>23270.0</v>
      </c>
      <c r="F449" s="47" t="s">
        <v>11</v>
      </c>
    </row>
    <row r="450" ht="15.75" customHeight="1">
      <c r="A450" s="46" t="s">
        <v>1146</v>
      </c>
      <c r="B450" s="47" t="s">
        <v>1147</v>
      </c>
      <c r="C450" s="47">
        <v>124.0</v>
      </c>
      <c r="D450" s="47">
        <v>130.0</v>
      </c>
      <c r="E450" s="47">
        <v>25510.0</v>
      </c>
      <c r="F450" s="47" t="s">
        <v>11</v>
      </c>
    </row>
    <row r="451" ht="15.75" customHeight="1">
      <c r="A451" s="46" t="s">
        <v>1148</v>
      </c>
      <c r="B451" s="47" t="s">
        <v>1149</v>
      </c>
      <c r="C451" s="47">
        <v>420.0</v>
      </c>
      <c r="D451" s="47">
        <v>398.0</v>
      </c>
      <c r="E451" s="47">
        <v>23090.0</v>
      </c>
      <c r="F451" s="47" t="s">
        <v>11</v>
      </c>
    </row>
    <row r="452" ht="15.75" customHeight="1">
      <c r="A452" s="46" t="s">
        <v>1150</v>
      </c>
      <c r="B452" s="47" t="s">
        <v>1151</v>
      </c>
      <c r="C452" s="47">
        <v>211.0</v>
      </c>
      <c r="D452" s="47">
        <v>207.0</v>
      </c>
      <c r="E452" s="47">
        <v>23670.0</v>
      </c>
      <c r="F452" s="47" t="s">
        <v>11</v>
      </c>
    </row>
    <row r="453" ht="15.75" customHeight="1">
      <c r="A453" s="46" t="s">
        <v>1152</v>
      </c>
      <c r="B453" s="47" t="s">
        <v>1153</v>
      </c>
      <c r="C453" s="47">
        <v>408.0</v>
      </c>
      <c r="D453" s="47">
        <v>419.0</v>
      </c>
      <c r="E453" s="47">
        <v>24420.0</v>
      </c>
      <c r="F453" s="47" t="s">
        <v>11</v>
      </c>
    </row>
    <row r="454" ht="15.75" customHeight="1">
      <c r="A454" s="46" t="s">
        <v>1154</v>
      </c>
      <c r="B454" s="47" t="s">
        <v>1155</v>
      </c>
      <c r="C454" s="47">
        <v>651.0</v>
      </c>
      <c r="D454" s="47">
        <v>637.0</v>
      </c>
      <c r="E454" s="47">
        <v>21930.0</v>
      </c>
      <c r="F454" s="47" t="s">
        <v>11</v>
      </c>
    </row>
    <row r="455" ht="15.75" customHeight="1">
      <c r="A455" s="46" t="s">
        <v>1156</v>
      </c>
      <c r="B455" s="47" t="s">
        <v>1157</v>
      </c>
      <c r="C455" s="47">
        <v>962.0</v>
      </c>
      <c r="D455" s="47">
        <v>935.0</v>
      </c>
      <c r="E455" s="47">
        <v>28840.0</v>
      </c>
      <c r="F455" s="47" t="s">
        <v>11</v>
      </c>
    </row>
    <row r="456" ht="15.75" customHeight="1">
      <c r="A456" s="46" t="s">
        <v>1158</v>
      </c>
      <c r="B456" s="47" t="s">
        <v>1159</v>
      </c>
      <c r="C456" s="47">
        <v>259.0</v>
      </c>
      <c r="D456" s="47">
        <v>253.0</v>
      </c>
      <c r="E456" s="47">
        <v>23770.0</v>
      </c>
      <c r="F456" s="47" t="s">
        <v>11</v>
      </c>
    </row>
    <row r="457" ht="15.75" customHeight="1">
      <c r="A457" s="46" t="s">
        <v>1160</v>
      </c>
      <c r="B457" s="47" t="s">
        <v>1161</v>
      </c>
      <c r="C457" s="47">
        <v>305.0</v>
      </c>
      <c r="D457" s="47">
        <v>320.0</v>
      </c>
      <c r="E457" s="47">
        <v>25640.0</v>
      </c>
      <c r="F457" s="47" t="s">
        <v>11</v>
      </c>
    </row>
    <row r="458" ht="15.75" customHeight="1">
      <c r="A458" s="46" t="s">
        <v>1162</v>
      </c>
      <c r="B458" s="47" t="s">
        <v>1163</v>
      </c>
      <c r="C458" s="47">
        <v>476.0</v>
      </c>
      <c r="D458" s="47">
        <v>435.0</v>
      </c>
      <c r="E458" s="47">
        <v>32860.0</v>
      </c>
      <c r="F458" s="47" t="s">
        <v>11</v>
      </c>
    </row>
    <row r="459" ht="15.75" customHeight="1">
      <c r="A459" s="46" t="s">
        <v>1164</v>
      </c>
      <c r="B459" s="47" t="s">
        <v>1165</v>
      </c>
      <c r="C459" s="47">
        <v>52.0</v>
      </c>
      <c r="D459" s="47">
        <v>56.0</v>
      </c>
      <c r="E459" s="47" t="s">
        <v>11</v>
      </c>
      <c r="F459" s="47" t="s">
        <v>11</v>
      </c>
    </row>
    <row r="460" ht="15.75" customHeight="1">
      <c r="A460" s="46" t="s">
        <v>1166</v>
      </c>
      <c r="B460" s="47" t="s">
        <v>1167</v>
      </c>
      <c r="C460" s="47">
        <v>516.0</v>
      </c>
      <c r="D460" s="47">
        <v>507.0</v>
      </c>
      <c r="E460" s="47">
        <v>26130.0</v>
      </c>
      <c r="F460" s="47" t="s">
        <v>11</v>
      </c>
    </row>
    <row r="461" ht="15.75" customHeight="1">
      <c r="A461" s="46" t="s">
        <v>1168</v>
      </c>
      <c r="B461" s="47" t="s">
        <v>1169</v>
      </c>
      <c r="C461" s="47">
        <v>517.0</v>
      </c>
      <c r="D461" s="47">
        <v>558.0</v>
      </c>
      <c r="E461" s="47">
        <v>24690.0</v>
      </c>
      <c r="F461" s="47" t="s">
        <v>11</v>
      </c>
    </row>
    <row r="462" ht="15.75" customHeight="1">
      <c r="A462" s="46" t="s">
        <v>1170</v>
      </c>
      <c r="B462" s="47" t="s">
        <v>1171</v>
      </c>
      <c r="C462" s="47">
        <v>97.0</v>
      </c>
      <c r="D462" s="47">
        <v>100.0</v>
      </c>
      <c r="E462" s="47">
        <v>28270.0</v>
      </c>
      <c r="F462" s="47" t="s">
        <v>11</v>
      </c>
    </row>
    <row r="463" ht="15.75" customHeight="1">
      <c r="A463" s="46" t="s">
        <v>1172</v>
      </c>
      <c r="B463" s="47" t="s">
        <v>1173</v>
      </c>
      <c r="C463" s="47">
        <v>108.0</v>
      </c>
      <c r="D463" s="47">
        <v>107.0</v>
      </c>
      <c r="E463" s="47">
        <v>24130.0</v>
      </c>
      <c r="F463" s="47" t="s">
        <v>11</v>
      </c>
    </row>
    <row r="464" ht="15.75" customHeight="1">
      <c r="A464" s="46" t="s">
        <v>1174</v>
      </c>
      <c r="B464" s="47" t="s">
        <v>1175</v>
      </c>
      <c r="C464" s="47">
        <v>640.0</v>
      </c>
      <c r="D464" s="47">
        <v>625.0</v>
      </c>
      <c r="E464" s="47">
        <v>27660.0</v>
      </c>
      <c r="F464" s="47" t="s">
        <v>11</v>
      </c>
    </row>
    <row r="465" ht="15.75" customHeight="1">
      <c r="A465" s="46" t="s">
        <v>1176</v>
      </c>
      <c r="B465" s="47" t="s">
        <v>1177</v>
      </c>
      <c r="C465" s="47">
        <v>152.0</v>
      </c>
      <c r="D465" s="47">
        <v>161.0</v>
      </c>
      <c r="E465" s="47">
        <v>23360.0</v>
      </c>
      <c r="F465" s="47" t="s">
        <v>11</v>
      </c>
    </row>
    <row r="466" ht="15.75" customHeight="1">
      <c r="A466" s="46" t="s">
        <v>1178</v>
      </c>
      <c r="B466" s="47" t="s">
        <v>1179</v>
      </c>
      <c r="C466" s="47">
        <v>329.0</v>
      </c>
      <c r="D466" s="47">
        <v>359.0</v>
      </c>
      <c r="E466" s="47">
        <v>28140.0</v>
      </c>
      <c r="F466" s="47" t="s">
        <v>11</v>
      </c>
    </row>
    <row r="467" ht="15.75" customHeight="1">
      <c r="A467" s="46" t="s">
        <v>1180</v>
      </c>
      <c r="B467" s="47" t="s">
        <v>1181</v>
      </c>
      <c r="C467" s="47">
        <v>131.0</v>
      </c>
      <c r="D467" s="47">
        <v>122.0</v>
      </c>
      <c r="E467" s="47">
        <v>31820.0</v>
      </c>
      <c r="F467" s="47" t="s">
        <v>11</v>
      </c>
    </row>
    <row r="468" ht="15.75" customHeight="1">
      <c r="A468" s="46" t="s">
        <v>1182</v>
      </c>
      <c r="B468" s="47" t="s">
        <v>1183</v>
      </c>
      <c r="C468" s="47">
        <v>319.0</v>
      </c>
      <c r="D468" s="47">
        <v>320.0</v>
      </c>
      <c r="E468" s="47">
        <v>23550.0</v>
      </c>
      <c r="F468" s="47" t="s">
        <v>11</v>
      </c>
    </row>
    <row r="469" ht="15.75" customHeight="1">
      <c r="A469" s="46" t="s">
        <v>1184</v>
      </c>
      <c r="B469" s="47" t="s">
        <v>1185</v>
      </c>
      <c r="C469" s="47">
        <v>473.0</v>
      </c>
      <c r="D469" s="47">
        <v>426.0</v>
      </c>
      <c r="E469" s="47">
        <v>23590.0</v>
      </c>
      <c r="F469" s="47" t="s">
        <v>11</v>
      </c>
    </row>
    <row r="470" ht="15.75" customHeight="1">
      <c r="A470" s="46" t="s">
        <v>1186</v>
      </c>
      <c r="B470" s="47" t="s">
        <v>1187</v>
      </c>
      <c r="C470" s="47">
        <v>220.0</v>
      </c>
      <c r="D470" s="47">
        <v>211.0</v>
      </c>
      <c r="E470" s="47">
        <v>25350.0</v>
      </c>
      <c r="F470" s="47" t="s">
        <v>11</v>
      </c>
    </row>
    <row r="471" ht="15.75" customHeight="1">
      <c r="A471" s="46" t="s">
        <v>1188</v>
      </c>
      <c r="B471" s="47" t="s">
        <v>1189</v>
      </c>
      <c r="C471" s="47">
        <v>128.0</v>
      </c>
      <c r="D471" s="47">
        <v>132.0</v>
      </c>
      <c r="E471" s="47">
        <v>24870.0</v>
      </c>
      <c r="F471" s="47" t="s">
        <v>11</v>
      </c>
    </row>
    <row r="472" ht="15.75" customHeight="1">
      <c r="A472" s="46" t="s">
        <v>1190</v>
      </c>
      <c r="B472" s="47" t="s">
        <v>1191</v>
      </c>
      <c r="C472" s="47">
        <v>1040.0</v>
      </c>
      <c r="D472" s="47">
        <v>1028.0</v>
      </c>
      <c r="E472" s="47">
        <v>23970.0</v>
      </c>
      <c r="F472" s="47" t="s">
        <v>11</v>
      </c>
    </row>
    <row r="473" ht="15.75" customHeight="1">
      <c r="A473" s="46" t="s">
        <v>1192</v>
      </c>
      <c r="B473" s="47" t="s">
        <v>1193</v>
      </c>
      <c r="C473" s="47">
        <v>104.0</v>
      </c>
      <c r="D473" s="47">
        <v>90.0</v>
      </c>
      <c r="E473" s="47" t="s">
        <v>11</v>
      </c>
      <c r="F473" s="47" t="s">
        <v>11</v>
      </c>
    </row>
    <row r="474" ht="15.75" customHeight="1">
      <c r="A474" s="46" t="s">
        <v>1194</v>
      </c>
      <c r="B474" s="47" t="s">
        <v>1195</v>
      </c>
      <c r="C474" s="47">
        <v>1152.0</v>
      </c>
      <c r="D474" s="47">
        <v>1146.0</v>
      </c>
      <c r="E474" s="47">
        <v>27030.0</v>
      </c>
      <c r="F474" s="47" t="s">
        <v>11</v>
      </c>
    </row>
    <row r="475" ht="15.75" customHeight="1">
      <c r="A475" s="46" t="s">
        <v>1196</v>
      </c>
      <c r="B475" s="47" t="s">
        <v>1197</v>
      </c>
      <c r="C475" s="47">
        <v>761.0</v>
      </c>
      <c r="D475" s="47">
        <v>766.0</v>
      </c>
      <c r="E475" s="47">
        <v>24970.0</v>
      </c>
      <c r="F475" s="47" t="s">
        <v>11</v>
      </c>
    </row>
    <row r="476" ht="15.75" customHeight="1">
      <c r="A476" s="46" t="s">
        <v>1198</v>
      </c>
      <c r="B476" s="47" t="s">
        <v>1199</v>
      </c>
      <c r="C476" s="47">
        <v>44.0</v>
      </c>
      <c r="D476" s="47">
        <v>39.0</v>
      </c>
      <c r="E476" s="47" t="s">
        <v>11</v>
      </c>
      <c r="F476" s="47" t="s">
        <v>11</v>
      </c>
    </row>
    <row r="477" ht="15.75" customHeight="1">
      <c r="A477" s="46" t="s">
        <v>1200</v>
      </c>
      <c r="B477" s="47" t="s">
        <v>1201</v>
      </c>
      <c r="C477" s="47">
        <v>810.0</v>
      </c>
      <c r="D477" s="47">
        <v>816.0</v>
      </c>
      <c r="E477" s="47">
        <v>23540.0</v>
      </c>
      <c r="F477" s="47" t="s">
        <v>11</v>
      </c>
    </row>
    <row r="478" ht="15.75" customHeight="1">
      <c r="A478" s="46" t="s">
        <v>1202</v>
      </c>
      <c r="B478" s="47" t="s">
        <v>1203</v>
      </c>
      <c r="C478" s="47">
        <v>84.0</v>
      </c>
      <c r="D478" s="47">
        <v>63.0</v>
      </c>
      <c r="E478" s="47" t="s">
        <v>11</v>
      </c>
      <c r="F478" s="47" t="s">
        <v>11</v>
      </c>
    </row>
    <row r="479" ht="15.75" customHeight="1">
      <c r="A479" s="46" t="s">
        <v>1204</v>
      </c>
      <c r="B479" s="47" t="s">
        <v>1205</v>
      </c>
      <c r="C479" s="47">
        <v>1338.0</v>
      </c>
      <c r="D479" s="47">
        <v>1207.0</v>
      </c>
      <c r="E479" s="47">
        <v>20040.0</v>
      </c>
      <c r="F479" s="47" t="s">
        <v>11</v>
      </c>
    </row>
    <row r="480" ht="15.75" customHeight="1">
      <c r="A480" s="46" t="s">
        <v>1206</v>
      </c>
      <c r="B480" s="47" t="s">
        <v>1207</v>
      </c>
      <c r="C480" s="47">
        <v>847.0</v>
      </c>
      <c r="D480" s="47">
        <v>839.0</v>
      </c>
      <c r="E480" s="47">
        <v>21290.0</v>
      </c>
      <c r="F480" s="47" t="s">
        <v>11</v>
      </c>
    </row>
    <row r="481" ht="15.75" customHeight="1">
      <c r="A481" s="46" t="s">
        <v>1208</v>
      </c>
      <c r="B481" s="47" t="s">
        <v>1209</v>
      </c>
      <c r="C481" s="47">
        <v>1648.0</v>
      </c>
      <c r="D481" s="47">
        <v>1606.0</v>
      </c>
      <c r="E481" s="47">
        <v>24130.0</v>
      </c>
      <c r="F481" s="47" t="s">
        <v>11</v>
      </c>
    </row>
    <row r="482" ht="15.75" customHeight="1">
      <c r="A482" s="46" t="s">
        <v>1210</v>
      </c>
      <c r="B482" s="47" t="s">
        <v>1211</v>
      </c>
      <c r="C482" s="47">
        <v>203.0</v>
      </c>
      <c r="D482" s="47">
        <v>209.0</v>
      </c>
      <c r="E482" s="47">
        <v>27450.0</v>
      </c>
      <c r="F482" s="47" t="s">
        <v>11</v>
      </c>
    </row>
    <row r="483" ht="15.75" customHeight="1">
      <c r="A483" s="46" t="s">
        <v>1212</v>
      </c>
      <c r="B483" s="47" t="s">
        <v>1213</v>
      </c>
      <c r="C483" s="47">
        <v>193.0</v>
      </c>
      <c r="D483" s="47">
        <v>200.0</v>
      </c>
      <c r="E483" s="47">
        <v>30300.0</v>
      </c>
      <c r="F483" s="47" t="s">
        <v>11</v>
      </c>
    </row>
    <row r="484" ht="15.75" customHeight="1">
      <c r="A484" s="46" t="s">
        <v>1214</v>
      </c>
      <c r="B484" s="47" t="s">
        <v>1215</v>
      </c>
      <c r="C484" s="47">
        <v>32.0</v>
      </c>
      <c r="D484" s="47">
        <v>30.0</v>
      </c>
      <c r="E484" s="47" t="s">
        <v>11</v>
      </c>
      <c r="F484" s="47" t="s">
        <v>11</v>
      </c>
    </row>
    <row r="485" ht="15.75" customHeight="1">
      <c r="A485" s="46" t="s">
        <v>1216</v>
      </c>
      <c r="B485" s="47" t="s">
        <v>1217</v>
      </c>
      <c r="C485" s="47">
        <v>152.0</v>
      </c>
      <c r="D485" s="47">
        <v>140.0</v>
      </c>
      <c r="E485" s="47">
        <v>28390.0</v>
      </c>
      <c r="F485" s="47" t="s">
        <v>11</v>
      </c>
    </row>
    <row r="486" ht="15.75" customHeight="1">
      <c r="A486" s="46" t="s">
        <v>1218</v>
      </c>
      <c r="B486" s="47" t="s">
        <v>1219</v>
      </c>
      <c r="C486" s="47">
        <v>161.0</v>
      </c>
      <c r="D486" s="47">
        <v>157.0</v>
      </c>
      <c r="E486" s="47">
        <v>25340.0</v>
      </c>
      <c r="F486" s="47" t="s">
        <v>11</v>
      </c>
    </row>
    <row r="487" ht="15.75" customHeight="1">
      <c r="A487" s="46" t="s">
        <v>1220</v>
      </c>
      <c r="B487" s="47" t="s">
        <v>1221</v>
      </c>
      <c r="C487" s="47">
        <v>151.0</v>
      </c>
      <c r="D487" s="47">
        <v>135.0</v>
      </c>
      <c r="E487" s="47">
        <v>27320.0</v>
      </c>
      <c r="F487" s="47" t="s">
        <v>11</v>
      </c>
    </row>
    <row r="488" ht="15.75" customHeight="1">
      <c r="A488" s="46" t="s">
        <v>1222</v>
      </c>
      <c r="B488" s="47" t="s">
        <v>1223</v>
      </c>
      <c r="C488" s="47">
        <v>291.0</v>
      </c>
      <c r="D488" s="47">
        <v>317.0</v>
      </c>
      <c r="E488" s="47">
        <v>23830.0</v>
      </c>
      <c r="F488" s="47" t="s">
        <v>11</v>
      </c>
    </row>
    <row r="489" ht="15.75" customHeight="1">
      <c r="A489" s="46" t="s">
        <v>1224</v>
      </c>
      <c r="B489" s="47" t="s">
        <v>1225</v>
      </c>
      <c r="C489" s="47">
        <v>274.0</v>
      </c>
      <c r="D489" s="47">
        <v>273.0</v>
      </c>
      <c r="E489" s="47">
        <v>25380.0</v>
      </c>
      <c r="F489" s="47" t="s">
        <v>11</v>
      </c>
    </row>
    <row r="490" ht="15.75" customHeight="1">
      <c r="A490" s="46" t="s">
        <v>1226</v>
      </c>
      <c r="B490" s="47" t="s">
        <v>1227</v>
      </c>
      <c r="C490" s="47">
        <v>142.0</v>
      </c>
      <c r="D490" s="47">
        <v>141.0</v>
      </c>
      <c r="E490" s="47">
        <v>23880.0</v>
      </c>
      <c r="F490" s="47" t="s">
        <v>11</v>
      </c>
    </row>
    <row r="491" ht="15.75" customHeight="1">
      <c r="A491" s="46" t="s">
        <v>1228</v>
      </c>
      <c r="B491" s="47" t="s">
        <v>1229</v>
      </c>
      <c r="C491" s="47">
        <v>702.0</v>
      </c>
      <c r="D491" s="47">
        <v>674.0</v>
      </c>
      <c r="E491" s="47">
        <v>25400.0</v>
      </c>
      <c r="F491" s="47" t="s">
        <v>11</v>
      </c>
    </row>
    <row r="492" ht="15.75" customHeight="1">
      <c r="A492" s="46" t="s">
        <v>1230</v>
      </c>
      <c r="B492" s="47" t="s">
        <v>1231</v>
      </c>
      <c r="C492" s="47">
        <v>59.0</v>
      </c>
      <c r="D492" s="47">
        <v>51.0</v>
      </c>
      <c r="E492" s="47" t="s">
        <v>11</v>
      </c>
      <c r="F492" s="47" t="s">
        <v>11</v>
      </c>
    </row>
    <row r="493" ht="15.75" customHeight="1">
      <c r="A493" s="46" t="s">
        <v>1232</v>
      </c>
      <c r="B493" s="47" t="s">
        <v>1233</v>
      </c>
      <c r="C493" s="47">
        <v>63.0</v>
      </c>
      <c r="D493" s="47">
        <v>71.0</v>
      </c>
      <c r="E493" s="47" t="s">
        <v>11</v>
      </c>
      <c r="F493" s="47" t="s">
        <v>11</v>
      </c>
    </row>
    <row r="494" ht="15.75" customHeight="1">
      <c r="A494" s="46" t="s">
        <v>1234</v>
      </c>
      <c r="B494" s="47" t="s">
        <v>1235</v>
      </c>
      <c r="C494" s="47">
        <v>315.0</v>
      </c>
      <c r="D494" s="47">
        <v>306.0</v>
      </c>
      <c r="E494" s="47">
        <v>23110.0</v>
      </c>
      <c r="F494" s="47" t="s">
        <v>11</v>
      </c>
    </row>
    <row r="495" ht="15.75" customHeight="1">
      <c r="A495" s="46" t="s">
        <v>1236</v>
      </c>
      <c r="B495" s="47" t="s">
        <v>1237</v>
      </c>
      <c r="C495" s="47">
        <v>301.0</v>
      </c>
      <c r="D495" s="47">
        <v>279.0</v>
      </c>
      <c r="E495" s="47">
        <v>25520.0</v>
      </c>
      <c r="F495" s="47" t="s">
        <v>11</v>
      </c>
    </row>
    <row r="496" ht="15.75" customHeight="1">
      <c r="A496" s="46" t="s">
        <v>1238</v>
      </c>
      <c r="B496" s="47" t="s">
        <v>1239</v>
      </c>
      <c r="C496" s="47">
        <v>187.0</v>
      </c>
      <c r="D496" s="47">
        <v>193.0</v>
      </c>
      <c r="E496" s="47">
        <v>18430.0</v>
      </c>
      <c r="F496" s="47" t="s">
        <v>11</v>
      </c>
    </row>
    <row r="497" ht="15.75" customHeight="1">
      <c r="A497" s="46" t="s">
        <v>1240</v>
      </c>
      <c r="B497" s="47" t="s">
        <v>1241</v>
      </c>
      <c r="C497" s="47">
        <v>736.0</v>
      </c>
      <c r="D497" s="47">
        <v>751.0</v>
      </c>
      <c r="E497" s="47">
        <v>24700.0</v>
      </c>
      <c r="F497" s="47" t="s">
        <v>11</v>
      </c>
    </row>
    <row r="498" ht="15.75" customHeight="1">
      <c r="A498" s="46" t="s">
        <v>1242</v>
      </c>
      <c r="B498" s="47" t="s">
        <v>1243</v>
      </c>
      <c r="C498" s="47">
        <v>1369.0</v>
      </c>
      <c r="D498" s="47">
        <v>1305.0</v>
      </c>
      <c r="E498" s="47">
        <v>26710.0</v>
      </c>
      <c r="F498" s="47" t="s">
        <v>11</v>
      </c>
    </row>
    <row r="499" ht="15.75" customHeight="1">
      <c r="A499" s="46" t="s">
        <v>1244</v>
      </c>
      <c r="B499" s="47" t="s">
        <v>1245</v>
      </c>
      <c r="C499" s="47">
        <v>75.0</v>
      </c>
      <c r="D499" s="47">
        <v>79.0</v>
      </c>
      <c r="E499" s="47" t="s">
        <v>11</v>
      </c>
      <c r="F499" s="47" t="s">
        <v>11</v>
      </c>
    </row>
    <row r="500" ht="15.75" customHeight="1">
      <c r="A500" s="46" t="s">
        <v>1246</v>
      </c>
      <c r="B500" s="47" t="s">
        <v>1247</v>
      </c>
      <c r="C500" s="47">
        <v>74.0</v>
      </c>
      <c r="D500" s="47">
        <v>70.0</v>
      </c>
      <c r="E500" s="47" t="s">
        <v>11</v>
      </c>
      <c r="F500" s="47" t="s">
        <v>11</v>
      </c>
    </row>
    <row r="501" ht="15.75" customHeight="1">
      <c r="A501" s="46" t="s">
        <v>1248</v>
      </c>
      <c r="B501" s="47" t="s">
        <v>1249</v>
      </c>
      <c r="C501" s="47">
        <v>700.0</v>
      </c>
      <c r="D501" s="47">
        <v>684.0</v>
      </c>
      <c r="E501" s="47">
        <v>26590.0</v>
      </c>
      <c r="F501" s="47" t="s">
        <v>11</v>
      </c>
    </row>
    <row r="502" ht="15.75" customHeight="1">
      <c r="A502" s="46" t="s">
        <v>1250</v>
      </c>
      <c r="B502" s="47" t="s">
        <v>1251</v>
      </c>
      <c r="C502" s="47">
        <v>574.0</v>
      </c>
      <c r="D502" s="47">
        <v>544.0</v>
      </c>
      <c r="E502" s="47">
        <v>28410.0</v>
      </c>
      <c r="F502" s="47" t="s">
        <v>11</v>
      </c>
    </row>
    <row r="503" ht="15.75" customHeight="1">
      <c r="A503" s="46" t="s">
        <v>1252</v>
      </c>
      <c r="B503" s="47" t="s">
        <v>1253</v>
      </c>
      <c r="C503" s="47">
        <v>89.0</v>
      </c>
      <c r="D503" s="47">
        <v>98.0</v>
      </c>
      <c r="E503" s="47" t="s">
        <v>11</v>
      </c>
      <c r="F503" s="47" t="s">
        <v>11</v>
      </c>
    </row>
    <row r="504" ht="15.75" customHeight="1">
      <c r="A504" s="46" t="s">
        <v>1254</v>
      </c>
      <c r="B504" s="47" t="s">
        <v>1255</v>
      </c>
      <c r="C504" s="47">
        <v>444.0</v>
      </c>
      <c r="D504" s="47">
        <v>469.0</v>
      </c>
      <c r="E504" s="47">
        <v>25950.0</v>
      </c>
      <c r="F504" s="47" t="s">
        <v>11</v>
      </c>
    </row>
    <row r="505" ht="15.75" customHeight="1">
      <c r="A505" s="46" t="s">
        <v>1256</v>
      </c>
      <c r="B505" s="47" t="s">
        <v>1257</v>
      </c>
      <c r="C505" s="47">
        <v>233.0</v>
      </c>
      <c r="D505" s="47">
        <v>208.0</v>
      </c>
      <c r="E505" s="47">
        <v>25330.0</v>
      </c>
      <c r="F505" s="47" t="s">
        <v>11</v>
      </c>
    </row>
    <row r="506" ht="15.75" customHeight="1">
      <c r="A506" s="46" t="s">
        <v>1258</v>
      </c>
      <c r="B506" s="47" t="s">
        <v>1259</v>
      </c>
      <c r="C506" s="47">
        <v>187.0</v>
      </c>
      <c r="D506" s="47">
        <v>185.0</v>
      </c>
      <c r="E506" s="47">
        <v>25670.0</v>
      </c>
      <c r="F506" s="47" t="s">
        <v>11</v>
      </c>
    </row>
    <row r="507" ht="15.75" customHeight="1">
      <c r="A507" s="46" t="s">
        <v>1260</v>
      </c>
      <c r="B507" s="47" t="s">
        <v>1261</v>
      </c>
      <c r="C507" s="47">
        <v>76.0</v>
      </c>
      <c r="D507" s="47">
        <v>74.0</v>
      </c>
      <c r="E507" s="47" t="s">
        <v>11</v>
      </c>
      <c r="F507" s="47" t="s">
        <v>11</v>
      </c>
    </row>
    <row r="508" ht="15.75" customHeight="1">
      <c r="A508" s="46" t="s">
        <v>1262</v>
      </c>
      <c r="B508" s="47" t="s">
        <v>1263</v>
      </c>
      <c r="C508" s="47">
        <v>123.0</v>
      </c>
      <c r="D508" s="47">
        <v>141.0</v>
      </c>
      <c r="E508" s="47">
        <v>26050.0</v>
      </c>
      <c r="F508" s="47" t="s">
        <v>11</v>
      </c>
    </row>
    <row r="509" ht="15.75" customHeight="1">
      <c r="A509" s="46" t="s">
        <v>1264</v>
      </c>
      <c r="B509" s="47" t="s">
        <v>1265</v>
      </c>
      <c r="C509" s="47">
        <v>975.0</v>
      </c>
      <c r="D509" s="47">
        <v>994.0</v>
      </c>
      <c r="E509" s="47">
        <v>25620.0</v>
      </c>
      <c r="F509" s="47" t="s">
        <v>11</v>
      </c>
    </row>
    <row r="510" ht="15.75" customHeight="1">
      <c r="A510" s="46" t="s">
        <v>1266</v>
      </c>
      <c r="B510" s="47" t="s">
        <v>1267</v>
      </c>
      <c r="C510" s="47">
        <v>119.0</v>
      </c>
      <c r="D510" s="47">
        <v>117.0</v>
      </c>
      <c r="E510" s="47">
        <v>25830.0</v>
      </c>
      <c r="F510" s="47" t="s">
        <v>11</v>
      </c>
    </row>
    <row r="511" ht="15.75" customHeight="1">
      <c r="A511" s="46" t="s">
        <v>1268</v>
      </c>
      <c r="B511" s="47" t="s">
        <v>1269</v>
      </c>
      <c r="C511" s="47">
        <v>52.0</v>
      </c>
      <c r="D511" s="47">
        <v>44.0</v>
      </c>
      <c r="E511" s="47" t="s">
        <v>11</v>
      </c>
      <c r="F511" s="47" t="s">
        <v>11</v>
      </c>
    </row>
    <row r="512" ht="15.75" customHeight="1">
      <c r="A512" s="46" t="s">
        <v>1270</v>
      </c>
      <c r="B512" s="47" t="s">
        <v>1271</v>
      </c>
      <c r="C512" s="47">
        <v>118.0</v>
      </c>
      <c r="D512" s="47">
        <v>115.0</v>
      </c>
      <c r="E512" s="47" t="s">
        <v>11</v>
      </c>
      <c r="F512" s="47" t="s">
        <v>11</v>
      </c>
    </row>
    <row r="513" ht="15.75" customHeight="1">
      <c r="A513" s="46" t="s">
        <v>1272</v>
      </c>
      <c r="B513" s="47" t="s">
        <v>1273</v>
      </c>
      <c r="C513" s="47">
        <v>103.0</v>
      </c>
      <c r="D513" s="47">
        <v>88.0</v>
      </c>
      <c r="E513" s="47" t="s">
        <v>11</v>
      </c>
      <c r="F513" s="47" t="s">
        <v>11</v>
      </c>
    </row>
    <row r="514" ht="15.75" customHeight="1">
      <c r="A514" s="46" t="s">
        <v>1274</v>
      </c>
      <c r="B514" s="47" t="s">
        <v>1275</v>
      </c>
      <c r="C514" s="47">
        <v>193.0</v>
      </c>
      <c r="D514" s="47">
        <v>186.0</v>
      </c>
      <c r="E514" s="47">
        <v>25680.0</v>
      </c>
      <c r="F514" s="47" t="s">
        <v>11</v>
      </c>
    </row>
    <row r="515" ht="15.75" customHeight="1">
      <c r="A515" s="46" t="s">
        <v>1276</v>
      </c>
      <c r="B515" s="47" t="s">
        <v>1277</v>
      </c>
      <c r="C515" s="47">
        <v>62.0</v>
      </c>
      <c r="D515" s="47">
        <v>86.0</v>
      </c>
      <c r="E515" s="47" t="s">
        <v>11</v>
      </c>
      <c r="F515" s="47" t="s">
        <v>11</v>
      </c>
    </row>
    <row r="516" ht="15.75" customHeight="1">
      <c r="A516" s="46" t="s">
        <v>1278</v>
      </c>
      <c r="B516" s="47" t="s">
        <v>1279</v>
      </c>
      <c r="C516" s="47">
        <v>703.0</v>
      </c>
      <c r="D516" s="47">
        <v>659.0</v>
      </c>
      <c r="E516" s="47">
        <v>24530.0</v>
      </c>
      <c r="F516" s="47" t="s">
        <v>11</v>
      </c>
    </row>
    <row r="517" ht="15.75" customHeight="1">
      <c r="A517" s="46" t="s">
        <v>1280</v>
      </c>
      <c r="B517" s="47" t="s">
        <v>1281</v>
      </c>
      <c r="C517" s="47">
        <v>1230.0</v>
      </c>
      <c r="D517" s="47">
        <v>1189.0</v>
      </c>
      <c r="E517" s="47">
        <v>27800.0</v>
      </c>
      <c r="F517" s="47" t="s">
        <v>11</v>
      </c>
    </row>
    <row r="518" ht="15.75" customHeight="1">
      <c r="A518" s="46" t="s">
        <v>1282</v>
      </c>
      <c r="B518" s="47" t="s">
        <v>1283</v>
      </c>
      <c r="C518" s="47">
        <v>423.0</v>
      </c>
      <c r="D518" s="47">
        <v>424.0</v>
      </c>
      <c r="E518" s="47">
        <v>25870.0</v>
      </c>
      <c r="F518" s="47" t="s">
        <v>11</v>
      </c>
    </row>
    <row r="519" ht="15.75" customHeight="1">
      <c r="A519" s="46" t="s">
        <v>1284</v>
      </c>
      <c r="B519" s="47" t="s">
        <v>1285</v>
      </c>
      <c r="C519" s="47">
        <v>91.0</v>
      </c>
      <c r="D519" s="47">
        <v>80.0</v>
      </c>
      <c r="E519" s="47" t="s">
        <v>11</v>
      </c>
      <c r="F519" s="47" t="s">
        <v>11</v>
      </c>
    </row>
    <row r="520" ht="15.75" customHeight="1">
      <c r="A520" s="46" t="s">
        <v>1286</v>
      </c>
      <c r="B520" s="47" t="s">
        <v>1287</v>
      </c>
      <c r="C520" s="47">
        <v>2078.0</v>
      </c>
      <c r="D520" s="47">
        <v>1943.0</v>
      </c>
      <c r="E520" s="47">
        <v>23500.0</v>
      </c>
      <c r="F520" s="47" t="s">
        <v>11</v>
      </c>
    </row>
    <row r="521" ht="15.75" customHeight="1">
      <c r="A521" s="46" t="s">
        <v>1288</v>
      </c>
      <c r="B521" s="47" t="s">
        <v>1289</v>
      </c>
      <c r="C521" s="47">
        <v>611.0</v>
      </c>
      <c r="D521" s="47">
        <v>602.0</v>
      </c>
      <c r="E521" s="47">
        <v>19970.0</v>
      </c>
      <c r="F521" s="47" t="s">
        <v>11</v>
      </c>
    </row>
    <row r="522" ht="15.75" customHeight="1">
      <c r="A522" s="46" t="s">
        <v>1290</v>
      </c>
      <c r="B522" s="47" t="s">
        <v>1291</v>
      </c>
      <c r="C522" s="47">
        <v>187.0</v>
      </c>
      <c r="D522" s="47">
        <v>187.0</v>
      </c>
      <c r="E522" s="47">
        <v>24460.0</v>
      </c>
      <c r="F522" s="47" t="s">
        <v>11</v>
      </c>
    </row>
    <row r="523" ht="15.75" customHeight="1">
      <c r="A523" s="46" t="s">
        <v>1292</v>
      </c>
      <c r="B523" s="47" t="s">
        <v>1293</v>
      </c>
      <c r="C523" s="47">
        <v>197.0</v>
      </c>
      <c r="D523" s="47">
        <v>197.0</v>
      </c>
      <c r="E523" s="47">
        <v>23450.0</v>
      </c>
      <c r="F523" s="47" t="s">
        <v>11</v>
      </c>
    </row>
    <row r="524" ht="15.75" customHeight="1">
      <c r="A524" s="46" t="s">
        <v>1294</v>
      </c>
      <c r="B524" s="47" t="s">
        <v>1295</v>
      </c>
      <c r="C524" s="47">
        <v>67.0</v>
      </c>
      <c r="D524" s="47">
        <v>61.0</v>
      </c>
      <c r="E524" s="47" t="s">
        <v>11</v>
      </c>
      <c r="F524" s="47" t="s">
        <v>11</v>
      </c>
    </row>
    <row r="525" ht="15.75" customHeight="1">
      <c r="A525" s="46" t="s">
        <v>1296</v>
      </c>
      <c r="B525" s="47" t="s">
        <v>1297</v>
      </c>
      <c r="C525" s="47">
        <v>380.0</v>
      </c>
      <c r="D525" s="47">
        <v>394.0</v>
      </c>
      <c r="E525" s="47">
        <v>22690.0</v>
      </c>
      <c r="F525" s="47" t="s">
        <v>11</v>
      </c>
    </row>
    <row r="526" ht="15.75" customHeight="1">
      <c r="A526" s="46" t="s">
        <v>1298</v>
      </c>
      <c r="B526" s="47" t="s">
        <v>1299</v>
      </c>
      <c r="C526" s="47">
        <v>842.0</v>
      </c>
      <c r="D526" s="47">
        <v>848.0</v>
      </c>
      <c r="E526" s="47">
        <v>27560.0</v>
      </c>
      <c r="F526" s="47" t="s">
        <v>11</v>
      </c>
    </row>
    <row r="527" ht="15.75" customHeight="1">
      <c r="A527" s="46" t="s">
        <v>1300</v>
      </c>
      <c r="B527" s="47" t="s">
        <v>1301</v>
      </c>
      <c r="C527" s="47">
        <v>105.0</v>
      </c>
      <c r="D527" s="47">
        <v>121.0</v>
      </c>
      <c r="E527" s="47">
        <v>22140.0</v>
      </c>
      <c r="F527" s="47" t="s">
        <v>11</v>
      </c>
    </row>
    <row r="528" ht="15.75" customHeight="1">
      <c r="A528" s="46" t="s">
        <v>1302</v>
      </c>
      <c r="B528" s="47" t="s">
        <v>1303</v>
      </c>
      <c r="C528" s="47">
        <v>117.0</v>
      </c>
      <c r="D528" s="47">
        <v>116.0</v>
      </c>
      <c r="E528" s="47">
        <v>23800.0</v>
      </c>
      <c r="F528" s="47" t="s">
        <v>11</v>
      </c>
    </row>
    <row r="529" ht="15.75" customHeight="1">
      <c r="A529" s="46" t="s">
        <v>1304</v>
      </c>
      <c r="B529" s="47" t="s">
        <v>1305</v>
      </c>
      <c r="C529" s="47">
        <v>186.0</v>
      </c>
      <c r="D529" s="47">
        <v>170.0</v>
      </c>
      <c r="E529" s="47">
        <v>26460.0</v>
      </c>
      <c r="F529" s="47" t="s">
        <v>11</v>
      </c>
    </row>
    <row r="530" ht="15.75" customHeight="1">
      <c r="A530" s="46" t="s">
        <v>1306</v>
      </c>
      <c r="B530" s="47" t="s">
        <v>1307</v>
      </c>
      <c r="C530" s="47">
        <v>244.0</v>
      </c>
      <c r="D530" s="47">
        <v>225.0</v>
      </c>
      <c r="E530" s="47">
        <v>23710.0</v>
      </c>
      <c r="F530" s="47" t="s">
        <v>11</v>
      </c>
    </row>
    <row r="531" ht="15.75" customHeight="1">
      <c r="A531" s="46" t="s">
        <v>1308</v>
      </c>
      <c r="B531" s="47" t="s">
        <v>1309</v>
      </c>
      <c r="C531" s="47">
        <v>1012.0</v>
      </c>
      <c r="D531" s="47">
        <v>1106.0</v>
      </c>
      <c r="E531" s="47">
        <v>27060.0</v>
      </c>
      <c r="F531" s="47" t="s">
        <v>11</v>
      </c>
    </row>
    <row r="532" ht="15.75" customHeight="1">
      <c r="A532" s="46" t="s">
        <v>1310</v>
      </c>
      <c r="B532" s="47" t="s">
        <v>1311</v>
      </c>
      <c r="C532" s="47">
        <v>2167.0</v>
      </c>
      <c r="D532" s="47">
        <v>2134.0</v>
      </c>
      <c r="E532" s="47">
        <v>24120.0</v>
      </c>
      <c r="F532" s="47" t="s">
        <v>11</v>
      </c>
    </row>
    <row r="533" ht="15.75" customHeight="1">
      <c r="A533" s="46" t="s">
        <v>1312</v>
      </c>
      <c r="B533" s="47" t="s">
        <v>1313</v>
      </c>
      <c r="C533" s="47">
        <v>81.0</v>
      </c>
      <c r="D533" s="47">
        <v>68.0</v>
      </c>
      <c r="E533" s="47" t="s">
        <v>11</v>
      </c>
      <c r="F533" s="47" t="s">
        <v>11</v>
      </c>
    </row>
    <row r="534" ht="15.75" customHeight="1">
      <c r="A534" s="46" t="s">
        <v>1314</v>
      </c>
      <c r="B534" s="47" t="s">
        <v>1315</v>
      </c>
      <c r="C534" s="47">
        <v>130.0</v>
      </c>
      <c r="D534" s="47">
        <v>124.0</v>
      </c>
      <c r="E534" s="47">
        <v>21850.0</v>
      </c>
      <c r="F534" s="47" t="s">
        <v>11</v>
      </c>
    </row>
    <row r="535" ht="15.75" customHeight="1">
      <c r="A535" s="46" t="s">
        <v>1316</v>
      </c>
      <c r="B535" s="47" t="s">
        <v>1317</v>
      </c>
      <c r="C535" s="47">
        <v>2602.0</v>
      </c>
      <c r="D535" s="47">
        <v>2468.0</v>
      </c>
      <c r="E535" s="47">
        <v>21420.0</v>
      </c>
      <c r="F535" s="47">
        <v>23.0</v>
      </c>
    </row>
    <row r="536" ht="15.75" customHeight="1">
      <c r="A536" s="46" t="s">
        <v>1318</v>
      </c>
      <c r="B536" s="47" t="s">
        <v>1319</v>
      </c>
      <c r="C536" s="47">
        <v>474.0</v>
      </c>
      <c r="D536" s="47">
        <v>527.0</v>
      </c>
      <c r="E536" s="47">
        <v>22460.0</v>
      </c>
      <c r="F536" s="47" t="s">
        <v>11</v>
      </c>
    </row>
    <row r="537" ht="15.75" customHeight="1">
      <c r="A537" s="46" t="s">
        <v>1320</v>
      </c>
      <c r="B537" s="47" t="s">
        <v>1321</v>
      </c>
      <c r="C537" s="47">
        <v>249.0</v>
      </c>
      <c r="D537" s="47">
        <v>239.0</v>
      </c>
      <c r="E537" s="47">
        <v>24850.0</v>
      </c>
      <c r="F537" s="47" t="s">
        <v>11</v>
      </c>
    </row>
    <row r="538" ht="15.75" customHeight="1">
      <c r="A538" s="46" t="s">
        <v>1322</v>
      </c>
      <c r="B538" s="47" t="s">
        <v>1323</v>
      </c>
      <c r="C538" s="47">
        <v>165.0</v>
      </c>
      <c r="D538" s="47">
        <v>143.0</v>
      </c>
      <c r="E538" s="47">
        <v>30920.0</v>
      </c>
      <c r="F538" s="47" t="s">
        <v>11</v>
      </c>
    </row>
    <row r="539" ht="15.75" customHeight="1">
      <c r="A539" s="46" t="s">
        <v>1324</v>
      </c>
      <c r="B539" s="47" t="s">
        <v>1325</v>
      </c>
      <c r="C539" s="47">
        <v>225.0</v>
      </c>
      <c r="D539" s="47">
        <v>202.0</v>
      </c>
      <c r="E539" s="47">
        <v>25090.0</v>
      </c>
      <c r="F539" s="47" t="s">
        <v>11</v>
      </c>
    </row>
    <row r="540" ht="15.75" customHeight="1">
      <c r="A540" s="46" t="s">
        <v>1326</v>
      </c>
      <c r="B540" s="47" t="s">
        <v>1327</v>
      </c>
      <c r="C540" s="47">
        <v>167.0</v>
      </c>
      <c r="D540" s="47">
        <v>132.0</v>
      </c>
      <c r="E540" s="47">
        <v>22630.0</v>
      </c>
      <c r="F540" s="47" t="s">
        <v>11</v>
      </c>
    </row>
    <row r="541" ht="15.75" customHeight="1">
      <c r="A541" s="46" t="s">
        <v>1328</v>
      </c>
      <c r="B541" s="47" t="s">
        <v>1329</v>
      </c>
      <c r="C541" s="47">
        <v>887.0</v>
      </c>
      <c r="D541" s="47">
        <v>825.0</v>
      </c>
      <c r="E541" s="47">
        <v>27270.0</v>
      </c>
      <c r="F541" s="47" t="s">
        <v>11</v>
      </c>
    </row>
    <row r="542" ht="15.75" customHeight="1">
      <c r="A542" s="46" t="s">
        <v>1330</v>
      </c>
      <c r="B542" s="47" t="s">
        <v>1331</v>
      </c>
      <c r="C542" s="47">
        <v>290.0</v>
      </c>
      <c r="D542" s="47">
        <v>293.0</v>
      </c>
      <c r="E542" s="47">
        <v>25140.0</v>
      </c>
      <c r="F542" s="47" t="s">
        <v>11</v>
      </c>
    </row>
    <row r="543" ht="15.75" customHeight="1">
      <c r="A543" s="46" t="s">
        <v>1332</v>
      </c>
      <c r="B543" s="47" t="s">
        <v>1333</v>
      </c>
      <c r="C543" s="47">
        <v>1113.0</v>
      </c>
      <c r="D543" s="47">
        <v>1109.0</v>
      </c>
      <c r="E543" s="47">
        <v>25860.0</v>
      </c>
      <c r="F543" s="47" t="s">
        <v>11</v>
      </c>
    </row>
    <row r="544" ht="15.75" customHeight="1">
      <c r="A544" s="46" t="s">
        <v>1334</v>
      </c>
      <c r="B544" s="47" t="s">
        <v>1335</v>
      </c>
      <c r="C544" s="47">
        <v>303.0</v>
      </c>
      <c r="D544" s="47">
        <v>269.0</v>
      </c>
      <c r="E544" s="47">
        <v>22110.0</v>
      </c>
      <c r="F544" s="47" t="s">
        <v>11</v>
      </c>
    </row>
    <row r="545" ht="15.75" customHeight="1">
      <c r="A545" s="46" t="s">
        <v>1336</v>
      </c>
      <c r="B545" s="47" t="s">
        <v>1337</v>
      </c>
      <c r="C545" s="47">
        <v>155.0</v>
      </c>
      <c r="D545" s="47">
        <v>176.0</v>
      </c>
      <c r="E545" s="47">
        <v>28990.0</v>
      </c>
      <c r="F545" s="47" t="s">
        <v>11</v>
      </c>
    </row>
    <row r="546" ht="15.75" customHeight="1">
      <c r="A546" s="46" t="s">
        <v>1338</v>
      </c>
      <c r="B546" s="47" t="s">
        <v>1339</v>
      </c>
      <c r="C546" s="47">
        <v>466.0</v>
      </c>
      <c r="D546" s="47">
        <v>438.0</v>
      </c>
      <c r="E546" s="47">
        <v>22430.0</v>
      </c>
      <c r="F546" s="47" t="s">
        <v>11</v>
      </c>
    </row>
    <row r="547" ht="15.75" customHeight="1">
      <c r="A547" s="46" t="s">
        <v>1340</v>
      </c>
      <c r="B547" s="47" t="s">
        <v>1341</v>
      </c>
      <c r="C547" s="47">
        <v>184.0</v>
      </c>
      <c r="D547" s="47">
        <v>169.0</v>
      </c>
      <c r="E547" s="47">
        <v>23100.0</v>
      </c>
      <c r="F547" s="47" t="s">
        <v>11</v>
      </c>
    </row>
    <row r="548" ht="15.75" customHeight="1">
      <c r="A548" s="46" t="s">
        <v>1342</v>
      </c>
      <c r="B548" s="47" t="s">
        <v>1343</v>
      </c>
      <c r="C548" s="47">
        <v>714.0</v>
      </c>
      <c r="D548" s="47">
        <v>660.0</v>
      </c>
      <c r="E548" s="47">
        <v>27690.0</v>
      </c>
      <c r="F548" s="47" t="s">
        <v>11</v>
      </c>
    </row>
    <row r="549" ht="15.75" customHeight="1">
      <c r="A549" s="46" t="s">
        <v>1344</v>
      </c>
      <c r="B549" s="47" t="s">
        <v>1345</v>
      </c>
      <c r="C549" s="47">
        <v>507.0</v>
      </c>
      <c r="D549" s="47">
        <v>490.0</v>
      </c>
      <c r="E549" s="47">
        <v>30060.0</v>
      </c>
      <c r="F549" s="47" t="s">
        <v>11</v>
      </c>
    </row>
    <row r="550" ht="15.75" customHeight="1">
      <c r="A550" s="46" t="s">
        <v>1346</v>
      </c>
      <c r="B550" s="47" t="s">
        <v>1347</v>
      </c>
      <c r="C550" s="47">
        <v>66.0</v>
      </c>
      <c r="D550" s="47">
        <v>53.0</v>
      </c>
      <c r="E550" s="47" t="s">
        <v>11</v>
      </c>
      <c r="F550" s="47" t="s">
        <v>11</v>
      </c>
    </row>
    <row r="551" ht="15.75" customHeight="1">
      <c r="A551" s="46" t="s">
        <v>1348</v>
      </c>
      <c r="B551" s="47" t="s">
        <v>1349</v>
      </c>
      <c r="C551" s="47">
        <v>1453.0</v>
      </c>
      <c r="D551" s="47">
        <v>1354.0</v>
      </c>
      <c r="E551" s="47">
        <v>22560.0</v>
      </c>
      <c r="F551" s="47" t="s">
        <v>11</v>
      </c>
    </row>
    <row r="552" ht="15.75" customHeight="1">
      <c r="A552" s="46" t="s">
        <v>1350</v>
      </c>
      <c r="B552" s="47" t="s">
        <v>1351</v>
      </c>
      <c r="C552" s="47">
        <v>1685.0</v>
      </c>
      <c r="D552" s="47">
        <v>1587.0</v>
      </c>
      <c r="E552" s="47">
        <v>20380.0</v>
      </c>
      <c r="F552" s="47" t="s">
        <v>11</v>
      </c>
    </row>
    <row r="553" ht="15.75" customHeight="1">
      <c r="A553" s="46" t="s">
        <v>1352</v>
      </c>
      <c r="B553" s="47" t="s">
        <v>1353</v>
      </c>
      <c r="C553" s="47">
        <v>326.0</v>
      </c>
      <c r="D553" s="47">
        <v>325.0</v>
      </c>
      <c r="E553" s="47">
        <v>26930.0</v>
      </c>
      <c r="F553" s="47" t="s">
        <v>11</v>
      </c>
    </row>
    <row r="554" ht="15.75" customHeight="1">
      <c r="A554" s="46" t="s">
        <v>1354</v>
      </c>
      <c r="B554" s="47" t="s">
        <v>1355</v>
      </c>
      <c r="C554" s="47">
        <v>80.0</v>
      </c>
      <c r="D554" s="47">
        <v>92.0</v>
      </c>
      <c r="E554" s="47" t="s">
        <v>11</v>
      </c>
      <c r="F554" s="47" t="s">
        <v>11</v>
      </c>
    </row>
    <row r="555" ht="15.75" customHeight="1">
      <c r="A555" s="46" t="s">
        <v>1356</v>
      </c>
      <c r="B555" s="47" t="s">
        <v>1357</v>
      </c>
      <c r="C555" s="47">
        <v>85.0</v>
      </c>
      <c r="D555" s="47">
        <v>80.0</v>
      </c>
      <c r="E555" s="47" t="s">
        <v>11</v>
      </c>
      <c r="F555" s="47" t="s">
        <v>11</v>
      </c>
    </row>
    <row r="556" ht="15.75" customHeight="1">
      <c r="A556" s="46" t="s">
        <v>1358</v>
      </c>
      <c r="B556" s="47" t="s">
        <v>1359</v>
      </c>
      <c r="C556" s="47">
        <v>122.0</v>
      </c>
      <c r="D556" s="47">
        <v>131.0</v>
      </c>
      <c r="E556" s="47">
        <v>24020.0</v>
      </c>
      <c r="F556" s="47" t="s">
        <v>11</v>
      </c>
    </row>
    <row r="557" ht="15.75" customHeight="1">
      <c r="A557" s="46" t="s">
        <v>1360</v>
      </c>
      <c r="B557" s="47" t="s">
        <v>1361</v>
      </c>
      <c r="C557" s="47">
        <v>823.0</v>
      </c>
      <c r="D557" s="47">
        <v>785.0</v>
      </c>
      <c r="E557" s="47">
        <v>23910.0</v>
      </c>
      <c r="F557" s="47" t="s">
        <v>11</v>
      </c>
    </row>
    <row r="558" ht="15.75" customHeight="1">
      <c r="A558" s="46" t="s">
        <v>1362</v>
      </c>
      <c r="B558" s="47" t="s">
        <v>1363</v>
      </c>
      <c r="C558" s="47">
        <v>314.0</v>
      </c>
      <c r="D558" s="47">
        <v>309.0</v>
      </c>
      <c r="E558" s="47">
        <v>28360.0</v>
      </c>
      <c r="F558" s="47" t="s">
        <v>11</v>
      </c>
    </row>
    <row r="559" ht="15.75" customHeight="1">
      <c r="A559" s="46" t="s">
        <v>1364</v>
      </c>
      <c r="B559" s="47" t="s">
        <v>1365</v>
      </c>
      <c r="C559" s="47">
        <v>75.0</v>
      </c>
      <c r="D559" s="47">
        <v>80.0</v>
      </c>
      <c r="E559" s="47" t="s">
        <v>11</v>
      </c>
      <c r="F559" s="47" t="s">
        <v>11</v>
      </c>
    </row>
    <row r="560" ht="15.75" customHeight="1">
      <c r="A560" s="46" t="s">
        <v>1366</v>
      </c>
      <c r="B560" s="47" t="s">
        <v>1367</v>
      </c>
      <c r="C560" s="47">
        <v>56.0</v>
      </c>
      <c r="D560" s="47">
        <v>60.0</v>
      </c>
      <c r="E560" s="47" t="s">
        <v>11</v>
      </c>
      <c r="F560" s="47" t="s">
        <v>11</v>
      </c>
    </row>
    <row r="561" ht="15.75" customHeight="1">
      <c r="A561" s="46" t="s">
        <v>1368</v>
      </c>
      <c r="B561" s="47" t="s">
        <v>1369</v>
      </c>
      <c r="C561" s="47">
        <v>128.0</v>
      </c>
      <c r="D561" s="47">
        <v>114.0</v>
      </c>
      <c r="E561" s="47">
        <v>28900.0</v>
      </c>
      <c r="F561" s="47" t="s">
        <v>11</v>
      </c>
    </row>
    <row r="562" ht="15.75" customHeight="1">
      <c r="A562" s="46" t="s">
        <v>1370</v>
      </c>
      <c r="B562" s="47" t="s">
        <v>1371</v>
      </c>
      <c r="C562" s="47">
        <v>256.0</v>
      </c>
      <c r="D562" s="47">
        <v>245.0</v>
      </c>
      <c r="E562" s="47">
        <v>27290.0</v>
      </c>
      <c r="F562" s="47" t="s">
        <v>11</v>
      </c>
    </row>
    <row r="563" ht="15.75" customHeight="1">
      <c r="A563" s="46" t="s">
        <v>1372</v>
      </c>
      <c r="B563" s="47" t="s">
        <v>1373</v>
      </c>
      <c r="C563" s="47">
        <v>142.0</v>
      </c>
      <c r="D563" s="47">
        <v>143.0</v>
      </c>
      <c r="E563" s="47">
        <v>27570.0</v>
      </c>
      <c r="F563" s="47" t="s">
        <v>11</v>
      </c>
    </row>
    <row r="564" ht="15.75" customHeight="1">
      <c r="A564" s="46" t="s">
        <v>1374</v>
      </c>
      <c r="B564" s="47" t="s">
        <v>1375</v>
      </c>
      <c r="C564" s="47">
        <v>352.0</v>
      </c>
      <c r="D564" s="47">
        <v>353.0</v>
      </c>
      <c r="E564" s="47">
        <v>24780.0</v>
      </c>
      <c r="F564" s="47" t="s">
        <v>11</v>
      </c>
    </row>
    <row r="565" ht="15.75" customHeight="1">
      <c r="A565" s="46" t="s">
        <v>1376</v>
      </c>
      <c r="B565" s="47" t="s">
        <v>1377</v>
      </c>
      <c r="C565" s="47">
        <v>74.0</v>
      </c>
      <c r="D565" s="47">
        <v>66.0</v>
      </c>
      <c r="E565" s="47" t="s">
        <v>11</v>
      </c>
      <c r="F565" s="47" t="s">
        <v>11</v>
      </c>
    </row>
    <row r="566" ht="15.75" customHeight="1">
      <c r="A566" s="46" t="s">
        <v>1378</v>
      </c>
      <c r="B566" s="47" t="s">
        <v>1379</v>
      </c>
      <c r="C566" s="47">
        <v>388.0</v>
      </c>
      <c r="D566" s="47">
        <v>367.0</v>
      </c>
      <c r="E566" s="47">
        <v>26740.0</v>
      </c>
      <c r="F566" s="47" t="s">
        <v>11</v>
      </c>
    </row>
    <row r="567" ht="15.75" customHeight="1">
      <c r="A567" s="46" t="s">
        <v>1380</v>
      </c>
      <c r="B567" s="47" t="s">
        <v>1381</v>
      </c>
      <c r="C567" s="47">
        <v>170.0</v>
      </c>
      <c r="D567" s="47">
        <v>174.0</v>
      </c>
      <c r="E567" s="47">
        <v>25730.0</v>
      </c>
      <c r="F567" s="47" t="s">
        <v>11</v>
      </c>
    </row>
    <row r="568" ht="15.75" customHeight="1">
      <c r="A568" s="46" t="s">
        <v>1382</v>
      </c>
      <c r="B568" s="47" t="s">
        <v>1383</v>
      </c>
      <c r="C568" s="47">
        <v>131.0</v>
      </c>
      <c r="D568" s="47">
        <v>142.0</v>
      </c>
      <c r="E568" s="47">
        <v>22330.0</v>
      </c>
      <c r="F568" s="47" t="s">
        <v>11</v>
      </c>
    </row>
    <row r="569" ht="15.75" customHeight="1">
      <c r="A569" s="46" t="s">
        <v>1384</v>
      </c>
      <c r="B569" s="47" t="s">
        <v>1385</v>
      </c>
      <c r="C569" s="47">
        <v>189.0</v>
      </c>
      <c r="D569" s="47">
        <v>191.0</v>
      </c>
      <c r="E569" s="47">
        <v>23810.0</v>
      </c>
      <c r="F569" s="47" t="s">
        <v>11</v>
      </c>
    </row>
    <row r="570" ht="15.75" customHeight="1">
      <c r="A570" s="46" t="s">
        <v>1386</v>
      </c>
      <c r="B570" s="47" t="s">
        <v>1387</v>
      </c>
      <c r="C570" s="47">
        <v>1019.0</v>
      </c>
      <c r="D570" s="47">
        <v>1100.0</v>
      </c>
      <c r="E570" s="47">
        <v>26640.0</v>
      </c>
      <c r="F570" s="47" t="s">
        <v>11</v>
      </c>
    </row>
    <row r="571" ht="15.75" customHeight="1">
      <c r="A571" s="46" t="s">
        <v>1388</v>
      </c>
      <c r="B571" s="47" t="s">
        <v>1389</v>
      </c>
      <c r="C571" s="47">
        <v>148.0</v>
      </c>
      <c r="D571" s="47">
        <v>131.0</v>
      </c>
      <c r="E571" s="47">
        <v>26760.0</v>
      </c>
      <c r="F571" s="47" t="s">
        <v>11</v>
      </c>
    </row>
    <row r="572" ht="15.75" customHeight="1">
      <c r="A572" s="46" t="s">
        <v>1390</v>
      </c>
      <c r="B572" s="47" t="s">
        <v>1391</v>
      </c>
      <c r="C572" s="47">
        <v>126.0</v>
      </c>
      <c r="D572" s="47">
        <v>139.0</v>
      </c>
      <c r="E572" s="47">
        <v>27700.0</v>
      </c>
      <c r="F572" s="47" t="s">
        <v>11</v>
      </c>
    </row>
    <row r="573" ht="15.75" customHeight="1">
      <c r="A573" s="46" t="s">
        <v>1392</v>
      </c>
      <c r="B573" s="47" t="s">
        <v>1393</v>
      </c>
      <c r="C573" s="47">
        <v>781.0</v>
      </c>
      <c r="D573" s="47">
        <v>745.0</v>
      </c>
      <c r="E573" s="47">
        <v>24460.0</v>
      </c>
      <c r="F573" s="47" t="s">
        <v>11</v>
      </c>
    </row>
    <row r="574" ht="15.75" customHeight="1">
      <c r="A574" s="46" t="s">
        <v>1394</v>
      </c>
      <c r="B574" s="47" t="s">
        <v>1395</v>
      </c>
      <c r="C574" s="47">
        <v>650.0</v>
      </c>
      <c r="D574" s="47">
        <v>682.0</v>
      </c>
      <c r="E574" s="47">
        <v>28250.0</v>
      </c>
      <c r="F574" s="47" t="s">
        <v>11</v>
      </c>
    </row>
    <row r="575" ht="15.75" customHeight="1">
      <c r="A575" s="46" t="s">
        <v>1396</v>
      </c>
      <c r="B575" s="47" t="s">
        <v>1397</v>
      </c>
      <c r="C575" s="47">
        <v>279.0</v>
      </c>
      <c r="D575" s="47">
        <v>250.0</v>
      </c>
      <c r="E575" s="47">
        <v>24470.0</v>
      </c>
      <c r="F575" s="47" t="s">
        <v>11</v>
      </c>
    </row>
    <row r="576" ht="15.75" customHeight="1">
      <c r="A576" s="46" t="s">
        <v>1398</v>
      </c>
      <c r="B576" s="47" t="s">
        <v>1399</v>
      </c>
      <c r="C576" s="47">
        <v>370.0</v>
      </c>
      <c r="D576" s="47">
        <v>341.0</v>
      </c>
      <c r="E576" s="47">
        <v>24120.0</v>
      </c>
      <c r="F576" s="47" t="s">
        <v>11</v>
      </c>
    </row>
    <row r="577" ht="15.75" customHeight="1">
      <c r="A577" s="46" t="s">
        <v>1400</v>
      </c>
      <c r="B577" s="47" t="s">
        <v>1401</v>
      </c>
      <c r="C577" s="47">
        <v>197.0</v>
      </c>
      <c r="D577" s="47">
        <v>173.0</v>
      </c>
      <c r="E577" s="47">
        <v>25510.0</v>
      </c>
      <c r="F577" s="47" t="s">
        <v>11</v>
      </c>
    </row>
    <row r="578" ht="15.75" customHeight="1">
      <c r="A578" s="46" t="s">
        <v>1402</v>
      </c>
      <c r="B578" s="47" t="s">
        <v>1403</v>
      </c>
      <c r="C578" s="47">
        <v>1765.0</v>
      </c>
      <c r="D578" s="47">
        <v>1637.0</v>
      </c>
      <c r="E578" s="47">
        <v>22930.0</v>
      </c>
      <c r="F578" s="47" t="s">
        <v>11</v>
      </c>
    </row>
    <row r="579" ht="15.75" customHeight="1">
      <c r="A579" s="46" t="s">
        <v>1404</v>
      </c>
      <c r="B579" s="47" t="s">
        <v>1405</v>
      </c>
      <c r="C579" s="47">
        <v>83.0</v>
      </c>
      <c r="D579" s="47">
        <v>78.0</v>
      </c>
      <c r="E579" s="47" t="s">
        <v>11</v>
      </c>
      <c r="F579" s="47" t="s">
        <v>11</v>
      </c>
    </row>
    <row r="580" ht="15.75" customHeight="1">
      <c r="A580" s="46" t="s">
        <v>1406</v>
      </c>
      <c r="B580" s="47" t="s">
        <v>1407</v>
      </c>
      <c r="C580" s="47">
        <v>172.0</v>
      </c>
      <c r="D580" s="47">
        <v>186.0</v>
      </c>
      <c r="E580" s="47">
        <v>24590.0</v>
      </c>
      <c r="F580" s="47" t="s">
        <v>11</v>
      </c>
    </row>
    <row r="581" ht="15.75" customHeight="1">
      <c r="A581" s="46" t="s">
        <v>1408</v>
      </c>
      <c r="B581" s="47" t="s">
        <v>1409</v>
      </c>
      <c r="C581" s="47">
        <v>71.0</v>
      </c>
      <c r="D581" s="47">
        <v>93.0</v>
      </c>
      <c r="E581" s="47" t="s">
        <v>11</v>
      </c>
      <c r="F581" s="47" t="s">
        <v>11</v>
      </c>
    </row>
    <row r="582" ht="15.75" customHeight="1">
      <c r="A582" s="46" t="s">
        <v>1410</v>
      </c>
      <c r="B582" s="47" t="s">
        <v>1411</v>
      </c>
      <c r="C582" s="47">
        <v>77.0</v>
      </c>
      <c r="D582" s="47">
        <v>100.0</v>
      </c>
      <c r="E582" s="47">
        <v>25330.0</v>
      </c>
      <c r="F582" s="47" t="s">
        <v>11</v>
      </c>
    </row>
    <row r="583" ht="15.75" customHeight="1">
      <c r="A583" s="46" t="s">
        <v>1412</v>
      </c>
      <c r="B583" s="47" t="s">
        <v>1413</v>
      </c>
      <c r="C583" s="47">
        <v>462.0</v>
      </c>
      <c r="D583" s="47">
        <v>432.0</v>
      </c>
      <c r="E583" s="47">
        <v>22220.0</v>
      </c>
      <c r="F583" s="47" t="s">
        <v>11</v>
      </c>
    </row>
    <row r="584" ht="15.75" customHeight="1">
      <c r="A584" s="46" t="s">
        <v>1414</v>
      </c>
      <c r="B584" s="47" t="s">
        <v>1415</v>
      </c>
      <c r="C584" s="47">
        <v>21.0</v>
      </c>
      <c r="D584" s="47">
        <v>24.0</v>
      </c>
      <c r="E584" s="47" t="s">
        <v>11</v>
      </c>
      <c r="F584" s="47" t="s">
        <v>11</v>
      </c>
    </row>
    <row r="585" ht="15.75" customHeight="1">
      <c r="A585" s="46" t="s">
        <v>1416</v>
      </c>
      <c r="B585" s="47" t="s">
        <v>1417</v>
      </c>
      <c r="C585" s="47">
        <v>688.0</v>
      </c>
      <c r="D585" s="47">
        <v>726.0</v>
      </c>
      <c r="E585" s="47">
        <v>25310.0</v>
      </c>
      <c r="F585" s="47" t="s">
        <v>11</v>
      </c>
    </row>
    <row r="586" ht="15.75" customHeight="1">
      <c r="A586" s="46" t="s">
        <v>1418</v>
      </c>
      <c r="B586" s="47" t="s">
        <v>1419</v>
      </c>
      <c r="C586" s="47">
        <v>127.0</v>
      </c>
      <c r="D586" s="47">
        <v>115.0</v>
      </c>
      <c r="E586" s="47">
        <v>23960.0</v>
      </c>
      <c r="F586" s="47" t="s">
        <v>11</v>
      </c>
    </row>
    <row r="587" ht="15.75" customHeight="1">
      <c r="A587" s="46" t="s">
        <v>1420</v>
      </c>
      <c r="B587" s="47" t="s">
        <v>1421</v>
      </c>
      <c r="C587" s="47">
        <v>610.0</v>
      </c>
      <c r="D587" s="47">
        <v>605.0</v>
      </c>
      <c r="E587" s="47">
        <v>26770.0</v>
      </c>
      <c r="F587" s="47" t="s">
        <v>11</v>
      </c>
    </row>
    <row r="588" ht="15.75" customHeight="1">
      <c r="A588" s="46" t="s">
        <v>1422</v>
      </c>
      <c r="B588" s="47" t="s">
        <v>1423</v>
      </c>
      <c r="C588" s="47">
        <v>251.0</v>
      </c>
      <c r="D588" s="47">
        <v>290.0</v>
      </c>
      <c r="E588" s="47">
        <v>24820.0</v>
      </c>
      <c r="F588" s="47" t="s">
        <v>11</v>
      </c>
    </row>
    <row r="589" ht="15.75" customHeight="1">
      <c r="A589" s="46" t="s">
        <v>1424</v>
      </c>
      <c r="B589" s="47" t="s">
        <v>1425</v>
      </c>
      <c r="C589" s="47">
        <v>344.0</v>
      </c>
      <c r="D589" s="47">
        <v>353.0</v>
      </c>
      <c r="E589" s="47">
        <v>30540.0</v>
      </c>
      <c r="F589" s="47" t="s">
        <v>11</v>
      </c>
    </row>
    <row r="590" ht="15.75" customHeight="1">
      <c r="A590" s="46" t="s">
        <v>1426</v>
      </c>
      <c r="B590" s="47" t="s">
        <v>1427</v>
      </c>
      <c r="C590" s="47">
        <v>205.0</v>
      </c>
      <c r="D590" s="47">
        <v>176.0</v>
      </c>
      <c r="E590" s="47">
        <v>24730.0</v>
      </c>
      <c r="F590" s="47" t="s">
        <v>11</v>
      </c>
    </row>
    <row r="591" ht="15.75" customHeight="1">
      <c r="A591" s="46" t="s">
        <v>1428</v>
      </c>
      <c r="B591" s="47" t="s">
        <v>1429</v>
      </c>
      <c r="C591" s="47">
        <v>502.0</v>
      </c>
      <c r="D591" s="47">
        <v>490.0</v>
      </c>
      <c r="E591" s="47">
        <v>26430.0</v>
      </c>
      <c r="F591" s="47" t="s">
        <v>11</v>
      </c>
    </row>
    <row r="592" ht="15.75" customHeight="1">
      <c r="A592" s="46" t="s">
        <v>1430</v>
      </c>
      <c r="B592" s="47" t="s">
        <v>1431</v>
      </c>
      <c r="C592" s="47">
        <v>700.0</v>
      </c>
      <c r="D592" s="47">
        <v>683.0</v>
      </c>
      <c r="E592" s="47">
        <v>23230.0</v>
      </c>
      <c r="F592" s="47" t="s">
        <v>11</v>
      </c>
    </row>
    <row r="593" ht="15.75" customHeight="1">
      <c r="A593" s="46" t="s">
        <v>1432</v>
      </c>
      <c r="B593" s="47" t="s">
        <v>1433</v>
      </c>
      <c r="C593" s="47">
        <v>661.0</v>
      </c>
      <c r="D593" s="47">
        <v>594.0</v>
      </c>
      <c r="E593" s="47">
        <v>25840.0</v>
      </c>
      <c r="F593" s="47" t="s">
        <v>11</v>
      </c>
    </row>
    <row r="594" ht="15.75" customHeight="1">
      <c r="A594" s="46" t="s">
        <v>1434</v>
      </c>
      <c r="B594" s="47" t="s">
        <v>1435</v>
      </c>
      <c r="C594" s="47">
        <v>360.0</v>
      </c>
      <c r="D594" s="47">
        <v>320.0</v>
      </c>
      <c r="E594" s="47">
        <v>23480.0</v>
      </c>
      <c r="F594" s="47" t="s">
        <v>11</v>
      </c>
    </row>
    <row r="595" ht="15.75" customHeight="1">
      <c r="A595" s="46" t="s">
        <v>1436</v>
      </c>
      <c r="B595" s="47" t="s">
        <v>1437</v>
      </c>
      <c r="C595" s="47">
        <v>385.0</v>
      </c>
      <c r="D595" s="47">
        <v>401.0</v>
      </c>
      <c r="E595" s="47">
        <v>30270.0</v>
      </c>
      <c r="F595" s="47" t="s">
        <v>11</v>
      </c>
    </row>
    <row r="596" ht="15.75" customHeight="1">
      <c r="A596" s="46" t="s">
        <v>1438</v>
      </c>
      <c r="B596" s="47" t="s">
        <v>1439</v>
      </c>
      <c r="C596" s="47">
        <v>52.0</v>
      </c>
      <c r="D596" s="47">
        <v>56.0</v>
      </c>
      <c r="E596" s="47" t="s">
        <v>11</v>
      </c>
      <c r="F596" s="47" t="s">
        <v>11</v>
      </c>
    </row>
    <row r="597" ht="15.75" customHeight="1">
      <c r="A597" s="46" t="s">
        <v>1440</v>
      </c>
      <c r="B597" s="47" t="s">
        <v>1441</v>
      </c>
      <c r="C597" s="47">
        <v>103.0</v>
      </c>
      <c r="D597" s="47">
        <v>94.0</v>
      </c>
      <c r="E597" s="47" t="s">
        <v>11</v>
      </c>
      <c r="F597" s="47" t="s">
        <v>11</v>
      </c>
    </row>
    <row r="598" ht="15.75" customHeight="1">
      <c r="A598" s="46" t="s">
        <v>1442</v>
      </c>
      <c r="B598" s="47" t="s">
        <v>1443</v>
      </c>
      <c r="C598" s="47">
        <v>274.0</v>
      </c>
      <c r="D598" s="47">
        <v>276.0</v>
      </c>
      <c r="E598" s="47">
        <v>24360.0</v>
      </c>
      <c r="F598" s="47" t="s">
        <v>11</v>
      </c>
    </row>
    <row r="599" ht="15.75" customHeight="1">
      <c r="A599" s="46" t="s">
        <v>1444</v>
      </c>
      <c r="B599" s="47" t="s">
        <v>1445</v>
      </c>
      <c r="C599" s="47">
        <v>144.0</v>
      </c>
      <c r="D599" s="47">
        <v>146.0</v>
      </c>
      <c r="E599" s="47">
        <v>23330.0</v>
      </c>
      <c r="F599" s="47" t="s">
        <v>11</v>
      </c>
    </row>
    <row r="600" ht="15.75" customHeight="1">
      <c r="A600" s="46" t="s">
        <v>1446</v>
      </c>
      <c r="B600" s="47" t="s">
        <v>1447</v>
      </c>
      <c r="C600" s="47">
        <v>319.0</v>
      </c>
      <c r="D600" s="47">
        <v>346.0</v>
      </c>
      <c r="E600" s="47">
        <v>27160.0</v>
      </c>
      <c r="F600" s="47" t="s">
        <v>11</v>
      </c>
    </row>
    <row r="601" ht="15.75" customHeight="1">
      <c r="A601" s="46" t="s">
        <v>1448</v>
      </c>
      <c r="B601" s="47" t="s">
        <v>1449</v>
      </c>
      <c r="C601" s="47">
        <v>120.0</v>
      </c>
      <c r="D601" s="47">
        <v>136.0</v>
      </c>
      <c r="E601" s="47">
        <v>26070.0</v>
      </c>
      <c r="F601" s="47" t="s">
        <v>11</v>
      </c>
    </row>
    <row r="602" ht="15.75" customHeight="1">
      <c r="A602" s="46" t="s">
        <v>1450</v>
      </c>
      <c r="B602" s="47" t="s">
        <v>1451</v>
      </c>
      <c r="C602" s="47">
        <v>214.0</v>
      </c>
      <c r="D602" s="47">
        <v>219.0</v>
      </c>
      <c r="E602" s="47">
        <v>27850.0</v>
      </c>
      <c r="F602" s="47" t="s">
        <v>11</v>
      </c>
    </row>
    <row r="603" ht="15.75" customHeight="1">
      <c r="A603" s="46" t="s">
        <v>1452</v>
      </c>
      <c r="B603" s="47" t="s">
        <v>1453</v>
      </c>
      <c r="C603" s="47">
        <v>289.0</v>
      </c>
      <c r="D603" s="47">
        <v>331.0</v>
      </c>
      <c r="E603" s="47">
        <v>21480.0</v>
      </c>
      <c r="F603" s="47" t="s">
        <v>11</v>
      </c>
    </row>
    <row r="604" ht="15.75" customHeight="1">
      <c r="A604" s="46" t="s">
        <v>1454</v>
      </c>
      <c r="B604" s="47" t="s">
        <v>1455</v>
      </c>
      <c r="C604" s="47">
        <v>420.0</v>
      </c>
      <c r="D604" s="47">
        <v>428.0</v>
      </c>
      <c r="E604" s="47">
        <v>22610.0</v>
      </c>
      <c r="F604" s="47" t="s">
        <v>11</v>
      </c>
    </row>
    <row r="605" ht="15.75" customHeight="1">
      <c r="A605" s="46" t="s">
        <v>1456</v>
      </c>
      <c r="B605" s="47" t="s">
        <v>1457</v>
      </c>
      <c r="C605" s="47">
        <v>60.0</v>
      </c>
      <c r="D605" s="47">
        <v>53.0</v>
      </c>
      <c r="E605" s="47" t="s">
        <v>11</v>
      </c>
      <c r="F605" s="47" t="s">
        <v>11</v>
      </c>
    </row>
    <row r="606" ht="15.75" customHeight="1">
      <c r="A606" s="46" t="s">
        <v>1458</v>
      </c>
      <c r="B606" s="47" t="s">
        <v>1459</v>
      </c>
      <c r="C606" s="47">
        <v>61.0</v>
      </c>
      <c r="D606" s="47">
        <v>62.0</v>
      </c>
      <c r="E606" s="47" t="s">
        <v>11</v>
      </c>
      <c r="F606" s="47" t="s">
        <v>11</v>
      </c>
    </row>
    <row r="607" ht="15.75" customHeight="1">
      <c r="A607" s="46" t="s">
        <v>1460</v>
      </c>
      <c r="B607" s="47" t="s">
        <v>1461</v>
      </c>
      <c r="C607" s="47">
        <v>79.0</v>
      </c>
      <c r="D607" s="47">
        <v>89.0</v>
      </c>
      <c r="E607" s="47" t="s">
        <v>11</v>
      </c>
      <c r="F607" s="47" t="s">
        <v>11</v>
      </c>
    </row>
    <row r="608" ht="15.75" customHeight="1">
      <c r="A608" s="46" t="s">
        <v>1462</v>
      </c>
      <c r="B608" s="47" t="s">
        <v>1463</v>
      </c>
      <c r="C608" s="47">
        <v>150.0</v>
      </c>
      <c r="D608" s="47">
        <v>146.0</v>
      </c>
      <c r="E608" s="47">
        <v>24230.0</v>
      </c>
      <c r="F608" s="47" t="s">
        <v>11</v>
      </c>
    </row>
    <row r="609" ht="15.75" customHeight="1">
      <c r="A609" s="46" t="s">
        <v>1464</v>
      </c>
      <c r="B609" s="47" t="s">
        <v>1465</v>
      </c>
      <c r="C609" s="47">
        <v>201.0</v>
      </c>
      <c r="D609" s="47">
        <v>187.0</v>
      </c>
      <c r="E609" s="47">
        <v>29350.0</v>
      </c>
      <c r="F609" s="47" t="s">
        <v>11</v>
      </c>
    </row>
    <row r="610" ht="15.75" customHeight="1">
      <c r="A610" s="46" t="s">
        <v>1466</v>
      </c>
      <c r="B610" s="47" t="s">
        <v>1467</v>
      </c>
      <c r="C610" s="47">
        <v>299.0</v>
      </c>
      <c r="D610" s="47">
        <v>265.0</v>
      </c>
      <c r="E610" s="47">
        <v>28920.0</v>
      </c>
      <c r="F610" s="47" t="s">
        <v>11</v>
      </c>
    </row>
    <row r="611" ht="15.75" customHeight="1">
      <c r="A611" s="46" t="s">
        <v>1468</v>
      </c>
      <c r="B611" s="47" t="s">
        <v>1469</v>
      </c>
      <c r="C611" s="47">
        <v>235.0</v>
      </c>
      <c r="D611" s="47">
        <v>241.0</v>
      </c>
      <c r="E611" s="47">
        <v>24000.0</v>
      </c>
      <c r="F611" s="47" t="s">
        <v>11</v>
      </c>
    </row>
    <row r="612" ht="15.75" customHeight="1">
      <c r="A612" s="46" t="s">
        <v>1470</v>
      </c>
      <c r="B612" s="47" t="s">
        <v>1471</v>
      </c>
      <c r="C612" s="47">
        <v>351.0</v>
      </c>
      <c r="D612" s="47">
        <v>339.0</v>
      </c>
      <c r="E612" s="47">
        <v>26210.0</v>
      </c>
      <c r="F612" s="47" t="s">
        <v>11</v>
      </c>
    </row>
    <row r="613" ht="15.75" customHeight="1">
      <c r="A613" s="46" t="s">
        <v>1472</v>
      </c>
      <c r="B613" s="47" t="s">
        <v>1473</v>
      </c>
      <c r="C613" s="47">
        <v>164.0</v>
      </c>
      <c r="D613" s="47">
        <v>144.0</v>
      </c>
      <c r="E613" s="47">
        <v>22570.0</v>
      </c>
      <c r="F613" s="47" t="s">
        <v>11</v>
      </c>
    </row>
    <row r="614" ht="15.75" customHeight="1">
      <c r="A614" s="46" t="s">
        <v>1474</v>
      </c>
      <c r="B614" s="47" t="s">
        <v>1475</v>
      </c>
      <c r="C614" s="47">
        <v>113.0</v>
      </c>
      <c r="D614" s="47">
        <v>135.0</v>
      </c>
      <c r="E614" s="47">
        <v>20140.0</v>
      </c>
      <c r="F614" s="47" t="s">
        <v>11</v>
      </c>
    </row>
    <row r="615" ht="15.75" customHeight="1">
      <c r="A615" s="46" t="s">
        <v>1476</v>
      </c>
      <c r="B615" s="47" t="s">
        <v>1477</v>
      </c>
      <c r="C615" s="47">
        <v>186.0</v>
      </c>
      <c r="D615" s="47">
        <v>157.0</v>
      </c>
      <c r="E615" s="47">
        <v>22120.0</v>
      </c>
      <c r="F615" s="47" t="s">
        <v>11</v>
      </c>
    </row>
    <row r="616" ht="15.75" customHeight="1">
      <c r="A616" s="46" t="s">
        <v>1478</v>
      </c>
      <c r="B616" s="47" t="s">
        <v>1479</v>
      </c>
      <c r="C616" s="47">
        <v>772.0</v>
      </c>
      <c r="D616" s="47">
        <v>790.0</v>
      </c>
      <c r="E616" s="47">
        <v>25900.0</v>
      </c>
      <c r="F616" s="47" t="s">
        <v>11</v>
      </c>
    </row>
    <row r="617" ht="15.75" customHeight="1">
      <c r="A617" s="46" t="s">
        <v>1480</v>
      </c>
      <c r="B617" s="47" t="s">
        <v>1481</v>
      </c>
      <c r="C617" s="47">
        <v>359.0</v>
      </c>
      <c r="D617" s="47">
        <v>360.0</v>
      </c>
      <c r="E617" s="47">
        <v>27140.0</v>
      </c>
      <c r="F617" s="47" t="s">
        <v>11</v>
      </c>
    </row>
    <row r="618" ht="15.75" customHeight="1">
      <c r="A618" s="46" t="s">
        <v>1482</v>
      </c>
      <c r="B618" s="47" t="s">
        <v>1483</v>
      </c>
      <c r="C618" s="47">
        <v>201.0</v>
      </c>
      <c r="D618" s="47">
        <v>225.0</v>
      </c>
      <c r="E618" s="47">
        <v>24800.0</v>
      </c>
      <c r="F618" s="47" t="s">
        <v>11</v>
      </c>
    </row>
    <row r="619" ht="15.75" customHeight="1">
      <c r="A619" s="46" t="s">
        <v>1484</v>
      </c>
      <c r="B619" s="47" t="s">
        <v>1485</v>
      </c>
      <c r="C619" s="47">
        <v>63.0</v>
      </c>
      <c r="D619" s="47">
        <v>86.0</v>
      </c>
      <c r="E619" s="47" t="s">
        <v>11</v>
      </c>
      <c r="F619" s="47" t="s">
        <v>11</v>
      </c>
    </row>
    <row r="620" ht="15.75" customHeight="1">
      <c r="A620" s="46" t="s">
        <v>1486</v>
      </c>
      <c r="B620" s="47" t="s">
        <v>1487</v>
      </c>
      <c r="C620" s="47">
        <v>1982.0</v>
      </c>
      <c r="D620" s="47">
        <v>1931.0</v>
      </c>
      <c r="E620" s="47">
        <v>22440.0</v>
      </c>
      <c r="F620" s="47" t="s">
        <v>11</v>
      </c>
    </row>
    <row r="621" ht="15.75" customHeight="1">
      <c r="A621" s="46" t="s">
        <v>1488</v>
      </c>
      <c r="B621" s="47" t="s">
        <v>1489</v>
      </c>
      <c r="C621" s="47">
        <v>289.0</v>
      </c>
      <c r="D621" s="47">
        <v>299.0</v>
      </c>
      <c r="E621" s="47">
        <v>25310.0</v>
      </c>
      <c r="F621" s="47" t="s">
        <v>11</v>
      </c>
    </row>
    <row r="622" ht="15.75" customHeight="1">
      <c r="A622" s="46" t="s">
        <v>1490</v>
      </c>
      <c r="B622" s="47" t="s">
        <v>1491</v>
      </c>
      <c r="C622" s="47">
        <v>361.0</v>
      </c>
      <c r="D622" s="47">
        <v>359.0</v>
      </c>
      <c r="E622" s="47">
        <v>24650.0</v>
      </c>
      <c r="F622" s="47" t="s">
        <v>11</v>
      </c>
    </row>
    <row r="623" ht="15.75" customHeight="1">
      <c r="A623" s="46" t="s">
        <v>1492</v>
      </c>
      <c r="B623" s="47" t="s">
        <v>1493</v>
      </c>
      <c r="C623" s="47">
        <v>105.0</v>
      </c>
      <c r="D623" s="47">
        <v>88.0</v>
      </c>
      <c r="E623" s="47" t="s">
        <v>11</v>
      </c>
      <c r="F623" s="47" t="s">
        <v>11</v>
      </c>
    </row>
    <row r="624" ht="15.75" customHeight="1">
      <c r="A624" s="46" t="s">
        <v>1494</v>
      </c>
      <c r="B624" s="47" t="s">
        <v>1495</v>
      </c>
      <c r="C624" s="47">
        <v>112.0</v>
      </c>
      <c r="D624" s="47">
        <v>95.0</v>
      </c>
      <c r="E624" s="47" t="s">
        <v>11</v>
      </c>
      <c r="F624" s="47" t="s">
        <v>11</v>
      </c>
    </row>
    <row r="625" ht="15.75" customHeight="1">
      <c r="A625" s="46" t="s">
        <v>1496</v>
      </c>
      <c r="B625" s="47" t="s">
        <v>1497</v>
      </c>
      <c r="C625" s="47">
        <v>504.0</v>
      </c>
      <c r="D625" s="47">
        <v>450.0</v>
      </c>
      <c r="E625" s="47">
        <v>25880.0</v>
      </c>
      <c r="F625" s="47" t="s">
        <v>11</v>
      </c>
    </row>
    <row r="626" ht="15.75" customHeight="1">
      <c r="A626" s="46" t="s">
        <v>1498</v>
      </c>
      <c r="B626" s="47" t="s">
        <v>1499</v>
      </c>
      <c r="C626" s="47">
        <v>82.0</v>
      </c>
      <c r="D626" s="47">
        <v>83.0</v>
      </c>
      <c r="E626" s="47" t="s">
        <v>11</v>
      </c>
      <c r="F626" s="47" t="s">
        <v>11</v>
      </c>
    </row>
    <row r="627" ht="15.75" customHeight="1">
      <c r="A627" s="46" t="s">
        <v>1500</v>
      </c>
      <c r="B627" s="47" t="s">
        <v>1501</v>
      </c>
      <c r="C627" s="47">
        <v>112.0</v>
      </c>
      <c r="D627" s="47">
        <v>155.0</v>
      </c>
      <c r="E627" s="47">
        <v>26000.0</v>
      </c>
      <c r="F627" s="47" t="s">
        <v>11</v>
      </c>
    </row>
    <row r="628" ht="15.75" customHeight="1">
      <c r="A628" s="46" t="s">
        <v>1502</v>
      </c>
      <c r="B628" s="47" t="s">
        <v>1503</v>
      </c>
      <c r="C628" s="47">
        <v>394.0</v>
      </c>
      <c r="D628" s="47">
        <v>365.0</v>
      </c>
      <c r="E628" s="47">
        <v>30200.0</v>
      </c>
      <c r="F628" s="47" t="s">
        <v>11</v>
      </c>
    </row>
    <row r="629" ht="15.75" customHeight="1">
      <c r="A629" s="46" t="s">
        <v>1504</v>
      </c>
      <c r="B629" s="47" t="s">
        <v>1505</v>
      </c>
      <c r="C629" s="47">
        <v>243.0</v>
      </c>
      <c r="D629" s="47">
        <v>200.0</v>
      </c>
      <c r="E629" s="47">
        <v>22610.0</v>
      </c>
      <c r="F629" s="47" t="s">
        <v>11</v>
      </c>
    </row>
    <row r="630" ht="15.75" customHeight="1">
      <c r="A630" s="46" t="s">
        <v>1506</v>
      </c>
      <c r="B630" s="47" t="s">
        <v>1507</v>
      </c>
      <c r="C630" s="47">
        <v>230.0</v>
      </c>
      <c r="D630" s="47">
        <v>237.0</v>
      </c>
      <c r="E630" s="47">
        <v>27170.0</v>
      </c>
      <c r="F630" s="47" t="s">
        <v>11</v>
      </c>
    </row>
    <row r="631" ht="15.75" customHeight="1">
      <c r="A631" s="46" t="s">
        <v>1508</v>
      </c>
      <c r="B631" s="47" t="s">
        <v>1509</v>
      </c>
      <c r="C631" s="47">
        <v>510.0</v>
      </c>
      <c r="D631" s="47">
        <v>506.0</v>
      </c>
      <c r="E631" s="47">
        <v>29410.0</v>
      </c>
      <c r="F631" s="47" t="s">
        <v>11</v>
      </c>
    </row>
    <row r="632" ht="15.75" customHeight="1">
      <c r="A632" s="46" t="s">
        <v>1510</v>
      </c>
      <c r="B632" s="47" t="s">
        <v>1511</v>
      </c>
      <c r="C632" s="47">
        <v>39.0</v>
      </c>
      <c r="D632" s="47">
        <v>45.0</v>
      </c>
      <c r="E632" s="47" t="s">
        <v>11</v>
      </c>
      <c r="F632" s="47" t="s">
        <v>11</v>
      </c>
    </row>
    <row r="633" ht="15.75" customHeight="1">
      <c r="A633" s="46" t="s">
        <v>1512</v>
      </c>
      <c r="B633" s="47" t="s">
        <v>1513</v>
      </c>
      <c r="C633" s="47">
        <v>252.0</v>
      </c>
      <c r="D633" s="47">
        <v>226.0</v>
      </c>
      <c r="E633" s="47">
        <v>27040.0</v>
      </c>
      <c r="F633" s="47" t="s">
        <v>11</v>
      </c>
    </row>
    <row r="634" ht="15.75" customHeight="1">
      <c r="A634" s="46" t="s">
        <v>1514</v>
      </c>
      <c r="B634" s="47" t="s">
        <v>1515</v>
      </c>
      <c r="C634" s="47">
        <v>309.0</v>
      </c>
      <c r="D634" s="47">
        <v>335.0</v>
      </c>
      <c r="E634" s="47">
        <v>24630.0</v>
      </c>
      <c r="F634" s="47" t="s">
        <v>11</v>
      </c>
    </row>
    <row r="635" ht="15.75" customHeight="1">
      <c r="A635" s="46" t="s">
        <v>1516</v>
      </c>
      <c r="B635" s="47" t="s">
        <v>1517</v>
      </c>
      <c r="C635" s="47">
        <v>227.0</v>
      </c>
      <c r="D635" s="47">
        <v>239.0</v>
      </c>
      <c r="E635" s="47">
        <v>26320.0</v>
      </c>
      <c r="F635" s="47" t="s">
        <v>11</v>
      </c>
    </row>
    <row r="636" ht="15.75" customHeight="1">
      <c r="A636" s="46" t="s">
        <v>1518</v>
      </c>
      <c r="B636" s="47" t="s">
        <v>1519</v>
      </c>
      <c r="C636" s="47">
        <v>116.0</v>
      </c>
      <c r="D636" s="47">
        <v>122.0</v>
      </c>
      <c r="E636" s="47">
        <v>28130.0</v>
      </c>
      <c r="F636" s="47" t="s">
        <v>11</v>
      </c>
    </row>
    <row r="637" ht="15.75" customHeight="1">
      <c r="A637" s="46" t="s">
        <v>1520</v>
      </c>
      <c r="B637" s="47" t="s">
        <v>1521</v>
      </c>
      <c r="C637" s="47">
        <v>304.0</v>
      </c>
      <c r="D637" s="47">
        <v>299.0</v>
      </c>
      <c r="E637" s="47">
        <v>26110.0</v>
      </c>
      <c r="F637" s="47" t="s">
        <v>11</v>
      </c>
    </row>
    <row r="638" ht="15.75" customHeight="1">
      <c r="A638" s="46" t="s">
        <v>1522</v>
      </c>
      <c r="B638" s="47" t="s">
        <v>1523</v>
      </c>
      <c r="C638" s="47">
        <v>1007.0</v>
      </c>
      <c r="D638" s="47">
        <v>917.0</v>
      </c>
      <c r="E638" s="47">
        <v>19720.0</v>
      </c>
      <c r="F638" s="47" t="s">
        <v>11</v>
      </c>
    </row>
    <row r="639" ht="15.75" customHeight="1">
      <c r="A639" s="46" t="s">
        <v>1524</v>
      </c>
      <c r="B639" s="47" t="s">
        <v>1525</v>
      </c>
      <c r="C639" s="47">
        <v>228.0</v>
      </c>
      <c r="D639" s="47">
        <v>202.0</v>
      </c>
      <c r="E639" s="47">
        <v>29730.0</v>
      </c>
      <c r="F639" s="47" t="s">
        <v>11</v>
      </c>
    </row>
    <row r="640" ht="15.75" customHeight="1">
      <c r="A640" s="46" t="s">
        <v>1526</v>
      </c>
      <c r="B640" s="47" t="s">
        <v>1527</v>
      </c>
      <c r="C640" s="47">
        <v>1043.0</v>
      </c>
      <c r="D640" s="47">
        <v>923.0</v>
      </c>
      <c r="E640" s="47">
        <v>22150.0</v>
      </c>
      <c r="F640" s="47" t="s">
        <v>11</v>
      </c>
    </row>
    <row r="641" ht="15.75" customHeight="1">
      <c r="A641" s="46" t="s">
        <v>1528</v>
      </c>
      <c r="B641" s="47" t="s">
        <v>1529</v>
      </c>
      <c r="C641" s="47">
        <v>156.0</v>
      </c>
      <c r="D641" s="47">
        <v>148.0</v>
      </c>
      <c r="E641" s="47">
        <v>25160.0</v>
      </c>
      <c r="F641" s="47" t="s">
        <v>11</v>
      </c>
    </row>
    <row r="642" ht="15.75" customHeight="1">
      <c r="A642" s="46" t="s">
        <v>1530</v>
      </c>
      <c r="B642" s="47" t="s">
        <v>1531</v>
      </c>
      <c r="C642" s="47">
        <v>291.0</v>
      </c>
      <c r="D642" s="47">
        <v>276.0</v>
      </c>
      <c r="E642" s="47">
        <v>23090.0</v>
      </c>
      <c r="F642" s="47" t="s">
        <v>11</v>
      </c>
    </row>
    <row r="643" ht="15.75" customHeight="1">
      <c r="A643" s="46" t="s">
        <v>1532</v>
      </c>
      <c r="B643" s="47" t="s">
        <v>1533</v>
      </c>
      <c r="C643" s="47">
        <v>267.0</v>
      </c>
      <c r="D643" s="47">
        <v>234.0</v>
      </c>
      <c r="E643" s="47">
        <v>26640.0</v>
      </c>
      <c r="F643" s="47" t="s">
        <v>11</v>
      </c>
    </row>
    <row r="644" ht="15.75" customHeight="1">
      <c r="A644" s="46" t="s">
        <v>1534</v>
      </c>
      <c r="B644" s="47" t="s">
        <v>1535</v>
      </c>
      <c r="C644" s="47">
        <v>447.0</v>
      </c>
      <c r="D644" s="47">
        <v>441.0</v>
      </c>
      <c r="E644" s="47">
        <v>25300.0</v>
      </c>
      <c r="F644" s="47" t="s">
        <v>11</v>
      </c>
    </row>
    <row r="645" ht="15.75" customHeight="1">
      <c r="A645" s="46" t="s">
        <v>1536</v>
      </c>
      <c r="B645" s="47" t="s">
        <v>1537</v>
      </c>
      <c r="C645" s="47">
        <v>50.0</v>
      </c>
      <c r="D645" s="47">
        <v>44.0</v>
      </c>
      <c r="E645" s="47" t="s">
        <v>11</v>
      </c>
      <c r="F645" s="47" t="s">
        <v>11</v>
      </c>
    </row>
    <row r="646" ht="15.75" customHeight="1">
      <c r="A646" s="46" t="s">
        <v>1538</v>
      </c>
      <c r="B646" s="47" t="s">
        <v>1539</v>
      </c>
      <c r="C646" s="47">
        <v>130.0</v>
      </c>
      <c r="D646" s="47">
        <v>127.0</v>
      </c>
      <c r="E646" s="47">
        <v>24720.0</v>
      </c>
      <c r="F646" s="47" t="s">
        <v>11</v>
      </c>
    </row>
    <row r="647" ht="15.75" customHeight="1">
      <c r="A647" s="46" t="s">
        <v>1540</v>
      </c>
      <c r="B647" s="47" t="s">
        <v>1541</v>
      </c>
      <c r="C647" s="47">
        <v>1726.0</v>
      </c>
      <c r="D647" s="47">
        <v>1697.0</v>
      </c>
      <c r="E647" s="47">
        <v>23190.0</v>
      </c>
      <c r="F647" s="47" t="s">
        <v>11</v>
      </c>
    </row>
    <row r="648" ht="15.75" customHeight="1">
      <c r="A648" s="46" t="s">
        <v>1542</v>
      </c>
      <c r="B648" s="47" t="s">
        <v>1543</v>
      </c>
      <c r="C648" s="47">
        <v>244.0</v>
      </c>
      <c r="D648" s="47">
        <v>232.0</v>
      </c>
      <c r="E648" s="47">
        <v>24850.0</v>
      </c>
      <c r="F648" s="47" t="s">
        <v>11</v>
      </c>
    </row>
    <row r="649" ht="15.75" customHeight="1">
      <c r="A649" s="46" t="s">
        <v>1544</v>
      </c>
      <c r="B649" s="47" t="s">
        <v>1545</v>
      </c>
      <c r="C649" s="47">
        <v>71.0</v>
      </c>
      <c r="D649" s="47">
        <v>73.0</v>
      </c>
      <c r="E649" s="47" t="s">
        <v>11</v>
      </c>
      <c r="F649" s="47" t="s">
        <v>11</v>
      </c>
    </row>
    <row r="650" ht="15.75" customHeight="1">
      <c r="A650" s="46" t="s">
        <v>1546</v>
      </c>
      <c r="B650" s="47" t="s">
        <v>1547</v>
      </c>
      <c r="C650" s="47">
        <v>148.0</v>
      </c>
      <c r="D650" s="47">
        <v>152.0</v>
      </c>
      <c r="E650" s="47">
        <v>25330.0</v>
      </c>
      <c r="F650" s="47" t="s">
        <v>11</v>
      </c>
    </row>
    <row r="651" ht="15.75" customHeight="1">
      <c r="A651" s="46" t="s">
        <v>1548</v>
      </c>
      <c r="B651" s="47" t="s">
        <v>1549</v>
      </c>
      <c r="C651" s="47">
        <v>2282.0</v>
      </c>
      <c r="D651" s="47">
        <v>2288.0</v>
      </c>
      <c r="E651" s="47">
        <v>23750.0</v>
      </c>
      <c r="F651" s="47" t="s">
        <v>11</v>
      </c>
    </row>
    <row r="652" ht="15.75" customHeight="1">
      <c r="A652" s="46" t="s">
        <v>1550</v>
      </c>
      <c r="B652" s="47" t="s">
        <v>1551</v>
      </c>
      <c r="C652" s="47">
        <v>267.0</v>
      </c>
      <c r="D652" s="47">
        <v>281.0</v>
      </c>
      <c r="E652" s="47">
        <v>20500.0</v>
      </c>
      <c r="F652" s="47" t="s">
        <v>11</v>
      </c>
    </row>
    <row r="653" ht="15.75" customHeight="1">
      <c r="A653" s="46" t="s">
        <v>1552</v>
      </c>
      <c r="B653" s="47" t="s">
        <v>1553</v>
      </c>
      <c r="C653" s="47">
        <v>112.0</v>
      </c>
      <c r="D653" s="47">
        <v>116.0</v>
      </c>
      <c r="E653" s="47">
        <v>23850.0</v>
      </c>
      <c r="F653" s="47" t="s">
        <v>11</v>
      </c>
    </row>
    <row r="654" ht="15.75" customHeight="1">
      <c r="A654" s="46" t="s">
        <v>1554</v>
      </c>
      <c r="B654" s="47" t="s">
        <v>1555</v>
      </c>
      <c r="C654" s="47">
        <v>115.0</v>
      </c>
      <c r="D654" s="47">
        <v>118.0</v>
      </c>
      <c r="E654" s="47">
        <v>18860.0</v>
      </c>
      <c r="F654" s="47" t="s">
        <v>11</v>
      </c>
    </row>
    <row r="655" ht="15.75" customHeight="1">
      <c r="A655" s="46" t="s">
        <v>1556</v>
      </c>
      <c r="B655" s="47" t="s">
        <v>1557</v>
      </c>
      <c r="C655" s="47">
        <v>3417.0</v>
      </c>
      <c r="D655" s="47">
        <v>3199.0</v>
      </c>
      <c r="E655" s="47">
        <v>20370.0</v>
      </c>
      <c r="F655" s="47">
        <v>25.0</v>
      </c>
    </row>
    <row r="656" ht="15.75" customHeight="1">
      <c r="A656" s="46" t="s">
        <v>1558</v>
      </c>
      <c r="B656" s="47" t="s">
        <v>1559</v>
      </c>
      <c r="C656" s="47">
        <v>119.0</v>
      </c>
      <c r="D656" s="47">
        <v>110.0</v>
      </c>
      <c r="E656" s="47">
        <v>23310.0</v>
      </c>
      <c r="F656" s="47" t="s">
        <v>11</v>
      </c>
    </row>
    <row r="657" ht="15.75" customHeight="1">
      <c r="A657" s="46" t="s">
        <v>1560</v>
      </c>
      <c r="B657" s="47" t="s">
        <v>1561</v>
      </c>
      <c r="C657" s="47">
        <v>389.0</v>
      </c>
      <c r="D657" s="47">
        <v>370.0</v>
      </c>
      <c r="E657" s="47">
        <v>25730.0</v>
      </c>
      <c r="F657" s="47" t="s">
        <v>11</v>
      </c>
    </row>
    <row r="658" ht="15.75" customHeight="1">
      <c r="A658" s="46" t="s">
        <v>1562</v>
      </c>
      <c r="B658" s="47" t="s">
        <v>1563</v>
      </c>
      <c r="C658" s="47">
        <v>334.0</v>
      </c>
      <c r="D658" s="47">
        <v>328.0</v>
      </c>
      <c r="E658" s="47">
        <v>29740.0</v>
      </c>
      <c r="F658" s="47" t="s">
        <v>11</v>
      </c>
    </row>
    <row r="659" ht="15.75" customHeight="1">
      <c r="A659" s="46" t="s">
        <v>1564</v>
      </c>
      <c r="B659" s="47" t="s">
        <v>1565</v>
      </c>
      <c r="C659" s="47">
        <v>53.0</v>
      </c>
      <c r="D659" s="47">
        <v>39.0</v>
      </c>
      <c r="E659" s="47" t="s">
        <v>11</v>
      </c>
      <c r="F659" s="47" t="s">
        <v>11</v>
      </c>
    </row>
    <row r="660" ht="15.75" customHeight="1">
      <c r="A660" s="46" t="s">
        <v>1566</v>
      </c>
      <c r="B660" s="47" t="s">
        <v>1567</v>
      </c>
      <c r="C660" s="47">
        <v>43.0</v>
      </c>
      <c r="D660" s="47">
        <v>41.0</v>
      </c>
      <c r="E660" s="47" t="s">
        <v>11</v>
      </c>
      <c r="F660" s="47" t="s">
        <v>11</v>
      </c>
    </row>
    <row r="661" ht="15.75" customHeight="1">
      <c r="A661" s="46" t="s">
        <v>1568</v>
      </c>
      <c r="B661" s="47" t="s">
        <v>1569</v>
      </c>
      <c r="C661" s="47">
        <v>82.0</v>
      </c>
      <c r="D661" s="47">
        <v>67.0</v>
      </c>
      <c r="E661" s="47" t="s">
        <v>11</v>
      </c>
      <c r="F661" s="47" t="s">
        <v>11</v>
      </c>
    </row>
    <row r="662" ht="15.75" customHeight="1">
      <c r="A662" s="46" t="s">
        <v>1570</v>
      </c>
      <c r="B662" s="47" t="s">
        <v>1571</v>
      </c>
      <c r="C662" s="47">
        <v>53816.0</v>
      </c>
      <c r="D662" s="47">
        <v>52813.0</v>
      </c>
      <c r="E662" s="47">
        <v>20470.0</v>
      </c>
      <c r="F662" s="47">
        <v>30.1</v>
      </c>
    </row>
    <row r="663" ht="15.75" customHeight="1">
      <c r="A663" s="46" t="s">
        <v>1572</v>
      </c>
      <c r="B663" s="47" t="s">
        <v>1573</v>
      </c>
      <c r="C663" s="47">
        <v>219.0</v>
      </c>
      <c r="D663" s="47">
        <v>226.0</v>
      </c>
      <c r="E663" s="47">
        <v>26270.0</v>
      </c>
      <c r="F663" s="47" t="s">
        <v>11</v>
      </c>
    </row>
    <row r="664" ht="15.75" customHeight="1">
      <c r="A664" s="46" t="s">
        <v>1574</v>
      </c>
      <c r="B664" s="47" t="s">
        <v>1575</v>
      </c>
      <c r="C664" s="47">
        <v>635.0</v>
      </c>
      <c r="D664" s="47">
        <v>593.0</v>
      </c>
      <c r="E664" s="47">
        <v>25090.0</v>
      </c>
      <c r="F664" s="47" t="s">
        <v>11</v>
      </c>
    </row>
    <row r="665" ht="15.75" customHeight="1">
      <c r="A665" s="46" t="s">
        <v>1576</v>
      </c>
      <c r="B665" s="47" t="s">
        <v>1577</v>
      </c>
      <c r="C665" s="47">
        <v>80.0</v>
      </c>
      <c r="D665" s="47">
        <v>71.0</v>
      </c>
      <c r="E665" s="47" t="s">
        <v>11</v>
      </c>
      <c r="F665" s="47" t="s">
        <v>11</v>
      </c>
    </row>
    <row r="666" ht="15.75" customHeight="1">
      <c r="A666" s="46" t="s">
        <v>1578</v>
      </c>
      <c r="B666" s="47" t="s">
        <v>1579</v>
      </c>
      <c r="C666" s="47">
        <v>387.0</v>
      </c>
      <c r="D666" s="47">
        <v>384.0</v>
      </c>
      <c r="E666" s="47">
        <v>26730.0</v>
      </c>
      <c r="F666" s="47" t="s">
        <v>11</v>
      </c>
    </row>
    <row r="667" ht="15.75" customHeight="1">
      <c r="A667" s="46" t="s">
        <v>1580</v>
      </c>
      <c r="B667" s="47" t="s">
        <v>1581</v>
      </c>
      <c r="C667" s="47">
        <v>100.0</v>
      </c>
      <c r="D667" s="47">
        <v>101.0</v>
      </c>
      <c r="E667" s="47">
        <v>23250.0</v>
      </c>
      <c r="F667" s="47" t="s">
        <v>11</v>
      </c>
    </row>
    <row r="668" ht="15.75" customHeight="1">
      <c r="A668" s="46" t="s">
        <v>1582</v>
      </c>
      <c r="B668" s="47" t="s">
        <v>1583</v>
      </c>
      <c r="C668" s="47">
        <v>289.0</v>
      </c>
      <c r="D668" s="47">
        <v>266.0</v>
      </c>
      <c r="E668" s="47">
        <v>24110.0</v>
      </c>
      <c r="F668" s="47" t="s">
        <v>11</v>
      </c>
    </row>
    <row r="669" ht="15.75" customHeight="1">
      <c r="A669" s="46" t="s">
        <v>1584</v>
      </c>
      <c r="B669" s="47" t="s">
        <v>1585</v>
      </c>
      <c r="C669" s="47">
        <v>724.0</v>
      </c>
      <c r="D669" s="47">
        <v>687.0</v>
      </c>
      <c r="E669" s="47">
        <v>25940.0</v>
      </c>
      <c r="F669" s="47" t="s">
        <v>11</v>
      </c>
    </row>
    <row r="670" ht="15.75" customHeight="1">
      <c r="A670" s="46" t="s">
        <v>1586</v>
      </c>
      <c r="B670" s="47" t="s">
        <v>1587</v>
      </c>
      <c r="C670" s="47">
        <v>609.0</v>
      </c>
      <c r="D670" s="47">
        <v>618.0</v>
      </c>
      <c r="E670" s="47">
        <v>27110.0</v>
      </c>
      <c r="F670" s="47" t="s">
        <v>11</v>
      </c>
    </row>
    <row r="671" ht="15.75" customHeight="1">
      <c r="A671" s="46" t="s">
        <v>1588</v>
      </c>
      <c r="B671" s="47" t="s">
        <v>1589</v>
      </c>
      <c r="C671" s="47">
        <v>1097.0</v>
      </c>
      <c r="D671" s="47">
        <v>1087.0</v>
      </c>
      <c r="E671" s="47">
        <v>23070.0</v>
      </c>
      <c r="F671" s="47" t="s">
        <v>11</v>
      </c>
    </row>
    <row r="672" ht="15.75" customHeight="1">
      <c r="A672" s="46" t="s">
        <v>1590</v>
      </c>
      <c r="B672" s="47" t="s">
        <v>1591</v>
      </c>
      <c r="C672" s="47">
        <v>250.0</v>
      </c>
      <c r="D672" s="47">
        <v>202.0</v>
      </c>
      <c r="E672" s="47">
        <v>23680.0</v>
      </c>
      <c r="F672" s="47" t="s">
        <v>11</v>
      </c>
    </row>
    <row r="673" ht="15.75" customHeight="1">
      <c r="A673" s="46" t="s">
        <v>1592</v>
      </c>
      <c r="B673" s="47" t="s">
        <v>1593</v>
      </c>
      <c r="C673" s="47">
        <v>217.0</v>
      </c>
      <c r="D673" s="47">
        <v>201.0</v>
      </c>
      <c r="E673" s="47">
        <v>24440.0</v>
      </c>
      <c r="F673" s="47" t="s">
        <v>11</v>
      </c>
    </row>
    <row r="674" ht="15.75" customHeight="1">
      <c r="A674" s="46" t="s">
        <v>1594</v>
      </c>
      <c r="B674" s="47" t="s">
        <v>1595</v>
      </c>
      <c r="C674" s="47">
        <v>560.0</v>
      </c>
      <c r="D674" s="47">
        <v>576.0</v>
      </c>
      <c r="E674" s="47">
        <v>25860.0</v>
      </c>
      <c r="F674" s="47" t="s">
        <v>11</v>
      </c>
    </row>
    <row r="675" ht="15.75" customHeight="1">
      <c r="A675" s="46" t="s">
        <v>1596</v>
      </c>
      <c r="B675" s="47" t="s">
        <v>1597</v>
      </c>
      <c r="C675" s="47">
        <v>179.0</v>
      </c>
      <c r="D675" s="47">
        <v>179.0</v>
      </c>
      <c r="E675" s="47">
        <v>25480.0</v>
      </c>
      <c r="F675" s="47" t="s">
        <v>11</v>
      </c>
    </row>
    <row r="676" ht="15.75" customHeight="1">
      <c r="A676" s="46" t="s">
        <v>1598</v>
      </c>
      <c r="B676" s="47" t="s">
        <v>1599</v>
      </c>
      <c r="C676" s="47">
        <v>209.0</v>
      </c>
      <c r="D676" s="47">
        <v>219.0</v>
      </c>
      <c r="E676" s="47">
        <v>29110.0</v>
      </c>
      <c r="F676" s="47" t="s">
        <v>11</v>
      </c>
    </row>
    <row r="677" ht="15.75" customHeight="1">
      <c r="A677" s="46" t="s">
        <v>1600</v>
      </c>
      <c r="B677" s="47" t="s">
        <v>1601</v>
      </c>
      <c r="C677" s="47">
        <v>405.0</v>
      </c>
      <c r="D677" s="47">
        <v>380.0</v>
      </c>
      <c r="E677" s="47">
        <v>22270.0</v>
      </c>
      <c r="F677" s="47" t="s">
        <v>11</v>
      </c>
    </row>
    <row r="678" ht="15.75" customHeight="1">
      <c r="A678" s="46" t="s">
        <v>1602</v>
      </c>
      <c r="B678" s="47" t="s">
        <v>1603</v>
      </c>
      <c r="C678" s="47">
        <v>769.0</v>
      </c>
      <c r="D678" s="47">
        <v>706.0</v>
      </c>
      <c r="E678" s="47">
        <v>24550.0</v>
      </c>
      <c r="F678" s="47" t="s">
        <v>11</v>
      </c>
    </row>
    <row r="679" ht="15.75" customHeight="1">
      <c r="A679" s="46" t="s">
        <v>1604</v>
      </c>
      <c r="B679" s="47" t="s">
        <v>1605</v>
      </c>
      <c r="C679" s="47">
        <v>309.0</v>
      </c>
      <c r="D679" s="47">
        <v>273.0</v>
      </c>
      <c r="E679" s="47">
        <v>26880.0</v>
      </c>
      <c r="F679" s="47" t="s">
        <v>11</v>
      </c>
    </row>
    <row r="680" ht="15.75" customHeight="1">
      <c r="A680" s="46" t="s">
        <v>1606</v>
      </c>
      <c r="B680" s="47" t="s">
        <v>1607</v>
      </c>
      <c r="C680" s="47">
        <v>151.0</v>
      </c>
      <c r="D680" s="47">
        <v>139.0</v>
      </c>
      <c r="E680" s="47">
        <v>26700.0</v>
      </c>
      <c r="F680" s="47" t="s">
        <v>11</v>
      </c>
    </row>
    <row r="681" ht="15.75" customHeight="1">
      <c r="A681" s="46" t="s">
        <v>1608</v>
      </c>
      <c r="B681" s="47" t="s">
        <v>1609</v>
      </c>
      <c r="C681" s="47">
        <v>276.0</v>
      </c>
      <c r="D681" s="47">
        <v>273.0</v>
      </c>
      <c r="E681" s="47">
        <v>24060.0</v>
      </c>
      <c r="F681" s="47" t="s">
        <v>11</v>
      </c>
    </row>
    <row r="682" ht="15.75" customHeight="1">
      <c r="A682" s="46" t="s">
        <v>1610</v>
      </c>
      <c r="B682" s="47" t="s">
        <v>1611</v>
      </c>
      <c r="C682" s="47">
        <v>349.0</v>
      </c>
      <c r="D682" s="47">
        <v>340.0</v>
      </c>
      <c r="E682" s="47">
        <v>24270.0</v>
      </c>
      <c r="F682" s="47" t="s">
        <v>11</v>
      </c>
    </row>
    <row r="683" ht="15.75" customHeight="1">
      <c r="A683" s="46" t="s">
        <v>1612</v>
      </c>
      <c r="B683" s="47" t="s">
        <v>1613</v>
      </c>
      <c r="C683" s="47">
        <v>52.0</v>
      </c>
      <c r="D683" s="47">
        <v>42.0</v>
      </c>
      <c r="E683" s="47" t="s">
        <v>11</v>
      </c>
      <c r="F683" s="47" t="s">
        <v>11</v>
      </c>
    </row>
    <row r="684" ht="15.75" customHeight="1">
      <c r="A684" s="46" t="s">
        <v>1614</v>
      </c>
      <c r="B684" s="47" t="s">
        <v>1615</v>
      </c>
      <c r="C684" s="47">
        <v>287.0</v>
      </c>
      <c r="D684" s="47">
        <v>287.0</v>
      </c>
      <c r="E684" s="47">
        <v>28140.0</v>
      </c>
      <c r="F684" s="47" t="s">
        <v>11</v>
      </c>
    </row>
    <row r="685" ht="15.75" customHeight="1">
      <c r="A685" s="46" t="s">
        <v>1616</v>
      </c>
      <c r="B685" s="47" t="s">
        <v>1617</v>
      </c>
      <c r="C685" s="47">
        <v>576.0</v>
      </c>
      <c r="D685" s="47">
        <v>601.0</v>
      </c>
      <c r="E685" s="47">
        <v>25160.0</v>
      </c>
      <c r="F685" s="47" t="s">
        <v>11</v>
      </c>
    </row>
    <row r="686" ht="15.75" customHeight="1">
      <c r="A686" s="46" t="s">
        <v>1618</v>
      </c>
      <c r="B686" s="47" t="s">
        <v>1619</v>
      </c>
      <c r="C686" s="47">
        <v>126.0</v>
      </c>
      <c r="D686" s="47">
        <v>112.0</v>
      </c>
      <c r="E686" s="47">
        <v>27740.0</v>
      </c>
      <c r="F686" s="47" t="s">
        <v>11</v>
      </c>
    </row>
    <row r="687" ht="15.75" customHeight="1">
      <c r="A687" s="46" t="s">
        <v>1620</v>
      </c>
      <c r="B687" s="47" t="s">
        <v>1621</v>
      </c>
      <c r="C687" s="47">
        <v>2040.0</v>
      </c>
      <c r="D687" s="47">
        <v>2005.0</v>
      </c>
      <c r="E687" s="47">
        <v>24240.0</v>
      </c>
      <c r="F687" s="47">
        <v>15.0</v>
      </c>
    </row>
    <row r="688" ht="15.75" customHeight="1">
      <c r="A688" s="46" t="s">
        <v>1622</v>
      </c>
      <c r="B688" s="47" t="s">
        <v>1623</v>
      </c>
      <c r="C688" s="47">
        <v>2055.0</v>
      </c>
      <c r="D688" s="47">
        <v>2065.0</v>
      </c>
      <c r="E688" s="47">
        <v>20220.0</v>
      </c>
      <c r="F688" s="47" t="s">
        <v>11</v>
      </c>
    </row>
    <row r="689" ht="15.75" customHeight="1">
      <c r="A689" s="46" t="s">
        <v>1624</v>
      </c>
      <c r="B689" s="47" t="s">
        <v>1625</v>
      </c>
      <c r="C689" s="47">
        <v>476.0</v>
      </c>
      <c r="D689" s="47">
        <v>505.0</v>
      </c>
      <c r="E689" s="47">
        <v>27050.0</v>
      </c>
      <c r="F689" s="47" t="s">
        <v>11</v>
      </c>
    </row>
    <row r="690" ht="15.75" customHeight="1">
      <c r="A690" s="46" t="s">
        <v>1626</v>
      </c>
      <c r="B690" s="47" t="s">
        <v>1627</v>
      </c>
      <c r="C690" s="47">
        <v>28530.0</v>
      </c>
      <c r="D690" s="47">
        <v>28046.0</v>
      </c>
      <c r="E690" s="47">
        <v>19970.0</v>
      </c>
      <c r="F690" s="47">
        <v>32.5</v>
      </c>
    </row>
    <row r="691" ht="15.75" customHeight="1">
      <c r="A691" s="46" t="s">
        <v>1628</v>
      </c>
      <c r="B691" s="47" t="s">
        <v>1629</v>
      </c>
      <c r="C691" s="47">
        <v>101.0</v>
      </c>
      <c r="D691" s="47">
        <v>95.0</v>
      </c>
      <c r="E691" s="47" t="s">
        <v>11</v>
      </c>
      <c r="F691" s="47" t="s">
        <v>11</v>
      </c>
    </row>
    <row r="692" ht="15.75" customHeight="1">
      <c r="A692" s="46" t="s">
        <v>1630</v>
      </c>
      <c r="B692" s="47" t="s">
        <v>1631</v>
      </c>
      <c r="C692" s="47">
        <v>61.0</v>
      </c>
      <c r="D692" s="47">
        <v>56.0</v>
      </c>
      <c r="E692" s="47" t="s">
        <v>11</v>
      </c>
      <c r="F692" s="47" t="s">
        <v>11</v>
      </c>
    </row>
    <row r="693" ht="15.75" customHeight="1">
      <c r="A693" s="46" t="s">
        <v>1632</v>
      </c>
      <c r="B693" s="47" t="s">
        <v>1633</v>
      </c>
      <c r="C693" s="47">
        <v>142.0</v>
      </c>
      <c r="D693" s="47">
        <v>134.0</v>
      </c>
      <c r="E693" s="47">
        <v>24180.0</v>
      </c>
      <c r="F693" s="47" t="s">
        <v>11</v>
      </c>
    </row>
    <row r="694" ht="15.75" customHeight="1">
      <c r="A694" s="46" t="s">
        <v>1634</v>
      </c>
      <c r="B694" s="47" t="s">
        <v>1635</v>
      </c>
      <c r="C694" s="47">
        <v>193.0</v>
      </c>
      <c r="D694" s="47">
        <v>178.0</v>
      </c>
      <c r="E694" s="47">
        <v>27070.0</v>
      </c>
      <c r="F694" s="47" t="s">
        <v>11</v>
      </c>
    </row>
    <row r="695" ht="15.75" customHeight="1">
      <c r="A695" s="46" t="s">
        <v>1636</v>
      </c>
      <c r="B695" s="47" t="s">
        <v>1637</v>
      </c>
      <c r="C695" s="47">
        <v>240.0</v>
      </c>
      <c r="D695" s="47">
        <v>205.0</v>
      </c>
      <c r="E695" s="47">
        <v>22030.0</v>
      </c>
      <c r="F695" s="47" t="s">
        <v>11</v>
      </c>
    </row>
    <row r="696" ht="15.75" customHeight="1">
      <c r="A696" s="46" t="s">
        <v>1638</v>
      </c>
      <c r="B696" s="47" t="s">
        <v>1639</v>
      </c>
      <c r="C696" s="47">
        <v>274.0</v>
      </c>
      <c r="D696" s="47">
        <v>266.0</v>
      </c>
      <c r="E696" s="47">
        <v>24590.0</v>
      </c>
      <c r="F696" s="47" t="s">
        <v>11</v>
      </c>
    </row>
    <row r="697" ht="15.75" customHeight="1">
      <c r="A697" s="46" t="s">
        <v>1640</v>
      </c>
      <c r="B697" s="47" t="s">
        <v>1641</v>
      </c>
      <c r="C697" s="47">
        <v>97.0</v>
      </c>
      <c r="D697" s="47">
        <v>74.0</v>
      </c>
      <c r="E697" s="47" t="s">
        <v>11</v>
      </c>
      <c r="F697" s="47" t="s">
        <v>11</v>
      </c>
    </row>
    <row r="698" ht="15.75" customHeight="1">
      <c r="A698" s="46" t="s">
        <v>1642</v>
      </c>
      <c r="B698" s="47" t="s">
        <v>1643</v>
      </c>
      <c r="C698" s="47">
        <v>273.0</v>
      </c>
      <c r="D698" s="47">
        <v>272.0</v>
      </c>
      <c r="E698" s="47">
        <v>23490.0</v>
      </c>
      <c r="F698" s="47" t="s">
        <v>11</v>
      </c>
    </row>
    <row r="699" ht="15.75" customHeight="1">
      <c r="A699" s="46" t="s">
        <v>1644</v>
      </c>
      <c r="B699" s="47" t="s">
        <v>1645</v>
      </c>
      <c r="C699" s="47">
        <v>168.0</v>
      </c>
      <c r="D699" s="47">
        <v>155.0</v>
      </c>
      <c r="E699" s="47">
        <v>26610.0</v>
      </c>
      <c r="F699" s="47" t="s">
        <v>11</v>
      </c>
    </row>
    <row r="700" ht="15.75" customHeight="1">
      <c r="A700" s="46" t="s">
        <v>1646</v>
      </c>
      <c r="B700" s="47" t="s">
        <v>1647</v>
      </c>
      <c r="C700" s="47">
        <v>102.0</v>
      </c>
      <c r="D700" s="47">
        <v>92.0</v>
      </c>
      <c r="E700" s="47" t="s">
        <v>11</v>
      </c>
      <c r="F700" s="47" t="s">
        <v>11</v>
      </c>
    </row>
    <row r="701" ht="15.75" customHeight="1">
      <c r="A701" s="46" t="s">
        <v>1648</v>
      </c>
      <c r="B701" s="47" t="s">
        <v>1649</v>
      </c>
      <c r="C701" s="47">
        <v>276.0</v>
      </c>
      <c r="D701" s="47">
        <v>257.0</v>
      </c>
      <c r="E701" s="47">
        <v>26530.0</v>
      </c>
      <c r="F701" s="47" t="s">
        <v>11</v>
      </c>
    </row>
    <row r="702" ht="15.75" customHeight="1">
      <c r="A702" s="46" t="s">
        <v>1650</v>
      </c>
      <c r="B702" s="47" t="s">
        <v>1651</v>
      </c>
      <c r="C702" s="47">
        <v>16.0</v>
      </c>
      <c r="D702" s="47">
        <v>16.0</v>
      </c>
      <c r="E702" s="47" t="s">
        <v>11</v>
      </c>
      <c r="F702" s="47" t="s">
        <v>11</v>
      </c>
    </row>
    <row r="703" ht="15.75" customHeight="1">
      <c r="A703" s="46" t="s">
        <v>1652</v>
      </c>
      <c r="B703" s="47" t="s">
        <v>1653</v>
      </c>
      <c r="C703" s="47">
        <v>166.0</v>
      </c>
      <c r="D703" s="47">
        <v>162.0</v>
      </c>
      <c r="E703" s="47">
        <v>24560.0</v>
      </c>
      <c r="F703" s="47" t="s">
        <v>11</v>
      </c>
    </row>
    <row r="704" ht="15.75" customHeight="1">
      <c r="A704" s="46" t="s">
        <v>1654</v>
      </c>
      <c r="B704" s="47" t="s">
        <v>1655</v>
      </c>
      <c r="C704" s="47">
        <v>569.0</v>
      </c>
      <c r="D704" s="47">
        <v>543.0</v>
      </c>
      <c r="E704" s="47">
        <v>22040.0</v>
      </c>
      <c r="F704" s="47" t="s">
        <v>11</v>
      </c>
    </row>
    <row r="705" ht="15.75" customHeight="1">
      <c r="A705" s="46" t="s">
        <v>1656</v>
      </c>
      <c r="B705" s="47" t="s">
        <v>1657</v>
      </c>
      <c r="C705" s="47">
        <v>13456.0</v>
      </c>
      <c r="D705" s="47">
        <v>13045.0</v>
      </c>
      <c r="E705" s="47">
        <v>20680.0</v>
      </c>
      <c r="F705" s="47">
        <v>27.0</v>
      </c>
    </row>
    <row r="706" ht="15.75" customHeight="1">
      <c r="A706" s="46" t="s">
        <v>1658</v>
      </c>
      <c r="B706" s="47" t="s">
        <v>1659</v>
      </c>
      <c r="C706" s="47">
        <v>330.0</v>
      </c>
      <c r="D706" s="47">
        <v>317.0</v>
      </c>
      <c r="E706" s="47">
        <v>27900.0</v>
      </c>
      <c r="F706" s="47" t="s">
        <v>11</v>
      </c>
    </row>
    <row r="707" ht="15.75" customHeight="1">
      <c r="A707" s="46" t="s">
        <v>1660</v>
      </c>
      <c r="B707" s="47" t="s">
        <v>1661</v>
      </c>
      <c r="C707" s="47">
        <v>220.0</v>
      </c>
      <c r="D707" s="47">
        <v>220.0</v>
      </c>
      <c r="E707" s="47">
        <v>24110.0</v>
      </c>
      <c r="F707" s="47" t="s">
        <v>11</v>
      </c>
    </row>
    <row r="708" ht="15.75" customHeight="1">
      <c r="A708" s="46" t="s">
        <v>1662</v>
      </c>
      <c r="B708" s="47" t="s">
        <v>1663</v>
      </c>
      <c r="C708" s="47">
        <v>550.0</v>
      </c>
      <c r="D708" s="47">
        <v>541.0</v>
      </c>
      <c r="E708" s="47">
        <v>20410.0</v>
      </c>
      <c r="F708" s="47" t="s">
        <v>11</v>
      </c>
    </row>
    <row r="709" ht="15.75" customHeight="1">
      <c r="A709" s="46" t="s">
        <v>1664</v>
      </c>
      <c r="B709" s="47" t="s">
        <v>1665</v>
      </c>
      <c r="C709" s="47">
        <v>102.0</v>
      </c>
      <c r="D709" s="47">
        <v>122.0</v>
      </c>
      <c r="E709" s="47">
        <v>17360.0</v>
      </c>
      <c r="F709" s="47" t="s">
        <v>11</v>
      </c>
    </row>
    <row r="710" ht="15.75" customHeight="1">
      <c r="A710" s="46" t="s">
        <v>1666</v>
      </c>
      <c r="B710" s="47" t="s">
        <v>1667</v>
      </c>
      <c r="C710" s="47">
        <v>168.0</v>
      </c>
      <c r="D710" s="47">
        <v>158.0</v>
      </c>
      <c r="E710" s="47">
        <v>23210.0</v>
      </c>
      <c r="F710" s="47" t="s">
        <v>11</v>
      </c>
    </row>
    <row r="711" ht="15.75" customHeight="1">
      <c r="A711" s="46" t="s">
        <v>1668</v>
      </c>
      <c r="B711" s="47" t="s">
        <v>1669</v>
      </c>
      <c r="C711" s="47">
        <v>73.0</v>
      </c>
      <c r="D711" s="47">
        <v>81.0</v>
      </c>
      <c r="E711" s="47" t="s">
        <v>11</v>
      </c>
      <c r="F711" s="47" t="s">
        <v>11</v>
      </c>
    </row>
    <row r="712" ht="15.75" customHeight="1">
      <c r="A712" s="46" t="s">
        <v>1670</v>
      </c>
      <c r="B712" s="47" t="s">
        <v>1671</v>
      </c>
      <c r="C712" s="47">
        <v>128.0</v>
      </c>
      <c r="D712" s="47">
        <v>110.0</v>
      </c>
      <c r="E712" s="47">
        <v>22240.0</v>
      </c>
      <c r="F712" s="47" t="s">
        <v>11</v>
      </c>
    </row>
    <row r="713" ht="15.75" customHeight="1">
      <c r="A713" s="46" t="s">
        <v>1672</v>
      </c>
      <c r="B713" s="47" t="s">
        <v>1673</v>
      </c>
      <c r="C713" s="47">
        <v>670.0</v>
      </c>
      <c r="D713" s="47">
        <v>685.0</v>
      </c>
      <c r="E713" s="47">
        <v>24970.0</v>
      </c>
      <c r="F713" s="47" t="s">
        <v>11</v>
      </c>
    </row>
    <row r="714" ht="15.75" customHeight="1">
      <c r="A714" s="46" t="s">
        <v>1674</v>
      </c>
      <c r="B714" s="47" t="s">
        <v>1675</v>
      </c>
      <c r="C714" s="47">
        <v>85.0</v>
      </c>
      <c r="D714" s="47">
        <v>80.0</v>
      </c>
      <c r="E714" s="47" t="s">
        <v>11</v>
      </c>
      <c r="F714" s="47" t="s">
        <v>11</v>
      </c>
    </row>
    <row r="715" ht="15.75" customHeight="1">
      <c r="A715" s="46" t="s">
        <v>1676</v>
      </c>
      <c r="B715" s="47" t="s">
        <v>1677</v>
      </c>
      <c r="C715" s="47">
        <v>948.0</v>
      </c>
      <c r="D715" s="47">
        <v>952.0</v>
      </c>
      <c r="E715" s="47">
        <v>27000.0</v>
      </c>
      <c r="F715" s="47" t="s">
        <v>11</v>
      </c>
    </row>
    <row r="716" ht="15.75" customHeight="1">
      <c r="A716" s="46" t="s">
        <v>1678</v>
      </c>
      <c r="B716" s="47" t="s">
        <v>1679</v>
      </c>
      <c r="C716" s="47">
        <v>224.0</v>
      </c>
      <c r="D716" s="47">
        <v>207.0</v>
      </c>
      <c r="E716" s="47">
        <v>27230.0</v>
      </c>
      <c r="F716" s="47" t="s">
        <v>11</v>
      </c>
    </row>
    <row r="717" ht="15.75" customHeight="1">
      <c r="A717" s="46" t="s">
        <v>1680</v>
      </c>
      <c r="B717" s="47" t="s">
        <v>1681</v>
      </c>
      <c r="C717" s="47">
        <v>613.0</v>
      </c>
      <c r="D717" s="47">
        <v>541.0</v>
      </c>
      <c r="E717" s="47">
        <v>22880.0</v>
      </c>
      <c r="F717" s="47" t="s">
        <v>11</v>
      </c>
    </row>
    <row r="718" ht="15.75" customHeight="1">
      <c r="A718" s="46" t="s">
        <v>1682</v>
      </c>
      <c r="B718" s="47" t="s">
        <v>1683</v>
      </c>
      <c r="C718" s="47">
        <v>145.0</v>
      </c>
      <c r="D718" s="47">
        <v>139.0</v>
      </c>
      <c r="E718" s="47">
        <v>26340.0</v>
      </c>
      <c r="F718" s="47" t="s">
        <v>11</v>
      </c>
    </row>
    <row r="719" ht="15.75" customHeight="1">
      <c r="A719" s="46" t="s">
        <v>1684</v>
      </c>
      <c r="B719" s="47" t="s">
        <v>1685</v>
      </c>
      <c r="C719" s="47">
        <v>275.0</v>
      </c>
      <c r="D719" s="47">
        <v>282.0</v>
      </c>
      <c r="E719" s="47">
        <v>22060.0</v>
      </c>
      <c r="F719" s="47" t="s">
        <v>11</v>
      </c>
    </row>
    <row r="720" ht="15.75" customHeight="1">
      <c r="A720" s="46" t="s">
        <v>1686</v>
      </c>
      <c r="B720" s="47" t="s">
        <v>1687</v>
      </c>
      <c r="C720" s="47">
        <v>335.0</v>
      </c>
      <c r="D720" s="47">
        <v>341.0</v>
      </c>
      <c r="E720" s="47">
        <v>21600.0</v>
      </c>
      <c r="F720" s="47" t="s">
        <v>11</v>
      </c>
    </row>
    <row r="721" ht="15.75" customHeight="1">
      <c r="A721" s="46" t="s">
        <v>1688</v>
      </c>
      <c r="B721" s="47" t="s">
        <v>1689</v>
      </c>
      <c r="C721" s="47">
        <v>182.0</v>
      </c>
      <c r="D721" s="47">
        <v>187.0</v>
      </c>
      <c r="E721" s="47">
        <v>25270.0</v>
      </c>
      <c r="F721" s="47" t="s">
        <v>11</v>
      </c>
    </row>
    <row r="722" ht="15.75" customHeight="1">
      <c r="A722" s="46" t="s">
        <v>1690</v>
      </c>
      <c r="B722" s="47" t="s">
        <v>1691</v>
      </c>
      <c r="C722" s="47">
        <v>585.0</v>
      </c>
      <c r="D722" s="47">
        <v>534.0</v>
      </c>
      <c r="E722" s="47">
        <v>24930.0</v>
      </c>
      <c r="F722" s="47" t="s">
        <v>11</v>
      </c>
    </row>
    <row r="723" ht="15.75" customHeight="1">
      <c r="A723" s="46" t="s">
        <v>1692</v>
      </c>
      <c r="B723" s="47" t="s">
        <v>1693</v>
      </c>
      <c r="C723" s="47">
        <v>659.0</v>
      </c>
      <c r="D723" s="47">
        <v>687.0</v>
      </c>
      <c r="E723" s="47">
        <v>26520.0</v>
      </c>
      <c r="F723" s="47" t="s">
        <v>11</v>
      </c>
    </row>
    <row r="724" ht="15.75" customHeight="1">
      <c r="A724" s="46" t="s">
        <v>1694</v>
      </c>
      <c r="B724" s="47" t="s">
        <v>1695</v>
      </c>
      <c r="C724" s="47">
        <v>540.0</v>
      </c>
      <c r="D724" s="47">
        <v>505.0</v>
      </c>
      <c r="E724" s="47">
        <v>21320.0</v>
      </c>
      <c r="F724" s="47" t="s">
        <v>11</v>
      </c>
    </row>
    <row r="725" ht="15.75" customHeight="1">
      <c r="A725" s="46" t="s">
        <v>1696</v>
      </c>
      <c r="B725" s="47" t="s">
        <v>1697</v>
      </c>
      <c r="C725" s="47">
        <v>2003.0</v>
      </c>
      <c r="D725" s="47">
        <v>2050.0</v>
      </c>
      <c r="E725" s="47">
        <v>23580.0</v>
      </c>
      <c r="F725" s="47">
        <v>18.0</v>
      </c>
    </row>
    <row r="726" ht="15.75" customHeight="1">
      <c r="A726" s="46" t="s">
        <v>1698</v>
      </c>
      <c r="B726" s="47" t="s">
        <v>1699</v>
      </c>
      <c r="C726" s="47">
        <v>365.0</v>
      </c>
      <c r="D726" s="47">
        <v>355.0</v>
      </c>
      <c r="E726" s="47">
        <v>22020.0</v>
      </c>
      <c r="F726" s="47" t="s">
        <v>11</v>
      </c>
    </row>
    <row r="727" ht="15.75" customHeight="1">
      <c r="A727" s="46" t="s">
        <v>1700</v>
      </c>
      <c r="B727" s="47" t="s">
        <v>1701</v>
      </c>
      <c r="C727" s="47">
        <v>148.0</v>
      </c>
      <c r="D727" s="47">
        <v>152.0</v>
      </c>
      <c r="E727" s="47">
        <v>21580.0</v>
      </c>
      <c r="F727" s="47" t="s">
        <v>11</v>
      </c>
    </row>
    <row r="728" ht="15.75" customHeight="1">
      <c r="A728" s="46" t="s">
        <v>1702</v>
      </c>
      <c r="B728" s="47" t="s">
        <v>1703</v>
      </c>
      <c r="C728" s="47">
        <v>197.0</v>
      </c>
      <c r="D728" s="47">
        <v>217.0</v>
      </c>
      <c r="E728" s="47">
        <v>28310.0</v>
      </c>
      <c r="F728" s="47" t="s">
        <v>11</v>
      </c>
    </row>
    <row r="729" ht="15.75" customHeight="1">
      <c r="A729" s="46" t="s">
        <v>1704</v>
      </c>
      <c r="B729" s="47" t="s">
        <v>1705</v>
      </c>
      <c r="C729" s="47">
        <v>151.0</v>
      </c>
      <c r="D729" s="47">
        <v>172.0</v>
      </c>
      <c r="E729" s="47">
        <v>23400.0</v>
      </c>
      <c r="F729" s="47" t="s">
        <v>11</v>
      </c>
    </row>
    <row r="730" ht="15.75" customHeight="1">
      <c r="A730" s="46" t="s">
        <v>1706</v>
      </c>
      <c r="B730" s="47" t="s">
        <v>1707</v>
      </c>
      <c r="C730" s="47">
        <v>215.0</v>
      </c>
      <c r="D730" s="47">
        <v>197.0</v>
      </c>
      <c r="E730" s="47">
        <v>26390.0</v>
      </c>
      <c r="F730" s="47" t="s">
        <v>11</v>
      </c>
    </row>
    <row r="731" ht="15.75" customHeight="1">
      <c r="A731" s="46" t="s">
        <v>1708</v>
      </c>
      <c r="B731" s="47" t="s">
        <v>1709</v>
      </c>
      <c r="C731" s="47">
        <v>87.0</v>
      </c>
      <c r="D731" s="47">
        <v>92.0</v>
      </c>
      <c r="E731" s="47" t="s">
        <v>11</v>
      </c>
      <c r="F731" s="47" t="s">
        <v>11</v>
      </c>
    </row>
    <row r="732" ht="15.75" customHeight="1">
      <c r="A732" s="46" t="s">
        <v>1710</v>
      </c>
      <c r="B732" s="47" t="s">
        <v>1711</v>
      </c>
      <c r="C732" s="47">
        <v>265.0</v>
      </c>
      <c r="D732" s="47">
        <v>230.0</v>
      </c>
      <c r="E732" s="47">
        <v>28130.0</v>
      </c>
      <c r="F732" s="47" t="s">
        <v>11</v>
      </c>
    </row>
    <row r="733" ht="15.75" customHeight="1">
      <c r="A733" s="46" t="s">
        <v>1712</v>
      </c>
      <c r="B733" s="47" t="s">
        <v>1713</v>
      </c>
      <c r="C733" s="47">
        <v>238.0</v>
      </c>
      <c r="D733" s="47">
        <v>237.0</v>
      </c>
      <c r="E733" s="47">
        <v>24950.0</v>
      </c>
      <c r="F733" s="47" t="s">
        <v>11</v>
      </c>
    </row>
    <row r="734" ht="15.75" customHeight="1">
      <c r="A734" s="46" t="s">
        <v>1714</v>
      </c>
      <c r="B734" s="47" t="s">
        <v>1715</v>
      </c>
      <c r="C734" s="47">
        <v>324.0</v>
      </c>
      <c r="D734" s="47">
        <v>323.0</v>
      </c>
      <c r="E734" s="47">
        <v>27760.0</v>
      </c>
      <c r="F734" s="47" t="s">
        <v>11</v>
      </c>
    </row>
    <row r="735" ht="15.75" customHeight="1">
      <c r="A735" s="46" t="s">
        <v>1716</v>
      </c>
      <c r="B735" s="47" t="s">
        <v>1717</v>
      </c>
      <c r="C735" s="47">
        <v>540.0</v>
      </c>
      <c r="D735" s="47">
        <v>498.0</v>
      </c>
      <c r="E735" s="47">
        <v>25500.0</v>
      </c>
      <c r="F735" s="47" t="s">
        <v>11</v>
      </c>
    </row>
    <row r="736" ht="15.75" customHeight="1">
      <c r="A736" s="46" t="s">
        <v>1718</v>
      </c>
      <c r="B736" s="47" t="s">
        <v>1719</v>
      </c>
      <c r="C736" s="47">
        <v>923.0</v>
      </c>
      <c r="D736" s="47">
        <v>924.0</v>
      </c>
      <c r="E736" s="47">
        <v>21620.0</v>
      </c>
      <c r="F736" s="47" t="s">
        <v>11</v>
      </c>
    </row>
    <row r="737" ht="15.75" customHeight="1">
      <c r="A737" s="46" t="s">
        <v>1720</v>
      </c>
      <c r="B737" s="47" t="s">
        <v>1721</v>
      </c>
      <c r="C737" s="47">
        <v>786.0</v>
      </c>
      <c r="D737" s="47">
        <v>763.0</v>
      </c>
      <c r="E737" s="47">
        <v>28530.0</v>
      </c>
      <c r="F737" s="47" t="s">
        <v>11</v>
      </c>
    </row>
    <row r="738" ht="15.75" customHeight="1">
      <c r="A738" s="46" t="s">
        <v>1722</v>
      </c>
      <c r="B738" s="47" t="s">
        <v>1723</v>
      </c>
      <c r="C738" s="47">
        <v>153.0</v>
      </c>
      <c r="D738" s="47">
        <v>142.0</v>
      </c>
      <c r="E738" s="47">
        <v>26450.0</v>
      </c>
      <c r="F738" s="47" t="s">
        <v>11</v>
      </c>
    </row>
    <row r="739" ht="15.75" customHeight="1">
      <c r="A739" s="46" t="s">
        <v>1724</v>
      </c>
      <c r="B739" s="47" t="s">
        <v>1725</v>
      </c>
      <c r="C739" s="47">
        <v>39.0</v>
      </c>
      <c r="D739" s="47">
        <v>43.0</v>
      </c>
      <c r="E739" s="47" t="s">
        <v>11</v>
      </c>
      <c r="F739" s="47" t="s">
        <v>11</v>
      </c>
    </row>
    <row r="740" ht="15.75" customHeight="1">
      <c r="A740" s="46" t="s">
        <v>1726</v>
      </c>
      <c r="B740" s="47" t="s">
        <v>1727</v>
      </c>
      <c r="C740" s="47">
        <v>117.0</v>
      </c>
      <c r="D740" s="47">
        <v>123.0</v>
      </c>
      <c r="E740" s="47">
        <v>25190.0</v>
      </c>
      <c r="F740" s="47" t="s">
        <v>11</v>
      </c>
    </row>
    <row r="741" ht="15.75" customHeight="1">
      <c r="A741" s="46" t="s">
        <v>1728</v>
      </c>
      <c r="B741" s="47" t="s">
        <v>1729</v>
      </c>
      <c r="C741" s="47">
        <v>951.0</v>
      </c>
      <c r="D741" s="47">
        <v>923.0</v>
      </c>
      <c r="E741" s="47">
        <v>25310.0</v>
      </c>
      <c r="F741" s="47" t="s">
        <v>11</v>
      </c>
    </row>
    <row r="742" ht="15.75" customHeight="1">
      <c r="A742" s="46" t="s">
        <v>1730</v>
      </c>
      <c r="B742" s="47" t="s">
        <v>1731</v>
      </c>
      <c r="C742" s="47">
        <v>556.0</v>
      </c>
      <c r="D742" s="47">
        <v>585.0</v>
      </c>
      <c r="E742" s="47">
        <v>22980.0</v>
      </c>
      <c r="F742" s="47" t="s">
        <v>11</v>
      </c>
    </row>
    <row r="743" ht="15.75" customHeight="1">
      <c r="A743" s="46" t="s">
        <v>1732</v>
      </c>
      <c r="B743" s="47" t="s">
        <v>1733</v>
      </c>
      <c r="C743" s="47">
        <v>160.0</v>
      </c>
      <c r="D743" s="47">
        <v>133.0</v>
      </c>
      <c r="E743" s="47">
        <v>25910.0</v>
      </c>
      <c r="F743" s="47" t="s">
        <v>11</v>
      </c>
    </row>
    <row r="744" ht="15.75" customHeight="1">
      <c r="A744" s="46" t="s">
        <v>1734</v>
      </c>
      <c r="B744" s="47" t="s">
        <v>1735</v>
      </c>
      <c r="C744" s="47">
        <v>102.0</v>
      </c>
      <c r="D744" s="47">
        <v>101.0</v>
      </c>
      <c r="E744" s="47" t="s">
        <v>11</v>
      </c>
      <c r="F744" s="47" t="s">
        <v>11</v>
      </c>
    </row>
    <row r="745" ht="15.75" customHeight="1">
      <c r="A745" s="46" t="s">
        <v>1736</v>
      </c>
      <c r="B745" s="47" t="s">
        <v>1737</v>
      </c>
      <c r="C745" s="47">
        <v>223.0</v>
      </c>
      <c r="D745" s="47">
        <v>229.0</v>
      </c>
      <c r="E745" s="47">
        <v>20540.0</v>
      </c>
      <c r="F745" s="47" t="s">
        <v>11</v>
      </c>
    </row>
    <row r="746" ht="15.75" customHeight="1">
      <c r="A746" s="46" t="s">
        <v>1738</v>
      </c>
      <c r="B746" s="47" t="s">
        <v>1739</v>
      </c>
      <c r="C746" s="47">
        <v>1378.0</v>
      </c>
      <c r="D746" s="47">
        <v>1324.0</v>
      </c>
      <c r="E746" s="47">
        <v>22590.0</v>
      </c>
      <c r="F746" s="47" t="s">
        <v>11</v>
      </c>
    </row>
    <row r="747" ht="15.75" customHeight="1">
      <c r="A747" s="46" t="s">
        <v>1740</v>
      </c>
      <c r="B747" s="47" t="s">
        <v>1741</v>
      </c>
      <c r="C747" s="47">
        <v>461.0</v>
      </c>
      <c r="D747" s="47">
        <v>443.0</v>
      </c>
      <c r="E747" s="47">
        <v>25710.0</v>
      </c>
      <c r="F747" s="47" t="s">
        <v>11</v>
      </c>
    </row>
    <row r="748" ht="15.75" customHeight="1">
      <c r="A748" s="46" t="s">
        <v>1742</v>
      </c>
      <c r="B748" s="47" t="s">
        <v>1743</v>
      </c>
      <c r="C748" s="47">
        <v>219.0</v>
      </c>
      <c r="D748" s="47">
        <v>212.0</v>
      </c>
      <c r="E748" s="47">
        <v>23320.0</v>
      </c>
      <c r="F748" s="47" t="s">
        <v>11</v>
      </c>
    </row>
    <row r="749" ht="15.75" customHeight="1">
      <c r="A749" s="46" t="s">
        <v>1744</v>
      </c>
      <c r="B749" s="47" t="s">
        <v>1745</v>
      </c>
      <c r="C749" s="47">
        <v>138.0</v>
      </c>
      <c r="D749" s="47">
        <v>124.0</v>
      </c>
      <c r="E749" s="47">
        <v>20880.0</v>
      </c>
      <c r="F749" s="47" t="s">
        <v>11</v>
      </c>
    </row>
    <row r="750" ht="15.75" customHeight="1">
      <c r="A750" s="46" t="s">
        <v>1746</v>
      </c>
      <c r="B750" s="47" t="s">
        <v>1747</v>
      </c>
      <c r="C750" s="47">
        <v>149.0</v>
      </c>
      <c r="D750" s="47">
        <v>155.0</v>
      </c>
      <c r="E750" s="47">
        <v>22890.0</v>
      </c>
      <c r="F750" s="47" t="s">
        <v>11</v>
      </c>
    </row>
    <row r="751" ht="15.75" customHeight="1">
      <c r="A751" s="46" t="s">
        <v>1748</v>
      </c>
      <c r="B751" s="47" t="s">
        <v>1749</v>
      </c>
      <c r="C751" s="47">
        <v>1092.0</v>
      </c>
      <c r="D751" s="47">
        <v>1104.0</v>
      </c>
      <c r="E751" s="47">
        <v>24550.0</v>
      </c>
      <c r="F751" s="47" t="s">
        <v>11</v>
      </c>
    </row>
    <row r="752" ht="15.75" customHeight="1">
      <c r="A752" s="46" t="s">
        <v>1750</v>
      </c>
      <c r="B752" s="47" t="s">
        <v>1751</v>
      </c>
      <c r="C752" s="47">
        <v>129.0</v>
      </c>
      <c r="D752" s="47">
        <v>139.0</v>
      </c>
      <c r="E752" s="47">
        <v>24500.0</v>
      </c>
      <c r="F752" s="47" t="s">
        <v>11</v>
      </c>
    </row>
    <row r="753" ht="15.75" customHeight="1">
      <c r="A753" s="46" t="s">
        <v>1752</v>
      </c>
      <c r="B753" s="47" t="s">
        <v>1753</v>
      </c>
      <c r="C753" s="47">
        <v>254.0</v>
      </c>
      <c r="D753" s="47">
        <v>249.0</v>
      </c>
      <c r="E753" s="47">
        <v>26430.0</v>
      </c>
      <c r="F753" s="47" t="s">
        <v>11</v>
      </c>
    </row>
    <row r="754" ht="15.75" customHeight="1">
      <c r="A754" s="46" t="s">
        <v>1754</v>
      </c>
      <c r="B754" s="47" t="s">
        <v>1755</v>
      </c>
      <c r="C754" s="47">
        <v>468.0</v>
      </c>
      <c r="D754" s="47">
        <v>470.0</v>
      </c>
      <c r="E754" s="47">
        <v>24310.0</v>
      </c>
      <c r="F754" s="47" t="s">
        <v>11</v>
      </c>
    </row>
    <row r="755" ht="15.75" customHeight="1">
      <c r="A755" s="46" t="s">
        <v>1756</v>
      </c>
      <c r="B755" s="47" t="s">
        <v>1757</v>
      </c>
      <c r="C755" s="47">
        <v>2552.0</v>
      </c>
      <c r="D755" s="47">
        <v>2549.0</v>
      </c>
      <c r="E755" s="47">
        <v>20340.0</v>
      </c>
      <c r="F755" s="47">
        <v>27.0</v>
      </c>
    </row>
    <row r="756" ht="15.75" customHeight="1">
      <c r="A756" s="46" t="s">
        <v>1758</v>
      </c>
      <c r="B756" s="47" t="s">
        <v>1759</v>
      </c>
      <c r="C756" s="47">
        <v>231.0</v>
      </c>
      <c r="D756" s="47">
        <v>235.0</v>
      </c>
      <c r="E756" s="47">
        <v>25580.0</v>
      </c>
      <c r="F756" s="47" t="s">
        <v>11</v>
      </c>
    </row>
    <row r="757" ht="15.75" customHeight="1">
      <c r="A757" s="46" t="s">
        <v>1760</v>
      </c>
      <c r="B757" s="47" t="s">
        <v>1761</v>
      </c>
      <c r="C757" s="47">
        <v>242.0</v>
      </c>
      <c r="D757" s="47">
        <v>270.0</v>
      </c>
      <c r="E757" s="47">
        <v>25820.0</v>
      </c>
      <c r="F757" s="47" t="s">
        <v>11</v>
      </c>
    </row>
    <row r="758" ht="15.75" customHeight="1">
      <c r="A758" s="46" t="s">
        <v>1762</v>
      </c>
      <c r="B758" s="47" t="s">
        <v>1763</v>
      </c>
      <c r="C758" s="47">
        <v>155.0</v>
      </c>
      <c r="D758" s="47">
        <v>155.0</v>
      </c>
      <c r="E758" s="47">
        <v>24690.0</v>
      </c>
      <c r="F758" s="47" t="s">
        <v>11</v>
      </c>
    </row>
    <row r="759" ht="15.75" customHeight="1">
      <c r="A759" s="46" t="s">
        <v>1764</v>
      </c>
      <c r="B759" s="47" t="s">
        <v>1765</v>
      </c>
      <c r="C759" s="47">
        <v>125.0</v>
      </c>
      <c r="D759" s="47">
        <v>113.0</v>
      </c>
      <c r="E759" s="47">
        <v>27340.0</v>
      </c>
      <c r="F759" s="47" t="s">
        <v>11</v>
      </c>
    </row>
    <row r="760" ht="15.75" customHeight="1">
      <c r="A760" s="46" t="s">
        <v>1766</v>
      </c>
      <c r="B760" s="47" t="s">
        <v>1767</v>
      </c>
      <c r="C760" s="47">
        <v>185.0</v>
      </c>
      <c r="D760" s="47">
        <v>181.0</v>
      </c>
      <c r="E760" s="47">
        <v>27300.0</v>
      </c>
      <c r="F760" s="47" t="s">
        <v>11</v>
      </c>
    </row>
    <row r="761" ht="15.75" customHeight="1">
      <c r="A761" s="46" t="s">
        <v>1768</v>
      </c>
      <c r="B761" s="47" t="s">
        <v>1769</v>
      </c>
      <c r="C761" s="47">
        <v>1645.0</v>
      </c>
      <c r="D761" s="47">
        <v>1608.0</v>
      </c>
      <c r="E761" s="47">
        <v>24090.0</v>
      </c>
      <c r="F761" s="47" t="s">
        <v>11</v>
      </c>
    </row>
    <row r="762" ht="15.75" customHeight="1">
      <c r="A762" s="46" t="s">
        <v>1770</v>
      </c>
      <c r="B762" s="47" t="s">
        <v>1771</v>
      </c>
      <c r="C762" s="47">
        <v>87.0</v>
      </c>
      <c r="D762" s="47">
        <v>93.0</v>
      </c>
      <c r="E762" s="47" t="s">
        <v>11</v>
      </c>
      <c r="F762" s="47" t="s">
        <v>11</v>
      </c>
    </row>
    <row r="763" ht="15.75" customHeight="1">
      <c r="A763" s="46" t="s">
        <v>1772</v>
      </c>
      <c r="B763" s="47" t="s">
        <v>1773</v>
      </c>
      <c r="C763" s="47">
        <v>179.0</v>
      </c>
      <c r="D763" s="47">
        <v>166.0</v>
      </c>
      <c r="E763" s="47">
        <v>25060.0</v>
      </c>
      <c r="F763" s="47" t="s">
        <v>11</v>
      </c>
    </row>
    <row r="764" ht="15.75" customHeight="1">
      <c r="A764" s="46" t="s">
        <v>1774</v>
      </c>
      <c r="B764" s="47" t="s">
        <v>1775</v>
      </c>
      <c r="C764" s="47">
        <v>1234.0</v>
      </c>
      <c r="D764" s="47">
        <v>1192.0</v>
      </c>
      <c r="E764" s="47">
        <v>24770.0</v>
      </c>
      <c r="F764" s="47" t="s">
        <v>11</v>
      </c>
    </row>
    <row r="765" ht="15.75" customHeight="1">
      <c r="A765" s="46" t="s">
        <v>1776</v>
      </c>
      <c r="B765" s="47" t="s">
        <v>1777</v>
      </c>
      <c r="C765" s="47">
        <v>435.0</v>
      </c>
      <c r="D765" s="47">
        <v>384.0</v>
      </c>
      <c r="E765" s="47">
        <v>24280.0</v>
      </c>
      <c r="F765" s="47" t="s">
        <v>11</v>
      </c>
    </row>
    <row r="766" ht="15.75" customHeight="1">
      <c r="A766" s="46" t="s">
        <v>1778</v>
      </c>
      <c r="B766" s="47" t="s">
        <v>1779</v>
      </c>
      <c r="C766" s="47">
        <v>320.0</v>
      </c>
      <c r="D766" s="47">
        <v>310.0</v>
      </c>
      <c r="E766" s="47">
        <v>27330.0</v>
      </c>
      <c r="F766" s="47" t="s">
        <v>11</v>
      </c>
    </row>
    <row r="767" ht="15.75" customHeight="1">
      <c r="A767" s="46" t="s">
        <v>1780</v>
      </c>
      <c r="B767" s="47" t="s">
        <v>1781</v>
      </c>
      <c r="C767" s="47">
        <v>268.0</v>
      </c>
      <c r="D767" s="47">
        <v>262.0</v>
      </c>
      <c r="E767" s="47">
        <v>23700.0</v>
      </c>
      <c r="F767" s="47" t="s">
        <v>11</v>
      </c>
    </row>
    <row r="768" ht="15.75" customHeight="1">
      <c r="A768" s="46" t="s">
        <v>1782</v>
      </c>
      <c r="B768" s="47" t="s">
        <v>1783</v>
      </c>
      <c r="C768" s="47">
        <v>207.0</v>
      </c>
      <c r="D768" s="47">
        <v>204.0</v>
      </c>
      <c r="E768" s="47">
        <v>23590.0</v>
      </c>
      <c r="F768" s="47" t="s">
        <v>11</v>
      </c>
    </row>
    <row r="769" ht="15.75" customHeight="1">
      <c r="A769" s="46" t="s">
        <v>1784</v>
      </c>
      <c r="B769" s="47" t="s">
        <v>1785</v>
      </c>
      <c r="C769" s="47">
        <v>143.0</v>
      </c>
      <c r="D769" s="47">
        <v>150.0</v>
      </c>
      <c r="E769" s="47">
        <v>28010.0</v>
      </c>
      <c r="F769" s="47" t="s">
        <v>11</v>
      </c>
    </row>
    <row r="770" ht="15.75" customHeight="1">
      <c r="A770" s="46" t="s">
        <v>1786</v>
      </c>
      <c r="B770" s="47" t="s">
        <v>1787</v>
      </c>
      <c r="C770" s="47">
        <v>186.0</v>
      </c>
      <c r="D770" s="47">
        <v>219.0</v>
      </c>
      <c r="E770" s="47">
        <v>24710.0</v>
      </c>
      <c r="F770" s="47" t="s">
        <v>11</v>
      </c>
    </row>
    <row r="771" ht="15.75" customHeight="1">
      <c r="A771" s="46" t="s">
        <v>1788</v>
      </c>
      <c r="B771" s="47" t="s">
        <v>1789</v>
      </c>
      <c r="C771" s="47">
        <v>2490.0</v>
      </c>
      <c r="D771" s="47">
        <v>2616.0</v>
      </c>
      <c r="E771" s="47">
        <v>22730.0</v>
      </c>
      <c r="F771" s="47">
        <v>22.0</v>
      </c>
    </row>
    <row r="772" ht="15.75" customHeight="1">
      <c r="A772" s="46" t="s">
        <v>1790</v>
      </c>
      <c r="B772" s="47" t="s">
        <v>1791</v>
      </c>
      <c r="C772" s="47">
        <v>285.0</v>
      </c>
      <c r="D772" s="47">
        <v>277.0</v>
      </c>
      <c r="E772" s="47">
        <v>24150.0</v>
      </c>
      <c r="F772" s="47" t="s">
        <v>11</v>
      </c>
    </row>
    <row r="773" ht="15.75" customHeight="1">
      <c r="A773" s="46" t="s">
        <v>1792</v>
      </c>
      <c r="B773" s="47" t="s">
        <v>1793</v>
      </c>
      <c r="C773" s="47">
        <v>646.0</v>
      </c>
      <c r="D773" s="47">
        <v>684.0</v>
      </c>
      <c r="E773" s="47">
        <v>27550.0</v>
      </c>
      <c r="F773" s="47" t="s">
        <v>11</v>
      </c>
    </row>
    <row r="774" ht="15.75" customHeight="1">
      <c r="A774" s="46" t="s">
        <v>1794</v>
      </c>
      <c r="B774" s="47" t="s">
        <v>1795</v>
      </c>
      <c r="C774" s="47">
        <v>300.0</v>
      </c>
      <c r="D774" s="47">
        <v>263.0</v>
      </c>
      <c r="E774" s="47">
        <v>22270.0</v>
      </c>
      <c r="F774" s="47" t="s">
        <v>11</v>
      </c>
    </row>
    <row r="775" ht="15.75" customHeight="1">
      <c r="A775" s="46" t="s">
        <v>1796</v>
      </c>
      <c r="B775" s="47" t="s">
        <v>1797</v>
      </c>
      <c r="C775" s="47">
        <v>74.0</v>
      </c>
      <c r="D775" s="47">
        <v>75.0</v>
      </c>
      <c r="E775" s="47" t="s">
        <v>11</v>
      </c>
      <c r="F775" s="47" t="s">
        <v>11</v>
      </c>
    </row>
    <row r="776" ht="15.75" customHeight="1">
      <c r="A776" s="46" t="s">
        <v>1798</v>
      </c>
      <c r="B776" s="47" t="s">
        <v>1799</v>
      </c>
      <c r="C776" s="47">
        <v>10872.0</v>
      </c>
      <c r="D776" s="47">
        <v>10489.0</v>
      </c>
      <c r="E776" s="47">
        <v>22720.0</v>
      </c>
      <c r="F776" s="47">
        <v>20.0</v>
      </c>
    </row>
    <row r="777" ht="15.75" customHeight="1">
      <c r="A777" s="46" t="s">
        <v>1800</v>
      </c>
      <c r="B777" s="47" t="s">
        <v>1801</v>
      </c>
      <c r="C777" s="47">
        <v>217.0</v>
      </c>
      <c r="D777" s="47">
        <v>193.0</v>
      </c>
      <c r="E777" s="47">
        <v>27860.0</v>
      </c>
      <c r="F777" s="47" t="s">
        <v>11</v>
      </c>
    </row>
    <row r="778" ht="15.75" customHeight="1">
      <c r="A778" s="46" t="s">
        <v>1802</v>
      </c>
      <c r="B778" s="47" t="s">
        <v>1803</v>
      </c>
      <c r="C778" s="47">
        <v>267.0</v>
      </c>
      <c r="D778" s="47">
        <v>262.0</v>
      </c>
      <c r="E778" s="47">
        <v>23750.0</v>
      </c>
      <c r="F778" s="47" t="s">
        <v>11</v>
      </c>
    </row>
    <row r="779" ht="15.75" customHeight="1">
      <c r="A779" s="46" t="s">
        <v>1804</v>
      </c>
      <c r="B779" s="47" t="s">
        <v>1805</v>
      </c>
      <c r="C779" s="47">
        <v>169.0</v>
      </c>
      <c r="D779" s="47">
        <v>166.0</v>
      </c>
      <c r="E779" s="47">
        <v>27160.0</v>
      </c>
      <c r="F779" s="47" t="s">
        <v>11</v>
      </c>
    </row>
    <row r="780" ht="15.75" customHeight="1">
      <c r="A780" s="46" t="s">
        <v>1806</v>
      </c>
      <c r="B780" s="47" t="s">
        <v>1807</v>
      </c>
      <c r="C780" s="47">
        <v>435.0</v>
      </c>
      <c r="D780" s="47">
        <v>418.0</v>
      </c>
      <c r="E780" s="47">
        <v>26060.0</v>
      </c>
      <c r="F780" s="47" t="s">
        <v>11</v>
      </c>
    </row>
    <row r="781" ht="15.75" customHeight="1">
      <c r="A781" s="46" t="s">
        <v>1808</v>
      </c>
      <c r="B781" s="47" t="s">
        <v>1809</v>
      </c>
      <c r="C781" s="47">
        <v>527.0</v>
      </c>
      <c r="D781" s="47">
        <v>508.0</v>
      </c>
      <c r="E781" s="47">
        <v>24750.0</v>
      </c>
      <c r="F781" s="47" t="s">
        <v>11</v>
      </c>
    </row>
    <row r="782" ht="15.75" customHeight="1">
      <c r="A782" s="46" t="s">
        <v>1810</v>
      </c>
      <c r="B782" s="47" t="s">
        <v>1811</v>
      </c>
      <c r="C782" s="47">
        <v>82.0</v>
      </c>
      <c r="D782" s="47">
        <v>84.0</v>
      </c>
      <c r="E782" s="47" t="s">
        <v>11</v>
      </c>
      <c r="F782" s="47" t="s">
        <v>11</v>
      </c>
    </row>
    <row r="783" ht="15.75" customHeight="1">
      <c r="A783" s="46" t="s">
        <v>1812</v>
      </c>
      <c r="B783" s="47" t="s">
        <v>1813</v>
      </c>
      <c r="C783" s="47">
        <v>1127.0</v>
      </c>
      <c r="D783" s="47">
        <v>997.0</v>
      </c>
      <c r="E783" s="47">
        <v>26790.0</v>
      </c>
      <c r="F783" s="47" t="s">
        <v>11</v>
      </c>
    </row>
    <row r="784" ht="15.75" customHeight="1">
      <c r="A784" s="46" t="s">
        <v>1814</v>
      </c>
      <c r="B784" s="47" t="s">
        <v>1815</v>
      </c>
      <c r="C784" s="47">
        <v>117.0</v>
      </c>
      <c r="D784" s="47">
        <v>101.0</v>
      </c>
      <c r="E784" s="47" t="s">
        <v>11</v>
      </c>
      <c r="F784" s="47" t="s">
        <v>11</v>
      </c>
    </row>
    <row r="785" ht="15.75" customHeight="1">
      <c r="A785" s="46" t="s">
        <v>1816</v>
      </c>
      <c r="B785" s="47" t="s">
        <v>1817</v>
      </c>
      <c r="C785" s="47">
        <v>1695.0</v>
      </c>
      <c r="D785" s="47">
        <v>1651.0</v>
      </c>
      <c r="E785" s="47">
        <v>26210.0</v>
      </c>
      <c r="F785" s="47" t="s">
        <v>11</v>
      </c>
    </row>
    <row r="786" ht="15.75" customHeight="1">
      <c r="A786" s="46" t="s">
        <v>1818</v>
      </c>
      <c r="B786" s="47" t="s">
        <v>1819</v>
      </c>
      <c r="C786" s="47">
        <v>698.0</v>
      </c>
      <c r="D786" s="47">
        <v>654.0</v>
      </c>
      <c r="E786" s="47">
        <v>25200.0</v>
      </c>
      <c r="F786" s="47" t="s">
        <v>11</v>
      </c>
    </row>
    <row r="787" ht="15.75" customHeight="1">
      <c r="A787" s="46" t="s">
        <v>1820</v>
      </c>
      <c r="B787" s="47" t="s">
        <v>1821</v>
      </c>
      <c r="C787" s="47">
        <v>394.0</v>
      </c>
      <c r="D787" s="47">
        <v>403.0</v>
      </c>
      <c r="E787" s="47">
        <v>28240.0</v>
      </c>
      <c r="F787" s="47" t="s">
        <v>11</v>
      </c>
    </row>
    <row r="788" ht="15.75" customHeight="1">
      <c r="A788" s="46" t="s">
        <v>1822</v>
      </c>
      <c r="B788" s="47" t="s">
        <v>1823</v>
      </c>
      <c r="C788" s="47">
        <v>73.0</v>
      </c>
      <c r="D788" s="47">
        <v>70.0</v>
      </c>
      <c r="E788" s="47" t="s">
        <v>11</v>
      </c>
      <c r="F788" s="47" t="s">
        <v>11</v>
      </c>
    </row>
    <row r="789" ht="15.75" customHeight="1">
      <c r="A789" s="46" t="s">
        <v>1824</v>
      </c>
      <c r="B789" s="47" t="s">
        <v>1825</v>
      </c>
      <c r="C789" s="47">
        <v>370.0</v>
      </c>
      <c r="D789" s="47">
        <v>383.0</v>
      </c>
      <c r="E789" s="47">
        <v>28650.0</v>
      </c>
      <c r="F789" s="47" t="s">
        <v>11</v>
      </c>
    </row>
    <row r="790" ht="15.75" customHeight="1">
      <c r="A790" s="46" t="s">
        <v>1826</v>
      </c>
      <c r="B790" s="47" t="s">
        <v>1827</v>
      </c>
      <c r="C790" s="47">
        <v>372.0</v>
      </c>
      <c r="D790" s="47">
        <v>348.0</v>
      </c>
      <c r="E790" s="47">
        <v>23850.0</v>
      </c>
      <c r="F790" s="47" t="s">
        <v>11</v>
      </c>
    </row>
    <row r="791" ht="15.75" customHeight="1">
      <c r="A791" s="46" t="s">
        <v>1828</v>
      </c>
      <c r="B791" s="47" t="s">
        <v>1829</v>
      </c>
      <c r="C791" s="47">
        <v>324.0</v>
      </c>
      <c r="D791" s="47">
        <v>312.0</v>
      </c>
      <c r="E791" s="47">
        <v>24010.0</v>
      </c>
      <c r="F791" s="47" t="s">
        <v>11</v>
      </c>
    </row>
    <row r="792" ht="15.75" customHeight="1">
      <c r="A792" s="46" t="s">
        <v>1830</v>
      </c>
      <c r="B792" s="47" t="s">
        <v>1831</v>
      </c>
      <c r="C792" s="47">
        <v>93.0</v>
      </c>
      <c r="D792" s="47">
        <v>89.0</v>
      </c>
      <c r="E792" s="47" t="s">
        <v>11</v>
      </c>
      <c r="F792" s="47" t="s">
        <v>11</v>
      </c>
    </row>
    <row r="793" ht="15.75" customHeight="1">
      <c r="A793" s="46" t="s">
        <v>1832</v>
      </c>
      <c r="B793" s="47" t="s">
        <v>1833</v>
      </c>
      <c r="C793" s="47">
        <v>43.0</v>
      </c>
      <c r="D793" s="47">
        <v>43.0</v>
      </c>
      <c r="E793" s="47" t="s">
        <v>11</v>
      </c>
      <c r="F793" s="47" t="s">
        <v>11</v>
      </c>
    </row>
    <row r="794" ht="15.75" customHeight="1">
      <c r="A794" s="46" t="s">
        <v>1834</v>
      </c>
      <c r="B794" s="47" t="s">
        <v>1835</v>
      </c>
      <c r="C794" s="47">
        <v>959.0</v>
      </c>
      <c r="D794" s="47">
        <v>927.0</v>
      </c>
      <c r="E794" s="47">
        <v>21480.0</v>
      </c>
      <c r="F794" s="47" t="s">
        <v>11</v>
      </c>
    </row>
    <row r="795" ht="15.75" customHeight="1">
      <c r="A795" s="46" t="s">
        <v>1836</v>
      </c>
      <c r="B795" s="47" t="s">
        <v>1837</v>
      </c>
      <c r="C795" s="47">
        <v>379.0</v>
      </c>
      <c r="D795" s="47">
        <v>350.0</v>
      </c>
      <c r="E795" s="47">
        <v>22810.0</v>
      </c>
      <c r="F795" s="47" t="s">
        <v>11</v>
      </c>
    </row>
    <row r="796" ht="15.75" customHeight="1">
      <c r="A796" s="46" t="s">
        <v>1838</v>
      </c>
      <c r="B796" s="47" t="s">
        <v>1839</v>
      </c>
      <c r="C796" s="47">
        <v>200.0</v>
      </c>
      <c r="D796" s="47">
        <v>179.0</v>
      </c>
      <c r="E796" s="47">
        <v>23290.0</v>
      </c>
      <c r="F796" s="47" t="s">
        <v>11</v>
      </c>
    </row>
    <row r="797" ht="15.75" customHeight="1">
      <c r="A797" s="46" t="s">
        <v>1840</v>
      </c>
      <c r="B797" s="47" t="s">
        <v>1841</v>
      </c>
      <c r="C797" s="47">
        <v>487.0</v>
      </c>
      <c r="D797" s="47">
        <v>460.0</v>
      </c>
      <c r="E797" s="47">
        <v>23730.0</v>
      </c>
      <c r="F797" s="47" t="s">
        <v>11</v>
      </c>
    </row>
    <row r="798" ht="15.75" customHeight="1">
      <c r="A798" s="46" t="s">
        <v>1842</v>
      </c>
      <c r="B798" s="47" t="s">
        <v>1843</v>
      </c>
      <c r="C798" s="47">
        <v>167.0</v>
      </c>
      <c r="D798" s="47">
        <v>145.0</v>
      </c>
      <c r="E798" s="47">
        <v>27030.0</v>
      </c>
      <c r="F798" s="47" t="s">
        <v>11</v>
      </c>
    </row>
    <row r="799" ht="15.75" customHeight="1">
      <c r="A799" s="46" t="s">
        <v>1844</v>
      </c>
      <c r="B799" s="47" t="s">
        <v>1845</v>
      </c>
      <c r="C799" s="47">
        <v>463.0</v>
      </c>
      <c r="D799" s="47">
        <v>441.0</v>
      </c>
      <c r="E799" s="47">
        <v>29250.0</v>
      </c>
      <c r="F799" s="47" t="s">
        <v>11</v>
      </c>
    </row>
    <row r="800" ht="15.75" customHeight="1">
      <c r="A800" s="46" t="s">
        <v>1846</v>
      </c>
      <c r="B800" s="47" t="s">
        <v>1847</v>
      </c>
      <c r="C800" s="47">
        <v>4447.0</v>
      </c>
      <c r="D800" s="47">
        <v>4108.0</v>
      </c>
      <c r="E800" s="47">
        <v>21730.0</v>
      </c>
      <c r="F800" s="47">
        <v>21.0</v>
      </c>
    </row>
    <row r="801" ht="15.75" customHeight="1">
      <c r="A801" s="46" t="s">
        <v>1848</v>
      </c>
      <c r="B801" s="47" t="s">
        <v>1849</v>
      </c>
      <c r="C801" s="47">
        <v>370.0</v>
      </c>
      <c r="D801" s="47">
        <v>350.0</v>
      </c>
      <c r="E801" s="47">
        <v>25830.0</v>
      </c>
      <c r="F801" s="47" t="s">
        <v>11</v>
      </c>
    </row>
    <row r="802" ht="15.75" customHeight="1">
      <c r="A802" s="46" t="s">
        <v>1850</v>
      </c>
      <c r="B802" s="47" t="s">
        <v>1851</v>
      </c>
      <c r="C802" s="47">
        <v>1220.0</v>
      </c>
      <c r="D802" s="47">
        <v>1338.0</v>
      </c>
      <c r="E802" s="47">
        <v>32510.0</v>
      </c>
      <c r="F802" s="47" t="s">
        <v>11</v>
      </c>
    </row>
    <row r="803" ht="15.75" customHeight="1">
      <c r="A803" s="46" t="s">
        <v>1852</v>
      </c>
      <c r="B803" s="47" t="s">
        <v>1853</v>
      </c>
      <c r="C803" s="47">
        <v>3460.0</v>
      </c>
      <c r="D803" s="47">
        <v>3545.0</v>
      </c>
      <c r="E803" s="47">
        <v>29230.0</v>
      </c>
      <c r="F803" s="47">
        <v>6.0</v>
      </c>
    </row>
    <row r="804" ht="15.75" customHeight="1">
      <c r="A804" s="46" t="s">
        <v>1854</v>
      </c>
      <c r="B804" s="47" t="s">
        <v>1855</v>
      </c>
      <c r="C804" s="47">
        <v>596.0</v>
      </c>
      <c r="D804" s="47">
        <v>619.0</v>
      </c>
      <c r="E804" s="47">
        <v>29170.0</v>
      </c>
      <c r="F804" s="47" t="s">
        <v>11</v>
      </c>
    </row>
    <row r="805" ht="15.75" customHeight="1">
      <c r="A805" s="46" t="s">
        <v>1856</v>
      </c>
      <c r="B805" s="47" t="s">
        <v>1857</v>
      </c>
      <c r="C805" s="47">
        <v>898.0</v>
      </c>
      <c r="D805" s="47">
        <v>888.0</v>
      </c>
      <c r="E805" s="47">
        <v>24170.0</v>
      </c>
      <c r="F805" s="47" t="s">
        <v>11</v>
      </c>
    </row>
    <row r="806" ht="15.75" customHeight="1">
      <c r="A806" s="46" t="s">
        <v>1858</v>
      </c>
      <c r="B806" s="47" t="s">
        <v>1859</v>
      </c>
      <c r="C806" s="47">
        <v>10244.0</v>
      </c>
      <c r="D806" s="47">
        <v>9963.0</v>
      </c>
      <c r="E806" s="47">
        <v>20060.0</v>
      </c>
      <c r="F806" s="47">
        <v>28.0</v>
      </c>
    </row>
    <row r="807" ht="15.75" customHeight="1">
      <c r="A807" s="46" t="s">
        <v>1860</v>
      </c>
      <c r="B807" s="47" t="s">
        <v>1861</v>
      </c>
      <c r="C807" s="47">
        <v>63408.0</v>
      </c>
      <c r="D807" s="47">
        <v>62868.0</v>
      </c>
      <c r="E807" s="47">
        <v>23900.0</v>
      </c>
      <c r="F807" s="47">
        <v>24.0</v>
      </c>
    </row>
    <row r="808" ht="15.75" customHeight="1">
      <c r="A808" s="46" t="s">
        <v>1862</v>
      </c>
      <c r="B808" s="47" t="s">
        <v>1863</v>
      </c>
      <c r="C808" s="47">
        <v>272.0</v>
      </c>
      <c r="D808" s="47">
        <v>258.0</v>
      </c>
      <c r="E808" s="47">
        <v>26690.0</v>
      </c>
      <c r="F808" s="47" t="s">
        <v>11</v>
      </c>
    </row>
    <row r="809" ht="15.75" customHeight="1">
      <c r="A809" s="46" t="s">
        <v>1864</v>
      </c>
      <c r="B809" s="47" t="s">
        <v>1865</v>
      </c>
      <c r="C809" s="47">
        <v>10428.0</v>
      </c>
      <c r="D809" s="47">
        <v>10847.0</v>
      </c>
      <c r="E809" s="47">
        <v>26210.0</v>
      </c>
      <c r="F809" s="47">
        <v>12.0</v>
      </c>
    </row>
    <row r="810" ht="15.75" customHeight="1">
      <c r="A810" s="46" t="s">
        <v>1866</v>
      </c>
      <c r="B810" s="47" t="s">
        <v>1867</v>
      </c>
      <c r="C810" s="47">
        <v>3220.0</v>
      </c>
      <c r="D810" s="47">
        <v>3099.0</v>
      </c>
      <c r="E810" s="47">
        <v>20800.0</v>
      </c>
      <c r="F810" s="47">
        <v>28.0</v>
      </c>
    </row>
    <row r="811" ht="15.75" customHeight="1">
      <c r="A811" s="46" t="s">
        <v>1868</v>
      </c>
      <c r="B811" s="47" t="s">
        <v>1869</v>
      </c>
      <c r="C811" s="47">
        <v>1469.0</v>
      </c>
      <c r="D811" s="47">
        <v>1631.0</v>
      </c>
      <c r="E811" s="47">
        <v>31400.0</v>
      </c>
      <c r="F811" s="47" t="s">
        <v>11</v>
      </c>
    </row>
    <row r="812" ht="15.75" customHeight="1">
      <c r="A812" s="46" t="s">
        <v>1870</v>
      </c>
      <c r="B812" s="47" t="s">
        <v>1871</v>
      </c>
      <c r="C812" s="47">
        <v>13305.0</v>
      </c>
      <c r="D812" s="47">
        <v>13183.0</v>
      </c>
      <c r="E812" s="47">
        <v>18450.0</v>
      </c>
      <c r="F812" s="47">
        <v>34.0</v>
      </c>
    </row>
    <row r="813" ht="15.75" customHeight="1">
      <c r="A813" s="46" t="s">
        <v>1872</v>
      </c>
      <c r="B813" s="47" t="s">
        <v>1873</v>
      </c>
      <c r="C813" s="47">
        <v>3219.0</v>
      </c>
      <c r="D813" s="47">
        <v>3125.0</v>
      </c>
      <c r="E813" s="47">
        <v>24890.0</v>
      </c>
      <c r="F813" s="47">
        <v>13.0</v>
      </c>
    </row>
    <row r="814" ht="15.75" customHeight="1">
      <c r="A814" s="46" t="s">
        <v>1874</v>
      </c>
      <c r="B814" s="47" t="s">
        <v>1875</v>
      </c>
      <c r="C814" s="47">
        <v>2281.0</v>
      </c>
      <c r="D814" s="47">
        <v>2077.0</v>
      </c>
      <c r="E814" s="47">
        <v>28160.0</v>
      </c>
      <c r="F814" s="47">
        <v>5.0</v>
      </c>
    </row>
    <row r="815" ht="15.75" customHeight="1">
      <c r="A815" s="46" t="s">
        <v>1876</v>
      </c>
      <c r="B815" s="47" t="s">
        <v>1877</v>
      </c>
      <c r="C815" s="47">
        <v>24882.0</v>
      </c>
      <c r="D815" s="47">
        <v>26998.0</v>
      </c>
      <c r="E815" s="47">
        <v>21040.0</v>
      </c>
      <c r="F815" s="47">
        <v>27.3</v>
      </c>
    </row>
    <row r="816" ht="15.75" customHeight="1">
      <c r="A816" s="46" t="s">
        <v>1878</v>
      </c>
      <c r="B816" s="47" t="s">
        <v>1879</v>
      </c>
      <c r="C816" s="47">
        <v>1617.0</v>
      </c>
      <c r="D816" s="47">
        <v>1594.0</v>
      </c>
      <c r="E816" s="47">
        <v>24780.0</v>
      </c>
      <c r="F816" s="47" t="s">
        <v>11</v>
      </c>
    </row>
    <row r="817" ht="15.75" customHeight="1">
      <c r="A817" s="46" t="s">
        <v>1880</v>
      </c>
      <c r="B817" s="47" t="s">
        <v>1881</v>
      </c>
      <c r="C817" s="47">
        <v>1057.0</v>
      </c>
      <c r="D817" s="47">
        <v>1082.0</v>
      </c>
      <c r="E817" s="47">
        <v>27680.0</v>
      </c>
      <c r="F817" s="47" t="s">
        <v>11</v>
      </c>
    </row>
    <row r="818" ht="15.75" customHeight="1">
      <c r="A818" s="46" t="s">
        <v>1882</v>
      </c>
      <c r="B818" s="47" t="s">
        <v>1883</v>
      </c>
      <c r="C818" s="47">
        <v>1825.0</v>
      </c>
      <c r="D818" s="47">
        <v>1769.0</v>
      </c>
      <c r="E818" s="47">
        <v>23400.0</v>
      </c>
      <c r="F818" s="47" t="s">
        <v>11</v>
      </c>
    </row>
    <row r="819" ht="15.75" customHeight="1">
      <c r="A819" s="46" t="s">
        <v>1884</v>
      </c>
      <c r="B819" s="47" t="s">
        <v>1885</v>
      </c>
      <c r="C819" s="47">
        <v>2275.0</v>
      </c>
      <c r="D819" s="47">
        <v>2245.0</v>
      </c>
      <c r="E819" s="47">
        <v>30470.0</v>
      </c>
      <c r="F819" s="47">
        <v>8.0</v>
      </c>
    </row>
    <row r="820" ht="15.75" customHeight="1">
      <c r="A820" s="46" t="s">
        <v>1886</v>
      </c>
      <c r="B820" s="47" t="s">
        <v>1887</v>
      </c>
      <c r="C820" s="47">
        <v>535.0</v>
      </c>
      <c r="D820" s="47">
        <v>549.0</v>
      </c>
      <c r="E820" s="47">
        <v>27020.0</v>
      </c>
      <c r="F820" s="47" t="s">
        <v>11</v>
      </c>
    </row>
    <row r="821" ht="15.75" customHeight="1">
      <c r="A821" s="46" t="s">
        <v>1888</v>
      </c>
      <c r="B821" s="47" t="s">
        <v>1889</v>
      </c>
      <c r="C821" s="47">
        <v>4448.0</v>
      </c>
      <c r="D821" s="47">
        <v>4626.0</v>
      </c>
      <c r="E821" s="47">
        <v>22230.0</v>
      </c>
      <c r="F821" s="47">
        <v>20.0</v>
      </c>
    </row>
    <row r="822" ht="15.75" customHeight="1">
      <c r="A822" s="46" t="s">
        <v>1890</v>
      </c>
      <c r="B822" s="47" t="s">
        <v>1891</v>
      </c>
      <c r="C822" s="47">
        <v>1651.0</v>
      </c>
      <c r="D822" s="47">
        <v>1749.0</v>
      </c>
      <c r="E822" s="47">
        <v>31990.0</v>
      </c>
      <c r="F822" s="47" t="s">
        <v>11</v>
      </c>
    </row>
    <row r="823" ht="15.75" customHeight="1">
      <c r="A823" s="46" t="s">
        <v>1892</v>
      </c>
      <c r="B823" s="47" t="s">
        <v>1893</v>
      </c>
      <c r="C823" s="47">
        <v>1178.0</v>
      </c>
      <c r="D823" s="47">
        <v>1143.0</v>
      </c>
      <c r="E823" s="47">
        <v>25420.0</v>
      </c>
      <c r="F823" s="47" t="s">
        <v>11</v>
      </c>
    </row>
    <row r="824" ht="15.75" customHeight="1">
      <c r="A824" s="46" t="s">
        <v>1894</v>
      </c>
      <c r="B824" s="47" t="s">
        <v>1895</v>
      </c>
      <c r="C824" s="47">
        <v>1679.0</v>
      </c>
      <c r="D824" s="47">
        <v>1705.0</v>
      </c>
      <c r="E824" s="47">
        <v>28230.0</v>
      </c>
      <c r="F824" s="47" t="s">
        <v>11</v>
      </c>
    </row>
    <row r="825" ht="15.75" customHeight="1">
      <c r="A825" s="46" t="s">
        <v>1896</v>
      </c>
      <c r="B825" s="47" t="s">
        <v>1897</v>
      </c>
      <c r="C825" s="47">
        <v>7274.0</v>
      </c>
      <c r="D825" s="47">
        <v>7083.0</v>
      </c>
      <c r="E825" s="47">
        <v>20870.0</v>
      </c>
      <c r="F825" s="47">
        <v>26.0</v>
      </c>
    </row>
    <row r="826" ht="15.75" customHeight="1">
      <c r="A826" s="46" t="s">
        <v>1898</v>
      </c>
      <c r="B826" s="47" t="s">
        <v>1899</v>
      </c>
      <c r="C826" s="47">
        <v>1521.0</v>
      </c>
      <c r="D826" s="47">
        <v>1599.0</v>
      </c>
      <c r="E826" s="47">
        <v>31230.0</v>
      </c>
      <c r="F826" s="47" t="s">
        <v>11</v>
      </c>
    </row>
    <row r="827" ht="15.75" customHeight="1">
      <c r="A827" s="46" t="s">
        <v>1900</v>
      </c>
      <c r="B827" s="47" t="s">
        <v>1901</v>
      </c>
      <c r="C827" s="47">
        <v>366.0</v>
      </c>
      <c r="D827" s="47">
        <v>359.0</v>
      </c>
      <c r="E827" s="47">
        <v>30720.0</v>
      </c>
      <c r="F827" s="47" t="s">
        <v>11</v>
      </c>
    </row>
    <row r="828" ht="15.75" customHeight="1">
      <c r="A828" s="46" t="s">
        <v>1902</v>
      </c>
      <c r="B828" s="47" t="s">
        <v>1903</v>
      </c>
      <c r="C828" s="47">
        <v>7341.0</v>
      </c>
      <c r="D828" s="47">
        <v>7080.0</v>
      </c>
      <c r="E828" s="47">
        <v>21550.0</v>
      </c>
      <c r="F828" s="47">
        <v>25.0</v>
      </c>
    </row>
    <row r="829" ht="15.75" customHeight="1">
      <c r="A829" s="46" t="s">
        <v>1904</v>
      </c>
      <c r="B829" s="47" t="s">
        <v>1905</v>
      </c>
      <c r="C829" s="47">
        <v>8811.0</v>
      </c>
      <c r="D829" s="47">
        <v>8612.0</v>
      </c>
      <c r="E829" s="47">
        <v>20520.0</v>
      </c>
      <c r="F829" s="47">
        <v>26.0</v>
      </c>
    </row>
    <row r="830" ht="15.75" customHeight="1">
      <c r="A830" s="46" t="s">
        <v>1906</v>
      </c>
      <c r="B830" s="47" t="s">
        <v>1907</v>
      </c>
      <c r="C830" s="47">
        <v>2690.0</v>
      </c>
      <c r="D830" s="47">
        <v>2561.0</v>
      </c>
      <c r="E830" s="47">
        <v>33510.0</v>
      </c>
      <c r="F830" s="47">
        <v>3.0</v>
      </c>
    </row>
    <row r="831" ht="15.75" customHeight="1">
      <c r="A831" s="46" t="s">
        <v>1908</v>
      </c>
      <c r="B831" s="47" t="s">
        <v>1909</v>
      </c>
      <c r="C831" s="47">
        <v>2495.0</v>
      </c>
      <c r="D831" s="47">
        <v>2232.0</v>
      </c>
      <c r="E831" s="47">
        <v>22690.0</v>
      </c>
      <c r="F831" s="47">
        <v>19.0</v>
      </c>
    </row>
    <row r="832" ht="15.75" customHeight="1">
      <c r="A832" s="46" t="s">
        <v>1910</v>
      </c>
      <c r="B832" s="47" t="s">
        <v>1911</v>
      </c>
      <c r="C832" s="47">
        <v>4495.0</v>
      </c>
      <c r="D832" s="47">
        <v>4012.0</v>
      </c>
      <c r="E832" s="47">
        <v>17650.0</v>
      </c>
      <c r="F832" s="47">
        <v>40.0</v>
      </c>
    </row>
    <row r="833" ht="15.75" customHeight="1">
      <c r="A833" s="46" t="s">
        <v>1912</v>
      </c>
      <c r="B833" s="47" t="s">
        <v>1913</v>
      </c>
      <c r="C833" s="47">
        <v>3640.0</v>
      </c>
      <c r="D833" s="47">
        <v>3562.0</v>
      </c>
      <c r="E833" s="47">
        <v>21900.0</v>
      </c>
      <c r="F833" s="47">
        <v>20.0</v>
      </c>
    </row>
    <row r="834" ht="15.75" customHeight="1">
      <c r="A834" s="46" t="s">
        <v>1914</v>
      </c>
      <c r="B834" s="47" t="s">
        <v>1915</v>
      </c>
      <c r="C834" s="47">
        <v>1458.0</v>
      </c>
      <c r="D834" s="47">
        <v>1458.0</v>
      </c>
      <c r="E834" s="47">
        <v>25280.0</v>
      </c>
      <c r="F834" s="47" t="s">
        <v>11</v>
      </c>
    </row>
    <row r="835" ht="15.75" customHeight="1">
      <c r="A835" s="46" t="s">
        <v>1916</v>
      </c>
      <c r="B835" s="47" t="s">
        <v>1917</v>
      </c>
      <c r="C835" s="47">
        <v>817.0</v>
      </c>
      <c r="D835" s="47">
        <v>757.0</v>
      </c>
      <c r="E835" s="47">
        <v>29190.0</v>
      </c>
      <c r="F835" s="47" t="s">
        <v>11</v>
      </c>
    </row>
    <row r="836" ht="15.75" customHeight="1">
      <c r="A836" s="46" t="s">
        <v>1918</v>
      </c>
      <c r="B836" s="47" t="s">
        <v>1919</v>
      </c>
      <c r="C836" s="47">
        <v>2324.0</v>
      </c>
      <c r="D836" s="47">
        <v>2230.0</v>
      </c>
      <c r="E836" s="47">
        <v>21190.0</v>
      </c>
      <c r="F836" s="47">
        <v>24.0</v>
      </c>
    </row>
    <row r="837" ht="15.75" customHeight="1">
      <c r="A837" s="46" t="s">
        <v>1920</v>
      </c>
      <c r="B837" s="47" t="s">
        <v>1921</v>
      </c>
      <c r="C837" s="47">
        <v>1702.0</v>
      </c>
      <c r="D837" s="47">
        <v>1898.0</v>
      </c>
      <c r="E837" s="47">
        <v>30630.0</v>
      </c>
      <c r="F837" s="47" t="s">
        <v>11</v>
      </c>
    </row>
    <row r="838" ht="15.75" customHeight="1">
      <c r="A838" s="46" t="s">
        <v>1922</v>
      </c>
      <c r="B838" s="47" t="s">
        <v>1923</v>
      </c>
      <c r="C838" s="47">
        <v>14769.0</v>
      </c>
      <c r="D838" s="47">
        <v>14732.0</v>
      </c>
      <c r="E838" s="47">
        <v>26050.0</v>
      </c>
      <c r="F838" s="47">
        <v>12.0</v>
      </c>
    </row>
    <row r="839" ht="15.75" customHeight="1">
      <c r="A839" s="46" t="s">
        <v>1924</v>
      </c>
      <c r="B839" s="47" t="s">
        <v>1925</v>
      </c>
      <c r="C839" s="47">
        <v>4765.0</v>
      </c>
      <c r="D839" s="47">
        <v>5545.0</v>
      </c>
      <c r="E839" s="47">
        <v>29280.0</v>
      </c>
      <c r="F839" s="47">
        <v>7.0</v>
      </c>
    </row>
    <row r="840" ht="15.75" customHeight="1">
      <c r="A840" s="46" t="s">
        <v>1926</v>
      </c>
      <c r="B840" s="47" t="s">
        <v>1927</v>
      </c>
      <c r="C840" s="47">
        <v>167.0</v>
      </c>
      <c r="D840" s="47">
        <v>158.0</v>
      </c>
      <c r="E840" s="47">
        <v>24940.0</v>
      </c>
      <c r="F840" s="47" t="s">
        <v>11</v>
      </c>
    </row>
    <row r="841" ht="15.75" customHeight="1">
      <c r="A841" s="46" t="s">
        <v>1928</v>
      </c>
      <c r="B841" s="47" t="s">
        <v>1929</v>
      </c>
      <c r="C841" s="47">
        <v>770.0</v>
      </c>
      <c r="D841" s="47">
        <v>845.0</v>
      </c>
      <c r="E841" s="47">
        <v>24760.0</v>
      </c>
      <c r="F841" s="47" t="s">
        <v>11</v>
      </c>
    </row>
    <row r="842" ht="15.75" customHeight="1">
      <c r="A842" s="46" t="s">
        <v>1930</v>
      </c>
      <c r="B842" s="47" t="s">
        <v>1931</v>
      </c>
      <c r="C842" s="47">
        <v>344.0</v>
      </c>
      <c r="D842" s="47">
        <v>339.0</v>
      </c>
      <c r="E842" s="47">
        <v>24790.0</v>
      </c>
      <c r="F842" s="47" t="s">
        <v>11</v>
      </c>
    </row>
    <row r="843" ht="15.75" customHeight="1">
      <c r="A843" s="46" t="s">
        <v>1932</v>
      </c>
      <c r="B843" s="47" t="s">
        <v>1933</v>
      </c>
      <c r="C843" s="47">
        <v>510.0</v>
      </c>
      <c r="D843" s="47">
        <v>494.0</v>
      </c>
      <c r="E843" s="47">
        <v>27920.0</v>
      </c>
      <c r="F843" s="47" t="s">
        <v>11</v>
      </c>
    </row>
    <row r="844" ht="15.75" customHeight="1">
      <c r="A844" s="46" t="s">
        <v>1934</v>
      </c>
      <c r="B844" s="47" t="s">
        <v>1935</v>
      </c>
      <c r="C844" s="47">
        <v>426.0</v>
      </c>
      <c r="D844" s="47">
        <v>441.0</v>
      </c>
      <c r="E844" s="47">
        <v>23840.0</v>
      </c>
      <c r="F844" s="47" t="s">
        <v>11</v>
      </c>
    </row>
    <row r="845" ht="15.75" customHeight="1">
      <c r="A845" s="46" t="s">
        <v>1936</v>
      </c>
      <c r="B845" s="47" t="s">
        <v>1937</v>
      </c>
      <c r="C845" s="47">
        <v>349.0</v>
      </c>
      <c r="D845" s="47">
        <v>348.0</v>
      </c>
      <c r="E845" s="47">
        <v>26670.0</v>
      </c>
      <c r="F845" s="47" t="s">
        <v>11</v>
      </c>
    </row>
    <row r="846" ht="15.75" customHeight="1">
      <c r="A846" s="46" t="s">
        <v>1938</v>
      </c>
      <c r="B846" s="47" t="s">
        <v>1939</v>
      </c>
      <c r="C846" s="47">
        <v>6402.0</v>
      </c>
      <c r="D846" s="47">
        <v>6650.0</v>
      </c>
      <c r="E846" s="47">
        <v>23350.0</v>
      </c>
      <c r="F846" s="47">
        <v>18.0</v>
      </c>
    </row>
    <row r="847" ht="15.75" customHeight="1">
      <c r="A847" s="46" t="s">
        <v>1940</v>
      </c>
      <c r="B847" s="47" t="s">
        <v>1941</v>
      </c>
      <c r="C847" s="47">
        <v>5180.0</v>
      </c>
      <c r="D847" s="47">
        <v>5249.0</v>
      </c>
      <c r="E847" s="47">
        <v>24930.0</v>
      </c>
      <c r="F847" s="47">
        <v>12.0</v>
      </c>
    </row>
    <row r="848" ht="15.75" customHeight="1">
      <c r="A848" s="46" t="s">
        <v>1942</v>
      </c>
      <c r="B848" s="47" t="s">
        <v>1943</v>
      </c>
      <c r="C848" s="47">
        <v>3326.0</v>
      </c>
      <c r="D848" s="47">
        <v>3249.0</v>
      </c>
      <c r="E848" s="47">
        <v>23060.0</v>
      </c>
      <c r="F848" s="47">
        <v>20.0</v>
      </c>
    </row>
    <row r="849" ht="15.75" customHeight="1">
      <c r="A849" s="46" t="s">
        <v>1944</v>
      </c>
      <c r="B849" s="47" t="s">
        <v>1945</v>
      </c>
      <c r="C849" s="47">
        <v>972.0</v>
      </c>
      <c r="D849" s="47">
        <v>1045.0</v>
      </c>
      <c r="E849" s="47">
        <v>24390.0</v>
      </c>
      <c r="F849" s="47" t="s">
        <v>11</v>
      </c>
    </row>
    <row r="850" ht="15.75" customHeight="1">
      <c r="A850" s="46" t="s">
        <v>1946</v>
      </c>
      <c r="B850" s="47" t="s">
        <v>1947</v>
      </c>
      <c r="C850" s="47">
        <v>525.0</v>
      </c>
      <c r="D850" s="47">
        <v>551.0</v>
      </c>
      <c r="E850" s="47">
        <v>22610.0</v>
      </c>
      <c r="F850" s="47" t="s">
        <v>11</v>
      </c>
    </row>
    <row r="851" ht="15.75" customHeight="1">
      <c r="A851" s="46" t="s">
        <v>1948</v>
      </c>
      <c r="B851" s="47" t="s">
        <v>1949</v>
      </c>
      <c r="C851" s="47">
        <v>856.0</v>
      </c>
      <c r="D851" s="47">
        <v>845.0</v>
      </c>
      <c r="E851" s="47">
        <v>34950.0</v>
      </c>
      <c r="F851" s="47" t="s">
        <v>11</v>
      </c>
    </row>
    <row r="852" ht="15.75" customHeight="1">
      <c r="A852" s="46" t="s">
        <v>1950</v>
      </c>
      <c r="B852" s="47" t="s">
        <v>1951</v>
      </c>
      <c r="C852" s="47">
        <v>564.0</v>
      </c>
      <c r="D852" s="47">
        <v>574.0</v>
      </c>
      <c r="E852" s="47">
        <v>27150.0</v>
      </c>
      <c r="F852" s="47" t="s">
        <v>11</v>
      </c>
    </row>
    <row r="853" ht="15.75" customHeight="1">
      <c r="A853" s="46" t="s">
        <v>1952</v>
      </c>
      <c r="B853" s="47" t="s">
        <v>1953</v>
      </c>
      <c r="C853" s="47">
        <v>1000.0</v>
      </c>
      <c r="D853" s="47">
        <v>995.0</v>
      </c>
      <c r="E853" s="47">
        <v>26230.0</v>
      </c>
      <c r="F853" s="47" t="s">
        <v>11</v>
      </c>
    </row>
    <row r="854" ht="15.75" customHeight="1">
      <c r="A854" s="46" t="s">
        <v>1954</v>
      </c>
      <c r="B854" s="47" t="s">
        <v>1955</v>
      </c>
      <c r="C854" s="47">
        <v>446.0</v>
      </c>
      <c r="D854" s="47">
        <v>458.0</v>
      </c>
      <c r="E854" s="47">
        <v>22210.0</v>
      </c>
      <c r="F854" s="47" t="s">
        <v>11</v>
      </c>
    </row>
    <row r="855" ht="15.75" customHeight="1">
      <c r="A855" s="46" t="s">
        <v>1956</v>
      </c>
      <c r="B855" s="47" t="s">
        <v>1957</v>
      </c>
      <c r="C855" s="47">
        <v>231.0</v>
      </c>
      <c r="D855" s="47">
        <v>234.0</v>
      </c>
      <c r="E855" s="47">
        <v>24400.0</v>
      </c>
      <c r="F855" s="47" t="s">
        <v>11</v>
      </c>
    </row>
    <row r="856" ht="15.75" customHeight="1">
      <c r="A856" s="46" t="s">
        <v>1958</v>
      </c>
      <c r="B856" s="47" t="s">
        <v>1959</v>
      </c>
      <c r="C856" s="47">
        <v>260.0</v>
      </c>
      <c r="D856" s="47">
        <v>272.0</v>
      </c>
      <c r="E856" s="47">
        <v>22830.0</v>
      </c>
      <c r="F856" s="47" t="s">
        <v>11</v>
      </c>
    </row>
    <row r="857" ht="15.75" customHeight="1">
      <c r="A857" s="46" t="s">
        <v>1960</v>
      </c>
      <c r="B857" s="47" t="s">
        <v>295</v>
      </c>
      <c r="C857" s="47">
        <v>165.0</v>
      </c>
      <c r="D857" s="47">
        <v>169.0</v>
      </c>
      <c r="E857" s="47">
        <v>26100.0</v>
      </c>
      <c r="F857" s="47" t="s">
        <v>11</v>
      </c>
    </row>
    <row r="858" ht="15.75" customHeight="1">
      <c r="A858" s="46" t="s">
        <v>1961</v>
      </c>
      <c r="B858" s="47" t="s">
        <v>1962</v>
      </c>
      <c r="C858" s="47">
        <v>2072.0</v>
      </c>
      <c r="D858" s="47">
        <v>1933.0</v>
      </c>
      <c r="E858" s="47">
        <v>21900.0</v>
      </c>
      <c r="F858" s="47" t="s">
        <v>11</v>
      </c>
    </row>
    <row r="859" ht="15.75" customHeight="1">
      <c r="A859" s="46" t="s">
        <v>1963</v>
      </c>
      <c r="B859" s="47" t="s">
        <v>1964</v>
      </c>
      <c r="C859" s="47">
        <v>1239.0</v>
      </c>
      <c r="D859" s="47">
        <v>1301.0</v>
      </c>
      <c r="E859" s="47">
        <v>24310.0</v>
      </c>
      <c r="F859" s="47" t="s">
        <v>11</v>
      </c>
    </row>
    <row r="860" ht="15.75" customHeight="1">
      <c r="A860" s="46" t="s">
        <v>1965</v>
      </c>
      <c r="B860" s="47" t="s">
        <v>1966</v>
      </c>
      <c r="C860" s="47">
        <v>827.0</v>
      </c>
      <c r="D860" s="47">
        <v>810.0</v>
      </c>
      <c r="E860" s="47">
        <v>26250.0</v>
      </c>
      <c r="F860" s="47" t="s">
        <v>11</v>
      </c>
    </row>
    <row r="861" ht="15.75" customHeight="1">
      <c r="A861" s="46" t="s">
        <v>1967</v>
      </c>
      <c r="B861" s="47" t="s">
        <v>1968</v>
      </c>
      <c r="C861" s="47">
        <v>146.0</v>
      </c>
      <c r="D861" s="47">
        <v>163.0</v>
      </c>
      <c r="E861" s="47">
        <v>27540.0</v>
      </c>
      <c r="F861" s="47" t="s">
        <v>11</v>
      </c>
    </row>
    <row r="862" ht="15.75" customHeight="1">
      <c r="A862" s="46" t="s">
        <v>1969</v>
      </c>
      <c r="B862" s="47" t="s">
        <v>1970</v>
      </c>
      <c r="C862" s="47">
        <v>3653.0</v>
      </c>
      <c r="D862" s="47">
        <v>3525.0</v>
      </c>
      <c r="E862" s="47">
        <v>24240.0</v>
      </c>
      <c r="F862" s="47">
        <v>16.0</v>
      </c>
    </row>
    <row r="863" ht="15.75" customHeight="1">
      <c r="A863" s="46" t="s">
        <v>1971</v>
      </c>
      <c r="B863" s="47" t="s">
        <v>1972</v>
      </c>
      <c r="C863" s="47">
        <v>3130.0</v>
      </c>
      <c r="D863" s="47">
        <v>3159.0</v>
      </c>
      <c r="E863" s="47">
        <v>22650.0</v>
      </c>
      <c r="F863" s="47">
        <v>18.0</v>
      </c>
    </row>
    <row r="864" ht="15.75" customHeight="1">
      <c r="A864" s="46" t="s">
        <v>1973</v>
      </c>
      <c r="B864" s="47" t="s">
        <v>1974</v>
      </c>
      <c r="C864" s="47">
        <v>723.0</v>
      </c>
      <c r="D864" s="47">
        <v>778.0</v>
      </c>
      <c r="E864" s="47">
        <v>26300.0</v>
      </c>
      <c r="F864" s="47" t="s">
        <v>11</v>
      </c>
    </row>
    <row r="865" ht="15.75" customHeight="1">
      <c r="A865" s="46" t="s">
        <v>1975</v>
      </c>
      <c r="B865" s="47" t="s">
        <v>1976</v>
      </c>
      <c r="C865" s="47">
        <v>2230.0</v>
      </c>
      <c r="D865" s="47">
        <v>2318.0</v>
      </c>
      <c r="E865" s="47">
        <v>31270.0</v>
      </c>
      <c r="F865" s="47">
        <v>6.0</v>
      </c>
    </row>
    <row r="866" ht="15.75" customHeight="1">
      <c r="A866" s="46" t="s">
        <v>1977</v>
      </c>
      <c r="B866" s="47" t="s">
        <v>1978</v>
      </c>
      <c r="C866" s="47">
        <v>252.0</v>
      </c>
      <c r="D866" s="47">
        <v>237.0</v>
      </c>
      <c r="E866" s="47">
        <v>27820.0</v>
      </c>
      <c r="F866" s="47" t="s">
        <v>11</v>
      </c>
    </row>
    <row r="867" ht="15.75" customHeight="1">
      <c r="A867" s="46" t="s">
        <v>1979</v>
      </c>
      <c r="B867" s="47" t="s">
        <v>1980</v>
      </c>
      <c r="C867" s="47">
        <v>551.0</v>
      </c>
      <c r="D867" s="47">
        <v>627.0</v>
      </c>
      <c r="E867" s="47">
        <v>27720.0</v>
      </c>
      <c r="F867" s="47" t="s">
        <v>11</v>
      </c>
    </row>
    <row r="868" ht="15.75" customHeight="1">
      <c r="A868" s="46" t="s">
        <v>1981</v>
      </c>
      <c r="B868" s="47" t="s">
        <v>1982</v>
      </c>
      <c r="C868" s="47">
        <v>2177.0</v>
      </c>
      <c r="D868" s="47">
        <v>2140.0</v>
      </c>
      <c r="E868" s="47">
        <v>22710.0</v>
      </c>
      <c r="F868" s="47">
        <v>19.0</v>
      </c>
    </row>
    <row r="869" ht="15.75" customHeight="1">
      <c r="A869" s="46" t="s">
        <v>1983</v>
      </c>
      <c r="B869" s="47" t="s">
        <v>1984</v>
      </c>
      <c r="C869" s="47">
        <v>749.0</v>
      </c>
      <c r="D869" s="47">
        <v>689.0</v>
      </c>
      <c r="E869" s="47">
        <v>24400.0</v>
      </c>
      <c r="F869" s="47" t="s">
        <v>11</v>
      </c>
    </row>
    <row r="870" ht="15.75" customHeight="1">
      <c r="A870" s="46" t="s">
        <v>1985</v>
      </c>
      <c r="B870" s="47" t="s">
        <v>1986</v>
      </c>
      <c r="C870" s="47">
        <v>310.0</v>
      </c>
      <c r="D870" s="47">
        <v>343.0</v>
      </c>
      <c r="E870" s="47">
        <v>21770.0</v>
      </c>
      <c r="F870" s="47" t="s">
        <v>11</v>
      </c>
    </row>
    <row r="871" ht="15.75" customHeight="1">
      <c r="A871" s="46" t="s">
        <v>1987</v>
      </c>
      <c r="B871" s="47" t="s">
        <v>1988</v>
      </c>
      <c r="C871" s="47">
        <v>252.0</v>
      </c>
      <c r="D871" s="47">
        <v>253.0</v>
      </c>
      <c r="E871" s="47">
        <v>24140.0</v>
      </c>
      <c r="F871" s="47" t="s">
        <v>11</v>
      </c>
    </row>
    <row r="872" ht="15.75" customHeight="1">
      <c r="A872" s="46" t="s">
        <v>1989</v>
      </c>
      <c r="B872" s="47" t="s">
        <v>1990</v>
      </c>
      <c r="C872" s="47">
        <v>635.0</v>
      </c>
      <c r="D872" s="47">
        <v>599.0</v>
      </c>
      <c r="E872" s="47">
        <v>24620.0</v>
      </c>
      <c r="F872" s="47" t="s">
        <v>11</v>
      </c>
    </row>
    <row r="873" ht="15.75" customHeight="1">
      <c r="A873" s="46" t="s">
        <v>1991</v>
      </c>
      <c r="B873" s="47" t="s">
        <v>1992</v>
      </c>
      <c r="C873" s="47">
        <v>6740.0</v>
      </c>
      <c r="D873" s="47">
        <v>6796.0</v>
      </c>
      <c r="E873" s="47">
        <v>19030.0</v>
      </c>
      <c r="F873" s="47">
        <v>33.0</v>
      </c>
    </row>
    <row r="874" ht="15.75" customHeight="1">
      <c r="A874" s="46" t="s">
        <v>1993</v>
      </c>
      <c r="B874" s="47" t="s">
        <v>1994</v>
      </c>
      <c r="C874" s="47">
        <v>2758.0</v>
      </c>
      <c r="D874" s="47">
        <v>2861.0</v>
      </c>
      <c r="E874" s="47">
        <v>28750.0</v>
      </c>
      <c r="F874" s="47">
        <v>7.0</v>
      </c>
    </row>
    <row r="875" ht="15.75" customHeight="1">
      <c r="A875" s="46" t="s">
        <v>1995</v>
      </c>
      <c r="B875" s="47" t="s">
        <v>1996</v>
      </c>
      <c r="C875" s="47">
        <v>562.0</v>
      </c>
      <c r="D875" s="47">
        <v>529.0</v>
      </c>
      <c r="E875" s="47">
        <v>23310.0</v>
      </c>
      <c r="F875" s="47" t="s">
        <v>11</v>
      </c>
    </row>
    <row r="876" ht="15.75" customHeight="1">
      <c r="A876" s="46" t="s">
        <v>1997</v>
      </c>
      <c r="B876" s="47" t="s">
        <v>1998</v>
      </c>
      <c r="C876" s="47">
        <v>1831.0</v>
      </c>
      <c r="D876" s="47">
        <v>1716.0</v>
      </c>
      <c r="E876" s="47">
        <v>28650.0</v>
      </c>
      <c r="F876" s="47" t="s">
        <v>11</v>
      </c>
    </row>
    <row r="877" ht="15.75" customHeight="1">
      <c r="A877" s="46" t="s">
        <v>1999</v>
      </c>
      <c r="B877" s="47" t="s">
        <v>2000</v>
      </c>
      <c r="C877" s="47">
        <v>247.0</v>
      </c>
      <c r="D877" s="47">
        <v>239.0</v>
      </c>
      <c r="E877" s="47">
        <v>28200.0</v>
      </c>
      <c r="F877" s="47" t="s">
        <v>11</v>
      </c>
    </row>
    <row r="878" ht="15.75" customHeight="1">
      <c r="A878" s="46" t="s">
        <v>2001</v>
      </c>
      <c r="B878" s="47" t="s">
        <v>2002</v>
      </c>
      <c r="C878" s="47">
        <v>2069.0</v>
      </c>
      <c r="D878" s="47">
        <v>2008.0</v>
      </c>
      <c r="E878" s="47">
        <v>25340.0</v>
      </c>
      <c r="F878" s="47">
        <v>10.0</v>
      </c>
    </row>
    <row r="879" ht="15.75" customHeight="1">
      <c r="A879" s="46" t="s">
        <v>2003</v>
      </c>
      <c r="B879" s="47" t="s">
        <v>2004</v>
      </c>
      <c r="C879" s="47">
        <v>306.0</v>
      </c>
      <c r="D879" s="47">
        <v>313.0</v>
      </c>
      <c r="E879" s="47">
        <v>27720.0</v>
      </c>
      <c r="F879" s="47" t="s">
        <v>11</v>
      </c>
    </row>
    <row r="880" ht="15.75" customHeight="1">
      <c r="A880" s="46" t="s">
        <v>2005</v>
      </c>
      <c r="B880" s="47" t="s">
        <v>2006</v>
      </c>
      <c r="C880" s="47">
        <v>2183.0</v>
      </c>
      <c r="D880" s="47">
        <v>2244.0</v>
      </c>
      <c r="E880" s="47">
        <v>26920.0</v>
      </c>
      <c r="F880" s="47">
        <v>9.0</v>
      </c>
    </row>
    <row r="881" ht="15.75" customHeight="1">
      <c r="A881" s="46" t="s">
        <v>2007</v>
      </c>
      <c r="B881" s="47" t="s">
        <v>2008</v>
      </c>
      <c r="C881" s="47">
        <v>748.0</v>
      </c>
      <c r="D881" s="47">
        <v>766.0</v>
      </c>
      <c r="E881" s="47">
        <v>24970.0</v>
      </c>
      <c r="F881" s="47" t="s">
        <v>11</v>
      </c>
    </row>
    <row r="882" ht="15.75" customHeight="1">
      <c r="A882" s="46" t="s">
        <v>2009</v>
      </c>
      <c r="B882" s="47" t="s">
        <v>2010</v>
      </c>
      <c r="C882" s="47">
        <v>1612.0</v>
      </c>
      <c r="D882" s="47">
        <v>1775.0</v>
      </c>
      <c r="E882" s="47">
        <v>32340.0</v>
      </c>
      <c r="F882" s="47" t="s">
        <v>11</v>
      </c>
    </row>
    <row r="883" ht="15.75" customHeight="1">
      <c r="A883" s="46" t="s">
        <v>2011</v>
      </c>
      <c r="B883" s="47" t="s">
        <v>2012</v>
      </c>
      <c r="C883" s="47">
        <v>1435.0</v>
      </c>
      <c r="D883" s="47">
        <v>1445.0</v>
      </c>
      <c r="E883" s="47">
        <v>24590.0</v>
      </c>
      <c r="F883" s="47" t="s">
        <v>11</v>
      </c>
    </row>
    <row r="884" ht="15.75" customHeight="1">
      <c r="A884" s="46" t="s">
        <v>2013</v>
      </c>
      <c r="B884" s="47" t="s">
        <v>2014</v>
      </c>
      <c r="C884" s="47">
        <v>10103.0</v>
      </c>
      <c r="D884" s="47">
        <v>9747.0</v>
      </c>
      <c r="E884" s="47">
        <v>38630.0</v>
      </c>
      <c r="F884" s="47">
        <v>7.0</v>
      </c>
    </row>
    <row r="885" ht="15.75" customHeight="1">
      <c r="A885" s="46" t="s">
        <v>2015</v>
      </c>
      <c r="B885" s="47" t="s">
        <v>2016</v>
      </c>
      <c r="C885" s="47">
        <v>591.0</v>
      </c>
      <c r="D885" s="47">
        <v>553.0</v>
      </c>
      <c r="E885" s="47">
        <v>28200.0</v>
      </c>
      <c r="F885" s="47" t="s">
        <v>11</v>
      </c>
    </row>
    <row r="886" ht="15.75" customHeight="1">
      <c r="A886" s="46" t="s">
        <v>2017</v>
      </c>
      <c r="B886" s="47" t="s">
        <v>2018</v>
      </c>
      <c r="C886" s="47">
        <v>3952.0</v>
      </c>
      <c r="D886" s="47">
        <v>4113.0</v>
      </c>
      <c r="E886" s="47">
        <v>23250.0</v>
      </c>
      <c r="F886" s="47">
        <v>17.0</v>
      </c>
    </row>
    <row r="887" ht="15.75" customHeight="1">
      <c r="A887" s="46" t="s">
        <v>2019</v>
      </c>
      <c r="B887" s="47" t="s">
        <v>2020</v>
      </c>
      <c r="C887" s="47">
        <v>339.0</v>
      </c>
      <c r="D887" s="47">
        <v>291.0</v>
      </c>
      <c r="E887" s="47">
        <v>24260.0</v>
      </c>
      <c r="F887" s="47" t="s">
        <v>11</v>
      </c>
    </row>
    <row r="888" ht="15.75" customHeight="1">
      <c r="A888" s="46" t="s">
        <v>2021</v>
      </c>
      <c r="B888" s="47" t="s">
        <v>2022</v>
      </c>
      <c r="C888" s="47">
        <v>7097.0</v>
      </c>
      <c r="D888" s="47">
        <v>6931.0</v>
      </c>
      <c r="E888" s="47">
        <v>22350.0</v>
      </c>
      <c r="F888" s="47">
        <v>20.0</v>
      </c>
    </row>
    <row r="889" ht="15.75" customHeight="1">
      <c r="A889" s="46" t="s">
        <v>2023</v>
      </c>
      <c r="B889" s="47" t="s">
        <v>2024</v>
      </c>
      <c r="C889" s="47">
        <v>1664.0</v>
      </c>
      <c r="D889" s="47">
        <v>1682.0</v>
      </c>
      <c r="E889" s="47">
        <v>33970.0</v>
      </c>
      <c r="F889" s="47" t="s">
        <v>11</v>
      </c>
    </row>
    <row r="890" ht="15.75" customHeight="1">
      <c r="A890" s="46" t="s">
        <v>2025</v>
      </c>
      <c r="B890" s="47" t="s">
        <v>2026</v>
      </c>
      <c r="C890" s="47">
        <v>394.0</v>
      </c>
      <c r="D890" s="47">
        <v>360.0</v>
      </c>
      <c r="E890" s="47">
        <v>25360.0</v>
      </c>
      <c r="F890" s="47" t="s">
        <v>11</v>
      </c>
    </row>
    <row r="891" ht="15.75" customHeight="1">
      <c r="A891" s="46" t="s">
        <v>2027</v>
      </c>
      <c r="B891" s="47" t="s">
        <v>2028</v>
      </c>
      <c r="C891" s="47">
        <v>4831.0</v>
      </c>
      <c r="D891" s="47">
        <v>4978.0</v>
      </c>
      <c r="E891" s="47">
        <v>27810.0</v>
      </c>
      <c r="F891" s="47">
        <v>9.0</v>
      </c>
    </row>
    <row r="892" ht="15.75" customHeight="1">
      <c r="A892" s="46" t="s">
        <v>2029</v>
      </c>
      <c r="B892" s="47" t="s">
        <v>2030</v>
      </c>
      <c r="C892" s="47">
        <v>1738.0</v>
      </c>
      <c r="D892" s="47">
        <v>1769.0</v>
      </c>
      <c r="E892" s="47">
        <v>22670.0</v>
      </c>
      <c r="F892" s="47" t="s">
        <v>11</v>
      </c>
    </row>
    <row r="893" ht="15.75" customHeight="1">
      <c r="A893" s="46" t="s">
        <v>2031</v>
      </c>
      <c r="B893" s="47" t="s">
        <v>2032</v>
      </c>
      <c r="C893" s="47">
        <v>333.0</v>
      </c>
      <c r="D893" s="47">
        <v>339.0</v>
      </c>
      <c r="E893" s="47">
        <v>32220.0</v>
      </c>
      <c r="F893" s="47" t="s">
        <v>11</v>
      </c>
    </row>
    <row r="894" ht="15.75" customHeight="1">
      <c r="A894" s="46" t="s">
        <v>2033</v>
      </c>
      <c r="B894" s="47" t="s">
        <v>2034</v>
      </c>
      <c r="C894" s="47">
        <v>402.0</v>
      </c>
      <c r="D894" s="47">
        <v>369.0</v>
      </c>
      <c r="E894" s="47">
        <v>27290.0</v>
      </c>
      <c r="F894" s="47" t="s">
        <v>11</v>
      </c>
    </row>
    <row r="895" ht="15.75" customHeight="1">
      <c r="A895" s="46" t="s">
        <v>2035</v>
      </c>
      <c r="B895" s="47" t="s">
        <v>2036</v>
      </c>
      <c r="C895" s="47">
        <v>422.0</v>
      </c>
      <c r="D895" s="47">
        <v>436.0</v>
      </c>
      <c r="E895" s="47">
        <v>24520.0</v>
      </c>
      <c r="F895" s="47" t="s">
        <v>11</v>
      </c>
    </row>
    <row r="896" ht="15.75" customHeight="1">
      <c r="A896" s="46" t="s">
        <v>2037</v>
      </c>
      <c r="B896" s="47" t="s">
        <v>2038</v>
      </c>
      <c r="C896" s="47">
        <v>524.0</v>
      </c>
      <c r="D896" s="47">
        <v>522.0</v>
      </c>
      <c r="E896" s="47">
        <v>27130.0</v>
      </c>
      <c r="F896" s="47" t="s">
        <v>11</v>
      </c>
    </row>
    <row r="897" ht="15.75" customHeight="1">
      <c r="A897" s="46" t="s">
        <v>2039</v>
      </c>
      <c r="B897" s="47" t="s">
        <v>2040</v>
      </c>
      <c r="C897" s="47">
        <v>3231.0</v>
      </c>
      <c r="D897" s="47">
        <v>3123.0</v>
      </c>
      <c r="E897" s="47">
        <v>21690.0</v>
      </c>
      <c r="F897" s="47">
        <v>23.0</v>
      </c>
    </row>
    <row r="898" ht="15.75" customHeight="1">
      <c r="A898" s="46" t="s">
        <v>2041</v>
      </c>
      <c r="B898" s="47" t="s">
        <v>2042</v>
      </c>
      <c r="C898" s="47">
        <v>1535.0</v>
      </c>
      <c r="D898" s="47">
        <v>1580.0</v>
      </c>
      <c r="E898" s="47">
        <v>30200.0</v>
      </c>
      <c r="F898" s="47" t="s">
        <v>11</v>
      </c>
    </row>
    <row r="899" ht="15.75" customHeight="1">
      <c r="A899" s="46" t="s">
        <v>2043</v>
      </c>
      <c r="B899" s="47" t="s">
        <v>2044</v>
      </c>
      <c r="C899" s="47">
        <v>775.0</v>
      </c>
      <c r="D899" s="47">
        <v>766.0</v>
      </c>
      <c r="E899" s="47">
        <v>33390.0</v>
      </c>
      <c r="F899" s="47" t="s">
        <v>11</v>
      </c>
    </row>
    <row r="900" ht="15.75" customHeight="1">
      <c r="A900" s="46" t="s">
        <v>2045</v>
      </c>
      <c r="B900" s="47" t="s">
        <v>2046</v>
      </c>
      <c r="C900" s="47">
        <v>4483.0</v>
      </c>
      <c r="D900" s="47">
        <v>4189.0</v>
      </c>
      <c r="E900" s="47">
        <v>25360.0</v>
      </c>
      <c r="F900" s="47">
        <v>16.0</v>
      </c>
    </row>
    <row r="901" ht="15.75" customHeight="1">
      <c r="A901" s="46" t="s">
        <v>2047</v>
      </c>
      <c r="B901" s="47" t="s">
        <v>2048</v>
      </c>
      <c r="C901" s="47">
        <v>748.0</v>
      </c>
      <c r="D901" s="47">
        <v>689.0</v>
      </c>
      <c r="E901" s="47">
        <v>22740.0</v>
      </c>
      <c r="F901" s="47" t="s">
        <v>11</v>
      </c>
    </row>
    <row r="902" ht="15.75" customHeight="1">
      <c r="A902" s="46" t="s">
        <v>2049</v>
      </c>
      <c r="B902" s="47" t="s">
        <v>2050</v>
      </c>
      <c r="C902" s="47">
        <v>738.0</v>
      </c>
      <c r="D902" s="47">
        <v>771.0</v>
      </c>
      <c r="E902" s="47">
        <v>31430.0</v>
      </c>
      <c r="F902" s="47" t="s">
        <v>11</v>
      </c>
    </row>
    <row r="903" ht="15.75" customHeight="1">
      <c r="A903" s="46" t="s">
        <v>2051</v>
      </c>
      <c r="B903" s="47" t="s">
        <v>2052</v>
      </c>
      <c r="C903" s="47">
        <v>1375.0</v>
      </c>
      <c r="D903" s="47">
        <v>1452.0</v>
      </c>
      <c r="E903" s="47">
        <v>29830.0</v>
      </c>
      <c r="F903" s="47" t="s">
        <v>11</v>
      </c>
    </row>
    <row r="904" ht="15.75" customHeight="1">
      <c r="A904" s="46" t="s">
        <v>2053</v>
      </c>
      <c r="B904" s="47" t="s">
        <v>2054</v>
      </c>
      <c r="C904" s="47">
        <v>403.0</v>
      </c>
      <c r="D904" s="47">
        <v>425.0</v>
      </c>
      <c r="E904" s="47">
        <v>24390.0</v>
      </c>
      <c r="F904" s="47" t="s">
        <v>11</v>
      </c>
    </row>
    <row r="905" ht="15.75" customHeight="1">
      <c r="A905" s="46" t="s">
        <v>2055</v>
      </c>
      <c r="B905" s="47" t="s">
        <v>2056</v>
      </c>
      <c r="C905" s="47">
        <v>11449.0</v>
      </c>
      <c r="D905" s="47">
        <v>11644.0</v>
      </c>
      <c r="E905" s="47">
        <v>19440.0</v>
      </c>
      <c r="F905" s="47">
        <v>30.0</v>
      </c>
    </row>
    <row r="906" ht="15.75" customHeight="1">
      <c r="A906" s="46" t="s">
        <v>2057</v>
      </c>
      <c r="B906" s="47" t="s">
        <v>2058</v>
      </c>
      <c r="C906" s="47">
        <v>1345.0</v>
      </c>
      <c r="D906" s="47">
        <v>1340.0</v>
      </c>
      <c r="E906" s="47">
        <v>23250.0</v>
      </c>
      <c r="F906" s="47" t="s">
        <v>11</v>
      </c>
    </row>
    <row r="907" ht="15.75" customHeight="1">
      <c r="A907" s="46" t="s">
        <v>2059</v>
      </c>
      <c r="B907" s="47" t="s">
        <v>2060</v>
      </c>
      <c r="C907" s="47">
        <v>1671.0</v>
      </c>
      <c r="D907" s="47">
        <v>1698.0</v>
      </c>
      <c r="E907" s="47">
        <v>26650.0</v>
      </c>
      <c r="F907" s="47" t="s">
        <v>11</v>
      </c>
    </row>
    <row r="908" ht="15.75" customHeight="1">
      <c r="A908" s="46" t="s">
        <v>2061</v>
      </c>
      <c r="B908" s="47" t="s">
        <v>2062</v>
      </c>
      <c r="C908" s="47">
        <v>711.0</v>
      </c>
      <c r="D908" s="47">
        <v>704.0</v>
      </c>
      <c r="E908" s="47">
        <v>25770.0</v>
      </c>
      <c r="F908" s="47" t="s">
        <v>11</v>
      </c>
    </row>
    <row r="909" ht="15.75" customHeight="1">
      <c r="A909" s="46" t="s">
        <v>2063</v>
      </c>
      <c r="B909" s="47" t="s">
        <v>2064</v>
      </c>
      <c r="C909" s="47">
        <v>417.0</v>
      </c>
      <c r="D909" s="47">
        <v>390.0</v>
      </c>
      <c r="E909" s="47">
        <v>31630.0</v>
      </c>
      <c r="F909" s="47" t="s">
        <v>11</v>
      </c>
    </row>
    <row r="910" ht="15.75" customHeight="1">
      <c r="A910" s="46" t="s">
        <v>2065</v>
      </c>
      <c r="B910" s="47" t="s">
        <v>2066</v>
      </c>
      <c r="C910" s="47">
        <v>1030.0</v>
      </c>
      <c r="D910" s="47">
        <v>1095.0</v>
      </c>
      <c r="E910" s="47">
        <v>25030.0</v>
      </c>
      <c r="F910" s="47" t="s">
        <v>11</v>
      </c>
    </row>
    <row r="911" ht="15.75" customHeight="1">
      <c r="A911" s="46" t="s">
        <v>2067</v>
      </c>
      <c r="B911" s="47" t="s">
        <v>2068</v>
      </c>
      <c r="C911" s="47">
        <v>2482.0</v>
      </c>
      <c r="D911" s="47">
        <v>2435.0</v>
      </c>
      <c r="E911" s="47">
        <v>21410.0</v>
      </c>
      <c r="F911" s="47">
        <v>25.0</v>
      </c>
    </row>
    <row r="912" ht="15.75" customHeight="1">
      <c r="A912" s="46" t="s">
        <v>2069</v>
      </c>
      <c r="B912" s="47" t="s">
        <v>2070</v>
      </c>
      <c r="C912" s="47">
        <v>583.0</v>
      </c>
      <c r="D912" s="47">
        <v>582.0</v>
      </c>
      <c r="E912" s="47">
        <v>25560.0</v>
      </c>
      <c r="F912" s="47" t="s">
        <v>11</v>
      </c>
    </row>
    <row r="913" ht="15.75" customHeight="1">
      <c r="A913" s="46" t="s">
        <v>2071</v>
      </c>
      <c r="B913" s="47" t="s">
        <v>2072</v>
      </c>
      <c r="C913" s="47">
        <v>1980.0</v>
      </c>
      <c r="D913" s="47">
        <v>1951.0</v>
      </c>
      <c r="E913" s="47">
        <v>28030.0</v>
      </c>
      <c r="F913" s="47" t="s">
        <v>11</v>
      </c>
    </row>
    <row r="914" ht="15.75" customHeight="1">
      <c r="A914" s="46" t="s">
        <v>2073</v>
      </c>
      <c r="B914" s="47" t="s">
        <v>2074</v>
      </c>
      <c r="C914" s="47">
        <v>611.0</v>
      </c>
      <c r="D914" s="47">
        <v>663.0</v>
      </c>
      <c r="E914" s="47">
        <v>27240.0</v>
      </c>
      <c r="F914" s="47" t="s">
        <v>11</v>
      </c>
    </row>
    <row r="915" ht="15.75" customHeight="1">
      <c r="A915" s="46" t="s">
        <v>2075</v>
      </c>
      <c r="B915" s="47" t="s">
        <v>2076</v>
      </c>
      <c r="C915" s="47">
        <v>32558.0</v>
      </c>
      <c r="D915" s="47">
        <v>31134.0</v>
      </c>
      <c r="E915" s="47">
        <v>21930.0</v>
      </c>
      <c r="F915" s="47">
        <v>24.2</v>
      </c>
    </row>
    <row r="916" ht="15.75" customHeight="1">
      <c r="A916" s="46" t="s">
        <v>2077</v>
      </c>
      <c r="B916" s="47" t="s">
        <v>2078</v>
      </c>
      <c r="C916" s="47">
        <v>1660.0</v>
      </c>
      <c r="D916" s="47">
        <v>1737.0</v>
      </c>
      <c r="E916" s="47">
        <v>29530.0</v>
      </c>
      <c r="F916" s="47" t="s">
        <v>11</v>
      </c>
    </row>
    <row r="917" ht="15.75" customHeight="1">
      <c r="A917" s="46" t="s">
        <v>2079</v>
      </c>
      <c r="B917" s="47" t="s">
        <v>2080</v>
      </c>
      <c r="C917" s="47">
        <v>2452.0</v>
      </c>
      <c r="D917" s="47">
        <v>2518.0</v>
      </c>
      <c r="E917" s="47">
        <v>33150.0</v>
      </c>
      <c r="F917" s="47">
        <v>6.0</v>
      </c>
    </row>
    <row r="918" ht="15.75" customHeight="1">
      <c r="A918" s="46" t="s">
        <v>2081</v>
      </c>
      <c r="B918" s="47" t="s">
        <v>2082</v>
      </c>
      <c r="C918" s="47">
        <v>399.0</v>
      </c>
      <c r="D918" s="47">
        <v>410.0</v>
      </c>
      <c r="E918" s="47">
        <v>26820.0</v>
      </c>
      <c r="F918" s="47" t="s">
        <v>11</v>
      </c>
    </row>
    <row r="919" ht="15.75" customHeight="1">
      <c r="A919" s="46" t="s">
        <v>2083</v>
      </c>
      <c r="B919" s="47" t="s">
        <v>2084</v>
      </c>
      <c r="C919" s="47">
        <v>1577.0</v>
      </c>
      <c r="D919" s="47">
        <v>1741.0</v>
      </c>
      <c r="E919" s="47">
        <v>24370.0</v>
      </c>
      <c r="F919" s="47" t="s">
        <v>11</v>
      </c>
    </row>
    <row r="920" ht="15.75" customHeight="1">
      <c r="A920" s="46" t="s">
        <v>2085</v>
      </c>
      <c r="B920" s="47" t="s">
        <v>2086</v>
      </c>
      <c r="C920" s="47">
        <v>153.0</v>
      </c>
      <c r="D920" s="47">
        <v>135.0</v>
      </c>
      <c r="E920" s="47">
        <v>27470.0</v>
      </c>
      <c r="F920" s="47" t="s">
        <v>11</v>
      </c>
    </row>
    <row r="921" ht="15.75" customHeight="1">
      <c r="A921" s="46" t="s">
        <v>2087</v>
      </c>
      <c r="B921" s="47" t="s">
        <v>2088</v>
      </c>
      <c r="C921" s="47">
        <v>2495.0</v>
      </c>
      <c r="D921" s="47">
        <v>2728.0</v>
      </c>
      <c r="E921" s="47">
        <v>28640.0</v>
      </c>
      <c r="F921" s="47">
        <v>12.0</v>
      </c>
    </row>
    <row r="922" ht="15.75" customHeight="1">
      <c r="A922" s="46" t="s">
        <v>2089</v>
      </c>
      <c r="B922" s="47" t="s">
        <v>2090</v>
      </c>
      <c r="C922" s="47">
        <v>2232.0</v>
      </c>
      <c r="D922" s="47">
        <v>2257.0</v>
      </c>
      <c r="E922" s="47">
        <v>30780.0</v>
      </c>
      <c r="F922" s="47">
        <v>5.0</v>
      </c>
    </row>
    <row r="923" ht="15.75" customHeight="1">
      <c r="A923" s="46" t="s">
        <v>2091</v>
      </c>
      <c r="B923" s="47" t="s">
        <v>2092</v>
      </c>
      <c r="C923" s="47">
        <v>1166.0</v>
      </c>
      <c r="D923" s="47">
        <v>1169.0</v>
      </c>
      <c r="E923" s="47">
        <v>25240.0</v>
      </c>
      <c r="F923" s="47" t="s">
        <v>11</v>
      </c>
    </row>
    <row r="924" ht="15.75" customHeight="1">
      <c r="A924" s="46" t="s">
        <v>2093</v>
      </c>
      <c r="B924" s="47" t="s">
        <v>2094</v>
      </c>
      <c r="C924" s="47">
        <v>7899.0</v>
      </c>
      <c r="D924" s="47">
        <v>7839.0</v>
      </c>
      <c r="E924" s="47">
        <v>23460.0</v>
      </c>
      <c r="F924" s="47">
        <v>18.0</v>
      </c>
    </row>
    <row r="925" ht="15.75" customHeight="1">
      <c r="A925" s="46" t="s">
        <v>2095</v>
      </c>
      <c r="B925" s="47" t="s">
        <v>2096</v>
      </c>
      <c r="C925" s="47">
        <v>1073.0</v>
      </c>
      <c r="D925" s="47">
        <v>983.0</v>
      </c>
      <c r="E925" s="47">
        <v>25280.0</v>
      </c>
      <c r="F925" s="47" t="s">
        <v>11</v>
      </c>
    </row>
    <row r="926" ht="15.75" customHeight="1">
      <c r="A926" s="46" t="s">
        <v>2097</v>
      </c>
      <c r="B926" s="47" t="s">
        <v>2098</v>
      </c>
      <c r="C926" s="47">
        <v>1008.0</v>
      </c>
      <c r="D926" s="47">
        <v>1105.0</v>
      </c>
      <c r="E926" s="47">
        <v>32020.0</v>
      </c>
      <c r="F926" s="47" t="s">
        <v>11</v>
      </c>
    </row>
    <row r="927" ht="15.75" customHeight="1">
      <c r="A927" s="46" t="s">
        <v>2099</v>
      </c>
      <c r="B927" s="47" t="s">
        <v>2100</v>
      </c>
      <c r="C927" s="47">
        <v>1253.0</v>
      </c>
      <c r="D927" s="47">
        <v>1209.0</v>
      </c>
      <c r="E927" s="47">
        <v>23940.0</v>
      </c>
      <c r="F927" s="47" t="s">
        <v>11</v>
      </c>
    </row>
    <row r="928" ht="15.75" customHeight="1">
      <c r="A928" s="46" t="s">
        <v>2101</v>
      </c>
      <c r="B928" s="47" t="s">
        <v>2102</v>
      </c>
      <c r="C928" s="47">
        <v>2289.0</v>
      </c>
      <c r="D928" s="47">
        <v>2198.0</v>
      </c>
      <c r="E928" s="47">
        <v>26430.0</v>
      </c>
      <c r="F928" s="47">
        <v>14.0</v>
      </c>
    </row>
    <row r="929" ht="15.75" customHeight="1">
      <c r="A929" s="46" t="s">
        <v>2103</v>
      </c>
      <c r="B929" s="47" t="s">
        <v>2104</v>
      </c>
      <c r="C929" s="47">
        <v>6933.0</v>
      </c>
      <c r="D929" s="47">
        <v>6764.0</v>
      </c>
      <c r="E929" s="47">
        <v>18770.0</v>
      </c>
      <c r="F929" s="47">
        <v>34.0</v>
      </c>
    </row>
    <row r="930" ht="15.75" customHeight="1">
      <c r="A930" s="46" t="s">
        <v>2105</v>
      </c>
      <c r="B930" s="47" t="s">
        <v>2106</v>
      </c>
      <c r="C930" s="47">
        <v>840.0</v>
      </c>
      <c r="D930" s="47">
        <v>781.0</v>
      </c>
      <c r="E930" s="47">
        <v>21480.0</v>
      </c>
      <c r="F930" s="47" t="s">
        <v>11</v>
      </c>
    </row>
    <row r="931" ht="15.75" customHeight="1">
      <c r="A931" s="46" t="s">
        <v>2107</v>
      </c>
      <c r="B931" s="47" t="s">
        <v>2108</v>
      </c>
      <c r="C931" s="47">
        <v>670.0</v>
      </c>
      <c r="D931" s="47">
        <v>689.0</v>
      </c>
      <c r="E931" s="47">
        <v>25170.0</v>
      </c>
      <c r="F931" s="47" t="s">
        <v>11</v>
      </c>
    </row>
    <row r="932" ht="15.75" customHeight="1">
      <c r="A932" s="46" t="s">
        <v>2109</v>
      </c>
      <c r="B932" s="47" t="s">
        <v>2110</v>
      </c>
      <c r="C932" s="47">
        <v>14591.0</v>
      </c>
      <c r="D932" s="47">
        <v>13833.0</v>
      </c>
      <c r="E932" s="47">
        <v>20040.0</v>
      </c>
      <c r="F932" s="47">
        <v>29.0</v>
      </c>
    </row>
    <row r="933" ht="15.75" customHeight="1">
      <c r="A933" s="46" t="s">
        <v>2111</v>
      </c>
      <c r="B933" s="47" t="s">
        <v>2112</v>
      </c>
      <c r="C933" s="47">
        <v>454.0</v>
      </c>
      <c r="D933" s="47">
        <v>467.0</v>
      </c>
      <c r="E933" s="47">
        <v>22760.0</v>
      </c>
      <c r="F933" s="47" t="s">
        <v>11</v>
      </c>
    </row>
    <row r="934" ht="15.75" customHeight="1">
      <c r="A934" s="46" t="s">
        <v>2113</v>
      </c>
      <c r="B934" s="47" t="s">
        <v>2114</v>
      </c>
      <c r="C934" s="47">
        <v>570.0</v>
      </c>
      <c r="D934" s="47">
        <v>579.0</v>
      </c>
      <c r="E934" s="47">
        <v>27060.0</v>
      </c>
      <c r="F934" s="47" t="s">
        <v>11</v>
      </c>
    </row>
    <row r="935" ht="15.75" customHeight="1">
      <c r="A935" s="46" t="s">
        <v>2115</v>
      </c>
      <c r="B935" s="47" t="s">
        <v>2116</v>
      </c>
      <c r="C935" s="47">
        <v>688.0</v>
      </c>
      <c r="D935" s="47">
        <v>646.0</v>
      </c>
      <c r="E935" s="47">
        <v>27560.0</v>
      </c>
      <c r="F935" s="47" t="s">
        <v>11</v>
      </c>
    </row>
    <row r="936" ht="15.75" customHeight="1">
      <c r="A936" s="46" t="s">
        <v>2117</v>
      </c>
      <c r="B936" s="47" t="s">
        <v>2118</v>
      </c>
      <c r="C936" s="47">
        <v>8590.0</v>
      </c>
      <c r="D936" s="47">
        <v>8754.0</v>
      </c>
      <c r="E936" s="47">
        <v>26610.0</v>
      </c>
      <c r="F936" s="47">
        <v>13.0</v>
      </c>
    </row>
    <row r="937" ht="15.75" customHeight="1">
      <c r="A937" s="46" t="s">
        <v>2119</v>
      </c>
      <c r="B937" s="47" t="s">
        <v>2120</v>
      </c>
      <c r="C937" s="47">
        <v>874.0</v>
      </c>
      <c r="D937" s="47">
        <v>917.0</v>
      </c>
      <c r="E937" s="47">
        <v>29670.0</v>
      </c>
      <c r="F937" s="47" t="s">
        <v>11</v>
      </c>
    </row>
    <row r="938" ht="15.75" customHeight="1">
      <c r="A938" s="46" t="s">
        <v>2121</v>
      </c>
      <c r="B938" s="47" t="s">
        <v>2122</v>
      </c>
      <c r="C938" s="47">
        <v>768.0</v>
      </c>
      <c r="D938" s="47">
        <v>766.0</v>
      </c>
      <c r="E938" s="47">
        <v>32430.0</v>
      </c>
      <c r="F938" s="47" t="s">
        <v>11</v>
      </c>
    </row>
    <row r="939" ht="15.75" customHeight="1">
      <c r="A939" s="46" t="s">
        <v>2123</v>
      </c>
      <c r="B939" s="47" t="s">
        <v>2124</v>
      </c>
      <c r="C939" s="47">
        <v>2990.0</v>
      </c>
      <c r="D939" s="47">
        <v>3078.0</v>
      </c>
      <c r="E939" s="47">
        <v>33960.0</v>
      </c>
      <c r="F939" s="47">
        <v>5.0</v>
      </c>
    </row>
    <row r="940" ht="15.75" customHeight="1">
      <c r="A940" s="46" t="s">
        <v>2125</v>
      </c>
      <c r="B940" s="47" t="s">
        <v>2126</v>
      </c>
      <c r="C940" s="47">
        <v>52.0</v>
      </c>
      <c r="D940" s="47">
        <v>43.0</v>
      </c>
      <c r="E940" s="47" t="s">
        <v>11</v>
      </c>
      <c r="F940" s="47" t="s">
        <v>11</v>
      </c>
    </row>
    <row r="941" ht="15.75" customHeight="1">
      <c r="A941" s="46" t="s">
        <v>2127</v>
      </c>
      <c r="B941" s="47" t="s">
        <v>2128</v>
      </c>
      <c r="C941" s="47">
        <v>371.0</v>
      </c>
      <c r="D941" s="47">
        <v>357.0</v>
      </c>
      <c r="E941" s="47">
        <v>23400.0</v>
      </c>
      <c r="F941" s="47" t="s">
        <v>11</v>
      </c>
    </row>
    <row r="942" ht="15.75" customHeight="1">
      <c r="A942" s="46" t="s">
        <v>2129</v>
      </c>
      <c r="B942" s="47" t="s">
        <v>2130</v>
      </c>
      <c r="C942" s="47">
        <v>1092.0</v>
      </c>
      <c r="D942" s="47">
        <v>1088.0</v>
      </c>
      <c r="E942" s="47">
        <v>25090.0</v>
      </c>
      <c r="F942" s="47" t="s">
        <v>11</v>
      </c>
    </row>
    <row r="943" ht="15.75" customHeight="1">
      <c r="A943" s="46" t="s">
        <v>2131</v>
      </c>
      <c r="B943" s="47" t="s">
        <v>2132</v>
      </c>
      <c r="C943" s="47">
        <v>521.0</v>
      </c>
      <c r="D943" s="47">
        <v>563.0</v>
      </c>
      <c r="E943" s="47">
        <v>33690.0</v>
      </c>
      <c r="F943" s="47" t="s">
        <v>11</v>
      </c>
    </row>
    <row r="944" ht="15.75" customHeight="1">
      <c r="A944" s="46" t="s">
        <v>2133</v>
      </c>
      <c r="B944" s="47" t="s">
        <v>2134</v>
      </c>
      <c r="C944" s="47">
        <v>1615.0</v>
      </c>
      <c r="D944" s="47">
        <v>1541.0</v>
      </c>
      <c r="E944" s="47">
        <v>25150.0</v>
      </c>
      <c r="F944" s="47" t="s">
        <v>11</v>
      </c>
    </row>
    <row r="945" ht="15.75" customHeight="1">
      <c r="A945" s="46" t="s">
        <v>2135</v>
      </c>
      <c r="B945" s="47" t="s">
        <v>2136</v>
      </c>
      <c r="C945" s="47">
        <v>12358.0</v>
      </c>
      <c r="D945" s="47">
        <v>12731.0</v>
      </c>
      <c r="E945" s="47">
        <v>25070.0</v>
      </c>
      <c r="F945" s="47">
        <v>16.0</v>
      </c>
    </row>
    <row r="946" ht="15.75" customHeight="1">
      <c r="A946" s="46" t="s">
        <v>2137</v>
      </c>
      <c r="B946" s="47" t="s">
        <v>2138</v>
      </c>
      <c r="C946" s="47">
        <v>9698.0</v>
      </c>
      <c r="D946" s="47">
        <v>9253.0</v>
      </c>
      <c r="E946" s="47">
        <v>18400.0</v>
      </c>
      <c r="F946" s="47">
        <v>36.0</v>
      </c>
    </row>
    <row r="947" ht="15.75" customHeight="1">
      <c r="A947" s="46" t="s">
        <v>2139</v>
      </c>
      <c r="B947" s="47" t="s">
        <v>2140</v>
      </c>
      <c r="C947" s="47">
        <v>21134.0</v>
      </c>
      <c r="D947" s="47">
        <v>20787.0</v>
      </c>
      <c r="E947" s="47">
        <v>23300.0</v>
      </c>
      <c r="F947" s="47">
        <v>17.0</v>
      </c>
    </row>
    <row r="948" ht="15.75" customHeight="1">
      <c r="A948" s="46" t="s">
        <v>2141</v>
      </c>
      <c r="B948" s="47" t="s">
        <v>2142</v>
      </c>
      <c r="C948" s="47">
        <v>2809.0</v>
      </c>
      <c r="D948" s="47">
        <v>2855.0</v>
      </c>
      <c r="E948" s="47">
        <v>24560.0</v>
      </c>
      <c r="F948" s="47">
        <v>14.0</v>
      </c>
    </row>
    <row r="949" ht="15.75" customHeight="1">
      <c r="A949" s="46" t="s">
        <v>2143</v>
      </c>
      <c r="B949" s="47" t="s">
        <v>2144</v>
      </c>
      <c r="C949" s="47">
        <v>2270.0</v>
      </c>
      <c r="D949" s="47">
        <v>2153.0</v>
      </c>
      <c r="E949" s="47">
        <v>22280.0</v>
      </c>
      <c r="F949" s="47" t="s">
        <v>11</v>
      </c>
    </row>
    <row r="950" ht="15.75" customHeight="1">
      <c r="A950" s="46" t="s">
        <v>2145</v>
      </c>
      <c r="B950" s="47" t="s">
        <v>2146</v>
      </c>
      <c r="C950" s="47">
        <v>3014.0</v>
      </c>
      <c r="D950" s="47">
        <v>3436.0</v>
      </c>
      <c r="E950" s="47">
        <v>30450.0</v>
      </c>
      <c r="F950" s="47">
        <v>6.0</v>
      </c>
    </row>
    <row r="951" ht="15.75" customHeight="1">
      <c r="A951" s="46" t="s">
        <v>2147</v>
      </c>
      <c r="B951" s="47" t="s">
        <v>2148</v>
      </c>
      <c r="C951" s="47">
        <v>694.0</v>
      </c>
      <c r="D951" s="47">
        <v>791.0</v>
      </c>
      <c r="E951" s="47">
        <v>25970.0</v>
      </c>
      <c r="F951" s="47" t="s">
        <v>11</v>
      </c>
    </row>
    <row r="952" ht="15.75" customHeight="1">
      <c r="A952" s="46" t="s">
        <v>2149</v>
      </c>
      <c r="B952" s="47" t="s">
        <v>2150</v>
      </c>
      <c r="C952" s="47">
        <v>4532.0</v>
      </c>
      <c r="D952" s="47">
        <v>4532.0</v>
      </c>
      <c r="E952" s="47">
        <v>20050.0</v>
      </c>
      <c r="F952" s="47">
        <v>29.0</v>
      </c>
    </row>
    <row r="953" ht="15.75" customHeight="1">
      <c r="A953" s="46" t="s">
        <v>2151</v>
      </c>
      <c r="B953" s="47" t="s">
        <v>2152</v>
      </c>
      <c r="C953" s="47">
        <v>744.0</v>
      </c>
      <c r="D953" s="47">
        <v>716.0</v>
      </c>
      <c r="E953" s="47">
        <v>26440.0</v>
      </c>
      <c r="F953" s="47" t="s">
        <v>11</v>
      </c>
    </row>
    <row r="954" ht="15.75" customHeight="1">
      <c r="A954" s="46" t="s">
        <v>2153</v>
      </c>
      <c r="B954" s="47" t="s">
        <v>2154</v>
      </c>
      <c r="C954" s="47">
        <v>667.0</v>
      </c>
      <c r="D954" s="47">
        <v>659.0</v>
      </c>
      <c r="E954" s="47">
        <v>29510.0</v>
      </c>
      <c r="F954" s="47" t="s">
        <v>11</v>
      </c>
    </row>
    <row r="955" ht="15.75" customHeight="1">
      <c r="A955" s="46" t="s">
        <v>2155</v>
      </c>
      <c r="B955" s="47" t="s">
        <v>2156</v>
      </c>
      <c r="C955" s="47">
        <v>21041.0</v>
      </c>
      <c r="D955" s="47">
        <v>20566.0</v>
      </c>
      <c r="E955" s="47">
        <v>25770.0</v>
      </c>
      <c r="F955" s="47">
        <v>17.8</v>
      </c>
    </row>
    <row r="956" ht="15.75" customHeight="1">
      <c r="A956" s="46" t="s">
        <v>2157</v>
      </c>
      <c r="B956" s="47" t="s">
        <v>2158</v>
      </c>
      <c r="C956" s="47">
        <v>257.0</v>
      </c>
      <c r="D956" s="47">
        <v>238.0</v>
      </c>
      <c r="E956" s="47">
        <v>26290.0</v>
      </c>
      <c r="F956" s="47" t="s">
        <v>11</v>
      </c>
    </row>
    <row r="957" ht="15.75" customHeight="1">
      <c r="A957" s="46" t="s">
        <v>2159</v>
      </c>
      <c r="B957" s="47" t="s">
        <v>2160</v>
      </c>
      <c r="C957" s="47">
        <v>6435.0</v>
      </c>
      <c r="D957" s="47">
        <v>6467.0</v>
      </c>
      <c r="E957" s="47">
        <v>25490.0</v>
      </c>
      <c r="F957" s="47">
        <v>16.0</v>
      </c>
    </row>
    <row r="958" ht="15.75" customHeight="1">
      <c r="A958" s="46" t="s">
        <v>2161</v>
      </c>
      <c r="B958" s="47" t="s">
        <v>2162</v>
      </c>
      <c r="C958" s="47">
        <v>1218.0</v>
      </c>
      <c r="D958" s="47">
        <v>1333.0</v>
      </c>
      <c r="E958" s="47">
        <v>29930.0</v>
      </c>
      <c r="F958" s="47" t="s">
        <v>11</v>
      </c>
    </row>
    <row r="959" ht="15.75" customHeight="1">
      <c r="A959" s="46" t="s">
        <v>2163</v>
      </c>
      <c r="B959" s="47" t="s">
        <v>2164</v>
      </c>
      <c r="C959" s="47">
        <v>201.0</v>
      </c>
      <c r="D959" s="47">
        <v>177.0</v>
      </c>
      <c r="E959" s="47">
        <v>26680.0</v>
      </c>
      <c r="F959" s="47" t="s">
        <v>11</v>
      </c>
    </row>
    <row r="960" ht="15.75" customHeight="1">
      <c r="A960" s="46" t="s">
        <v>2165</v>
      </c>
      <c r="B960" s="47" t="s">
        <v>2166</v>
      </c>
      <c r="C960" s="47">
        <v>4968.0</v>
      </c>
      <c r="D960" s="47">
        <v>4839.0</v>
      </c>
      <c r="E960" s="47">
        <v>30060.0</v>
      </c>
      <c r="F960" s="47">
        <v>7.0</v>
      </c>
    </row>
    <row r="961" ht="15.75" customHeight="1">
      <c r="A961" s="46" t="s">
        <v>2167</v>
      </c>
      <c r="B961" s="47" t="s">
        <v>2168</v>
      </c>
      <c r="C961" s="47">
        <v>193.0</v>
      </c>
      <c r="D961" s="47">
        <v>205.0</v>
      </c>
      <c r="E961" s="47">
        <v>21900.0</v>
      </c>
      <c r="F961" s="47" t="s">
        <v>11</v>
      </c>
    </row>
    <row r="962" ht="15.75" customHeight="1">
      <c r="A962" s="46" t="s">
        <v>2169</v>
      </c>
      <c r="B962" s="47" t="s">
        <v>2170</v>
      </c>
      <c r="C962" s="47">
        <v>5324.0</v>
      </c>
      <c r="D962" s="47">
        <v>5338.0</v>
      </c>
      <c r="E962" s="47">
        <v>19680.0</v>
      </c>
      <c r="F962" s="47">
        <v>30.0</v>
      </c>
    </row>
    <row r="963" ht="15.75" customHeight="1">
      <c r="A963" s="46" t="s">
        <v>2171</v>
      </c>
      <c r="B963" s="47" t="s">
        <v>2172</v>
      </c>
      <c r="C963" s="47">
        <v>39.0</v>
      </c>
      <c r="D963" s="47">
        <v>43.0</v>
      </c>
      <c r="E963" s="47" t="s">
        <v>11</v>
      </c>
      <c r="F963" s="47" t="s">
        <v>11</v>
      </c>
    </row>
    <row r="964" ht="15.75" customHeight="1">
      <c r="A964" s="46" t="s">
        <v>2173</v>
      </c>
      <c r="B964" s="47" t="s">
        <v>2174</v>
      </c>
      <c r="C964" s="47">
        <v>19825.0</v>
      </c>
      <c r="D964" s="47">
        <v>20665.0</v>
      </c>
      <c r="E964" s="47">
        <v>16330.0</v>
      </c>
      <c r="F964" s="47">
        <v>45.0</v>
      </c>
    </row>
    <row r="965" ht="15.75" customHeight="1">
      <c r="A965" s="46" t="s">
        <v>2175</v>
      </c>
      <c r="B965" s="47" t="s">
        <v>2176</v>
      </c>
      <c r="C965" s="47">
        <v>1769.0</v>
      </c>
      <c r="D965" s="47">
        <v>1778.0</v>
      </c>
      <c r="E965" s="47">
        <v>29290.0</v>
      </c>
      <c r="F965" s="47" t="s">
        <v>11</v>
      </c>
    </row>
    <row r="966" ht="15.75" customHeight="1">
      <c r="A966" s="46" t="s">
        <v>2177</v>
      </c>
      <c r="B966" s="47" t="s">
        <v>2178</v>
      </c>
      <c r="C966" s="47">
        <v>339.0</v>
      </c>
      <c r="D966" s="47">
        <v>327.0</v>
      </c>
      <c r="E966" s="47">
        <v>27230.0</v>
      </c>
      <c r="F966" s="47" t="s">
        <v>11</v>
      </c>
    </row>
    <row r="967" ht="15.75" customHeight="1">
      <c r="A967" s="46" t="s">
        <v>2179</v>
      </c>
      <c r="B967" s="47" t="s">
        <v>2180</v>
      </c>
      <c r="C967" s="47">
        <v>314.0</v>
      </c>
      <c r="D967" s="47">
        <v>289.0</v>
      </c>
      <c r="E967" s="47">
        <v>26210.0</v>
      </c>
      <c r="F967" s="47" t="s">
        <v>11</v>
      </c>
    </row>
    <row r="968" ht="15.75" customHeight="1">
      <c r="A968" s="46" t="s">
        <v>2181</v>
      </c>
      <c r="B968" s="47" t="s">
        <v>2182</v>
      </c>
      <c r="C968" s="47">
        <v>333.0</v>
      </c>
      <c r="D968" s="47">
        <v>325.0</v>
      </c>
      <c r="E968" s="47">
        <v>26270.0</v>
      </c>
      <c r="F968" s="47" t="s">
        <v>11</v>
      </c>
    </row>
    <row r="969" ht="15.75" customHeight="1">
      <c r="A969" s="46" t="s">
        <v>2183</v>
      </c>
      <c r="B969" s="47" t="s">
        <v>2184</v>
      </c>
      <c r="C969" s="47">
        <v>860.0</v>
      </c>
      <c r="D969" s="47">
        <v>815.0</v>
      </c>
      <c r="E969" s="47">
        <v>24070.0</v>
      </c>
      <c r="F969" s="47" t="s">
        <v>11</v>
      </c>
    </row>
    <row r="970" ht="15.75" customHeight="1">
      <c r="A970" s="46" t="s">
        <v>2185</v>
      </c>
      <c r="B970" s="47" t="s">
        <v>2186</v>
      </c>
      <c r="C970" s="47">
        <v>39700.0</v>
      </c>
      <c r="D970" s="47">
        <v>40250.0</v>
      </c>
      <c r="E970" s="47">
        <v>20230.0</v>
      </c>
      <c r="F970" s="47">
        <v>31.4</v>
      </c>
    </row>
    <row r="971" ht="15.75" customHeight="1">
      <c r="A971" s="46" t="s">
        <v>2187</v>
      </c>
      <c r="B971" s="47" t="s">
        <v>2188</v>
      </c>
      <c r="C971" s="47">
        <v>10558.0</v>
      </c>
      <c r="D971" s="47">
        <v>10109.0</v>
      </c>
      <c r="E971" s="47">
        <v>19780.0</v>
      </c>
      <c r="F971" s="47">
        <v>29.0</v>
      </c>
    </row>
    <row r="972" ht="15.75" customHeight="1">
      <c r="A972" s="46" t="s">
        <v>2189</v>
      </c>
      <c r="B972" s="47" t="s">
        <v>2190</v>
      </c>
      <c r="C972" s="47">
        <v>1478.0</v>
      </c>
      <c r="D972" s="47">
        <v>1436.0</v>
      </c>
      <c r="E972" s="47">
        <v>28760.0</v>
      </c>
      <c r="F972" s="47" t="s">
        <v>11</v>
      </c>
    </row>
    <row r="973" ht="15.75" customHeight="1">
      <c r="A973" s="46" t="s">
        <v>2191</v>
      </c>
      <c r="B973" s="47" t="s">
        <v>2192</v>
      </c>
      <c r="C973" s="47">
        <v>569.0</v>
      </c>
      <c r="D973" s="47">
        <v>536.0</v>
      </c>
      <c r="E973" s="47">
        <v>25630.0</v>
      </c>
      <c r="F973" s="47" t="s">
        <v>11</v>
      </c>
    </row>
    <row r="974" ht="15.75" customHeight="1">
      <c r="A974" s="46" t="s">
        <v>2193</v>
      </c>
      <c r="B974" s="47" t="s">
        <v>2194</v>
      </c>
      <c r="C974" s="47">
        <v>250.0</v>
      </c>
      <c r="D974" s="47">
        <v>281.0</v>
      </c>
      <c r="E974" s="47">
        <v>24670.0</v>
      </c>
      <c r="F974" s="47" t="s">
        <v>11</v>
      </c>
    </row>
    <row r="975" ht="15.75" customHeight="1">
      <c r="A975" s="46" t="s">
        <v>2195</v>
      </c>
      <c r="B975" s="47" t="s">
        <v>2196</v>
      </c>
      <c r="C975" s="47">
        <v>87353.0</v>
      </c>
      <c r="D975" s="47">
        <v>86263.0</v>
      </c>
      <c r="E975" s="47">
        <v>22790.0</v>
      </c>
      <c r="F975" s="47">
        <v>22.7</v>
      </c>
    </row>
    <row r="976" ht="15.75" customHeight="1">
      <c r="A976" s="46" t="s">
        <v>2197</v>
      </c>
      <c r="B976" s="47" t="s">
        <v>2198</v>
      </c>
      <c r="C976" s="47">
        <v>673.0</v>
      </c>
      <c r="D976" s="47">
        <v>660.0</v>
      </c>
      <c r="E976" s="47">
        <v>25890.0</v>
      </c>
      <c r="F976" s="47" t="s">
        <v>11</v>
      </c>
    </row>
    <row r="977" ht="15.75" customHeight="1">
      <c r="A977" s="46" t="s">
        <v>2199</v>
      </c>
      <c r="B977" s="47" t="s">
        <v>2200</v>
      </c>
      <c r="C977" s="47">
        <v>1937.0</v>
      </c>
      <c r="D977" s="47">
        <v>1869.0</v>
      </c>
      <c r="E977" s="47">
        <v>21560.0</v>
      </c>
      <c r="F977" s="47" t="s">
        <v>11</v>
      </c>
    </row>
    <row r="978" ht="15.75" customHeight="1">
      <c r="A978" s="46" t="s">
        <v>2201</v>
      </c>
      <c r="B978" s="47" t="s">
        <v>2202</v>
      </c>
      <c r="C978" s="47">
        <v>84.0</v>
      </c>
      <c r="D978" s="47">
        <v>94.0</v>
      </c>
      <c r="E978" s="47" t="s">
        <v>11</v>
      </c>
      <c r="F978" s="47" t="s">
        <v>11</v>
      </c>
    </row>
    <row r="979" ht="15.75" customHeight="1">
      <c r="A979" s="46" t="s">
        <v>2203</v>
      </c>
      <c r="B979" s="47" t="s">
        <v>2204</v>
      </c>
      <c r="C979" s="47">
        <v>292.0</v>
      </c>
      <c r="D979" s="47">
        <v>269.0</v>
      </c>
      <c r="E979" s="47">
        <v>27580.0</v>
      </c>
      <c r="F979" s="47" t="s">
        <v>11</v>
      </c>
    </row>
    <row r="980" ht="15.75" customHeight="1">
      <c r="A980" s="46" t="s">
        <v>2205</v>
      </c>
      <c r="B980" s="47" t="s">
        <v>2206</v>
      </c>
      <c r="C980" s="47">
        <v>140.0</v>
      </c>
      <c r="D980" s="47">
        <v>145.0</v>
      </c>
      <c r="E980" s="47">
        <v>27230.0</v>
      </c>
      <c r="F980" s="47" t="s">
        <v>11</v>
      </c>
    </row>
    <row r="981" ht="15.75" customHeight="1">
      <c r="A981" s="46" t="s">
        <v>2207</v>
      </c>
      <c r="B981" s="47" t="s">
        <v>2208</v>
      </c>
      <c r="C981" s="47">
        <v>1219.0</v>
      </c>
      <c r="D981" s="47">
        <v>1213.0</v>
      </c>
      <c r="E981" s="47">
        <v>28900.0</v>
      </c>
      <c r="F981" s="47" t="s">
        <v>11</v>
      </c>
    </row>
    <row r="982" ht="15.75" customHeight="1">
      <c r="A982" s="46" t="s">
        <v>2209</v>
      </c>
      <c r="B982" s="47" t="s">
        <v>2210</v>
      </c>
      <c r="C982" s="47">
        <v>980.0</v>
      </c>
      <c r="D982" s="47">
        <v>1013.0</v>
      </c>
      <c r="E982" s="47">
        <v>29650.0</v>
      </c>
      <c r="F982" s="47" t="s">
        <v>11</v>
      </c>
    </row>
    <row r="983" ht="15.75" customHeight="1">
      <c r="A983" s="46" t="s">
        <v>2211</v>
      </c>
      <c r="B983" s="47" t="s">
        <v>2212</v>
      </c>
      <c r="C983" s="47">
        <v>625.0</v>
      </c>
      <c r="D983" s="47">
        <v>606.0</v>
      </c>
      <c r="E983" s="47">
        <v>21450.0</v>
      </c>
      <c r="F983" s="47" t="s">
        <v>11</v>
      </c>
    </row>
    <row r="984" ht="15.75" customHeight="1">
      <c r="A984" s="46" t="s">
        <v>2213</v>
      </c>
      <c r="B984" s="47" t="s">
        <v>2214</v>
      </c>
      <c r="C984" s="47">
        <v>886.0</v>
      </c>
      <c r="D984" s="47">
        <v>804.0</v>
      </c>
      <c r="E984" s="47">
        <v>23680.0</v>
      </c>
      <c r="F984" s="47" t="s">
        <v>11</v>
      </c>
    </row>
    <row r="985" ht="15.75" customHeight="1">
      <c r="A985" s="46" t="s">
        <v>2215</v>
      </c>
      <c r="B985" s="47" t="s">
        <v>2216</v>
      </c>
      <c r="C985" s="47">
        <v>3172.0</v>
      </c>
      <c r="D985" s="47">
        <v>3026.0</v>
      </c>
      <c r="E985" s="47">
        <v>29410.0</v>
      </c>
      <c r="F985" s="47">
        <v>6.0</v>
      </c>
    </row>
    <row r="986" ht="15.75" customHeight="1">
      <c r="A986" s="46" t="s">
        <v>2217</v>
      </c>
      <c r="B986" s="47" t="s">
        <v>2218</v>
      </c>
      <c r="C986" s="47">
        <v>1304.0</v>
      </c>
      <c r="D986" s="47">
        <v>1291.0</v>
      </c>
      <c r="E986" s="47">
        <v>23180.0</v>
      </c>
      <c r="F986" s="47" t="s">
        <v>11</v>
      </c>
    </row>
    <row r="987" ht="15.75" customHeight="1">
      <c r="A987" s="46" t="s">
        <v>2219</v>
      </c>
      <c r="B987" s="47" t="s">
        <v>2220</v>
      </c>
      <c r="C987" s="47">
        <v>609.0</v>
      </c>
      <c r="D987" s="47">
        <v>618.0</v>
      </c>
      <c r="E987" s="47">
        <v>32560.0</v>
      </c>
      <c r="F987" s="47" t="s">
        <v>11</v>
      </c>
    </row>
    <row r="988" ht="15.75" customHeight="1">
      <c r="A988" s="46" t="s">
        <v>2221</v>
      </c>
      <c r="B988" s="47" t="s">
        <v>2222</v>
      </c>
      <c r="C988" s="47">
        <v>1311.0</v>
      </c>
      <c r="D988" s="47">
        <v>1280.0</v>
      </c>
      <c r="E988" s="47">
        <v>34210.0</v>
      </c>
      <c r="F988" s="47" t="s">
        <v>11</v>
      </c>
    </row>
    <row r="989" ht="15.75" customHeight="1">
      <c r="A989" s="46" t="s">
        <v>2223</v>
      </c>
      <c r="B989" s="47" t="s">
        <v>2224</v>
      </c>
      <c r="C989" s="47">
        <v>2185.0</v>
      </c>
      <c r="D989" s="47">
        <v>2416.0</v>
      </c>
      <c r="E989" s="47">
        <v>32780.0</v>
      </c>
      <c r="F989" s="47">
        <v>4.0</v>
      </c>
    </row>
    <row r="990" ht="15.75" customHeight="1">
      <c r="A990" s="46" t="s">
        <v>2225</v>
      </c>
      <c r="B990" s="47" t="s">
        <v>2226</v>
      </c>
      <c r="C990" s="47">
        <v>267.0</v>
      </c>
      <c r="D990" s="47">
        <v>237.0</v>
      </c>
      <c r="E990" s="47">
        <v>27070.0</v>
      </c>
      <c r="F990" s="47" t="s">
        <v>11</v>
      </c>
    </row>
    <row r="991" ht="15.75" customHeight="1">
      <c r="A991" s="46" t="s">
        <v>2227</v>
      </c>
      <c r="B991" s="47" t="s">
        <v>2228</v>
      </c>
      <c r="C991" s="47">
        <v>692.0</v>
      </c>
      <c r="D991" s="47">
        <v>670.0</v>
      </c>
      <c r="E991" s="47">
        <v>28950.0</v>
      </c>
      <c r="F991" s="47" t="s">
        <v>11</v>
      </c>
    </row>
    <row r="992" ht="15.75" customHeight="1">
      <c r="A992" s="46" t="s">
        <v>2229</v>
      </c>
      <c r="B992" s="47" t="s">
        <v>2230</v>
      </c>
      <c r="C992" s="47">
        <v>479.0</v>
      </c>
      <c r="D992" s="47">
        <v>462.0</v>
      </c>
      <c r="E992" s="47">
        <v>25710.0</v>
      </c>
      <c r="F992" s="47" t="s">
        <v>11</v>
      </c>
    </row>
    <row r="993" ht="15.75" customHeight="1">
      <c r="A993" s="46" t="s">
        <v>2231</v>
      </c>
      <c r="B993" s="47" t="s">
        <v>2232</v>
      </c>
      <c r="C993" s="47">
        <v>600.0</v>
      </c>
      <c r="D993" s="47">
        <v>620.0</v>
      </c>
      <c r="E993" s="47">
        <v>31840.0</v>
      </c>
      <c r="F993" s="47" t="s">
        <v>11</v>
      </c>
    </row>
    <row r="994" ht="15.75" customHeight="1">
      <c r="A994" s="46" t="s">
        <v>2233</v>
      </c>
      <c r="B994" s="47" t="s">
        <v>2234</v>
      </c>
      <c r="C994" s="47">
        <v>5158.0</v>
      </c>
      <c r="D994" s="47">
        <v>5341.0</v>
      </c>
      <c r="E994" s="47">
        <v>25920.0</v>
      </c>
      <c r="F994" s="47">
        <v>9.0</v>
      </c>
    </row>
    <row r="995" ht="15.75" customHeight="1">
      <c r="A995" s="46" t="s">
        <v>2235</v>
      </c>
      <c r="B995" s="47" t="s">
        <v>2236</v>
      </c>
      <c r="C995" s="47">
        <v>1592.0</v>
      </c>
      <c r="D995" s="47">
        <v>1586.0</v>
      </c>
      <c r="E995" s="47">
        <v>25600.0</v>
      </c>
      <c r="F995" s="47" t="s">
        <v>11</v>
      </c>
    </row>
    <row r="996" ht="15.75" customHeight="1">
      <c r="A996" s="46" t="s">
        <v>2237</v>
      </c>
      <c r="B996" s="47" t="s">
        <v>2238</v>
      </c>
      <c r="C996" s="47">
        <v>470.0</v>
      </c>
      <c r="D996" s="47">
        <v>479.0</v>
      </c>
      <c r="E996" s="47">
        <v>27200.0</v>
      </c>
      <c r="F996" s="47" t="s">
        <v>11</v>
      </c>
    </row>
    <row r="997" ht="15.75" customHeight="1">
      <c r="A997" s="46" t="s">
        <v>2239</v>
      </c>
      <c r="B997" s="47" t="s">
        <v>2240</v>
      </c>
      <c r="C997" s="47">
        <v>9619.0</v>
      </c>
      <c r="D997" s="47">
        <v>9039.0</v>
      </c>
      <c r="E997" s="47">
        <v>19690.0</v>
      </c>
      <c r="F997" s="47">
        <v>30.0</v>
      </c>
    </row>
    <row r="998" ht="15.75" customHeight="1">
      <c r="A998" s="46" t="s">
        <v>2241</v>
      </c>
      <c r="B998" s="47" t="s">
        <v>2242</v>
      </c>
      <c r="C998" s="47">
        <v>3257.0</v>
      </c>
      <c r="D998" s="47">
        <v>3171.0</v>
      </c>
      <c r="E998" s="47">
        <v>22420.0</v>
      </c>
      <c r="F998" s="47">
        <v>20.0</v>
      </c>
    </row>
    <row r="999" ht="15.75" customHeight="1">
      <c r="A999" s="46" t="s">
        <v>2243</v>
      </c>
      <c r="B999" s="47" t="s">
        <v>2244</v>
      </c>
      <c r="C999" s="47">
        <v>4192.0</v>
      </c>
      <c r="D999" s="47">
        <v>4202.0</v>
      </c>
      <c r="E999" s="47">
        <v>17960.0</v>
      </c>
      <c r="F999" s="47">
        <v>36.0</v>
      </c>
    </row>
    <row r="1000" ht="15.75" customHeight="1">
      <c r="A1000" s="46" t="s">
        <v>2245</v>
      </c>
      <c r="B1000" s="47" t="s">
        <v>2246</v>
      </c>
      <c r="C1000" s="47">
        <v>299.0</v>
      </c>
      <c r="D1000" s="47">
        <v>302.0</v>
      </c>
      <c r="E1000" s="47">
        <v>40440.0</v>
      </c>
      <c r="F1000" s="47" t="s">
        <v>11</v>
      </c>
    </row>
    <row r="1001" ht="15.75" customHeight="1">
      <c r="A1001" s="46" t="s">
        <v>2247</v>
      </c>
      <c r="B1001" s="47" t="s">
        <v>2248</v>
      </c>
      <c r="C1001" s="47">
        <v>679.0</v>
      </c>
      <c r="D1001" s="47">
        <v>656.0</v>
      </c>
      <c r="E1001" s="47">
        <v>24040.0</v>
      </c>
      <c r="F1001" s="47" t="s">
        <v>11</v>
      </c>
    </row>
    <row r="1002" ht="15.75" customHeight="1">
      <c r="A1002" s="46" t="s">
        <v>2249</v>
      </c>
      <c r="B1002" s="47" t="s">
        <v>2250</v>
      </c>
      <c r="C1002" s="47">
        <v>2115.0</v>
      </c>
      <c r="D1002" s="47">
        <v>2137.0</v>
      </c>
      <c r="E1002" s="47">
        <v>26920.0</v>
      </c>
      <c r="F1002" s="47">
        <v>11.0</v>
      </c>
    </row>
    <row r="1003" ht="15.75" customHeight="1">
      <c r="A1003" s="46" t="s">
        <v>2251</v>
      </c>
      <c r="B1003" s="47" t="s">
        <v>2252</v>
      </c>
      <c r="C1003" s="47">
        <v>891.0</v>
      </c>
      <c r="D1003" s="47">
        <v>893.0</v>
      </c>
      <c r="E1003" s="47">
        <v>26740.0</v>
      </c>
      <c r="F1003" s="47" t="s">
        <v>11</v>
      </c>
    </row>
    <row r="1004" ht="15.75" customHeight="1">
      <c r="A1004" s="46" t="s">
        <v>2253</v>
      </c>
      <c r="B1004" s="47" t="s">
        <v>2254</v>
      </c>
      <c r="C1004" s="47">
        <v>6379.0</v>
      </c>
      <c r="D1004" s="47">
        <v>6525.0</v>
      </c>
      <c r="E1004" s="47">
        <v>24530.0</v>
      </c>
      <c r="F1004" s="47">
        <v>13.0</v>
      </c>
    </row>
    <row r="1005" ht="15.75" customHeight="1">
      <c r="A1005" s="46" t="s">
        <v>2255</v>
      </c>
      <c r="B1005" s="47" t="s">
        <v>2256</v>
      </c>
      <c r="C1005" s="47">
        <v>461.0</v>
      </c>
      <c r="D1005" s="47">
        <v>475.0</v>
      </c>
      <c r="E1005" s="47">
        <v>27120.0</v>
      </c>
      <c r="F1005" s="47" t="s">
        <v>11</v>
      </c>
    </row>
    <row r="1006" ht="15.75" customHeight="1">
      <c r="A1006" s="46" t="s">
        <v>2257</v>
      </c>
      <c r="B1006" s="47" t="s">
        <v>811</v>
      </c>
      <c r="C1006" s="47">
        <v>1112.0</v>
      </c>
      <c r="D1006" s="47">
        <v>1134.0</v>
      </c>
      <c r="E1006" s="47">
        <v>28340.0</v>
      </c>
      <c r="F1006" s="47" t="s">
        <v>11</v>
      </c>
    </row>
    <row r="1007" ht="15.75" customHeight="1">
      <c r="A1007" s="46" t="s">
        <v>2258</v>
      </c>
      <c r="B1007" s="47" t="s">
        <v>2259</v>
      </c>
      <c r="C1007" s="47">
        <v>956.0</v>
      </c>
      <c r="D1007" s="47">
        <v>937.0</v>
      </c>
      <c r="E1007" s="47">
        <v>31680.0</v>
      </c>
      <c r="F1007" s="47" t="s">
        <v>11</v>
      </c>
    </row>
    <row r="1008" ht="15.75" customHeight="1">
      <c r="A1008" s="46" t="s">
        <v>2260</v>
      </c>
      <c r="B1008" s="47" t="s">
        <v>2261</v>
      </c>
      <c r="C1008" s="47">
        <v>352.0</v>
      </c>
      <c r="D1008" s="47">
        <v>363.0</v>
      </c>
      <c r="E1008" s="47">
        <v>28550.0</v>
      </c>
      <c r="F1008" s="47" t="s">
        <v>11</v>
      </c>
    </row>
    <row r="1009" ht="15.75" customHeight="1">
      <c r="A1009" s="46" t="s">
        <v>2262</v>
      </c>
      <c r="B1009" s="47" t="s">
        <v>2263</v>
      </c>
      <c r="C1009" s="47">
        <v>340.0</v>
      </c>
      <c r="D1009" s="47">
        <v>328.0</v>
      </c>
      <c r="E1009" s="47">
        <v>36880.0</v>
      </c>
      <c r="F1009" s="47" t="s">
        <v>11</v>
      </c>
    </row>
    <row r="1010" ht="15.75" customHeight="1">
      <c r="A1010" s="46" t="s">
        <v>2264</v>
      </c>
      <c r="B1010" s="47" t="s">
        <v>2265</v>
      </c>
      <c r="C1010" s="47">
        <v>1319.0</v>
      </c>
      <c r="D1010" s="47">
        <v>1233.0</v>
      </c>
      <c r="E1010" s="47">
        <v>23040.0</v>
      </c>
      <c r="F1010" s="47" t="s">
        <v>11</v>
      </c>
    </row>
    <row r="1011" ht="15.75" customHeight="1">
      <c r="A1011" s="46" t="s">
        <v>2266</v>
      </c>
      <c r="B1011" s="47" t="s">
        <v>2267</v>
      </c>
      <c r="C1011" s="47">
        <v>709.0</v>
      </c>
      <c r="D1011" s="47">
        <v>725.0</v>
      </c>
      <c r="E1011" s="47">
        <v>28590.0</v>
      </c>
      <c r="F1011" s="47" t="s">
        <v>11</v>
      </c>
    </row>
    <row r="1012" ht="15.75" customHeight="1">
      <c r="A1012" s="46" t="s">
        <v>2268</v>
      </c>
      <c r="B1012" s="47" t="s">
        <v>2269</v>
      </c>
      <c r="C1012" s="47">
        <v>17835.0</v>
      </c>
      <c r="D1012" s="47">
        <v>18619.0</v>
      </c>
      <c r="E1012" s="47">
        <v>24290.0</v>
      </c>
      <c r="F1012" s="47">
        <v>20.0</v>
      </c>
    </row>
    <row r="1013" ht="15.75" customHeight="1">
      <c r="A1013" s="46" t="s">
        <v>2270</v>
      </c>
      <c r="B1013" s="47" t="s">
        <v>2271</v>
      </c>
      <c r="C1013" s="47">
        <v>2517.0</v>
      </c>
      <c r="D1013" s="47">
        <v>2474.0</v>
      </c>
      <c r="E1013" s="47">
        <v>27390.0</v>
      </c>
      <c r="F1013" s="47">
        <v>16.0</v>
      </c>
    </row>
    <row r="1014" ht="15.75" customHeight="1">
      <c r="A1014" s="46" t="s">
        <v>2272</v>
      </c>
      <c r="B1014" s="47" t="s">
        <v>2273</v>
      </c>
      <c r="C1014" s="47">
        <v>2172.0</v>
      </c>
      <c r="D1014" s="47">
        <v>2278.0</v>
      </c>
      <c r="E1014" s="47">
        <v>30940.0</v>
      </c>
      <c r="F1014" s="47">
        <v>5.0</v>
      </c>
    </row>
    <row r="1015" ht="15.75" customHeight="1">
      <c r="A1015" s="46" t="s">
        <v>2274</v>
      </c>
      <c r="B1015" s="47" t="s">
        <v>2275</v>
      </c>
      <c r="C1015" s="47">
        <v>511.0</v>
      </c>
      <c r="D1015" s="47">
        <v>506.0</v>
      </c>
      <c r="E1015" s="47">
        <v>23090.0</v>
      </c>
      <c r="F1015" s="47" t="s">
        <v>11</v>
      </c>
    </row>
    <row r="1016" ht="15.75" customHeight="1">
      <c r="A1016" s="46" t="s">
        <v>2276</v>
      </c>
      <c r="B1016" s="47" t="s">
        <v>2277</v>
      </c>
      <c r="C1016" s="47">
        <v>1745.0</v>
      </c>
      <c r="D1016" s="47">
        <v>1635.0</v>
      </c>
      <c r="E1016" s="47">
        <v>24690.0</v>
      </c>
      <c r="F1016" s="47" t="s">
        <v>11</v>
      </c>
    </row>
    <row r="1017" ht="15.75" customHeight="1">
      <c r="A1017" s="46" t="s">
        <v>2278</v>
      </c>
      <c r="B1017" s="47" t="s">
        <v>2279</v>
      </c>
      <c r="C1017" s="47">
        <v>6881.0</v>
      </c>
      <c r="D1017" s="47">
        <v>6703.0</v>
      </c>
      <c r="E1017" s="47">
        <v>21780.0</v>
      </c>
      <c r="F1017" s="47">
        <v>25.0</v>
      </c>
    </row>
    <row r="1018" ht="15.75" customHeight="1">
      <c r="A1018" s="46" t="s">
        <v>2280</v>
      </c>
      <c r="B1018" s="47" t="s">
        <v>2281</v>
      </c>
      <c r="C1018" s="47">
        <v>1420.0</v>
      </c>
      <c r="D1018" s="47">
        <v>1433.0</v>
      </c>
      <c r="E1018" s="47">
        <v>24460.0</v>
      </c>
      <c r="F1018" s="47" t="s">
        <v>11</v>
      </c>
    </row>
    <row r="1019" ht="15.75" customHeight="1">
      <c r="A1019" s="46" t="s">
        <v>2282</v>
      </c>
      <c r="B1019" s="47" t="s">
        <v>2283</v>
      </c>
      <c r="C1019" s="47">
        <v>5385.0</v>
      </c>
      <c r="D1019" s="47">
        <v>5441.0</v>
      </c>
      <c r="E1019" s="47">
        <v>22250.0</v>
      </c>
      <c r="F1019" s="47">
        <v>19.0</v>
      </c>
    </row>
    <row r="1020" ht="15.75" customHeight="1">
      <c r="A1020" s="46" t="s">
        <v>2284</v>
      </c>
      <c r="B1020" s="47" t="s">
        <v>2285</v>
      </c>
      <c r="C1020" s="47">
        <v>1455.0</v>
      </c>
      <c r="D1020" s="47">
        <v>1432.0</v>
      </c>
      <c r="E1020" s="47">
        <v>27930.0</v>
      </c>
      <c r="F1020" s="47" t="s">
        <v>11</v>
      </c>
    </row>
    <row r="1021" ht="15.75" customHeight="1">
      <c r="A1021" s="46" t="s">
        <v>2286</v>
      </c>
      <c r="B1021" s="47" t="s">
        <v>2287</v>
      </c>
      <c r="C1021" s="47">
        <v>567.0</v>
      </c>
      <c r="D1021" s="47">
        <v>514.0</v>
      </c>
      <c r="E1021" s="47">
        <v>23920.0</v>
      </c>
      <c r="F1021" s="47" t="s">
        <v>11</v>
      </c>
    </row>
    <row r="1022" ht="15.75" customHeight="1">
      <c r="A1022" s="46" t="s">
        <v>2288</v>
      </c>
      <c r="B1022" s="47" t="s">
        <v>2289</v>
      </c>
      <c r="C1022" s="47">
        <v>5301.0</v>
      </c>
      <c r="D1022" s="47">
        <v>5131.0</v>
      </c>
      <c r="E1022" s="47">
        <v>21330.0</v>
      </c>
      <c r="F1022" s="47">
        <v>25.0</v>
      </c>
    </row>
    <row r="1023" ht="15.75" customHeight="1">
      <c r="A1023" s="46" t="s">
        <v>2290</v>
      </c>
      <c r="B1023" s="47" t="s">
        <v>2291</v>
      </c>
      <c r="C1023" s="47">
        <v>1066.0</v>
      </c>
      <c r="D1023" s="47">
        <v>1024.0</v>
      </c>
      <c r="E1023" s="47">
        <v>23320.0</v>
      </c>
      <c r="F1023" s="47" t="s">
        <v>11</v>
      </c>
    </row>
    <row r="1024" ht="15.75" customHeight="1">
      <c r="A1024" s="46" t="s">
        <v>2292</v>
      </c>
      <c r="B1024" s="47" t="s">
        <v>847</v>
      </c>
      <c r="C1024" s="47">
        <v>420.0</v>
      </c>
      <c r="D1024" s="47">
        <v>431.0</v>
      </c>
      <c r="E1024" s="47">
        <v>28240.0</v>
      </c>
      <c r="F1024" s="47" t="s">
        <v>11</v>
      </c>
    </row>
    <row r="1025" ht="15.75" customHeight="1">
      <c r="A1025" s="46" t="s">
        <v>2293</v>
      </c>
      <c r="B1025" s="47" t="s">
        <v>2294</v>
      </c>
      <c r="C1025" s="47">
        <v>382.0</v>
      </c>
      <c r="D1025" s="47">
        <v>342.0</v>
      </c>
      <c r="E1025" s="47">
        <v>23850.0</v>
      </c>
      <c r="F1025" s="47" t="s">
        <v>11</v>
      </c>
    </row>
    <row r="1026" ht="15.75" customHeight="1">
      <c r="A1026" s="46" t="s">
        <v>2295</v>
      </c>
      <c r="B1026" s="47" t="s">
        <v>2296</v>
      </c>
      <c r="C1026" s="47">
        <v>5856.0</v>
      </c>
      <c r="D1026" s="47">
        <v>5424.0</v>
      </c>
      <c r="E1026" s="47">
        <v>21660.0</v>
      </c>
      <c r="F1026" s="47">
        <v>23.0</v>
      </c>
    </row>
    <row r="1027" ht="15.75" customHeight="1">
      <c r="A1027" s="46" t="s">
        <v>2297</v>
      </c>
      <c r="B1027" s="47" t="s">
        <v>2298</v>
      </c>
      <c r="C1027" s="47">
        <v>261.0</v>
      </c>
      <c r="D1027" s="47">
        <v>276.0</v>
      </c>
      <c r="E1027" s="47">
        <v>25830.0</v>
      </c>
      <c r="F1027" s="47" t="s">
        <v>11</v>
      </c>
    </row>
    <row r="1028" ht="15.75" customHeight="1">
      <c r="A1028" s="46" t="s">
        <v>2299</v>
      </c>
      <c r="B1028" s="47" t="s">
        <v>2300</v>
      </c>
      <c r="C1028" s="47">
        <v>972.0</v>
      </c>
      <c r="D1028" s="47">
        <v>923.0</v>
      </c>
      <c r="E1028" s="47">
        <v>28370.0</v>
      </c>
      <c r="F1028" s="47" t="s">
        <v>11</v>
      </c>
    </row>
    <row r="1029" ht="15.75" customHeight="1">
      <c r="A1029" s="46" t="s">
        <v>2301</v>
      </c>
      <c r="B1029" s="47" t="s">
        <v>2302</v>
      </c>
      <c r="C1029" s="47">
        <v>1646.0</v>
      </c>
      <c r="D1029" s="47">
        <v>1685.0</v>
      </c>
      <c r="E1029" s="47">
        <v>27200.0</v>
      </c>
      <c r="F1029" s="47" t="s">
        <v>11</v>
      </c>
    </row>
    <row r="1030" ht="15.75" customHeight="1">
      <c r="A1030" s="46" t="s">
        <v>2303</v>
      </c>
      <c r="B1030" s="47" t="s">
        <v>2304</v>
      </c>
      <c r="C1030" s="47">
        <v>5570.0</v>
      </c>
      <c r="D1030" s="47">
        <v>5745.0</v>
      </c>
      <c r="E1030" s="47">
        <v>26580.0</v>
      </c>
      <c r="F1030" s="47">
        <v>11.0</v>
      </c>
    </row>
    <row r="1031" ht="15.75" customHeight="1">
      <c r="A1031" s="46" t="s">
        <v>2305</v>
      </c>
      <c r="B1031" s="47" t="s">
        <v>2306</v>
      </c>
      <c r="C1031" s="47">
        <v>128.0</v>
      </c>
      <c r="D1031" s="47">
        <v>131.0</v>
      </c>
      <c r="E1031" s="47">
        <v>30310.0</v>
      </c>
      <c r="F1031" s="47" t="s">
        <v>11</v>
      </c>
    </row>
    <row r="1032" ht="15.75" customHeight="1">
      <c r="A1032" s="46" t="s">
        <v>2307</v>
      </c>
      <c r="B1032" s="47" t="s">
        <v>2308</v>
      </c>
      <c r="C1032" s="47">
        <v>532.0</v>
      </c>
      <c r="D1032" s="47">
        <v>505.0</v>
      </c>
      <c r="E1032" s="47">
        <v>22990.0</v>
      </c>
      <c r="F1032" s="47" t="s">
        <v>11</v>
      </c>
    </row>
    <row r="1033" ht="15.75" customHeight="1">
      <c r="A1033" s="46" t="s">
        <v>2309</v>
      </c>
      <c r="B1033" s="47" t="s">
        <v>2310</v>
      </c>
      <c r="C1033" s="47">
        <v>682.0</v>
      </c>
      <c r="D1033" s="47">
        <v>687.0</v>
      </c>
      <c r="E1033" s="47">
        <v>25780.0</v>
      </c>
      <c r="F1033" s="47" t="s">
        <v>11</v>
      </c>
    </row>
    <row r="1034" ht="15.75" customHeight="1">
      <c r="A1034" s="46" t="s">
        <v>2311</v>
      </c>
      <c r="B1034" s="47" t="s">
        <v>2312</v>
      </c>
      <c r="C1034" s="47">
        <v>1215.0</v>
      </c>
      <c r="D1034" s="47">
        <v>1214.0</v>
      </c>
      <c r="E1034" s="47">
        <v>23820.0</v>
      </c>
      <c r="F1034" s="47" t="s">
        <v>11</v>
      </c>
    </row>
    <row r="1035" ht="15.75" customHeight="1">
      <c r="A1035" s="46" t="s">
        <v>2313</v>
      </c>
      <c r="B1035" s="47" t="s">
        <v>865</v>
      </c>
      <c r="C1035" s="47">
        <v>1780.0</v>
      </c>
      <c r="D1035" s="47">
        <v>1754.0</v>
      </c>
      <c r="E1035" s="47">
        <v>26030.0</v>
      </c>
      <c r="F1035" s="47" t="s">
        <v>11</v>
      </c>
    </row>
    <row r="1036" ht="15.75" customHeight="1">
      <c r="A1036" s="46" t="s">
        <v>2314</v>
      </c>
      <c r="B1036" s="47" t="s">
        <v>2315</v>
      </c>
      <c r="C1036" s="47">
        <v>565.0</v>
      </c>
      <c r="D1036" s="47">
        <v>549.0</v>
      </c>
      <c r="E1036" s="47">
        <v>25060.0</v>
      </c>
      <c r="F1036" s="47" t="s">
        <v>11</v>
      </c>
    </row>
    <row r="1037" ht="15.75" customHeight="1">
      <c r="A1037" s="46" t="s">
        <v>2316</v>
      </c>
      <c r="B1037" s="47" t="s">
        <v>2317</v>
      </c>
      <c r="C1037" s="47">
        <v>1457.0</v>
      </c>
      <c r="D1037" s="47">
        <v>1662.0</v>
      </c>
      <c r="E1037" s="47">
        <v>31300.0</v>
      </c>
      <c r="F1037" s="47" t="s">
        <v>11</v>
      </c>
    </row>
    <row r="1038" ht="15.75" customHeight="1">
      <c r="A1038" s="46" t="s">
        <v>2318</v>
      </c>
      <c r="B1038" s="47" t="s">
        <v>2319</v>
      </c>
      <c r="C1038" s="47">
        <v>11727.0</v>
      </c>
      <c r="D1038" s="47">
        <v>11449.0</v>
      </c>
      <c r="E1038" s="47">
        <v>18550.0</v>
      </c>
      <c r="F1038" s="47">
        <v>35.0</v>
      </c>
    </row>
    <row r="1039" ht="15.75" customHeight="1">
      <c r="A1039" s="46" t="s">
        <v>2320</v>
      </c>
      <c r="B1039" s="47" t="s">
        <v>2321</v>
      </c>
      <c r="C1039" s="47">
        <v>2220.0</v>
      </c>
      <c r="D1039" s="47">
        <v>2179.0</v>
      </c>
      <c r="E1039" s="47">
        <v>33410.0</v>
      </c>
      <c r="F1039" s="47">
        <v>4.0</v>
      </c>
    </row>
    <row r="1040" ht="15.75" customHeight="1">
      <c r="A1040" s="46" t="s">
        <v>2322</v>
      </c>
      <c r="B1040" s="47" t="s">
        <v>2323</v>
      </c>
      <c r="C1040" s="47">
        <v>378.0</v>
      </c>
      <c r="D1040" s="47">
        <v>389.0</v>
      </c>
      <c r="E1040" s="47">
        <v>28410.0</v>
      </c>
      <c r="F1040" s="47" t="s">
        <v>11</v>
      </c>
    </row>
    <row r="1041" ht="15.75" customHeight="1">
      <c r="A1041" s="46" t="s">
        <v>2324</v>
      </c>
      <c r="B1041" s="47" t="s">
        <v>2325</v>
      </c>
      <c r="C1041" s="47">
        <v>2415.0</v>
      </c>
      <c r="D1041" s="47">
        <v>2609.0</v>
      </c>
      <c r="E1041" s="47">
        <v>28360.0</v>
      </c>
      <c r="F1041" s="47">
        <v>8.0</v>
      </c>
    </row>
    <row r="1042" ht="15.75" customHeight="1">
      <c r="A1042" s="46" t="s">
        <v>2326</v>
      </c>
      <c r="B1042" s="47" t="s">
        <v>2327</v>
      </c>
      <c r="C1042" s="47">
        <v>7565.0</v>
      </c>
      <c r="D1042" s="47">
        <v>7354.0</v>
      </c>
      <c r="E1042" s="47">
        <v>20160.0</v>
      </c>
      <c r="F1042" s="47">
        <v>28.0</v>
      </c>
    </row>
    <row r="1043" ht="15.75" customHeight="1">
      <c r="A1043" s="46" t="s">
        <v>2328</v>
      </c>
      <c r="B1043" s="47" t="s">
        <v>2329</v>
      </c>
      <c r="C1043" s="47">
        <v>877.0</v>
      </c>
      <c r="D1043" s="47">
        <v>919.0</v>
      </c>
      <c r="E1043" s="47">
        <v>27010.0</v>
      </c>
      <c r="F1043" s="47" t="s">
        <v>11</v>
      </c>
    </row>
    <row r="1044" ht="15.75" customHeight="1">
      <c r="A1044" s="46" t="s">
        <v>2330</v>
      </c>
      <c r="B1044" s="47" t="s">
        <v>2331</v>
      </c>
      <c r="C1044" s="47">
        <v>572.0</v>
      </c>
      <c r="D1044" s="47">
        <v>571.0</v>
      </c>
      <c r="E1044" s="47">
        <v>25910.0</v>
      </c>
      <c r="F1044" s="47" t="s">
        <v>11</v>
      </c>
    </row>
    <row r="1045" ht="15.75" customHeight="1">
      <c r="A1045" s="46" t="s">
        <v>2332</v>
      </c>
      <c r="B1045" s="47" t="s">
        <v>2333</v>
      </c>
      <c r="C1045" s="47">
        <v>3380.0</v>
      </c>
      <c r="D1045" s="47">
        <v>3214.0</v>
      </c>
      <c r="E1045" s="47">
        <v>29130.0</v>
      </c>
      <c r="F1045" s="47">
        <v>8.0</v>
      </c>
    </row>
    <row r="1046" ht="15.75" customHeight="1">
      <c r="A1046" s="46" t="s">
        <v>2334</v>
      </c>
      <c r="B1046" s="47" t="s">
        <v>2335</v>
      </c>
      <c r="C1046" s="47">
        <v>958.0</v>
      </c>
      <c r="D1046" s="47">
        <v>1161.0</v>
      </c>
      <c r="E1046" s="47">
        <v>31990.0</v>
      </c>
      <c r="F1046" s="47" t="s">
        <v>11</v>
      </c>
    </row>
    <row r="1047" ht="15.75" customHeight="1">
      <c r="A1047" s="46" t="s">
        <v>2336</v>
      </c>
      <c r="B1047" s="47" t="s">
        <v>2337</v>
      </c>
      <c r="C1047" s="47">
        <v>2702.0</v>
      </c>
      <c r="D1047" s="47">
        <v>2803.0</v>
      </c>
      <c r="E1047" s="47">
        <v>31380.0</v>
      </c>
      <c r="F1047" s="47">
        <v>5.0</v>
      </c>
    </row>
    <row r="1048" ht="15.75" customHeight="1">
      <c r="A1048" s="46" t="s">
        <v>2338</v>
      </c>
      <c r="B1048" s="47" t="s">
        <v>2339</v>
      </c>
      <c r="C1048" s="47">
        <v>520.0</v>
      </c>
      <c r="D1048" s="47">
        <v>505.0</v>
      </c>
      <c r="E1048" s="47">
        <v>30310.0</v>
      </c>
      <c r="F1048" s="47" t="s">
        <v>11</v>
      </c>
    </row>
    <row r="1049" ht="15.75" customHeight="1">
      <c r="A1049" s="46" t="s">
        <v>2340</v>
      </c>
      <c r="B1049" s="47" t="s">
        <v>2341</v>
      </c>
      <c r="C1049" s="47">
        <v>4193.0</v>
      </c>
      <c r="D1049" s="47">
        <v>4133.0</v>
      </c>
      <c r="E1049" s="47">
        <v>26930.0</v>
      </c>
      <c r="F1049" s="47">
        <v>9.0</v>
      </c>
    </row>
    <row r="1050" ht="15.75" customHeight="1">
      <c r="A1050" s="46" t="s">
        <v>2342</v>
      </c>
      <c r="B1050" s="47" t="s">
        <v>2343</v>
      </c>
      <c r="C1050" s="47">
        <v>1807.0</v>
      </c>
      <c r="D1050" s="47">
        <v>1699.0</v>
      </c>
      <c r="E1050" s="47">
        <v>21310.0</v>
      </c>
      <c r="F1050" s="47" t="s">
        <v>11</v>
      </c>
    </row>
    <row r="1051" ht="15.75" customHeight="1">
      <c r="A1051" s="46" t="s">
        <v>2344</v>
      </c>
      <c r="B1051" s="47" t="s">
        <v>2345</v>
      </c>
      <c r="C1051" s="47">
        <v>2051.0</v>
      </c>
      <c r="D1051" s="47">
        <v>2024.0</v>
      </c>
      <c r="E1051" s="47">
        <v>26880.0</v>
      </c>
      <c r="F1051" s="47" t="s">
        <v>11</v>
      </c>
    </row>
    <row r="1052" ht="15.75" customHeight="1">
      <c r="A1052" s="46" t="s">
        <v>2346</v>
      </c>
      <c r="B1052" s="47" t="s">
        <v>2347</v>
      </c>
      <c r="C1052" s="47">
        <v>1026.0</v>
      </c>
      <c r="D1052" s="47">
        <v>1070.0</v>
      </c>
      <c r="E1052" s="47">
        <v>29160.0</v>
      </c>
      <c r="F1052" s="47" t="s">
        <v>11</v>
      </c>
    </row>
    <row r="1053" ht="15.75" customHeight="1">
      <c r="A1053" s="46" t="s">
        <v>2348</v>
      </c>
      <c r="B1053" s="47" t="s">
        <v>2349</v>
      </c>
      <c r="C1053" s="47">
        <v>752.0</v>
      </c>
      <c r="D1053" s="47">
        <v>723.0</v>
      </c>
      <c r="E1053" s="47">
        <v>26430.0</v>
      </c>
      <c r="F1053" s="47" t="s">
        <v>11</v>
      </c>
    </row>
    <row r="1054" ht="15.75" customHeight="1">
      <c r="A1054" s="46" t="s">
        <v>2350</v>
      </c>
      <c r="B1054" s="47" t="s">
        <v>2351</v>
      </c>
      <c r="C1054" s="47">
        <v>2301.0</v>
      </c>
      <c r="D1054" s="47">
        <v>2264.0</v>
      </c>
      <c r="E1054" s="47">
        <v>28200.0</v>
      </c>
      <c r="F1054" s="47">
        <v>10.0</v>
      </c>
    </row>
    <row r="1055" ht="15.75" customHeight="1">
      <c r="A1055" s="46" t="s">
        <v>2352</v>
      </c>
      <c r="B1055" s="47" t="s">
        <v>2353</v>
      </c>
      <c r="C1055" s="47">
        <v>4055.0</v>
      </c>
      <c r="D1055" s="47">
        <v>4148.0</v>
      </c>
      <c r="E1055" s="47">
        <v>28710.0</v>
      </c>
      <c r="F1055" s="47">
        <v>7.0</v>
      </c>
    </row>
    <row r="1056" ht="15.75" customHeight="1">
      <c r="A1056" s="46" t="s">
        <v>2354</v>
      </c>
      <c r="B1056" s="47" t="s">
        <v>2355</v>
      </c>
      <c r="C1056" s="47">
        <v>309.0</v>
      </c>
      <c r="D1056" s="47">
        <v>279.0</v>
      </c>
      <c r="E1056" s="47">
        <v>24830.0</v>
      </c>
      <c r="F1056" s="47" t="s">
        <v>11</v>
      </c>
    </row>
    <row r="1057" ht="15.75" customHeight="1">
      <c r="A1057" s="46" t="s">
        <v>2356</v>
      </c>
      <c r="B1057" s="47" t="s">
        <v>2357</v>
      </c>
      <c r="C1057" s="47">
        <v>5635.0</v>
      </c>
      <c r="D1057" s="47">
        <v>5616.0</v>
      </c>
      <c r="E1057" s="47">
        <v>24600.0</v>
      </c>
      <c r="F1057" s="47">
        <v>12.0</v>
      </c>
    </row>
    <row r="1058" ht="15.75" customHeight="1">
      <c r="A1058" s="46" t="s">
        <v>2358</v>
      </c>
      <c r="B1058" s="47" t="s">
        <v>2359</v>
      </c>
      <c r="C1058" s="47">
        <v>1511.0</v>
      </c>
      <c r="D1058" s="47">
        <v>1413.0</v>
      </c>
      <c r="E1058" s="47">
        <v>23730.0</v>
      </c>
      <c r="F1058" s="47" t="s">
        <v>11</v>
      </c>
    </row>
    <row r="1059" ht="15.75" customHeight="1">
      <c r="A1059" s="46" t="s">
        <v>2360</v>
      </c>
      <c r="B1059" s="47" t="s">
        <v>2361</v>
      </c>
      <c r="C1059" s="47">
        <v>505.0</v>
      </c>
      <c r="D1059" s="47">
        <v>473.0</v>
      </c>
      <c r="E1059" s="47">
        <v>23440.0</v>
      </c>
      <c r="F1059" s="47" t="s">
        <v>11</v>
      </c>
    </row>
    <row r="1060" ht="15.75" customHeight="1">
      <c r="A1060" s="46" t="s">
        <v>2362</v>
      </c>
      <c r="B1060" s="47" t="s">
        <v>2363</v>
      </c>
      <c r="C1060" s="47">
        <v>22966.0</v>
      </c>
      <c r="D1060" s="47">
        <v>20239.0</v>
      </c>
      <c r="E1060" s="47">
        <v>18630.0</v>
      </c>
      <c r="F1060" s="47">
        <v>35.0</v>
      </c>
    </row>
    <row r="1061" ht="15.75" customHeight="1">
      <c r="A1061" s="46" t="s">
        <v>2364</v>
      </c>
      <c r="B1061" s="47" t="s">
        <v>2365</v>
      </c>
      <c r="C1061" s="47">
        <v>5048.0</v>
      </c>
      <c r="D1061" s="47">
        <v>4887.0</v>
      </c>
      <c r="E1061" s="47">
        <v>22490.0</v>
      </c>
      <c r="F1061" s="47">
        <v>19.0</v>
      </c>
    </row>
    <row r="1062" ht="15.75" customHeight="1">
      <c r="A1062" s="46" t="s">
        <v>2366</v>
      </c>
      <c r="B1062" s="47" t="s">
        <v>2367</v>
      </c>
      <c r="C1062" s="47">
        <v>11166.0</v>
      </c>
      <c r="D1062" s="47">
        <v>11430.0</v>
      </c>
      <c r="E1062" s="47">
        <v>24460.0</v>
      </c>
      <c r="F1062" s="47">
        <v>16.0</v>
      </c>
    </row>
    <row r="1063" ht="15.75" customHeight="1">
      <c r="A1063" s="46" t="s">
        <v>2368</v>
      </c>
      <c r="B1063" s="47" t="s">
        <v>2369</v>
      </c>
      <c r="C1063" s="47">
        <v>481.0</v>
      </c>
      <c r="D1063" s="47">
        <v>464.0</v>
      </c>
      <c r="E1063" s="47">
        <v>25500.0</v>
      </c>
      <c r="F1063" s="47" t="s">
        <v>11</v>
      </c>
    </row>
    <row r="1064" ht="15.75" customHeight="1">
      <c r="A1064" s="46" t="s">
        <v>2370</v>
      </c>
      <c r="B1064" s="47" t="s">
        <v>2371</v>
      </c>
      <c r="C1064" s="47">
        <v>1309.0</v>
      </c>
      <c r="D1064" s="47">
        <v>1207.0</v>
      </c>
      <c r="E1064" s="47">
        <v>38610.0</v>
      </c>
      <c r="F1064" s="47" t="s">
        <v>11</v>
      </c>
    </row>
    <row r="1065" ht="15.75" customHeight="1">
      <c r="A1065" s="46" t="s">
        <v>2372</v>
      </c>
      <c r="B1065" s="47" t="s">
        <v>2373</v>
      </c>
      <c r="C1065" s="47">
        <v>4677.0</v>
      </c>
      <c r="D1065" s="47">
        <v>4635.0</v>
      </c>
      <c r="E1065" s="47">
        <v>20990.0</v>
      </c>
      <c r="F1065" s="47">
        <v>25.0</v>
      </c>
    </row>
    <row r="1066" ht="15.75" customHeight="1">
      <c r="A1066" s="46" t="s">
        <v>2374</v>
      </c>
      <c r="B1066" s="47" t="s">
        <v>2375</v>
      </c>
      <c r="C1066" s="47">
        <v>334.0</v>
      </c>
      <c r="D1066" s="47">
        <v>353.0</v>
      </c>
      <c r="E1066" s="47">
        <v>29380.0</v>
      </c>
      <c r="F1066" s="47" t="s">
        <v>11</v>
      </c>
    </row>
    <row r="1067" ht="15.75" customHeight="1">
      <c r="A1067" s="46" t="s">
        <v>2376</v>
      </c>
      <c r="B1067" s="47" t="s">
        <v>2377</v>
      </c>
      <c r="C1067" s="47">
        <v>4436.0</v>
      </c>
      <c r="D1067" s="47">
        <v>4683.0</v>
      </c>
      <c r="E1067" s="47">
        <v>27180.0</v>
      </c>
      <c r="F1067" s="47">
        <v>8.0</v>
      </c>
    </row>
    <row r="1068" ht="15.75" customHeight="1">
      <c r="A1068" s="46" t="s">
        <v>2378</v>
      </c>
      <c r="B1068" s="47" t="s">
        <v>2379</v>
      </c>
      <c r="C1068" s="47">
        <v>20800.0</v>
      </c>
      <c r="D1068" s="47">
        <v>20715.0</v>
      </c>
      <c r="E1068" s="47">
        <v>23950.0</v>
      </c>
      <c r="F1068" s="47">
        <v>19.0</v>
      </c>
    </row>
    <row r="1069" ht="15.75" customHeight="1">
      <c r="A1069" s="46" t="s">
        <v>2380</v>
      </c>
      <c r="B1069" s="47" t="s">
        <v>2381</v>
      </c>
      <c r="C1069" s="47">
        <v>786.0</v>
      </c>
      <c r="D1069" s="47">
        <v>797.0</v>
      </c>
      <c r="E1069" s="47">
        <v>26210.0</v>
      </c>
      <c r="F1069" s="47" t="s">
        <v>11</v>
      </c>
    </row>
    <row r="1070" ht="15.75" customHeight="1">
      <c r="A1070" s="46" t="s">
        <v>2382</v>
      </c>
      <c r="B1070" s="47" t="s">
        <v>2383</v>
      </c>
      <c r="C1070" s="47">
        <v>1304.0</v>
      </c>
      <c r="D1070" s="47">
        <v>1244.0</v>
      </c>
      <c r="E1070" s="47">
        <v>27460.0</v>
      </c>
      <c r="F1070" s="47" t="s">
        <v>11</v>
      </c>
    </row>
    <row r="1071" ht="15.75" customHeight="1">
      <c r="A1071" s="46" t="s">
        <v>2384</v>
      </c>
      <c r="B1071" s="47" t="s">
        <v>2385</v>
      </c>
      <c r="C1071" s="47">
        <v>381.0</v>
      </c>
      <c r="D1071" s="47">
        <v>385.0</v>
      </c>
      <c r="E1071" s="47">
        <v>27210.0</v>
      </c>
      <c r="F1071" s="47" t="s">
        <v>11</v>
      </c>
    </row>
    <row r="1072" ht="15.75" customHeight="1">
      <c r="A1072" s="46" t="s">
        <v>2386</v>
      </c>
      <c r="B1072" s="47" t="s">
        <v>2387</v>
      </c>
      <c r="C1072" s="47">
        <v>607.0</v>
      </c>
      <c r="D1072" s="47">
        <v>599.0</v>
      </c>
      <c r="E1072" s="47">
        <v>28710.0</v>
      </c>
      <c r="F1072" s="47" t="s">
        <v>11</v>
      </c>
    </row>
    <row r="1073" ht="15.75" customHeight="1">
      <c r="A1073" s="46" t="s">
        <v>2388</v>
      </c>
      <c r="B1073" s="47" t="s">
        <v>2389</v>
      </c>
      <c r="C1073" s="47">
        <v>3862.0</v>
      </c>
      <c r="D1073" s="47">
        <v>3849.0</v>
      </c>
      <c r="E1073" s="47">
        <v>26080.0</v>
      </c>
      <c r="F1073" s="47">
        <v>11.0</v>
      </c>
    </row>
    <row r="1074" ht="15.75" customHeight="1">
      <c r="A1074" s="46" t="s">
        <v>2390</v>
      </c>
      <c r="B1074" s="47" t="s">
        <v>2391</v>
      </c>
      <c r="C1074" s="47">
        <v>2739.0</v>
      </c>
      <c r="D1074" s="47">
        <v>2626.0</v>
      </c>
      <c r="E1074" s="47">
        <v>24280.0</v>
      </c>
      <c r="F1074" s="47">
        <v>16.0</v>
      </c>
    </row>
    <row r="1075" ht="15.75" customHeight="1">
      <c r="A1075" s="46" t="s">
        <v>2392</v>
      </c>
      <c r="B1075" s="47" t="s">
        <v>2393</v>
      </c>
      <c r="C1075" s="47">
        <v>14936.0</v>
      </c>
      <c r="D1075" s="47">
        <v>15074.0</v>
      </c>
      <c r="E1075" s="47">
        <v>23630.0</v>
      </c>
      <c r="F1075" s="47">
        <v>18.0</v>
      </c>
    </row>
    <row r="1076" ht="15.75" customHeight="1">
      <c r="A1076" s="46" t="s">
        <v>2394</v>
      </c>
      <c r="B1076" s="47" t="s">
        <v>2395</v>
      </c>
      <c r="C1076" s="47">
        <v>198.0</v>
      </c>
      <c r="D1076" s="47">
        <v>193.0</v>
      </c>
      <c r="E1076" s="47">
        <v>25460.0</v>
      </c>
      <c r="F1076" s="47" t="s">
        <v>11</v>
      </c>
    </row>
    <row r="1077" ht="15.75" customHeight="1">
      <c r="A1077" s="46" t="s">
        <v>2396</v>
      </c>
      <c r="B1077" s="47" t="s">
        <v>2397</v>
      </c>
      <c r="C1077" s="47">
        <v>2306.0</v>
      </c>
      <c r="D1077" s="47">
        <v>2281.0</v>
      </c>
      <c r="E1077" s="47">
        <v>23810.0</v>
      </c>
      <c r="F1077" s="47">
        <v>18.0</v>
      </c>
    </row>
    <row r="1078" ht="15.75" customHeight="1">
      <c r="A1078" s="46" t="s">
        <v>2398</v>
      </c>
      <c r="B1078" s="47" t="s">
        <v>2399</v>
      </c>
      <c r="C1078" s="47">
        <v>1531.0</v>
      </c>
      <c r="D1078" s="47">
        <v>1451.0</v>
      </c>
      <c r="E1078" s="47">
        <v>24040.0</v>
      </c>
      <c r="F1078" s="47" t="s">
        <v>11</v>
      </c>
    </row>
    <row r="1079" ht="15.75" customHeight="1">
      <c r="A1079" s="46" t="s">
        <v>2400</v>
      </c>
      <c r="B1079" s="47" t="s">
        <v>2401</v>
      </c>
      <c r="C1079" s="47">
        <v>391.0</v>
      </c>
      <c r="D1079" s="47">
        <v>361.0</v>
      </c>
      <c r="E1079" s="47">
        <v>25670.0</v>
      </c>
      <c r="F1079" s="47" t="s">
        <v>11</v>
      </c>
    </row>
    <row r="1080" ht="15.75" customHeight="1">
      <c r="A1080" s="46" t="s">
        <v>2402</v>
      </c>
      <c r="B1080" s="47" t="s">
        <v>2403</v>
      </c>
      <c r="C1080" s="47">
        <v>14574.0</v>
      </c>
      <c r="D1080" s="47">
        <v>14152.0</v>
      </c>
      <c r="E1080" s="47">
        <v>18300.0</v>
      </c>
      <c r="F1080" s="47">
        <v>35.0</v>
      </c>
    </row>
    <row r="1081" ht="15.75" customHeight="1">
      <c r="A1081" s="46" t="s">
        <v>2404</v>
      </c>
      <c r="B1081" s="47" t="s">
        <v>2405</v>
      </c>
      <c r="C1081" s="47">
        <v>3174.0</v>
      </c>
      <c r="D1081" s="47">
        <v>3222.0</v>
      </c>
      <c r="E1081" s="47">
        <v>20070.0</v>
      </c>
      <c r="F1081" s="47">
        <v>28.0</v>
      </c>
    </row>
    <row r="1082" ht="15.75" customHeight="1">
      <c r="A1082" s="46" t="s">
        <v>2406</v>
      </c>
      <c r="B1082" s="47" t="s">
        <v>2407</v>
      </c>
      <c r="C1082" s="47">
        <v>1425.0</v>
      </c>
      <c r="D1082" s="47">
        <v>1376.0</v>
      </c>
      <c r="E1082" s="47">
        <v>26460.0</v>
      </c>
      <c r="F1082" s="47" t="s">
        <v>11</v>
      </c>
    </row>
    <row r="1083" ht="15.75" customHeight="1">
      <c r="A1083" s="46" t="s">
        <v>2408</v>
      </c>
      <c r="B1083" s="47" t="s">
        <v>2409</v>
      </c>
      <c r="C1083" s="47">
        <v>321.0</v>
      </c>
      <c r="D1083" s="47">
        <v>307.0</v>
      </c>
      <c r="E1083" s="47">
        <v>27340.0</v>
      </c>
      <c r="F1083" s="47" t="s">
        <v>11</v>
      </c>
    </row>
    <row r="1084" ht="15.75" customHeight="1">
      <c r="A1084" s="46" t="s">
        <v>2410</v>
      </c>
      <c r="B1084" s="47" t="s">
        <v>2411</v>
      </c>
      <c r="C1084" s="47">
        <v>21441.0</v>
      </c>
      <c r="D1084" s="47">
        <v>21912.0</v>
      </c>
      <c r="E1084" s="47">
        <v>23680.0</v>
      </c>
      <c r="F1084" s="47">
        <v>15.9</v>
      </c>
    </row>
    <row r="1085" ht="15.75" customHeight="1">
      <c r="A1085" s="46" t="s">
        <v>2412</v>
      </c>
      <c r="B1085" s="47" t="s">
        <v>2413</v>
      </c>
      <c r="C1085" s="47">
        <v>360.0</v>
      </c>
      <c r="D1085" s="47">
        <v>353.0</v>
      </c>
      <c r="E1085" s="47">
        <v>25450.0</v>
      </c>
      <c r="F1085" s="47" t="s">
        <v>11</v>
      </c>
    </row>
    <row r="1086" ht="15.75" customHeight="1">
      <c r="A1086" s="46" t="s">
        <v>2414</v>
      </c>
      <c r="B1086" s="47" t="s">
        <v>2415</v>
      </c>
      <c r="C1086" s="47">
        <v>1975.0</v>
      </c>
      <c r="D1086" s="47">
        <v>1907.0</v>
      </c>
      <c r="E1086" s="47">
        <v>25510.0</v>
      </c>
      <c r="F1086" s="47" t="s">
        <v>11</v>
      </c>
    </row>
    <row r="1087" ht="15.75" customHeight="1">
      <c r="A1087" s="46" t="s">
        <v>2416</v>
      </c>
      <c r="B1087" s="47" t="s">
        <v>2417</v>
      </c>
      <c r="C1087" s="47">
        <v>18617.0</v>
      </c>
      <c r="D1087" s="47">
        <v>18582.0</v>
      </c>
      <c r="E1087" s="47">
        <v>25750.0</v>
      </c>
      <c r="F1087" s="47">
        <v>18.0</v>
      </c>
    </row>
    <row r="1088" ht="15.75" customHeight="1">
      <c r="A1088" s="46" t="s">
        <v>2418</v>
      </c>
      <c r="B1088" s="47" t="s">
        <v>2419</v>
      </c>
      <c r="C1088" s="47">
        <v>565.0</v>
      </c>
      <c r="D1088" s="47">
        <v>565.0</v>
      </c>
      <c r="E1088" s="47">
        <v>23660.0</v>
      </c>
      <c r="F1088" s="47" t="s">
        <v>11</v>
      </c>
    </row>
    <row r="1089" ht="15.75" customHeight="1">
      <c r="A1089" s="46" t="s">
        <v>2420</v>
      </c>
      <c r="B1089" s="47" t="s">
        <v>2421</v>
      </c>
      <c r="C1089" s="47">
        <v>4437.0</v>
      </c>
      <c r="D1089" s="47">
        <v>4479.0</v>
      </c>
      <c r="E1089" s="47">
        <v>25380.0</v>
      </c>
      <c r="F1089" s="47">
        <v>16.0</v>
      </c>
    </row>
    <row r="1090" ht="15.75" customHeight="1">
      <c r="A1090" s="46" t="s">
        <v>2422</v>
      </c>
      <c r="B1090" s="47" t="s">
        <v>2423</v>
      </c>
      <c r="C1090" s="47">
        <v>4135.0</v>
      </c>
      <c r="D1090" s="47">
        <v>4169.0</v>
      </c>
      <c r="E1090" s="47">
        <v>22380.0</v>
      </c>
      <c r="F1090" s="47">
        <v>21.0</v>
      </c>
    </row>
    <row r="1091" ht="15.75" customHeight="1">
      <c r="A1091" s="46" t="s">
        <v>2424</v>
      </c>
      <c r="B1091" s="47" t="s">
        <v>2425</v>
      </c>
      <c r="C1091" s="47">
        <v>2399.0</v>
      </c>
      <c r="D1091" s="47">
        <v>2267.0</v>
      </c>
      <c r="E1091" s="47">
        <v>30310.0</v>
      </c>
      <c r="F1091" s="47">
        <v>8.0</v>
      </c>
    </row>
    <row r="1092" ht="15.75" customHeight="1">
      <c r="A1092" s="46" t="s">
        <v>2426</v>
      </c>
      <c r="B1092" s="47" t="s">
        <v>2427</v>
      </c>
      <c r="C1092" s="47">
        <v>421.0</v>
      </c>
      <c r="D1092" s="47">
        <v>425.0</v>
      </c>
      <c r="E1092" s="47">
        <v>31620.0</v>
      </c>
      <c r="F1092" s="47" t="s">
        <v>11</v>
      </c>
    </row>
    <row r="1093" ht="15.75" customHeight="1">
      <c r="A1093" s="46" t="s">
        <v>2428</v>
      </c>
      <c r="B1093" s="47" t="s">
        <v>2429</v>
      </c>
      <c r="C1093" s="47">
        <v>1640.0</v>
      </c>
      <c r="D1093" s="47">
        <v>1638.0</v>
      </c>
      <c r="E1093" s="47">
        <v>26990.0</v>
      </c>
      <c r="F1093" s="47" t="s">
        <v>11</v>
      </c>
    </row>
    <row r="1094" ht="15.75" customHeight="1">
      <c r="A1094" s="46" t="s">
        <v>2430</v>
      </c>
      <c r="B1094" s="47" t="s">
        <v>2431</v>
      </c>
      <c r="C1094" s="47">
        <v>294.0</v>
      </c>
      <c r="D1094" s="47">
        <v>288.0</v>
      </c>
      <c r="E1094" s="47">
        <v>24760.0</v>
      </c>
      <c r="F1094" s="47" t="s">
        <v>11</v>
      </c>
    </row>
    <row r="1095" ht="15.75" customHeight="1">
      <c r="A1095" s="46" t="s">
        <v>2432</v>
      </c>
      <c r="B1095" s="47" t="s">
        <v>2433</v>
      </c>
      <c r="C1095" s="47">
        <v>896.0</v>
      </c>
      <c r="D1095" s="47">
        <v>837.0</v>
      </c>
      <c r="E1095" s="47">
        <v>24200.0</v>
      </c>
      <c r="F1095" s="47" t="s">
        <v>11</v>
      </c>
    </row>
    <row r="1096" ht="15.75" customHeight="1">
      <c r="A1096" s="46" t="s">
        <v>2434</v>
      </c>
      <c r="B1096" s="47" t="s">
        <v>2435</v>
      </c>
      <c r="C1096" s="47">
        <v>951.0</v>
      </c>
      <c r="D1096" s="47">
        <v>916.0</v>
      </c>
      <c r="E1096" s="47">
        <v>28680.0</v>
      </c>
      <c r="F1096" s="47" t="s">
        <v>11</v>
      </c>
    </row>
    <row r="1097" ht="15.75" customHeight="1">
      <c r="A1097" s="46" t="s">
        <v>2436</v>
      </c>
      <c r="B1097" s="47" t="s">
        <v>2437</v>
      </c>
      <c r="C1097" s="47">
        <v>4083.0</v>
      </c>
      <c r="D1097" s="47">
        <v>3957.0</v>
      </c>
      <c r="E1097" s="47">
        <v>23730.0</v>
      </c>
      <c r="F1097" s="47">
        <v>17.0</v>
      </c>
    </row>
    <row r="1098" ht="15.75" customHeight="1">
      <c r="A1098" s="46" t="s">
        <v>2438</v>
      </c>
      <c r="B1098" s="47" t="s">
        <v>2439</v>
      </c>
      <c r="C1098" s="47">
        <v>858.0</v>
      </c>
      <c r="D1098" s="47">
        <v>867.0</v>
      </c>
      <c r="E1098" s="47">
        <v>29400.0</v>
      </c>
      <c r="F1098" s="47" t="s">
        <v>11</v>
      </c>
    </row>
    <row r="1099" ht="15.75" customHeight="1">
      <c r="A1099" s="46" t="s">
        <v>2440</v>
      </c>
      <c r="B1099" s="47" t="s">
        <v>2441</v>
      </c>
      <c r="C1099" s="47">
        <v>549.0</v>
      </c>
      <c r="D1099" s="47">
        <v>541.0</v>
      </c>
      <c r="E1099" s="47">
        <v>20650.0</v>
      </c>
      <c r="F1099" s="47" t="s">
        <v>11</v>
      </c>
    </row>
    <row r="1100" ht="15.75" customHeight="1">
      <c r="A1100" s="46" t="s">
        <v>2442</v>
      </c>
      <c r="B1100" s="47" t="s">
        <v>2443</v>
      </c>
      <c r="C1100" s="47">
        <v>794.0</v>
      </c>
      <c r="D1100" s="47">
        <v>710.0</v>
      </c>
      <c r="E1100" s="47">
        <v>23310.0</v>
      </c>
      <c r="F1100" s="47" t="s">
        <v>11</v>
      </c>
    </row>
    <row r="1101" ht="15.75" customHeight="1">
      <c r="A1101" s="46" t="s">
        <v>2444</v>
      </c>
      <c r="B1101" s="47" t="s">
        <v>2445</v>
      </c>
      <c r="C1101" s="47">
        <v>1396.0</v>
      </c>
      <c r="D1101" s="47">
        <v>1446.0</v>
      </c>
      <c r="E1101" s="47">
        <v>24960.0</v>
      </c>
      <c r="F1101" s="47" t="s">
        <v>11</v>
      </c>
    </row>
    <row r="1102" ht="15.75" customHeight="1">
      <c r="A1102" s="46" t="s">
        <v>2446</v>
      </c>
      <c r="B1102" s="47" t="s">
        <v>2447</v>
      </c>
      <c r="C1102" s="47">
        <v>3553.0</v>
      </c>
      <c r="D1102" s="47">
        <v>3496.0</v>
      </c>
      <c r="E1102" s="47">
        <v>22960.0</v>
      </c>
      <c r="F1102" s="47">
        <v>19.0</v>
      </c>
    </row>
    <row r="1103" ht="15.75" customHeight="1">
      <c r="A1103" s="46" t="s">
        <v>2448</v>
      </c>
      <c r="B1103" s="47" t="s">
        <v>2449</v>
      </c>
      <c r="C1103" s="47">
        <v>875.0</v>
      </c>
      <c r="D1103" s="47">
        <v>902.0</v>
      </c>
      <c r="E1103" s="47">
        <v>26650.0</v>
      </c>
      <c r="F1103" s="47" t="s">
        <v>11</v>
      </c>
    </row>
    <row r="1104" ht="15.75" customHeight="1">
      <c r="A1104" s="46" t="s">
        <v>2450</v>
      </c>
      <c r="B1104" s="47" t="s">
        <v>2451</v>
      </c>
      <c r="C1104" s="47">
        <v>3409.0</v>
      </c>
      <c r="D1104" s="47">
        <v>3326.0</v>
      </c>
      <c r="E1104" s="47">
        <v>28770.0</v>
      </c>
      <c r="F1104" s="47">
        <v>7.0</v>
      </c>
    </row>
    <row r="1105" ht="15.75" customHeight="1">
      <c r="A1105" s="46" t="s">
        <v>2452</v>
      </c>
      <c r="B1105" s="47" t="s">
        <v>2453</v>
      </c>
      <c r="C1105" s="47">
        <v>7805.0</v>
      </c>
      <c r="D1105" s="47">
        <v>7921.0</v>
      </c>
      <c r="E1105" s="47">
        <v>24980.0</v>
      </c>
      <c r="F1105" s="47">
        <v>14.0</v>
      </c>
    </row>
    <row r="1106" ht="15.75" customHeight="1">
      <c r="A1106" s="46" t="s">
        <v>2454</v>
      </c>
      <c r="B1106" s="47" t="s">
        <v>2455</v>
      </c>
      <c r="C1106" s="47">
        <v>994.0</v>
      </c>
      <c r="D1106" s="47">
        <v>978.0</v>
      </c>
      <c r="E1106" s="47">
        <v>26630.0</v>
      </c>
      <c r="F1106" s="47" t="s">
        <v>11</v>
      </c>
    </row>
    <row r="1107" ht="15.75" customHeight="1">
      <c r="A1107" s="46" t="s">
        <v>2456</v>
      </c>
      <c r="B1107" s="47" t="s">
        <v>2457</v>
      </c>
      <c r="C1107" s="47">
        <v>3214.0</v>
      </c>
      <c r="D1107" s="47">
        <v>3259.0</v>
      </c>
      <c r="E1107" s="47">
        <v>27780.0</v>
      </c>
      <c r="F1107" s="47">
        <v>6.0</v>
      </c>
    </row>
    <row r="1108" ht="15.75" customHeight="1">
      <c r="A1108" s="46" t="s">
        <v>2458</v>
      </c>
      <c r="B1108" s="47" t="s">
        <v>2459</v>
      </c>
      <c r="C1108" s="47">
        <v>1624.0</v>
      </c>
      <c r="D1108" s="47">
        <v>1712.0</v>
      </c>
      <c r="E1108" s="47">
        <v>27420.0</v>
      </c>
      <c r="F1108" s="47" t="s">
        <v>11</v>
      </c>
    </row>
    <row r="1109" ht="15.75" customHeight="1">
      <c r="A1109" s="46" t="s">
        <v>2460</v>
      </c>
      <c r="B1109" s="47" t="s">
        <v>2461</v>
      </c>
      <c r="C1109" s="47">
        <v>741.0</v>
      </c>
      <c r="D1109" s="47">
        <v>619.0</v>
      </c>
      <c r="E1109" s="47">
        <v>22700.0</v>
      </c>
      <c r="F1109" s="47" t="s">
        <v>11</v>
      </c>
    </row>
    <row r="1110" ht="15.75" customHeight="1">
      <c r="A1110" s="46" t="s">
        <v>2462</v>
      </c>
      <c r="B1110" s="47" t="s">
        <v>2463</v>
      </c>
      <c r="C1110" s="47">
        <v>3348.0</v>
      </c>
      <c r="D1110" s="47">
        <v>3403.0</v>
      </c>
      <c r="E1110" s="47">
        <v>22640.0</v>
      </c>
      <c r="F1110" s="47">
        <v>17.0</v>
      </c>
    </row>
    <row r="1111" ht="15.75" customHeight="1">
      <c r="A1111" s="46" t="s">
        <v>2464</v>
      </c>
      <c r="B1111" s="47" t="s">
        <v>2465</v>
      </c>
      <c r="C1111" s="47">
        <v>1137.0</v>
      </c>
      <c r="D1111" s="47">
        <v>1115.0</v>
      </c>
      <c r="E1111" s="47">
        <v>30260.0</v>
      </c>
      <c r="F1111" s="47" t="s">
        <v>11</v>
      </c>
    </row>
    <row r="1112" ht="15.75" customHeight="1">
      <c r="A1112" s="46" t="s">
        <v>2466</v>
      </c>
      <c r="B1112" s="47" t="s">
        <v>2467</v>
      </c>
      <c r="C1112" s="47">
        <v>10159.0</v>
      </c>
      <c r="D1112" s="47">
        <v>10160.0</v>
      </c>
      <c r="E1112" s="47">
        <v>19020.0</v>
      </c>
      <c r="F1112" s="47">
        <v>36.0</v>
      </c>
    </row>
    <row r="1113" ht="15.75" customHeight="1">
      <c r="A1113" s="46" t="s">
        <v>2468</v>
      </c>
      <c r="B1113" s="47" t="s">
        <v>2469</v>
      </c>
      <c r="C1113" s="47">
        <v>867.0</v>
      </c>
      <c r="D1113" s="47">
        <v>856.0</v>
      </c>
      <c r="E1113" s="47">
        <v>28720.0</v>
      </c>
      <c r="F1113" s="47" t="s">
        <v>11</v>
      </c>
    </row>
    <row r="1114" ht="15.75" customHeight="1">
      <c r="A1114" s="46" t="s">
        <v>2470</v>
      </c>
      <c r="B1114" s="47" t="s">
        <v>2471</v>
      </c>
      <c r="C1114" s="47">
        <v>1116.0</v>
      </c>
      <c r="D1114" s="47">
        <v>1164.0</v>
      </c>
      <c r="E1114" s="47">
        <v>24000.0</v>
      </c>
      <c r="F1114" s="47" t="s">
        <v>11</v>
      </c>
    </row>
    <row r="1115" ht="15.75" customHeight="1">
      <c r="A1115" s="46" t="s">
        <v>2472</v>
      </c>
      <c r="B1115" s="47" t="s">
        <v>2473</v>
      </c>
      <c r="C1115" s="47">
        <v>6231.0</v>
      </c>
      <c r="D1115" s="47">
        <v>6287.0</v>
      </c>
      <c r="E1115" s="47">
        <v>20880.0</v>
      </c>
      <c r="F1115" s="47">
        <v>24.0</v>
      </c>
    </row>
    <row r="1116" ht="15.75" customHeight="1">
      <c r="A1116" s="46" t="s">
        <v>2474</v>
      </c>
      <c r="B1116" s="47" t="s">
        <v>2475</v>
      </c>
      <c r="C1116" s="47">
        <v>27649.0</v>
      </c>
      <c r="D1116" s="47">
        <v>27090.0</v>
      </c>
      <c r="E1116" s="47">
        <v>31550.0</v>
      </c>
      <c r="F1116" s="47">
        <v>11.1</v>
      </c>
    </row>
    <row r="1117" ht="15.75" customHeight="1">
      <c r="A1117" s="46" t="s">
        <v>2476</v>
      </c>
      <c r="B1117" s="47" t="s">
        <v>2477</v>
      </c>
      <c r="C1117" s="47">
        <v>5125.0</v>
      </c>
      <c r="D1117" s="47">
        <v>4883.0</v>
      </c>
      <c r="E1117" s="47">
        <v>25240.0</v>
      </c>
      <c r="F1117" s="47">
        <v>14.0</v>
      </c>
    </row>
    <row r="1118" ht="15.75" customHeight="1">
      <c r="A1118" s="46" t="s">
        <v>2478</v>
      </c>
      <c r="B1118" s="47" t="s">
        <v>2479</v>
      </c>
      <c r="C1118" s="47">
        <v>2399.0</v>
      </c>
      <c r="D1118" s="47">
        <v>2518.0</v>
      </c>
      <c r="E1118" s="47">
        <v>30150.0</v>
      </c>
      <c r="F1118" s="47">
        <v>5.0</v>
      </c>
    </row>
    <row r="1119" ht="15.75" customHeight="1">
      <c r="A1119" s="46" t="s">
        <v>2480</v>
      </c>
      <c r="B1119" s="47" t="s">
        <v>2481</v>
      </c>
      <c r="C1119" s="47">
        <v>3483.0</v>
      </c>
      <c r="D1119" s="47">
        <v>3407.0</v>
      </c>
      <c r="E1119" s="47">
        <v>20210.0</v>
      </c>
      <c r="F1119" s="47">
        <v>28.0</v>
      </c>
    </row>
    <row r="1120" ht="15.75" customHeight="1">
      <c r="A1120" s="46" t="s">
        <v>2482</v>
      </c>
      <c r="B1120" s="47" t="s">
        <v>2483</v>
      </c>
      <c r="C1120" s="47">
        <v>1773.0</v>
      </c>
      <c r="D1120" s="47">
        <v>1812.0</v>
      </c>
      <c r="E1120" s="47">
        <v>22040.0</v>
      </c>
      <c r="F1120" s="47" t="s">
        <v>11</v>
      </c>
    </row>
    <row r="1121" ht="15.75" customHeight="1">
      <c r="A1121" s="46" t="s">
        <v>2484</v>
      </c>
      <c r="B1121" s="47" t="s">
        <v>2485</v>
      </c>
      <c r="C1121" s="47">
        <v>252.0</v>
      </c>
      <c r="D1121" s="47">
        <v>231.0</v>
      </c>
      <c r="E1121" s="47">
        <v>25040.0</v>
      </c>
      <c r="F1121" s="47" t="s">
        <v>11</v>
      </c>
    </row>
    <row r="1122" ht="15.75" customHeight="1">
      <c r="A1122" s="46" t="s">
        <v>2486</v>
      </c>
      <c r="B1122" s="47" t="s">
        <v>2487</v>
      </c>
      <c r="C1122" s="47">
        <v>1679.0</v>
      </c>
      <c r="D1122" s="47">
        <v>1608.0</v>
      </c>
      <c r="E1122" s="47">
        <v>26200.0</v>
      </c>
      <c r="F1122" s="47" t="s">
        <v>11</v>
      </c>
    </row>
    <row r="1123" ht="15.75" customHeight="1">
      <c r="A1123" s="46" t="s">
        <v>2488</v>
      </c>
      <c r="B1123" s="47" t="s">
        <v>2489</v>
      </c>
      <c r="C1123" s="47">
        <v>2810.0</v>
      </c>
      <c r="D1123" s="47">
        <v>3046.0</v>
      </c>
      <c r="E1123" s="47">
        <v>29730.0</v>
      </c>
      <c r="F1123" s="47">
        <v>6.0</v>
      </c>
    </row>
    <row r="1124" ht="15.75" customHeight="1">
      <c r="A1124" s="46" t="s">
        <v>2490</v>
      </c>
      <c r="B1124" s="47" t="s">
        <v>2491</v>
      </c>
      <c r="C1124" s="47">
        <v>1372.0</v>
      </c>
      <c r="D1124" s="47">
        <v>1346.0</v>
      </c>
      <c r="E1124" s="47">
        <v>23450.0</v>
      </c>
      <c r="F1124" s="47" t="s">
        <v>11</v>
      </c>
    </row>
    <row r="1125" ht="15.75" customHeight="1">
      <c r="A1125" s="46" t="s">
        <v>2492</v>
      </c>
      <c r="B1125" s="47" t="s">
        <v>2493</v>
      </c>
      <c r="C1125" s="47">
        <v>676.0</v>
      </c>
      <c r="D1125" s="47">
        <v>703.0</v>
      </c>
      <c r="E1125" s="47">
        <v>26120.0</v>
      </c>
      <c r="F1125" s="47" t="s">
        <v>11</v>
      </c>
    </row>
    <row r="1126" ht="15.75" customHeight="1">
      <c r="A1126" s="46" t="s">
        <v>2494</v>
      </c>
      <c r="B1126" s="47" t="s">
        <v>2495</v>
      </c>
      <c r="C1126" s="47">
        <v>661.0</v>
      </c>
      <c r="D1126" s="47">
        <v>611.0</v>
      </c>
      <c r="E1126" s="47">
        <v>28140.0</v>
      </c>
      <c r="F1126" s="47" t="s">
        <v>11</v>
      </c>
    </row>
    <row r="1127" ht="15.75" customHeight="1">
      <c r="A1127" s="46" t="s">
        <v>2496</v>
      </c>
      <c r="B1127" s="47" t="s">
        <v>2497</v>
      </c>
      <c r="C1127" s="47">
        <v>9473.0</v>
      </c>
      <c r="D1127" s="47">
        <v>9521.0</v>
      </c>
      <c r="E1127" s="47">
        <v>27220.0</v>
      </c>
      <c r="F1127" s="47">
        <v>9.0</v>
      </c>
    </row>
    <row r="1128" ht="15.75" customHeight="1">
      <c r="A1128" s="46" t="s">
        <v>2498</v>
      </c>
      <c r="B1128" s="47" t="s">
        <v>2499</v>
      </c>
      <c r="C1128" s="47">
        <v>4262.0</v>
      </c>
      <c r="D1128" s="47">
        <v>4078.0</v>
      </c>
      <c r="E1128" s="47">
        <v>26850.0</v>
      </c>
      <c r="F1128" s="47">
        <v>11.0</v>
      </c>
    </row>
    <row r="1129" ht="15.75" customHeight="1">
      <c r="A1129" s="46" t="s">
        <v>2500</v>
      </c>
      <c r="B1129" s="47" t="s">
        <v>2501</v>
      </c>
      <c r="C1129" s="47">
        <v>417.0</v>
      </c>
      <c r="D1129" s="47">
        <v>432.0</v>
      </c>
      <c r="E1129" s="47">
        <v>27040.0</v>
      </c>
      <c r="F1129" s="47" t="s">
        <v>11</v>
      </c>
    </row>
    <row r="1130" ht="15.75" customHeight="1">
      <c r="A1130" s="46" t="s">
        <v>2502</v>
      </c>
      <c r="B1130" s="47" t="s">
        <v>2503</v>
      </c>
      <c r="C1130" s="47">
        <v>229.0</v>
      </c>
      <c r="D1130" s="47">
        <v>236.0</v>
      </c>
      <c r="E1130" s="47">
        <v>25540.0</v>
      </c>
      <c r="F1130" s="47" t="s">
        <v>11</v>
      </c>
    </row>
    <row r="1131" ht="15.75" customHeight="1">
      <c r="A1131" s="46" t="s">
        <v>2504</v>
      </c>
      <c r="B1131" s="47" t="s">
        <v>2505</v>
      </c>
      <c r="C1131" s="47">
        <v>8259.0</v>
      </c>
      <c r="D1131" s="47">
        <v>9600.0</v>
      </c>
      <c r="E1131" s="47">
        <v>28480.0</v>
      </c>
      <c r="F1131" s="47">
        <v>10.0</v>
      </c>
    </row>
    <row r="1132" ht="15.75" customHeight="1">
      <c r="A1132" s="46" t="s">
        <v>2506</v>
      </c>
      <c r="B1132" s="47" t="s">
        <v>2507</v>
      </c>
      <c r="C1132" s="47">
        <v>2455.0</v>
      </c>
      <c r="D1132" s="47">
        <v>2474.0</v>
      </c>
      <c r="E1132" s="47">
        <v>21610.0</v>
      </c>
      <c r="F1132" s="47">
        <v>19.0</v>
      </c>
    </row>
    <row r="1133" ht="15.75" customHeight="1">
      <c r="A1133" s="46" t="s">
        <v>2508</v>
      </c>
      <c r="B1133" s="47" t="s">
        <v>2509</v>
      </c>
      <c r="C1133" s="47">
        <v>2425.0</v>
      </c>
      <c r="D1133" s="47">
        <v>2353.0</v>
      </c>
      <c r="E1133" s="47">
        <v>23480.0</v>
      </c>
      <c r="F1133" s="47">
        <v>21.0</v>
      </c>
    </row>
    <row r="1134" ht="15.75" customHeight="1">
      <c r="A1134" s="46" t="s">
        <v>2510</v>
      </c>
      <c r="B1134" s="47" t="s">
        <v>2511</v>
      </c>
      <c r="C1134" s="47">
        <v>3104.0</v>
      </c>
      <c r="D1134" s="47">
        <v>2978.0</v>
      </c>
      <c r="E1134" s="47">
        <v>28990.0</v>
      </c>
      <c r="F1134" s="47">
        <v>7.0</v>
      </c>
    </row>
    <row r="1135" ht="15.75" customHeight="1">
      <c r="A1135" s="46" t="s">
        <v>2512</v>
      </c>
      <c r="B1135" s="47" t="s">
        <v>2513</v>
      </c>
      <c r="C1135" s="47">
        <v>533.0</v>
      </c>
      <c r="D1135" s="47">
        <v>527.0</v>
      </c>
      <c r="E1135" s="47">
        <v>25940.0</v>
      </c>
      <c r="F1135" s="47" t="s">
        <v>11</v>
      </c>
    </row>
    <row r="1136" ht="15.75" customHeight="1">
      <c r="A1136" s="46" t="s">
        <v>2514</v>
      </c>
      <c r="B1136" s="47" t="s">
        <v>2515</v>
      </c>
      <c r="C1136" s="47">
        <v>1349.0</v>
      </c>
      <c r="D1136" s="47">
        <v>1462.0</v>
      </c>
      <c r="E1136" s="47">
        <v>25280.0</v>
      </c>
      <c r="F1136" s="47" t="s">
        <v>11</v>
      </c>
    </row>
    <row r="1137" ht="15.75" customHeight="1">
      <c r="A1137" s="46" t="s">
        <v>2516</v>
      </c>
      <c r="B1137" s="47" t="s">
        <v>2517</v>
      </c>
      <c r="C1137" s="47">
        <v>1894.0</v>
      </c>
      <c r="D1137" s="47">
        <v>1847.0</v>
      </c>
      <c r="E1137" s="47">
        <v>23280.0</v>
      </c>
      <c r="F1137" s="47" t="s">
        <v>11</v>
      </c>
    </row>
    <row r="1138" ht="15.75" customHeight="1">
      <c r="A1138" s="46" t="s">
        <v>2518</v>
      </c>
      <c r="B1138" s="47" t="s">
        <v>2519</v>
      </c>
      <c r="C1138" s="47">
        <v>232787.0</v>
      </c>
      <c r="D1138" s="47">
        <v>238246.0</v>
      </c>
      <c r="E1138" s="47">
        <v>22470.0</v>
      </c>
      <c r="F1138" s="47">
        <v>28.6</v>
      </c>
    </row>
    <row r="1139" ht="15.75" customHeight="1">
      <c r="A1139" s="46" t="s">
        <v>2520</v>
      </c>
      <c r="B1139" s="47" t="s">
        <v>2521</v>
      </c>
      <c r="C1139" s="47">
        <v>563.0</v>
      </c>
      <c r="D1139" s="47">
        <v>525.0</v>
      </c>
      <c r="E1139" s="47">
        <v>26460.0</v>
      </c>
      <c r="F1139" s="47" t="s">
        <v>11</v>
      </c>
    </row>
    <row r="1140" ht="15.75" customHeight="1">
      <c r="A1140" s="46" t="s">
        <v>2522</v>
      </c>
      <c r="B1140" s="47" t="s">
        <v>2523</v>
      </c>
      <c r="C1140" s="47">
        <v>8371.0</v>
      </c>
      <c r="D1140" s="47">
        <v>8161.0</v>
      </c>
      <c r="E1140" s="47">
        <v>28230.0</v>
      </c>
      <c r="F1140" s="47">
        <v>9.0</v>
      </c>
    </row>
    <row r="1141" ht="15.75" customHeight="1">
      <c r="A1141" s="46" t="s">
        <v>2524</v>
      </c>
      <c r="B1141" s="47" t="s">
        <v>2525</v>
      </c>
      <c r="C1141" s="47">
        <v>374.0</v>
      </c>
      <c r="D1141" s="47">
        <v>301.0</v>
      </c>
      <c r="E1141" s="47">
        <v>24180.0</v>
      </c>
      <c r="F1141" s="47" t="s">
        <v>11</v>
      </c>
    </row>
    <row r="1142" ht="15.75" customHeight="1">
      <c r="A1142" s="46" t="s">
        <v>2526</v>
      </c>
      <c r="B1142" s="47" t="s">
        <v>2527</v>
      </c>
      <c r="C1142" s="47">
        <v>729.0</v>
      </c>
      <c r="D1142" s="47">
        <v>712.0</v>
      </c>
      <c r="E1142" s="47">
        <v>29100.0</v>
      </c>
      <c r="F1142" s="47" t="s">
        <v>11</v>
      </c>
    </row>
    <row r="1143" ht="15.75" customHeight="1">
      <c r="A1143" s="46" t="s">
        <v>2528</v>
      </c>
      <c r="B1143" s="47" t="s">
        <v>2529</v>
      </c>
      <c r="C1143" s="47">
        <v>2299.0</v>
      </c>
      <c r="D1143" s="47">
        <v>2155.0</v>
      </c>
      <c r="E1143" s="47">
        <v>38140.0</v>
      </c>
      <c r="F1143" s="47">
        <v>5.0</v>
      </c>
    </row>
    <row r="1144" ht="15.75" customHeight="1">
      <c r="A1144" s="46" t="s">
        <v>2530</v>
      </c>
      <c r="B1144" s="47" t="s">
        <v>2531</v>
      </c>
      <c r="C1144" s="47">
        <v>2097.0</v>
      </c>
      <c r="D1144" s="47">
        <v>2057.0</v>
      </c>
      <c r="E1144" s="47">
        <v>26110.0</v>
      </c>
      <c r="F1144" s="47" t="s">
        <v>11</v>
      </c>
    </row>
    <row r="1145" ht="15.75" customHeight="1">
      <c r="A1145" s="46" t="s">
        <v>2532</v>
      </c>
      <c r="B1145" s="47" t="s">
        <v>2533</v>
      </c>
      <c r="C1145" s="47">
        <v>1178.0</v>
      </c>
      <c r="D1145" s="47">
        <v>1228.0</v>
      </c>
      <c r="E1145" s="47">
        <v>25610.0</v>
      </c>
      <c r="F1145" s="47" t="s">
        <v>11</v>
      </c>
    </row>
    <row r="1146" ht="15.75" customHeight="1">
      <c r="A1146" s="46" t="s">
        <v>2534</v>
      </c>
      <c r="B1146" s="47" t="s">
        <v>2535</v>
      </c>
      <c r="C1146" s="47">
        <v>6193.0</v>
      </c>
      <c r="D1146" s="47">
        <v>5952.0</v>
      </c>
      <c r="E1146" s="47">
        <v>24560.0</v>
      </c>
      <c r="F1146" s="47">
        <v>12.0</v>
      </c>
    </row>
    <row r="1147" ht="15.75" customHeight="1">
      <c r="A1147" s="46" t="s">
        <v>2536</v>
      </c>
      <c r="B1147" s="47" t="s">
        <v>2537</v>
      </c>
      <c r="C1147" s="47">
        <v>22233.0</v>
      </c>
      <c r="D1147" s="47">
        <v>22567.0</v>
      </c>
      <c r="E1147" s="47">
        <v>21930.0</v>
      </c>
      <c r="F1147" s="47">
        <v>25.0</v>
      </c>
    </row>
    <row r="1148" ht="15.75" customHeight="1">
      <c r="A1148" s="46" t="s">
        <v>2538</v>
      </c>
      <c r="B1148" s="47" t="s">
        <v>2539</v>
      </c>
      <c r="C1148" s="47">
        <v>3949.0</v>
      </c>
      <c r="D1148" s="47">
        <v>3734.0</v>
      </c>
      <c r="E1148" s="47">
        <v>17280.0</v>
      </c>
      <c r="F1148" s="47">
        <v>39.0</v>
      </c>
    </row>
    <row r="1149" ht="15.75" customHeight="1">
      <c r="A1149" s="46" t="s">
        <v>2540</v>
      </c>
      <c r="B1149" s="47" t="s">
        <v>2541</v>
      </c>
      <c r="C1149" s="47">
        <v>933.0</v>
      </c>
      <c r="D1149" s="47">
        <v>899.0</v>
      </c>
      <c r="E1149" s="47">
        <v>26590.0</v>
      </c>
      <c r="F1149" s="47" t="s">
        <v>11</v>
      </c>
    </row>
    <row r="1150" ht="15.75" customHeight="1">
      <c r="A1150" s="46" t="s">
        <v>2542</v>
      </c>
      <c r="B1150" s="47" t="s">
        <v>2543</v>
      </c>
      <c r="C1150" s="47">
        <v>826.0</v>
      </c>
      <c r="D1150" s="47">
        <v>922.0</v>
      </c>
      <c r="E1150" s="47">
        <v>35980.0</v>
      </c>
      <c r="F1150" s="47" t="s">
        <v>11</v>
      </c>
    </row>
    <row r="1151" ht="15.75" customHeight="1">
      <c r="A1151" s="46" t="s">
        <v>2544</v>
      </c>
      <c r="B1151" s="47" t="s">
        <v>2545</v>
      </c>
      <c r="C1151" s="47">
        <v>6481.0</v>
      </c>
      <c r="D1151" s="47">
        <v>6294.0</v>
      </c>
      <c r="E1151" s="47">
        <v>16460.0</v>
      </c>
      <c r="F1151" s="47">
        <v>45.0</v>
      </c>
    </row>
    <row r="1152" ht="15.75" customHeight="1">
      <c r="A1152" s="46" t="s">
        <v>2546</v>
      </c>
      <c r="B1152" s="47" t="s">
        <v>2547</v>
      </c>
      <c r="C1152" s="47">
        <v>758.0</v>
      </c>
      <c r="D1152" s="47">
        <v>783.0</v>
      </c>
      <c r="E1152" s="47">
        <v>26750.0</v>
      </c>
      <c r="F1152" s="47" t="s">
        <v>11</v>
      </c>
    </row>
    <row r="1153" ht="15.75" customHeight="1">
      <c r="A1153" s="46" t="s">
        <v>2548</v>
      </c>
      <c r="B1153" s="47" t="s">
        <v>2549</v>
      </c>
      <c r="C1153" s="47">
        <v>13422.0</v>
      </c>
      <c r="D1153" s="47">
        <v>14050.0</v>
      </c>
      <c r="E1153" s="47">
        <v>24770.0</v>
      </c>
      <c r="F1153" s="47">
        <v>17.0</v>
      </c>
    </row>
    <row r="1154" ht="15.75" customHeight="1">
      <c r="A1154" s="46" t="s">
        <v>2550</v>
      </c>
      <c r="B1154" s="47" t="s">
        <v>2551</v>
      </c>
      <c r="C1154" s="47">
        <v>21173.0</v>
      </c>
      <c r="D1154" s="47">
        <v>21790.0</v>
      </c>
      <c r="E1154" s="47">
        <v>28500.0</v>
      </c>
      <c r="F1154" s="47">
        <v>14.3</v>
      </c>
    </row>
    <row r="1155" ht="15.75" customHeight="1">
      <c r="A1155" s="46" t="s">
        <v>2552</v>
      </c>
      <c r="B1155" s="47" t="s">
        <v>2553</v>
      </c>
      <c r="C1155" s="47">
        <v>4112.0</v>
      </c>
      <c r="D1155" s="47">
        <v>3954.0</v>
      </c>
      <c r="E1155" s="47">
        <v>25710.0</v>
      </c>
      <c r="F1155" s="47">
        <v>15.0</v>
      </c>
    </row>
    <row r="1156" ht="15.75" customHeight="1">
      <c r="A1156" s="46" t="s">
        <v>2554</v>
      </c>
      <c r="B1156" s="47" t="s">
        <v>2555</v>
      </c>
      <c r="C1156" s="47">
        <v>735.0</v>
      </c>
      <c r="D1156" s="47">
        <v>699.0</v>
      </c>
      <c r="E1156" s="47">
        <v>30660.0</v>
      </c>
      <c r="F1156" s="47" t="s">
        <v>11</v>
      </c>
    </row>
    <row r="1157" ht="15.75" customHeight="1">
      <c r="A1157" s="46" t="s">
        <v>2556</v>
      </c>
      <c r="B1157" s="47" t="s">
        <v>2557</v>
      </c>
      <c r="C1157" s="47">
        <v>642.0</v>
      </c>
      <c r="D1157" s="47">
        <v>628.0</v>
      </c>
      <c r="E1157" s="47">
        <v>35780.0</v>
      </c>
      <c r="F1157" s="47" t="s">
        <v>11</v>
      </c>
    </row>
    <row r="1158" ht="15.75" customHeight="1">
      <c r="A1158" s="46" t="s">
        <v>2558</v>
      </c>
      <c r="B1158" s="47" t="s">
        <v>2559</v>
      </c>
      <c r="C1158" s="47">
        <v>504.0</v>
      </c>
      <c r="D1158" s="47">
        <v>498.0</v>
      </c>
      <c r="E1158" s="47">
        <v>23650.0</v>
      </c>
      <c r="F1158" s="47" t="s">
        <v>11</v>
      </c>
    </row>
    <row r="1159" ht="15.75" customHeight="1">
      <c r="A1159" s="46" t="s">
        <v>2560</v>
      </c>
      <c r="B1159" s="47" t="s">
        <v>2561</v>
      </c>
      <c r="C1159" s="47">
        <v>482.0</v>
      </c>
      <c r="D1159" s="47">
        <v>461.0</v>
      </c>
      <c r="E1159" s="47">
        <v>26280.0</v>
      </c>
      <c r="F1159" s="47" t="s">
        <v>11</v>
      </c>
    </row>
    <row r="1160" ht="15.75" customHeight="1">
      <c r="A1160" s="46" t="s">
        <v>2562</v>
      </c>
      <c r="B1160" s="47" t="s">
        <v>2563</v>
      </c>
      <c r="C1160" s="47">
        <v>4590.0</v>
      </c>
      <c r="D1160" s="47">
        <v>4507.0</v>
      </c>
      <c r="E1160" s="47">
        <v>26510.0</v>
      </c>
      <c r="F1160" s="47">
        <v>11.0</v>
      </c>
    </row>
    <row r="1161" ht="15.75" customHeight="1">
      <c r="A1161" s="46" t="s">
        <v>2564</v>
      </c>
      <c r="B1161" s="47" t="s">
        <v>2565</v>
      </c>
      <c r="C1161" s="47">
        <v>1888.0</v>
      </c>
      <c r="D1161" s="47">
        <v>1841.0</v>
      </c>
      <c r="E1161" s="47">
        <v>23940.0</v>
      </c>
      <c r="F1161" s="47" t="s">
        <v>11</v>
      </c>
    </row>
    <row r="1162" ht="15.75" customHeight="1">
      <c r="A1162" s="46" t="s">
        <v>2566</v>
      </c>
      <c r="B1162" s="47" t="s">
        <v>2567</v>
      </c>
      <c r="C1162" s="47">
        <v>38617.0</v>
      </c>
      <c r="D1162" s="47">
        <v>40184.0</v>
      </c>
      <c r="E1162" s="47">
        <v>33330.0</v>
      </c>
      <c r="F1162" s="47">
        <v>10.7</v>
      </c>
    </row>
    <row r="1163" ht="15.75" customHeight="1">
      <c r="A1163" s="46" t="s">
        <v>2568</v>
      </c>
      <c r="B1163" s="47" t="s">
        <v>2569</v>
      </c>
      <c r="C1163" s="47">
        <v>736.0</v>
      </c>
      <c r="D1163" s="47">
        <v>741.0</v>
      </c>
      <c r="E1163" s="47">
        <v>25670.0</v>
      </c>
      <c r="F1163" s="47" t="s">
        <v>11</v>
      </c>
    </row>
    <row r="1164" ht="15.75" customHeight="1">
      <c r="A1164" s="46" t="s">
        <v>2570</v>
      </c>
      <c r="B1164" s="47" t="s">
        <v>2571</v>
      </c>
      <c r="C1164" s="47">
        <v>820.0</v>
      </c>
      <c r="D1164" s="47">
        <v>808.0</v>
      </c>
      <c r="E1164" s="47">
        <v>27320.0</v>
      </c>
      <c r="F1164" s="47" t="s">
        <v>11</v>
      </c>
    </row>
    <row r="1165" ht="15.75" customHeight="1">
      <c r="A1165" s="46" t="s">
        <v>2572</v>
      </c>
      <c r="B1165" s="47" t="s">
        <v>2573</v>
      </c>
      <c r="C1165" s="47">
        <v>1457.0</v>
      </c>
      <c r="D1165" s="47">
        <v>1402.0</v>
      </c>
      <c r="E1165" s="47">
        <v>21890.0</v>
      </c>
      <c r="F1165" s="47" t="s">
        <v>11</v>
      </c>
    </row>
    <row r="1166" ht="15.75" customHeight="1">
      <c r="A1166" s="46" t="s">
        <v>2574</v>
      </c>
      <c r="B1166" s="47" t="s">
        <v>2575</v>
      </c>
      <c r="C1166" s="47">
        <v>11855.0</v>
      </c>
      <c r="D1166" s="47">
        <v>11995.0</v>
      </c>
      <c r="E1166" s="47">
        <v>22190.0</v>
      </c>
      <c r="F1166" s="47">
        <v>22.0</v>
      </c>
    </row>
    <row r="1167" ht="15.75" customHeight="1">
      <c r="A1167" s="46" t="s">
        <v>2576</v>
      </c>
      <c r="B1167" s="47" t="s">
        <v>2577</v>
      </c>
      <c r="C1167" s="47">
        <v>1403.0</v>
      </c>
      <c r="D1167" s="47">
        <v>1454.0</v>
      </c>
      <c r="E1167" s="47">
        <v>24660.0</v>
      </c>
      <c r="F1167" s="47" t="s">
        <v>11</v>
      </c>
    </row>
    <row r="1168" ht="15.75" customHeight="1">
      <c r="A1168" s="46" t="s">
        <v>2578</v>
      </c>
      <c r="B1168" s="47" t="s">
        <v>2579</v>
      </c>
      <c r="C1168" s="47">
        <v>2748.0</v>
      </c>
      <c r="D1168" s="47">
        <v>2653.0</v>
      </c>
      <c r="E1168" s="47">
        <v>21760.0</v>
      </c>
      <c r="F1168" s="47">
        <v>26.0</v>
      </c>
    </row>
    <row r="1169" ht="15.75" customHeight="1">
      <c r="A1169" s="46" t="s">
        <v>2580</v>
      </c>
      <c r="B1169" s="47" t="s">
        <v>2581</v>
      </c>
      <c r="C1169" s="47">
        <v>10376.0</v>
      </c>
      <c r="D1169" s="47">
        <v>12622.0</v>
      </c>
      <c r="E1169" s="47">
        <v>26690.0</v>
      </c>
      <c r="F1169" s="47">
        <v>12.0</v>
      </c>
    </row>
    <row r="1170" ht="15.75" customHeight="1">
      <c r="A1170" s="46" t="s">
        <v>2582</v>
      </c>
      <c r="B1170" s="47" t="s">
        <v>2583</v>
      </c>
      <c r="C1170" s="47">
        <v>1873.0</v>
      </c>
      <c r="D1170" s="47">
        <v>1943.0</v>
      </c>
      <c r="E1170" s="47">
        <v>23150.0</v>
      </c>
      <c r="F1170" s="47" t="s">
        <v>11</v>
      </c>
    </row>
    <row r="1171" ht="15.75" customHeight="1">
      <c r="A1171" s="46" t="s">
        <v>2584</v>
      </c>
      <c r="B1171" s="47" t="s">
        <v>2585</v>
      </c>
      <c r="C1171" s="47">
        <v>1997.0</v>
      </c>
      <c r="D1171" s="47">
        <v>1961.0</v>
      </c>
      <c r="E1171" s="47">
        <v>29240.0</v>
      </c>
      <c r="F1171" s="47" t="s">
        <v>11</v>
      </c>
    </row>
    <row r="1172" ht="15.75" customHeight="1">
      <c r="A1172" s="46" t="s">
        <v>2586</v>
      </c>
      <c r="B1172" s="47" t="s">
        <v>2587</v>
      </c>
      <c r="C1172" s="47">
        <v>2717.0</v>
      </c>
      <c r="D1172" s="47">
        <v>2689.0</v>
      </c>
      <c r="E1172" s="47">
        <v>22680.0</v>
      </c>
      <c r="F1172" s="47">
        <v>17.0</v>
      </c>
    </row>
    <row r="1173" ht="15.75" customHeight="1">
      <c r="A1173" s="46" t="s">
        <v>2588</v>
      </c>
      <c r="B1173" s="47" t="s">
        <v>2589</v>
      </c>
      <c r="C1173" s="47">
        <v>4143.0</v>
      </c>
      <c r="D1173" s="47">
        <v>3999.0</v>
      </c>
      <c r="E1173" s="47">
        <v>20290.0</v>
      </c>
      <c r="F1173" s="47">
        <v>28.0</v>
      </c>
    </row>
    <row r="1174" ht="15.75" customHeight="1">
      <c r="A1174" s="46" t="s">
        <v>2590</v>
      </c>
      <c r="B1174" s="47" t="s">
        <v>2591</v>
      </c>
      <c r="C1174" s="47">
        <v>865.0</v>
      </c>
      <c r="D1174" s="47">
        <v>911.0</v>
      </c>
      <c r="E1174" s="47">
        <v>26140.0</v>
      </c>
      <c r="F1174" s="47" t="s">
        <v>11</v>
      </c>
    </row>
    <row r="1175" ht="15.75" customHeight="1">
      <c r="A1175" s="46" t="s">
        <v>2592</v>
      </c>
      <c r="B1175" s="47" t="s">
        <v>2593</v>
      </c>
      <c r="C1175" s="47">
        <v>29944.0</v>
      </c>
      <c r="D1175" s="47">
        <v>28767.0</v>
      </c>
      <c r="E1175" s="47">
        <v>17930.0</v>
      </c>
      <c r="F1175" s="47">
        <v>37.7</v>
      </c>
    </row>
    <row r="1176" ht="15.75" customHeight="1">
      <c r="A1176" s="46" t="s">
        <v>2594</v>
      </c>
      <c r="B1176" s="47" t="s">
        <v>2595</v>
      </c>
      <c r="C1176" s="47">
        <v>1026.0</v>
      </c>
      <c r="D1176" s="47">
        <v>949.0</v>
      </c>
      <c r="E1176" s="47">
        <v>26850.0</v>
      </c>
      <c r="F1176" s="47" t="s">
        <v>11</v>
      </c>
    </row>
    <row r="1177" ht="15.75" customHeight="1">
      <c r="A1177" s="46" t="s">
        <v>2596</v>
      </c>
      <c r="B1177" s="47" t="s">
        <v>2597</v>
      </c>
      <c r="C1177" s="47">
        <v>395.0</v>
      </c>
      <c r="D1177" s="47">
        <v>405.0</v>
      </c>
      <c r="E1177" s="47">
        <v>22220.0</v>
      </c>
      <c r="F1177" s="47" t="s">
        <v>11</v>
      </c>
    </row>
    <row r="1178" ht="15.75" customHeight="1">
      <c r="A1178" s="46" t="s">
        <v>2598</v>
      </c>
      <c r="B1178" s="47" t="s">
        <v>2599</v>
      </c>
      <c r="C1178" s="47">
        <v>304.0</v>
      </c>
      <c r="D1178" s="47">
        <v>279.0</v>
      </c>
      <c r="E1178" s="47">
        <v>23980.0</v>
      </c>
      <c r="F1178" s="47" t="s">
        <v>11</v>
      </c>
    </row>
    <row r="1179" ht="15.75" customHeight="1">
      <c r="A1179" s="46" t="s">
        <v>2600</v>
      </c>
      <c r="B1179" s="47" t="s">
        <v>2601</v>
      </c>
      <c r="C1179" s="47">
        <v>702.0</v>
      </c>
      <c r="D1179" s="47">
        <v>695.0</v>
      </c>
      <c r="E1179" s="47">
        <v>27320.0</v>
      </c>
      <c r="F1179" s="47" t="s">
        <v>11</v>
      </c>
    </row>
    <row r="1180" ht="15.75" customHeight="1">
      <c r="A1180" s="46" t="s">
        <v>2602</v>
      </c>
      <c r="B1180" s="47" t="s">
        <v>2603</v>
      </c>
      <c r="C1180" s="47">
        <v>593.0</v>
      </c>
      <c r="D1180" s="47">
        <v>615.0</v>
      </c>
      <c r="E1180" s="47">
        <v>27300.0</v>
      </c>
      <c r="F1180" s="47" t="s">
        <v>11</v>
      </c>
    </row>
    <row r="1181" ht="15.75" customHeight="1">
      <c r="A1181" s="46" t="s">
        <v>2604</v>
      </c>
      <c r="B1181" s="47" t="s">
        <v>2605</v>
      </c>
      <c r="C1181" s="47">
        <v>3065.0</v>
      </c>
      <c r="D1181" s="47">
        <v>3527.0</v>
      </c>
      <c r="E1181" s="47">
        <v>39030.0</v>
      </c>
      <c r="F1181" s="47">
        <v>4.0</v>
      </c>
    </row>
    <row r="1182" ht="15.75" customHeight="1">
      <c r="A1182" s="46" t="s">
        <v>2606</v>
      </c>
      <c r="B1182" s="47" t="s">
        <v>2607</v>
      </c>
      <c r="C1182" s="47">
        <v>1018.0</v>
      </c>
      <c r="D1182" s="47">
        <v>1106.0</v>
      </c>
      <c r="E1182" s="47">
        <v>28570.0</v>
      </c>
      <c r="F1182" s="47" t="s">
        <v>11</v>
      </c>
    </row>
    <row r="1183" ht="15.75" customHeight="1">
      <c r="A1183" s="46" t="s">
        <v>2608</v>
      </c>
      <c r="B1183" s="47" t="s">
        <v>2609</v>
      </c>
      <c r="C1183" s="47">
        <v>9720.0</v>
      </c>
      <c r="D1183" s="47">
        <v>9808.0</v>
      </c>
      <c r="E1183" s="47">
        <v>23420.0</v>
      </c>
      <c r="F1183" s="47">
        <v>17.0</v>
      </c>
    </row>
    <row r="1184" ht="15.75" customHeight="1">
      <c r="A1184" s="46" t="s">
        <v>2610</v>
      </c>
      <c r="B1184" s="47" t="s">
        <v>2611</v>
      </c>
      <c r="C1184" s="47">
        <v>2314.0</v>
      </c>
      <c r="D1184" s="47">
        <v>2231.0</v>
      </c>
      <c r="E1184" s="47">
        <v>29100.0</v>
      </c>
      <c r="F1184" s="47">
        <v>8.0</v>
      </c>
    </row>
    <row r="1185" ht="15.75" customHeight="1">
      <c r="A1185" s="46" t="s">
        <v>2612</v>
      </c>
      <c r="B1185" s="47" t="s">
        <v>2613</v>
      </c>
      <c r="C1185" s="47">
        <v>813.0</v>
      </c>
      <c r="D1185" s="47">
        <v>838.0</v>
      </c>
      <c r="E1185" s="47">
        <v>26370.0</v>
      </c>
      <c r="F1185" s="47" t="s">
        <v>11</v>
      </c>
    </row>
    <row r="1186" ht="15.75" customHeight="1">
      <c r="A1186" s="46" t="s">
        <v>2614</v>
      </c>
      <c r="B1186" s="47" t="s">
        <v>2615</v>
      </c>
      <c r="C1186" s="47">
        <v>715.0</v>
      </c>
      <c r="D1186" s="47">
        <v>705.0</v>
      </c>
      <c r="E1186" s="47">
        <v>28250.0</v>
      </c>
      <c r="F1186" s="47" t="s">
        <v>11</v>
      </c>
    </row>
    <row r="1187" ht="15.75" customHeight="1">
      <c r="A1187" s="46" t="s">
        <v>2616</v>
      </c>
      <c r="B1187" s="47" t="s">
        <v>2617</v>
      </c>
      <c r="C1187" s="47">
        <v>465.0</v>
      </c>
      <c r="D1187" s="47">
        <v>490.0</v>
      </c>
      <c r="E1187" s="47">
        <v>25450.0</v>
      </c>
      <c r="F1187" s="47" t="s">
        <v>11</v>
      </c>
    </row>
    <row r="1188" ht="15.75" customHeight="1">
      <c r="A1188" s="46" t="s">
        <v>2618</v>
      </c>
      <c r="B1188" s="47" t="s">
        <v>2619</v>
      </c>
      <c r="C1188" s="47">
        <v>495.0</v>
      </c>
      <c r="D1188" s="47">
        <v>419.0</v>
      </c>
      <c r="E1188" s="47">
        <v>24820.0</v>
      </c>
      <c r="F1188" s="47" t="s">
        <v>11</v>
      </c>
    </row>
    <row r="1189" ht="15.75" customHeight="1">
      <c r="A1189" s="46" t="s">
        <v>2620</v>
      </c>
      <c r="B1189" s="47" t="s">
        <v>2621</v>
      </c>
      <c r="C1189" s="47">
        <v>541.0</v>
      </c>
      <c r="D1189" s="47">
        <v>616.0</v>
      </c>
      <c r="E1189" s="47">
        <v>31120.0</v>
      </c>
      <c r="F1189" s="47" t="s">
        <v>11</v>
      </c>
    </row>
    <row r="1190" ht="15.75" customHeight="1">
      <c r="A1190" s="46" t="s">
        <v>2622</v>
      </c>
      <c r="B1190" s="47" t="s">
        <v>2623</v>
      </c>
      <c r="C1190" s="47">
        <v>1536.0</v>
      </c>
      <c r="D1190" s="47">
        <v>1663.0</v>
      </c>
      <c r="E1190" s="47">
        <v>30840.0</v>
      </c>
      <c r="F1190" s="47" t="s">
        <v>11</v>
      </c>
    </row>
    <row r="1191" ht="15.75" customHeight="1">
      <c r="A1191" s="46" t="s">
        <v>2624</v>
      </c>
      <c r="B1191" s="47" t="s">
        <v>2625</v>
      </c>
      <c r="C1191" s="47">
        <v>2502.0</v>
      </c>
      <c r="D1191" s="47">
        <v>2516.0</v>
      </c>
      <c r="E1191" s="47">
        <v>22830.0</v>
      </c>
      <c r="F1191" s="47">
        <v>17.0</v>
      </c>
    </row>
    <row r="1192" ht="15.75" customHeight="1">
      <c r="A1192" s="46" t="s">
        <v>2626</v>
      </c>
      <c r="B1192" s="47" t="s">
        <v>2627</v>
      </c>
      <c r="C1192" s="47">
        <v>20782.0</v>
      </c>
      <c r="D1192" s="47">
        <v>21105.0</v>
      </c>
      <c r="E1192" s="47">
        <v>21770.0</v>
      </c>
      <c r="F1192" s="47">
        <v>28.0</v>
      </c>
    </row>
    <row r="1193" ht="15.75" customHeight="1">
      <c r="A1193" s="46" t="s">
        <v>2628</v>
      </c>
      <c r="B1193" s="47" t="s">
        <v>2629</v>
      </c>
      <c r="C1193" s="47">
        <v>2134.0</v>
      </c>
      <c r="D1193" s="47">
        <v>2075.0</v>
      </c>
      <c r="E1193" s="47">
        <v>32180.0</v>
      </c>
      <c r="F1193" s="47">
        <v>5.0</v>
      </c>
    </row>
    <row r="1194" ht="15.75" customHeight="1">
      <c r="A1194" s="46" t="s">
        <v>2630</v>
      </c>
      <c r="B1194" s="47" t="s">
        <v>2631</v>
      </c>
      <c r="C1194" s="47">
        <v>290.0</v>
      </c>
      <c r="D1194" s="47">
        <v>276.0</v>
      </c>
      <c r="E1194" s="47">
        <v>20920.0</v>
      </c>
      <c r="F1194" s="47" t="s">
        <v>11</v>
      </c>
    </row>
    <row r="1195" ht="15.75" customHeight="1">
      <c r="A1195" s="46" t="s">
        <v>2632</v>
      </c>
      <c r="B1195" s="47" t="s">
        <v>2633</v>
      </c>
      <c r="C1195" s="47">
        <v>562.0</v>
      </c>
      <c r="D1195" s="47">
        <v>552.0</v>
      </c>
      <c r="E1195" s="47">
        <v>25080.0</v>
      </c>
      <c r="F1195" s="47" t="s">
        <v>11</v>
      </c>
    </row>
    <row r="1196" ht="15.75" customHeight="1">
      <c r="A1196" s="46" t="s">
        <v>2634</v>
      </c>
      <c r="B1196" s="47" t="s">
        <v>2635</v>
      </c>
      <c r="C1196" s="47">
        <v>4801.0</v>
      </c>
      <c r="D1196" s="47">
        <v>4495.0</v>
      </c>
      <c r="E1196" s="47">
        <v>22050.0</v>
      </c>
      <c r="F1196" s="47">
        <v>22.0</v>
      </c>
    </row>
    <row r="1197" ht="15.75" customHeight="1">
      <c r="A1197" s="46" t="s">
        <v>2636</v>
      </c>
      <c r="B1197" s="47" t="s">
        <v>2637</v>
      </c>
      <c r="C1197" s="47">
        <v>224.0</v>
      </c>
      <c r="D1197" s="47">
        <v>228.0</v>
      </c>
      <c r="E1197" s="47">
        <v>25530.0</v>
      </c>
      <c r="F1197" s="47" t="s">
        <v>11</v>
      </c>
    </row>
    <row r="1198" ht="15.75" customHeight="1">
      <c r="A1198" s="46" t="s">
        <v>2638</v>
      </c>
      <c r="B1198" s="47" t="s">
        <v>2639</v>
      </c>
      <c r="C1198" s="47">
        <v>2538.0</v>
      </c>
      <c r="D1198" s="47">
        <v>2573.0</v>
      </c>
      <c r="E1198" s="47">
        <v>27040.0</v>
      </c>
      <c r="F1198" s="47">
        <v>8.0</v>
      </c>
    </row>
    <row r="1199" ht="15.75" customHeight="1">
      <c r="A1199" s="46" t="s">
        <v>2640</v>
      </c>
      <c r="B1199" s="47" t="s">
        <v>2641</v>
      </c>
      <c r="C1199" s="47">
        <v>1626.0</v>
      </c>
      <c r="D1199" s="47">
        <v>1599.0</v>
      </c>
      <c r="E1199" s="47">
        <v>21410.0</v>
      </c>
      <c r="F1199" s="47" t="s">
        <v>11</v>
      </c>
    </row>
    <row r="1200" ht="15.75" customHeight="1">
      <c r="A1200" s="46" t="s">
        <v>2642</v>
      </c>
      <c r="B1200" s="47" t="s">
        <v>2643</v>
      </c>
      <c r="C1200" s="47">
        <v>1392.0</v>
      </c>
      <c r="D1200" s="47">
        <v>1491.0</v>
      </c>
      <c r="E1200" s="47">
        <v>31120.0</v>
      </c>
      <c r="F1200" s="47" t="s">
        <v>11</v>
      </c>
    </row>
    <row r="1201" ht="15.75" customHeight="1">
      <c r="A1201" s="46" t="s">
        <v>2644</v>
      </c>
      <c r="B1201" s="47" t="s">
        <v>2645</v>
      </c>
      <c r="C1201" s="47">
        <v>59.0</v>
      </c>
      <c r="D1201" s="47">
        <v>61.0</v>
      </c>
      <c r="E1201" s="47" t="s">
        <v>11</v>
      </c>
      <c r="F1201" s="47" t="s">
        <v>11</v>
      </c>
    </row>
    <row r="1202" ht="15.75" customHeight="1">
      <c r="A1202" s="46" t="s">
        <v>2646</v>
      </c>
      <c r="B1202" s="47" t="s">
        <v>2647</v>
      </c>
      <c r="C1202" s="47">
        <v>13151.0</v>
      </c>
      <c r="D1202" s="47">
        <v>13369.0</v>
      </c>
      <c r="E1202" s="47">
        <v>32540.0</v>
      </c>
      <c r="F1202" s="47">
        <v>9.0</v>
      </c>
    </row>
    <row r="1203" ht="15.75" customHeight="1">
      <c r="A1203" s="46" t="s">
        <v>2648</v>
      </c>
      <c r="B1203" s="47" t="s">
        <v>2649</v>
      </c>
      <c r="C1203" s="47">
        <v>636.0</v>
      </c>
      <c r="D1203" s="47">
        <v>620.0</v>
      </c>
      <c r="E1203" s="47">
        <v>26610.0</v>
      </c>
      <c r="F1203" s="47" t="s">
        <v>11</v>
      </c>
    </row>
    <row r="1204" ht="15.75" customHeight="1">
      <c r="A1204" s="46" t="s">
        <v>2650</v>
      </c>
      <c r="B1204" s="47" t="s">
        <v>2651</v>
      </c>
      <c r="C1204" s="47">
        <v>1234.0</v>
      </c>
      <c r="D1204" s="47">
        <v>1417.0</v>
      </c>
      <c r="E1204" s="47">
        <v>25540.0</v>
      </c>
      <c r="F1204" s="47" t="s">
        <v>11</v>
      </c>
    </row>
    <row r="1205" ht="15.75" customHeight="1">
      <c r="A1205" s="46" t="s">
        <v>2652</v>
      </c>
      <c r="B1205" s="47" t="s">
        <v>2653</v>
      </c>
      <c r="C1205" s="47">
        <v>1330.0</v>
      </c>
      <c r="D1205" s="47">
        <v>1286.0</v>
      </c>
      <c r="E1205" s="47">
        <v>20530.0</v>
      </c>
      <c r="F1205" s="47" t="s">
        <v>11</v>
      </c>
    </row>
    <row r="1206" ht="15.75" customHeight="1">
      <c r="A1206" s="46" t="s">
        <v>2654</v>
      </c>
      <c r="B1206" s="47" t="s">
        <v>2655</v>
      </c>
      <c r="C1206" s="47">
        <v>304.0</v>
      </c>
      <c r="D1206" s="47">
        <v>298.0</v>
      </c>
      <c r="E1206" s="47">
        <v>27180.0</v>
      </c>
      <c r="F1206" s="47" t="s">
        <v>11</v>
      </c>
    </row>
    <row r="1207" ht="15.75" customHeight="1">
      <c r="A1207" s="46" t="s">
        <v>2656</v>
      </c>
      <c r="B1207" s="47" t="s">
        <v>2657</v>
      </c>
      <c r="C1207" s="47">
        <v>10284.0</v>
      </c>
      <c r="D1207" s="47">
        <v>10002.0</v>
      </c>
      <c r="E1207" s="47">
        <v>27570.0</v>
      </c>
      <c r="F1207" s="47">
        <v>7.0</v>
      </c>
    </row>
    <row r="1208" ht="15.75" customHeight="1">
      <c r="A1208" s="46" t="s">
        <v>2658</v>
      </c>
      <c r="B1208" s="47" t="s">
        <v>2659</v>
      </c>
      <c r="C1208" s="47">
        <v>646.0</v>
      </c>
      <c r="D1208" s="47">
        <v>593.0</v>
      </c>
      <c r="E1208" s="47">
        <v>30970.0</v>
      </c>
      <c r="F1208" s="47" t="s">
        <v>11</v>
      </c>
    </row>
    <row r="1209" ht="15.75" customHeight="1">
      <c r="A1209" s="46" t="s">
        <v>2660</v>
      </c>
      <c r="B1209" s="47" t="s">
        <v>2661</v>
      </c>
      <c r="C1209" s="47">
        <v>3803.0</v>
      </c>
      <c r="D1209" s="47">
        <v>4012.0</v>
      </c>
      <c r="E1209" s="47">
        <v>21590.0</v>
      </c>
      <c r="F1209" s="47">
        <v>22.0</v>
      </c>
    </row>
    <row r="1210" ht="15.75" customHeight="1">
      <c r="A1210" s="46" t="s">
        <v>2662</v>
      </c>
      <c r="B1210" s="47" t="s">
        <v>2663</v>
      </c>
      <c r="C1210" s="47">
        <v>2702.0</v>
      </c>
      <c r="D1210" s="47">
        <v>2901.0</v>
      </c>
      <c r="E1210" s="47">
        <v>21950.0</v>
      </c>
      <c r="F1210" s="47">
        <v>16.0</v>
      </c>
    </row>
    <row r="1211" ht="15.75" customHeight="1">
      <c r="A1211" s="46" t="s">
        <v>2664</v>
      </c>
      <c r="B1211" s="47" t="s">
        <v>2665</v>
      </c>
      <c r="C1211" s="47">
        <v>1113.0</v>
      </c>
      <c r="D1211" s="47">
        <v>1103.0</v>
      </c>
      <c r="E1211" s="47">
        <v>23260.0</v>
      </c>
      <c r="F1211" s="47" t="s">
        <v>11</v>
      </c>
    </row>
    <row r="1212" ht="15.75" customHeight="1">
      <c r="A1212" s="46" t="s">
        <v>2666</v>
      </c>
      <c r="B1212" s="47" t="s">
        <v>2667</v>
      </c>
      <c r="C1212" s="47">
        <v>7476.0</v>
      </c>
      <c r="D1212" s="47">
        <v>7764.0</v>
      </c>
      <c r="E1212" s="47">
        <v>26140.0</v>
      </c>
      <c r="F1212" s="47">
        <v>12.0</v>
      </c>
    </row>
    <row r="1213" ht="15.75" customHeight="1">
      <c r="A1213" s="46" t="s">
        <v>2668</v>
      </c>
      <c r="B1213" s="47" t="s">
        <v>2669</v>
      </c>
      <c r="C1213" s="47">
        <v>509.0</v>
      </c>
      <c r="D1213" s="47">
        <v>509.0</v>
      </c>
      <c r="E1213" s="47">
        <v>28550.0</v>
      </c>
      <c r="F1213" s="47" t="s">
        <v>11</v>
      </c>
    </row>
    <row r="1214" ht="15.75" customHeight="1">
      <c r="A1214" s="46" t="s">
        <v>2670</v>
      </c>
      <c r="B1214" s="47" t="s">
        <v>2671</v>
      </c>
      <c r="C1214" s="47">
        <v>937.0</v>
      </c>
      <c r="D1214" s="47">
        <v>908.0</v>
      </c>
      <c r="E1214" s="47">
        <v>23090.0</v>
      </c>
      <c r="F1214" s="47" t="s">
        <v>11</v>
      </c>
    </row>
    <row r="1215" ht="15.75" customHeight="1">
      <c r="A1215" s="46" t="s">
        <v>2672</v>
      </c>
      <c r="B1215" s="47" t="s">
        <v>2673</v>
      </c>
      <c r="C1215" s="47">
        <v>1318.0</v>
      </c>
      <c r="D1215" s="47">
        <v>1406.0</v>
      </c>
      <c r="E1215" s="47">
        <v>29630.0</v>
      </c>
      <c r="F1215" s="47" t="s">
        <v>11</v>
      </c>
    </row>
    <row r="1216" ht="15.75" customHeight="1">
      <c r="A1216" s="46" t="s">
        <v>2674</v>
      </c>
      <c r="B1216" s="47" t="s">
        <v>2675</v>
      </c>
      <c r="C1216" s="47">
        <v>2521.0</v>
      </c>
      <c r="D1216" s="47">
        <v>2651.0</v>
      </c>
      <c r="E1216" s="47">
        <v>30860.0</v>
      </c>
      <c r="F1216" s="47">
        <v>8.0</v>
      </c>
    </row>
    <row r="1217" ht="15.75" customHeight="1">
      <c r="A1217" s="46" t="s">
        <v>2676</v>
      </c>
      <c r="B1217" s="47" t="s">
        <v>2677</v>
      </c>
      <c r="C1217" s="47">
        <v>788.0</v>
      </c>
      <c r="D1217" s="47">
        <v>825.0</v>
      </c>
      <c r="E1217" s="47">
        <v>24400.0</v>
      </c>
      <c r="F1217" s="47" t="s">
        <v>11</v>
      </c>
    </row>
    <row r="1218" ht="15.75" customHeight="1">
      <c r="A1218" s="46" t="s">
        <v>2678</v>
      </c>
      <c r="B1218" s="47" t="s">
        <v>2679</v>
      </c>
      <c r="C1218" s="47">
        <v>873.0</v>
      </c>
      <c r="D1218" s="47">
        <v>838.0</v>
      </c>
      <c r="E1218" s="47">
        <v>31150.0</v>
      </c>
      <c r="F1218" s="47" t="s">
        <v>11</v>
      </c>
    </row>
    <row r="1219" ht="15.75" customHeight="1">
      <c r="A1219" s="46" t="s">
        <v>2680</v>
      </c>
      <c r="B1219" s="47" t="s">
        <v>2681</v>
      </c>
      <c r="C1219" s="47">
        <v>803.0</v>
      </c>
      <c r="D1219" s="47">
        <v>816.0</v>
      </c>
      <c r="E1219" s="47">
        <v>25600.0</v>
      </c>
      <c r="F1219" s="47" t="s">
        <v>11</v>
      </c>
    </row>
    <row r="1220" ht="15.75" customHeight="1">
      <c r="A1220" s="46" t="s">
        <v>2682</v>
      </c>
      <c r="B1220" s="47" t="s">
        <v>2683</v>
      </c>
      <c r="C1220" s="47">
        <v>278.0</v>
      </c>
      <c r="D1220" s="47">
        <v>283.0</v>
      </c>
      <c r="E1220" s="47">
        <v>25470.0</v>
      </c>
      <c r="F1220" s="47" t="s">
        <v>11</v>
      </c>
    </row>
    <row r="1221" ht="15.75" customHeight="1">
      <c r="A1221" s="46" t="s">
        <v>2684</v>
      </c>
      <c r="B1221" s="47" t="s">
        <v>2685</v>
      </c>
      <c r="C1221" s="47">
        <v>705.0</v>
      </c>
      <c r="D1221" s="47">
        <v>657.0</v>
      </c>
      <c r="E1221" s="47">
        <v>24260.0</v>
      </c>
      <c r="F1221" s="47" t="s">
        <v>11</v>
      </c>
    </row>
    <row r="1222" ht="15.75" customHeight="1">
      <c r="A1222" s="46" t="s">
        <v>2686</v>
      </c>
      <c r="B1222" s="47" t="s">
        <v>2687</v>
      </c>
      <c r="C1222" s="47">
        <v>686.0</v>
      </c>
      <c r="D1222" s="47">
        <v>660.0</v>
      </c>
      <c r="E1222" s="47">
        <v>28850.0</v>
      </c>
      <c r="F1222" s="47" t="s">
        <v>11</v>
      </c>
    </row>
    <row r="1223" ht="15.75" customHeight="1">
      <c r="A1223" s="46" t="s">
        <v>2688</v>
      </c>
      <c r="B1223" s="47" t="s">
        <v>2689</v>
      </c>
      <c r="C1223" s="47">
        <v>268.0</v>
      </c>
      <c r="D1223" s="47">
        <v>283.0</v>
      </c>
      <c r="E1223" s="47">
        <v>29240.0</v>
      </c>
      <c r="F1223" s="47" t="s">
        <v>11</v>
      </c>
    </row>
    <row r="1224" ht="15.75" customHeight="1">
      <c r="A1224" s="46" t="s">
        <v>2690</v>
      </c>
      <c r="B1224" s="47" t="s">
        <v>2691</v>
      </c>
      <c r="C1224" s="47">
        <v>383.0</v>
      </c>
      <c r="D1224" s="47">
        <v>351.0</v>
      </c>
      <c r="E1224" s="47">
        <v>27080.0</v>
      </c>
      <c r="F1224" s="47" t="s">
        <v>11</v>
      </c>
    </row>
    <row r="1225" ht="15.75" customHeight="1">
      <c r="A1225" s="46" t="s">
        <v>2692</v>
      </c>
      <c r="B1225" s="47" t="s">
        <v>2693</v>
      </c>
      <c r="C1225" s="47">
        <v>936.0</v>
      </c>
      <c r="D1225" s="47">
        <v>945.0</v>
      </c>
      <c r="E1225" s="47">
        <v>23410.0</v>
      </c>
      <c r="F1225" s="47" t="s">
        <v>11</v>
      </c>
    </row>
    <row r="1226" ht="15.75" customHeight="1">
      <c r="A1226" s="46" t="s">
        <v>2694</v>
      </c>
      <c r="B1226" s="47" t="s">
        <v>2695</v>
      </c>
      <c r="C1226" s="47">
        <v>1199.0</v>
      </c>
      <c r="D1226" s="47">
        <v>1171.0</v>
      </c>
      <c r="E1226" s="47">
        <v>23220.0</v>
      </c>
      <c r="F1226" s="47" t="s">
        <v>11</v>
      </c>
    </row>
    <row r="1227" ht="15.75" customHeight="1">
      <c r="A1227" s="46" t="s">
        <v>2696</v>
      </c>
      <c r="B1227" s="47" t="s">
        <v>1339</v>
      </c>
      <c r="C1227" s="47">
        <v>614.0</v>
      </c>
      <c r="D1227" s="47">
        <v>699.0</v>
      </c>
      <c r="E1227" s="47">
        <v>30090.0</v>
      </c>
      <c r="F1227" s="47" t="s">
        <v>11</v>
      </c>
    </row>
    <row r="1228" ht="15.75" customHeight="1">
      <c r="A1228" s="46" t="s">
        <v>2697</v>
      </c>
      <c r="B1228" s="47" t="s">
        <v>2698</v>
      </c>
      <c r="C1228" s="47">
        <v>8797.0</v>
      </c>
      <c r="D1228" s="47">
        <v>8479.0</v>
      </c>
      <c r="E1228" s="47">
        <v>21220.0</v>
      </c>
      <c r="F1228" s="47">
        <v>25.0</v>
      </c>
    </row>
    <row r="1229" ht="15.75" customHeight="1">
      <c r="A1229" s="46" t="s">
        <v>2699</v>
      </c>
      <c r="B1229" s="47" t="s">
        <v>2700</v>
      </c>
      <c r="C1229" s="47">
        <v>465.0</v>
      </c>
      <c r="D1229" s="47">
        <v>463.0</v>
      </c>
      <c r="E1229" s="47">
        <v>24750.0</v>
      </c>
      <c r="F1229" s="47" t="s">
        <v>11</v>
      </c>
    </row>
    <row r="1230" ht="15.75" customHeight="1">
      <c r="A1230" s="46" t="s">
        <v>2701</v>
      </c>
      <c r="B1230" s="47" t="s">
        <v>2702</v>
      </c>
      <c r="C1230" s="47">
        <v>8828.0</v>
      </c>
      <c r="D1230" s="47">
        <v>8396.0</v>
      </c>
      <c r="E1230" s="47">
        <v>24880.0</v>
      </c>
      <c r="F1230" s="47">
        <v>14.0</v>
      </c>
    </row>
    <row r="1231" ht="15.75" customHeight="1">
      <c r="A1231" s="46" t="s">
        <v>2703</v>
      </c>
      <c r="B1231" s="47" t="s">
        <v>2704</v>
      </c>
      <c r="C1231" s="47">
        <v>643.0</v>
      </c>
      <c r="D1231" s="47">
        <v>644.0</v>
      </c>
      <c r="E1231" s="47">
        <v>24150.0</v>
      </c>
      <c r="F1231" s="47" t="s">
        <v>11</v>
      </c>
    </row>
    <row r="1232" ht="15.75" customHeight="1">
      <c r="A1232" s="46" t="s">
        <v>2705</v>
      </c>
      <c r="B1232" s="47" t="s">
        <v>2706</v>
      </c>
      <c r="C1232" s="47">
        <v>548.0</v>
      </c>
      <c r="D1232" s="47">
        <v>564.0</v>
      </c>
      <c r="E1232" s="47">
        <v>30310.0</v>
      </c>
      <c r="F1232" s="47" t="s">
        <v>11</v>
      </c>
    </row>
    <row r="1233" ht="15.75" customHeight="1">
      <c r="A1233" s="46" t="s">
        <v>2707</v>
      </c>
      <c r="B1233" s="47" t="s">
        <v>2708</v>
      </c>
      <c r="C1233" s="47">
        <v>5372.0</v>
      </c>
      <c r="D1233" s="47">
        <v>6097.0</v>
      </c>
      <c r="E1233" s="47">
        <v>21160.0</v>
      </c>
      <c r="F1233" s="47">
        <v>25.0</v>
      </c>
    </row>
    <row r="1234" ht="15.75" customHeight="1">
      <c r="A1234" s="46" t="s">
        <v>2709</v>
      </c>
      <c r="B1234" s="47" t="s">
        <v>2710</v>
      </c>
      <c r="C1234" s="47">
        <v>686.0</v>
      </c>
      <c r="D1234" s="47">
        <v>690.0</v>
      </c>
      <c r="E1234" s="47">
        <v>26400.0</v>
      </c>
      <c r="F1234" s="47" t="s">
        <v>11</v>
      </c>
    </row>
    <row r="1235" ht="15.75" customHeight="1">
      <c r="A1235" s="46" t="s">
        <v>2711</v>
      </c>
      <c r="B1235" s="47" t="s">
        <v>2712</v>
      </c>
      <c r="C1235" s="47">
        <v>519.0</v>
      </c>
      <c r="D1235" s="47">
        <v>540.0</v>
      </c>
      <c r="E1235" s="47">
        <v>25020.0</v>
      </c>
      <c r="F1235" s="47" t="s">
        <v>11</v>
      </c>
    </row>
    <row r="1236" ht="15.75" customHeight="1">
      <c r="A1236" s="46" t="s">
        <v>2713</v>
      </c>
      <c r="B1236" s="47" t="s">
        <v>2714</v>
      </c>
      <c r="C1236" s="47">
        <v>991.0</v>
      </c>
      <c r="D1236" s="47">
        <v>1030.0</v>
      </c>
      <c r="E1236" s="47">
        <v>26060.0</v>
      </c>
      <c r="F1236" s="47" t="s">
        <v>11</v>
      </c>
    </row>
    <row r="1237" ht="15.75" customHeight="1">
      <c r="A1237" s="46" t="s">
        <v>2715</v>
      </c>
      <c r="B1237" s="47" t="s">
        <v>2716</v>
      </c>
      <c r="C1237" s="47">
        <v>6011.0</v>
      </c>
      <c r="D1237" s="47">
        <v>6092.0</v>
      </c>
      <c r="E1237" s="47">
        <v>19880.0</v>
      </c>
      <c r="F1237" s="47">
        <v>28.0</v>
      </c>
    </row>
    <row r="1238" ht="15.75" customHeight="1">
      <c r="A1238" s="46" t="s">
        <v>2717</v>
      </c>
      <c r="B1238" s="47" t="s">
        <v>2718</v>
      </c>
      <c r="C1238" s="47">
        <v>8424.0</v>
      </c>
      <c r="D1238" s="47">
        <v>8455.0</v>
      </c>
      <c r="E1238" s="47">
        <v>26590.0</v>
      </c>
      <c r="F1238" s="47">
        <v>12.0</v>
      </c>
    </row>
    <row r="1239" ht="15.75" customHeight="1">
      <c r="A1239" s="46" t="s">
        <v>2719</v>
      </c>
      <c r="B1239" s="47" t="s">
        <v>2720</v>
      </c>
      <c r="C1239" s="47">
        <v>908.0</v>
      </c>
      <c r="D1239" s="47">
        <v>1025.0</v>
      </c>
      <c r="E1239" s="47">
        <v>32820.0</v>
      </c>
      <c r="F1239" s="47" t="s">
        <v>11</v>
      </c>
    </row>
    <row r="1240" ht="15.75" customHeight="1">
      <c r="A1240" s="46" t="s">
        <v>2721</v>
      </c>
      <c r="B1240" s="47" t="s">
        <v>2722</v>
      </c>
      <c r="C1240" s="47">
        <v>4877.0</v>
      </c>
      <c r="D1240" s="47">
        <v>5054.0</v>
      </c>
      <c r="E1240" s="47">
        <v>23640.0</v>
      </c>
      <c r="F1240" s="47">
        <v>18.0</v>
      </c>
    </row>
    <row r="1241" ht="15.75" customHeight="1">
      <c r="A1241" s="46" t="s">
        <v>2723</v>
      </c>
      <c r="B1241" s="47" t="s">
        <v>2724</v>
      </c>
      <c r="C1241" s="47">
        <v>309.0</v>
      </c>
      <c r="D1241" s="47">
        <v>286.0</v>
      </c>
      <c r="E1241" s="47">
        <v>25580.0</v>
      </c>
      <c r="F1241" s="47" t="s">
        <v>11</v>
      </c>
    </row>
    <row r="1242" ht="15.75" customHeight="1">
      <c r="A1242" s="46" t="s">
        <v>2725</v>
      </c>
      <c r="B1242" s="47" t="s">
        <v>2726</v>
      </c>
      <c r="C1242" s="47">
        <v>4729.0</v>
      </c>
      <c r="D1242" s="47">
        <v>4847.0</v>
      </c>
      <c r="E1242" s="47">
        <v>30080.0</v>
      </c>
      <c r="F1242" s="47">
        <v>6.0</v>
      </c>
    </row>
    <row r="1243" ht="15.75" customHeight="1">
      <c r="A1243" s="46" t="s">
        <v>2727</v>
      </c>
      <c r="B1243" s="47" t="s">
        <v>2728</v>
      </c>
      <c r="C1243" s="47">
        <v>966.0</v>
      </c>
      <c r="D1243" s="47">
        <v>1007.0</v>
      </c>
      <c r="E1243" s="47">
        <v>26510.0</v>
      </c>
      <c r="F1243" s="47" t="s">
        <v>11</v>
      </c>
    </row>
    <row r="1244" ht="15.75" customHeight="1">
      <c r="A1244" s="46" t="s">
        <v>2729</v>
      </c>
      <c r="B1244" s="47" t="s">
        <v>2730</v>
      </c>
      <c r="C1244" s="47">
        <v>2203.0</v>
      </c>
      <c r="D1244" s="47">
        <v>2126.0</v>
      </c>
      <c r="E1244" s="47">
        <v>21300.0</v>
      </c>
      <c r="F1244" s="47">
        <v>26.0</v>
      </c>
    </row>
    <row r="1245" ht="15.75" customHeight="1">
      <c r="A1245" s="46" t="s">
        <v>2731</v>
      </c>
      <c r="B1245" s="47" t="s">
        <v>2732</v>
      </c>
      <c r="C1245" s="47">
        <v>770.0</v>
      </c>
      <c r="D1245" s="47">
        <v>765.0</v>
      </c>
      <c r="E1245" s="47">
        <v>23140.0</v>
      </c>
      <c r="F1245" s="47" t="s">
        <v>11</v>
      </c>
    </row>
    <row r="1246" ht="15.75" customHeight="1">
      <c r="A1246" s="46" t="s">
        <v>2733</v>
      </c>
      <c r="B1246" s="47" t="s">
        <v>2734</v>
      </c>
      <c r="C1246" s="47">
        <v>2884.0</v>
      </c>
      <c r="D1246" s="47">
        <v>3016.0</v>
      </c>
      <c r="E1246" s="47">
        <v>28660.0</v>
      </c>
      <c r="F1246" s="47">
        <v>7.0</v>
      </c>
    </row>
    <row r="1247" ht="15.75" customHeight="1">
      <c r="A1247" s="46" t="s">
        <v>2735</v>
      </c>
      <c r="B1247" s="47" t="s">
        <v>2736</v>
      </c>
      <c r="C1247" s="47">
        <v>2541.0</v>
      </c>
      <c r="D1247" s="47">
        <v>2371.0</v>
      </c>
      <c r="E1247" s="47">
        <v>23610.0</v>
      </c>
      <c r="F1247" s="47">
        <v>19.0</v>
      </c>
    </row>
    <row r="1248" ht="15.75" customHeight="1">
      <c r="A1248" s="46" t="s">
        <v>2737</v>
      </c>
      <c r="B1248" s="47" t="s">
        <v>2738</v>
      </c>
      <c r="C1248" s="47">
        <v>395.0</v>
      </c>
      <c r="D1248" s="47">
        <v>439.0</v>
      </c>
      <c r="E1248" s="47">
        <v>29150.0</v>
      </c>
      <c r="F1248" s="47" t="s">
        <v>11</v>
      </c>
    </row>
    <row r="1249" ht="15.75" customHeight="1">
      <c r="A1249" s="46" t="s">
        <v>2739</v>
      </c>
      <c r="B1249" s="47" t="s">
        <v>2740</v>
      </c>
      <c r="C1249" s="47">
        <v>390.0</v>
      </c>
      <c r="D1249" s="47">
        <v>399.0</v>
      </c>
      <c r="E1249" s="47">
        <v>28770.0</v>
      </c>
      <c r="F1249" s="47" t="s">
        <v>11</v>
      </c>
    </row>
    <row r="1250" ht="15.75" customHeight="1">
      <c r="A1250" s="46" t="s">
        <v>2741</v>
      </c>
      <c r="B1250" s="47" t="s">
        <v>2742</v>
      </c>
      <c r="C1250" s="47">
        <v>2130.0</v>
      </c>
      <c r="D1250" s="47">
        <v>2031.0</v>
      </c>
      <c r="E1250" s="47">
        <v>31120.0</v>
      </c>
      <c r="F1250" s="47">
        <v>5.0</v>
      </c>
    </row>
    <row r="1251" ht="15.75" customHeight="1">
      <c r="A1251" s="46" t="s">
        <v>2743</v>
      </c>
      <c r="B1251" s="47" t="s">
        <v>2744</v>
      </c>
      <c r="C1251" s="47">
        <v>1932.0</v>
      </c>
      <c r="D1251" s="47">
        <v>2100.0</v>
      </c>
      <c r="E1251" s="47">
        <v>28640.0</v>
      </c>
      <c r="F1251" s="47">
        <v>8.0</v>
      </c>
    </row>
    <row r="1252" ht="15.75" customHeight="1">
      <c r="A1252" s="46" t="s">
        <v>2745</v>
      </c>
      <c r="B1252" s="47" t="s">
        <v>2746</v>
      </c>
      <c r="C1252" s="47">
        <v>844.0</v>
      </c>
      <c r="D1252" s="47">
        <v>832.0</v>
      </c>
      <c r="E1252" s="47">
        <v>23780.0</v>
      </c>
      <c r="F1252" s="47" t="s">
        <v>11</v>
      </c>
    </row>
    <row r="1253" ht="15.75" customHeight="1">
      <c r="A1253" s="46" t="s">
        <v>2747</v>
      </c>
      <c r="B1253" s="47" t="s">
        <v>2748</v>
      </c>
      <c r="C1253" s="47">
        <v>314.0</v>
      </c>
      <c r="D1253" s="47">
        <v>300.0</v>
      </c>
      <c r="E1253" s="47">
        <v>30790.0</v>
      </c>
      <c r="F1253" s="47" t="s">
        <v>11</v>
      </c>
    </row>
    <row r="1254" ht="15.75" customHeight="1">
      <c r="A1254" s="46" t="s">
        <v>2749</v>
      </c>
      <c r="B1254" s="47" t="s">
        <v>2750</v>
      </c>
      <c r="C1254" s="47">
        <v>1081.0</v>
      </c>
      <c r="D1254" s="47">
        <v>1000.0</v>
      </c>
      <c r="E1254" s="47">
        <v>22980.0</v>
      </c>
      <c r="F1254" s="47" t="s">
        <v>11</v>
      </c>
    </row>
    <row r="1255" ht="15.75" customHeight="1">
      <c r="A1255" s="46" t="s">
        <v>2751</v>
      </c>
      <c r="B1255" s="47" t="s">
        <v>2752</v>
      </c>
      <c r="C1255" s="47">
        <v>2282.0</v>
      </c>
      <c r="D1255" s="47">
        <v>2178.0</v>
      </c>
      <c r="E1255" s="47">
        <v>23660.0</v>
      </c>
      <c r="F1255" s="47">
        <v>16.0</v>
      </c>
    </row>
    <row r="1256" ht="15.75" customHeight="1">
      <c r="A1256" s="46" t="s">
        <v>2753</v>
      </c>
      <c r="B1256" s="47" t="s">
        <v>2754</v>
      </c>
      <c r="C1256" s="47">
        <v>3163.0</v>
      </c>
      <c r="D1256" s="47">
        <v>3206.0</v>
      </c>
      <c r="E1256" s="47">
        <v>26610.0</v>
      </c>
      <c r="F1256" s="47">
        <v>11.0</v>
      </c>
    </row>
    <row r="1257" ht="15.75" customHeight="1">
      <c r="A1257" s="46" t="s">
        <v>2755</v>
      </c>
      <c r="B1257" s="47" t="s">
        <v>2756</v>
      </c>
      <c r="C1257" s="47">
        <v>4234.0</v>
      </c>
      <c r="D1257" s="47">
        <v>4428.0</v>
      </c>
      <c r="E1257" s="47">
        <v>24880.0</v>
      </c>
      <c r="F1257" s="47">
        <v>13.0</v>
      </c>
    </row>
    <row r="1258" ht="15.75" customHeight="1">
      <c r="A1258" s="46" t="s">
        <v>2757</v>
      </c>
      <c r="B1258" s="47" t="s">
        <v>2758</v>
      </c>
      <c r="C1258" s="47">
        <v>1095.0</v>
      </c>
      <c r="D1258" s="47">
        <v>1108.0</v>
      </c>
      <c r="E1258" s="47">
        <v>27470.0</v>
      </c>
      <c r="F1258" s="47" t="s">
        <v>11</v>
      </c>
    </row>
    <row r="1259" ht="15.75" customHeight="1">
      <c r="A1259" s="46" t="s">
        <v>2759</v>
      </c>
      <c r="B1259" s="47" t="s">
        <v>2760</v>
      </c>
      <c r="C1259" s="47">
        <v>2992.0</v>
      </c>
      <c r="D1259" s="47">
        <v>3145.0</v>
      </c>
      <c r="E1259" s="47">
        <v>24640.0</v>
      </c>
      <c r="F1259" s="47">
        <v>14.0</v>
      </c>
    </row>
    <row r="1260" ht="15.75" customHeight="1">
      <c r="A1260" s="46" t="s">
        <v>2761</v>
      </c>
      <c r="B1260" s="47" t="s">
        <v>2762</v>
      </c>
      <c r="C1260" s="47">
        <v>886.0</v>
      </c>
      <c r="D1260" s="47">
        <v>865.0</v>
      </c>
      <c r="E1260" s="47">
        <v>30340.0</v>
      </c>
      <c r="F1260" s="47" t="s">
        <v>11</v>
      </c>
    </row>
    <row r="1261" ht="15.75" customHeight="1">
      <c r="A1261" s="46" t="s">
        <v>2763</v>
      </c>
      <c r="B1261" s="47" t="s">
        <v>2764</v>
      </c>
      <c r="C1261" s="47">
        <v>4934.0</v>
      </c>
      <c r="D1261" s="47">
        <v>4878.0</v>
      </c>
      <c r="E1261" s="47">
        <v>22010.0</v>
      </c>
      <c r="F1261" s="47">
        <v>22.0</v>
      </c>
    </row>
    <row r="1262" ht="15.75" customHeight="1">
      <c r="A1262" s="46" t="s">
        <v>2765</v>
      </c>
      <c r="B1262" s="47" t="s">
        <v>2766</v>
      </c>
      <c r="C1262" s="47">
        <v>6758.0</v>
      </c>
      <c r="D1262" s="47">
        <v>6805.0</v>
      </c>
      <c r="E1262" s="47">
        <v>28410.0</v>
      </c>
      <c r="F1262" s="47">
        <v>10.0</v>
      </c>
    </row>
    <row r="1263" ht="15.75" customHeight="1">
      <c r="A1263" s="46" t="s">
        <v>2767</v>
      </c>
      <c r="B1263" s="47" t="s">
        <v>2768</v>
      </c>
      <c r="C1263" s="47">
        <v>131.0</v>
      </c>
      <c r="D1263" s="47">
        <v>135.0</v>
      </c>
      <c r="E1263" s="47">
        <v>28220.0</v>
      </c>
      <c r="F1263" s="47" t="s">
        <v>11</v>
      </c>
    </row>
    <row r="1264" ht="15.75" customHeight="1">
      <c r="A1264" s="46" t="s">
        <v>2769</v>
      </c>
      <c r="B1264" s="47" t="s">
        <v>2770</v>
      </c>
      <c r="C1264" s="47">
        <v>6366.0</v>
      </c>
      <c r="D1264" s="47">
        <v>5949.0</v>
      </c>
      <c r="E1264" s="47">
        <v>18600.0</v>
      </c>
      <c r="F1264" s="47">
        <v>33.0</v>
      </c>
    </row>
    <row r="1265" ht="15.75" customHeight="1">
      <c r="A1265" s="46" t="s">
        <v>2771</v>
      </c>
      <c r="B1265" s="47" t="s">
        <v>2772</v>
      </c>
      <c r="C1265" s="47">
        <v>1783.0</v>
      </c>
      <c r="D1265" s="47">
        <v>1803.0</v>
      </c>
      <c r="E1265" s="47">
        <v>22850.0</v>
      </c>
      <c r="F1265" s="47" t="s">
        <v>11</v>
      </c>
    </row>
    <row r="1266" ht="15.75" customHeight="1">
      <c r="A1266" s="46" t="s">
        <v>2773</v>
      </c>
      <c r="B1266" s="47" t="s">
        <v>2774</v>
      </c>
      <c r="C1266" s="47">
        <v>2740.0</v>
      </c>
      <c r="D1266" s="47">
        <v>2672.0</v>
      </c>
      <c r="E1266" s="47">
        <v>24680.0</v>
      </c>
      <c r="F1266" s="47">
        <v>12.0</v>
      </c>
    </row>
    <row r="1267" ht="15.75" customHeight="1">
      <c r="A1267" s="46" t="s">
        <v>2775</v>
      </c>
      <c r="B1267" s="47" t="s">
        <v>2776</v>
      </c>
      <c r="C1267" s="47">
        <v>1406.0</v>
      </c>
      <c r="D1267" s="47">
        <v>1410.0</v>
      </c>
      <c r="E1267" s="47">
        <v>35850.0</v>
      </c>
      <c r="F1267" s="47" t="s">
        <v>11</v>
      </c>
    </row>
    <row r="1268" ht="15.75" customHeight="1">
      <c r="A1268" s="46" t="s">
        <v>2777</v>
      </c>
      <c r="B1268" s="47" t="s">
        <v>2778</v>
      </c>
      <c r="C1268" s="47">
        <v>2238.0</v>
      </c>
      <c r="D1268" s="47">
        <v>2127.0</v>
      </c>
      <c r="E1268" s="47">
        <v>25480.0</v>
      </c>
      <c r="F1268" s="47">
        <v>13.0</v>
      </c>
    </row>
    <row r="1269" ht="15.75" customHeight="1">
      <c r="A1269" s="46" t="s">
        <v>2779</v>
      </c>
      <c r="B1269" s="47" t="s">
        <v>2780</v>
      </c>
      <c r="C1269" s="47">
        <v>4002.0</v>
      </c>
      <c r="D1269" s="47">
        <v>4000.0</v>
      </c>
      <c r="E1269" s="47">
        <v>27120.0</v>
      </c>
      <c r="F1269" s="47">
        <v>12.0</v>
      </c>
    </row>
    <row r="1270" ht="15.75" customHeight="1">
      <c r="A1270" s="46" t="s">
        <v>2781</v>
      </c>
      <c r="B1270" s="47" t="s">
        <v>2782</v>
      </c>
      <c r="C1270" s="47">
        <v>182.0</v>
      </c>
      <c r="D1270" s="47">
        <v>197.0</v>
      </c>
      <c r="E1270" s="47">
        <v>24330.0</v>
      </c>
      <c r="F1270" s="47" t="s">
        <v>11</v>
      </c>
    </row>
    <row r="1271" ht="15.75" customHeight="1">
      <c r="A1271" s="46" t="s">
        <v>2783</v>
      </c>
      <c r="B1271" s="47" t="s">
        <v>2784</v>
      </c>
      <c r="C1271" s="47">
        <v>12587.0</v>
      </c>
      <c r="D1271" s="47">
        <v>12199.0</v>
      </c>
      <c r="E1271" s="47">
        <v>20000.0</v>
      </c>
      <c r="F1271" s="47">
        <v>30.0</v>
      </c>
    </row>
    <row r="1272" ht="15.75" customHeight="1">
      <c r="A1272" s="46" t="s">
        <v>2785</v>
      </c>
      <c r="B1272" s="47" t="s">
        <v>2786</v>
      </c>
      <c r="C1272" s="47">
        <v>600.0</v>
      </c>
      <c r="D1272" s="47">
        <v>579.0</v>
      </c>
      <c r="E1272" s="47">
        <v>24530.0</v>
      </c>
      <c r="F1272" s="47" t="s">
        <v>11</v>
      </c>
    </row>
    <row r="1273" ht="15.75" customHeight="1">
      <c r="A1273" s="46" t="s">
        <v>2787</v>
      </c>
      <c r="B1273" s="47" t="s">
        <v>2788</v>
      </c>
      <c r="C1273" s="47">
        <v>228.0</v>
      </c>
      <c r="D1273" s="47">
        <v>220.0</v>
      </c>
      <c r="E1273" s="47">
        <v>23240.0</v>
      </c>
      <c r="F1273" s="47" t="s">
        <v>11</v>
      </c>
    </row>
    <row r="1274" ht="15.75" customHeight="1">
      <c r="A1274" s="46" t="s">
        <v>2789</v>
      </c>
      <c r="B1274" s="47" t="s">
        <v>2790</v>
      </c>
      <c r="C1274" s="47">
        <v>173.0</v>
      </c>
      <c r="D1274" s="47">
        <v>150.0</v>
      </c>
      <c r="E1274" s="47">
        <v>23480.0</v>
      </c>
      <c r="F1274" s="47" t="s">
        <v>11</v>
      </c>
    </row>
    <row r="1275" ht="15.75" customHeight="1">
      <c r="A1275" s="46" t="s">
        <v>2791</v>
      </c>
      <c r="B1275" s="47" t="s">
        <v>2792</v>
      </c>
      <c r="C1275" s="47">
        <v>2413.0</v>
      </c>
      <c r="D1275" s="47">
        <v>2338.0</v>
      </c>
      <c r="E1275" s="47">
        <v>20830.0</v>
      </c>
      <c r="F1275" s="47">
        <v>26.0</v>
      </c>
    </row>
    <row r="1276" ht="15.75" customHeight="1">
      <c r="A1276" s="46" t="s">
        <v>2793</v>
      </c>
      <c r="B1276" s="47" t="s">
        <v>2794</v>
      </c>
      <c r="C1276" s="47">
        <v>261.0</v>
      </c>
      <c r="D1276" s="47">
        <v>241.0</v>
      </c>
      <c r="E1276" s="47">
        <v>23650.0</v>
      </c>
      <c r="F1276" s="47" t="s">
        <v>11</v>
      </c>
    </row>
    <row r="1277" ht="15.75" customHeight="1">
      <c r="A1277" s="46" t="s">
        <v>2795</v>
      </c>
      <c r="B1277" s="47" t="s">
        <v>2796</v>
      </c>
      <c r="C1277" s="47">
        <v>2080.0</v>
      </c>
      <c r="D1277" s="47">
        <v>2113.0</v>
      </c>
      <c r="E1277" s="47">
        <v>25320.0</v>
      </c>
      <c r="F1277" s="47">
        <v>10.0</v>
      </c>
    </row>
    <row r="1278" ht="15.75" customHeight="1">
      <c r="A1278" s="46" t="s">
        <v>2797</v>
      </c>
      <c r="B1278" s="47" t="s">
        <v>2798</v>
      </c>
      <c r="C1278" s="47">
        <v>363.0</v>
      </c>
      <c r="D1278" s="47">
        <v>337.0</v>
      </c>
      <c r="E1278" s="47">
        <v>23700.0</v>
      </c>
      <c r="F1278" s="47" t="s">
        <v>11</v>
      </c>
    </row>
    <row r="1279" ht="15.75" customHeight="1">
      <c r="A1279" s="46" t="s">
        <v>2799</v>
      </c>
      <c r="B1279" s="47" t="s">
        <v>2800</v>
      </c>
      <c r="C1279" s="47">
        <v>2001.0</v>
      </c>
      <c r="D1279" s="47">
        <v>1976.0</v>
      </c>
      <c r="E1279" s="47">
        <v>25580.0</v>
      </c>
      <c r="F1279" s="47" t="s">
        <v>11</v>
      </c>
    </row>
    <row r="1280" ht="15.75" customHeight="1">
      <c r="A1280" s="46" t="s">
        <v>2801</v>
      </c>
      <c r="B1280" s="47" t="s">
        <v>2802</v>
      </c>
      <c r="C1280" s="47">
        <v>373.0</v>
      </c>
      <c r="D1280" s="47">
        <v>380.0</v>
      </c>
      <c r="E1280" s="47">
        <v>25510.0</v>
      </c>
      <c r="F1280" s="47" t="s">
        <v>11</v>
      </c>
    </row>
    <row r="1281" ht="15.75" customHeight="1">
      <c r="A1281" s="46" t="s">
        <v>2803</v>
      </c>
      <c r="B1281" s="47" t="s">
        <v>2804</v>
      </c>
      <c r="C1281" s="47">
        <v>1327.0</v>
      </c>
      <c r="D1281" s="47">
        <v>1261.0</v>
      </c>
      <c r="E1281" s="47">
        <v>25240.0</v>
      </c>
      <c r="F1281" s="47" t="s">
        <v>11</v>
      </c>
    </row>
    <row r="1282" ht="15.75" customHeight="1">
      <c r="A1282" s="46" t="s">
        <v>2805</v>
      </c>
      <c r="B1282" s="47" t="s">
        <v>2806</v>
      </c>
      <c r="C1282" s="47">
        <v>1445.0</v>
      </c>
      <c r="D1282" s="47">
        <v>1425.0</v>
      </c>
      <c r="E1282" s="47">
        <v>23980.0</v>
      </c>
      <c r="F1282" s="47" t="s">
        <v>11</v>
      </c>
    </row>
    <row r="1283" ht="15.75" customHeight="1">
      <c r="A1283" s="46" t="s">
        <v>2807</v>
      </c>
      <c r="B1283" s="47" t="s">
        <v>2808</v>
      </c>
      <c r="C1283" s="47">
        <v>184.0</v>
      </c>
      <c r="D1283" s="47">
        <v>201.0</v>
      </c>
      <c r="E1283" s="47">
        <v>25230.0</v>
      </c>
      <c r="F1283" s="47" t="s">
        <v>11</v>
      </c>
    </row>
    <row r="1284" ht="15.75" customHeight="1">
      <c r="A1284" s="46" t="s">
        <v>2809</v>
      </c>
      <c r="B1284" s="47" t="s">
        <v>2810</v>
      </c>
      <c r="C1284" s="47">
        <v>3830.0</v>
      </c>
      <c r="D1284" s="47">
        <v>3743.0</v>
      </c>
      <c r="E1284" s="47">
        <v>21690.0</v>
      </c>
      <c r="F1284" s="47">
        <v>22.0</v>
      </c>
    </row>
    <row r="1285" ht="15.75" customHeight="1">
      <c r="A1285" s="46" t="s">
        <v>2811</v>
      </c>
      <c r="B1285" s="47" t="s">
        <v>2812</v>
      </c>
      <c r="C1285" s="47">
        <v>760.0</v>
      </c>
      <c r="D1285" s="47">
        <v>741.0</v>
      </c>
      <c r="E1285" s="47">
        <v>29910.0</v>
      </c>
      <c r="F1285" s="47" t="s">
        <v>11</v>
      </c>
    </row>
    <row r="1286" ht="15.75" customHeight="1">
      <c r="A1286" s="46" t="s">
        <v>2813</v>
      </c>
      <c r="B1286" s="47" t="s">
        <v>2814</v>
      </c>
      <c r="C1286" s="47">
        <v>450.0</v>
      </c>
      <c r="D1286" s="47">
        <v>471.0</v>
      </c>
      <c r="E1286" s="47">
        <v>26410.0</v>
      </c>
      <c r="F1286" s="47" t="s">
        <v>11</v>
      </c>
    </row>
    <row r="1287" ht="15.75" customHeight="1">
      <c r="A1287" s="46" t="s">
        <v>2815</v>
      </c>
      <c r="B1287" s="47" t="s">
        <v>2816</v>
      </c>
      <c r="C1287" s="47">
        <v>19220.0</v>
      </c>
      <c r="D1287" s="47">
        <v>19787.0</v>
      </c>
      <c r="E1287" s="47">
        <v>24210.0</v>
      </c>
      <c r="F1287" s="47">
        <v>21.0</v>
      </c>
    </row>
    <row r="1288" ht="15.75" customHeight="1">
      <c r="A1288" s="46" t="s">
        <v>2817</v>
      </c>
      <c r="B1288" s="47" t="s">
        <v>2818</v>
      </c>
      <c r="C1288" s="47">
        <v>13388.0</v>
      </c>
      <c r="D1288" s="47">
        <v>14075.0</v>
      </c>
      <c r="E1288" s="47">
        <v>27760.0</v>
      </c>
      <c r="F1288" s="47">
        <v>10.0</v>
      </c>
    </row>
    <row r="1289" ht="15.75" customHeight="1">
      <c r="A1289" s="46" t="s">
        <v>2819</v>
      </c>
      <c r="B1289" s="47" t="s">
        <v>2820</v>
      </c>
      <c r="C1289" s="47">
        <v>6141.0</v>
      </c>
      <c r="D1289" s="47">
        <v>5956.0</v>
      </c>
      <c r="E1289" s="47">
        <v>23390.0</v>
      </c>
      <c r="F1289" s="47">
        <v>17.0</v>
      </c>
    </row>
    <row r="1290" ht="15.75" customHeight="1">
      <c r="A1290" s="46" t="s">
        <v>2821</v>
      </c>
      <c r="B1290" s="47" t="s">
        <v>2822</v>
      </c>
      <c r="C1290" s="47">
        <v>1911.0</v>
      </c>
      <c r="D1290" s="47">
        <v>2022.0</v>
      </c>
      <c r="E1290" s="47">
        <v>30140.0</v>
      </c>
      <c r="F1290" s="47">
        <v>5.0</v>
      </c>
    </row>
    <row r="1291" ht="15.75" customHeight="1">
      <c r="A1291" s="46" t="s">
        <v>2823</v>
      </c>
      <c r="B1291" s="47" t="s">
        <v>2824</v>
      </c>
      <c r="C1291" s="47">
        <v>96990.0</v>
      </c>
      <c r="D1291" s="47">
        <v>98286.0</v>
      </c>
      <c r="E1291" s="47">
        <v>16080.0</v>
      </c>
      <c r="F1291" s="47">
        <v>47.4</v>
      </c>
    </row>
    <row r="1292" ht="15.75" customHeight="1">
      <c r="A1292" s="46" t="s">
        <v>2825</v>
      </c>
      <c r="B1292" s="47" t="s">
        <v>2826</v>
      </c>
      <c r="C1292" s="47">
        <v>454.0</v>
      </c>
      <c r="D1292" s="47">
        <v>456.0</v>
      </c>
      <c r="E1292" s="47">
        <v>28660.0</v>
      </c>
      <c r="F1292" s="47" t="s">
        <v>11</v>
      </c>
    </row>
    <row r="1293" ht="15.75" customHeight="1">
      <c r="A1293" s="46" t="s">
        <v>2827</v>
      </c>
      <c r="B1293" s="47" t="s">
        <v>2828</v>
      </c>
      <c r="C1293" s="47">
        <v>4016.0</v>
      </c>
      <c r="D1293" s="47">
        <v>3980.0</v>
      </c>
      <c r="E1293" s="47">
        <v>24000.0</v>
      </c>
      <c r="F1293" s="47">
        <v>18.0</v>
      </c>
    </row>
    <row r="1294" ht="15.75" customHeight="1">
      <c r="A1294" s="46" t="s">
        <v>2829</v>
      </c>
      <c r="B1294" s="47" t="s">
        <v>2830</v>
      </c>
      <c r="C1294" s="47">
        <v>655.0</v>
      </c>
      <c r="D1294" s="47">
        <v>655.0</v>
      </c>
      <c r="E1294" s="47">
        <v>23960.0</v>
      </c>
      <c r="F1294" s="47" t="s">
        <v>11</v>
      </c>
    </row>
    <row r="1295" ht="15.75" customHeight="1">
      <c r="A1295" s="46" t="s">
        <v>2831</v>
      </c>
      <c r="B1295" s="47" t="s">
        <v>2832</v>
      </c>
      <c r="C1295" s="47">
        <v>939.0</v>
      </c>
      <c r="D1295" s="47">
        <v>899.0</v>
      </c>
      <c r="E1295" s="47">
        <v>25670.0</v>
      </c>
      <c r="F1295" s="47" t="s">
        <v>11</v>
      </c>
    </row>
    <row r="1296" ht="15.75" customHeight="1">
      <c r="A1296" s="46" t="s">
        <v>2833</v>
      </c>
      <c r="B1296" s="47" t="s">
        <v>2834</v>
      </c>
      <c r="C1296" s="47">
        <v>801.0</v>
      </c>
      <c r="D1296" s="47">
        <v>737.0</v>
      </c>
      <c r="E1296" s="47">
        <v>26140.0</v>
      </c>
      <c r="F1296" s="47" t="s">
        <v>11</v>
      </c>
    </row>
    <row r="1297" ht="15.75" customHeight="1">
      <c r="A1297" s="46" t="s">
        <v>2835</v>
      </c>
      <c r="B1297" s="47" t="s">
        <v>2836</v>
      </c>
      <c r="C1297" s="47">
        <v>450.0</v>
      </c>
      <c r="D1297" s="47">
        <v>448.0</v>
      </c>
      <c r="E1297" s="47">
        <v>26910.0</v>
      </c>
      <c r="F1297" s="47" t="s">
        <v>11</v>
      </c>
    </row>
    <row r="1298" ht="15.75" customHeight="1">
      <c r="A1298" s="46" t="s">
        <v>2837</v>
      </c>
      <c r="B1298" s="47" t="s">
        <v>2838</v>
      </c>
      <c r="C1298" s="47">
        <v>1797.0</v>
      </c>
      <c r="D1298" s="47">
        <v>1722.0</v>
      </c>
      <c r="E1298" s="47">
        <v>29330.0</v>
      </c>
      <c r="F1298" s="47" t="s">
        <v>11</v>
      </c>
    </row>
    <row r="1299" ht="15.75" customHeight="1">
      <c r="A1299" s="46" t="s">
        <v>2839</v>
      </c>
      <c r="B1299" s="47" t="s">
        <v>2840</v>
      </c>
      <c r="C1299" s="47">
        <v>1453.0</v>
      </c>
      <c r="D1299" s="47">
        <v>1431.0</v>
      </c>
      <c r="E1299" s="47">
        <v>24190.0</v>
      </c>
      <c r="F1299" s="47" t="s">
        <v>11</v>
      </c>
    </row>
    <row r="1300" ht="15.75" customHeight="1">
      <c r="A1300" s="46" t="s">
        <v>2841</v>
      </c>
      <c r="B1300" s="47" t="s">
        <v>2842</v>
      </c>
      <c r="C1300" s="47">
        <v>471.0</v>
      </c>
      <c r="D1300" s="47">
        <v>409.0</v>
      </c>
      <c r="E1300" s="47">
        <v>25370.0</v>
      </c>
      <c r="F1300" s="47" t="s">
        <v>11</v>
      </c>
    </row>
    <row r="1301" ht="15.75" customHeight="1">
      <c r="A1301" s="46" t="s">
        <v>2843</v>
      </c>
      <c r="B1301" s="47" t="s">
        <v>2844</v>
      </c>
      <c r="C1301" s="47">
        <v>1849.0</v>
      </c>
      <c r="D1301" s="47">
        <v>1923.0</v>
      </c>
      <c r="E1301" s="47">
        <v>34480.0</v>
      </c>
      <c r="F1301" s="47" t="s">
        <v>11</v>
      </c>
    </row>
    <row r="1302" ht="15.75" customHeight="1">
      <c r="A1302" s="46" t="s">
        <v>2845</v>
      </c>
      <c r="B1302" s="47" t="s">
        <v>2846</v>
      </c>
      <c r="C1302" s="47">
        <v>2760.0</v>
      </c>
      <c r="D1302" s="47">
        <v>2840.0</v>
      </c>
      <c r="E1302" s="47">
        <v>35020.0</v>
      </c>
      <c r="F1302" s="47">
        <v>6.0</v>
      </c>
    </row>
    <row r="1303" ht="15.75" customHeight="1">
      <c r="A1303" s="46" t="s">
        <v>2847</v>
      </c>
      <c r="B1303" s="47" t="s">
        <v>2848</v>
      </c>
      <c r="C1303" s="47">
        <v>5586.0</v>
      </c>
      <c r="D1303" s="47">
        <v>5638.0</v>
      </c>
      <c r="E1303" s="47">
        <v>27820.0</v>
      </c>
      <c r="F1303" s="47">
        <v>8.0</v>
      </c>
    </row>
    <row r="1304" ht="15.75" customHeight="1">
      <c r="A1304" s="46" t="s">
        <v>2849</v>
      </c>
      <c r="B1304" s="47" t="s">
        <v>2850</v>
      </c>
      <c r="C1304" s="47">
        <v>2892.0</v>
      </c>
      <c r="D1304" s="47">
        <v>2755.0</v>
      </c>
      <c r="E1304" s="47">
        <v>20660.0</v>
      </c>
      <c r="F1304" s="47">
        <v>29.0</v>
      </c>
    </row>
    <row r="1305" ht="15.75" customHeight="1">
      <c r="A1305" s="46" t="s">
        <v>2851</v>
      </c>
      <c r="B1305" s="47" t="s">
        <v>2852</v>
      </c>
      <c r="C1305" s="47">
        <v>15889.0</v>
      </c>
      <c r="D1305" s="47">
        <v>15974.0</v>
      </c>
      <c r="E1305" s="47">
        <v>23310.0</v>
      </c>
      <c r="F1305" s="47">
        <v>19.0</v>
      </c>
    </row>
    <row r="1306" ht="15.75" customHeight="1">
      <c r="A1306" s="46" t="s">
        <v>2853</v>
      </c>
      <c r="B1306" s="47" t="s">
        <v>2854</v>
      </c>
      <c r="C1306" s="47">
        <v>12608.0</v>
      </c>
      <c r="D1306" s="47">
        <v>13233.0</v>
      </c>
      <c r="E1306" s="47">
        <v>27780.0</v>
      </c>
      <c r="F1306" s="47">
        <v>12.0</v>
      </c>
    </row>
    <row r="1307" ht="15.75" customHeight="1">
      <c r="A1307" s="46" t="s">
        <v>2855</v>
      </c>
      <c r="B1307" s="47" t="s">
        <v>2856</v>
      </c>
      <c r="C1307" s="47">
        <v>1570.0</v>
      </c>
      <c r="D1307" s="47">
        <v>1570.0</v>
      </c>
      <c r="E1307" s="47">
        <v>23480.0</v>
      </c>
      <c r="F1307" s="47" t="s">
        <v>11</v>
      </c>
    </row>
    <row r="1308" ht="15.75" customHeight="1">
      <c r="A1308" s="46" t="s">
        <v>2857</v>
      </c>
      <c r="B1308" s="47" t="s">
        <v>1531</v>
      </c>
      <c r="C1308" s="47">
        <v>363.0</v>
      </c>
      <c r="D1308" s="47">
        <v>328.0</v>
      </c>
      <c r="E1308" s="47">
        <v>28310.0</v>
      </c>
      <c r="F1308" s="47" t="s">
        <v>11</v>
      </c>
    </row>
    <row r="1309" ht="15.75" customHeight="1">
      <c r="A1309" s="46" t="s">
        <v>2858</v>
      </c>
      <c r="B1309" s="47" t="s">
        <v>2859</v>
      </c>
      <c r="C1309" s="47">
        <v>379.0</v>
      </c>
      <c r="D1309" s="47">
        <v>328.0</v>
      </c>
      <c r="E1309" s="47">
        <v>27440.0</v>
      </c>
      <c r="F1309" s="47" t="s">
        <v>11</v>
      </c>
    </row>
    <row r="1310" ht="15.75" customHeight="1">
      <c r="A1310" s="46" t="s">
        <v>2860</v>
      </c>
      <c r="B1310" s="47" t="s">
        <v>2861</v>
      </c>
      <c r="C1310" s="47">
        <v>340.0</v>
      </c>
      <c r="D1310" s="47">
        <v>343.0</v>
      </c>
      <c r="E1310" s="47">
        <v>22540.0</v>
      </c>
      <c r="F1310" s="47" t="s">
        <v>11</v>
      </c>
    </row>
    <row r="1311" ht="15.75" customHeight="1">
      <c r="A1311" s="46" t="s">
        <v>2862</v>
      </c>
      <c r="B1311" s="47" t="s">
        <v>2863</v>
      </c>
      <c r="C1311" s="47">
        <v>307.0</v>
      </c>
      <c r="D1311" s="47">
        <v>287.0</v>
      </c>
      <c r="E1311" s="47">
        <v>24570.0</v>
      </c>
      <c r="F1311" s="47" t="s">
        <v>11</v>
      </c>
    </row>
    <row r="1312" ht="15.75" customHeight="1">
      <c r="A1312" s="46" t="s">
        <v>2864</v>
      </c>
      <c r="B1312" s="47" t="s">
        <v>2865</v>
      </c>
      <c r="C1312" s="47">
        <v>1602.0</v>
      </c>
      <c r="D1312" s="47">
        <v>1558.0</v>
      </c>
      <c r="E1312" s="47">
        <v>23280.0</v>
      </c>
      <c r="F1312" s="47" t="s">
        <v>11</v>
      </c>
    </row>
    <row r="1313" ht="15.75" customHeight="1">
      <c r="A1313" s="46" t="s">
        <v>2866</v>
      </c>
      <c r="B1313" s="47" t="s">
        <v>2867</v>
      </c>
      <c r="C1313" s="47">
        <v>823.0</v>
      </c>
      <c r="D1313" s="47">
        <v>733.0</v>
      </c>
      <c r="E1313" s="47">
        <v>24430.0</v>
      </c>
      <c r="F1313" s="47" t="s">
        <v>11</v>
      </c>
    </row>
    <row r="1314" ht="15.75" customHeight="1">
      <c r="A1314" s="46" t="s">
        <v>2868</v>
      </c>
      <c r="B1314" s="47" t="s">
        <v>2869</v>
      </c>
      <c r="C1314" s="47">
        <v>1722.0</v>
      </c>
      <c r="D1314" s="47">
        <v>1598.0</v>
      </c>
      <c r="E1314" s="47">
        <v>28980.0</v>
      </c>
      <c r="F1314" s="47" t="s">
        <v>11</v>
      </c>
    </row>
    <row r="1315" ht="15.75" customHeight="1">
      <c r="A1315" s="46" t="s">
        <v>2870</v>
      </c>
      <c r="B1315" s="47" t="s">
        <v>2871</v>
      </c>
      <c r="C1315" s="47">
        <v>877.0</v>
      </c>
      <c r="D1315" s="47">
        <v>825.0</v>
      </c>
      <c r="E1315" s="47">
        <v>29600.0</v>
      </c>
      <c r="F1315" s="47" t="s">
        <v>11</v>
      </c>
    </row>
    <row r="1316" ht="15.75" customHeight="1">
      <c r="A1316" s="46" t="s">
        <v>2872</v>
      </c>
      <c r="B1316" s="47" t="s">
        <v>2873</v>
      </c>
      <c r="C1316" s="47">
        <v>515.0</v>
      </c>
      <c r="D1316" s="47">
        <v>483.0</v>
      </c>
      <c r="E1316" s="47">
        <v>28350.0</v>
      </c>
      <c r="F1316" s="47" t="s">
        <v>11</v>
      </c>
    </row>
    <row r="1317" ht="15.75" customHeight="1">
      <c r="A1317" s="46" t="s">
        <v>2874</v>
      </c>
      <c r="B1317" s="47" t="s">
        <v>2875</v>
      </c>
      <c r="C1317" s="47">
        <v>462.0</v>
      </c>
      <c r="D1317" s="47">
        <v>410.0</v>
      </c>
      <c r="E1317" s="47">
        <v>22670.0</v>
      </c>
      <c r="F1317" s="47" t="s">
        <v>11</v>
      </c>
    </row>
    <row r="1318" ht="15.75" customHeight="1">
      <c r="A1318" s="46" t="s">
        <v>2876</v>
      </c>
      <c r="B1318" s="47" t="s">
        <v>2877</v>
      </c>
      <c r="C1318" s="47">
        <v>995.0</v>
      </c>
      <c r="D1318" s="47">
        <v>989.0</v>
      </c>
      <c r="E1318" s="47">
        <v>26180.0</v>
      </c>
      <c r="F1318" s="47" t="s">
        <v>11</v>
      </c>
    </row>
    <row r="1319" ht="15.75" customHeight="1">
      <c r="A1319" s="46" t="s">
        <v>2878</v>
      </c>
      <c r="B1319" s="47" t="s">
        <v>2879</v>
      </c>
      <c r="C1319" s="47">
        <v>1016.0</v>
      </c>
      <c r="D1319" s="47">
        <v>978.0</v>
      </c>
      <c r="E1319" s="47">
        <v>23020.0</v>
      </c>
      <c r="F1319" s="47" t="s">
        <v>11</v>
      </c>
    </row>
    <row r="1320" ht="15.75" customHeight="1">
      <c r="A1320" s="46" t="s">
        <v>2880</v>
      </c>
      <c r="B1320" s="47" t="s">
        <v>2881</v>
      </c>
      <c r="C1320" s="47">
        <v>510.0</v>
      </c>
      <c r="D1320" s="47">
        <v>469.0</v>
      </c>
      <c r="E1320" s="47">
        <v>25140.0</v>
      </c>
      <c r="F1320" s="47" t="s">
        <v>11</v>
      </c>
    </row>
    <row r="1321" ht="15.75" customHeight="1">
      <c r="A1321" s="46" t="s">
        <v>2882</v>
      </c>
      <c r="B1321" s="47" t="s">
        <v>2883</v>
      </c>
      <c r="C1321" s="47">
        <v>1115.0</v>
      </c>
      <c r="D1321" s="47">
        <v>1054.0</v>
      </c>
      <c r="E1321" s="47">
        <v>25190.0</v>
      </c>
      <c r="F1321" s="47" t="s">
        <v>11</v>
      </c>
    </row>
    <row r="1322" ht="15.75" customHeight="1">
      <c r="A1322" s="46" t="s">
        <v>2884</v>
      </c>
      <c r="B1322" s="47" t="s">
        <v>2885</v>
      </c>
      <c r="C1322" s="47">
        <v>11207.0</v>
      </c>
      <c r="D1322" s="47">
        <v>10947.0</v>
      </c>
      <c r="E1322" s="47">
        <v>24410.0</v>
      </c>
      <c r="F1322" s="47">
        <v>19.0</v>
      </c>
    </row>
    <row r="1323" ht="15.75" customHeight="1">
      <c r="A1323" s="46" t="s">
        <v>2886</v>
      </c>
      <c r="B1323" s="47" t="s">
        <v>2887</v>
      </c>
      <c r="C1323" s="47">
        <v>1230.0</v>
      </c>
      <c r="D1323" s="47">
        <v>1191.0</v>
      </c>
      <c r="E1323" s="47">
        <v>21610.0</v>
      </c>
      <c r="F1323" s="47" t="s">
        <v>11</v>
      </c>
    </row>
    <row r="1324" ht="15.75" customHeight="1">
      <c r="A1324" s="46" t="s">
        <v>2888</v>
      </c>
      <c r="B1324" s="47" t="s">
        <v>2889</v>
      </c>
      <c r="C1324" s="47">
        <v>1180.0</v>
      </c>
      <c r="D1324" s="47">
        <v>1144.0</v>
      </c>
      <c r="E1324" s="47">
        <v>26310.0</v>
      </c>
      <c r="F1324" s="47" t="s">
        <v>11</v>
      </c>
    </row>
    <row r="1325" ht="15.75" customHeight="1">
      <c r="A1325" s="46" t="s">
        <v>2890</v>
      </c>
      <c r="B1325" s="47" t="s">
        <v>2891</v>
      </c>
      <c r="C1325" s="47">
        <v>888.0</v>
      </c>
      <c r="D1325" s="47">
        <v>871.0</v>
      </c>
      <c r="E1325" s="47">
        <v>23970.0</v>
      </c>
      <c r="F1325" s="47" t="s">
        <v>11</v>
      </c>
    </row>
    <row r="1326" ht="15.75" customHeight="1">
      <c r="A1326" s="46" t="s">
        <v>2892</v>
      </c>
      <c r="B1326" s="47" t="s">
        <v>2893</v>
      </c>
      <c r="C1326" s="47">
        <v>636.0</v>
      </c>
      <c r="D1326" s="47">
        <v>686.0</v>
      </c>
      <c r="E1326" s="47">
        <v>27020.0</v>
      </c>
      <c r="F1326" s="47" t="s">
        <v>11</v>
      </c>
    </row>
    <row r="1327" ht="15.75" customHeight="1">
      <c r="A1327" s="46" t="s">
        <v>2894</v>
      </c>
      <c r="B1327" s="47" t="s">
        <v>2895</v>
      </c>
      <c r="C1327" s="47">
        <v>303.0</v>
      </c>
      <c r="D1327" s="47">
        <v>327.0</v>
      </c>
      <c r="E1327" s="47">
        <v>25150.0</v>
      </c>
      <c r="F1327" s="47" t="s">
        <v>11</v>
      </c>
    </row>
    <row r="1328" ht="15.75" customHeight="1">
      <c r="A1328" s="46" t="s">
        <v>2896</v>
      </c>
      <c r="B1328" s="47" t="s">
        <v>2897</v>
      </c>
      <c r="C1328" s="47">
        <v>2969.0</v>
      </c>
      <c r="D1328" s="47">
        <v>3182.0</v>
      </c>
      <c r="E1328" s="47">
        <v>25180.0</v>
      </c>
      <c r="F1328" s="47">
        <v>13.0</v>
      </c>
    </row>
    <row r="1329" ht="15.75" customHeight="1">
      <c r="A1329" s="46" t="s">
        <v>2898</v>
      </c>
      <c r="B1329" s="47" t="s">
        <v>2899</v>
      </c>
      <c r="C1329" s="47">
        <v>1672.0</v>
      </c>
      <c r="D1329" s="47">
        <v>1704.0</v>
      </c>
      <c r="E1329" s="47">
        <v>31330.0</v>
      </c>
      <c r="F1329" s="47" t="s">
        <v>11</v>
      </c>
    </row>
    <row r="1330" ht="15.75" customHeight="1">
      <c r="A1330" s="46" t="s">
        <v>2900</v>
      </c>
      <c r="B1330" s="47" t="s">
        <v>2901</v>
      </c>
      <c r="C1330" s="47">
        <v>197.0</v>
      </c>
      <c r="D1330" s="47">
        <v>190.0</v>
      </c>
      <c r="E1330" s="47">
        <v>24580.0</v>
      </c>
      <c r="F1330" s="47" t="s">
        <v>11</v>
      </c>
    </row>
    <row r="1331" ht="15.75" customHeight="1">
      <c r="A1331" s="46" t="s">
        <v>2902</v>
      </c>
      <c r="B1331" s="47" t="s">
        <v>2903</v>
      </c>
      <c r="C1331" s="47">
        <v>5724.0</v>
      </c>
      <c r="D1331" s="47">
        <v>5652.0</v>
      </c>
      <c r="E1331" s="47">
        <v>29810.0</v>
      </c>
      <c r="F1331" s="47">
        <v>6.0</v>
      </c>
    </row>
    <row r="1332" ht="15.75" customHeight="1">
      <c r="A1332" s="46" t="s">
        <v>2904</v>
      </c>
      <c r="B1332" s="47" t="s">
        <v>2905</v>
      </c>
      <c r="C1332" s="47">
        <v>588.0</v>
      </c>
      <c r="D1332" s="47">
        <v>620.0</v>
      </c>
      <c r="E1332" s="47">
        <v>31780.0</v>
      </c>
      <c r="F1332" s="47" t="s">
        <v>11</v>
      </c>
    </row>
    <row r="1333" ht="15.75" customHeight="1">
      <c r="A1333" s="46" t="s">
        <v>2906</v>
      </c>
      <c r="B1333" s="47" t="s">
        <v>2907</v>
      </c>
      <c r="C1333" s="47">
        <v>1441.0</v>
      </c>
      <c r="D1333" s="47">
        <v>1402.0</v>
      </c>
      <c r="E1333" s="47">
        <v>19650.0</v>
      </c>
      <c r="F1333" s="47" t="s">
        <v>11</v>
      </c>
    </row>
    <row r="1334" ht="15.75" customHeight="1">
      <c r="A1334" s="46" t="s">
        <v>2908</v>
      </c>
      <c r="B1334" s="47" t="s">
        <v>2909</v>
      </c>
      <c r="C1334" s="47">
        <v>269.0</v>
      </c>
      <c r="D1334" s="47">
        <v>260.0</v>
      </c>
      <c r="E1334" s="47">
        <v>24340.0</v>
      </c>
      <c r="F1334" s="47" t="s">
        <v>11</v>
      </c>
    </row>
    <row r="1335" ht="15.75" customHeight="1">
      <c r="A1335" s="46" t="s">
        <v>2910</v>
      </c>
      <c r="B1335" s="47" t="s">
        <v>2911</v>
      </c>
      <c r="C1335" s="47">
        <v>2398.0</v>
      </c>
      <c r="D1335" s="47">
        <v>2499.0</v>
      </c>
      <c r="E1335" s="47">
        <v>26820.0</v>
      </c>
      <c r="F1335" s="47">
        <v>11.0</v>
      </c>
    </row>
    <row r="1336" ht="15.75" customHeight="1">
      <c r="A1336" s="46" t="s">
        <v>2912</v>
      </c>
      <c r="B1336" s="47" t="s">
        <v>2913</v>
      </c>
      <c r="C1336" s="47">
        <v>1753.0</v>
      </c>
      <c r="D1336" s="47">
        <v>1672.0</v>
      </c>
      <c r="E1336" s="47">
        <v>25440.0</v>
      </c>
      <c r="F1336" s="47" t="s">
        <v>11</v>
      </c>
    </row>
    <row r="1337" ht="15.75" customHeight="1">
      <c r="A1337" s="46" t="s">
        <v>2914</v>
      </c>
      <c r="B1337" s="47" t="s">
        <v>2915</v>
      </c>
      <c r="C1337" s="47">
        <v>1969.0</v>
      </c>
      <c r="D1337" s="47">
        <v>1967.0</v>
      </c>
      <c r="E1337" s="47">
        <v>34210.0</v>
      </c>
      <c r="F1337" s="47" t="s">
        <v>11</v>
      </c>
    </row>
    <row r="1338" ht="15.75" customHeight="1">
      <c r="A1338" s="46" t="s">
        <v>2916</v>
      </c>
      <c r="B1338" s="47" t="s">
        <v>2917</v>
      </c>
      <c r="C1338" s="47">
        <v>12414.0</v>
      </c>
      <c r="D1338" s="47">
        <v>13261.0</v>
      </c>
      <c r="E1338" s="47">
        <v>24790.0</v>
      </c>
      <c r="F1338" s="47">
        <v>17.0</v>
      </c>
    </row>
    <row r="1339" ht="15.75" customHeight="1">
      <c r="A1339" s="46" t="s">
        <v>2918</v>
      </c>
      <c r="B1339" s="47" t="s">
        <v>2919</v>
      </c>
      <c r="C1339" s="47">
        <v>546.0</v>
      </c>
      <c r="D1339" s="47">
        <v>520.0</v>
      </c>
      <c r="E1339" s="47">
        <v>26550.0</v>
      </c>
      <c r="F1339" s="47" t="s">
        <v>11</v>
      </c>
    </row>
    <row r="1340" ht="15.75" customHeight="1">
      <c r="A1340" s="46" t="s">
        <v>2920</v>
      </c>
      <c r="B1340" s="47" t="s">
        <v>2921</v>
      </c>
      <c r="C1340" s="47">
        <v>243.0</v>
      </c>
      <c r="D1340" s="47">
        <v>227.0</v>
      </c>
      <c r="E1340" s="47">
        <v>27540.0</v>
      </c>
      <c r="F1340" s="47" t="s">
        <v>11</v>
      </c>
    </row>
    <row r="1341" ht="15.75" customHeight="1">
      <c r="A1341" s="46" t="s">
        <v>2922</v>
      </c>
      <c r="B1341" s="47" t="s">
        <v>2923</v>
      </c>
      <c r="C1341" s="47">
        <v>3136.0</v>
      </c>
      <c r="D1341" s="47">
        <v>3103.0</v>
      </c>
      <c r="E1341" s="47">
        <v>20760.0</v>
      </c>
      <c r="F1341" s="47">
        <v>27.0</v>
      </c>
    </row>
    <row r="1342" ht="15.75" customHeight="1">
      <c r="A1342" s="46" t="s">
        <v>2924</v>
      </c>
      <c r="B1342" s="47" t="s">
        <v>2925</v>
      </c>
      <c r="C1342" s="47">
        <v>663.0</v>
      </c>
      <c r="D1342" s="47">
        <v>640.0</v>
      </c>
      <c r="E1342" s="47">
        <v>28440.0</v>
      </c>
      <c r="F1342" s="47" t="s">
        <v>11</v>
      </c>
    </row>
    <row r="1343" ht="15.75" customHeight="1">
      <c r="A1343" s="46" t="s">
        <v>2926</v>
      </c>
      <c r="B1343" s="47" t="s">
        <v>2927</v>
      </c>
      <c r="C1343" s="47">
        <v>4712.0</v>
      </c>
      <c r="D1343" s="47">
        <v>4675.0</v>
      </c>
      <c r="E1343" s="47">
        <v>27970.0</v>
      </c>
      <c r="F1343" s="47">
        <v>7.0</v>
      </c>
    </row>
    <row r="1344" ht="15.75" customHeight="1">
      <c r="A1344" s="46" t="s">
        <v>2928</v>
      </c>
      <c r="B1344" s="47" t="s">
        <v>2929</v>
      </c>
      <c r="C1344" s="47">
        <v>411.0</v>
      </c>
      <c r="D1344" s="47">
        <v>416.0</v>
      </c>
      <c r="E1344" s="47">
        <v>27470.0</v>
      </c>
      <c r="F1344" s="47" t="s">
        <v>11</v>
      </c>
    </row>
    <row r="1345" ht="15.75" customHeight="1">
      <c r="A1345" s="46" t="s">
        <v>2930</v>
      </c>
      <c r="B1345" s="47" t="s">
        <v>2931</v>
      </c>
      <c r="C1345" s="47">
        <v>461.0</v>
      </c>
      <c r="D1345" s="47">
        <v>486.0</v>
      </c>
      <c r="E1345" s="47">
        <v>27200.0</v>
      </c>
      <c r="F1345" s="47" t="s">
        <v>11</v>
      </c>
    </row>
    <row r="1346" ht="15.75" customHeight="1">
      <c r="A1346" s="46" t="s">
        <v>2932</v>
      </c>
      <c r="B1346" s="47" t="s">
        <v>2933</v>
      </c>
      <c r="C1346" s="47">
        <v>15682.0</v>
      </c>
      <c r="D1346" s="47">
        <v>16076.0</v>
      </c>
      <c r="E1346" s="47">
        <v>20760.0</v>
      </c>
      <c r="F1346" s="47">
        <v>26.0</v>
      </c>
    </row>
    <row r="1347" ht="15.75" customHeight="1">
      <c r="A1347" s="46" t="s">
        <v>2934</v>
      </c>
      <c r="B1347" s="47" t="s">
        <v>2935</v>
      </c>
      <c r="C1347" s="47">
        <v>938.0</v>
      </c>
      <c r="D1347" s="47">
        <v>869.0</v>
      </c>
      <c r="E1347" s="47">
        <v>33190.0</v>
      </c>
      <c r="F1347" s="47" t="s">
        <v>11</v>
      </c>
    </row>
    <row r="1348" ht="15.75" customHeight="1">
      <c r="A1348" s="46" t="s">
        <v>2936</v>
      </c>
      <c r="B1348" s="47" t="s">
        <v>2937</v>
      </c>
      <c r="C1348" s="47">
        <v>4338.0</v>
      </c>
      <c r="D1348" s="47">
        <v>4142.0</v>
      </c>
      <c r="E1348" s="47">
        <v>21470.0</v>
      </c>
      <c r="F1348" s="47">
        <v>20.0</v>
      </c>
    </row>
    <row r="1349" ht="15.75" customHeight="1">
      <c r="A1349" s="46" t="s">
        <v>2938</v>
      </c>
      <c r="B1349" s="47" t="s">
        <v>2939</v>
      </c>
      <c r="C1349" s="47">
        <v>1815.0</v>
      </c>
      <c r="D1349" s="47">
        <v>1796.0</v>
      </c>
      <c r="E1349" s="47">
        <v>22720.0</v>
      </c>
      <c r="F1349" s="47" t="s">
        <v>11</v>
      </c>
    </row>
    <row r="1350" ht="15.75" customHeight="1">
      <c r="A1350" s="46" t="s">
        <v>2940</v>
      </c>
      <c r="B1350" s="47" t="s">
        <v>2941</v>
      </c>
      <c r="C1350" s="47">
        <v>135.0</v>
      </c>
      <c r="D1350" s="47">
        <v>142.0</v>
      </c>
      <c r="E1350" s="47">
        <v>27250.0</v>
      </c>
      <c r="F1350" s="47" t="s">
        <v>11</v>
      </c>
    </row>
    <row r="1351" ht="15.75" customHeight="1">
      <c r="A1351" s="46" t="s">
        <v>2942</v>
      </c>
      <c r="B1351" s="47" t="s">
        <v>2943</v>
      </c>
      <c r="C1351" s="47">
        <v>12151.0</v>
      </c>
      <c r="D1351" s="47">
        <v>11766.0</v>
      </c>
      <c r="E1351" s="47">
        <v>21160.0</v>
      </c>
      <c r="F1351" s="47">
        <v>24.0</v>
      </c>
    </row>
    <row r="1352" ht="15.75" customHeight="1">
      <c r="A1352" s="46" t="s">
        <v>2944</v>
      </c>
      <c r="B1352" s="47" t="s">
        <v>2945</v>
      </c>
      <c r="C1352" s="47">
        <v>413.0</v>
      </c>
      <c r="D1352" s="47">
        <v>397.0</v>
      </c>
      <c r="E1352" s="47">
        <v>28730.0</v>
      </c>
      <c r="F1352" s="47" t="s">
        <v>11</v>
      </c>
    </row>
    <row r="1353" ht="15.75" customHeight="1">
      <c r="A1353" s="46" t="s">
        <v>2946</v>
      </c>
      <c r="B1353" s="47" t="s">
        <v>2947</v>
      </c>
      <c r="C1353" s="47">
        <v>1807.0</v>
      </c>
      <c r="D1353" s="47">
        <v>1718.0</v>
      </c>
      <c r="E1353" s="47">
        <v>27880.0</v>
      </c>
      <c r="F1353" s="47" t="s">
        <v>11</v>
      </c>
    </row>
    <row r="1354" ht="15.75" customHeight="1">
      <c r="A1354" s="46" t="s">
        <v>2948</v>
      </c>
      <c r="B1354" s="47" t="s">
        <v>2949</v>
      </c>
      <c r="C1354" s="47">
        <v>658.0</v>
      </c>
      <c r="D1354" s="47">
        <v>756.0</v>
      </c>
      <c r="E1354" s="47">
        <v>25510.0</v>
      </c>
      <c r="F1354" s="47" t="s">
        <v>11</v>
      </c>
    </row>
    <row r="1355" ht="15.75" customHeight="1">
      <c r="A1355" s="46" t="s">
        <v>2950</v>
      </c>
      <c r="B1355" s="47" t="s">
        <v>2951</v>
      </c>
      <c r="C1355" s="47">
        <v>1690.0</v>
      </c>
      <c r="D1355" s="47">
        <v>1602.0</v>
      </c>
      <c r="E1355" s="47">
        <v>25910.0</v>
      </c>
      <c r="F1355" s="47" t="s">
        <v>11</v>
      </c>
    </row>
    <row r="1356" ht="15.75" customHeight="1">
      <c r="A1356" s="46" t="s">
        <v>2952</v>
      </c>
      <c r="B1356" s="47" t="s">
        <v>2953</v>
      </c>
      <c r="C1356" s="47">
        <v>1354.0</v>
      </c>
      <c r="D1356" s="47">
        <v>1405.0</v>
      </c>
      <c r="E1356" s="47">
        <v>27190.0</v>
      </c>
      <c r="F1356" s="47" t="s">
        <v>11</v>
      </c>
    </row>
    <row r="1357" ht="15.75" customHeight="1">
      <c r="A1357" s="46" t="s">
        <v>2954</v>
      </c>
      <c r="B1357" s="47" t="s">
        <v>2955</v>
      </c>
      <c r="C1357" s="47">
        <v>4368.0</v>
      </c>
      <c r="D1357" s="47">
        <v>4332.0</v>
      </c>
      <c r="E1357" s="47">
        <v>25720.0</v>
      </c>
      <c r="F1357" s="47">
        <v>13.0</v>
      </c>
    </row>
    <row r="1358" ht="15.75" customHeight="1">
      <c r="A1358" s="46" t="s">
        <v>2956</v>
      </c>
      <c r="B1358" s="47" t="s">
        <v>2957</v>
      </c>
      <c r="C1358" s="47">
        <v>3673.0</v>
      </c>
      <c r="D1358" s="47">
        <v>3450.0</v>
      </c>
      <c r="E1358" s="47">
        <v>27470.0</v>
      </c>
      <c r="F1358" s="47">
        <v>8.0</v>
      </c>
    </row>
    <row r="1359" ht="15.75" customHeight="1">
      <c r="A1359" s="46" t="s">
        <v>2958</v>
      </c>
      <c r="B1359" s="47" t="s">
        <v>2959</v>
      </c>
      <c r="C1359" s="47">
        <v>945.0</v>
      </c>
      <c r="D1359" s="47">
        <v>942.0</v>
      </c>
      <c r="E1359" s="47">
        <v>27720.0</v>
      </c>
      <c r="F1359" s="47" t="s">
        <v>11</v>
      </c>
    </row>
    <row r="1360" ht="15.75" customHeight="1">
      <c r="A1360" s="46" t="s">
        <v>2960</v>
      </c>
      <c r="B1360" s="47" t="s">
        <v>2961</v>
      </c>
      <c r="C1360" s="47">
        <v>466.0</v>
      </c>
      <c r="D1360" s="47">
        <v>475.0</v>
      </c>
      <c r="E1360" s="47">
        <v>23730.0</v>
      </c>
      <c r="F1360" s="47" t="s">
        <v>11</v>
      </c>
    </row>
    <row r="1361" ht="15.75" customHeight="1">
      <c r="A1361" s="46" t="s">
        <v>2962</v>
      </c>
      <c r="B1361" s="47" t="s">
        <v>2963</v>
      </c>
      <c r="C1361" s="47">
        <v>971.0</v>
      </c>
      <c r="D1361" s="47">
        <v>963.0</v>
      </c>
      <c r="E1361" s="47">
        <v>28780.0</v>
      </c>
      <c r="F1361" s="47" t="s">
        <v>11</v>
      </c>
    </row>
    <row r="1362" ht="15.75" customHeight="1">
      <c r="A1362" s="46" t="s">
        <v>2964</v>
      </c>
      <c r="B1362" s="47" t="s">
        <v>2965</v>
      </c>
      <c r="C1362" s="47">
        <v>3344.0</v>
      </c>
      <c r="D1362" s="47">
        <v>3669.0</v>
      </c>
      <c r="E1362" s="47">
        <v>29110.0</v>
      </c>
      <c r="F1362" s="47">
        <v>9.0</v>
      </c>
    </row>
    <row r="1363" ht="15.75" customHeight="1">
      <c r="A1363" s="46" t="s">
        <v>2966</v>
      </c>
      <c r="B1363" s="47" t="s">
        <v>2967</v>
      </c>
      <c r="C1363" s="47">
        <v>6059.0</v>
      </c>
      <c r="D1363" s="47">
        <v>7202.0</v>
      </c>
      <c r="E1363" s="47">
        <v>29670.0</v>
      </c>
      <c r="F1363" s="47">
        <v>7.0</v>
      </c>
    </row>
    <row r="1364" ht="15.75" customHeight="1">
      <c r="A1364" s="46" t="s">
        <v>2968</v>
      </c>
      <c r="B1364" s="47" t="s">
        <v>2969</v>
      </c>
      <c r="C1364" s="47">
        <v>532.0</v>
      </c>
      <c r="D1364" s="47">
        <v>519.0</v>
      </c>
      <c r="E1364" s="47">
        <v>28020.0</v>
      </c>
      <c r="F1364" s="47" t="s">
        <v>11</v>
      </c>
    </row>
    <row r="1365" ht="15.75" customHeight="1">
      <c r="A1365" s="46" t="s">
        <v>2970</v>
      </c>
      <c r="B1365" s="47" t="s">
        <v>2971</v>
      </c>
      <c r="C1365" s="47">
        <v>8341.0</v>
      </c>
      <c r="D1365" s="47">
        <v>8247.0</v>
      </c>
      <c r="E1365" s="47">
        <v>29680.0</v>
      </c>
      <c r="F1365" s="47">
        <v>9.0</v>
      </c>
    </row>
    <row r="1366" ht="15.75" customHeight="1">
      <c r="A1366" s="46" t="s">
        <v>2972</v>
      </c>
      <c r="B1366" s="47" t="s">
        <v>2973</v>
      </c>
      <c r="C1366" s="47">
        <v>2917.0</v>
      </c>
      <c r="D1366" s="47">
        <v>2914.0</v>
      </c>
      <c r="E1366" s="47">
        <v>23970.0</v>
      </c>
      <c r="F1366" s="47">
        <v>15.0</v>
      </c>
    </row>
    <row r="1367" ht="15.75" customHeight="1">
      <c r="A1367" s="46" t="s">
        <v>2974</v>
      </c>
      <c r="B1367" s="47" t="s">
        <v>2975</v>
      </c>
      <c r="C1367" s="47">
        <v>908.0</v>
      </c>
      <c r="D1367" s="47">
        <v>920.0</v>
      </c>
      <c r="E1367" s="47">
        <v>24600.0</v>
      </c>
      <c r="F1367" s="47" t="s">
        <v>11</v>
      </c>
    </row>
    <row r="1368" ht="15.75" customHeight="1">
      <c r="A1368" s="46" t="s">
        <v>2976</v>
      </c>
      <c r="B1368" s="47" t="s">
        <v>2977</v>
      </c>
      <c r="C1368" s="47">
        <v>846.0</v>
      </c>
      <c r="D1368" s="47">
        <v>817.0</v>
      </c>
      <c r="E1368" s="47">
        <v>20870.0</v>
      </c>
      <c r="F1368" s="47" t="s">
        <v>11</v>
      </c>
    </row>
    <row r="1369" ht="15.75" customHeight="1">
      <c r="A1369" s="46" t="s">
        <v>2978</v>
      </c>
      <c r="B1369" s="47" t="s">
        <v>2979</v>
      </c>
      <c r="C1369" s="47">
        <v>3900.0</v>
      </c>
      <c r="D1369" s="47">
        <v>4170.0</v>
      </c>
      <c r="E1369" s="47">
        <v>27860.0</v>
      </c>
      <c r="F1369" s="47">
        <v>7.0</v>
      </c>
    </row>
    <row r="1370" ht="15.75" customHeight="1">
      <c r="A1370" s="46" t="s">
        <v>2980</v>
      </c>
      <c r="B1370" s="47" t="s">
        <v>2981</v>
      </c>
      <c r="C1370" s="47">
        <v>754.0</v>
      </c>
      <c r="D1370" s="47">
        <v>788.0</v>
      </c>
      <c r="E1370" s="47">
        <v>27670.0</v>
      </c>
      <c r="F1370" s="47" t="s">
        <v>11</v>
      </c>
    </row>
    <row r="1371" ht="15.75" customHeight="1">
      <c r="A1371" s="46" t="s">
        <v>2982</v>
      </c>
      <c r="B1371" s="47" t="s">
        <v>2983</v>
      </c>
      <c r="C1371" s="47">
        <v>1125.0</v>
      </c>
      <c r="D1371" s="47">
        <v>1106.0</v>
      </c>
      <c r="E1371" s="47">
        <v>25910.0</v>
      </c>
      <c r="F1371" s="47" t="s">
        <v>11</v>
      </c>
    </row>
    <row r="1372" ht="15.75" customHeight="1">
      <c r="A1372" s="46" t="s">
        <v>2984</v>
      </c>
      <c r="B1372" s="47" t="s">
        <v>2985</v>
      </c>
      <c r="C1372" s="47">
        <v>518.0</v>
      </c>
      <c r="D1372" s="47">
        <v>543.0</v>
      </c>
      <c r="E1372" s="47">
        <v>28640.0</v>
      </c>
      <c r="F1372" s="47" t="s">
        <v>11</v>
      </c>
    </row>
    <row r="1373" ht="15.75" customHeight="1">
      <c r="A1373" s="46" t="s">
        <v>2986</v>
      </c>
      <c r="B1373" s="47" t="s">
        <v>2987</v>
      </c>
      <c r="C1373" s="47">
        <v>518.0</v>
      </c>
      <c r="D1373" s="47">
        <v>536.0</v>
      </c>
      <c r="E1373" s="47">
        <v>34290.0</v>
      </c>
      <c r="F1373" s="47" t="s">
        <v>11</v>
      </c>
    </row>
    <row r="1374" ht="15.75" customHeight="1">
      <c r="A1374" s="46" t="s">
        <v>2988</v>
      </c>
      <c r="B1374" s="47" t="s">
        <v>2989</v>
      </c>
      <c r="C1374" s="47">
        <v>590.0</v>
      </c>
      <c r="D1374" s="47">
        <v>695.0</v>
      </c>
      <c r="E1374" s="47">
        <v>30090.0</v>
      </c>
      <c r="F1374" s="47" t="s">
        <v>11</v>
      </c>
    </row>
    <row r="1375" ht="15.75" customHeight="1">
      <c r="A1375" s="46" t="s">
        <v>2990</v>
      </c>
      <c r="B1375" s="47" t="s">
        <v>2991</v>
      </c>
      <c r="C1375" s="47">
        <v>3905.0</v>
      </c>
      <c r="D1375" s="47">
        <v>3957.0</v>
      </c>
      <c r="E1375" s="47">
        <v>27400.0</v>
      </c>
      <c r="F1375" s="47">
        <v>9.0</v>
      </c>
    </row>
    <row r="1376" ht="15.75" customHeight="1">
      <c r="A1376" s="46" t="s">
        <v>2992</v>
      </c>
      <c r="B1376" s="47" t="s">
        <v>2993</v>
      </c>
      <c r="C1376" s="47">
        <v>97368.0</v>
      </c>
      <c r="D1376" s="47">
        <v>98772.0</v>
      </c>
      <c r="E1376" s="47">
        <v>20250.0</v>
      </c>
      <c r="F1376" s="47">
        <v>30.3</v>
      </c>
    </row>
    <row r="1377" ht="15.75" customHeight="1">
      <c r="A1377" s="46" t="s">
        <v>2994</v>
      </c>
      <c r="B1377" s="47" t="s">
        <v>2995</v>
      </c>
      <c r="C1377" s="47">
        <v>888.0</v>
      </c>
      <c r="D1377" s="47">
        <v>936.0</v>
      </c>
      <c r="E1377" s="47">
        <v>34190.0</v>
      </c>
      <c r="F1377" s="47" t="s">
        <v>11</v>
      </c>
    </row>
    <row r="1378" ht="15.75" customHeight="1">
      <c r="A1378" s="46" t="s">
        <v>2996</v>
      </c>
      <c r="B1378" s="47" t="s">
        <v>2997</v>
      </c>
      <c r="C1378" s="47">
        <v>2856.0</v>
      </c>
      <c r="D1378" s="47">
        <v>2604.0</v>
      </c>
      <c r="E1378" s="47">
        <v>21310.0</v>
      </c>
      <c r="F1378" s="47">
        <v>22.0</v>
      </c>
    </row>
    <row r="1379" ht="15.75" customHeight="1">
      <c r="A1379" s="46" t="s">
        <v>2998</v>
      </c>
      <c r="B1379" s="47" t="s">
        <v>2999</v>
      </c>
      <c r="C1379" s="47">
        <v>1408.0</v>
      </c>
      <c r="D1379" s="47">
        <v>1386.0</v>
      </c>
      <c r="E1379" s="47">
        <v>32930.0</v>
      </c>
      <c r="F1379" s="47" t="s">
        <v>11</v>
      </c>
    </row>
    <row r="1380" ht="15.75" customHeight="1">
      <c r="A1380" s="46" t="s">
        <v>3000</v>
      </c>
      <c r="B1380" s="47" t="s">
        <v>3001</v>
      </c>
      <c r="C1380" s="47">
        <v>6215.0</v>
      </c>
      <c r="D1380" s="47">
        <v>6019.0</v>
      </c>
      <c r="E1380" s="47">
        <v>22480.0</v>
      </c>
      <c r="F1380" s="47">
        <v>20.0</v>
      </c>
    </row>
    <row r="1381" ht="15.75" customHeight="1">
      <c r="A1381" s="46" t="s">
        <v>3002</v>
      </c>
      <c r="B1381" s="47" t="s">
        <v>3003</v>
      </c>
      <c r="C1381" s="47">
        <v>841.0</v>
      </c>
      <c r="D1381" s="47">
        <v>805.0</v>
      </c>
      <c r="E1381" s="47">
        <v>23460.0</v>
      </c>
      <c r="F1381" s="47" t="s">
        <v>11</v>
      </c>
    </row>
    <row r="1382" ht="15.75" customHeight="1">
      <c r="A1382" s="46" t="s">
        <v>3004</v>
      </c>
      <c r="B1382" s="47" t="s">
        <v>3005</v>
      </c>
      <c r="C1382" s="47">
        <v>1411.0</v>
      </c>
      <c r="D1382" s="47">
        <v>1518.0</v>
      </c>
      <c r="E1382" s="47">
        <v>29210.0</v>
      </c>
      <c r="F1382" s="47" t="s">
        <v>11</v>
      </c>
    </row>
    <row r="1383" ht="15.75" customHeight="1">
      <c r="A1383" s="46" t="s">
        <v>3006</v>
      </c>
      <c r="B1383" s="47" t="s">
        <v>3007</v>
      </c>
      <c r="C1383" s="47">
        <v>43336.0</v>
      </c>
      <c r="D1383" s="47">
        <v>43468.0</v>
      </c>
      <c r="E1383" s="47">
        <v>22180.0</v>
      </c>
      <c r="F1383" s="47">
        <v>27.8</v>
      </c>
    </row>
    <row r="1384" ht="15.75" customHeight="1">
      <c r="A1384" s="46" t="s">
        <v>3008</v>
      </c>
      <c r="B1384" s="47" t="s">
        <v>3009</v>
      </c>
      <c r="C1384" s="47">
        <v>487.0</v>
      </c>
      <c r="D1384" s="47">
        <v>482.0</v>
      </c>
      <c r="E1384" s="47">
        <v>27380.0</v>
      </c>
      <c r="F1384" s="47" t="s">
        <v>11</v>
      </c>
    </row>
    <row r="1385" ht="15.75" customHeight="1">
      <c r="A1385" s="46" t="s">
        <v>3010</v>
      </c>
      <c r="B1385" s="47" t="s">
        <v>3011</v>
      </c>
      <c r="C1385" s="47">
        <v>1068.0</v>
      </c>
      <c r="D1385" s="47">
        <v>1123.0</v>
      </c>
      <c r="E1385" s="47">
        <v>29220.0</v>
      </c>
      <c r="F1385" s="47" t="s">
        <v>11</v>
      </c>
    </row>
    <row r="1386" ht="15.75" customHeight="1">
      <c r="A1386" s="46" t="s">
        <v>3012</v>
      </c>
      <c r="B1386" s="47" t="s">
        <v>3013</v>
      </c>
      <c r="C1386" s="47">
        <v>1606.0</v>
      </c>
      <c r="D1386" s="47">
        <v>1654.0</v>
      </c>
      <c r="E1386" s="47">
        <v>31710.0</v>
      </c>
      <c r="F1386" s="47" t="s">
        <v>11</v>
      </c>
    </row>
    <row r="1387" ht="15.75" customHeight="1">
      <c r="A1387" s="46" t="s">
        <v>3014</v>
      </c>
      <c r="B1387" s="47" t="s">
        <v>3015</v>
      </c>
      <c r="C1387" s="47">
        <v>1013.0</v>
      </c>
      <c r="D1387" s="47">
        <v>1103.0</v>
      </c>
      <c r="E1387" s="47">
        <v>27680.0</v>
      </c>
      <c r="F1387" s="47" t="s">
        <v>11</v>
      </c>
    </row>
    <row r="1388" ht="15.75" customHeight="1">
      <c r="A1388" s="46" t="s">
        <v>3016</v>
      </c>
      <c r="B1388" s="47" t="s">
        <v>3017</v>
      </c>
      <c r="C1388" s="47">
        <v>2460.0</v>
      </c>
      <c r="D1388" s="47">
        <v>2682.0</v>
      </c>
      <c r="E1388" s="47">
        <v>34180.0</v>
      </c>
      <c r="F1388" s="47">
        <v>6.0</v>
      </c>
    </row>
    <row r="1389" ht="15.75" customHeight="1">
      <c r="A1389" s="46" t="s">
        <v>3018</v>
      </c>
      <c r="B1389" s="47" t="s">
        <v>3019</v>
      </c>
      <c r="C1389" s="47">
        <v>517.0</v>
      </c>
      <c r="D1389" s="47">
        <v>535.0</v>
      </c>
      <c r="E1389" s="47">
        <v>27410.0</v>
      </c>
      <c r="F1389" s="47" t="s">
        <v>11</v>
      </c>
    </row>
    <row r="1390" ht="15.75" customHeight="1">
      <c r="A1390" s="46" t="s">
        <v>3020</v>
      </c>
      <c r="B1390" s="47" t="s">
        <v>3021</v>
      </c>
      <c r="C1390" s="47">
        <v>1492.0</v>
      </c>
      <c r="D1390" s="47">
        <v>1464.0</v>
      </c>
      <c r="E1390" s="47">
        <v>24440.0</v>
      </c>
      <c r="F1390" s="47" t="s">
        <v>11</v>
      </c>
    </row>
    <row r="1391" ht="15.75" customHeight="1">
      <c r="A1391" s="46" t="s">
        <v>3022</v>
      </c>
      <c r="B1391" s="47" t="s">
        <v>3023</v>
      </c>
      <c r="C1391" s="47">
        <v>1506.0</v>
      </c>
      <c r="D1391" s="47">
        <v>1364.0</v>
      </c>
      <c r="E1391" s="47">
        <v>23340.0</v>
      </c>
      <c r="F1391" s="47" t="s">
        <v>11</v>
      </c>
    </row>
    <row r="1392" ht="15.75" customHeight="1">
      <c r="A1392" s="46" t="s">
        <v>3024</v>
      </c>
      <c r="B1392" s="47" t="s">
        <v>3025</v>
      </c>
      <c r="C1392" s="47">
        <v>2507.0</v>
      </c>
      <c r="D1392" s="47">
        <v>2628.0</v>
      </c>
      <c r="E1392" s="47">
        <v>27660.0</v>
      </c>
      <c r="F1392" s="47">
        <v>7.0</v>
      </c>
    </row>
    <row r="1393" ht="15.75" customHeight="1">
      <c r="A1393" s="46" t="s">
        <v>3026</v>
      </c>
      <c r="B1393" s="47" t="s">
        <v>3027</v>
      </c>
      <c r="C1393" s="47">
        <v>10469.0</v>
      </c>
      <c r="D1393" s="47">
        <v>10617.0</v>
      </c>
      <c r="E1393" s="47">
        <v>20530.0</v>
      </c>
      <c r="F1393" s="47">
        <v>28.0</v>
      </c>
    </row>
    <row r="1394" ht="15.75" customHeight="1">
      <c r="A1394" s="46" t="s">
        <v>3028</v>
      </c>
      <c r="B1394" s="47" t="s">
        <v>3029</v>
      </c>
      <c r="C1394" s="47">
        <v>636.0</v>
      </c>
      <c r="D1394" s="47">
        <v>641.0</v>
      </c>
      <c r="E1394" s="47">
        <v>26060.0</v>
      </c>
      <c r="F1394" s="47" t="s">
        <v>11</v>
      </c>
    </row>
    <row r="1395" ht="15.75" customHeight="1">
      <c r="A1395" s="46" t="s">
        <v>3030</v>
      </c>
      <c r="B1395" s="47" t="s">
        <v>3031</v>
      </c>
      <c r="C1395" s="47">
        <v>848.0</v>
      </c>
      <c r="D1395" s="47">
        <v>938.0</v>
      </c>
      <c r="E1395" s="47">
        <v>25620.0</v>
      </c>
      <c r="F1395" s="47" t="s">
        <v>11</v>
      </c>
    </row>
    <row r="1396" ht="15.75" customHeight="1">
      <c r="A1396" s="46" t="s">
        <v>3032</v>
      </c>
      <c r="B1396" s="47" t="s">
        <v>3033</v>
      </c>
      <c r="C1396" s="47">
        <v>996.0</v>
      </c>
      <c r="D1396" s="47">
        <v>1084.0</v>
      </c>
      <c r="E1396" s="47">
        <v>28490.0</v>
      </c>
      <c r="F1396" s="47" t="s">
        <v>11</v>
      </c>
    </row>
    <row r="1397" ht="15.75" customHeight="1">
      <c r="A1397" s="46" t="s">
        <v>3034</v>
      </c>
      <c r="B1397" s="47" t="s">
        <v>3035</v>
      </c>
      <c r="C1397" s="47">
        <v>630.0</v>
      </c>
      <c r="D1397" s="47">
        <v>670.0</v>
      </c>
      <c r="E1397" s="47">
        <v>27730.0</v>
      </c>
      <c r="F1397" s="47" t="s">
        <v>11</v>
      </c>
    </row>
    <row r="1398" ht="15.75" customHeight="1">
      <c r="A1398" s="46" t="s">
        <v>3036</v>
      </c>
      <c r="B1398" s="47" t="s">
        <v>3037</v>
      </c>
      <c r="C1398" s="47">
        <v>1248.0</v>
      </c>
      <c r="D1398" s="47">
        <v>1151.0</v>
      </c>
      <c r="E1398" s="47">
        <v>24460.0</v>
      </c>
      <c r="F1398" s="47" t="s">
        <v>11</v>
      </c>
    </row>
    <row r="1399" ht="15.75" customHeight="1">
      <c r="A1399" s="46" t="s">
        <v>3038</v>
      </c>
      <c r="B1399" s="47" t="s">
        <v>3039</v>
      </c>
      <c r="C1399" s="47">
        <v>696.0</v>
      </c>
      <c r="D1399" s="47">
        <v>684.0</v>
      </c>
      <c r="E1399" s="47">
        <v>23400.0</v>
      </c>
      <c r="F1399" s="47" t="s">
        <v>11</v>
      </c>
    </row>
    <row r="1400" ht="15.75" customHeight="1">
      <c r="A1400" s="46" t="s">
        <v>3040</v>
      </c>
      <c r="B1400" s="47" t="s">
        <v>3041</v>
      </c>
      <c r="C1400" s="47">
        <v>2110.0</v>
      </c>
      <c r="D1400" s="47">
        <v>2117.0</v>
      </c>
      <c r="E1400" s="47">
        <v>21700.0</v>
      </c>
      <c r="F1400" s="47">
        <v>20.0</v>
      </c>
    </row>
    <row r="1401" ht="15.75" customHeight="1">
      <c r="A1401" s="46" t="s">
        <v>3042</v>
      </c>
      <c r="B1401" s="47" t="s">
        <v>3043</v>
      </c>
      <c r="C1401" s="47">
        <v>404.0</v>
      </c>
      <c r="D1401" s="47">
        <v>390.0</v>
      </c>
      <c r="E1401" s="47">
        <v>25920.0</v>
      </c>
      <c r="F1401" s="47" t="s">
        <v>11</v>
      </c>
    </row>
    <row r="1402" ht="15.75" customHeight="1">
      <c r="A1402" s="46" t="s">
        <v>3044</v>
      </c>
      <c r="B1402" s="47" t="s">
        <v>3045</v>
      </c>
      <c r="C1402" s="47">
        <v>1276.0</v>
      </c>
      <c r="D1402" s="47">
        <v>1197.0</v>
      </c>
      <c r="E1402" s="47">
        <v>30430.0</v>
      </c>
      <c r="F1402" s="47" t="s">
        <v>11</v>
      </c>
    </row>
    <row r="1403" ht="15.75" customHeight="1">
      <c r="A1403" s="46" t="s">
        <v>3046</v>
      </c>
      <c r="B1403" s="47" t="s">
        <v>3047</v>
      </c>
      <c r="C1403" s="47">
        <v>978.0</v>
      </c>
      <c r="D1403" s="47">
        <v>1009.0</v>
      </c>
      <c r="E1403" s="47">
        <v>25340.0</v>
      </c>
      <c r="F1403" s="47" t="s">
        <v>11</v>
      </c>
    </row>
    <row r="1404" ht="15.75" customHeight="1">
      <c r="A1404" s="46" t="s">
        <v>3048</v>
      </c>
      <c r="B1404" s="47" t="s">
        <v>3049</v>
      </c>
      <c r="C1404" s="47">
        <v>567.0</v>
      </c>
      <c r="D1404" s="47">
        <v>573.0</v>
      </c>
      <c r="E1404" s="47">
        <v>27690.0</v>
      </c>
      <c r="F1404" s="47" t="s">
        <v>11</v>
      </c>
    </row>
    <row r="1405" ht="15.75" customHeight="1">
      <c r="A1405" s="46" t="s">
        <v>3050</v>
      </c>
      <c r="B1405" s="47" t="s">
        <v>3051</v>
      </c>
      <c r="C1405" s="47">
        <v>1375.0</v>
      </c>
      <c r="D1405" s="47">
        <v>1302.0</v>
      </c>
      <c r="E1405" s="47">
        <v>26600.0</v>
      </c>
      <c r="F1405" s="47" t="s">
        <v>11</v>
      </c>
    </row>
    <row r="1406" ht="15.75" customHeight="1">
      <c r="A1406" s="46" t="s">
        <v>3052</v>
      </c>
      <c r="B1406" s="47" t="s">
        <v>3053</v>
      </c>
      <c r="C1406" s="47">
        <v>2598.0</v>
      </c>
      <c r="D1406" s="47">
        <v>2613.0</v>
      </c>
      <c r="E1406" s="47">
        <v>26550.0</v>
      </c>
      <c r="F1406" s="47">
        <v>10.0</v>
      </c>
    </row>
    <row r="1407" ht="15.75" customHeight="1">
      <c r="A1407" s="46" t="s">
        <v>3054</v>
      </c>
      <c r="B1407" s="47" t="s">
        <v>3055</v>
      </c>
      <c r="C1407" s="47">
        <v>2136.0</v>
      </c>
      <c r="D1407" s="47">
        <v>2081.0</v>
      </c>
      <c r="E1407" s="47">
        <v>21970.0</v>
      </c>
      <c r="F1407" s="47">
        <v>20.0</v>
      </c>
    </row>
    <row r="1408" ht="15.75" customHeight="1">
      <c r="A1408" s="46" t="s">
        <v>3056</v>
      </c>
      <c r="B1408" s="47" t="s">
        <v>3057</v>
      </c>
      <c r="C1408" s="47">
        <v>5526.0</v>
      </c>
      <c r="D1408" s="47">
        <v>5633.0</v>
      </c>
      <c r="E1408" s="47">
        <v>22860.0</v>
      </c>
      <c r="F1408" s="47">
        <v>20.0</v>
      </c>
    </row>
    <row r="1409" ht="15.75" customHeight="1">
      <c r="A1409" s="46" t="s">
        <v>3058</v>
      </c>
      <c r="B1409" s="47" t="s">
        <v>3059</v>
      </c>
      <c r="C1409" s="47">
        <v>286.0</v>
      </c>
      <c r="D1409" s="47">
        <v>284.0</v>
      </c>
      <c r="E1409" s="47">
        <v>25640.0</v>
      </c>
      <c r="F1409" s="47" t="s">
        <v>11</v>
      </c>
    </row>
    <row r="1410" ht="15.75" customHeight="1">
      <c r="A1410" s="46" t="s">
        <v>3060</v>
      </c>
      <c r="B1410" s="47" t="s">
        <v>3061</v>
      </c>
      <c r="C1410" s="47">
        <v>811.0</v>
      </c>
      <c r="D1410" s="47">
        <v>808.0</v>
      </c>
      <c r="E1410" s="47">
        <v>28180.0</v>
      </c>
      <c r="F1410" s="47" t="s">
        <v>11</v>
      </c>
    </row>
    <row r="1411" ht="15.75" customHeight="1">
      <c r="A1411" s="46" t="s">
        <v>3062</v>
      </c>
      <c r="B1411" s="47" t="s">
        <v>3063</v>
      </c>
      <c r="C1411" s="47">
        <v>374.0</v>
      </c>
      <c r="D1411" s="47">
        <v>381.0</v>
      </c>
      <c r="E1411" s="47">
        <v>28190.0</v>
      </c>
      <c r="F1411" s="47" t="s">
        <v>11</v>
      </c>
    </row>
    <row r="1412" ht="15.75" customHeight="1">
      <c r="A1412" s="46" t="s">
        <v>3064</v>
      </c>
      <c r="B1412" s="47" t="s">
        <v>3065</v>
      </c>
      <c r="C1412" s="47">
        <v>10948.0</v>
      </c>
      <c r="D1412" s="47">
        <v>11012.0</v>
      </c>
      <c r="E1412" s="47">
        <v>29610.0</v>
      </c>
      <c r="F1412" s="47">
        <v>8.0</v>
      </c>
    </row>
    <row r="1413" ht="15.75" customHeight="1">
      <c r="A1413" s="46" t="s">
        <v>3066</v>
      </c>
      <c r="B1413" s="47" t="s">
        <v>3067</v>
      </c>
      <c r="C1413" s="47">
        <v>1302.0</v>
      </c>
      <c r="D1413" s="47">
        <v>1301.0</v>
      </c>
      <c r="E1413" s="47">
        <v>28560.0</v>
      </c>
      <c r="F1413" s="47" t="s">
        <v>11</v>
      </c>
    </row>
    <row r="1414" ht="15.75" customHeight="1">
      <c r="A1414" s="46" t="s">
        <v>3068</v>
      </c>
      <c r="B1414" s="47" t="s">
        <v>3069</v>
      </c>
      <c r="C1414" s="47">
        <v>1272.0</v>
      </c>
      <c r="D1414" s="47">
        <v>1338.0</v>
      </c>
      <c r="E1414" s="47">
        <v>30150.0</v>
      </c>
      <c r="F1414" s="47" t="s">
        <v>11</v>
      </c>
    </row>
    <row r="1415" ht="15.75" customHeight="1">
      <c r="A1415" s="46" t="s">
        <v>3070</v>
      </c>
      <c r="B1415" s="47" t="s">
        <v>3071</v>
      </c>
      <c r="C1415" s="47">
        <v>1101.0</v>
      </c>
      <c r="D1415" s="47">
        <v>1125.0</v>
      </c>
      <c r="E1415" s="47">
        <v>29450.0</v>
      </c>
      <c r="F1415" s="47" t="s">
        <v>11</v>
      </c>
    </row>
    <row r="1416" ht="15.75" customHeight="1">
      <c r="A1416" s="46" t="s">
        <v>3072</v>
      </c>
      <c r="B1416" s="47" t="s">
        <v>3073</v>
      </c>
      <c r="C1416" s="47">
        <v>759.0</v>
      </c>
      <c r="D1416" s="47">
        <v>771.0</v>
      </c>
      <c r="E1416" s="47">
        <v>28730.0</v>
      </c>
      <c r="F1416" s="47" t="s">
        <v>11</v>
      </c>
    </row>
    <row r="1417" ht="15.75" customHeight="1">
      <c r="A1417" s="46" t="s">
        <v>3074</v>
      </c>
      <c r="B1417" s="47" t="s">
        <v>3075</v>
      </c>
      <c r="C1417" s="47">
        <v>2032.0</v>
      </c>
      <c r="D1417" s="47">
        <v>2020.0</v>
      </c>
      <c r="E1417" s="47">
        <v>26990.0</v>
      </c>
      <c r="F1417" s="47" t="s">
        <v>11</v>
      </c>
    </row>
    <row r="1418" ht="15.75" customHeight="1">
      <c r="A1418" s="46" t="s">
        <v>3076</v>
      </c>
      <c r="B1418" s="47" t="s">
        <v>3077</v>
      </c>
      <c r="C1418" s="47">
        <v>579.0</v>
      </c>
      <c r="D1418" s="47">
        <v>603.0</v>
      </c>
      <c r="E1418" s="47">
        <v>30510.0</v>
      </c>
      <c r="F1418" s="47" t="s">
        <v>11</v>
      </c>
    </row>
    <row r="1419" ht="15.75" customHeight="1">
      <c r="A1419" s="46" t="s">
        <v>3078</v>
      </c>
      <c r="B1419" s="47" t="s">
        <v>3079</v>
      </c>
      <c r="C1419" s="47">
        <v>239.0</v>
      </c>
      <c r="D1419" s="47">
        <v>231.0</v>
      </c>
      <c r="E1419" s="47">
        <v>28370.0</v>
      </c>
      <c r="F1419" s="47" t="s">
        <v>11</v>
      </c>
    </row>
    <row r="1420" ht="15.75" customHeight="1">
      <c r="A1420" s="46" t="s">
        <v>3080</v>
      </c>
      <c r="B1420" s="47" t="s">
        <v>3081</v>
      </c>
      <c r="C1420" s="47">
        <v>609.0</v>
      </c>
      <c r="D1420" s="47">
        <v>604.0</v>
      </c>
      <c r="E1420" s="47">
        <v>26020.0</v>
      </c>
      <c r="F1420" s="47" t="s">
        <v>11</v>
      </c>
    </row>
    <row r="1421" ht="15.75" customHeight="1">
      <c r="A1421" s="46" t="s">
        <v>3082</v>
      </c>
      <c r="B1421" s="47" t="s">
        <v>3083</v>
      </c>
      <c r="C1421" s="47">
        <v>20479.0</v>
      </c>
      <c r="D1421" s="47">
        <v>20726.0</v>
      </c>
      <c r="E1421" s="47">
        <v>28800.0</v>
      </c>
      <c r="F1421" s="47">
        <v>12.1</v>
      </c>
    </row>
    <row r="1422" ht="15.75" customHeight="1">
      <c r="A1422" s="46" t="s">
        <v>3084</v>
      </c>
      <c r="B1422" s="47" t="s">
        <v>3085</v>
      </c>
      <c r="C1422" s="47">
        <v>2563.0</v>
      </c>
      <c r="D1422" s="47">
        <v>2564.0</v>
      </c>
      <c r="E1422" s="47">
        <v>21420.0</v>
      </c>
      <c r="F1422" s="47">
        <v>19.0</v>
      </c>
    </row>
    <row r="1423" ht="15.75" customHeight="1">
      <c r="A1423" s="46" t="s">
        <v>3086</v>
      </c>
      <c r="B1423" s="47" t="s">
        <v>3087</v>
      </c>
      <c r="C1423" s="47">
        <v>14549.0</v>
      </c>
      <c r="D1423" s="47">
        <v>15525.0</v>
      </c>
      <c r="E1423" s="47">
        <v>24100.0</v>
      </c>
      <c r="F1423" s="47">
        <v>22.0</v>
      </c>
    </row>
    <row r="1424" ht="15.75" customHeight="1">
      <c r="A1424" s="46" t="s">
        <v>3088</v>
      </c>
      <c r="B1424" s="47" t="s">
        <v>3089</v>
      </c>
      <c r="C1424" s="47">
        <v>243.0</v>
      </c>
      <c r="D1424" s="47">
        <v>240.0</v>
      </c>
      <c r="E1424" s="47">
        <v>27580.0</v>
      </c>
      <c r="F1424" s="47" t="s">
        <v>11</v>
      </c>
    </row>
    <row r="1425" ht="15.75" customHeight="1">
      <c r="A1425" s="46" t="s">
        <v>3090</v>
      </c>
      <c r="B1425" s="47" t="s">
        <v>3091</v>
      </c>
      <c r="C1425" s="47">
        <v>40958.0</v>
      </c>
      <c r="D1425" s="47">
        <v>40847.0</v>
      </c>
      <c r="E1425" s="47">
        <v>21660.0</v>
      </c>
      <c r="F1425" s="47">
        <v>23.8</v>
      </c>
    </row>
    <row r="1426" ht="15.75" customHeight="1">
      <c r="A1426" s="46" t="s">
        <v>3092</v>
      </c>
      <c r="B1426" s="47" t="s">
        <v>3093</v>
      </c>
      <c r="C1426" s="47">
        <v>1661.0</v>
      </c>
      <c r="D1426" s="47">
        <v>1599.0</v>
      </c>
      <c r="E1426" s="47">
        <v>20340.0</v>
      </c>
      <c r="F1426" s="47" t="s">
        <v>11</v>
      </c>
    </row>
    <row r="1427" ht="15.75" customHeight="1">
      <c r="A1427" s="46" t="s">
        <v>3094</v>
      </c>
      <c r="B1427" s="47" t="s">
        <v>3095</v>
      </c>
      <c r="C1427" s="47">
        <v>386.0</v>
      </c>
      <c r="D1427" s="47">
        <v>440.0</v>
      </c>
      <c r="E1427" s="47">
        <v>25190.0</v>
      </c>
      <c r="F1427" s="47" t="s">
        <v>11</v>
      </c>
    </row>
    <row r="1428" ht="15.75" customHeight="1">
      <c r="A1428" s="46" t="s">
        <v>3096</v>
      </c>
      <c r="B1428" s="47" t="s">
        <v>3097</v>
      </c>
      <c r="C1428" s="47">
        <v>7676.0</v>
      </c>
      <c r="D1428" s="47">
        <v>7758.0</v>
      </c>
      <c r="E1428" s="47">
        <v>26660.0</v>
      </c>
      <c r="F1428" s="47">
        <v>12.0</v>
      </c>
    </row>
    <row r="1429" ht="15.75" customHeight="1">
      <c r="A1429" s="46" t="s">
        <v>3098</v>
      </c>
      <c r="B1429" s="47" t="s">
        <v>3099</v>
      </c>
      <c r="C1429" s="47">
        <v>7452.0</v>
      </c>
      <c r="D1429" s="47">
        <v>7266.0</v>
      </c>
      <c r="E1429" s="47">
        <v>18410.0</v>
      </c>
      <c r="F1429" s="47">
        <v>33.0</v>
      </c>
    </row>
    <row r="1430" ht="15.75" customHeight="1">
      <c r="A1430" s="46" t="s">
        <v>3100</v>
      </c>
      <c r="B1430" s="47" t="s">
        <v>3101</v>
      </c>
      <c r="C1430" s="47">
        <v>252.0</v>
      </c>
      <c r="D1430" s="47">
        <v>225.0</v>
      </c>
      <c r="E1430" s="47">
        <v>27220.0</v>
      </c>
      <c r="F1430" s="47" t="s">
        <v>11</v>
      </c>
    </row>
    <row r="1431" ht="15.75" customHeight="1">
      <c r="A1431" s="46" t="s">
        <v>3102</v>
      </c>
      <c r="B1431" s="47" t="s">
        <v>3103</v>
      </c>
      <c r="C1431" s="47">
        <v>5413.0</v>
      </c>
      <c r="D1431" s="47">
        <v>5426.0</v>
      </c>
      <c r="E1431" s="47">
        <v>26770.0</v>
      </c>
      <c r="F1431" s="47">
        <v>15.0</v>
      </c>
    </row>
    <row r="1432" ht="15.75" customHeight="1">
      <c r="A1432" s="46" t="s">
        <v>3104</v>
      </c>
      <c r="B1432" s="47" t="s">
        <v>3105</v>
      </c>
      <c r="C1432" s="47">
        <v>628.0</v>
      </c>
      <c r="D1432" s="47">
        <v>644.0</v>
      </c>
      <c r="E1432" s="47">
        <v>26450.0</v>
      </c>
      <c r="F1432" s="47" t="s">
        <v>11</v>
      </c>
    </row>
    <row r="1433" ht="15.75" customHeight="1">
      <c r="A1433" s="46" t="s">
        <v>3106</v>
      </c>
      <c r="B1433" s="47" t="s">
        <v>3107</v>
      </c>
      <c r="C1433" s="47">
        <v>498.0</v>
      </c>
      <c r="D1433" s="47">
        <v>581.0</v>
      </c>
      <c r="E1433" s="47">
        <v>29850.0</v>
      </c>
      <c r="F1433" s="47" t="s">
        <v>11</v>
      </c>
    </row>
    <row r="1434" ht="15.75" customHeight="1">
      <c r="A1434" s="46" t="s">
        <v>3108</v>
      </c>
      <c r="B1434" s="47" t="s">
        <v>3109</v>
      </c>
      <c r="C1434" s="47">
        <v>2903.0</v>
      </c>
      <c r="D1434" s="47">
        <v>2804.0</v>
      </c>
      <c r="E1434" s="47">
        <v>19990.0</v>
      </c>
      <c r="F1434" s="47">
        <v>29.0</v>
      </c>
    </row>
    <row r="1435" ht="15.75" customHeight="1">
      <c r="A1435" s="46" t="s">
        <v>3110</v>
      </c>
      <c r="B1435" s="47" t="s">
        <v>3111</v>
      </c>
      <c r="C1435" s="47">
        <v>3021.0</v>
      </c>
      <c r="D1435" s="47">
        <v>2941.0</v>
      </c>
      <c r="E1435" s="47">
        <v>28750.0</v>
      </c>
      <c r="F1435" s="47">
        <v>10.0</v>
      </c>
    </row>
    <row r="1436" ht="15.75" customHeight="1">
      <c r="A1436" s="46" t="s">
        <v>3112</v>
      </c>
      <c r="B1436" s="47" t="s">
        <v>3113</v>
      </c>
      <c r="C1436" s="47">
        <v>148.0</v>
      </c>
      <c r="D1436" s="47">
        <v>128.0</v>
      </c>
      <c r="E1436" s="47">
        <v>24520.0</v>
      </c>
      <c r="F1436" s="47" t="s">
        <v>11</v>
      </c>
    </row>
    <row r="1437" ht="15.75" customHeight="1">
      <c r="A1437" s="46" t="s">
        <v>3114</v>
      </c>
      <c r="B1437" s="47" t="s">
        <v>3115</v>
      </c>
      <c r="C1437" s="47">
        <v>1306.0</v>
      </c>
      <c r="D1437" s="47">
        <v>1261.0</v>
      </c>
      <c r="E1437" s="47">
        <v>26500.0</v>
      </c>
      <c r="F1437" s="47" t="s">
        <v>11</v>
      </c>
    </row>
    <row r="1438" ht="15.75" customHeight="1">
      <c r="A1438" s="46" t="s">
        <v>3116</v>
      </c>
      <c r="B1438" s="47" t="s">
        <v>3117</v>
      </c>
      <c r="C1438" s="47">
        <v>5632.0</v>
      </c>
      <c r="D1438" s="47">
        <v>5584.0</v>
      </c>
      <c r="E1438" s="47">
        <v>26280.0</v>
      </c>
      <c r="F1438" s="47">
        <v>9.0</v>
      </c>
    </row>
    <row r="1439" ht="15.75" customHeight="1">
      <c r="A1439" s="46" t="s">
        <v>3118</v>
      </c>
      <c r="B1439" s="47" t="s">
        <v>3119</v>
      </c>
      <c r="C1439" s="47">
        <v>309.0</v>
      </c>
      <c r="D1439" s="47">
        <v>334.0</v>
      </c>
      <c r="E1439" s="47">
        <v>24230.0</v>
      </c>
      <c r="F1439" s="47" t="s">
        <v>11</v>
      </c>
    </row>
    <row r="1440" ht="15.75" customHeight="1">
      <c r="A1440" s="46" t="s">
        <v>3120</v>
      </c>
      <c r="B1440" s="47" t="s">
        <v>3121</v>
      </c>
      <c r="C1440" s="47">
        <v>291.0</v>
      </c>
      <c r="D1440" s="47">
        <v>298.0</v>
      </c>
      <c r="E1440" s="47">
        <v>25470.0</v>
      </c>
      <c r="F1440" s="47" t="s">
        <v>11</v>
      </c>
    </row>
    <row r="1441" ht="15.75" customHeight="1">
      <c r="A1441" s="46" t="s">
        <v>3122</v>
      </c>
      <c r="B1441" s="47" t="s">
        <v>3123</v>
      </c>
      <c r="C1441" s="47">
        <v>1529.0</v>
      </c>
      <c r="D1441" s="47">
        <v>1562.0</v>
      </c>
      <c r="E1441" s="47">
        <v>27550.0</v>
      </c>
      <c r="F1441" s="47" t="s">
        <v>11</v>
      </c>
    </row>
    <row r="1442" ht="15.75" customHeight="1">
      <c r="A1442" s="46" t="s">
        <v>3124</v>
      </c>
      <c r="B1442" s="47" t="s">
        <v>3125</v>
      </c>
      <c r="C1442" s="47">
        <v>223.0</v>
      </c>
      <c r="D1442" s="47">
        <v>252.0</v>
      </c>
      <c r="E1442" s="47">
        <v>29250.0</v>
      </c>
      <c r="F1442" s="47" t="s">
        <v>11</v>
      </c>
    </row>
    <row r="1443" ht="15.75" customHeight="1">
      <c r="A1443" s="46" t="s">
        <v>3126</v>
      </c>
      <c r="B1443" s="47" t="s">
        <v>3127</v>
      </c>
      <c r="C1443" s="47">
        <v>1677.0</v>
      </c>
      <c r="D1443" s="47">
        <v>1630.0</v>
      </c>
      <c r="E1443" s="47">
        <v>27730.0</v>
      </c>
      <c r="F1443" s="47" t="s">
        <v>11</v>
      </c>
    </row>
    <row r="1444" ht="15.75" customHeight="1">
      <c r="A1444" s="46" t="s">
        <v>3128</v>
      </c>
      <c r="B1444" s="47" t="s">
        <v>3129</v>
      </c>
      <c r="C1444" s="47">
        <v>524.0</v>
      </c>
      <c r="D1444" s="47">
        <v>557.0</v>
      </c>
      <c r="E1444" s="47">
        <v>25260.0</v>
      </c>
      <c r="F1444" s="47" t="s">
        <v>11</v>
      </c>
    </row>
    <row r="1445" ht="15.75" customHeight="1">
      <c r="A1445" s="46" t="s">
        <v>3130</v>
      </c>
      <c r="B1445" s="47" t="s">
        <v>3131</v>
      </c>
      <c r="C1445" s="47">
        <v>1287.0</v>
      </c>
      <c r="D1445" s="47">
        <v>1387.0</v>
      </c>
      <c r="E1445" s="47">
        <v>27570.0</v>
      </c>
      <c r="F1445" s="47" t="s">
        <v>11</v>
      </c>
    </row>
    <row r="1446" ht="15.75" customHeight="1">
      <c r="A1446" s="46" t="s">
        <v>3132</v>
      </c>
      <c r="B1446" s="47" t="s">
        <v>1845</v>
      </c>
      <c r="C1446" s="47">
        <v>651.0</v>
      </c>
      <c r="D1446" s="47">
        <v>569.0</v>
      </c>
      <c r="E1446" s="47">
        <v>22970.0</v>
      </c>
      <c r="F1446" s="47" t="s">
        <v>11</v>
      </c>
    </row>
    <row r="1447" ht="15.75" customHeight="1">
      <c r="A1447" s="46" t="s">
        <v>3133</v>
      </c>
      <c r="B1447" s="47" t="s">
        <v>3134</v>
      </c>
      <c r="C1447" s="47">
        <v>787.0</v>
      </c>
      <c r="D1447" s="47">
        <v>879.0</v>
      </c>
      <c r="E1447" s="47">
        <v>29050.0</v>
      </c>
      <c r="F1447" s="47" t="s">
        <v>11</v>
      </c>
    </row>
    <row r="1448" ht="15.75" customHeight="1">
      <c r="A1448" s="46" t="s">
        <v>3135</v>
      </c>
      <c r="B1448" s="47" t="s">
        <v>3136</v>
      </c>
      <c r="C1448" s="47">
        <v>490.0</v>
      </c>
      <c r="D1448" s="47">
        <v>499.0</v>
      </c>
      <c r="E1448" s="47">
        <v>29790.0</v>
      </c>
      <c r="F1448" s="47" t="s">
        <v>11</v>
      </c>
    </row>
    <row r="1449" ht="15.75" customHeight="1">
      <c r="A1449" s="46" t="s">
        <v>3137</v>
      </c>
      <c r="B1449" s="47" t="s">
        <v>3138</v>
      </c>
      <c r="C1449" s="47">
        <v>402.0</v>
      </c>
      <c r="D1449" s="47">
        <v>408.0</v>
      </c>
      <c r="E1449" s="47">
        <v>26720.0</v>
      </c>
      <c r="F1449" s="47" t="s">
        <v>11</v>
      </c>
    </row>
    <row r="1450" ht="15.75" customHeight="1">
      <c r="A1450" s="46" t="s">
        <v>3139</v>
      </c>
      <c r="B1450" s="47" t="s">
        <v>3140</v>
      </c>
      <c r="C1450" s="47">
        <v>849.0</v>
      </c>
      <c r="D1450" s="47">
        <v>821.0</v>
      </c>
      <c r="E1450" s="47">
        <v>27550.0</v>
      </c>
      <c r="F1450" s="47" t="s">
        <v>11</v>
      </c>
    </row>
    <row r="1451" ht="15.75" customHeight="1">
      <c r="A1451" s="46" t="s">
        <v>3141</v>
      </c>
      <c r="B1451" s="47" t="s">
        <v>3142</v>
      </c>
      <c r="C1451" s="47">
        <v>1179.0</v>
      </c>
      <c r="D1451" s="47">
        <v>1153.0</v>
      </c>
      <c r="E1451" s="47">
        <v>27630.0</v>
      </c>
      <c r="F1451" s="47" t="s">
        <v>11</v>
      </c>
    </row>
    <row r="1452" ht="15.75" customHeight="1">
      <c r="A1452" s="46" t="s">
        <v>3143</v>
      </c>
      <c r="B1452" s="47" t="s">
        <v>3144</v>
      </c>
      <c r="C1452" s="47">
        <v>3050.0</v>
      </c>
      <c r="D1452" s="47">
        <v>3058.0</v>
      </c>
      <c r="E1452" s="47">
        <v>30860.0</v>
      </c>
      <c r="F1452" s="47">
        <v>5.0</v>
      </c>
    </row>
    <row r="1453" ht="15.75" customHeight="1">
      <c r="A1453" s="46" t="s">
        <v>3145</v>
      </c>
      <c r="B1453" s="47" t="s">
        <v>3146</v>
      </c>
      <c r="C1453" s="47">
        <v>399.0</v>
      </c>
      <c r="D1453" s="47">
        <v>409.0</v>
      </c>
      <c r="E1453" s="47">
        <v>29640.0</v>
      </c>
      <c r="F1453" s="47" t="s">
        <v>11</v>
      </c>
    </row>
    <row r="1454" ht="15.75" customHeight="1">
      <c r="A1454" s="46" t="s">
        <v>3147</v>
      </c>
      <c r="B1454" s="47" t="s">
        <v>3148</v>
      </c>
      <c r="C1454" s="47">
        <v>1572.0</v>
      </c>
      <c r="D1454" s="47">
        <v>1767.0</v>
      </c>
      <c r="E1454" s="47">
        <v>27930.0</v>
      </c>
      <c r="F1454" s="47" t="s">
        <v>11</v>
      </c>
    </row>
    <row r="1455" ht="15.75" customHeight="1">
      <c r="A1455" s="46" t="s">
        <v>3149</v>
      </c>
      <c r="B1455" s="47" t="s">
        <v>3150</v>
      </c>
      <c r="C1455" s="47">
        <v>1740.0</v>
      </c>
      <c r="D1455" s="47">
        <v>1805.0</v>
      </c>
      <c r="E1455" s="47">
        <v>29590.0</v>
      </c>
      <c r="F1455" s="47" t="s">
        <v>11</v>
      </c>
    </row>
    <row r="1456" ht="15.75" customHeight="1">
      <c r="A1456" s="46" t="s">
        <v>3151</v>
      </c>
      <c r="B1456" s="47" t="s">
        <v>3152</v>
      </c>
      <c r="C1456" s="47">
        <v>392.0</v>
      </c>
      <c r="D1456" s="47">
        <v>419.0</v>
      </c>
      <c r="E1456" s="47">
        <v>24630.0</v>
      </c>
      <c r="F1456" s="47" t="s">
        <v>11</v>
      </c>
    </row>
    <row r="1457" ht="15.75" customHeight="1">
      <c r="A1457" s="46" t="s">
        <v>3153</v>
      </c>
      <c r="B1457" s="47" t="s">
        <v>3154</v>
      </c>
      <c r="C1457" s="47">
        <v>3227.0</v>
      </c>
      <c r="D1457" s="47">
        <v>3434.0</v>
      </c>
      <c r="E1457" s="47">
        <v>28060.0</v>
      </c>
      <c r="F1457" s="47">
        <v>7.0</v>
      </c>
    </row>
    <row r="1458" ht="15.75" customHeight="1">
      <c r="A1458" s="46" t="s">
        <v>3155</v>
      </c>
      <c r="B1458" s="47" t="s">
        <v>3156</v>
      </c>
      <c r="C1458" s="47">
        <v>1396.0</v>
      </c>
      <c r="D1458" s="47">
        <v>1345.0</v>
      </c>
      <c r="E1458" s="47">
        <v>30100.0</v>
      </c>
      <c r="F1458" s="47" t="s">
        <v>11</v>
      </c>
    </row>
    <row r="1459" ht="15.75" customHeight="1">
      <c r="A1459" s="46" t="s">
        <v>3157</v>
      </c>
      <c r="B1459" s="47" t="s">
        <v>3158</v>
      </c>
      <c r="C1459" s="47">
        <v>185.0</v>
      </c>
      <c r="D1459" s="47">
        <v>155.0</v>
      </c>
      <c r="E1459" s="47">
        <v>26770.0</v>
      </c>
      <c r="F1459" s="47" t="s">
        <v>11</v>
      </c>
    </row>
    <row r="1460" ht="15.75" customHeight="1">
      <c r="A1460" s="46" t="s">
        <v>3159</v>
      </c>
      <c r="B1460" s="47" t="s">
        <v>3160</v>
      </c>
      <c r="C1460" s="47">
        <v>1172.0</v>
      </c>
      <c r="D1460" s="47">
        <v>1124.0</v>
      </c>
      <c r="E1460" s="47">
        <v>27290.0</v>
      </c>
      <c r="F1460" s="47" t="s">
        <v>11</v>
      </c>
    </row>
    <row r="1461" ht="15.75" customHeight="1">
      <c r="A1461" s="46" t="s">
        <v>3161</v>
      </c>
      <c r="B1461" s="47" t="s">
        <v>3162</v>
      </c>
      <c r="C1461" s="47">
        <v>276.0</v>
      </c>
      <c r="D1461" s="47">
        <v>273.0</v>
      </c>
      <c r="E1461" s="47">
        <v>31020.0</v>
      </c>
      <c r="F1461" s="47" t="s">
        <v>11</v>
      </c>
    </row>
    <row r="1462" ht="15.75" customHeight="1">
      <c r="A1462" s="46" t="s">
        <v>3163</v>
      </c>
      <c r="B1462" s="47" t="s">
        <v>3164</v>
      </c>
      <c r="C1462" s="47">
        <v>1197.0</v>
      </c>
      <c r="D1462" s="47">
        <v>1134.0</v>
      </c>
      <c r="E1462" s="47">
        <v>25300.0</v>
      </c>
      <c r="F1462" s="47" t="s">
        <v>11</v>
      </c>
    </row>
    <row r="1463" ht="15.75" customHeight="1">
      <c r="A1463" s="46" t="s">
        <v>3165</v>
      </c>
      <c r="B1463" s="47" t="s">
        <v>3166</v>
      </c>
      <c r="C1463" s="47">
        <v>409.0</v>
      </c>
      <c r="D1463" s="47">
        <v>408.0</v>
      </c>
      <c r="E1463" s="47">
        <v>27310.0</v>
      </c>
      <c r="F1463" s="47" t="s">
        <v>11</v>
      </c>
    </row>
    <row r="1464" ht="15.75" customHeight="1">
      <c r="A1464" s="46" t="s">
        <v>3167</v>
      </c>
      <c r="B1464" s="47" t="s">
        <v>3168</v>
      </c>
      <c r="C1464" s="47">
        <v>264.0</v>
      </c>
      <c r="D1464" s="47">
        <v>273.0</v>
      </c>
      <c r="E1464" s="47">
        <v>28640.0</v>
      </c>
      <c r="F1464" s="47" t="s">
        <v>11</v>
      </c>
    </row>
    <row r="1465" ht="15.75" customHeight="1">
      <c r="A1465" s="46" t="s">
        <v>3169</v>
      </c>
      <c r="B1465" s="47" t="s">
        <v>3170</v>
      </c>
      <c r="C1465" s="47">
        <v>542.0</v>
      </c>
      <c r="D1465" s="47">
        <v>498.0</v>
      </c>
      <c r="E1465" s="47">
        <v>24370.0</v>
      </c>
      <c r="F1465" s="47" t="s">
        <v>11</v>
      </c>
    </row>
    <row r="1466" ht="15.75" customHeight="1">
      <c r="A1466" s="46" t="s">
        <v>3171</v>
      </c>
      <c r="B1466" s="47" t="s">
        <v>3172</v>
      </c>
      <c r="C1466" s="47">
        <v>660.0</v>
      </c>
      <c r="D1466" s="47">
        <v>636.0</v>
      </c>
      <c r="E1466" s="47">
        <v>37050.0</v>
      </c>
      <c r="F1466" s="47" t="s">
        <v>11</v>
      </c>
    </row>
    <row r="1467" ht="15.75" customHeight="1">
      <c r="A1467" s="46" t="s">
        <v>3173</v>
      </c>
      <c r="B1467" s="47" t="s">
        <v>3174</v>
      </c>
      <c r="C1467" s="47">
        <v>563.0</v>
      </c>
      <c r="D1467" s="47">
        <v>548.0</v>
      </c>
      <c r="E1467" s="47">
        <v>29820.0</v>
      </c>
      <c r="F1467" s="47" t="s">
        <v>11</v>
      </c>
    </row>
    <row r="1468" ht="15.75" customHeight="1">
      <c r="A1468" s="46" t="s">
        <v>3175</v>
      </c>
      <c r="B1468" s="47" t="s">
        <v>3176</v>
      </c>
      <c r="C1468" s="47">
        <v>770.0</v>
      </c>
      <c r="D1468" s="47">
        <v>832.0</v>
      </c>
      <c r="E1468" s="47">
        <v>27500.0</v>
      </c>
      <c r="F1468" s="47" t="s">
        <v>11</v>
      </c>
    </row>
    <row r="1469" ht="15.75" customHeight="1">
      <c r="A1469" s="46" t="s">
        <v>3177</v>
      </c>
      <c r="B1469" s="47" t="s">
        <v>3178</v>
      </c>
      <c r="C1469" s="47">
        <v>1880.0</v>
      </c>
      <c r="D1469" s="47">
        <v>1857.0</v>
      </c>
      <c r="E1469" s="47">
        <v>26740.0</v>
      </c>
      <c r="F1469" s="47" t="s">
        <v>11</v>
      </c>
    </row>
    <row r="1470" ht="15.75" customHeight="1">
      <c r="A1470" s="46" t="s">
        <v>3179</v>
      </c>
      <c r="B1470" s="47" t="s">
        <v>3180</v>
      </c>
      <c r="C1470" s="47">
        <v>592.0</v>
      </c>
      <c r="D1470" s="47">
        <v>562.0</v>
      </c>
      <c r="E1470" s="47">
        <v>24970.0</v>
      </c>
      <c r="F1470" s="47" t="s">
        <v>11</v>
      </c>
    </row>
    <row r="1471" ht="15.75" customHeight="1">
      <c r="A1471" s="46" t="s">
        <v>3181</v>
      </c>
      <c r="B1471" s="47" t="s">
        <v>3182</v>
      </c>
      <c r="C1471" s="47">
        <v>518.0</v>
      </c>
      <c r="D1471" s="47">
        <v>515.0</v>
      </c>
      <c r="E1471" s="47">
        <v>31850.0</v>
      </c>
      <c r="F1471" s="47" t="s">
        <v>11</v>
      </c>
    </row>
    <row r="1472" ht="15.75" customHeight="1">
      <c r="A1472" s="46" t="s">
        <v>3183</v>
      </c>
      <c r="B1472" s="47" t="s">
        <v>3184</v>
      </c>
      <c r="C1472" s="47">
        <v>476.0</v>
      </c>
      <c r="D1472" s="47">
        <v>567.0</v>
      </c>
      <c r="E1472" s="47">
        <v>42250.0</v>
      </c>
      <c r="F1472" s="47" t="s">
        <v>11</v>
      </c>
    </row>
    <row r="1473" ht="15.75" customHeight="1">
      <c r="A1473" s="46" t="s">
        <v>3185</v>
      </c>
      <c r="B1473" s="47" t="s">
        <v>3186</v>
      </c>
      <c r="C1473" s="47">
        <v>2892.0</v>
      </c>
      <c r="D1473" s="47">
        <v>2898.0</v>
      </c>
      <c r="E1473" s="47">
        <v>26150.0</v>
      </c>
      <c r="F1473" s="47">
        <v>13.0</v>
      </c>
    </row>
    <row r="1474" ht="15.75" customHeight="1">
      <c r="A1474" s="46" t="s">
        <v>3187</v>
      </c>
      <c r="B1474" s="47" t="s">
        <v>3188</v>
      </c>
      <c r="C1474" s="47">
        <v>554.0</v>
      </c>
      <c r="D1474" s="47">
        <v>554.0</v>
      </c>
      <c r="E1474" s="47">
        <v>27420.0</v>
      </c>
      <c r="F1474" s="47" t="s">
        <v>11</v>
      </c>
    </row>
    <row r="1475" ht="15.75" customHeight="1">
      <c r="A1475" s="46" t="s">
        <v>3189</v>
      </c>
      <c r="B1475" s="47" t="s">
        <v>3190</v>
      </c>
      <c r="C1475" s="47">
        <v>272.0</v>
      </c>
      <c r="D1475" s="47">
        <v>265.0</v>
      </c>
      <c r="E1475" s="47">
        <v>28760.0</v>
      </c>
      <c r="F1475" s="47" t="s">
        <v>11</v>
      </c>
    </row>
    <row r="1476" ht="15.75" customHeight="1">
      <c r="A1476" s="46" t="s">
        <v>3191</v>
      </c>
      <c r="B1476" s="47" t="s">
        <v>3192</v>
      </c>
      <c r="C1476" s="47">
        <v>733.0</v>
      </c>
      <c r="D1476" s="47">
        <v>738.0</v>
      </c>
      <c r="E1476" s="47">
        <v>25940.0</v>
      </c>
      <c r="F1476" s="47" t="s">
        <v>11</v>
      </c>
    </row>
    <row r="1477" ht="15.75" customHeight="1">
      <c r="A1477" s="46" t="s">
        <v>3193</v>
      </c>
      <c r="B1477" s="47" t="s">
        <v>3194</v>
      </c>
      <c r="C1477" s="47">
        <v>887.0</v>
      </c>
      <c r="D1477" s="47">
        <v>852.0</v>
      </c>
      <c r="E1477" s="47">
        <v>37150.0</v>
      </c>
      <c r="F1477" s="47" t="s">
        <v>11</v>
      </c>
    </row>
    <row r="1478" ht="15.75" customHeight="1">
      <c r="A1478" s="46" t="s">
        <v>3195</v>
      </c>
      <c r="B1478" s="47" t="s">
        <v>3196</v>
      </c>
      <c r="C1478" s="47">
        <v>1150.0</v>
      </c>
      <c r="D1478" s="47">
        <v>1147.0</v>
      </c>
      <c r="E1478" s="47">
        <v>28320.0</v>
      </c>
      <c r="F1478" s="47" t="s">
        <v>11</v>
      </c>
    </row>
    <row r="1479" ht="15.75" customHeight="1">
      <c r="A1479" s="46" t="s">
        <v>3197</v>
      </c>
      <c r="B1479" s="47" t="s">
        <v>3198</v>
      </c>
      <c r="C1479" s="47">
        <v>260.0</v>
      </c>
      <c r="D1479" s="47">
        <v>232.0</v>
      </c>
      <c r="E1479" s="47">
        <v>21330.0</v>
      </c>
      <c r="F1479" s="47" t="s">
        <v>11</v>
      </c>
    </row>
    <row r="1480" ht="15.75" customHeight="1">
      <c r="A1480" s="46" t="s">
        <v>3199</v>
      </c>
      <c r="B1480" s="47" t="s">
        <v>3200</v>
      </c>
      <c r="C1480" s="47">
        <v>373.0</v>
      </c>
      <c r="D1480" s="47">
        <v>404.0</v>
      </c>
      <c r="E1480" s="47">
        <v>30370.0</v>
      </c>
      <c r="F1480" s="47" t="s">
        <v>11</v>
      </c>
    </row>
    <row r="1481" ht="15.75" customHeight="1">
      <c r="A1481" s="46" t="s">
        <v>3201</v>
      </c>
      <c r="B1481" s="47" t="s">
        <v>3202</v>
      </c>
      <c r="C1481" s="47">
        <v>520.0</v>
      </c>
      <c r="D1481" s="47">
        <v>508.0</v>
      </c>
      <c r="E1481" s="47">
        <v>26220.0</v>
      </c>
      <c r="F1481" s="47" t="s">
        <v>11</v>
      </c>
    </row>
    <row r="1482" ht="15.75" customHeight="1">
      <c r="A1482" s="46" t="s">
        <v>3203</v>
      </c>
      <c r="B1482" s="47" t="s">
        <v>3204</v>
      </c>
      <c r="C1482" s="47">
        <v>492.0</v>
      </c>
      <c r="D1482" s="47">
        <v>477.0</v>
      </c>
      <c r="E1482" s="47">
        <v>23870.0</v>
      </c>
      <c r="F1482" s="47" t="s">
        <v>11</v>
      </c>
    </row>
    <row r="1483" ht="15.75" customHeight="1">
      <c r="A1483" s="46" t="s">
        <v>3205</v>
      </c>
      <c r="B1483" s="47" t="s">
        <v>3206</v>
      </c>
      <c r="C1483" s="47">
        <v>642.0</v>
      </c>
      <c r="D1483" s="47">
        <v>645.0</v>
      </c>
      <c r="E1483" s="47">
        <v>28440.0</v>
      </c>
      <c r="F1483" s="47" t="s">
        <v>11</v>
      </c>
    </row>
    <row r="1484" ht="15.75" customHeight="1">
      <c r="A1484" s="46" t="s">
        <v>3207</v>
      </c>
      <c r="B1484" s="47" t="s">
        <v>3208</v>
      </c>
      <c r="C1484" s="47">
        <v>2175.0</v>
      </c>
      <c r="D1484" s="47">
        <v>2330.0</v>
      </c>
      <c r="E1484" s="47">
        <v>25830.0</v>
      </c>
      <c r="F1484" s="47">
        <v>10.0</v>
      </c>
    </row>
    <row r="1485" ht="15.75" customHeight="1">
      <c r="A1485" s="46" t="s">
        <v>3209</v>
      </c>
      <c r="B1485" s="47" t="s">
        <v>3210</v>
      </c>
      <c r="C1485" s="47">
        <v>1477.0</v>
      </c>
      <c r="D1485" s="47">
        <v>1483.0</v>
      </c>
      <c r="E1485" s="47">
        <v>29070.0</v>
      </c>
      <c r="F1485" s="47" t="s">
        <v>11</v>
      </c>
    </row>
    <row r="1486" ht="15.75" customHeight="1">
      <c r="A1486" s="46" t="s">
        <v>3211</v>
      </c>
      <c r="B1486" s="47" t="s">
        <v>3212</v>
      </c>
      <c r="C1486" s="47">
        <v>636.0</v>
      </c>
      <c r="D1486" s="47">
        <v>599.0</v>
      </c>
      <c r="E1486" s="47">
        <v>27480.0</v>
      </c>
      <c r="F1486" s="47" t="s">
        <v>11</v>
      </c>
    </row>
    <row r="1487" ht="15.75" customHeight="1">
      <c r="A1487" s="46" t="s">
        <v>3213</v>
      </c>
      <c r="B1487" s="47" t="s">
        <v>3214</v>
      </c>
      <c r="C1487" s="47">
        <v>1723.0</v>
      </c>
      <c r="D1487" s="47">
        <v>1628.0</v>
      </c>
      <c r="E1487" s="47">
        <v>25740.0</v>
      </c>
      <c r="F1487" s="47" t="s">
        <v>11</v>
      </c>
    </row>
    <row r="1488" ht="15.75" customHeight="1">
      <c r="A1488" s="46" t="s">
        <v>3215</v>
      </c>
      <c r="B1488" s="47" t="s">
        <v>3216</v>
      </c>
      <c r="C1488" s="47">
        <v>572.0</v>
      </c>
      <c r="D1488" s="47">
        <v>528.0</v>
      </c>
      <c r="E1488" s="47">
        <v>33470.0</v>
      </c>
      <c r="F1488" s="47" t="s">
        <v>11</v>
      </c>
    </row>
    <row r="1489" ht="15.75" customHeight="1">
      <c r="A1489" s="46" t="s">
        <v>3217</v>
      </c>
      <c r="B1489" s="47" t="s">
        <v>3218</v>
      </c>
      <c r="C1489" s="47">
        <v>332.0</v>
      </c>
      <c r="D1489" s="47">
        <v>324.0</v>
      </c>
      <c r="E1489" s="47">
        <v>30240.0</v>
      </c>
      <c r="F1489" s="47" t="s">
        <v>11</v>
      </c>
    </row>
    <row r="1490" ht="15.75" customHeight="1">
      <c r="A1490" s="46" t="s">
        <v>3219</v>
      </c>
      <c r="B1490" s="47" t="s">
        <v>3220</v>
      </c>
      <c r="C1490" s="47">
        <v>760.0</v>
      </c>
      <c r="D1490" s="47">
        <v>729.0</v>
      </c>
      <c r="E1490" s="47">
        <v>32930.0</v>
      </c>
      <c r="F1490" s="47" t="s">
        <v>11</v>
      </c>
    </row>
    <row r="1491" ht="15.75" customHeight="1">
      <c r="A1491" s="46" t="s">
        <v>3221</v>
      </c>
      <c r="B1491" s="47" t="s">
        <v>3222</v>
      </c>
      <c r="C1491" s="47">
        <v>241.0</v>
      </c>
      <c r="D1491" s="47">
        <v>286.0</v>
      </c>
      <c r="E1491" s="47">
        <v>27900.0</v>
      </c>
      <c r="F1491" s="47" t="s">
        <v>11</v>
      </c>
    </row>
    <row r="1492" ht="15.75" customHeight="1">
      <c r="A1492" s="46" t="s">
        <v>3223</v>
      </c>
      <c r="B1492" s="47" t="s">
        <v>3224</v>
      </c>
      <c r="C1492" s="47">
        <v>129.0</v>
      </c>
      <c r="D1492" s="47">
        <v>100.0</v>
      </c>
      <c r="E1492" s="47" t="s">
        <v>11</v>
      </c>
      <c r="F1492" s="47" t="s">
        <v>11</v>
      </c>
    </row>
    <row r="1493" ht="15.75" customHeight="1">
      <c r="A1493" s="46" t="s">
        <v>3225</v>
      </c>
      <c r="B1493" s="47" t="s">
        <v>3226</v>
      </c>
      <c r="C1493" s="47">
        <v>337.0</v>
      </c>
      <c r="D1493" s="47">
        <v>388.0</v>
      </c>
      <c r="E1493" s="47">
        <v>28380.0</v>
      </c>
      <c r="F1493" s="47" t="s">
        <v>11</v>
      </c>
    </row>
    <row r="1494" ht="15.75" customHeight="1">
      <c r="A1494" s="46" t="s">
        <v>3227</v>
      </c>
      <c r="B1494" s="47" t="s">
        <v>3228</v>
      </c>
      <c r="C1494" s="47">
        <v>204.0</v>
      </c>
      <c r="D1494" s="47">
        <v>173.0</v>
      </c>
      <c r="E1494" s="47">
        <v>24820.0</v>
      </c>
      <c r="F1494" s="47" t="s">
        <v>11</v>
      </c>
    </row>
    <row r="1495" ht="15.75" customHeight="1">
      <c r="A1495" s="46" t="s">
        <v>3229</v>
      </c>
      <c r="B1495" s="47" t="s">
        <v>3230</v>
      </c>
      <c r="C1495" s="47">
        <v>101.0</v>
      </c>
      <c r="D1495" s="47">
        <v>104.0</v>
      </c>
      <c r="E1495" s="47">
        <v>27490.0</v>
      </c>
      <c r="F1495" s="47" t="s">
        <v>11</v>
      </c>
    </row>
    <row r="1496" ht="15.75" customHeight="1">
      <c r="A1496" s="46" t="s">
        <v>3231</v>
      </c>
      <c r="B1496" s="47" t="s">
        <v>3232</v>
      </c>
      <c r="C1496" s="47">
        <v>609.0</v>
      </c>
      <c r="D1496" s="47">
        <v>563.0</v>
      </c>
      <c r="E1496" s="47">
        <v>25230.0</v>
      </c>
      <c r="F1496" s="47" t="s">
        <v>11</v>
      </c>
    </row>
    <row r="1497" ht="15.75" customHeight="1">
      <c r="A1497" s="46" t="s">
        <v>3233</v>
      </c>
      <c r="B1497" s="47" t="s">
        <v>3234</v>
      </c>
      <c r="C1497" s="47">
        <v>343.0</v>
      </c>
      <c r="D1497" s="47">
        <v>339.0</v>
      </c>
      <c r="E1497" s="47">
        <v>28600.0</v>
      </c>
      <c r="F1497" s="47" t="s">
        <v>11</v>
      </c>
    </row>
    <row r="1498" ht="15.75" customHeight="1">
      <c r="A1498" s="46" t="s">
        <v>3235</v>
      </c>
      <c r="B1498" s="47" t="s">
        <v>3236</v>
      </c>
      <c r="C1498" s="47">
        <v>338.0</v>
      </c>
      <c r="D1498" s="47">
        <v>341.0</v>
      </c>
      <c r="E1498" s="47">
        <v>25810.0</v>
      </c>
      <c r="F1498" s="47" t="s">
        <v>11</v>
      </c>
    </row>
    <row r="1499" ht="15.75" customHeight="1">
      <c r="A1499" s="46" t="s">
        <v>3237</v>
      </c>
      <c r="B1499" s="47" t="s">
        <v>3238</v>
      </c>
      <c r="C1499" s="47">
        <v>67.0</v>
      </c>
      <c r="D1499" s="47">
        <v>63.0</v>
      </c>
      <c r="E1499" s="47" t="s">
        <v>11</v>
      </c>
      <c r="F1499" s="47" t="s">
        <v>11</v>
      </c>
    </row>
    <row r="1500" ht="15.75" customHeight="1">
      <c r="A1500" s="46" t="s">
        <v>3239</v>
      </c>
      <c r="B1500" s="47" t="s">
        <v>3240</v>
      </c>
      <c r="C1500" s="47">
        <v>56254.0</v>
      </c>
      <c r="D1500" s="47">
        <v>55550.0</v>
      </c>
      <c r="E1500" s="47">
        <v>21400.0</v>
      </c>
      <c r="F1500" s="47">
        <v>27.3</v>
      </c>
    </row>
    <row r="1501" ht="15.75" customHeight="1">
      <c r="A1501" s="46" t="s">
        <v>3241</v>
      </c>
      <c r="B1501" s="47" t="s">
        <v>3242</v>
      </c>
      <c r="C1501" s="47">
        <v>238.0</v>
      </c>
      <c r="D1501" s="47">
        <v>239.0</v>
      </c>
      <c r="E1501" s="47">
        <v>28450.0</v>
      </c>
      <c r="F1501" s="47" t="s">
        <v>11</v>
      </c>
    </row>
    <row r="1502" ht="15.75" customHeight="1">
      <c r="A1502" s="46" t="s">
        <v>3243</v>
      </c>
      <c r="B1502" s="47" t="s">
        <v>3244</v>
      </c>
      <c r="C1502" s="47">
        <v>209.0</v>
      </c>
      <c r="D1502" s="47">
        <v>192.0</v>
      </c>
      <c r="E1502" s="47">
        <v>27610.0</v>
      </c>
      <c r="F1502" s="47" t="s">
        <v>11</v>
      </c>
    </row>
    <row r="1503" ht="15.75" customHeight="1">
      <c r="A1503" s="46" t="s">
        <v>3245</v>
      </c>
      <c r="B1503" s="47" t="s">
        <v>3246</v>
      </c>
      <c r="C1503" s="47">
        <v>609.0</v>
      </c>
      <c r="D1503" s="47">
        <v>730.0</v>
      </c>
      <c r="E1503" s="47">
        <v>30190.0</v>
      </c>
      <c r="F1503" s="47" t="s">
        <v>11</v>
      </c>
    </row>
    <row r="1504" ht="15.75" customHeight="1">
      <c r="A1504" s="46" t="s">
        <v>3247</v>
      </c>
      <c r="B1504" s="47" t="s">
        <v>3248</v>
      </c>
      <c r="C1504" s="47">
        <v>94.0</v>
      </c>
      <c r="D1504" s="47">
        <v>68.0</v>
      </c>
      <c r="E1504" s="47" t="s">
        <v>11</v>
      </c>
      <c r="F1504" s="47" t="s">
        <v>11</v>
      </c>
    </row>
    <row r="1505" ht="15.75" customHeight="1">
      <c r="A1505" s="46" t="s">
        <v>3249</v>
      </c>
      <c r="B1505" s="47" t="s">
        <v>317</v>
      </c>
      <c r="C1505" s="47">
        <v>331.0</v>
      </c>
      <c r="D1505" s="47">
        <v>310.0</v>
      </c>
      <c r="E1505" s="47">
        <v>23900.0</v>
      </c>
      <c r="F1505" s="47" t="s">
        <v>11</v>
      </c>
    </row>
    <row r="1506" ht="15.75" customHeight="1">
      <c r="A1506" s="46" t="s">
        <v>3250</v>
      </c>
      <c r="B1506" s="47" t="s">
        <v>3251</v>
      </c>
      <c r="C1506" s="47">
        <v>788.0</v>
      </c>
      <c r="D1506" s="47">
        <v>813.0</v>
      </c>
      <c r="E1506" s="47">
        <v>29520.0</v>
      </c>
      <c r="F1506" s="47" t="s">
        <v>11</v>
      </c>
    </row>
    <row r="1507" ht="15.75" customHeight="1">
      <c r="A1507" s="46" t="s">
        <v>3252</v>
      </c>
      <c r="B1507" s="47" t="s">
        <v>3253</v>
      </c>
      <c r="C1507" s="47">
        <v>1004.0</v>
      </c>
      <c r="D1507" s="47">
        <v>912.0</v>
      </c>
      <c r="E1507" s="47">
        <v>27230.0</v>
      </c>
      <c r="F1507" s="47" t="s">
        <v>11</v>
      </c>
    </row>
    <row r="1508" ht="15.75" customHeight="1">
      <c r="A1508" s="46" t="s">
        <v>3254</v>
      </c>
      <c r="B1508" s="47" t="s">
        <v>3255</v>
      </c>
      <c r="C1508" s="47">
        <v>1633.0</v>
      </c>
      <c r="D1508" s="47">
        <v>1564.0</v>
      </c>
      <c r="E1508" s="47">
        <v>25410.0</v>
      </c>
      <c r="F1508" s="47" t="s">
        <v>11</v>
      </c>
    </row>
    <row r="1509" ht="15.75" customHeight="1">
      <c r="A1509" s="46" t="s">
        <v>3256</v>
      </c>
      <c r="B1509" s="47" t="s">
        <v>3257</v>
      </c>
      <c r="C1509" s="47">
        <v>218.0</v>
      </c>
      <c r="D1509" s="47">
        <v>214.0</v>
      </c>
      <c r="E1509" s="47">
        <v>32620.0</v>
      </c>
      <c r="F1509" s="47" t="s">
        <v>11</v>
      </c>
    </row>
    <row r="1510" ht="15.75" customHeight="1">
      <c r="A1510" s="46" t="s">
        <v>3258</v>
      </c>
      <c r="B1510" s="47" t="s">
        <v>3259</v>
      </c>
      <c r="C1510" s="47">
        <v>1060.0</v>
      </c>
      <c r="D1510" s="47">
        <v>996.0</v>
      </c>
      <c r="E1510" s="47">
        <v>27850.0</v>
      </c>
      <c r="F1510" s="47" t="s">
        <v>11</v>
      </c>
    </row>
    <row r="1511" ht="15.75" customHeight="1">
      <c r="A1511" s="46" t="s">
        <v>3260</v>
      </c>
      <c r="B1511" s="47" t="s">
        <v>3261</v>
      </c>
      <c r="C1511" s="47">
        <v>3078.0</v>
      </c>
      <c r="D1511" s="47">
        <v>3111.0</v>
      </c>
      <c r="E1511" s="47">
        <v>24630.0</v>
      </c>
      <c r="F1511" s="47">
        <v>14.0</v>
      </c>
    </row>
    <row r="1512" ht="15.75" customHeight="1">
      <c r="A1512" s="46" t="s">
        <v>3262</v>
      </c>
      <c r="B1512" s="47" t="s">
        <v>3263</v>
      </c>
      <c r="C1512" s="47">
        <v>1161.0</v>
      </c>
      <c r="D1512" s="47">
        <v>1100.0</v>
      </c>
      <c r="E1512" s="47">
        <v>29360.0</v>
      </c>
      <c r="F1512" s="47" t="s">
        <v>11</v>
      </c>
    </row>
    <row r="1513" ht="15.75" customHeight="1">
      <c r="A1513" s="46" t="s">
        <v>3264</v>
      </c>
      <c r="B1513" s="47" t="s">
        <v>3265</v>
      </c>
      <c r="C1513" s="47">
        <v>442.0</v>
      </c>
      <c r="D1513" s="47">
        <v>495.0</v>
      </c>
      <c r="E1513" s="47">
        <v>28940.0</v>
      </c>
      <c r="F1513" s="47" t="s">
        <v>11</v>
      </c>
    </row>
    <row r="1514" ht="15.75" customHeight="1">
      <c r="A1514" s="46" t="s">
        <v>3266</v>
      </c>
      <c r="B1514" s="47" t="s">
        <v>3267</v>
      </c>
      <c r="C1514" s="47">
        <v>175.0</v>
      </c>
      <c r="D1514" s="47">
        <v>160.0</v>
      </c>
      <c r="E1514" s="47">
        <v>28130.0</v>
      </c>
      <c r="F1514" s="47" t="s">
        <v>11</v>
      </c>
    </row>
    <row r="1515" ht="15.75" customHeight="1">
      <c r="A1515" s="46" t="s">
        <v>3268</v>
      </c>
      <c r="B1515" s="47" t="s">
        <v>3269</v>
      </c>
      <c r="C1515" s="47">
        <v>317.0</v>
      </c>
      <c r="D1515" s="47">
        <v>308.0</v>
      </c>
      <c r="E1515" s="47">
        <v>27600.0</v>
      </c>
      <c r="F1515" s="47" t="s">
        <v>11</v>
      </c>
    </row>
    <row r="1516" ht="15.75" customHeight="1">
      <c r="A1516" s="46" t="s">
        <v>3270</v>
      </c>
      <c r="B1516" s="47" t="s">
        <v>3271</v>
      </c>
      <c r="C1516" s="47">
        <v>602.0</v>
      </c>
      <c r="D1516" s="47">
        <v>592.0</v>
      </c>
      <c r="E1516" s="47">
        <v>26430.0</v>
      </c>
      <c r="F1516" s="47" t="s">
        <v>11</v>
      </c>
    </row>
    <row r="1517" ht="15.75" customHeight="1">
      <c r="A1517" s="46" t="s">
        <v>3272</v>
      </c>
      <c r="B1517" s="47" t="s">
        <v>3273</v>
      </c>
      <c r="C1517" s="47">
        <v>1190.0</v>
      </c>
      <c r="D1517" s="47">
        <v>1189.0</v>
      </c>
      <c r="E1517" s="47">
        <v>31100.0</v>
      </c>
      <c r="F1517" s="47" t="s">
        <v>11</v>
      </c>
    </row>
    <row r="1518" ht="15.75" customHeight="1">
      <c r="A1518" s="46" t="s">
        <v>3274</v>
      </c>
      <c r="B1518" s="47" t="s">
        <v>3275</v>
      </c>
      <c r="C1518" s="47">
        <v>146.0</v>
      </c>
      <c r="D1518" s="47">
        <v>143.0</v>
      </c>
      <c r="E1518" s="47">
        <v>22080.0</v>
      </c>
      <c r="F1518" s="47" t="s">
        <v>11</v>
      </c>
    </row>
    <row r="1519" ht="15.75" customHeight="1">
      <c r="A1519" s="46" t="s">
        <v>3276</v>
      </c>
      <c r="B1519" s="47" t="s">
        <v>3277</v>
      </c>
      <c r="C1519" s="47">
        <v>533.0</v>
      </c>
      <c r="D1519" s="47">
        <v>498.0</v>
      </c>
      <c r="E1519" s="47">
        <v>23940.0</v>
      </c>
      <c r="F1519" s="47" t="s">
        <v>11</v>
      </c>
    </row>
    <row r="1520" ht="15.75" customHeight="1">
      <c r="A1520" s="46" t="s">
        <v>3278</v>
      </c>
      <c r="B1520" s="47" t="s">
        <v>3279</v>
      </c>
      <c r="C1520" s="47">
        <v>349.0</v>
      </c>
      <c r="D1520" s="47">
        <v>356.0</v>
      </c>
      <c r="E1520" s="47">
        <v>27030.0</v>
      </c>
      <c r="F1520" s="47" t="s">
        <v>11</v>
      </c>
    </row>
    <row r="1521" ht="15.75" customHeight="1">
      <c r="A1521" s="46" t="s">
        <v>3280</v>
      </c>
      <c r="B1521" s="47" t="s">
        <v>3281</v>
      </c>
      <c r="C1521" s="47">
        <v>93.0</v>
      </c>
      <c r="D1521" s="47">
        <v>125.0</v>
      </c>
      <c r="E1521" s="47">
        <v>26280.0</v>
      </c>
      <c r="F1521" s="47" t="s">
        <v>11</v>
      </c>
    </row>
    <row r="1522" ht="15.75" customHeight="1">
      <c r="A1522" s="46" t="s">
        <v>3282</v>
      </c>
      <c r="B1522" s="47" t="s">
        <v>3283</v>
      </c>
      <c r="C1522" s="47">
        <v>999.0</v>
      </c>
      <c r="D1522" s="47">
        <v>942.0</v>
      </c>
      <c r="E1522" s="47">
        <v>29360.0</v>
      </c>
      <c r="F1522" s="47" t="s">
        <v>11</v>
      </c>
    </row>
    <row r="1523" ht="15.75" customHeight="1">
      <c r="A1523" s="46" t="s">
        <v>3284</v>
      </c>
      <c r="B1523" s="47" t="s">
        <v>3285</v>
      </c>
      <c r="C1523" s="47">
        <v>474.0</v>
      </c>
      <c r="D1523" s="47">
        <v>467.0</v>
      </c>
      <c r="E1523" s="47">
        <v>29330.0</v>
      </c>
      <c r="F1523" s="47" t="s">
        <v>11</v>
      </c>
    </row>
    <row r="1524" ht="15.75" customHeight="1">
      <c r="A1524" s="46" t="s">
        <v>3286</v>
      </c>
      <c r="B1524" s="47" t="s">
        <v>3287</v>
      </c>
      <c r="C1524" s="47">
        <v>805.0</v>
      </c>
      <c r="D1524" s="47">
        <v>787.0</v>
      </c>
      <c r="E1524" s="47">
        <v>26320.0</v>
      </c>
      <c r="F1524" s="47" t="s">
        <v>11</v>
      </c>
    </row>
    <row r="1525" ht="15.75" customHeight="1">
      <c r="A1525" s="46" t="s">
        <v>3288</v>
      </c>
      <c r="B1525" s="47" t="s">
        <v>3289</v>
      </c>
      <c r="C1525" s="47">
        <v>1025.0</v>
      </c>
      <c r="D1525" s="47">
        <v>986.0</v>
      </c>
      <c r="E1525" s="47">
        <v>28300.0</v>
      </c>
      <c r="F1525" s="47" t="s">
        <v>11</v>
      </c>
    </row>
    <row r="1526" ht="15.75" customHeight="1">
      <c r="A1526" s="46" t="s">
        <v>3290</v>
      </c>
      <c r="B1526" s="47" t="s">
        <v>3291</v>
      </c>
      <c r="C1526" s="47">
        <v>169.0</v>
      </c>
      <c r="D1526" s="47">
        <v>201.0</v>
      </c>
      <c r="E1526" s="47">
        <v>28600.0</v>
      </c>
      <c r="F1526" s="47" t="s">
        <v>11</v>
      </c>
    </row>
    <row r="1527" ht="15.75" customHeight="1">
      <c r="A1527" s="46" t="s">
        <v>3292</v>
      </c>
      <c r="B1527" s="47" t="s">
        <v>3293</v>
      </c>
      <c r="C1527" s="47">
        <v>204.0</v>
      </c>
      <c r="D1527" s="47">
        <v>189.0</v>
      </c>
      <c r="E1527" s="47">
        <v>28090.0</v>
      </c>
      <c r="F1527" s="47" t="s">
        <v>11</v>
      </c>
    </row>
    <row r="1528" ht="15.75" customHeight="1">
      <c r="A1528" s="46" t="s">
        <v>3294</v>
      </c>
      <c r="B1528" s="47" t="s">
        <v>3295</v>
      </c>
      <c r="C1528" s="47">
        <v>2165.0</v>
      </c>
      <c r="D1528" s="47">
        <v>2135.0</v>
      </c>
      <c r="E1528" s="47">
        <v>29290.0</v>
      </c>
      <c r="F1528" s="47" t="s">
        <v>11</v>
      </c>
    </row>
    <row r="1529" ht="15.75" customHeight="1">
      <c r="A1529" s="46" t="s">
        <v>3296</v>
      </c>
      <c r="B1529" s="47" t="s">
        <v>3297</v>
      </c>
      <c r="C1529" s="47">
        <v>334.0</v>
      </c>
      <c r="D1529" s="47">
        <v>367.0</v>
      </c>
      <c r="E1529" s="47">
        <v>39980.0</v>
      </c>
      <c r="F1529" s="47" t="s">
        <v>11</v>
      </c>
    </row>
    <row r="1530" ht="15.75" customHeight="1">
      <c r="A1530" s="46" t="s">
        <v>3298</v>
      </c>
      <c r="B1530" s="47" t="s">
        <v>3299</v>
      </c>
      <c r="C1530" s="47">
        <v>4817.0</v>
      </c>
      <c r="D1530" s="47">
        <v>4832.0</v>
      </c>
      <c r="E1530" s="47">
        <v>27960.0</v>
      </c>
      <c r="F1530" s="47">
        <v>7.0</v>
      </c>
    </row>
    <row r="1531" ht="15.75" customHeight="1">
      <c r="A1531" s="46" t="s">
        <v>3300</v>
      </c>
      <c r="B1531" s="47" t="s">
        <v>3301</v>
      </c>
      <c r="C1531" s="47">
        <v>412.0</v>
      </c>
      <c r="D1531" s="47">
        <v>382.0</v>
      </c>
      <c r="E1531" s="47">
        <v>30690.0</v>
      </c>
      <c r="F1531" s="47" t="s">
        <v>11</v>
      </c>
    </row>
    <row r="1532" ht="15.75" customHeight="1">
      <c r="A1532" s="46" t="s">
        <v>3302</v>
      </c>
      <c r="B1532" s="47" t="s">
        <v>3303</v>
      </c>
      <c r="C1532" s="47">
        <v>387.0</v>
      </c>
      <c r="D1532" s="47">
        <v>423.0</v>
      </c>
      <c r="E1532" s="47">
        <v>29470.0</v>
      </c>
      <c r="F1532" s="47" t="s">
        <v>11</v>
      </c>
    </row>
    <row r="1533" ht="15.75" customHeight="1">
      <c r="A1533" s="46" t="s">
        <v>3304</v>
      </c>
      <c r="B1533" s="47" t="s">
        <v>3305</v>
      </c>
      <c r="C1533" s="47">
        <v>382.0</v>
      </c>
      <c r="D1533" s="47">
        <v>429.0</v>
      </c>
      <c r="E1533" s="47">
        <v>32220.0</v>
      </c>
      <c r="F1533" s="47" t="s">
        <v>11</v>
      </c>
    </row>
    <row r="1534" ht="15.75" customHeight="1">
      <c r="A1534" s="46" t="s">
        <v>3306</v>
      </c>
      <c r="B1534" s="47" t="s">
        <v>3307</v>
      </c>
      <c r="C1534" s="47">
        <v>223.0</v>
      </c>
      <c r="D1534" s="47">
        <v>194.0</v>
      </c>
      <c r="E1534" s="47">
        <v>28470.0</v>
      </c>
      <c r="F1534" s="47" t="s">
        <v>11</v>
      </c>
    </row>
    <row r="1535" ht="15.75" customHeight="1">
      <c r="A1535" s="46" t="s">
        <v>3308</v>
      </c>
      <c r="B1535" s="47" t="s">
        <v>3309</v>
      </c>
      <c r="C1535" s="47">
        <v>471.0</v>
      </c>
      <c r="D1535" s="47">
        <v>472.0</v>
      </c>
      <c r="E1535" s="47">
        <v>26000.0</v>
      </c>
      <c r="F1535" s="47" t="s">
        <v>11</v>
      </c>
    </row>
    <row r="1536" ht="15.75" customHeight="1">
      <c r="A1536" s="46" t="s">
        <v>3310</v>
      </c>
      <c r="B1536" s="47" t="s">
        <v>3311</v>
      </c>
      <c r="C1536" s="47">
        <v>300.0</v>
      </c>
      <c r="D1536" s="47">
        <v>303.0</v>
      </c>
      <c r="E1536" s="47">
        <v>31140.0</v>
      </c>
      <c r="F1536" s="47" t="s">
        <v>11</v>
      </c>
    </row>
    <row r="1537" ht="15.75" customHeight="1">
      <c r="A1537" s="46" t="s">
        <v>3312</v>
      </c>
      <c r="B1537" s="47" t="s">
        <v>3313</v>
      </c>
      <c r="C1537" s="47">
        <v>341.0</v>
      </c>
      <c r="D1537" s="47">
        <v>343.0</v>
      </c>
      <c r="E1537" s="47">
        <v>29740.0</v>
      </c>
      <c r="F1537" s="47" t="s">
        <v>11</v>
      </c>
    </row>
    <row r="1538" ht="15.75" customHeight="1">
      <c r="A1538" s="46" t="s">
        <v>3314</v>
      </c>
      <c r="B1538" s="47" t="s">
        <v>3315</v>
      </c>
      <c r="C1538" s="47">
        <v>220.0</v>
      </c>
      <c r="D1538" s="47">
        <v>213.0</v>
      </c>
      <c r="E1538" s="47">
        <v>30880.0</v>
      </c>
      <c r="F1538" s="47" t="s">
        <v>11</v>
      </c>
    </row>
    <row r="1539" ht="15.75" customHeight="1">
      <c r="A1539" s="46" t="s">
        <v>3316</v>
      </c>
      <c r="B1539" s="47" t="s">
        <v>3317</v>
      </c>
      <c r="C1539" s="47">
        <v>160.0</v>
      </c>
      <c r="D1539" s="47">
        <v>170.0</v>
      </c>
      <c r="E1539" s="47">
        <v>27810.0</v>
      </c>
      <c r="F1539" s="47" t="s">
        <v>11</v>
      </c>
    </row>
    <row r="1540" ht="15.75" customHeight="1">
      <c r="A1540" s="46" t="s">
        <v>3318</v>
      </c>
      <c r="B1540" s="47" t="s">
        <v>3319</v>
      </c>
      <c r="C1540" s="47">
        <v>169.0</v>
      </c>
      <c r="D1540" s="47">
        <v>174.0</v>
      </c>
      <c r="E1540" s="47">
        <v>28720.0</v>
      </c>
      <c r="F1540" s="47" t="s">
        <v>11</v>
      </c>
    </row>
    <row r="1541" ht="15.75" customHeight="1">
      <c r="A1541" s="46" t="s">
        <v>3320</v>
      </c>
      <c r="B1541" s="47" t="s">
        <v>3321</v>
      </c>
      <c r="C1541" s="47">
        <v>107.0</v>
      </c>
      <c r="D1541" s="47">
        <v>110.0</v>
      </c>
      <c r="E1541" s="47">
        <v>31220.0</v>
      </c>
      <c r="F1541" s="47" t="s">
        <v>11</v>
      </c>
    </row>
    <row r="1542" ht="15.75" customHeight="1">
      <c r="A1542" s="46" t="s">
        <v>3322</v>
      </c>
      <c r="B1542" s="47" t="s">
        <v>3323</v>
      </c>
      <c r="C1542" s="47">
        <v>636.0</v>
      </c>
      <c r="D1542" s="47">
        <v>627.0</v>
      </c>
      <c r="E1542" s="47">
        <v>27910.0</v>
      </c>
      <c r="F1542" s="47" t="s">
        <v>11</v>
      </c>
    </row>
    <row r="1543" ht="15.75" customHeight="1">
      <c r="A1543" s="46" t="s">
        <v>3324</v>
      </c>
      <c r="B1543" s="47" t="s">
        <v>3325</v>
      </c>
      <c r="C1543" s="47">
        <v>2016.0</v>
      </c>
      <c r="D1543" s="47">
        <v>2105.0</v>
      </c>
      <c r="E1543" s="47">
        <v>27190.0</v>
      </c>
      <c r="F1543" s="47">
        <v>8.0</v>
      </c>
    </row>
    <row r="1544" ht="15.75" customHeight="1">
      <c r="A1544" s="46" t="s">
        <v>3326</v>
      </c>
      <c r="B1544" s="47" t="s">
        <v>3327</v>
      </c>
      <c r="C1544" s="47">
        <v>4147.0</v>
      </c>
      <c r="D1544" s="47">
        <v>4029.0</v>
      </c>
      <c r="E1544" s="47">
        <v>25000.0</v>
      </c>
      <c r="F1544" s="47">
        <v>13.0</v>
      </c>
    </row>
    <row r="1545" ht="15.75" customHeight="1">
      <c r="A1545" s="46" t="s">
        <v>3328</v>
      </c>
      <c r="B1545" s="47" t="s">
        <v>3329</v>
      </c>
      <c r="C1545" s="47">
        <v>4340.0</v>
      </c>
      <c r="D1545" s="47">
        <v>4222.0</v>
      </c>
      <c r="E1545" s="47">
        <v>21230.0</v>
      </c>
      <c r="F1545" s="47">
        <v>24.0</v>
      </c>
    </row>
    <row r="1546" ht="15.75" customHeight="1">
      <c r="A1546" s="46" t="s">
        <v>3330</v>
      </c>
      <c r="B1546" s="47" t="s">
        <v>3331</v>
      </c>
      <c r="C1546" s="47">
        <v>410.0</v>
      </c>
      <c r="D1546" s="47">
        <v>435.0</v>
      </c>
      <c r="E1546" s="47">
        <v>23070.0</v>
      </c>
      <c r="F1546" s="47" t="s">
        <v>11</v>
      </c>
    </row>
    <row r="1547" ht="15.75" customHeight="1">
      <c r="A1547" s="46" t="s">
        <v>3332</v>
      </c>
      <c r="B1547" s="47" t="s">
        <v>3333</v>
      </c>
      <c r="C1547" s="47">
        <v>2648.0</v>
      </c>
      <c r="D1547" s="47">
        <v>2467.0</v>
      </c>
      <c r="E1547" s="47">
        <v>28220.0</v>
      </c>
      <c r="F1547" s="47">
        <v>6.0</v>
      </c>
    </row>
    <row r="1548" ht="15.75" customHeight="1">
      <c r="A1548" s="46" t="s">
        <v>3334</v>
      </c>
      <c r="B1548" s="47" t="s">
        <v>3335</v>
      </c>
      <c r="C1548" s="47">
        <v>3087.0</v>
      </c>
      <c r="D1548" s="47">
        <v>3183.0</v>
      </c>
      <c r="E1548" s="47">
        <v>29280.0</v>
      </c>
      <c r="F1548" s="47">
        <v>6.0</v>
      </c>
    </row>
    <row r="1549" ht="15.75" customHeight="1">
      <c r="A1549" s="46" t="s">
        <v>3336</v>
      </c>
      <c r="B1549" s="47" t="s">
        <v>3337</v>
      </c>
      <c r="C1549" s="47">
        <v>283.0</v>
      </c>
      <c r="D1549" s="47">
        <v>302.0</v>
      </c>
      <c r="E1549" s="47">
        <v>25450.0</v>
      </c>
      <c r="F1549" s="47" t="s">
        <v>11</v>
      </c>
    </row>
    <row r="1550" ht="15.75" customHeight="1">
      <c r="A1550" s="46" t="s">
        <v>3338</v>
      </c>
      <c r="B1550" s="47" t="s">
        <v>3339</v>
      </c>
      <c r="C1550" s="47">
        <v>256.0</v>
      </c>
      <c r="D1550" s="47">
        <v>244.0</v>
      </c>
      <c r="E1550" s="47">
        <v>25830.0</v>
      </c>
      <c r="F1550" s="47" t="s">
        <v>11</v>
      </c>
    </row>
    <row r="1551" ht="15.75" customHeight="1">
      <c r="A1551" s="46" t="s">
        <v>3340</v>
      </c>
      <c r="B1551" s="47" t="s">
        <v>3341</v>
      </c>
      <c r="C1551" s="47">
        <v>242.0</v>
      </c>
      <c r="D1551" s="47">
        <v>231.0</v>
      </c>
      <c r="E1551" s="47">
        <v>24290.0</v>
      </c>
      <c r="F1551" s="47" t="s">
        <v>11</v>
      </c>
    </row>
    <row r="1552" ht="15.75" customHeight="1">
      <c r="A1552" s="46" t="s">
        <v>3342</v>
      </c>
      <c r="B1552" s="47" t="s">
        <v>3343</v>
      </c>
      <c r="C1552" s="47">
        <v>172.0</v>
      </c>
      <c r="D1552" s="47">
        <v>150.0</v>
      </c>
      <c r="E1552" s="47">
        <v>24440.0</v>
      </c>
      <c r="F1552" s="47" t="s">
        <v>11</v>
      </c>
    </row>
    <row r="1553" ht="15.75" customHeight="1">
      <c r="A1553" s="46" t="s">
        <v>3344</v>
      </c>
      <c r="B1553" s="47" t="s">
        <v>3345</v>
      </c>
      <c r="C1553" s="47">
        <v>344.0</v>
      </c>
      <c r="D1553" s="47">
        <v>335.0</v>
      </c>
      <c r="E1553" s="47">
        <v>24150.0</v>
      </c>
      <c r="F1553" s="47" t="s">
        <v>11</v>
      </c>
    </row>
    <row r="1554" ht="15.75" customHeight="1">
      <c r="A1554" s="46" t="s">
        <v>3346</v>
      </c>
      <c r="B1554" s="47" t="s">
        <v>3347</v>
      </c>
      <c r="C1554" s="47">
        <v>188.0</v>
      </c>
      <c r="D1554" s="47">
        <v>209.0</v>
      </c>
      <c r="E1554" s="47">
        <v>28940.0</v>
      </c>
      <c r="F1554" s="47" t="s">
        <v>11</v>
      </c>
    </row>
    <row r="1555" ht="15.75" customHeight="1">
      <c r="A1555" s="46" t="s">
        <v>3348</v>
      </c>
      <c r="B1555" s="47" t="s">
        <v>3349</v>
      </c>
      <c r="C1555" s="47">
        <v>145.0</v>
      </c>
      <c r="D1555" s="47">
        <v>143.0</v>
      </c>
      <c r="E1555" s="47">
        <v>27040.0</v>
      </c>
      <c r="F1555" s="47" t="s">
        <v>11</v>
      </c>
    </row>
    <row r="1556" ht="15.75" customHeight="1">
      <c r="A1556" s="46" t="s">
        <v>3350</v>
      </c>
      <c r="B1556" s="47" t="s">
        <v>3351</v>
      </c>
      <c r="C1556" s="47">
        <v>894.0</v>
      </c>
      <c r="D1556" s="47">
        <v>830.0</v>
      </c>
      <c r="E1556" s="47">
        <v>26390.0</v>
      </c>
      <c r="F1556" s="47" t="s">
        <v>11</v>
      </c>
    </row>
    <row r="1557" ht="15.75" customHeight="1">
      <c r="A1557" s="46" t="s">
        <v>3352</v>
      </c>
      <c r="B1557" s="47" t="s">
        <v>3353</v>
      </c>
      <c r="C1557" s="47">
        <v>2971.0</v>
      </c>
      <c r="D1557" s="47">
        <v>2838.0</v>
      </c>
      <c r="E1557" s="47">
        <v>26630.0</v>
      </c>
      <c r="F1557" s="47">
        <v>10.0</v>
      </c>
    </row>
    <row r="1558" ht="15.75" customHeight="1">
      <c r="A1558" s="46" t="s">
        <v>3354</v>
      </c>
      <c r="B1558" s="47" t="s">
        <v>3355</v>
      </c>
      <c r="C1558" s="47">
        <v>323.0</v>
      </c>
      <c r="D1558" s="47">
        <v>305.0</v>
      </c>
      <c r="E1558" s="47">
        <v>26280.0</v>
      </c>
      <c r="F1558" s="47" t="s">
        <v>11</v>
      </c>
    </row>
    <row r="1559" ht="15.75" customHeight="1">
      <c r="A1559" s="46" t="s">
        <v>3356</v>
      </c>
      <c r="B1559" s="47" t="s">
        <v>3357</v>
      </c>
      <c r="C1559" s="47">
        <v>511.0</v>
      </c>
      <c r="D1559" s="47">
        <v>518.0</v>
      </c>
      <c r="E1559" s="47">
        <v>26390.0</v>
      </c>
      <c r="F1559" s="47" t="s">
        <v>11</v>
      </c>
    </row>
    <row r="1560" ht="15.75" customHeight="1">
      <c r="A1560" s="46" t="s">
        <v>3358</v>
      </c>
      <c r="B1560" s="47" t="s">
        <v>3359</v>
      </c>
      <c r="C1560" s="47">
        <v>1949.0</v>
      </c>
      <c r="D1560" s="47">
        <v>1831.0</v>
      </c>
      <c r="E1560" s="47">
        <v>25750.0</v>
      </c>
      <c r="F1560" s="47" t="s">
        <v>11</v>
      </c>
    </row>
    <row r="1561" ht="15.75" customHeight="1">
      <c r="A1561" s="46" t="s">
        <v>3360</v>
      </c>
      <c r="B1561" s="47" t="s">
        <v>3361</v>
      </c>
      <c r="C1561" s="47">
        <v>1145.0</v>
      </c>
      <c r="D1561" s="47">
        <v>1146.0</v>
      </c>
      <c r="E1561" s="47">
        <v>30500.0</v>
      </c>
      <c r="F1561" s="47" t="s">
        <v>11</v>
      </c>
    </row>
    <row r="1562" ht="15.75" customHeight="1">
      <c r="A1562" s="46" t="s">
        <v>3362</v>
      </c>
      <c r="B1562" s="47" t="s">
        <v>3363</v>
      </c>
      <c r="C1562" s="47">
        <v>161.0</v>
      </c>
      <c r="D1562" s="47">
        <v>160.0</v>
      </c>
      <c r="E1562" s="47">
        <v>24220.0</v>
      </c>
      <c r="F1562" s="47" t="s">
        <v>11</v>
      </c>
    </row>
    <row r="1563" ht="15.75" customHeight="1">
      <c r="A1563" s="46" t="s">
        <v>3364</v>
      </c>
      <c r="B1563" s="47" t="s">
        <v>3365</v>
      </c>
      <c r="C1563" s="47">
        <v>503.0</v>
      </c>
      <c r="D1563" s="47">
        <v>483.0</v>
      </c>
      <c r="E1563" s="47">
        <v>23930.0</v>
      </c>
      <c r="F1563" s="47" t="s">
        <v>11</v>
      </c>
    </row>
    <row r="1564" ht="15.75" customHeight="1">
      <c r="A1564" s="46" t="s">
        <v>3366</v>
      </c>
      <c r="B1564" s="47" t="s">
        <v>3367</v>
      </c>
      <c r="C1564" s="47">
        <v>490.0</v>
      </c>
      <c r="D1564" s="47">
        <v>469.0</v>
      </c>
      <c r="E1564" s="47">
        <v>26300.0</v>
      </c>
      <c r="F1564" s="47" t="s">
        <v>11</v>
      </c>
    </row>
    <row r="1565" ht="15.75" customHeight="1">
      <c r="A1565" s="46" t="s">
        <v>3368</v>
      </c>
      <c r="B1565" s="47" t="s">
        <v>3369</v>
      </c>
      <c r="C1565" s="47">
        <v>297.0</v>
      </c>
      <c r="D1565" s="47">
        <v>321.0</v>
      </c>
      <c r="E1565" s="47">
        <v>26800.0</v>
      </c>
      <c r="F1565" s="47" t="s">
        <v>11</v>
      </c>
    </row>
    <row r="1566" ht="15.75" customHeight="1">
      <c r="A1566" s="46" t="s">
        <v>3370</v>
      </c>
      <c r="B1566" s="47" t="s">
        <v>3371</v>
      </c>
      <c r="C1566" s="47">
        <v>782.0</v>
      </c>
      <c r="D1566" s="47">
        <v>741.0</v>
      </c>
      <c r="E1566" s="47">
        <v>29360.0</v>
      </c>
      <c r="F1566" s="47" t="s">
        <v>11</v>
      </c>
    </row>
    <row r="1567" ht="15.75" customHeight="1">
      <c r="A1567" s="46" t="s">
        <v>3372</v>
      </c>
      <c r="B1567" s="47" t="s">
        <v>3373</v>
      </c>
      <c r="C1567" s="47">
        <v>510.0</v>
      </c>
      <c r="D1567" s="47">
        <v>515.0</v>
      </c>
      <c r="E1567" s="47">
        <v>26780.0</v>
      </c>
      <c r="F1567" s="47" t="s">
        <v>11</v>
      </c>
    </row>
    <row r="1568" ht="15.75" customHeight="1">
      <c r="A1568" s="46" t="s">
        <v>3374</v>
      </c>
      <c r="B1568" s="47" t="s">
        <v>3375</v>
      </c>
      <c r="C1568" s="47">
        <v>392.0</v>
      </c>
      <c r="D1568" s="47">
        <v>415.0</v>
      </c>
      <c r="E1568" s="47">
        <v>26250.0</v>
      </c>
      <c r="F1568" s="47" t="s">
        <v>11</v>
      </c>
    </row>
    <row r="1569" ht="15.75" customHeight="1">
      <c r="A1569" s="46" t="s">
        <v>3376</v>
      </c>
      <c r="B1569" s="47" t="s">
        <v>3377</v>
      </c>
      <c r="C1569" s="47">
        <v>228.0</v>
      </c>
      <c r="D1569" s="47">
        <v>222.0</v>
      </c>
      <c r="E1569" s="47">
        <v>24340.0</v>
      </c>
      <c r="F1569" s="47" t="s">
        <v>11</v>
      </c>
    </row>
    <row r="1570" ht="15.75" customHeight="1">
      <c r="A1570" s="46" t="s">
        <v>3378</v>
      </c>
      <c r="B1570" s="47" t="s">
        <v>3379</v>
      </c>
      <c r="C1570" s="47">
        <v>1514.0</v>
      </c>
      <c r="D1570" s="47">
        <v>1393.0</v>
      </c>
      <c r="E1570" s="47">
        <v>26450.0</v>
      </c>
      <c r="F1570" s="47" t="s">
        <v>11</v>
      </c>
    </row>
    <row r="1571" ht="15.75" customHeight="1">
      <c r="A1571" s="46" t="s">
        <v>3380</v>
      </c>
      <c r="B1571" s="47" t="s">
        <v>3381</v>
      </c>
      <c r="C1571" s="47">
        <v>1041.0</v>
      </c>
      <c r="D1571" s="47">
        <v>1125.0</v>
      </c>
      <c r="E1571" s="47">
        <v>28640.0</v>
      </c>
      <c r="F1571" s="47" t="s">
        <v>11</v>
      </c>
    </row>
    <row r="1572" ht="15.75" customHeight="1">
      <c r="A1572" s="46" t="s">
        <v>3382</v>
      </c>
      <c r="B1572" s="47" t="s">
        <v>3383</v>
      </c>
      <c r="C1572" s="47">
        <v>109.0</v>
      </c>
      <c r="D1572" s="47">
        <v>100.0</v>
      </c>
      <c r="E1572" s="47">
        <v>28150.0</v>
      </c>
      <c r="F1572" s="47" t="s">
        <v>11</v>
      </c>
    </row>
    <row r="1573" ht="15.75" customHeight="1">
      <c r="A1573" s="46" t="s">
        <v>3384</v>
      </c>
      <c r="B1573" s="47" t="s">
        <v>3385</v>
      </c>
      <c r="C1573" s="47">
        <v>191.0</v>
      </c>
      <c r="D1573" s="47">
        <v>176.0</v>
      </c>
      <c r="E1573" s="47">
        <v>27450.0</v>
      </c>
      <c r="F1573" s="47" t="s">
        <v>11</v>
      </c>
    </row>
    <row r="1574" ht="15.75" customHeight="1">
      <c r="A1574" s="46" t="s">
        <v>3386</v>
      </c>
      <c r="B1574" s="47" t="s">
        <v>3387</v>
      </c>
      <c r="C1574" s="47">
        <v>536.0</v>
      </c>
      <c r="D1574" s="47">
        <v>542.0</v>
      </c>
      <c r="E1574" s="47">
        <v>25710.0</v>
      </c>
      <c r="F1574" s="47" t="s">
        <v>11</v>
      </c>
    </row>
    <row r="1575" ht="15.75" customHeight="1">
      <c r="A1575" s="46" t="s">
        <v>3388</v>
      </c>
      <c r="B1575" s="47" t="s">
        <v>3389</v>
      </c>
      <c r="C1575" s="47">
        <v>2540.0</v>
      </c>
      <c r="D1575" s="47">
        <v>2649.0</v>
      </c>
      <c r="E1575" s="47">
        <v>27300.0</v>
      </c>
      <c r="F1575" s="47">
        <v>9.0</v>
      </c>
    </row>
    <row r="1576" ht="15.75" customHeight="1">
      <c r="A1576" s="46" t="s">
        <v>3390</v>
      </c>
      <c r="B1576" s="47" t="s">
        <v>3391</v>
      </c>
      <c r="C1576" s="47">
        <v>1662.0</v>
      </c>
      <c r="D1576" s="47">
        <v>1669.0</v>
      </c>
      <c r="E1576" s="47">
        <v>29170.0</v>
      </c>
      <c r="F1576" s="47" t="s">
        <v>11</v>
      </c>
    </row>
    <row r="1577" ht="15.75" customHeight="1">
      <c r="A1577" s="46" t="s">
        <v>3392</v>
      </c>
      <c r="B1577" s="47" t="s">
        <v>3393</v>
      </c>
      <c r="C1577" s="47">
        <v>501.0</v>
      </c>
      <c r="D1577" s="47">
        <v>467.0</v>
      </c>
      <c r="E1577" s="47">
        <v>27400.0</v>
      </c>
      <c r="F1577" s="47" t="s">
        <v>11</v>
      </c>
    </row>
    <row r="1578" ht="15.75" customHeight="1">
      <c r="A1578" s="46" t="s">
        <v>3394</v>
      </c>
      <c r="B1578" s="47" t="s">
        <v>3395</v>
      </c>
      <c r="C1578" s="47">
        <v>297.0</v>
      </c>
      <c r="D1578" s="47">
        <v>288.0</v>
      </c>
      <c r="E1578" s="47">
        <v>26740.0</v>
      </c>
      <c r="F1578" s="47" t="s">
        <v>11</v>
      </c>
    </row>
    <row r="1579" ht="15.75" customHeight="1">
      <c r="A1579" s="46" t="s">
        <v>3396</v>
      </c>
      <c r="B1579" s="47" t="s">
        <v>3397</v>
      </c>
      <c r="C1579" s="47">
        <v>910.0</v>
      </c>
      <c r="D1579" s="47">
        <v>1043.0</v>
      </c>
      <c r="E1579" s="47">
        <v>36590.0</v>
      </c>
      <c r="F1579" s="47" t="s">
        <v>11</v>
      </c>
    </row>
    <row r="1580" ht="15.75" customHeight="1">
      <c r="A1580" s="46" t="s">
        <v>3398</v>
      </c>
      <c r="B1580" s="47" t="s">
        <v>3399</v>
      </c>
      <c r="C1580" s="47">
        <v>10174.0</v>
      </c>
      <c r="D1580" s="47">
        <v>9959.0</v>
      </c>
      <c r="E1580" s="47">
        <v>26560.0</v>
      </c>
      <c r="F1580" s="47">
        <v>12.0</v>
      </c>
    </row>
    <row r="1581" ht="15.75" customHeight="1">
      <c r="A1581" s="46" t="s">
        <v>3400</v>
      </c>
      <c r="B1581" s="47" t="s">
        <v>3401</v>
      </c>
      <c r="C1581" s="47">
        <v>315.0</v>
      </c>
      <c r="D1581" s="47">
        <v>300.0</v>
      </c>
      <c r="E1581" s="47">
        <v>28520.0</v>
      </c>
      <c r="F1581" s="47" t="s">
        <v>11</v>
      </c>
    </row>
    <row r="1582" ht="15.75" customHeight="1">
      <c r="A1582" s="46" t="s">
        <v>3402</v>
      </c>
      <c r="B1582" s="47" t="s">
        <v>3403</v>
      </c>
      <c r="C1582" s="47">
        <v>10863.0</v>
      </c>
      <c r="D1582" s="47">
        <v>10591.0</v>
      </c>
      <c r="E1582" s="47">
        <v>31380.0</v>
      </c>
      <c r="F1582" s="47">
        <v>11.0</v>
      </c>
    </row>
    <row r="1583" ht="15.75" customHeight="1">
      <c r="A1583" s="46" t="s">
        <v>3404</v>
      </c>
      <c r="B1583" s="47" t="s">
        <v>3405</v>
      </c>
      <c r="C1583" s="47">
        <v>3141.0</v>
      </c>
      <c r="D1583" s="47">
        <v>3084.0</v>
      </c>
      <c r="E1583" s="47">
        <v>31850.0</v>
      </c>
      <c r="F1583" s="47">
        <v>6.0</v>
      </c>
    </row>
    <row r="1584" ht="15.75" customHeight="1">
      <c r="A1584" s="46" t="s">
        <v>3406</v>
      </c>
      <c r="B1584" s="47" t="s">
        <v>3407</v>
      </c>
      <c r="C1584" s="47">
        <v>3269.0</v>
      </c>
      <c r="D1584" s="47">
        <v>3338.0</v>
      </c>
      <c r="E1584" s="47">
        <v>25740.0</v>
      </c>
      <c r="F1584" s="47">
        <v>10.0</v>
      </c>
    </row>
    <row r="1585" ht="15.75" customHeight="1">
      <c r="A1585" s="46" t="s">
        <v>3408</v>
      </c>
      <c r="B1585" s="47" t="s">
        <v>3409</v>
      </c>
      <c r="C1585" s="47">
        <v>172.0</v>
      </c>
      <c r="D1585" s="47">
        <v>159.0</v>
      </c>
      <c r="E1585" s="47">
        <v>32490.0</v>
      </c>
      <c r="F1585" s="47" t="s">
        <v>11</v>
      </c>
    </row>
    <row r="1586" ht="15.75" customHeight="1">
      <c r="A1586" s="46" t="s">
        <v>3410</v>
      </c>
      <c r="B1586" s="47" t="s">
        <v>3411</v>
      </c>
      <c r="C1586" s="47">
        <v>507.0</v>
      </c>
      <c r="D1586" s="47">
        <v>471.0</v>
      </c>
      <c r="E1586" s="47">
        <v>29900.0</v>
      </c>
      <c r="F1586" s="47" t="s">
        <v>11</v>
      </c>
    </row>
    <row r="1587" ht="15.75" customHeight="1">
      <c r="A1587" s="46" t="s">
        <v>3412</v>
      </c>
      <c r="B1587" s="47" t="s">
        <v>3413</v>
      </c>
      <c r="C1587" s="47">
        <v>431.0</v>
      </c>
      <c r="D1587" s="47">
        <v>442.0</v>
      </c>
      <c r="E1587" s="47">
        <v>23800.0</v>
      </c>
      <c r="F1587" s="47" t="s">
        <v>11</v>
      </c>
    </row>
    <row r="1588" ht="15.75" customHeight="1">
      <c r="A1588" s="46" t="s">
        <v>3414</v>
      </c>
      <c r="B1588" s="47" t="s">
        <v>3415</v>
      </c>
      <c r="C1588" s="47">
        <v>869.0</v>
      </c>
      <c r="D1588" s="47">
        <v>772.0</v>
      </c>
      <c r="E1588" s="47">
        <v>29480.0</v>
      </c>
      <c r="F1588" s="47" t="s">
        <v>11</v>
      </c>
    </row>
    <row r="1589" ht="15.75" customHeight="1">
      <c r="A1589" s="46" t="s">
        <v>3416</v>
      </c>
      <c r="B1589" s="47" t="s">
        <v>3417</v>
      </c>
      <c r="C1589" s="47">
        <v>425.0</v>
      </c>
      <c r="D1589" s="47">
        <v>399.0</v>
      </c>
      <c r="E1589" s="47">
        <v>29920.0</v>
      </c>
      <c r="F1589" s="47" t="s">
        <v>11</v>
      </c>
    </row>
    <row r="1590" ht="15.75" customHeight="1">
      <c r="A1590" s="46" t="s">
        <v>3418</v>
      </c>
      <c r="B1590" s="47" t="s">
        <v>3419</v>
      </c>
      <c r="C1590" s="47">
        <v>1993.0</v>
      </c>
      <c r="D1590" s="47">
        <v>2036.0</v>
      </c>
      <c r="E1590" s="47">
        <v>27730.0</v>
      </c>
      <c r="F1590" s="47">
        <v>7.0</v>
      </c>
    </row>
    <row r="1591" ht="15.75" customHeight="1">
      <c r="A1591" s="46" t="s">
        <v>3420</v>
      </c>
      <c r="B1591" s="47" t="s">
        <v>3421</v>
      </c>
      <c r="C1591" s="47">
        <v>1199.0</v>
      </c>
      <c r="D1591" s="47">
        <v>1093.0</v>
      </c>
      <c r="E1591" s="47">
        <v>25660.0</v>
      </c>
      <c r="F1591" s="47" t="s">
        <v>11</v>
      </c>
    </row>
    <row r="1592" ht="15.75" customHeight="1">
      <c r="A1592" s="46" t="s">
        <v>3422</v>
      </c>
      <c r="B1592" s="47" t="s">
        <v>3423</v>
      </c>
      <c r="C1592" s="47">
        <v>3291.0</v>
      </c>
      <c r="D1592" s="47">
        <v>3449.0</v>
      </c>
      <c r="E1592" s="47">
        <v>28600.0</v>
      </c>
      <c r="F1592" s="47">
        <v>8.0</v>
      </c>
    </row>
    <row r="1593" ht="15.75" customHeight="1">
      <c r="A1593" s="46" t="s">
        <v>3424</v>
      </c>
      <c r="B1593" s="47" t="s">
        <v>3425</v>
      </c>
      <c r="C1593" s="47">
        <v>236.0</v>
      </c>
      <c r="D1593" s="47">
        <v>252.0</v>
      </c>
      <c r="E1593" s="47">
        <v>28380.0</v>
      </c>
      <c r="F1593" s="47" t="s">
        <v>11</v>
      </c>
    </row>
    <row r="1594" ht="15.75" customHeight="1">
      <c r="A1594" s="46" t="s">
        <v>3426</v>
      </c>
      <c r="B1594" s="47" t="s">
        <v>3427</v>
      </c>
      <c r="C1594" s="47">
        <v>103.0</v>
      </c>
      <c r="D1594" s="47">
        <v>98.0</v>
      </c>
      <c r="E1594" s="47">
        <v>23990.0</v>
      </c>
      <c r="F1594" s="47" t="s">
        <v>11</v>
      </c>
    </row>
    <row r="1595" ht="15.75" customHeight="1">
      <c r="A1595" s="46" t="s">
        <v>3428</v>
      </c>
      <c r="B1595" s="47" t="s">
        <v>3429</v>
      </c>
      <c r="C1595" s="47">
        <v>1556.0</v>
      </c>
      <c r="D1595" s="47">
        <v>1630.0</v>
      </c>
      <c r="E1595" s="47">
        <v>30380.0</v>
      </c>
      <c r="F1595" s="47" t="s">
        <v>11</v>
      </c>
    </row>
    <row r="1596" ht="15.75" customHeight="1">
      <c r="A1596" s="46" t="s">
        <v>3430</v>
      </c>
      <c r="B1596" s="47" t="s">
        <v>3431</v>
      </c>
      <c r="C1596" s="47">
        <v>3977.0</v>
      </c>
      <c r="D1596" s="47">
        <v>3978.0</v>
      </c>
      <c r="E1596" s="47">
        <v>25970.0</v>
      </c>
      <c r="F1596" s="47">
        <v>12.0</v>
      </c>
    </row>
    <row r="1597" ht="15.75" customHeight="1">
      <c r="A1597" s="46" t="s">
        <v>3432</v>
      </c>
      <c r="B1597" s="47" t="s">
        <v>3433</v>
      </c>
      <c r="C1597" s="47">
        <v>2165.0</v>
      </c>
      <c r="D1597" s="47">
        <v>2208.0</v>
      </c>
      <c r="E1597" s="47">
        <v>28230.0</v>
      </c>
      <c r="F1597" s="47">
        <v>7.0</v>
      </c>
    </row>
    <row r="1598" ht="15.75" customHeight="1">
      <c r="A1598" s="46" t="s">
        <v>3434</v>
      </c>
      <c r="B1598" s="47" t="s">
        <v>3435</v>
      </c>
      <c r="C1598" s="47">
        <v>10147.0</v>
      </c>
      <c r="D1598" s="47">
        <v>10564.0</v>
      </c>
      <c r="E1598" s="47">
        <v>23800.0</v>
      </c>
      <c r="F1598" s="47">
        <v>19.0</v>
      </c>
    </row>
    <row r="1599" ht="15.75" customHeight="1">
      <c r="A1599" s="46" t="s">
        <v>3436</v>
      </c>
      <c r="B1599" s="47" t="s">
        <v>3437</v>
      </c>
      <c r="C1599" s="47">
        <v>251.0</v>
      </c>
      <c r="D1599" s="47">
        <v>249.0</v>
      </c>
      <c r="E1599" s="47">
        <v>26090.0</v>
      </c>
      <c r="F1599" s="47" t="s">
        <v>11</v>
      </c>
    </row>
    <row r="1600" ht="15.75" customHeight="1">
      <c r="A1600" s="46" t="s">
        <v>3438</v>
      </c>
      <c r="B1600" s="47" t="s">
        <v>3439</v>
      </c>
      <c r="C1600" s="47">
        <v>40199.0</v>
      </c>
      <c r="D1600" s="47">
        <v>40761.0</v>
      </c>
      <c r="E1600" s="47">
        <v>23310.0</v>
      </c>
      <c r="F1600" s="47">
        <v>24.4</v>
      </c>
    </row>
    <row r="1601" ht="15.75" customHeight="1">
      <c r="A1601" s="46" t="s">
        <v>3440</v>
      </c>
      <c r="B1601" s="47" t="s">
        <v>3441</v>
      </c>
      <c r="C1601" s="47">
        <v>705.0</v>
      </c>
      <c r="D1601" s="47">
        <v>734.0</v>
      </c>
      <c r="E1601" s="47">
        <v>26020.0</v>
      </c>
      <c r="F1601" s="47" t="s">
        <v>11</v>
      </c>
    </row>
    <row r="1602" ht="15.75" customHeight="1">
      <c r="A1602" s="46" t="s">
        <v>3442</v>
      </c>
      <c r="B1602" s="47" t="s">
        <v>3443</v>
      </c>
      <c r="C1602" s="47">
        <v>73.0</v>
      </c>
      <c r="D1602" s="47">
        <v>71.0</v>
      </c>
      <c r="E1602" s="47" t="s">
        <v>11</v>
      </c>
      <c r="F1602" s="47" t="s">
        <v>11</v>
      </c>
    </row>
    <row r="1603" ht="15.75" customHeight="1">
      <c r="A1603" s="46" t="s">
        <v>3444</v>
      </c>
      <c r="B1603" s="47" t="s">
        <v>3445</v>
      </c>
      <c r="C1603" s="47">
        <v>332.0</v>
      </c>
      <c r="D1603" s="47">
        <v>357.0</v>
      </c>
      <c r="E1603" s="47">
        <v>29440.0</v>
      </c>
      <c r="F1603" s="47" t="s">
        <v>11</v>
      </c>
    </row>
    <row r="1604" ht="15.75" customHeight="1">
      <c r="A1604" s="46" t="s">
        <v>3446</v>
      </c>
      <c r="B1604" s="47" t="s">
        <v>3447</v>
      </c>
      <c r="C1604" s="47">
        <v>421.0</v>
      </c>
      <c r="D1604" s="47">
        <v>392.0</v>
      </c>
      <c r="E1604" s="47">
        <v>26270.0</v>
      </c>
      <c r="F1604" s="47" t="s">
        <v>11</v>
      </c>
    </row>
    <row r="1605" ht="15.75" customHeight="1">
      <c r="A1605" s="46" t="s">
        <v>3448</v>
      </c>
      <c r="B1605" s="47" t="s">
        <v>3449</v>
      </c>
      <c r="C1605" s="47">
        <v>906.0</v>
      </c>
      <c r="D1605" s="47">
        <v>870.0</v>
      </c>
      <c r="E1605" s="47">
        <v>23230.0</v>
      </c>
      <c r="F1605" s="47" t="s">
        <v>11</v>
      </c>
    </row>
    <row r="1606" ht="15.75" customHeight="1">
      <c r="A1606" s="46" t="s">
        <v>3450</v>
      </c>
      <c r="B1606" s="47" t="s">
        <v>3451</v>
      </c>
      <c r="C1606" s="47">
        <v>544.0</v>
      </c>
      <c r="D1606" s="47">
        <v>554.0</v>
      </c>
      <c r="E1606" s="47">
        <v>28300.0</v>
      </c>
      <c r="F1606" s="47" t="s">
        <v>11</v>
      </c>
    </row>
    <row r="1607" ht="15.75" customHeight="1">
      <c r="A1607" s="46" t="s">
        <v>3452</v>
      </c>
      <c r="B1607" s="47" t="s">
        <v>3453</v>
      </c>
      <c r="C1607" s="47">
        <v>1062.0</v>
      </c>
      <c r="D1607" s="47">
        <v>1050.0</v>
      </c>
      <c r="E1607" s="47">
        <v>28870.0</v>
      </c>
      <c r="F1607" s="47" t="s">
        <v>11</v>
      </c>
    </row>
    <row r="1608" ht="15.75" customHeight="1">
      <c r="A1608" s="46" t="s">
        <v>3454</v>
      </c>
      <c r="B1608" s="47" t="s">
        <v>3455</v>
      </c>
      <c r="C1608" s="47">
        <v>541.0</v>
      </c>
      <c r="D1608" s="47">
        <v>592.0</v>
      </c>
      <c r="E1608" s="47">
        <v>24480.0</v>
      </c>
      <c r="F1608" s="47" t="s">
        <v>11</v>
      </c>
    </row>
    <row r="1609" ht="15.75" customHeight="1">
      <c r="A1609" s="46" t="s">
        <v>3456</v>
      </c>
      <c r="B1609" s="47" t="s">
        <v>3457</v>
      </c>
      <c r="C1609" s="47">
        <v>205.0</v>
      </c>
      <c r="D1609" s="47">
        <v>210.0</v>
      </c>
      <c r="E1609" s="47">
        <v>24620.0</v>
      </c>
      <c r="F1609" s="47" t="s">
        <v>11</v>
      </c>
    </row>
    <row r="1610" ht="15.75" customHeight="1">
      <c r="A1610" s="46" t="s">
        <v>3458</v>
      </c>
      <c r="B1610" s="47" t="s">
        <v>3459</v>
      </c>
      <c r="C1610" s="47">
        <v>821.0</v>
      </c>
      <c r="D1610" s="47">
        <v>809.0</v>
      </c>
      <c r="E1610" s="47">
        <v>27940.0</v>
      </c>
      <c r="F1610" s="47" t="s">
        <v>11</v>
      </c>
    </row>
    <row r="1611" ht="15.75" customHeight="1">
      <c r="A1611" s="46" t="s">
        <v>3460</v>
      </c>
      <c r="B1611" s="47" t="s">
        <v>3461</v>
      </c>
      <c r="C1611" s="47">
        <v>602.0</v>
      </c>
      <c r="D1611" s="47">
        <v>581.0</v>
      </c>
      <c r="E1611" s="47">
        <v>36890.0</v>
      </c>
      <c r="F1611" s="47" t="s">
        <v>11</v>
      </c>
    </row>
    <row r="1612" ht="15.75" customHeight="1">
      <c r="A1612" s="46" t="s">
        <v>3462</v>
      </c>
      <c r="B1612" s="47" t="s">
        <v>3463</v>
      </c>
      <c r="C1612" s="47">
        <v>181.0</v>
      </c>
      <c r="D1612" s="47">
        <v>171.0</v>
      </c>
      <c r="E1612" s="47">
        <v>27000.0</v>
      </c>
      <c r="F1612" s="47" t="s">
        <v>11</v>
      </c>
    </row>
    <row r="1613" ht="15.75" customHeight="1">
      <c r="A1613" s="46" t="s">
        <v>3464</v>
      </c>
      <c r="B1613" s="47" t="s">
        <v>3465</v>
      </c>
      <c r="C1613" s="47">
        <v>3931.0</v>
      </c>
      <c r="D1613" s="47">
        <v>3915.0</v>
      </c>
      <c r="E1613" s="47">
        <v>37040.0</v>
      </c>
      <c r="F1613" s="47">
        <v>6.0</v>
      </c>
    </row>
    <row r="1614" ht="15.75" customHeight="1">
      <c r="A1614" s="46" t="s">
        <v>3466</v>
      </c>
      <c r="B1614" s="47" t="s">
        <v>3467</v>
      </c>
      <c r="C1614" s="47">
        <v>809.0</v>
      </c>
      <c r="D1614" s="47">
        <v>803.0</v>
      </c>
      <c r="E1614" s="47">
        <v>27390.0</v>
      </c>
      <c r="F1614" s="47" t="s">
        <v>11</v>
      </c>
    </row>
    <row r="1615" ht="15.75" customHeight="1">
      <c r="A1615" s="46" t="s">
        <v>3468</v>
      </c>
      <c r="B1615" s="47" t="s">
        <v>3469</v>
      </c>
      <c r="C1615" s="47">
        <v>202.0</v>
      </c>
      <c r="D1615" s="47">
        <v>225.0</v>
      </c>
      <c r="E1615" s="47">
        <v>24950.0</v>
      </c>
      <c r="F1615" s="47" t="s">
        <v>11</v>
      </c>
    </row>
    <row r="1616" ht="15.75" customHeight="1">
      <c r="A1616" s="46" t="s">
        <v>3470</v>
      </c>
      <c r="B1616" s="47" t="s">
        <v>3471</v>
      </c>
      <c r="C1616" s="47">
        <v>35657.0</v>
      </c>
      <c r="D1616" s="47">
        <v>36301.0</v>
      </c>
      <c r="E1616" s="47">
        <v>16820.0</v>
      </c>
      <c r="F1616" s="47">
        <v>43.5</v>
      </c>
    </row>
    <row r="1617" ht="15.75" customHeight="1">
      <c r="A1617" s="46" t="s">
        <v>3472</v>
      </c>
      <c r="B1617" s="47" t="s">
        <v>3473</v>
      </c>
      <c r="C1617" s="47">
        <v>15090.0</v>
      </c>
      <c r="D1617" s="47">
        <v>14351.0</v>
      </c>
      <c r="E1617" s="47">
        <v>25750.0</v>
      </c>
      <c r="F1617" s="47">
        <v>13.0</v>
      </c>
    </row>
    <row r="1618" ht="15.75" customHeight="1">
      <c r="A1618" s="46" t="s">
        <v>3474</v>
      </c>
      <c r="B1618" s="47" t="s">
        <v>3475</v>
      </c>
      <c r="C1618" s="47">
        <v>448.0</v>
      </c>
      <c r="D1618" s="47">
        <v>435.0</v>
      </c>
      <c r="E1618" s="47">
        <v>28390.0</v>
      </c>
      <c r="F1618" s="47" t="s">
        <v>11</v>
      </c>
    </row>
    <row r="1619" ht="15.75" customHeight="1">
      <c r="A1619" s="46" t="s">
        <v>3476</v>
      </c>
      <c r="B1619" s="47" t="s">
        <v>3477</v>
      </c>
      <c r="C1619" s="47">
        <v>3535.0</v>
      </c>
      <c r="D1619" s="47">
        <v>3462.0</v>
      </c>
      <c r="E1619" s="47">
        <v>23190.0</v>
      </c>
      <c r="F1619" s="47">
        <v>20.0</v>
      </c>
    </row>
    <row r="1620" ht="15.75" customHeight="1">
      <c r="A1620" s="46" t="s">
        <v>3478</v>
      </c>
      <c r="B1620" s="47" t="s">
        <v>3479</v>
      </c>
      <c r="C1620" s="47">
        <v>147.0</v>
      </c>
      <c r="D1620" s="47">
        <v>159.0</v>
      </c>
      <c r="E1620" s="47">
        <v>24490.0</v>
      </c>
      <c r="F1620" s="47" t="s">
        <v>11</v>
      </c>
    </row>
    <row r="1621" ht="15.75" customHeight="1">
      <c r="A1621" s="46" t="s">
        <v>3480</v>
      </c>
      <c r="B1621" s="47" t="s">
        <v>3481</v>
      </c>
      <c r="C1621" s="47">
        <v>491.0</v>
      </c>
      <c r="D1621" s="47">
        <v>488.0</v>
      </c>
      <c r="E1621" s="47">
        <v>25730.0</v>
      </c>
      <c r="F1621" s="47" t="s">
        <v>11</v>
      </c>
    </row>
    <row r="1622" ht="15.75" customHeight="1">
      <c r="A1622" s="46" t="s">
        <v>3482</v>
      </c>
      <c r="B1622" s="47" t="s">
        <v>3483</v>
      </c>
      <c r="C1622" s="47">
        <v>935.0</v>
      </c>
      <c r="D1622" s="47">
        <v>917.0</v>
      </c>
      <c r="E1622" s="47">
        <v>24950.0</v>
      </c>
      <c r="F1622" s="47" t="s">
        <v>11</v>
      </c>
    </row>
    <row r="1623" ht="15.75" customHeight="1">
      <c r="A1623" s="46" t="s">
        <v>3484</v>
      </c>
      <c r="B1623" s="47" t="s">
        <v>3485</v>
      </c>
      <c r="C1623" s="47">
        <v>182.0</v>
      </c>
      <c r="D1623" s="47">
        <v>178.0</v>
      </c>
      <c r="E1623" s="47">
        <v>24480.0</v>
      </c>
      <c r="F1623" s="47" t="s">
        <v>11</v>
      </c>
    </row>
    <row r="1624" ht="15.75" customHeight="1">
      <c r="A1624" s="46" t="s">
        <v>3486</v>
      </c>
      <c r="B1624" s="47" t="s">
        <v>3487</v>
      </c>
      <c r="C1624" s="47">
        <v>266.0</v>
      </c>
      <c r="D1624" s="47">
        <v>231.0</v>
      </c>
      <c r="E1624" s="47">
        <v>29050.0</v>
      </c>
      <c r="F1624" s="47" t="s">
        <v>11</v>
      </c>
    </row>
    <row r="1625" ht="15.75" customHeight="1">
      <c r="A1625" s="46" t="s">
        <v>3488</v>
      </c>
      <c r="B1625" s="47" t="s">
        <v>3489</v>
      </c>
      <c r="C1625" s="47">
        <v>207.0</v>
      </c>
      <c r="D1625" s="47">
        <v>203.0</v>
      </c>
      <c r="E1625" s="47">
        <v>30390.0</v>
      </c>
      <c r="F1625" s="47" t="s">
        <v>11</v>
      </c>
    </row>
    <row r="1626" ht="15.75" customHeight="1">
      <c r="A1626" s="46" t="s">
        <v>3490</v>
      </c>
      <c r="B1626" s="47" t="s">
        <v>3491</v>
      </c>
      <c r="C1626" s="47">
        <v>1098.0</v>
      </c>
      <c r="D1626" s="47">
        <v>1092.0</v>
      </c>
      <c r="E1626" s="47">
        <v>30860.0</v>
      </c>
      <c r="F1626" s="47" t="s">
        <v>11</v>
      </c>
    </row>
    <row r="1627" ht="15.75" customHeight="1">
      <c r="A1627" s="46" t="s">
        <v>3492</v>
      </c>
      <c r="B1627" s="47" t="s">
        <v>3493</v>
      </c>
      <c r="C1627" s="47">
        <v>248.0</v>
      </c>
      <c r="D1627" s="47">
        <v>274.0</v>
      </c>
      <c r="E1627" s="47">
        <v>27830.0</v>
      </c>
      <c r="F1627" s="47" t="s">
        <v>11</v>
      </c>
    </row>
    <row r="1628" ht="15.75" customHeight="1">
      <c r="A1628" s="46" t="s">
        <v>3494</v>
      </c>
      <c r="B1628" s="47" t="s">
        <v>3495</v>
      </c>
      <c r="C1628" s="47">
        <v>943.0</v>
      </c>
      <c r="D1628" s="47">
        <v>987.0</v>
      </c>
      <c r="E1628" s="47">
        <v>25450.0</v>
      </c>
      <c r="F1628" s="47" t="s">
        <v>11</v>
      </c>
    </row>
    <row r="1629" ht="15.75" customHeight="1">
      <c r="A1629" s="46" t="s">
        <v>3496</v>
      </c>
      <c r="B1629" s="47" t="s">
        <v>3497</v>
      </c>
      <c r="C1629" s="47">
        <v>2192.0</v>
      </c>
      <c r="D1629" s="47">
        <v>2042.0</v>
      </c>
      <c r="E1629" s="47">
        <v>24620.0</v>
      </c>
      <c r="F1629" s="47" t="s">
        <v>11</v>
      </c>
    </row>
    <row r="1630" ht="15.75" customHeight="1">
      <c r="A1630" s="46" t="s">
        <v>3498</v>
      </c>
      <c r="B1630" s="47" t="s">
        <v>3499</v>
      </c>
      <c r="C1630" s="47">
        <v>975.0</v>
      </c>
      <c r="D1630" s="47">
        <v>949.0</v>
      </c>
      <c r="E1630" s="47">
        <v>26240.0</v>
      </c>
      <c r="F1630" s="47" t="s">
        <v>11</v>
      </c>
    </row>
    <row r="1631" ht="15.75" customHeight="1">
      <c r="A1631" s="46" t="s">
        <v>3500</v>
      </c>
      <c r="B1631" s="47" t="s">
        <v>3501</v>
      </c>
      <c r="C1631" s="47">
        <v>291.0</v>
      </c>
      <c r="D1631" s="47">
        <v>323.0</v>
      </c>
      <c r="E1631" s="47">
        <v>29740.0</v>
      </c>
      <c r="F1631" s="47" t="s">
        <v>11</v>
      </c>
    </row>
    <row r="1632" ht="15.75" customHeight="1">
      <c r="A1632" s="46" t="s">
        <v>3502</v>
      </c>
      <c r="B1632" s="47" t="s">
        <v>3503</v>
      </c>
      <c r="C1632" s="47">
        <v>637.0</v>
      </c>
      <c r="D1632" s="47">
        <v>620.0</v>
      </c>
      <c r="E1632" s="47">
        <v>25530.0</v>
      </c>
      <c r="F1632" s="47" t="s">
        <v>11</v>
      </c>
    </row>
    <row r="1633" ht="15.75" customHeight="1">
      <c r="A1633" s="46" t="s">
        <v>3504</v>
      </c>
      <c r="B1633" s="47" t="s">
        <v>3505</v>
      </c>
      <c r="C1633" s="47">
        <v>219.0</v>
      </c>
      <c r="D1633" s="47">
        <v>215.0</v>
      </c>
      <c r="E1633" s="47">
        <v>25130.0</v>
      </c>
      <c r="F1633" s="47" t="s">
        <v>11</v>
      </c>
    </row>
    <row r="1634" ht="15.75" customHeight="1">
      <c r="A1634" s="46" t="s">
        <v>3506</v>
      </c>
      <c r="B1634" s="47" t="s">
        <v>3507</v>
      </c>
      <c r="C1634" s="47">
        <v>222.0</v>
      </c>
      <c r="D1634" s="47">
        <v>198.0</v>
      </c>
      <c r="E1634" s="47">
        <v>25460.0</v>
      </c>
      <c r="F1634" s="47" t="s">
        <v>11</v>
      </c>
    </row>
    <row r="1635" ht="15.75" customHeight="1">
      <c r="A1635" s="46" t="s">
        <v>3508</v>
      </c>
      <c r="B1635" s="47" t="s">
        <v>3509</v>
      </c>
      <c r="C1635" s="47">
        <v>253.0</v>
      </c>
      <c r="D1635" s="47">
        <v>239.0</v>
      </c>
      <c r="E1635" s="47">
        <v>24100.0</v>
      </c>
      <c r="F1635" s="47" t="s">
        <v>11</v>
      </c>
    </row>
    <row r="1636" ht="15.75" customHeight="1">
      <c r="A1636" s="46" t="s">
        <v>3510</v>
      </c>
      <c r="B1636" s="47" t="s">
        <v>3511</v>
      </c>
      <c r="C1636" s="47">
        <v>473.0</v>
      </c>
      <c r="D1636" s="47">
        <v>537.0</v>
      </c>
      <c r="E1636" s="47">
        <v>29610.0</v>
      </c>
      <c r="F1636" s="47" t="s">
        <v>11</v>
      </c>
    </row>
    <row r="1637" ht="15.75" customHeight="1">
      <c r="A1637" s="46" t="s">
        <v>3512</v>
      </c>
      <c r="B1637" s="47" t="s">
        <v>3513</v>
      </c>
      <c r="C1637" s="47">
        <v>1001.0</v>
      </c>
      <c r="D1637" s="47">
        <v>1080.0</v>
      </c>
      <c r="E1637" s="47">
        <v>29190.0</v>
      </c>
      <c r="F1637" s="47" t="s">
        <v>11</v>
      </c>
    </row>
    <row r="1638" ht="15.75" customHeight="1">
      <c r="A1638" s="46" t="s">
        <v>3514</v>
      </c>
      <c r="B1638" s="47" t="s">
        <v>3515</v>
      </c>
      <c r="C1638" s="47">
        <v>818.0</v>
      </c>
      <c r="D1638" s="47">
        <v>987.0</v>
      </c>
      <c r="E1638" s="47">
        <v>29500.0</v>
      </c>
      <c r="F1638" s="47" t="s">
        <v>11</v>
      </c>
    </row>
    <row r="1639" ht="15.75" customHeight="1">
      <c r="A1639" s="46" t="s">
        <v>3516</v>
      </c>
      <c r="B1639" s="47" t="s">
        <v>3517</v>
      </c>
      <c r="C1639" s="47">
        <v>401.0</v>
      </c>
      <c r="D1639" s="47">
        <v>376.0</v>
      </c>
      <c r="E1639" s="47">
        <v>26210.0</v>
      </c>
      <c r="F1639" s="47" t="s">
        <v>11</v>
      </c>
    </row>
    <row r="1640" ht="15.75" customHeight="1">
      <c r="A1640" s="46" t="s">
        <v>3518</v>
      </c>
      <c r="B1640" s="47" t="s">
        <v>3519</v>
      </c>
      <c r="C1640" s="47">
        <v>248.0</v>
      </c>
      <c r="D1640" s="47">
        <v>250.0</v>
      </c>
      <c r="E1640" s="47">
        <v>26800.0</v>
      </c>
      <c r="F1640" s="47" t="s">
        <v>11</v>
      </c>
    </row>
    <row r="1641" ht="15.75" customHeight="1">
      <c r="A1641" s="46" t="s">
        <v>3520</v>
      </c>
      <c r="B1641" s="47" t="s">
        <v>3521</v>
      </c>
      <c r="C1641" s="47">
        <v>311.0</v>
      </c>
      <c r="D1641" s="47">
        <v>310.0</v>
      </c>
      <c r="E1641" s="47">
        <v>22730.0</v>
      </c>
      <c r="F1641" s="47" t="s">
        <v>11</v>
      </c>
    </row>
    <row r="1642" ht="15.75" customHeight="1">
      <c r="A1642" s="46" t="s">
        <v>3522</v>
      </c>
      <c r="B1642" s="47" t="s">
        <v>3523</v>
      </c>
      <c r="C1642" s="47">
        <v>240.0</v>
      </c>
      <c r="D1642" s="47">
        <v>248.0</v>
      </c>
      <c r="E1642" s="47">
        <v>25140.0</v>
      </c>
      <c r="F1642" s="47" t="s">
        <v>11</v>
      </c>
    </row>
    <row r="1643" ht="15.75" customHeight="1">
      <c r="A1643" s="46" t="s">
        <v>3524</v>
      </c>
      <c r="B1643" s="47" t="s">
        <v>3525</v>
      </c>
      <c r="C1643" s="47">
        <v>445.0</v>
      </c>
      <c r="D1643" s="47">
        <v>412.0</v>
      </c>
      <c r="E1643" s="47">
        <v>28810.0</v>
      </c>
      <c r="F1643" s="47" t="s">
        <v>11</v>
      </c>
    </row>
    <row r="1644" ht="15.75" customHeight="1">
      <c r="A1644" s="46" t="s">
        <v>3526</v>
      </c>
      <c r="B1644" s="47" t="s">
        <v>3527</v>
      </c>
      <c r="C1644" s="47">
        <v>312.0</v>
      </c>
      <c r="D1644" s="47">
        <v>297.0</v>
      </c>
      <c r="E1644" s="47">
        <v>25730.0</v>
      </c>
      <c r="F1644" s="47" t="s">
        <v>11</v>
      </c>
    </row>
    <row r="1645" ht="15.75" customHeight="1">
      <c r="A1645" s="46" t="s">
        <v>3528</v>
      </c>
      <c r="B1645" s="47" t="s">
        <v>3529</v>
      </c>
      <c r="C1645" s="47">
        <v>53.0</v>
      </c>
      <c r="D1645" s="47">
        <v>48.0</v>
      </c>
      <c r="E1645" s="47" t="s">
        <v>11</v>
      </c>
      <c r="F1645" s="47" t="s">
        <v>11</v>
      </c>
    </row>
    <row r="1646" ht="15.75" customHeight="1">
      <c r="A1646" s="46" t="s">
        <v>3530</v>
      </c>
      <c r="B1646" s="47" t="s">
        <v>3531</v>
      </c>
      <c r="C1646" s="47">
        <v>862.0</v>
      </c>
      <c r="D1646" s="47">
        <v>922.0</v>
      </c>
      <c r="E1646" s="47">
        <v>28830.0</v>
      </c>
      <c r="F1646" s="47" t="s">
        <v>11</v>
      </c>
    </row>
    <row r="1647" ht="15.75" customHeight="1">
      <c r="A1647" s="46" t="s">
        <v>3532</v>
      </c>
      <c r="B1647" s="47" t="s">
        <v>3533</v>
      </c>
      <c r="C1647" s="47">
        <v>287.0</v>
      </c>
      <c r="D1647" s="47">
        <v>283.0</v>
      </c>
      <c r="E1647" s="47">
        <v>29160.0</v>
      </c>
      <c r="F1647" s="47" t="s">
        <v>11</v>
      </c>
    </row>
    <row r="1648" ht="15.75" customHeight="1">
      <c r="A1648" s="46" t="s">
        <v>3534</v>
      </c>
      <c r="B1648" s="47" t="s">
        <v>3535</v>
      </c>
      <c r="C1648" s="47">
        <v>136.0</v>
      </c>
      <c r="D1648" s="47">
        <v>121.0</v>
      </c>
      <c r="E1648" s="47">
        <v>33230.0</v>
      </c>
      <c r="F1648" s="47" t="s">
        <v>11</v>
      </c>
    </row>
    <row r="1649" ht="15.75" customHeight="1">
      <c r="A1649" s="46" t="s">
        <v>3536</v>
      </c>
      <c r="B1649" s="47" t="s">
        <v>3537</v>
      </c>
      <c r="C1649" s="47">
        <v>529.0</v>
      </c>
      <c r="D1649" s="47">
        <v>544.0</v>
      </c>
      <c r="E1649" s="47">
        <v>28130.0</v>
      </c>
      <c r="F1649" s="47" t="s">
        <v>11</v>
      </c>
    </row>
    <row r="1650" ht="15.75" customHeight="1">
      <c r="A1650" s="46" t="s">
        <v>3538</v>
      </c>
      <c r="B1650" s="47" t="s">
        <v>3539</v>
      </c>
      <c r="C1650" s="47">
        <v>244.0</v>
      </c>
      <c r="D1650" s="47">
        <v>281.0</v>
      </c>
      <c r="E1650" s="47">
        <v>29150.0</v>
      </c>
      <c r="F1650" s="47" t="s">
        <v>11</v>
      </c>
    </row>
    <row r="1651" ht="15.75" customHeight="1">
      <c r="A1651" s="46" t="s">
        <v>3540</v>
      </c>
      <c r="B1651" s="47" t="s">
        <v>3541</v>
      </c>
      <c r="C1651" s="47">
        <v>606.0</v>
      </c>
      <c r="D1651" s="47">
        <v>598.0</v>
      </c>
      <c r="E1651" s="47">
        <v>25930.0</v>
      </c>
      <c r="F1651" s="47" t="s">
        <v>11</v>
      </c>
    </row>
    <row r="1652" ht="15.75" customHeight="1">
      <c r="A1652" s="46" t="s">
        <v>3542</v>
      </c>
      <c r="B1652" s="47" t="s">
        <v>3543</v>
      </c>
      <c r="C1652" s="47">
        <v>1609.0</v>
      </c>
      <c r="D1652" s="47">
        <v>1603.0</v>
      </c>
      <c r="E1652" s="47">
        <v>27640.0</v>
      </c>
      <c r="F1652" s="47" t="s">
        <v>11</v>
      </c>
    </row>
    <row r="1653" ht="15.75" customHeight="1">
      <c r="A1653" s="46" t="s">
        <v>3544</v>
      </c>
      <c r="B1653" s="47" t="s">
        <v>3545</v>
      </c>
      <c r="C1653" s="47">
        <v>1007.0</v>
      </c>
      <c r="D1653" s="47">
        <v>906.0</v>
      </c>
      <c r="E1653" s="47">
        <v>33480.0</v>
      </c>
      <c r="F1653" s="47" t="s">
        <v>11</v>
      </c>
    </row>
    <row r="1654" ht="15.75" customHeight="1">
      <c r="A1654" s="46" t="s">
        <v>3546</v>
      </c>
      <c r="B1654" s="47" t="s">
        <v>3547</v>
      </c>
      <c r="C1654" s="47">
        <v>207.0</v>
      </c>
      <c r="D1654" s="47">
        <v>172.0</v>
      </c>
      <c r="E1654" s="47">
        <v>25580.0</v>
      </c>
      <c r="F1654" s="47" t="s">
        <v>11</v>
      </c>
    </row>
    <row r="1655" ht="15.75" customHeight="1">
      <c r="A1655" s="46" t="s">
        <v>3548</v>
      </c>
      <c r="B1655" s="47" t="s">
        <v>3549</v>
      </c>
      <c r="C1655" s="47">
        <v>607.0</v>
      </c>
      <c r="D1655" s="47">
        <v>589.0</v>
      </c>
      <c r="E1655" s="47">
        <v>29460.0</v>
      </c>
      <c r="F1655" s="47" t="s">
        <v>11</v>
      </c>
    </row>
    <row r="1656" ht="15.75" customHeight="1">
      <c r="A1656" s="46" t="s">
        <v>3550</v>
      </c>
      <c r="B1656" s="47" t="s">
        <v>3551</v>
      </c>
      <c r="C1656" s="47">
        <v>183.0</v>
      </c>
      <c r="D1656" s="47">
        <v>185.0</v>
      </c>
      <c r="E1656" s="47">
        <v>26950.0</v>
      </c>
      <c r="F1656" s="47" t="s">
        <v>11</v>
      </c>
    </row>
    <row r="1657" ht="15.75" customHeight="1">
      <c r="A1657" s="46" t="s">
        <v>3552</v>
      </c>
      <c r="B1657" s="47" t="s">
        <v>3553</v>
      </c>
      <c r="C1657" s="47">
        <v>217.0</v>
      </c>
      <c r="D1657" s="47">
        <v>226.0</v>
      </c>
      <c r="E1657" s="47">
        <v>27960.0</v>
      </c>
      <c r="F1657" s="47" t="s">
        <v>11</v>
      </c>
    </row>
    <row r="1658" ht="15.75" customHeight="1">
      <c r="A1658" s="46" t="s">
        <v>3554</v>
      </c>
      <c r="B1658" s="47" t="s">
        <v>3555</v>
      </c>
      <c r="C1658" s="47">
        <v>1573.0</v>
      </c>
      <c r="D1658" s="47">
        <v>1623.0</v>
      </c>
      <c r="E1658" s="47">
        <v>29900.0</v>
      </c>
      <c r="F1658" s="47" t="s">
        <v>11</v>
      </c>
    </row>
    <row r="1659" ht="15.75" customHeight="1">
      <c r="A1659" s="46" t="s">
        <v>3556</v>
      </c>
      <c r="B1659" s="47" t="s">
        <v>3557</v>
      </c>
      <c r="C1659" s="47">
        <v>165.0</v>
      </c>
      <c r="D1659" s="47">
        <v>176.0</v>
      </c>
      <c r="E1659" s="47">
        <v>22770.0</v>
      </c>
      <c r="F1659" s="47" t="s">
        <v>11</v>
      </c>
    </row>
    <row r="1660" ht="15.75" customHeight="1">
      <c r="A1660" s="46" t="s">
        <v>3558</v>
      </c>
      <c r="B1660" s="47" t="s">
        <v>3559</v>
      </c>
      <c r="C1660" s="47">
        <v>505.0</v>
      </c>
      <c r="D1660" s="47">
        <v>507.0</v>
      </c>
      <c r="E1660" s="47">
        <v>25330.0</v>
      </c>
      <c r="F1660" s="47" t="s">
        <v>11</v>
      </c>
    </row>
    <row r="1661" ht="15.75" customHeight="1">
      <c r="A1661" s="46" t="s">
        <v>3560</v>
      </c>
      <c r="B1661" s="47" t="s">
        <v>3561</v>
      </c>
      <c r="C1661" s="47">
        <v>720.0</v>
      </c>
      <c r="D1661" s="47">
        <v>732.0</v>
      </c>
      <c r="E1661" s="47">
        <v>21530.0</v>
      </c>
      <c r="F1661" s="47" t="s">
        <v>11</v>
      </c>
    </row>
    <row r="1662" ht="15.75" customHeight="1">
      <c r="A1662" s="46" t="s">
        <v>3562</v>
      </c>
      <c r="B1662" s="47" t="s">
        <v>3563</v>
      </c>
      <c r="C1662" s="47">
        <v>560.0</v>
      </c>
      <c r="D1662" s="47">
        <v>505.0</v>
      </c>
      <c r="E1662" s="47">
        <v>28140.0</v>
      </c>
      <c r="F1662" s="47" t="s">
        <v>11</v>
      </c>
    </row>
    <row r="1663" ht="15.75" customHeight="1">
      <c r="A1663" s="46" t="s">
        <v>3564</v>
      </c>
      <c r="B1663" s="47" t="s">
        <v>3565</v>
      </c>
      <c r="C1663" s="47">
        <v>3752.0</v>
      </c>
      <c r="D1663" s="47">
        <v>3664.0</v>
      </c>
      <c r="E1663" s="47">
        <v>25890.0</v>
      </c>
      <c r="F1663" s="47">
        <v>9.0</v>
      </c>
    </row>
    <row r="1664" ht="15.75" customHeight="1">
      <c r="A1664" s="46" t="s">
        <v>3566</v>
      </c>
      <c r="B1664" s="47" t="s">
        <v>3567</v>
      </c>
      <c r="C1664" s="47">
        <v>152.0</v>
      </c>
      <c r="D1664" s="47">
        <v>180.0</v>
      </c>
      <c r="E1664" s="47">
        <v>24740.0</v>
      </c>
      <c r="F1664" s="47" t="s">
        <v>11</v>
      </c>
    </row>
    <row r="1665" ht="15.75" customHeight="1">
      <c r="A1665" s="46" t="s">
        <v>3568</v>
      </c>
      <c r="B1665" s="47" t="s">
        <v>3569</v>
      </c>
      <c r="C1665" s="47">
        <v>774.0</v>
      </c>
      <c r="D1665" s="47">
        <v>844.0</v>
      </c>
      <c r="E1665" s="47">
        <v>28000.0</v>
      </c>
      <c r="F1665" s="47" t="s">
        <v>11</v>
      </c>
    </row>
    <row r="1666" ht="15.75" customHeight="1">
      <c r="A1666" s="46" t="s">
        <v>3570</v>
      </c>
      <c r="B1666" s="47" t="s">
        <v>3571</v>
      </c>
      <c r="C1666" s="47">
        <v>421.0</v>
      </c>
      <c r="D1666" s="47">
        <v>411.0</v>
      </c>
      <c r="E1666" s="47">
        <v>30510.0</v>
      </c>
      <c r="F1666" s="47" t="s">
        <v>11</v>
      </c>
    </row>
    <row r="1667" ht="15.75" customHeight="1">
      <c r="A1667" s="46" t="s">
        <v>3572</v>
      </c>
      <c r="B1667" s="47" t="s">
        <v>3573</v>
      </c>
      <c r="C1667" s="47">
        <v>224.0</v>
      </c>
      <c r="D1667" s="47">
        <v>209.0</v>
      </c>
      <c r="E1667" s="47">
        <v>24710.0</v>
      </c>
      <c r="F1667" s="47" t="s">
        <v>11</v>
      </c>
    </row>
    <row r="1668" ht="15.75" customHeight="1">
      <c r="A1668" s="46" t="s">
        <v>3574</v>
      </c>
      <c r="B1668" s="47" t="s">
        <v>3575</v>
      </c>
      <c r="C1668" s="47">
        <v>471.0</v>
      </c>
      <c r="D1668" s="47">
        <v>473.0</v>
      </c>
      <c r="E1668" s="47">
        <v>30970.0</v>
      </c>
      <c r="F1668" s="47" t="s">
        <v>11</v>
      </c>
    </row>
    <row r="1669" ht="15.75" customHeight="1">
      <c r="A1669" s="46" t="s">
        <v>3576</v>
      </c>
      <c r="B1669" s="47" t="s">
        <v>3577</v>
      </c>
      <c r="C1669" s="47">
        <v>220.0</v>
      </c>
      <c r="D1669" s="47">
        <v>233.0</v>
      </c>
      <c r="E1669" s="47">
        <v>29760.0</v>
      </c>
      <c r="F1669" s="47" t="s">
        <v>11</v>
      </c>
    </row>
    <row r="1670" ht="15.75" customHeight="1">
      <c r="A1670" s="46" t="s">
        <v>3578</v>
      </c>
      <c r="B1670" s="47" t="s">
        <v>3579</v>
      </c>
      <c r="C1670" s="47">
        <v>522.0</v>
      </c>
      <c r="D1670" s="47">
        <v>531.0</v>
      </c>
      <c r="E1670" s="47">
        <v>28250.0</v>
      </c>
      <c r="F1670" s="47" t="s">
        <v>11</v>
      </c>
    </row>
    <row r="1671" ht="15.75" customHeight="1">
      <c r="A1671" s="46" t="s">
        <v>3580</v>
      </c>
      <c r="B1671" s="47" t="s">
        <v>3581</v>
      </c>
      <c r="C1671" s="47">
        <v>427.0</v>
      </c>
      <c r="D1671" s="47">
        <v>465.0</v>
      </c>
      <c r="E1671" s="47">
        <v>30590.0</v>
      </c>
      <c r="F1671" s="47" t="s">
        <v>11</v>
      </c>
    </row>
    <row r="1672" ht="15.75" customHeight="1">
      <c r="A1672" s="46" t="s">
        <v>3582</v>
      </c>
      <c r="B1672" s="47" t="s">
        <v>3583</v>
      </c>
      <c r="C1672" s="47">
        <v>480.0</v>
      </c>
      <c r="D1672" s="47">
        <v>435.0</v>
      </c>
      <c r="E1672" s="47">
        <v>24560.0</v>
      </c>
      <c r="F1672" s="47" t="s">
        <v>11</v>
      </c>
    </row>
    <row r="1673" ht="15.75" customHeight="1">
      <c r="A1673" s="46" t="s">
        <v>3584</v>
      </c>
      <c r="B1673" s="47" t="s">
        <v>3585</v>
      </c>
      <c r="C1673" s="47">
        <v>1404.0</v>
      </c>
      <c r="D1673" s="47">
        <v>1437.0</v>
      </c>
      <c r="E1673" s="47">
        <v>20730.0</v>
      </c>
      <c r="F1673" s="47" t="s">
        <v>11</v>
      </c>
    </row>
    <row r="1674" ht="15.75" customHeight="1">
      <c r="A1674" s="46" t="s">
        <v>3586</v>
      </c>
      <c r="B1674" s="47" t="s">
        <v>3587</v>
      </c>
      <c r="C1674" s="47">
        <v>2515.0</v>
      </c>
      <c r="D1674" s="47">
        <v>2514.0</v>
      </c>
      <c r="E1674" s="47">
        <v>27280.0</v>
      </c>
      <c r="F1674" s="47">
        <v>9.0</v>
      </c>
    </row>
    <row r="1675" ht="15.75" customHeight="1">
      <c r="A1675" s="46" t="s">
        <v>3588</v>
      </c>
      <c r="B1675" s="47" t="s">
        <v>3589</v>
      </c>
      <c r="C1675" s="47">
        <v>659.0</v>
      </c>
      <c r="D1675" s="47">
        <v>684.0</v>
      </c>
      <c r="E1675" s="47">
        <v>26500.0</v>
      </c>
      <c r="F1675" s="47" t="s">
        <v>11</v>
      </c>
    </row>
    <row r="1676" ht="15.75" customHeight="1">
      <c r="A1676" s="46" t="s">
        <v>3590</v>
      </c>
      <c r="B1676" s="47" t="s">
        <v>3591</v>
      </c>
      <c r="C1676" s="47">
        <v>213.0</v>
      </c>
      <c r="D1676" s="47">
        <v>225.0</v>
      </c>
      <c r="E1676" s="47">
        <v>23360.0</v>
      </c>
      <c r="F1676" s="47" t="s">
        <v>11</v>
      </c>
    </row>
    <row r="1677" ht="15.75" customHeight="1">
      <c r="A1677" s="46" t="s">
        <v>3592</v>
      </c>
      <c r="B1677" s="47" t="s">
        <v>3593</v>
      </c>
      <c r="C1677" s="47">
        <v>95.0</v>
      </c>
      <c r="D1677" s="47">
        <v>84.0</v>
      </c>
      <c r="E1677" s="47" t="s">
        <v>11</v>
      </c>
      <c r="F1677" s="47" t="s">
        <v>11</v>
      </c>
    </row>
    <row r="1678" ht="15.75" customHeight="1">
      <c r="A1678" s="46" t="s">
        <v>3594</v>
      </c>
      <c r="B1678" s="47" t="s">
        <v>3595</v>
      </c>
      <c r="C1678" s="47">
        <v>1907.0</v>
      </c>
      <c r="D1678" s="47">
        <v>1910.0</v>
      </c>
      <c r="E1678" s="47">
        <v>32660.0</v>
      </c>
      <c r="F1678" s="47" t="s">
        <v>11</v>
      </c>
    </row>
    <row r="1679" ht="15.75" customHeight="1">
      <c r="A1679" s="46" t="s">
        <v>3596</v>
      </c>
      <c r="B1679" s="47" t="s">
        <v>853</v>
      </c>
      <c r="C1679" s="47">
        <v>553.0</v>
      </c>
      <c r="D1679" s="47">
        <v>592.0</v>
      </c>
      <c r="E1679" s="47">
        <v>27540.0</v>
      </c>
      <c r="F1679" s="47" t="s">
        <v>11</v>
      </c>
    </row>
    <row r="1680" ht="15.75" customHeight="1">
      <c r="A1680" s="46" t="s">
        <v>3597</v>
      </c>
      <c r="B1680" s="47" t="s">
        <v>3598</v>
      </c>
      <c r="C1680" s="47">
        <v>244.0</v>
      </c>
      <c r="D1680" s="47">
        <v>236.0</v>
      </c>
      <c r="E1680" s="47">
        <v>24350.0</v>
      </c>
      <c r="F1680" s="47" t="s">
        <v>11</v>
      </c>
    </row>
    <row r="1681" ht="15.75" customHeight="1">
      <c r="A1681" s="46" t="s">
        <v>3599</v>
      </c>
      <c r="B1681" s="47" t="s">
        <v>3600</v>
      </c>
      <c r="C1681" s="47">
        <v>347.0</v>
      </c>
      <c r="D1681" s="47">
        <v>318.0</v>
      </c>
      <c r="E1681" s="47">
        <v>45570.0</v>
      </c>
      <c r="F1681" s="47" t="s">
        <v>11</v>
      </c>
    </row>
    <row r="1682" ht="15.75" customHeight="1">
      <c r="A1682" s="46" t="s">
        <v>3601</v>
      </c>
      <c r="B1682" s="47" t="s">
        <v>3602</v>
      </c>
      <c r="C1682" s="47">
        <v>507.0</v>
      </c>
      <c r="D1682" s="47">
        <v>502.0</v>
      </c>
      <c r="E1682" s="47">
        <v>26480.0</v>
      </c>
      <c r="F1682" s="47" t="s">
        <v>11</v>
      </c>
    </row>
    <row r="1683" ht="15.75" customHeight="1">
      <c r="A1683" s="46" t="s">
        <v>3603</v>
      </c>
      <c r="B1683" s="47" t="s">
        <v>3604</v>
      </c>
      <c r="C1683" s="47">
        <v>168.0</v>
      </c>
      <c r="D1683" s="47">
        <v>176.0</v>
      </c>
      <c r="E1683" s="47">
        <v>29770.0</v>
      </c>
      <c r="F1683" s="47" t="s">
        <v>11</v>
      </c>
    </row>
    <row r="1684" ht="15.75" customHeight="1">
      <c r="A1684" s="46" t="s">
        <v>3605</v>
      </c>
      <c r="B1684" s="47" t="s">
        <v>3606</v>
      </c>
      <c r="C1684" s="47">
        <v>124.0</v>
      </c>
      <c r="D1684" s="47">
        <v>143.0</v>
      </c>
      <c r="E1684" s="47">
        <v>26340.0</v>
      </c>
      <c r="F1684" s="47" t="s">
        <v>11</v>
      </c>
    </row>
    <row r="1685" ht="15.75" customHeight="1">
      <c r="A1685" s="46" t="s">
        <v>3607</v>
      </c>
      <c r="B1685" s="47" t="s">
        <v>3608</v>
      </c>
      <c r="C1685" s="47">
        <v>2131.0</v>
      </c>
      <c r="D1685" s="47">
        <v>2097.0</v>
      </c>
      <c r="E1685" s="47">
        <v>21260.0</v>
      </c>
      <c r="F1685" s="47">
        <v>24.0</v>
      </c>
    </row>
    <row r="1686" ht="15.75" customHeight="1">
      <c r="A1686" s="46" t="s">
        <v>3609</v>
      </c>
      <c r="B1686" s="47" t="s">
        <v>3610</v>
      </c>
      <c r="C1686" s="47">
        <v>140.0</v>
      </c>
      <c r="D1686" s="47">
        <v>143.0</v>
      </c>
      <c r="E1686" s="47">
        <v>28290.0</v>
      </c>
      <c r="F1686" s="47" t="s">
        <v>11</v>
      </c>
    </row>
    <row r="1687" ht="15.75" customHeight="1">
      <c r="A1687" s="46" t="s">
        <v>3611</v>
      </c>
      <c r="B1687" s="47" t="s">
        <v>3612</v>
      </c>
      <c r="C1687" s="47">
        <v>200.0</v>
      </c>
      <c r="D1687" s="47">
        <v>210.0</v>
      </c>
      <c r="E1687" s="47">
        <v>23070.0</v>
      </c>
      <c r="F1687" s="47" t="s">
        <v>11</v>
      </c>
    </row>
    <row r="1688" ht="15.75" customHeight="1">
      <c r="A1688" s="46" t="s">
        <v>3613</v>
      </c>
      <c r="B1688" s="47" t="s">
        <v>3614</v>
      </c>
      <c r="C1688" s="47">
        <v>198.0</v>
      </c>
      <c r="D1688" s="47">
        <v>193.0</v>
      </c>
      <c r="E1688" s="47">
        <v>29630.0</v>
      </c>
      <c r="F1688" s="47" t="s">
        <v>11</v>
      </c>
    </row>
    <row r="1689" ht="15.75" customHeight="1">
      <c r="A1689" s="46" t="s">
        <v>3615</v>
      </c>
      <c r="B1689" s="47" t="s">
        <v>3616</v>
      </c>
      <c r="C1689" s="47">
        <v>430.0</v>
      </c>
      <c r="D1689" s="47">
        <v>406.0</v>
      </c>
      <c r="E1689" s="47">
        <v>28540.0</v>
      </c>
      <c r="F1689" s="47" t="s">
        <v>11</v>
      </c>
    </row>
    <row r="1690" ht="15.75" customHeight="1">
      <c r="A1690" s="46" t="s">
        <v>3617</v>
      </c>
      <c r="B1690" s="47" t="s">
        <v>3618</v>
      </c>
      <c r="C1690" s="47">
        <v>281.0</v>
      </c>
      <c r="D1690" s="47">
        <v>305.0</v>
      </c>
      <c r="E1690" s="47">
        <v>28360.0</v>
      </c>
      <c r="F1690" s="47" t="s">
        <v>11</v>
      </c>
    </row>
    <row r="1691" ht="15.75" customHeight="1">
      <c r="A1691" s="46" t="s">
        <v>3619</v>
      </c>
      <c r="B1691" s="47" t="s">
        <v>3620</v>
      </c>
      <c r="C1691" s="47">
        <v>518.0</v>
      </c>
      <c r="D1691" s="47">
        <v>519.0</v>
      </c>
      <c r="E1691" s="47">
        <v>27050.0</v>
      </c>
      <c r="F1691" s="47" t="s">
        <v>11</v>
      </c>
    </row>
    <row r="1692" ht="15.75" customHeight="1">
      <c r="A1692" s="46" t="s">
        <v>3621</v>
      </c>
      <c r="B1692" s="47" t="s">
        <v>3622</v>
      </c>
      <c r="C1692" s="47">
        <v>479.0</v>
      </c>
      <c r="D1692" s="47">
        <v>497.0</v>
      </c>
      <c r="E1692" s="47">
        <v>26410.0</v>
      </c>
      <c r="F1692" s="47" t="s">
        <v>11</v>
      </c>
    </row>
    <row r="1693" ht="15.75" customHeight="1">
      <c r="A1693" s="46" t="s">
        <v>3623</v>
      </c>
      <c r="B1693" s="47" t="s">
        <v>3624</v>
      </c>
      <c r="C1693" s="47">
        <v>547.0</v>
      </c>
      <c r="D1693" s="47">
        <v>543.0</v>
      </c>
      <c r="E1693" s="47">
        <v>28760.0</v>
      </c>
      <c r="F1693" s="47" t="s">
        <v>11</v>
      </c>
    </row>
    <row r="1694" ht="15.75" customHeight="1">
      <c r="A1694" s="46" t="s">
        <v>3625</v>
      </c>
      <c r="B1694" s="47" t="s">
        <v>3626</v>
      </c>
      <c r="C1694" s="47">
        <v>349.0</v>
      </c>
      <c r="D1694" s="47">
        <v>323.0</v>
      </c>
      <c r="E1694" s="47">
        <v>25600.0</v>
      </c>
      <c r="F1694" s="47" t="s">
        <v>11</v>
      </c>
    </row>
    <row r="1695" ht="15.75" customHeight="1">
      <c r="A1695" s="46" t="s">
        <v>3627</v>
      </c>
      <c r="B1695" s="47" t="s">
        <v>3628</v>
      </c>
      <c r="C1695" s="47">
        <v>1283.0</v>
      </c>
      <c r="D1695" s="47">
        <v>1326.0</v>
      </c>
      <c r="E1695" s="47">
        <v>28450.0</v>
      </c>
      <c r="F1695" s="47" t="s">
        <v>11</v>
      </c>
    </row>
    <row r="1696" ht="15.75" customHeight="1">
      <c r="A1696" s="46" t="s">
        <v>3629</v>
      </c>
      <c r="B1696" s="47" t="s">
        <v>3630</v>
      </c>
      <c r="C1696" s="47">
        <v>438.0</v>
      </c>
      <c r="D1696" s="47">
        <v>440.0</v>
      </c>
      <c r="E1696" s="47">
        <v>27590.0</v>
      </c>
      <c r="F1696" s="47" t="s">
        <v>11</v>
      </c>
    </row>
    <row r="1697" ht="15.75" customHeight="1">
      <c r="A1697" s="46" t="s">
        <v>3631</v>
      </c>
      <c r="B1697" s="47" t="s">
        <v>3632</v>
      </c>
      <c r="C1697" s="47">
        <v>164.0</v>
      </c>
      <c r="D1697" s="47">
        <v>154.0</v>
      </c>
      <c r="E1697" s="47">
        <v>26800.0</v>
      </c>
      <c r="F1697" s="47" t="s">
        <v>11</v>
      </c>
    </row>
    <row r="1698" ht="15.75" customHeight="1">
      <c r="A1698" s="46" t="s">
        <v>3633</v>
      </c>
      <c r="B1698" s="47" t="s">
        <v>3634</v>
      </c>
      <c r="C1698" s="47">
        <v>915.0</v>
      </c>
      <c r="D1698" s="47">
        <v>871.0</v>
      </c>
      <c r="E1698" s="47">
        <v>29970.0</v>
      </c>
      <c r="F1698" s="47" t="s">
        <v>11</v>
      </c>
    </row>
    <row r="1699" ht="15.75" customHeight="1">
      <c r="A1699" s="46" t="s">
        <v>3635</v>
      </c>
      <c r="B1699" s="47" t="s">
        <v>3636</v>
      </c>
      <c r="C1699" s="47">
        <v>651.0</v>
      </c>
      <c r="D1699" s="47">
        <v>670.0</v>
      </c>
      <c r="E1699" s="47">
        <v>30000.0</v>
      </c>
      <c r="F1699" s="47" t="s">
        <v>11</v>
      </c>
    </row>
    <row r="1700" ht="15.75" customHeight="1">
      <c r="A1700" s="46" t="s">
        <v>3637</v>
      </c>
      <c r="B1700" s="47" t="s">
        <v>3638</v>
      </c>
      <c r="C1700" s="47">
        <v>503.0</v>
      </c>
      <c r="D1700" s="47">
        <v>551.0</v>
      </c>
      <c r="E1700" s="47">
        <v>34140.0</v>
      </c>
      <c r="F1700" s="47" t="s">
        <v>11</v>
      </c>
    </row>
    <row r="1701" ht="15.75" customHeight="1">
      <c r="A1701" s="46" t="s">
        <v>3639</v>
      </c>
      <c r="B1701" s="47" t="s">
        <v>3640</v>
      </c>
      <c r="C1701" s="47">
        <v>249.0</v>
      </c>
      <c r="D1701" s="47">
        <v>224.0</v>
      </c>
      <c r="E1701" s="47">
        <v>25400.0</v>
      </c>
      <c r="F1701" s="47" t="s">
        <v>11</v>
      </c>
    </row>
    <row r="1702" ht="15.75" customHeight="1">
      <c r="A1702" s="46" t="s">
        <v>3641</v>
      </c>
      <c r="B1702" s="47" t="s">
        <v>3642</v>
      </c>
      <c r="C1702" s="47">
        <v>256.0</v>
      </c>
      <c r="D1702" s="47">
        <v>264.0</v>
      </c>
      <c r="E1702" s="47">
        <v>23680.0</v>
      </c>
      <c r="F1702" s="47" t="s">
        <v>11</v>
      </c>
    </row>
    <row r="1703" ht="15.75" customHeight="1">
      <c r="A1703" s="46" t="s">
        <v>3643</v>
      </c>
      <c r="B1703" s="47" t="s">
        <v>3644</v>
      </c>
      <c r="C1703" s="47">
        <v>523.0</v>
      </c>
      <c r="D1703" s="47">
        <v>528.0</v>
      </c>
      <c r="E1703" s="47">
        <v>29040.0</v>
      </c>
      <c r="F1703" s="47" t="s">
        <v>11</v>
      </c>
    </row>
    <row r="1704" ht="15.75" customHeight="1">
      <c r="A1704" s="46" t="s">
        <v>3645</v>
      </c>
      <c r="B1704" s="47" t="s">
        <v>3646</v>
      </c>
      <c r="C1704" s="47">
        <v>887.0</v>
      </c>
      <c r="D1704" s="47">
        <v>962.0</v>
      </c>
      <c r="E1704" s="47">
        <v>23840.0</v>
      </c>
      <c r="F1704" s="47" t="s">
        <v>11</v>
      </c>
    </row>
    <row r="1705" ht="15.75" customHeight="1">
      <c r="A1705" s="46" t="s">
        <v>3647</v>
      </c>
      <c r="B1705" s="47" t="s">
        <v>3648</v>
      </c>
      <c r="C1705" s="47">
        <v>173.0</v>
      </c>
      <c r="D1705" s="47">
        <v>154.0</v>
      </c>
      <c r="E1705" s="47">
        <v>26800.0</v>
      </c>
      <c r="F1705" s="47" t="s">
        <v>11</v>
      </c>
    </row>
    <row r="1706" ht="15.75" customHeight="1">
      <c r="A1706" s="46" t="s">
        <v>3649</v>
      </c>
      <c r="B1706" s="47" t="s">
        <v>3650</v>
      </c>
      <c r="C1706" s="47">
        <v>340.0</v>
      </c>
      <c r="D1706" s="47">
        <v>365.0</v>
      </c>
      <c r="E1706" s="47">
        <v>27030.0</v>
      </c>
      <c r="F1706" s="47" t="s">
        <v>11</v>
      </c>
    </row>
    <row r="1707" ht="15.75" customHeight="1">
      <c r="A1707" s="46" t="s">
        <v>3651</v>
      </c>
      <c r="B1707" s="47" t="s">
        <v>3652</v>
      </c>
      <c r="C1707" s="47">
        <v>361.0</v>
      </c>
      <c r="D1707" s="47">
        <v>347.0</v>
      </c>
      <c r="E1707" s="47">
        <v>25690.0</v>
      </c>
      <c r="F1707" s="47" t="s">
        <v>11</v>
      </c>
    </row>
    <row r="1708" ht="15.75" customHeight="1">
      <c r="A1708" s="46" t="s">
        <v>3653</v>
      </c>
      <c r="B1708" s="47" t="s">
        <v>3654</v>
      </c>
      <c r="C1708" s="47">
        <v>322.0</v>
      </c>
      <c r="D1708" s="47">
        <v>317.0</v>
      </c>
      <c r="E1708" s="47">
        <v>27020.0</v>
      </c>
      <c r="F1708" s="47" t="s">
        <v>11</v>
      </c>
    </row>
    <row r="1709" ht="15.75" customHeight="1">
      <c r="A1709" s="46" t="s">
        <v>3655</v>
      </c>
      <c r="B1709" s="47" t="s">
        <v>3656</v>
      </c>
      <c r="C1709" s="47">
        <v>90.0</v>
      </c>
      <c r="D1709" s="47">
        <v>82.0</v>
      </c>
      <c r="E1709" s="47" t="s">
        <v>11</v>
      </c>
      <c r="F1709" s="47" t="s">
        <v>11</v>
      </c>
    </row>
    <row r="1710" ht="15.75" customHeight="1">
      <c r="A1710" s="46" t="s">
        <v>3657</v>
      </c>
      <c r="B1710" s="47" t="s">
        <v>3658</v>
      </c>
      <c r="C1710" s="47">
        <v>654.0</v>
      </c>
      <c r="D1710" s="47">
        <v>626.0</v>
      </c>
      <c r="E1710" s="47">
        <v>29530.0</v>
      </c>
      <c r="F1710" s="47" t="s">
        <v>11</v>
      </c>
    </row>
    <row r="1711" ht="15.75" customHeight="1">
      <c r="A1711" s="46" t="s">
        <v>3659</v>
      </c>
      <c r="B1711" s="47" t="s">
        <v>3660</v>
      </c>
      <c r="C1711" s="47">
        <v>539.0</v>
      </c>
      <c r="D1711" s="47">
        <v>518.0</v>
      </c>
      <c r="E1711" s="47">
        <v>30370.0</v>
      </c>
      <c r="F1711" s="47" t="s">
        <v>11</v>
      </c>
    </row>
    <row r="1712" ht="15.75" customHeight="1">
      <c r="A1712" s="46" t="s">
        <v>3661</v>
      </c>
      <c r="B1712" s="47" t="s">
        <v>3662</v>
      </c>
      <c r="C1712" s="47">
        <v>372.0</v>
      </c>
      <c r="D1712" s="47">
        <v>356.0</v>
      </c>
      <c r="E1712" s="47">
        <v>31130.0</v>
      </c>
      <c r="F1712" s="47" t="s">
        <v>11</v>
      </c>
    </row>
    <row r="1713" ht="15.75" customHeight="1">
      <c r="A1713" s="46" t="s">
        <v>3663</v>
      </c>
      <c r="B1713" s="47" t="s">
        <v>3664</v>
      </c>
      <c r="C1713" s="47">
        <v>228.0</v>
      </c>
      <c r="D1713" s="47">
        <v>216.0</v>
      </c>
      <c r="E1713" s="47">
        <v>27220.0</v>
      </c>
      <c r="F1713" s="47" t="s">
        <v>11</v>
      </c>
    </row>
    <row r="1714" ht="15.75" customHeight="1">
      <c r="A1714" s="46" t="s">
        <v>3665</v>
      </c>
      <c r="B1714" s="47" t="s">
        <v>3666</v>
      </c>
      <c r="C1714" s="47">
        <v>228.0</v>
      </c>
      <c r="D1714" s="47">
        <v>196.0</v>
      </c>
      <c r="E1714" s="47">
        <v>28060.0</v>
      </c>
      <c r="F1714" s="47" t="s">
        <v>11</v>
      </c>
    </row>
    <row r="1715" ht="15.75" customHeight="1">
      <c r="A1715" s="46" t="s">
        <v>3667</v>
      </c>
      <c r="B1715" s="47" t="s">
        <v>3668</v>
      </c>
      <c r="C1715" s="47">
        <v>1390.0</v>
      </c>
      <c r="D1715" s="47">
        <v>1552.0</v>
      </c>
      <c r="E1715" s="47">
        <v>26800.0</v>
      </c>
      <c r="F1715" s="47" t="s">
        <v>11</v>
      </c>
    </row>
    <row r="1716" ht="15.75" customHeight="1">
      <c r="A1716" s="46" t="s">
        <v>3669</v>
      </c>
      <c r="B1716" s="47" t="s">
        <v>3670</v>
      </c>
      <c r="C1716" s="47">
        <v>391.0</v>
      </c>
      <c r="D1716" s="47">
        <v>409.0</v>
      </c>
      <c r="E1716" s="47">
        <v>26130.0</v>
      </c>
      <c r="F1716" s="47" t="s">
        <v>11</v>
      </c>
    </row>
    <row r="1717" ht="15.75" customHeight="1">
      <c r="A1717" s="46" t="s">
        <v>3671</v>
      </c>
      <c r="B1717" s="47" t="s">
        <v>3672</v>
      </c>
      <c r="C1717" s="47">
        <v>206.0</v>
      </c>
      <c r="D1717" s="47">
        <v>233.0</v>
      </c>
      <c r="E1717" s="47">
        <v>28580.0</v>
      </c>
      <c r="F1717" s="47" t="s">
        <v>11</v>
      </c>
    </row>
    <row r="1718" ht="15.75" customHeight="1">
      <c r="A1718" s="46" t="s">
        <v>3673</v>
      </c>
      <c r="B1718" s="47" t="s">
        <v>3674</v>
      </c>
      <c r="C1718" s="47">
        <v>121.0</v>
      </c>
      <c r="D1718" s="47">
        <v>102.0</v>
      </c>
      <c r="E1718" s="47" t="s">
        <v>11</v>
      </c>
      <c r="F1718" s="47" t="s">
        <v>11</v>
      </c>
    </row>
    <row r="1719" ht="15.75" customHeight="1">
      <c r="A1719" s="46" t="s">
        <v>3675</v>
      </c>
      <c r="B1719" s="47" t="s">
        <v>3676</v>
      </c>
      <c r="C1719" s="47">
        <v>573.0</v>
      </c>
      <c r="D1719" s="47">
        <v>515.0</v>
      </c>
      <c r="E1719" s="47">
        <v>28100.0</v>
      </c>
      <c r="F1719" s="47" t="s">
        <v>11</v>
      </c>
    </row>
    <row r="1720" ht="15.75" customHeight="1">
      <c r="A1720" s="46" t="s">
        <v>3677</v>
      </c>
      <c r="B1720" s="47" t="s">
        <v>3678</v>
      </c>
      <c r="C1720" s="47">
        <v>9069.0</v>
      </c>
      <c r="D1720" s="47">
        <v>8867.0</v>
      </c>
      <c r="E1720" s="47">
        <v>35830.0</v>
      </c>
      <c r="F1720" s="47">
        <v>7.0</v>
      </c>
    </row>
    <row r="1721" ht="15.75" customHeight="1">
      <c r="A1721" s="46" t="s">
        <v>3679</v>
      </c>
      <c r="B1721" s="47" t="s">
        <v>3680</v>
      </c>
      <c r="C1721" s="47">
        <v>27.0</v>
      </c>
      <c r="D1721" s="47">
        <v>15.0</v>
      </c>
      <c r="E1721" s="47" t="s">
        <v>11</v>
      </c>
      <c r="F1721" s="47" t="s">
        <v>11</v>
      </c>
    </row>
    <row r="1722" ht="15.75" customHeight="1">
      <c r="A1722" s="46" t="s">
        <v>3681</v>
      </c>
      <c r="B1722" s="47" t="s">
        <v>3682</v>
      </c>
      <c r="C1722" s="47">
        <v>1773.0</v>
      </c>
      <c r="D1722" s="47">
        <v>1829.0</v>
      </c>
      <c r="E1722" s="47">
        <v>29010.0</v>
      </c>
      <c r="F1722" s="47" t="s">
        <v>11</v>
      </c>
    </row>
    <row r="1723" ht="15.75" customHeight="1">
      <c r="A1723" s="46" t="s">
        <v>3683</v>
      </c>
      <c r="B1723" s="47" t="s">
        <v>3684</v>
      </c>
      <c r="C1723" s="47">
        <v>313.0</v>
      </c>
      <c r="D1723" s="47">
        <v>297.0</v>
      </c>
      <c r="E1723" s="47">
        <v>27630.0</v>
      </c>
      <c r="F1723" s="47" t="s">
        <v>11</v>
      </c>
    </row>
    <row r="1724" ht="15.75" customHeight="1">
      <c r="A1724" s="46" t="s">
        <v>3685</v>
      </c>
      <c r="B1724" s="47" t="s">
        <v>3686</v>
      </c>
      <c r="C1724" s="47">
        <v>2940.0</v>
      </c>
      <c r="D1724" s="47">
        <v>2786.0</v>
      </c>
      <c r="E1724" s="47">
        <v>22190.0</v>
      </c>
      <c r="F1724" s="47">
        <v>22.0</v>
      </c>
    </row>
    <row r="1725" ht="15.75" customHeight="1">
      <c r="A1725" s="46" t="s">
        <v>3687</v>
      </c>
      <c r="B1725" s="47" t="s">
        <v>3688</v>
      </c>
      <c r="C1725" s="47">
        <v>348.0</v>
      </c>
      <c r="D1725" s="47">
        <v>371.0</v>
      </c>
      <c r="E1725" s="47">
        <v>26510.0</v>
      </c>
      <c r="F1725" s="47" t="s">
        <v>11</v>
      </c>
    </row>
    <row r="1726" ht="15.75" customHeight="1">
      <c r="A1726" s="46" t="s">
        <v>3689</v>
      </c>
      <c r="B1726" s="47" t="s">
        <v>3690</v>
      </c>
      <c r="C1726" s="47">
        <v>458.0</v>
      </c>
      <c r="D1726" s="47">
        <v>478.0</v>
      </c>
      <c r="E1726" s="47">
        <v>26420.0</v>
      </c>
      <c r="F1726" s="47" t="s">
        <v>11</v>
      </c>
    </row>
    <row r="1727" ht="15.75" customHeight="1">
      <c r="A1727" s="46" t="s">
        <v>3691</v>
      </c>
      <c r="B1727" s="47" t="s">
        <v>3692</v>
      </c>
      <c r="C1727" s="47">
        <v>270.0</v>
      </c>
      <c r="D1727" s="47">
        <v>272.0</v>
      </c>
      <c r="E1727" s="47">
        <v>24950.0</v>
      </c>
      <c r="F1727" s="47" t="s">
        <v>11</v>
      </c>
    </row>
    <row r="1728" ht="15.75" customHeight="1">
      <c r="A1728" s="46" t="s">
        <v>3693</v>
      </c>
      <c r="B1728" s="47" t="s">
        <v>3694</v>
      </c>
      <c r="C1728" s="47">
        <v>381.0</v>
      </c>
      <c r="D1728" s="47">
        <v>385.0</v>
      </c>
      <c r="E1728" s="47">
        <v>28470.0</v>
      </c>
      <c r="F1728" s="47" t="s">
        <v>11</v>
      </c>
    </row>
    <row r="1729" ht="15.75" customHeight="1">
      <c r="A1729" s="46" t="s">
        <v>3695</v>
      </c>
      <c r="B1729" s="47" t="s">
        <v>3696</v>
      </c>
      <c r="C1729" s="47">
        <v>1803.0</v>
      </c>
      <c r="D1729" s="47">
        <v>1749.0</v>
      </c>
      <c r="E1729" s="47">
        <v>21830.0</v>
      </c>
      <c r="F1729" s="47" t="s">
        <v>11</v>
      </c>
    </row>
    <row r="1730" ht="15.75" customHeight="1">
      <c r="A1730" s="46" t="s">
        <v>3697</v>
      </c>
      <c r="B1730" s="47" t="s">
        <v>3698</v>
      </c>
      <c r="C1730" s="47">
        <v>242.0</v>
      </c>
      <c r="D1730" s="47">
        <v>232.0</v>
      </c>
      <c r="E1730" s="47">
        <v>28520.0</v>
      </c>
      <c r="F1730" s="47" t="s">
        <v>11</v>
      </c>
    </row>
    <row r="1731" ht="15.75" customHeight="1">
      <c r="A1731" s="46" t="s">
        <v>3699</v>
      </c>
      <c r="B1731" s="47" t="s">
        <v>3700</v>
      </c>
      <c r="C1731" s="47">
        <v>366.0</v>
      </c>
      <c r="D1731" s="47">
        <v>376.0</v>
      </c>
      <c r="E1731" s="47">
        <v>32690.0</v>
      </c>
      <c r="F1731" s="47" t="s">
        <v>11</v>
      </c>
    </row>
    <row r="1732" ht="15.75" customHeight="1">
      <c r="A1732" s="46" t="s">
        <v>3701</v>
      </c>
      <c r="B1732" s="47" t="s">
        <v>3702</v>
      </c>
      <c r="C1732" s="47">
        <v>80.0</v>
      </c>
      <c r="D1732" s="47">
        <v>82.0</v>
      </c>
      <c r="E1732" s="47" t="s">
        <v>11</v>
      </c>
      <c r="F1732" s="47" t="s">
        <v>11</v>
      </c>
    </row>
    <row r="1733" ht="15.75" customHeight="1">
      <c r="A1733" s="46" t="s">
        <v>3703</v>
      </c>
      <c r="B1733" s="47" t="s">
        <v>3704</v>
      </c>
      <c r="C1733" s="47">
        <v>452.0</v>
      </c>
      <c r="D1733" s="47">
        <v>438.0</v>
      </c>
      <c r="E1733" s="47">
        <v>26130.0</v>
      </c>
      <c r="F1733" s="47" t="s">
        <v>11</v>
      </c>
    </row>
    <row r="1734" ht="15.75" customHeight="1">
      <c r="A1734" s="46" t="s">
        <v>3705</v>
      </c>
      <c r="B1734" s="47" t="s">
        <v>3706</v>
      </c>
      <c r="C1734" s="47">
        <v>141.0</v>
      </c>
      <c r="D1734" s="47">
        <v>132.0</v>
      </c>
      <c r="E1734" s="47">
        <v>26150.0</v>
      </c>
      <c r="F1734" s="47" t="s">
        <v>11</v>
      </c>
    </row>
    <row r="1735" ht="15.75" customHeight="1">
      <c r="A1735" s="46" t="s">
        <v>3707</v>
      </c>
      <c r="B1735" s="47" t="s">
        <v>3708</v>
      </c>
      <c r="C1735" s="47">
        <v>183.0</v>
      </c>
      <c r="D1735" s="47">
        <v>180.0</v>
      </c>
      <c r="E1735" s="47">
        <v>26010.0</v>
      </c>
      <c r="F1735" s="47" t="s">
        <v>11</v>
      </c>
    </row>
    <row r="1736" ht="15.75" customHeight="1">
      <c r="A1736" s="46" t="s">
        <v>3709</v>
      </c>
      <c r="B1736" s="47" t="s">
        <v>3710</v>
      </c>
      <c r="C1736" s="47">
        <v>617.0</v>
      </c>
      <c r="D1736" s="47">
        <v>654.0</v>
      </c>
      <c r="E1736" s="47">
        <v>26060.0</v>
      </c>
      <c r="F1736" s="47" t="s">
        <v>11</v>
      </c>
    </row>
    <row r="1737" ht="15.75" customHeight="1">
      <c r="A1737" s="46" t="s">
        <v>3711</v>
      </c>
      <c r="B1737" s="47" t="s">
        <v>3712</v>
      </c>
      <c r="C1737" s="47">
        <v>540.0</v>
      </c>
      <c r="D1737" s="47">
        <v>548.0</v>
      </c>
      <c r="E1737" s="47">
        <v>23820.0</v>
      </c>
      <c r="F1737" s="47" t="s">
        <v>11</v>
      </c>
    </row>
    <row r="1738" ht="15.75" customHeight="1">
      <c r="A1738" s="46" t="s">
        <v>3713</v>
      </c>
      <c r="B1738" s="47" t="s">
        <v>3714</v>
      </c>
      <c r="C1738" s="47">
        <v>138.0</v>
      </c>
      <c r="D1738" s="47">
        <v>133.0</v>
      </c>
      <c r="E1738" s="47">
        <v>27700.0</v>
      </c>
      <c r="F1738" s="47" t="s">
        <v>11</v>
      </c>
    </row>
    <row r="1739" ht="15.75" customHeight="1">
      <c r="A1739" s="46" t="s">
        <v>3715</v>
      </c>
      <c r="B1739" s="47" t="s">
        <v>3716</v>
      </c>
      <c r="C1739" s="47">
        <v>812.0</v>
      </c>
      <c r="D1739" s="47">
        <v>773.0</v>
      </c>
      <c r="E1739" s="47">
        <v>28490.0</v>
      </c>
      <c r="F1739" s="47" t="s">
        <v>11</v>
      </c>
    </row>
    <row r="1740" ht="15.75" customHeight="1">
      <c r="A1740" s="46" t="s">
        <v>3717</v>
      </c>
      <c r="B1740" s="47" t="s">
        <v>3718</v>
      </c>
      <c r="C1740" s="47">
        <v>193.0</v>
      </c>
      <c r="D1740" s="47">
        <v>187.0</v>
      </c>
      <c r="E1740" s="47">
        <v>25260.0</v>
      </c>
      <c r="F1740" s="47" t="s">
        <v>11</v>
      </c>
    </row>
    <row r="1741" ht="15.75" customHeight="1">
      <c r="A1741" s="46" t="s">
        <v>3719</v>
      </c>
      <c r="B1741" s="47" t="s">
        <v>3720</v>
      </c>
      <c r="C1741" s="47">
        <v>272.0</v>
      </c>
      <c r="D1741" s="47">
        <v>253.0</v>
      </c>
      <c r="E1741" s="47">
        <v>27540.0</v>
      </c>
      <c r="F1741" s="47" t="s">
        <v>11</v>
      </c>
    </row>
    <row r="1742" ht="15.75" customHeight="1">
      <c r="A1742" s="46" t="s">
        <v>3721</v>
      </c>
      <c r="B1742" s="47" t="s">
        <v>3722</v>
      </c>
      <c r="C1742" s="47">
        <v>335.0</v>
      </c>
      <c r="D1742" s="47">
        <v>345.0</v>
      </c>
      <c r="E1742" s="47">
        <v>26420.0</v>
      </c>
      <c r="F1742" s="47" t="s">
        <v>11</v>
      </c>
    </row>
    <row r="1743" ht="15.75" customHeight="1">
      <c r="A1743" s="46" t="s">
        <v>3723</v>
      </c>
      <c r="B1743" s="47" t="s">
        <v>3724</v>
      </c>
      <c r="C1743" s="47">
        <v>155.0</v>
      </c>
      <c r="D1743" s="47">
        <v>149.0</v>
      </c>
      <c r="E1743" s="47">
        <v>27460.0</v>
      </c>
      <c r="F1743" s="47" t="s">
        <v>11</v>
      </c>
    </row>
    <row r="1744" ht="15.75" customHeight="1">
      <c r="A1744" s="46" t="s">
        <v>3725</v>
      </c>
      <c r="B1744" s="47" t="s">
        <v>3726</v>
      </c>
      <c r="C1744" s="47">
        <v>623.0</v>
      </c>
      <c r="D1744" s="47">
        <v>644.0</v>
      </c>
      <c r="E1744" s="47">
        <v>29310.0</v>
      </c>
      <c r="F1744" s="47" t="s">
        <v>11</v>
      </c>
    </row>
    <row r="1745" ht="15.75" customHeight="1">
      <c r="A1745" s="46" t="s">
        <v>3727</v>
      </c>
      <c r="B1745" s="47" t="s">
        <v>3728</v>
      </c>
      <c r="C1745" s="47">
        <v>462.0</v>
      </c>
      <c r="D1745" s="47">
        <v>463.0</v>
      </c>
      <c r="E1745" s="47">
        <v>28900.0</v>
      </c>
      <c r="F1745" s="47" t="s">
        <v>11</v>
      </c>
    </row>
    <row r="1746" ht="15.75" customHeight="1">
      <c r="A1746" s="46" t="s">
        <v>3729</v>
      </c>
      <c r="B1746" s="47" t="s">
        <v>3730</v>
      </c>
      <c r="C1746" s="47">
        <v>827.0</v>
      </c>
      <c r="D1746" s="47">
        <v>925.0</v>
      </c>
      <c r="E1746" s="47">
        <v>29070.0</v>
      </c>
      <c r="F1746" s="47" t="s">
        <v>11</v>
      </c>
    </row>
    <row r="1747" ht="15.75" customHeight="1">
      <c r="A1747" s="46" t="s">
        <v>3731</v>
      </c>
      <c r="B1747" s="47" t="s">
        <v>3732</v>
      </c>
      <c r="C1747" s="47">
        <v>642.0</v>
      </c>
      <c r="D1747" s="47">
        <v>582.0</v>
      </c>
      <c r="E1747" s="47">
        <v>27690.0</v>
      </c>
      <c r="F1747" s="47" t="s">
        <v>11</v>
      </c>
    </row>
    <row r="1748" ht="15.75" customHeight="1">
      <c r="A1748" s="46" t="s">
        <v>3733</v>
      </c>
      <c r="B1748" s="47" t="s">
        <v>3734</v>
      </c>
      <c r="C1748" s="47">
        <v>243.0</v>
      </c>
      <c r="D1748" s="47">
        <v>237.0</v>
      </c>
      <c r="E1748" s="47">
        <v>23620.0</v>
      </c>
      <c r="F1748" s="47" t="s">
        <v>11</v>
      </c>
    </row>
    <row r="1749" ht="15.75" customHeight="1">
      <c r="A1749" s="46" t="s">
        <v>3735</v>
      </c>
      <c r="B1749" s="47" t="s">
        <v>3736</v>
      </c>
      <c r="C1749" s="47">
        <v>126.0</v>
      </c>
      <c r="D1749" s="47">
        <v>113.0</v>
      </c>
      <c r="E1749" s="47">
        <v>26170.0</v>
      </c>
      <c r="F1749" s="47" t="s">
        <v>11</v>
      </c>
    </row>
    <row r="1750" ht="15.75" customHeight="1">
      <c r="A1750" s="46" t="s">
        <v>3737</v>
      </c>
      <c r="B1750" s="47" t="s">
        <v>3738</v>
      </c>
      <c r="C1750" s="47">
        <v>2498.0</v>
      </c>
      <c r="D1750" s="47">
        <v>2466.0</v>
      </c>
      <c r="E1750" s="47">
        <v>24700.0</v>
      </c>
      <c r="F1750" s="47">
        <v>13.0</v>
      </c>
    </row>
    <row r="1751" ht="15.75" customHeight="1">
      <c r="A1751" s="46" t="s">
        <v>3739</v>
      </c>
      <c r="B1751" s="47" t="s">
        <v>3740</v>
      </c>
      <c r="C1751" s="47">
        <v>312.0</v>
      </c>
      <c r="D1751" s="47">
        <v>309.0</v>
      </c>
      <c r="E1751" s="47">
        <v>25490.0</v>
      </c>
      <c r="F1751" s="47" t="s">
        <v>11</v>
      </c>
    </row>
    <row r="1752" ht="15.75" customHeight="1">
      <c r="A1752" s="46" t="s">
        <v>3741</v>
      </c>
      <c r="B1752" s="47" t="s">
        <v>3742</v>
      </c>
      <c r="C1752" s="47">
        <v>490.0</v>
      </c>
      <c r="D1752" s="47">
        <v>478.0</v>
      </c>
      <c r="E1752" s="47">
        <v>29260.0</v>
      </c>
      <c r="F1752" s="47" t="s">
        <v>11</v>
      </c>
    </row>
    <row r="1753" ht="15.75" customHeight="1">
      <c r="A1753" s="46" t="s">
        <v>3743</v>
      </c>
      <c r="B1753" s="47" t="s">
        <v>3744</v>
      </c>
      <c r="C1753" s="47">
        <v>248.0</v>
      </c>
      <c r="D1753" s="47">
        <v>238.0</v>
      </c>
      <c r="E1753" s="47">
        <v>30250.0</v>
      </c>
      <c r="F1753" s="47" t="s">
        <v>11</v>
      </c>
    </row>
    <row r="1754" ht="15.75" customHeight="1">
      <c r="A1754" s="46" t="s">
        <v>3745</v>
      </c>
      <c r="B1754" s="47" t="s">
        <v>3746</v>
      </c>
      <c r="C1754" s="47">
        <v>708.0</v>
      </c>
      <c r="D1754" s="47">
        <v>704.0</v>
      </c>
      <c r="E1754" s="47">
        <v>29350.0</v>
      </c>
      <c r="F1754" s="47" t="s">
        <v>11</v>
      </c>
    </row>
    <row r="1755" ht="15.75" customHeight="1">
      <c r="A1755" s="46" t="s">
        <v>3747</v>
      </c>
      <c r="B1755" s="47" t="s">
        <v>3748</v>
      </c>
      <c r="C1755" s="47">
        <v>671.0</v>
      </c>
      <c r="D1755" s="47">
        <v>680.0</v>
      </c>
      <c r="E1755" s="47">
        <v>29220.0</v>
      </c>
      <c r="F1755" s="47" t="s">
        <v>11</v>
      </c>
    </row>
    <row r="1756" ht="15.75" customHeight="1">
      <c r="A1756" s="46" t="s">
        <v>3749</v>
      </c>
      <c r="B1756" s="47" t="s">
        <v>3750</v>
      </c>
      <c r="C1756" s="47">
        <v>612.0</v>
      </c>
      <c r="D1756" s="47">
        <v>591.0</v>
      </c>
      <c r="E1756" s="47">
        <v>24850.0</v>
      </c>
      <c r="F1756" s="47" t="s">
        <v>11</v>
      </c>
    </row>
    <row r="1757" ht="15.75" customHeight="1">
      <c r="A1757" s="46" t="s">
        <v>3751</v>
      </c>
      <c r="B1757" s="47" t="s">
        <v>3752</v>
      </c>
      <c r="C1757" s="47">
        <v>259.0</v>
      </c>
      <c r="D1757" s="47">
        <v>250.0</v>
      </c>
      <c r="E1757" s="47">
        <v>28200.0</v>
      </c>
      <c r="F1757" s="47" t="s">
        <v>11</v>
      </c>
    </row>
    <row r="1758" ht="15.75" customHeight="1">
      <c r="A1758" s="46" t="s">
        <v>3753</v>
      </c>
      <c r="B1758" s="47" t="s">
        <v>3754</v>
      </c>
      <c r="C1758" s="47">
        <v>776.0</v>
      </c>
      <c r="D1758" s="47">
        <v>878.0</v>
      </c>
      <c r="E1758" s="47">
        <v>27480.0</v>
      </c>
      <c r="F1758" s="47" t="s">
        <v>11</v>
      </c>
    </row>
    <row r="1759" ht="15.75" customHeight="1">
      <c r="A1759" s="46" t="s">
        <v>3755</v>
      </c>
      <c r="B1759" s="47" t="s">
        <v>3756</v>
      </c>
      <c r="C1759" s="47">
        <v>322.0</v>
      </c>
      <c r="D1759" s="47">
        <v>302.0</v>
      </c>
      <c r="E1759" s="47">
        <v>29070.0</v>
      </c>
      <c r="F1759" s="47" t="s">
        <v>11</v>
      </c>
    </row>
    <row r="1760" ht="15.75" customHeight="1">
      <c r="A1760" s="46" t="s">
        <v>3757</v>
      </c>
      <c r="B1760" s="47" t="s">
        <v>3758</v>
      </c>
      <c r="C1760" s="47">
        <v>681.0</v>
      </c>
      <c r="D1760" s="47">
        <v>640.0</v>
      </c>
      <c r="E1760" s="47">
        <v>25300.0</v>
      </c>
      <c r="F1760" s="47" t="s">
        <v>11</v>
      </c>
    </row>
    <row r="1761" ht="15.75" customHeight="1">
      <c r="A1761" s="46" t="s">
        <v>3759</v>
      </c>
      <c r="B1761" s="47" t="s">
        <v>3760</v>
      </c>
      <c r="C1761" s="47">
        <v>903.0</v>
      </c>
      <c r="D1761" s="47">
        <v>851.0</v>
      </c>
      <c r="E1761" s="47">
        <v>23560.0</v>
      </c>
      <c r="F1761" s="47" t="s">
        <v>11</v>
      </c>
    </row>
    <row r="1762" ht="15.75" customHeight="1">
      <c r="A1762" s="46" t="s">
        <v>3761</v>
      </c>
      <c r="B1762" s="47" t="s">
        <v>3762</v>
      </c>
      <c r="C1762" s="47">
        <v>2411.0</v>
      </c>
      <c r="D1762" s="47">
        <v>2243.0</v>
      </c>
      <c r="E1762" s="47">
        <v>31260.0</v>
      </c>
      <c r="F1762" s="47">
        <v>9.0</v>
      </c>
    </row>
    <row r="1763" ht="15.75" customHeight="1">
      <c r="A1763" s="46" t="s">
        <v>3763</v>
      </c>
      <c r="B1763" s="47" t="s">
        <v>3764</v>
      </c>
      <c r="C1763" s="47">
        <v>609.0</v>
      </c>
      <c r="D1763" s="47">
        <v>588.0</v>
      </c>
      <c r="E1763" s="47">
        <v>34710.0</v>
      </c>
      <c r="F1763" s="47" t="s">
        <v>11</v>
      </c>
    </row>
    <row r="1764" ht="15.75" customHeight="1">
      <c r="A1764" s="46" t="s">
        <v>3765</v>
      </c>
      <c r="B1764" s="47" t="s">
        <v>3766</v>
      </c>
      <c r="C1764" s="47">
        <v>1028.0</v>
      </c>
      <c r="D1764" s="47">
        <v>1071.0</v>
      </c>
      <c r="E1764" s="47">
        <v>26170.0</v>
      </c>
      <c r="F1764" s="47" t="s">
        <v>11</v>
      </c>
    </row>
    <row r="1765" ht="15.75" customHeight="1">
      <c r="A1765" s="46" t="s">
        <v>3767</v>
      </c>
      <c r="B1765" s="47" t="s">
        <v>3768</v>
      </c>
      <c r="C1765" s="47">
        <v>322.0</v>
      </c>
      <c r="D1765" s="47">
        <v>294.0</v>
      </c>
      <c r="E1765" s="47">
        <v>26320.0</v>
      </c>
      <c r="F1765" s="47" t="s">
        <v>11</v>
      </c>
    </row>
    <row r="1766" ht="15.75" customHeight="1">
      <c r="A1766" s="46" t="s">
        <v>3769</v>
      </c>
      <c r="B1766" s="47" t="s">
        <v>3770</v>
      </c>
      <c r="C1766" s="47">
        <v>197.0</v>
      </c>
      <c r="D1766" s="47">
        <v>196.0</v>
      </c>
      <c r="E1766" s="47">
        <v>25200.0</v>
      </c>
      <c r="F1766" s="47" t="s">
        <v>11</v>
      </c>
    </row>
    <row r="1767" ht="15.75" customHeight="1">
      <c r="A1767" s="46" t="s">
        <v>3771</v>
      </c>
      <c r="B1767" s="47" t="s">
        <v>3772</v>
      </c>
      <c r="C1767" s="47">
        <v>1347.0</v>
      </c>
      <c r="D1767" s="47">
        <v>1326.0</v>
      </c>
      <c r="E1767" s="47">
        <v>27970.0</v>
      </c>
      <c r="F1767" s="47" t="s">
        <v>11</v>
      </c>
    </row>
    <row r="1768" ht="15.75" customHeight="1">
      <c r="A1768" s="46" t="s">
        <v>3773</v>
      </c>
      <c r="B1768" s="47" t="s">
        <v>3774</v>
      </c>
      <c r="C1768" s="47">
        <v>443.0</v>
      </c>
      <c r="D1768" s="47">
        <v>456.0</v>
      </c>
      <c r="E1768" s="47">
        <v>28030.0</v>
      </c>
      <c r="F1768" s="47" t="s">
        <v>11</v>
      </c>
    </row>
    <row r="1769" ht="15.75" customHeight="1">
      <c r="A1769" s="46" t="s">
        <v>3775</v>
      </c>
      <c r="B1769" s="47" t="s">
        <v>3776</v>
      </c>
      <c r="C1769" s="47">
        <v>691.0</v>
      </c>
      <c r="D1769" s="47">
        <v>687.0</v>
      </c>
      <c r="E1769" s="47">
        <v>28410.0</v>
      </c>
      <c r="F1769" s="47" t="s">
        <v>11</v>
      </c>
    </row>
    <row r="1770" ht="15.75" customHeight="1">
      <c r="A1770" s="46" t="s">
        <v>3777</v>
      </c>
      <c r="B1770" s="47" t="s">
        <v>3778</v>
      </c>
      <c r="C1770" s="47">
        <v>1620.0</v>
      </c>
      <c r="D1770" s="47">
        <v>1512.0</v>
      </c>
      <c r="E1770" s="47">
        <v>25700.0</v>
      </c>
      <c r="F1770" s="47" t="s">
        <v>11</v>
      </c>
    </row>
    <row r="1771" ht="15.75" customHeight="1">
      <c r="A1771" s="46" t="s">
        <v>3779</v>
      </c>
      <c r="B1771" s="47" t="s">
        <v>3780</v>
      </c>
      <c r="C1771" s="47">
        <v>919.0</v>
      </c>
      <c r="D1771" s="47">
        <v>827.0</v>
      </c>
      <c r="E1771" s="47">
        <v>29440.0</v>
      </c>
      <c r="F1771" s="47" t="s">
        <v>11</v>
      </c>
    </row>
    <row r="1772" ht="15.75" customHeight="1">
      <c r="A1772" s="46" t="s">
        <v>3781</v>
      </c>
      <c r="B1772" s="47" t="s">
        <v>3782</v>
      </c>
      <c r="C1772" s="47">
        <v>148.0</v>
      </c>
      <c r="D1772" s="47">
        <v>165.0</v>
      </c>
      <c r="E1772" s="47">
        <v>28180.0</v>
      </c>
      <c r="F1772" s="47" t="s">
        <v>11</v>
      </c>
    </row>
    <row r="1773" ht="15.75" customHeight="1">
      <c r="A1773" s="46" t="s">
        <v>3783</v>
      </c>
      <c r="B1773" s="47" t="s">
        <v>3784</v>
      </c>
      <c r="C1773" s="47">
        <v>203.0</v>
      </c>
      <c r="D1773" s="47">
        <v>182.0</v>
      </c>
      <c r="E1773" s="47">
        <v>29070.0</v>
      </c>
      <c r="F1773" s="47" t="s">
        <v>11</v>
      </c>
    </row>
    <row r="1774" ht="15.75" customHeight="1">
      <c r="A1774" s="46" t="s">
        <v>3785</v>
      </c>
      <c r="B1774" s="47" t="s">
        <v>3786</v>
      </c>
      <c r="C1774" s="47">
        <v>651.0</v>
      </c>
      <c r="D1774" s="47">
        <v>805.0</v>
      </c>
      <c r="E1774" s="47">
        <v>32800.0</v>
      </c>
      <c r="F1774" s="47" t="s">
        <v>11</v>
      </c>
    </row>
    <row r="1775" ht="15.75" customHeight="1">
      <c r="A1775" s="46" t="s">
        <v>3787</v>
      </c>
      <c r="B1775" s="47" t="s">
        <v>3788</v>
      </c>
      <c r="C1775" s="47">
        <v>4708.0</v>
      </c>
      <c r="D1775" s="47">
        <v>5415.0</v>
      </c>
      <c r="E1775" s="47">
        <v>27760.0</v>
      </c>
      <c r="F1775" s="47">
        <v>8.0</v>
      </c>
    </row>
    <row r="1776" ht="15.75" customHeight="1">
      <c r="A1776" s="46" t="s">
        <v>3789</v>
      </c>
      <c r="B1776" s="47" t="s">
        <v>3790</v>
      </c>
      <c r="C1776" s="47">
        <v>368.0</v>
      </c>
      <c r="D1776" s="47">
        <v>342.0</v>
      </c>
      <c r="E1776" s="47">
        <v>28240.0</v>
      </c>
      <c r="F1776" s="47" t="s">
        <v>11</v>
      </c>
    </row>
    <row r="1777" ht="15.75" customHeight="1">
      <c r="A1777" s="46" t="s">
        <v>3791</v>
      </c>
      <c r="B1777" s="47" t="s">
        <v>3792</v>
      </c>
      <c r="C1777" s="47">
        <v>527.0</v>
      </c>
      <c r="D1777" s="47">
        <v>524.0</v>
      </c>
      <c r="E1777" s="47">
        <v>27130.0</v>
      </c>
      <c r="F1777" s="47" t="s">
        <v>11</v>
      </c>
    </row>
    <row r="1778" ht="15.75" customHeight="1">
      <c r="A1778" s="46" t="s">
        <v>3793</v>
      </c>
      <c r="B1778" s="47" t="s">
        <v>3794</v>
      </c>
      <c r="C1778" s="47">
        <v>2062.0</v>
      </c>
      <c r="D1778" s="47">
        <v>2043.0</v>
      </c>
      <c r="E1778" s="47">
        <v>31690.0</v>
      </c>
      <c r="F1778" s="47">
        <v>3.0</v>
      </c>
    </row>
    <row r="1779" ht="15.75" customHeight="1">
      <c r="A1779" s="46" t="s">
        <v>3795</v>
      </c>
      <c r="B1779" s="47" t="s">
        <v>3796</v>
      </c>
      <c r="C1779" s="47">
        <v>4719.0</v>
      </c>
      <c r="D1779" s="47">
        <v>4926.0</v>
      </c>
      <c r="E1779" s="47">
        <v>25190.0</v>
      </c>
      <c r="F1779" s="47">
        <v>13.0</v>
      </c>
    </row>
    <row r="1780" ht="15.75" customHeight="1">
      <c r="A1780" s="46" t="s">
        <v>3797</v>
      </c>
      <c r="B1780" s="47" t="s">
        <v>3798</v>
      </c>
      <c r="C1780" s="47">
        <v>653.0</v>
      </c>
      <c r="D1780" s="47">
        <v>606.0</v>
      </c>
      <c r="E1780" s="47">
        <v>24430.0</v>
      </c>
      <c r="F1780" s="47" t="s">
        <v>11</v>
      </c>
    </row>
    <row r="1781" ht="15.75" customHeight="1">
      <c r="A1781" s="46" t="s">
        <v>3799</v>
      </c>
      <c r="B1781" s="47" t="s">
        <v>3800</v>
      </c>
      <c r="C1781" s="47">
        <v>480.0</v>
      </c>
      <c r="D1781" s="47">
        <v>504.0</v>
      </c>
      <c r="E1781" s="47">
        <v>25240.0</v>
      </c>
      <c r="F1781" s="47" t="s">
        <v>11</v>
      </c>
    </row>
    <row r="1782" ht="15.75" customHeight="1">
      <c r="A1782" s="46" t="s">
        <v>3801</v>
      </c>
      <c r="B1782" s="47" t="s">
        <v>3802</v>
      </c>
      <c r="C1782" s="47">
        <v>191.0</v>
      </c>
      <c r="D1782" s="47">
        <v>196.0</v>
      </c>
      <c r="E1782" s="47">
        <v>27680.0</v>
      </c>
      <c r="F1782" s="47" t="s">
        <v>11</v>
      </c>
    </row>
    <row r="1783" ht="15.75" customHeight="1">
      <c r="A1783" s="46" t="s">
        <v>3803</v>
      </c>
      <c r="B1783" s="47" t="s">
        <v>3804</v>
      </c>
      <c r="C1783" s="47">
        <v>8881.0</v>
      </c>
      <c r="D1783" s="47">
        <v>9082.0</v>
      </c>
      <c r="E1783" s="47">
        <v>37350.0</v>
      </c>
      <c r="F1783" s="47">
        <v>7.0</v>
      </c>
    </row>
    <row r="1784" ht="15.75" customHeight="1">
      <c r="A1784" s="46" t="s">
        <v>3805</v>
      </c>
      <c r="B1784" s="47" t="s">
        <v>3806</v>
      </c>
      <c r="C1784" s="47">
        <v>282.0</v>
      </c>
      <c r="D1784" s="47">
        <v>278.0</v>
      </c>
      <c r="E1784" s="47">
        <v>23910.0</v>
      </c>
      <c r="F1784" s="47" t="s">
        <v>11</v>
      </c>
    </row>
    <row r="1785" ht="15.75" customHeight="1">
      <c r="A1785" s="46" t="s">
        <v>3807</v>
      </c>
      <c r="B1785" s="47" t="s">
        <v>3808</v>
      </c>
      <c r="C1785" s="47">
        <v>510.0</v>
      </c>
      <c r="D1785" s="47">
        <v>505.0</v>
      </c>
      <c r="E1785" s="47">
        <v>25090.0</v>
      </c>
      <c r="F1785" s="47" t="s">
        <v>11</v>
      </c>
    </row>
    <row r="1786" ht="15.75" customHeight="1">
      <c r="A1786" s="46" t="s">
        <v>3809</v>
      </c>
      <c r="B1786" s="47" t="s">
        <v>3810</v>
      </c>
      <c r="C1786" s="47">
        <v>1399.0</v>
      </c>
      <c r="D1786" s="47">
        <v>1469.0</v>
      </c>
      <c r="E1786" s="47">
        <v>25020.0</v>
      </c>
      <c r="F1786" s="47" t="s">
        <v>11</v>
      </c>
    </row>
    <row r="1787" ht="15.75" customHeight="1">
      <c r="A1787" s="46" t="s">
        <v>3811</v>
      </c>
      <c r="B1787" s="47" t="s">
        <v>3812</v>
      </c>
      <c r="C1787" s="47">
        <v>117.0</v>
      </c>
      <c r="D1787" s="47">
        <v>115.0</v>
      </c>
      <c r="E1787" s="47">
        <v>28960.0</v>
      </c>
      <c r="F1787" s="47" t="s">
        <v>11</v>
      </c>
    </row>
    <row r="1788" ht="15.75" customHeight="1">
      <c r="A1788" s="46" t="s">
        <v>3813</v>
      </c>
      <c r="B1788" s="47" t="s">
        <v>3814</v>
      </c>
      <c r="C1788" s="47">
        <v>150.0</v>
      </c>
      <c r="D1788" s="47">
        <v>180.0</v>
      </c>
      <c r="E1788" s="47">
        <v>29910.0</v>
      </c>
      <c r="F1788" s="47" t="s">
        <v>11</v>
      </c>
    </row>
    <row r="1789" ht="15.75" customHeight="1">
      <c r="A1789" s="46" t="s">
        <v>3815</v>
      </c>
      <c r="B1789" s="47" t="s">
        <v>3816</v>
      </c>
      <c r="C1789" s="47">
        <v>207.0</v>
      </c>
      <c r="D1789" s="47">
        <v>182.0</v>
      </c>
      <c r="E1789" s="47">
        <v>25070.0</v>
      </c>
      <c r="F1789" s="47" t="s">
        <v>11</v>
      </c>
    </row>
    <row r="1790" ht="15.75" customHeight="1">
      <c r="A1790" s="46" t="s">
        <v>3817</v>
      </c>
      <c r="B1790" s="47" t="s">
        <v>3818</v>
      </c>
      <c r="C1790" s="47">
        <v>38.0</v>
      </c>
      <c r="D1790" s="47">
        <v>32.0</v>
      </c>
      <c r="E1790" s="47" t="s">
        <v>11</v>
      </c>
      <c r="F1790" s="47" t="s">
        <v>11</v>
      </c>
    </row>
    <row r="1791" ht="15.75" customHeight="1">
      <c r="A1791" s="46" t="s">
        <v>3819</v>
      </c>
      <c r="B1791" s="47" t="s">
        <v>3820</v>
      </c>
      <c r="C1791" s="47">
        <v>1168.0</v>
      </c>
      <c r="D1791" s="47">
        <v>1116.0</v>
      </c>
      <c r="E1791" s="47">
        <v>27500.0</v>
      </c>
      <c r="F1791" s="47" t="s">
        <v>11</v>
      </c>
    </row>
    <row r="1792" ht="15.75" customHeight="1">
      <c r="A1792" s="46" t="s">
        <v>3821</v>
      </c>
      <c r="B1792" s="47" t="s">
        <v>3822</v>
      </c>
      <c r="C1792" s="47">
        <v>534.0</v>
      </c>
      <c r="D1792" s="47">
        <v>631.0</v>
      </c>
      <c r="E1792" s="47">
        <v>30970.0</v>
      </c>
      <c r="F1792" s="47" t="s">
        <v>11</v>
      </c>
    </row>
    <row r="1793" ht="15.75" customHeight="1">
      <c r="A1793" s="46" t="s">
        <v>3823</v>
      </c>
      <c r="B1793" s="47" t="s">
        <v>3824</v>
      </c>
      <c r="C1793" s="47">
        <v>551.0</v>
      </c>
      <c r="D1793" s="47">
        <v>548.0</v>
      </c>
      <c r="E1793" s="47">
        <v>25360.0</v>
      </c>
      <c r="F1793" s="47" t="s">
        <v>11</v>
      </c>
    </row>
    <row r="1794" ht="15.75" customHeight="1">
      <c r="A1794" s="46" t="s">
        <v>3825</v>
      </c>
      <c r="B1794" s="47" t="s">
        <v>3826</v>
      </c>
      <c r="C1794" s="47">
        <v>972.0</v>
      </c>
      <c r="D1794" s="47">
        <v>1014.0</v>
      </c>
      <c r="E1794" s="47">
        <v>29630.0</v>
      </c>
      <c r="F1794" s="47" t="s">
        <v>11</v>
      </c>
    </row>
    <row r="1795" ht="15.75" customHeight="1">
      <c r="A1795" s="46" t="s">
        <v>3827</v>
      </c>
      <c r="B1795" s="47" t="s">
        <v>3828</v>
      </c>
      <c r="C1795" s="47">
        <v>189.0</v>
      </c>
      <c r="D1795" s="47">
        <v>203.0</v>
      </c>
      <c r="E1795" s="47">
        <v>27430.0</v>
      </c>
      <c r="F1795" s="47" t="s">
        <v>11</v>
      </c>
    </row>
    <row r="1796" ht="15.75" customHeight="1">
      <c r="A1796" s="46" t="s">
        <v>3829</v>
      </c>
      <c r="B1796" s="47" t="s">
        <v>3830</v>
      </c>
      <c r="C1796" s="47">
        <v>6880.0</v>
      </c>
      <c r="D1796" s="47">
        <v>6785.0</v>
      </c>
      <c r="E1796" s="47">
        <v>23280.0</v>
      </c>
      <c r="F1796" s="47">
        <v>19.0</v>
      </c>
    </row>
    <row r="1797" ht="15.75" customHeight="1">
      <c r="A1797" s="46" t="s">
        <v>3831</v>
      </c>
      <c r="B1797" s="47" t="s">
        <v>3832</v>
      </c>
      <c r="C1797" s="47">
        <v>595.0</v>
      </c>
      <c r="D1797" s="47">
        <v>573.0</v>
      </c>
      <c r="E1797" s="47">
        <v>28870.0</v>
      </c>
      <c r="F1797" s="47" t="s">
        <v>11</v>
      </c>
    </row>
    <row r="1798" ht="15.75" customHeight="1">
      <c r="A1798" s="46" t="s">
        <v>3833</v>
      </c>
      <c r="B1798" s="47" t="s">
        <v>3834</v>
      </c>
      <c r="C1798" s="47">
        <v>182.0</v>
      </c>
      <c r="D1798" s="47">
        <v>181.0</v>
      </c>
      <c r="E1798" s="47">
        <v>23550.0</v>
      </c>
      <c r="F1798" s="47" t="s">
        <v>11</v>
      </c>
    </row>
    <row r="1799" ht="15.75" customHeight="1">
      <c r="A1799" s="46" t="s">
        <v>3835</v>
      </c>
      <c r="B1799" s="47" t="s">
        <v>3836</v>
      </c>
      <c r="C1799" s="47">
        <v>227.0</v>
      </c>
      <c r="D1799" s="47">
        <v>224.0</v>
      </c>
      <c r="E1799" s="47">
        <v>32310.0</v>
      </c>
      <c r="F1799" s="47" t="s">
        <v>11</v>
      </c>
    </row>
    <row r="1800" ht="15.75" customHeight="1">
      <c r="A1800" s="46" t="s">
        <v>3837</v>
      </c>
      <c r="B1800" s="47" t="s">
        <v>3838</v>
      </c>
      <c r="C1800" s="47">
        <v>709.0</v>
      </c>
      <c r="D1800" s="47">
        <v>718.0</v>
      </c>
      <c r="E1800" s="47">
        <v>28220.0</v>
      </c>
      <c r="F1800" s="47" t="s">
        <v>11</v>
      </c>
    </row>
    <row r="1801" ht="15.75" customHeight="1">
      <c r="A1801" s="46" t="s">
        <v>3839</v>
      </c>
      <c r="B1801" s="47" t="s">
        <v>3840</v>
      </c>
      <c r="C1801" s="47">
        <v>410.0</v>
      </c>
      <c r="D1801" s="47">
        <v>423.0</v>
      </c>
      <c r="E1801" s="47">
        <v>26740.0</v>
      </c>
      <c r="F1801" s="47" t="s">
        <v>11</v>
      </c>
    </row>
    <row r="1802" ht="15.75" customHeight="1">
      <c r="A1802" s="46" t="s">
        <v>3841</v>
      </c>
      <c r="B1802" s="47" t="s">
        <v>3842</v>
      </c>
      <c r="C1802" s="47">
        <v>356.0</v>
      </c>
      <c r="D1802" s="47">
        <v>359.0</v>
      </c>
      <c r="E1802" s="47">
        <v>29320.0</v>
      </c>
      <c r="F1802" s="47" t="s">
        <v>11</v>
      </c>
    </row>
    <row r="1803" ht="15.75" customHeight="1">
      <c r="A1803" s="46" t="s">
        <v>3843</v>
      </c>
      <c r="B1803" s="47" t="s">
        <v>3844</v>
      </c>
      <c r="C1803" s="47">
        <v>336.0</v>
      </c>
      <c r="D1803" s="47">
        <v>329.0</v>
      </c>
      <c r="E1803" s="47">
        <v>28170.0</v>
      </c>
      <c r="F1803" s="47" t="s">
        <v>11</v>
      </c>
    </row>
    <row r="1804" ht="15.75" customHeight="1">
      <c r="A1804" s="46" t="s">
        <v>3845</v>
      </c>
      <c r="B1804" s="47" t="s">
        <v>3846</v>
      </c>
      <c r="C1804" s="47">
        <v>2622.0</v>
      </c>
      <c r="D1804" s="47">
        <v>2586.0</v>
      </c>
      <c r="E1804" s="47">
        <v>24160.0</v>
      </c>
      <c r="F1804" s="47">
        <v>16.0</v>
      </c>
    </row>
    <row r="1805" ht="15.75" customHeight="1">
      <c r="A1805" s="46" t="s">
        <v>3847</v>
      </c>
      <c r="B1805" s="47" t="s">
        <v>3848</v>
      </c>
      <c r="C1805" s="47">
        <v>1919.0</v>
      </c>
      <c r="D1805" s="47">
        <v>1895.0</v>
      </c>
      <c r="E1805" s="47">
        <v>29750.0</v>
      </c>
      <c r="F1805" s="47" t="s">
        <v>11</v>
      </c>
    </row>
    <row r="1806" ht="15.75" customHeight="1">
      <c r="A1806" s="46" t="s">
        <v>3849</v>
      </c>
      <c r="B1806" s="47" t="s">
        <v>3850</v>
      </c>
      <c r="C1806" s="47">
        <v>1306.0</v>
      </c>
      <c r="D1806" s="47">
        <v>1247.0</v>
      </c>
      <c r="E1806" s="47">
        <v>27780.0</v>
      </c>
      <c r="F1806" s="47" t="s">
        <v>11</v>
      </c>
    </row>
    <row r="1807" ht="15.75" customHeight="1">
      <c r="A1807" s="46" t="s">
        <v>3851</v>
      </c>
      <c r="B1807" s="47" t="s">
        <v>3852</v>
      </c>
      <c r="C1807" s="47">
        <v>150.0</v>
      </c>
      <c r="D1807" s="47">
        <v>151.0</v>
      </c>
      <c r="E1807" s="47">
        <v>27220.0</v>
      </c>
      <c r="F1807" s="47" t="s">
        <v>11</v>
      </c>
    </row>
    <row r="1808" ht="15.75" customHeight="1">
      <c r="A1808" s="46" t="s">
        <v>3853</v>
      </c>
      <c r="B1808" s="47" t="s">
        <v>3854</v>
      </c>
      <c r="C1808" s="47">
        <v>642.0</v>
      </c>
      <c r="D1808" s="47">
        <v>682.0</v>
      </c>
      <c r="E1808" s="47">
        <v>27760.0</v>
      </c>
      <c r="F1808" s="47" t="s">
        <v>11</v>
      </c>
    </row>
    <row r="1809" ht="15.75" customHeight="1">
      <c r="A1809" s="46" t="s">
        <v>3855</v>
      </c>
      <c r="B1809" s="47" t="s">
        <v>3856</v>
      </c>
      <c r="C1809" s="47">
        <v>718.0</v>
      </c>
      <c r="D1809" s="47">
        <v>830.0</v>
      </c>
      <c r="E1809" s="47">
        <v>27470.0</v>
      </c>
      <c r="F1809" s="47" t="s">
        <v>11</v>
      </c>
    </row>
    <row r="1810" ht="15.75" customHeight="1">
      <c r="A1810" s="46" t="s">
        <v>3857</v>
      </c>
      <c r="B1810" s="47" t="s">
        <v>3858</v>
      </c>
      <c r="C1810" s="47">
        <v>2699.0</v>
      </c>
      <c r="D1810" s="47">
        <v>2473.0</v>
      </c>
      <c r="E1810" s="47">
        <v>23710.0</v>
      </c>
      <c r="F1810" s="47">
        <v>14.0</v>
      </c>
    </row>
    <row r="1811" ht="15.75" customHeight="1">
      <c r="A1811" s="46" t="s">
        <v>3859</v>
      </c>
      <c r="B1811" s="47" t="s">
        <v>3860</v>
      </c>
      <c r="C1811" s="47">
        <v>414.0</v>
      </c>
      <c r="D1811" s="47">
        <v>381.0</v>
      </c>
      <c r="E1811" s="47">
        <v>28370.0</v>
      </c>
      <c r="F1811" s="47" t="s">
        <v>11</v>
      </c>
    </row>
    <row r="1812" ht="15.75" customHeight="1">
      <c r="A1812" s="46" t="s">
        <v>3861</v>
      </c>
      <c r="B1812" s="47" t="s">
        <v>3862</v>
      </c>
      <c r="C1812" s="47">
        <v>161.0</v>
      </c>
      <c r="D1812" s="47">
        <v>178.0</v>
      </c>
      <c r="E1812" s="47">
        <v>29610.0</v>
      </c>
      <c r="F1812" s="47" t="s">
        <v>11</v>
      </c>
    </row>
    <row r="1813" ht="15.75" customHeight="1">
      <c r="A1813" s="46" t="s">
        <v>3863</v>
      </c>
      <c r="B1813" s="47" t="s">
        <v>3864</v>
      </c>
      <c r="C1813" s="47">
        <v>301.0</v>
      </c>
      <c r="D1813" s="47">
        <v>285.0</v>
      </c>
      <c r="E1813" s="47">
        <v>25950.0</v>
      </c>
      <c r="F1813" s="47" t="s">
        <v>11</v>
      </c>
    </row>
    <row r="1814" ht="15.75" customHeight="1">
      <c r="A1814" s="46" t="s">
        <v>3865</v>
      </c>
      <c r="B1814" s="47" t="s">
        <v>3866</v>
      </c>
      <c r="C1814" s="47">
        <v>406.0</v>
      </c>
      <c r="D1814" s="47">
        <v>375.0</v>
      </c>
      <c r="E1814" s="47">
        <v>28740.0</v>
      </c>
      <c r="F1814" s="47" t="s">
        <v>11</v>
      </c>
    </row>
    <row r="1815" ht="15.75" customHeight="1">
      <c r="A1815" s="46" t="s">
        <v>3867</v>
      </c>
      <c r="B1815" s="47" t="s">
        <v>3868</v>
      </c>
      <c r="C1815" s="47">
        <v>641.0</v>
      </c>
      <c r="D1815" s="47">
        <v>616.0</v>
      </c>
      <c r="E1815" s="47">
        <v>26780.0</v>
      </c>
      <c r="F1815" s="47" t="s">
        <v>11</v>
      </c>
    </row>
    <row r="1816" ht="15.75" customHeight="1">
      <c r="A1816" s="46" t="s">
        <v>3869</v>
      </c>
      <c r="B1816" s="47" t="s">
        <v>3870</v>
      </c>
      <c r="C1816" s="47">
        <v>1613.0</v>
      </c>
      <c r="D1816" s="47">
        <v>1581.0</v>
      </c>
      <c r="E1816" s="47">
        <v>26460.0</v>
      </c>
      <c r="F1816" s="47" t="s">
        <v>11</v>
      </c>
    </row>
    <row r="1817" ht="15.75" customHeight="1">
      <c r="A1817" s="46" t="s">
        <v>3871</v>
      </c>
      <c r="B1817" s="47" t="s">
        <v>3872</v>
      </c>
      <c r="C1817" s="47">
        <v>261.0</v>
      </c>
      <c r="D1817" s="47">
        <v>258.0</v>
      </c>
      <c r="E1817" s="47">
        <v>25650.0</v>
      </c>
      <c r="F1817" s="47" t="s">
        <v>11</v>
      </c>
    </row>
    <row r="1818" ht="15.75" customHeight="1">
      <c r="A1818" s="46" t="s">
        <v>3873</v>
      </c>
      <c r="B1818" s="47" t="s">
        <v>3874</v>
      </c>
      <c r="C1818" s="47">
        <v>8370.0</v>
      </c>
      <c r="D1818" s="47">
        <v>8677.0</v>
      </c>
      <c r="E1818" s="47">
        <v>25900.0</v>
      </c>
      <c r="F1818" s="47">
        <v>13.0</v>
      </c>
    </row>
    <row r="1819" ht="15.75" customHeight="1">
      <c r="A1819" s="46" t="s">
        <v>3875</v>
      </c>
      <c r="B1819" s="47" t="s">
        <v>3876</v>
      </c>
      <c r="C1819" s="47">
        <v>536.0</v>
      </c>
      <c r="D1819" s="47">
        <v>531.0</v>
      </c>
      <c r="E1819" s="47">
        <v>29280.0</v>
      </c>
      <c r="F1819" s="47" t="s">
        <v>11</v>
      </c>
    </row>
    <row r="1820" ht="15.75" customHeight="1">
      <c r="A1820" s="46" t="s">
        <v>3877</v>
      </c>
      <c r="B1820" s="47" t="s">
        <v>3878</v>
      </c>
      <c r="C1820" s="47">
        <v>680.0</v>
      </c>
      <c r="D1820" s="47">
        <v>641.0</v>
      </c>
      <c r="E1820" s="47">
        <v>26790.0</v>
      </c>
      <c r="F1820" s="47" t="s">
        <v>11</v>
      </c>
    </row>
    <row r="1821" ht="15.75" customHeight="1">
      <c r="A1821" s="46" t="s">
        <v>3879</v>
      </c>
      <c r="B1821" s="47" t="s">
        <v>3880</v>
      </c>
      <c r="C1821" s="47">
        <v>491.0</v>
      </c>
      <c r="D1821" s="47">
        <v>484.0</v>
      </c>
      <c r="E1821" s="47">
        <v>27000.0</v>
      </c>
      <c r="F1821" s="47" t="s">
        <v>11</v>
      </c>
    </row>
    <row r="1822" ht="15.75" customHeight="1">
      <c r="A1822" s="46" t="s">
        <v>3881</v>
      </c>
      <c r="B1822" s="47" t="s">
        <v>3882</v>
      </c>
      <c r="C1822" s="47">
        <v>1482.0</v>
      </c>
      <c r="D1822" s="47">
        <v>1409.0</v>
      </c>
      <c r="E1822" s="47">
        <v>21300.0</v>
      </c>
      <c r="F1822" s="47" t="s">
        <v>11</v>
      </c>
    </row>
    <row r="1823" ht="15.75" customHeight="1">
      <c r="A1823" s="46" t="s">
        <v>3883</v>
      </c>
      <c r="B1823" s="47" t="s">
        <v>3884</v>
      </c>
      <c r="C1823" s="47">
        <v>128.0</v>
      </c>
      <c r="D1823" s="47">
        <v>136.0</v>
      </c>
      <c r="E1823" s="47">
        <v>29320.0</v>
      </c>
      <c r="F1823" s="47" t="s">
        <v>11</v>
      </c>
    </row>
    <row r="1824" ht="15.75" customHeight="1">
      <c r="A1824" s="46" t="s">
        <v>3885</v>
      </c>
      <c r="B1824" s="47" t="s">
        <v>3886</v>
      </c>
      <c r="C1824" s="47">
        <v>249.0</v>
      </c>
      <c r="D1824" s="47">
        <v>221.0</v>
      </c>
      <c r="E1824" s="47">
        <v>24790.0</v>
      </c>
      <c r="F1824" s="47" t="s">
        <v>11</v>
      </c>
    </row>
    <row r="1825" ht="15.75" customHeight="1">
      <c r="A1825" s="46" t="s">
        <v>3887</v>
      </c>
      <c r="B1825" s="47" t="s">
        <v>3888</v>
      </c>
      <c r="C1825" s="47">
        <v>316.0</v>
      </c>
      <c r="D1825" s="47">
        <v>344.0</v>
      </c>
      <c r="E1825" s="47">
        <v>27220.0</v>
      </c>
      <c r="F1825" s="47" t="s">
        <v>11</v>
      </c>
    </row>
    <row r="1826" ht="15.75" customHeight="1">
      <c r="A1826" s="46" t="s">
        <v>3889</v>
      </c>
      <c r="B1826" s="47" t="s">
        <v>3890</v>
      </c>
      <c r="C1826" s="47">
        <v>249.0</v>
      </c>
      <c r="D1826" s="47">
        <v>211.0</v>
      </c>
      <c r="E1826" s="47">
        <v>29580.0</v>
      </c>
      <c r="F1826" s="47" t="s">
        <v>11</v>
      </c>
    </row>
    <row r="1827" ht="15.75" customHeight="1">
      <c r="A1827" s="46" t="s">
        <v>3891</v>
      </c>
      <c r="B1827" s="47" t="s">
        <v>3892</v>
      </c>
      <c r="C1827" s="47">
        <v>740.0</v>
      </c>
      <c r="D1827" s="47">
        <v>789.0</v>
      </c>
      <c r="E1827" s="47">
        <v>28040.0</v>
      </c>
      <c r="F1827" s="47" t="s">
        <v>11</v>
      </c>
    </row>
    <row r="1828" ht="15.75" customHeight="1">
      <c r="A1828" s="46" t="s">
        <v>3893</v>
      </c>
      <c r="B1828" s="47" t="s">
        <v>3894</v>
      </c>
      <c r="C1828" s="47">
        <v>638.0</v>
      </c>
      <c r="D1828" s="47">
        <v>600.0</v>
      </c>
      <c r="E1828" s="47">
        <v>27740.0</v>
      </c>
      <c r="F1828" s="47" t="s">
        <v>11</v>
      </c>
    </row>
    <row r="1829" ht="15.75" customHeight="1">
      <c r="A1829" s="46" t="s">
        <v>3895</v>
      </c>
      <c r="B1829" s="47" t="s">
        <v>3896</v>
      </c>
      <c r="C1829" s="47">
        <v>104.0</v>
      </c>
      <c r="D1829" s="47">
        <v>103.0</v>
      </c>
      <c r="E1829" s="47">
        <v>28530.0</v>
      </c>
      <c r="F1829" s="47" t="s">
        <v>11</v>
      </c>
    </row>
    <row r="1830" ht="15.75" customHeight="1">
      <c r="A1830" s="46" t="s">
        <v>3897</v>
      </c>
      <c r="B1830" s="47" t="s">
        <v>3898</v>
      </c>
      <c r="C1830" s="47">
        <v>14614.0</v>
      </c>
      <c r="D1830" s="47">
        <v>13897.0</v>
      </c>
      <c r="E1830" s="47">
        <v>22160.0</v>
      </c>
      <c r="F1830" s="47">
        <v>24.0</v>
      </c>
    </row>
    <row r="1831" ht="15.75" customHeight="1">
      <c r="A1831" s="46" t="s">
        <v>3899</v>
      </c>
      <c r="B1831" s="47" t="s">
        <v>3900</v>
      </c>
      <c r="C1831" s="47">
        <v>629.0</v>
      </c>
      <c r="D1831" s="47">
        <v>604.0</v>
      </c>
      <c r="E1831" s="47">
        <v>23700.0</v>
      </c>
      <c r="F1831" s="47" t="s">
        <v>11</v>
      </c>
    </row>
    <row r="1832" ht="15.75" customHeight="1">
      <c r="A1832" s="46" t="s">
        <v>3901</v>
      </c>
      <c r="B1832" s="47" t="s">
        <v>3902</v>
      </c>
      <c r="C1832" s="47">
        <v>84.0</v>
      </c>
      <c r="D1832" s="47">
        <v>66.0</v>
      </c>
      <c r="E1832" s="47" t="s">
        <v>11</v>
      </c>
      <c r="F1832" s="47" t="s">
        <v>11</v>
      </c>
    </row>
    <row r="1833" ht="15.75" customHeight="1">
      <c r="A1833" s="46" t="s">
        <v>3903</v>
      </c>
      <c r="B1833" s="47" t="s">
        <v>3904</v>
      </c>
      <c r="C1833" s="47">
        <v>2229.0</v>
      </c>
      <c r="D1833" s="47">
        <v>2439.0</v>
      </c>
      <c r="E1833" s="47">
        <v>29180.0</v>
      </c>
      <c r="F1833" s="47">
        <v>8.0</v>
      </c>
    </row>
    <row r="1834" ht="15.75" customHeight="1">
      <c r="A1834" s="46" t="s">
        <v>3905</v>
      </c>
      <c r="B1834" s="47" t="s">
        <v>3906</v>
      </c>
      <c r="C1834" s="47">
        <v>204.0</v>
      </c>
      <c r="D1834" s="47">
        <v>248.0</v>
      </c>
      <c r="E1834" s="47">
        <v>26280.0</v>
      </c>
      <c r="F1834" s="47" t="s">
        <v>11</v>
      </c>
    </row>
    <row r="1835" ht="15.75" customHeight="1">
      <c r="A1835" s="46" t="s">
        <v>3907</v>
      </c>
      <c r="B1835" s="47" t="s">
        <v>3908</v>
      </c>
      <c r="C1835" s="47">
        <v>266.0</v>
      </c>
      <c r="D1835" s="47">
        <v>265.0</v>
      </c>
      <c r="E1835" s="47">
        <v>28240.0</v>
      </c>
      <c r="F1835" s="47" t="s">
        <v>11</v>
      </c>
    </row>
    <row r="1836" ht="15.75" customHeight="1">
      <c r="A1836" s="46" t="s">
        <v>3909</v>
      </c>
      <c r="B1836" s="47" t="s">
        <v>3910</v>
      </c>
      <c r="C1836" s="47">
        <v>794.0</v>
      </c>
      <c r="D1836" s="47">
        <v>770.0</v>
      </c>
      <c r="E1836" s="47">
        <v>28310.0</v>
      </c>
      <c r="F1836" s="47" t="s">
        <v>11</v>
      </c>
    </row>
    <row r="1837" ht="15.75" customHeight="1">
      <c r="A1837" s="46" t="s">
        <v>3911</v>
      </c>
      <c r="B1837" s="47" t="s">
        <v>3912</v>
      </c>
      <c r="C1837" s="47">
        <v>2270.0</v>
      </c>
      <c r="D1837" s="47">
        <v>2327.0</v>
      </c>
      <c r="E1837" s="47">
        <v>30170.0</v>
      </c>
      <c r="F1837" s="47">
        <v>6.0</v>
      </c>
    </row>
    <row r="1838" ht="15.75" customHeight="1">
      <c r="A1838" s="46" t="s">
        <v>3913</v>
      </c>
      <c r="B1838" s="47" t="s">
        <v>3914</v>
      </c>
      <c r="C1838" s="47">
        <v>1708.0</v>
      </c>
      <c r="D1838" s="47">
        <v>1922.0</v>
      </c>
      <c r="E1838" s="47">
        <v>25270.0</v>
      </c>
      <c r="F1838" s="47" t="s">
        <v>11</v>
      </c>
    </row>
    <row r="1839" ht="15.75" customHeight="1">
      <c r="A1839" s="46" t="s">
        <v>3915</v>
      </c>
      <c r="B1839" s="47" t="s">
        <v>3916</v>
      </c>
      <c r="C1839" s="47">
        <v>1515.0</v>
      </c>
      <c r="D1839" s="47">
        <v>1487.0</v>
      </c>
      <c r="E1839" s="47">
        <v>26740.0</v>
      </c>
      <c r="F1839" s="47" t="s">
        <v>11</v>
      </c>
    </row>
    <row r="1840" ht="15.75" customHeight="1">
      <c r="A1840" s="46" t="s">
        <v>3917</v>
      </c>
      <c r="B1840" s="47" t="s">
        <v>3918</v>
      </c>
      <c r="C1840" s="47">
        <v>1158.0</v>
      </c>
      <c r="D1840" s="47">
        <v>1117.0</v>
      </c>
      <c r="E1840" s="47">
        <v>22690.0</v>
      </c>
      <c r="F1840" s="47" t="s">
        <v>11</v>
      </c>
    </row>
    <row r="1841" ht="15.75" customHeight="1">
      <c r="A1841" s="46" t="s">
        <v>3919</v>
      </c>
      <c r="B1841" s="47" t="s">
        <v>3920</v>
      </c>
      <c r="C1841" s="47">
        <v>825.0</v>
      </c>
      <c r="D1841" s="47">
        <v>947.0</v>
      </c>
      <c r="E1841" s="47">
        <v>28800.0</v>
      </c>
      <c r="F1841" s="47" t="s">
        <v>11</v>
      </c>
    </row>
    <row r="1842" ht="15.75" customHeight="1">
      <c r="A1842" s="46" t="s">
        <v>3921</v>
      </c>
      <c r="B1842" s="47" t="s">
        <v>3922</v>
      </c>
      <c r="C1842" s="47">
        <v>227.0</v>
      </c>
      <c r="D1842" s="47">
        <v>211.0</v>
      </c>
      <c r="E1842" s="47">
        <v>24350.0</v>
      </c>
      <c r="F1842" s="47" t="s">
        <v>11</v>
      </c>
    </row>
    <row r="1843" ht="15.75" customHeight="1">
      <c r="A1843" s="46" t="s">
        <v>3923</v>
      </c>
      <c r="B1843" s="47" t="s">
        <v>3924</v>
      </c>
      <c r="C1843" s="47">
        <v>769.0</v>
      </c>
      <c r="D1843" s="47">
        <v>772.0</v>
      </c>
      <c r="E1843" s="47">
        <v>29600.0</v>
      </c>
      <c r="F1843" s="47" t="s">
        <v>11</v>
      </c>
    </row>
    <row r="1844" ht="15.75" customHeight="1">
      <c r="A1844" s="46" t="s">
        <v>3925</v>
      </c>
      <c r="B1844" s="47" t="s">
        <v>3926</v>
      </c>
      <c r="C1844" s="47">
        <v>2214.0</v>
      </c>
      <c r="D1844" s="47">
        <v>2155.0</v>
      </c>
      <c r="E1844" s="47">
        <v>27680.0</v>
      </c>
      <c r="F1844" s="47" t="s">
        <v>11</v>
      </c>
    </row>
    <row r="1845" ht="15.75" customHeight="1">
      <c r="A1845" s="46" t="s">
        <v>3927</v>
      </c>
      <c r="B1845" s="47" t="s">
        <v>3928</v>
      </c>
      <c r="C1845" s="47">
        <v>243.0</v>
      </c>
      <c r="D1845" s="47">
        <v>247.0</v>
      </c>
      <c r="E1845" s="47">
        <v>23700.0</v>
      </c>
      <c r="F1845" s="47" t="s">
        <v>11</v>
      </c>
    </row>
    <row r="1846" ht="15.75" customHeight="1">
      <c r="A1846" s="46" t="s">
        <v>3929</v>
      </c>
      <c r="B1846" s="47" t="s">
        <v>3930</v>
      </c>
      <c r="C1846" s="47">
        <v>823.0</v>
      </c>
      <c r="D1846" s="47">
        <v>765.0</v>
      </c>
      <c r="E1846" s="47">
        <v>29890.0</v>
      </c>
      <c r="F1846" s="47" t="s">
        <v>11</v>
      </c>
    </row>
    <row r="1847" ht="15.75" customHeight="1">
      <c r="A1847" s="46" t="s">
        <v>3931</v>
      </c>
      <c r="B1847" s="47" t="s">
        <v>3932</v>
      </c>
      <c r="C1847" s="47">
        <v>669.0</v>
      </c>
      <c r="D1847" s="47">
        <v>672.0</v>
      </c>
      <c r="E1847" s="47">
        <v>30870.0</v>
      </c>
      <c r="F1847" s="47" t="s">
        <v>11</v>
      </c>
    </row>
    <row r="1848" ht="15.75" customHeight="1">
      <c r="A1848" s="46" t="s">
        <v>3933</v>
      </c>
      <c r="B1848" s="47" t="s">
        <v>3934</v>
      </c>
      <c r="C1848" s="47">
        <v>417.0</v>
      </c>
      <c r="D1848" s="47">
        <v>425.0</v>
      </c>
      <c r="E1848" s="47">
        <v>30910.0</v>
      </c>
      <c r="F1848" s="47" t="s">
        <v>11</v>
      </c>
    </row>
    <row r="1849" ht="15.75" customHeight="1">
      <c r="A1849" s="46" t="s">
        <v>3935</v>
      </c>
      <c r="B1849" s="47" t="s">
        <v>3936</v>
      </c>
      <c r="C1849" s="47">
        <v>13263.0</v>
      </c>
      <c r="D1849" s="47">
        <v>14257.0</v>
      </c>
      <c r="E1849" s="47">
        <v>19240.0</v>
      </c>
      <c r="F1849" s="47">
        <v>32.0</v>
      </c>
    </row>
    <row r="1850" ht="15.75" customHeight="1">
      <c r="A1850" s="46" t="s">
        <v>3937</v>
      </c>
      <c r="B1850" s="47" t="s">
        <v>3938</v>
      </c>
      <c r="C1850" s="47">
        <v>138.0</v>
      </c>
      <c r="D1850" s="47">
        <v>159.0</v>
      </c>
      <c r="E1850" s="47">
        <v>39880.0</v>
      </c>
      <c r="F1850" s="47" t="s">
        <v>11</v>
      </c>
    </row>
    <row r="1851" ht="15.75" customHeight="1">
      <c r="A1851" s="46" t="s">
        <v>3939</v>
      </c>
      <c r="B1851" s="47" t="s">
        <v>3940</v>
      </c>
      <c r="C1851" s="47">
        <v>183.0</v>
      </c>
      <c r="D1851" s="47">
        <v>166.0</v>
      </c>
      <c r="E1851" s="47">
        <v>24290.0</v>
      </c>
      <c r="F1851" s="47" t="s">
        <v>11</v>
      </c>
    </row>
    <row r="1852" ht="15.75" customHeight="1">
      <c r="A1852" s="46" t="s">
        <v>3941</v>
      </c>
      <c r="B1852" s="47" t="s">
        <v>3942</v>
      </c>
      <c r="C1852" s="47">
        <v>427.0</v>
      </c>
      <c r="D1852" s="47">
        <v>392.0</v>
      </c>
      <c r="E1852" s="47">
        <v>29370.0</v>
      </c>
      <c r="F1852" s="47" t="s">
        <v>11</v>
      </c>
    </row>
    <row r="1853" ht="15.75" customHeight="1">
      <c r="A1853" s="46" t="s">
        <v>3943</v>
      </c>
      <c r="B1853" s="47" t="s">
        <v>3944</v>
      </c>
      <c r="C1853" s="47">
        <v>483.0</v>
      </c>
      <c r="D1853" s="47">
        <v>530.0</v>
      </c>
      <c r="E1853" s="47">
        <v>30330.0</v>
      </c>
      <c r="F1853" s="47" t="s">
        <v>11</v>
      </c>
    </row>
    <row r="1854" ht="15.75" customHeight="1">
      <c r="A1854" s="46" t="s">
        <v>3945</v>
      </c>
      <c r="B1854" s="47" t="s">
        <v>3946</v>
      </c>
      <c r="C1854" s="47">
        <v>397.0</v>
      </c>
      <c r="D1854" s="47">
        <v>416.0</v>
      </c>
      <c r="E1854" s="47">
        <v>32090.0</v>
      </c>
      <c r="F1854" s="47" t="s">
        <v>11</v>
      </c>
    </row>
    <row r="1855" ht="15.75" customHeight="1">
      <c r="A1855" s="46" t="s">
        <v>3947</v>
      </c>
      <c r="B1855" s="47" t="s">
        <v>3948</v>
      </c>
      <c r="C1855" s="47">
        <v>196.0</v>
      </c>
      <c r="D1855" s="47">
        <v>207.0</v>
      </c>
      <c r="E1855" s="47">
        <v>32720.0</v>
      </c>
      <c r="F1855" s="47" t="s">
        <v>11</v>
      </c>
    </row>
    <row r="1856" ht="15.75" customHeight="1">
      <c r="A1856" s="46" t="s">
        <v>3949</v>
      </c>
      <c r="B1856" s="47" t="s">
        <v>3950</v>
      </c>
      <c r="C1856" s="47">
        <v>1082.0</v>
      </c>
      <c r="D1856" s="47">
        <v>1142.0</v>
      </c>
      <c r="E1856" s="47">
        <v>28000.0</v>
      </c>
      <c r="F1856" s="47" t="s">
        <v>11</v>
      </c>
    </row>
    <row r="1857" ht="15.75" customHeight="1">
      <c r="A1857" s="46" t="s">
        <v>3951</v>
      </c>
      <c r="B1857" s="47" t="s">
        <v>3952</v>
      </c>
      <c r="C1857" s="47">
        <v>262.0</v>
      </c>
      <c r="D1857" s="47">
        <v>294.0</v>
      </c>
      <c r="E1857" s="47">
        <v>29650.0</v>
      </c>
      <c r="F1857" s="47" t="s">
        <v>11</v>
      </c>
    </row>
    <row r="1858" ht="15.75" customHeight="1">
      <c r="A1858" s="46" t="s">
        <v>3953</v>
      </c>
      <c r="B1858" s="47" t="s">
        <v>3954</v>
      </c>
      <c r="C1858" s="47">
        <v>488.0</v>
      </c>
      <c r="D1858" s="47">
        <v>497.0</v>
      </c>
      <c r="E1858" s="47">
        <v>26560.0</v>
      </c>
      <c r="F1858" s="47" t="s">
        <v>11</v>
      </c>
    </row>
    <row r="1859" ht="15.75" customHeight="1">
      <c r="A1859" s="46" t="s">
        <v>3955</v>
      </c>
      <c r="B1859" s="47" t="s">
        <v>3956</v>
      </c>
      <c r="C1859" s="47">
        <v>245.0</v>
      </c>
      <c r="D1859" s="47">
        <v>239.0</v>
      </c>
      <c r="E1859" s="47">
        <v>28300.0</v>
      </c>
      <c r="F1859" s="47" t="s">
        <v>11</v>
      </c>
    </row>
    <row r="1860" ht="15.75" customHeight="1">
      <c r="A1860" s="46" t="s">
        <v>3957</v>
      </c>
      <c r="B1860" s="47" t="s">
        <v>3958</v>
      </c>
      <c r="C1860" s="47">
        <v>166.0</v>
      </c>
      <c r="D1860" s="47">
        <v>187.0</v>
      </c>
      <c r="E1860" s="47">
        <v>26210.0</v>
      </c>
      <c r="F1860" s="47" t="s">
        <v>11</v>
      </c>
    </row>
    <row r="1861" ht="15.75" customHeight="1">
      <c r="A1861" s="46" t="s">
        <v>3959</v>
      </c>
      <c r="B1861" s="47" t="s">
        <v>3960</v>
      </c>
      <c r="C1861" s="47">
        <v>647.0</v>
      </c>
      <c r="D1861" s="47">
        <v>652.0</v>
      </c>
      <c r="E1861" s="47">
        <v>34140.0</v>
      </c>
      <c r="F1861" s="47" t="s">
        <v>11</v>
      </c>
    </row>
    <row r="1862" ht="15.75" customHeight="1">
      <c r="A1862" s="46" t="s">
        <v>3961</v>
      </c>
      <c r="B1862" s="47" t="s">
        <v>3962</v>
      </c>
      <c r="C1862" s="47">
        <v>392.0</v>
      </c>
      <c r="D1862" s="47">
        <v>412.0</v>
      </c>
      <c r="E1862" s="47">
        <v>27870.0</v>
      </c>
      <c r="F1862" s="47" t="s">
        <v>11</v>
      </c>
    </row>
    <row r="1863" ht="15.75" customHeight="1">
      <c r="A1863" s="46" t="s">
        <v>3963</v>
      </c>
      <c r="B1863" s="47" t="s">
        <v>3964</v>
      </c>
      <c r="C1863" s="47">
        <v>1078.0</v>
      </c>
      <c r="D1863" s="47">
        <v>1035.0</v>
      </c>
      <c r="E1863" s="47">
        <v>28090.0</v>
      </c>
      <c r="F1863" s="47" t="s">
        <v>11</v>
      </c>
    </row>
    <row r="1864" ht="15.75" customHeight="1">
      <c r="A1864" s="46" t="s">
        <v>3965</v>
      </c>
      <c r="B1864" s="47" t="s">
        <v>3966</v>
      </c>
      <c r="C1864" s="47">
        <v>538.0</v>
      </c>
      <c r="D1864" s="47">
        <v>500.0</v>
      </c>
      <c r="E1864" s="47">
        <v>25620.0</v>
      </c>
      <c r="F1864" s="47" t="s">
        <v>11</v>
      </c>
    </row>
    <row r="1865" ht="15.75" customHeight="1">
      <c r="A1865" s="46" t="s">
        <v>3967</v>
      </c>
      <c r="B1865" s="47" t="s">
        <v>1257</v>
      </c>
      <c r="C1865" s="47">
        <v>854.0</v>
      </c>
      <c r="D1865" s="47">
        <v>834.0</v>
      </c>
      <c r="E1865" s="47">
        <v>33400.0</v>
      </c>
      <c r="F1865" s="47" t="s">
        <v>11</v>
      </c>
    </row>
    <row r="1866" ht="15.75" customHeight="1">
      <c r="A1866" s="46" t="s">
        <v>3968</v>
      </c>
      <c r="B1866" s="47" t="s">
        <v>3969</v>
      </c>
      <c r="C1866" s="47">
        <v>913.0</v>
      </c>
      <c r="D1866" s="47">
        <v>958.0</v>
      </c>
      <c r="E1866" s="47">
        <v>30110.0</v>
      </c>
      <c r="F1866" s="47" t="s">
        <v>11</v>
      </c>
    </row>
    <row r="1867" ht="15.75" customHeight="1">
      <c r="A1867" s="46" t="s">
        <v>3970</v>
      </c>
      <c r="B1867" s="47" t="s">
        <v>3971</v>
      </c>
      <c r="C1867" s="47">
        <v>224.0</v>
      </c>
      <c r="D1867" s="47">
        <v>220.0</v>
      </c>
      <c r="E1867" s="47">
        <v>27220.0</v>
      </c>
      <c r="F1867" s="47" t="s">
        <v>11</v>
      </c>
    </row>
    <row r="1868" ht="15.75" customHeight="1">
      <c r="A1868" s="46" t="s">
        <v>3972</v>
      </c>
      <c r="B1868" s="47" t="s">
        <v>3973</v>
      </c>
      <c r="C1868" s="47">
        <v>476.0</v>
      </c>
      <c r="D1868" s="47">
        <v>506.0</v>
      </c>
      <c r="E1868" s="47">
        <v>25320.0</v>
      </c>
      <c r="F1868" s="47" t="s">
        <v>11</v>
      </c>
    </row>
    <row r="1869" ht="15.75" customHeight="1">
      <c r="A1869" s="46" t="s">
        <v>3974</v>
      </c>
      <c r="B1869" s="47" t="s">
        <v>3975</v>
      </c>
      <c r="C1869" s="47">
        <v>83.0</v>
      </c>
      <c r="D1869" s="47">
        <v>84.0</v>
      </c>
      <c r="E1869" s="47" t="s">
        <v>11</v>
      </c>
      <c r="F1869" s="47" t="s">
        <v>11</v>
      </c>
    </row>
    <row r="1870" ht="15.75" customHeight="1">
      <c r="A1870" s="46" t="s">
        <v>3976</v>
      </c>
      <c r="B1870" s="47" t="s">
        <v>3977</v>
      </c>
      <c r="C1870" s="47">
        <v>82.0</v>
      </c>
      <c r="D1870" s="47">
        <v>72.0</v>
      </c>
      <c r="E1870" s="47" t="s">
        <v>11</v>
      </c>
      <c r="F1870" s="47" t="s">
        <v>11</v>
      </c>
    </row>
    <row r="1871" ht="15.75" customHeight="1">
      <c r="A1871" s="46" t="s">
        <v>3978</v>
      </c>
      <c r="B1871" s="47" t="s">
        <v>3979</v>
      </c>
      <c r="C1871" s="47">
        <v>213.0</v>
      </c>
      <c r="D1871" s="47">
        <v>185.0</v>
      </c>
      <c r="E1871" s="47">
        <v>26030.0</v>
      </c>
      <c r="F1871" s="47" t="s">
        <v>11</v>
      </c>
    </row>
    <row r="1872" ht="15.75" customHeight="1">
      <c r="A1872" s="46" t="s">
        <v>3980</v>
      </c>
      <c r="B1872" s="47" t="s">
        <v>3981</v>
      </c>
      <c r="C1872" s="47">
        <v>5288.0</v>
      </c>
      <c r="D1872" s="47">
        <v>5319.0</v>
      </c>
      <c r="E1872" s="47">
        <v>23600.0</v>
      </c>
      <c r="F1872" s="47">
        <v>17.0</v>
      </c>
    </row>
    <row r="1873" ht="15.75" customHeight="1">
      <c r="A1873" s="46" t="s">
        <v>3982</v>
      </c>
      <c r="B1873" s="47" t="s">
        <v>3983</v>
      </c>
      <c r="C1873" s="47">
        <v>630.0</v>
      </c>
      <c r="D1873" s="47">
        <v>575.0</v>
      </c>
      <c r="E1873" s="47">
        <v>27780.0</v>
      </c>
      <c r="F1873" s="47" t="s">
        <v>11</v>
      </c>
    </row>
    <row r="1874" ht="15.75" customHeight="1">
      <c r="A1874" s="46" t="s">
        <v>3984</v>
      </c>
      <c r="B1874" s="47" t="s">
        <v>3985</v>
      </c>
      <c r="C1874" s="47">
        <v>679.0</v>
      </c>
      <c r="D1874" s="47">
        <v>647.0</v>
      </c>
      <c r="E1874" s="47">
        <v>31020.0</v>
      </c>
      <c r="F1874" s="47" t="s">
        <v>11</v>
      </c>
    </row>
    <row r="1875" ht="15.75" customHeight="1">
      <c r="A1875" s="46" t="s">
        <v>3986</v>
      </c>
      <c r="B1875" s="47" t="s">
        <v>3987</v>
      </c>
      <c r="C1875" s="47">
        <v>141.0</v>
      </c>
      <c r="D1875" s="47">
        <v>133.0</v>
      </c>
      <c r="E1875" s="47">
        <v>25870.0</v>
      </c>
      <c r="F1875" s="47" t="s">
        <v>11</v>
      </c>
    </row>
    <row r="1876" ht="15.75" customHeight="1">
      <c r="A1876" s="46" t="s">
        <v>3988</v>
      </c>
      <c r="B1876" s="47" t="s">
        <v>3989</v>
      </c>
      <c r="C1876" s="47">
        <v>571.0</v>
      </c>
      <c r="D1876" s="47">
        <v>587.0</v>
      </c>
      <c r="E1876" s="47">
        <v>23650.0</v>
      </c>
      <c r="F1876" s="47" t="s">
        <v>11</v>
      </c>
    </row>
    <row r="1877" ht="15.75" customHeight="1">
      <c r="A1877" s="46" t="s">
        <v>3990</v>
      </c>
      <c r="B1877" s="47" t="s">
        <v>3991</v>
      </c>
      <c r="C1877" s="47">
        <v>153.0</v>
      </c>
      <c r="D1877" s="47">
        <v>141.0</v>
      </c>
      <c r="E1877" s="47">
        <v>24990.0</v>
      </c>
      <c r="F1877" s="47" t="s">
        <v>11</v>
      </c>
    </row>
    <row r="1878" ht="15.75" customHeight="1">
      <c r="A1878" s="46" t="s">
        <v>3992</v>
      </c>
      <c r="B1878" s="47" t="s">
        <v>3993</v>
      </c>
      <c r="C1878" s="47">
        <v>317.0</v>
      </c>
      <c r="D1878" s="47">
        <v>293.0</v>
      </c>
      <c r="E1878" s="47">
        <v>24110.0</v>
      </c>
      <c r="F1878" s="47" t="s">
        <v>11</v>
      </c>
    </row>
    <row r="1879" ht="15.75" customHeight="1">
      <c r="A1879" s="46" t="s">
        <v>3994</v>
      </c>
      <c r="B1879" s="47" t="s">
        <v>3995</v>
      </c>
      <c r="C1879" s="47">
        <v>4296.0</v>
      </c>
      <c r="D1879" s="47">
        <v>4258.0</v>
      </c>
      <c r="E1879" s="47">
        <v>26870.0</v>
      </c>
      <c r="F1879" s="47">
        <v>11.0</v>
      </c>
    </row>
    <row r="1880" ht="15.75" customHeight="1">
      <c r="A1880" s="46" t="s">
        <v>3996</v>
      </c>
      <c r="B1880" s="47" t="s">
        <v>3997</v>
      </c>
      <c r="C1880" s="47">
        <v>661.0</v>
      </c>
      <c r="D1880" s="47">
        <v>670.0</v>
      </c>
      <c r="E1880" s="47">
        <v>31460.0</v>
      </c>
      <c r="F1880" s="47" t="s">
        <v>11</v>
      </c>
    </row>
    <row r="1881" ht="15.75" customHeight="1">
      <c r="A1881" s="46" t="s">
        <v>3998</v>
      </c>
      <c r="B1881" s="47" t="s">
        <v>3999</v>
      </c>
      <c r="C1881" s="47">
        <v>377.0</v>
      </c>
      <c r="D1881" s="47">
        <v>386.0</v>
      </c>
      <c r="E1881" s="47">
        <v>26360.0</v>
      </c>
      <c r="F1881" s="47" t="s">
        <v>11</v>
      </c>
    </row>
    <row r="1882" ht="15.75" customHeight="1">
      <c r="A1882" s="46" t="s">
        <v>4000</v>
      </c>
      <c r="B1882" s="47" t="s">
        <v>4001</v>
      </c>
      <c r="C1882" s="47">
        <v>279.0</v>
      </c>
      <c r="D1882" s="47">
        <v>280.0</v>
      </c>
      <c r="E1882" s="47">
        <v>30140.0</v>
      </c>
      <c r="F1882" s="47" t="s">
        <v>11</v>
      </c>
    </row>
    <row r="1883" ht="15.75" customHeight="1">
      <c r="A1883" s="46" t="s">
        <v>4002</v>
      </c>
      <c r="B1883" s="47" t="s">
        <v>4003</v>
      </c>
      <c r="C1883" s="47">
        <v>3655.0</v>
      </c>
      <c r="D1883" s="47">
        <v>4127.0</v>
      </c>
      <c r="E1883" s="47">
        <v>27300.0</v>
      </c>
      <c r="F1883" s="47">
        <v>7.0</v>
      </c>
    </row>
    <row r="1884" ht="15.75" customHeight="1">
      <c r="A1884" s="46" t="s">
        <v>4004</v>
      </c>
      <c r="B1884" s="47" t="s">
        <v>4005</v>
      </c>
      <c r="C1884" s="47">
        <v>1673.0</v>
      </c>
      <c r="D1884" s="47">
        <v>1571.0</v>
      </c>
      <c r="E1884" s="47">
        <v>28220.0</v>
      </c>
      <c r="F1884" s="47" t="s">
        <v>11</v>
      </c>
    </row>
    <row r="1885" ht="15.75" customHeight="1">
      <c r="A1885" s="46" t="s">
        <v>4006</v>
      </c>
      <c r="B1885" s="47" t="s">
        <v>4007</v>
      </c>
      <c r="C1885" s="47">
        <v>510.0</v>
      </c>
      <c r="D1885" s="47">
        <v>472.0</v>
      </c>
      <c r="E1885" s="47">
        <v>32640.0</v>
      </c>
      <c r="F1885" s="47" t="s">
        <v>11</v>
      </c>
    </row>
    <row r="1886" ht="15.75" customHeight="1">
      <c r="A1886" s="46" t="s">
        <v>4008</v>
      </c>
      <c r="B1886" s="47" t="s">
        <v>4009</v>
      </c>
      <c r="C1886" s="47">
        <v>972.0</v>
      </c>
      <c r="D1886" s="47">
        <v>961.0</v>
      </c>
      <c r="E1886" s="47">
        <v>28960.0</v>
      </c>
      <c r="F1886" s="47" t="s">
        <v>11</v>
      </c>
    </row>
    <row r="1887" ht="15.75" customHeight="1">
      <c r="A1887" s="46" t="s">
        <v>4010</v>
      </c>
      <c r="B1887" s="47" t="s">
        <v>4011</v>
      </c>
      <c r="C1887" s="47">
        <v>952.0</v>
      </c>
      <c r="D1887" s="47">
        <v>897.0</v>
      </c>
      <c r="E1887" s="47">
        <v>27550.0</v>
      </c>
      <c r="F1887" s="47" t="s">
        <v>11</v>
      </c>
    </row>
    <row r="1888" ht="15.75" customHeight="1">
      <c r="A1888" s="46" t="s">
        <v>4012</v>
      </c>
      <c r="B1888" s="47" t="s">
        <v>4013</v>
      </c>
      <c r="C1888" s="47">
        <v>158.0</v>
      </c>
      <c r="D1888" s="47">
        <v>162.0</v>
      </c>
      <c r="E1888" s="47">
        <v>26080.0</v>
      </c>
      <c r="F1888" s="47" t="s">
        <v>11</v>
      </c>
    </row>
    <row r="1889" ht="15.75" customHeight="1">
      <c r="A1889" s="46" t="s">
        <v>4014</v>
      </c>
      <c r="B1889" s="47" t="s">
        <v>4015</v>
      </c>
      <c r="C1889" s="47">
        <v>326.0</v>
      </c>
      <c r="D1889" s="47">
        <v>301.0</v>
      </c>
      <c r="E1889" s="47">
        <v>27600.0</v>
      </c>
      <c r="F1889" s="47" t="s">
        <v>11</v>
      </c>
    </row>
    <row r="1890" ht="15.75" customHeight="1">
      <c r="A1890" s="46" t="s">
        <v>4016</v>
      </c>
      <c r="B1890" s="47" t="s">
        <v>4017</v>
      </c>
      <c r="C1890" s="47">
        <v>212.0</v>
      </c>
      <c r="D1890" s="47">
        <v>200.0</v>
      </c>
      <c r="E1890" s="47">
        <v>28830.0</v>
      </c>
      <c r="F1890" s="47" t="s">
        <v>11</v>
      </c>
    </row>
    <row r="1891" ht="15.75" customHeight="1">
      <c r="A1891" s="46" t="s">
        <v>4018</v>
      </c>
      <c r="B1891" s="47" t="s">
        <v>4019</v>
      </c>
      <c r="C1891" s="47">
        <v>191.0</v>
      </c>
      <c r="D1891" s="47">
        <v>213.0</v>
      </c>
      <c r="E1891" s="47">
        <v>30490.0</v>
      </c>
      <c r="F1891" s="47" t="s">
        <v>11</v>
      </c>
    </row>
    <row r="1892" ht="15.75" customHeight="1">
      <c r="A1892" s="46" t="s">
        <v>4020</v>
      </c>
      <c r="B1892" s="47" t="s">
        <v>4021</v>
      </c>
      <c r="C1892" s="47">
        <v>188.0</v>
      </c>
      <c r="D1892" s="47">
        <v>213.0</v>
      </c>
      <c r="E1892" s="47">
        <v>30080.0</v>
      </c>
      <c r="F1892" s="47" t="s">
        <v>11</v>
      </c>
    </row>
    <row r="1893" ht="15.75" customHeight="1">
      <c r="A1893" s="46" t="s">
        <v>4022</v>
      </c>
      <c r="B1893" s="47" t="s">
        <v>4023</v>
      </c>
      <c r="C1893" s="47">
        <v>2826.0</v>
      </c>
      <c r="D1893" s="47">
        <v>2877.0</v>
      </c>
      <c r="E1893" s="47">
        <v>25060.0</v>
      </c>
      <c r="F1893" s="47">
        <v>13.0</v>
      </c>
    </row>
    <row r="1894" ht="15.75" customHeight="1">
      <c r="A1894" s="46" t="s">
        <v>4024</v>
      </c>
      <c r="B1894" s="47" t="s">
        <v>4025</v>
      </c>
      <c r="C1894" s="47">
        <v>20033.0</v>
      </c>
      <c r="D1894" s="47">
        <v>21907.0</v>
      </c>
      <c r="E1894" s="47">
        <v>19370.0</v>
      </c>
      <c r="F1894" s="47">
        <v>32.6</v>
      </c>
    </row>
    <row r="1895" ht="15.75" customHeight="1">
      <c r="A1895" s="46" t="s">
        <v>4026</v>
      </c>
      <c r="B1895" s="47" t="s">
        <v>4027</v>
      </c>
      <c r="C1895" s="47">
        <v>1029.0</v>
      </c>
      <c r="D1895" s="47">
        <v>1170.0</v>
      </c>
      <c r="E1895" s="47">
        <v>28300.0</v>
      </c>
      <c r="F1895" s="47" t="s">
        <v>11</v>
      </c>
    </row>
    <row r="1896" ht="15.75" customHeight="1">
      <c r="A1896" s="46" t="s">
        <v>4028</v>
      </c>
      <c r="B1896" s="47" t="s">
        <v>4029</v>
      </c>
      <c r="C1896" s="47">
        <v>179.0</v>
      </c>
      <c r="D1896" s="47">
        <v>194.0</v>
      </c>
      <c r="E1896" s="47">
        <v>27690.0</v>
      </c>
      <c r="F1896" s="47" t="s">
        <v>11</v>
      </c>
    </row>
    <row r="1897" ht="15.75" customHeight="1">
      <c r="A1897" s="46" t="s">
        <v>4030</v>
      </c>
      <c r="B1897" s="47" t="s">
        <v>4031</v>
      </c>
      <c r="C1897" s="47">
        <v>234.0</v>
      </c>
      <c r="D1897" s="47">
        <v>247.0</v>
      </c>
      <c r="E1897" s="47">
        <v>29530.0</v>
      </c>
      <c r="F1897" s="47" t="s">
        <v>11</v>
      </c>
    </row>
    <row r="1898" ht="15.75" customHeight="1">
      <c r="A1898" s="46" t="s">
        <v>4032</v>
      </c>
      <c r="B1898" s="47" t="s">
        <v>4033</v>
      </c>
      <c r="C1898" s="47">
        <v>339.0</v>
      </c>
      <c r="D1898" s="47">
        <v>301.0</v>
      </c>
      <c r="E1898" s="47">
        <v>25200.0</v>
      </c>
      <c r="F1898" s="47" t="s">
        <v>11</v>
      </c>
    </row>
    <row r="1899" ht="15.75" customHeight="1">
      <c r="A1899" s="46" t="s">
        <v>4034</v>
      </c>
      <c r="B1899" s="47" t="s">
        <v>4035</v>
      </c>
      <c r="C1899" s="47">
        <v>364.0</v>
      </c>
      <c r="D1899" s="47">
        <v>392.0</v>
      </c>
      <c r="E1899" s="47">
        <v>29940.0</v>
      </c>
      <c r="F1899" s="47" t="s">
        <v>11</v>
      </c>
    </row>
    <row r="1900" ht="15.75" customHeight="1">
      <c r="A1900" s="46" t="s">
        <v>4036</v>
      </c>
      <c r="B1900" s="47" t="s">
        <v>4037</v>
      </c>
      <c r="C1900" s="47">
        <v>863.0</v>
      </c>
      <c r="D1900" s="47">
        <v>887.0</v>
      </c>
      <c r="E1900" s="47">
        <v>25280.0</v>
      </c>
      <c r="F1900" s="47" t="s">
        <v>11</v>
      </c>
    </row>
    <row r="1901" ht="15.75" customHeight="1">
      <c r="A1901" s="46" t="s">
        <v>4038</v>
      </c>
      <c r="B1901" s="47" t="s">
        <v>4039</v>
      </c>
      <c r="C1901" s="47">
        <v>13519.0</v>
      </c>
      <c r="D1901" s="47">
        <v>12971.0</v>
      </c>
      <c r="E1901" s="47">
        <v>19080.0</v>
      </c>
      <c r="F1901" s="47">
        <v>34.0</v>
      </c>
    </row>
    <row r="1902" ht="15.75" customHeight="1">
      <c r="A1902" s="46" t="s">
        <v>4040</v>
      </c>
      <c r="B1902" s="47" t="s">
        <v>4041</v>
      </c>
      <c r="C1902" s="47">
        <v>117.0</v>
      </c>
      <c r="D1902" s="47">
        <v>109.0</v>
      </c>
      <c r="E1902" s="47">
        <v>25870.0</v>
      </c>
      <c r="F1902" s="47" t="s">
        <v>11</v>
      </c>
    </row>
    <row r="1903" ht="15.75" customHeight="1">
      <c r="A1903" s="46" t="s">
        <v>4042</v>
      </c>
      <c r="B1903" s="47" t="s">
        <v>1333</v>
      </c>
      <c r="C1903" s="47">
        <v>294.0</v>
      </c>
      <c r="D1903" s="47">
        <v>346.0</v>
      </c>
      <c r="E1903" s="47">
        <v>31980.0</v>
      </c>
      <c r="F1903" s="47" t="s">
        <v>11</v>
      </c>
    </row>
    <row r="1904" ht="15.75" customHeight="1">
      <c r="A1904" s="46" t="s">
        <v>4043</v>
      </c>
      <c r="B1904" s="47" t="s">
        <v>4044</v>
      </c>
      <c r="C1904" s="47">
        <v>287.0</v>
      </c>
      <c r="D1904" s="47">
        <v>285.0</v>
      </c>
      <c r="E1904" s="47">
        <v>23640.0</v>
      </c>
      <c r="F1904" s="47" t="s">
        <v>11</v>
      </c>
    </row>
    <row r="1905" ht="15.75" customHeight="1">
      <c r="A1905" s="46" t="s">
        <v>4045</v>
      </c>
      <c r="B1905" s="47" t="s">
        <v>4046</v>
      </c>
      <c r="C1905" s="47">
        <v>198.0</v>
      </c>
      <c r="D1905" s="47">
        <v>201.0</v>
      </c>
      <c r="E1905" s="47">
        <v>27600.0</v>
      </c>
      <c r="F1905" s="47" t="s">
        <v>11</v>
      </c>
    </row>
    <row r="1906" ht="15.75" customHeight="1">
      <c r="A1906" s="46" t="s">
        <v>4047</v>
      </c>
      <c r="B1906" s="47" t="s">
        <v>4048</v>
      </c>
      <c r="C1906" s="47">
        <v>1399.0</v>
      </c>
      <c r="D1906" s="47">
        <v>1367.0</v>
      </c>
      <c r="E1906" s="47">
        <v>25790.0</v>
      </c>
      <c r="F1906" s="47" t="s">
        <v>11</v>
      </c>
    </row>
    <row r="1907" ht="15.75" customHeight="1">
      <c r="A1907" s="46" t="s">
        <v>4049</v>
      </c>
      <c r="B1907" s="47" t="s">
        <v>4050</v>
      </c>
      <c r="C1907" s="47">
        <v>343.0</v>
      </c>
      <c r="D1907" s="47">
        <v>375.0</v>
      </c>
      <c r="E1907" s="47">
        <v>31000.0</v>
      </c>
      <c r="F1907" s="47" t="s">
        <v>11</v>
      </c>
    </row>
    <row r="1908" ht="15.75" customHeight="1">
      <c r="A1908" s="46" t="s">
        <v>4051</v>
      </c>
      <c r="B1908" s="47" t="s">
        <v>4052</v>
      </c>
      <c r="C1908" s="47">
        <v>644.0</v>
      </c>
      <c r="D1908" s="47">
        <v>805.0</v>
      </c>
      <c r="E1908" s="47">
        <v>28180.0</v>
      </c>
      <c r="F1908" s="47" t="s">
        <v>11</v>
      </c>
    </row>
    <row r="1909" ht="15.75" customHeight="1">
      <c r="A1909" s="46" t="s">
        <v>4053</v>
      </c>
      <c r="B1909" s="47" t="s">
        <v>4054</v>
      </c>
      <c r="C1909" s="47">
        <v>556.0</v>
      </c>
      <c r="D1909" s="47">
        <v>537.0</v>
      </c>
      <c r="E1909" s="47">
        <v>29670.0</v>
      </c>
      <c r="F1909" s="47" t="s">
        <v>11</v>
      </c>
    </row>
    <row r="1910" ht="15.75" customHeight="1">
      <c r="A1910" s="46" t="s">
        <v>4055</v>
      </c>
      <c r="B1910" s="47" t="s">
        <v>4056</v>
      </c>
      <c r="C1910" s="47">
        <v>595.0</v>
      </c>
      <c r="D1910" s="47">
        <v>572.0</v>
      </c>
      <c r="E1910" s="47">
        <v>29110.0</v>
      </c>
      <c r="F1910" s="47" t="s">
        <v>11</v>
      </c>
    </row>
    <row r="1911" ht="15.75" customHeight="1">
      <c r="A1911" s="46" t="s">
        <v>4057</v>
      </c>
      <c r="B1911" s="47" t="s">
        <v>4058</v>
      </c>
      <c r="C1911" s="47">
        <v>3345.0</v>
      </c>
      <c r="D1911" s="47">
        <v>3583.0</v>
      </c>
      <c r="E1911" s="47">
        <v>34990.0</v>
      </c>
      <c r="F1911" s="47">
        <v>4.0</v>
      </c>
    </row>
    <row r="1912" ht="15.75" customHeight="1">
      <c r="A1912" s="46" t="s">
        <v>4059</v>
      </c>
      <c r="B1912" s="47" t="s">
        <v>4060</v>
      </c>
      <c r="C1912" s="47">
        <v>519.0</v>
      </c>
      <c r="D1912" s="47">
        <v>513.0</v>
      </c>
      <c r="E1912" s="47">
        <v>27340.0</v>
      </c>
      <c r="F1912" s="47" t="s">
        <v>11</v>
      </c>
    </row>
    <row r="1913" ht="15.75" customHeight="1">
      <c r="A1913" s="46" t="s">
        <v>4061</v>
      </c>
      <c r="B1913" s="47" t="s">
        <v>4062</v>
      </c>
      <c r="C1913" s="47">
        <v>263.0</v>
      </c>
      <c r="D1913" s="47">
        <v>293.0</v>
      </c>
      <c r="E1913" s="47">
        <v>27460.0</v>
      </c>
      <c r="F1913" s="47" t="s">
        <v>11</v>
      </c>
    </row>
    <row r="1914" ht="15.75" customHeight="1">
      <c r="A1914" s="46" t="s">
        <v>4063</v>
      </c>
      <c r="B1914" s="47" t="s">
        <v>4064</v>
      </c>
      <c r="C1914" s="47">
        <v>240.0</v>
      </c>
      <c r="D1914" s="47">
        <v>248.0</v>
      </c>
      <c r="E1914" s="47">
        <v>24460.0</v>
      </c>
      <c r="F1914" s="47" t="s">
        <v>11</v>
      </c>
    </row>
    <row r="1915" ht="15.75" customHeight="1">
      <c r="A1915" s="46" t="s">
        <v>4065</v>
      </c>
      <c r="B1915" s="47" t="s">
        <v>4066</v>
      </c>
      <c r="C1915" s="47">
        <v>580.0</v>
      </c>
      <c r="D1915" s="47">
        <v>576.0</v>
      </c>
      <c r="E1915" s="47">
        <v>24540.0</v>
      </c>
      <c r="F1915" s="47" t="s">
        <v>11</v>
      </c>
    </row>
    <row r="1916" ht="15.75" customHeight="1">
      <c r="A1916" s="46" t="s">
        <v>4067</v>
      </c>
      <c r="B1916" s="47" t="s">
        <v>4068</v>
      </c>
      <c r="C1916" s="47">
        <v>341.0</v>
      </c>
      <c r="D1916" s="47">
        <v>313.0</v>
      </c>
      <c r="E1916" s="47">
        <v>30430.0</v>
      </c>
      <c r="F1916" s="47" t="s">
        <v>11</v>
      </c>
    </row>
    <row r="1917" ht="15.75" customHeight="1">
      <c r="A1917" s="46" t="s">
        <v>4069</v>
      </c>
      <c r="B1917" s="47" t="s">
        <v>4070</v>
      </c>
      <c r="C1917" s="47">
        <v>282.0</v>
      </c>
      <c r="D1917" s="47">
        <v>271.0</v>
      </c>
      <c r="E1917" s="47">
        <v>26260.0</v>
      </c>
      <c r="F1917" s="47" t="s">
        <v>11</v>
      </c>
    </row>
    <row r="1918" ht="15.75" customHeight="1">
      <c r="A1918" s="46" t="s">
        <v>4071</v>
      </c>
      <c r="B1918" s="47" t="s">
        <v>4072</v>
      </c>
      <c r="C1918" s="47">
        <v>1137.0</v>
      </c>
      <c r="D1918" s="47">
        <v>1224.0</v>
      </c>
      <c r="E1918" s="47">
        <v>29980.0</v>
      </c>
      <c r="F1918" s="47" t="s">
        <v>11</v>
      </c>
    </row>
    <row r="1919" ht="15.75" customHeight="1">
      <c r="A1919" s="46" t="s">
        <v>4073</v>
      </c>
      <c r="B1919" s="47" t="s">
        <v>4074</v>
      </c>
      <c r="C1919" s="47">
        <v>365.0</v>
      </c>
      <c r="D1919" s="47">
        <v>365.0</v>
      </c>
      <c r="E1919" s="47">
        <v>30240.0</v>
      </c>
      <c r="F1919" s="47" t="s">
        <v>11</v>
      </c>
    </row>
    <row r="1920" ht="15.75" customHeight="1">
      <c r="A1920" s="46" t="s">
        <v>4075</v>
      </c>
      <c r="B1920" s="47" t="s">
        <v>4076</v>
      </c>
      <c r="C1920" s="47">
        <v>1808.0</v>
      </c>
      <c r="D1920" s="47">
        <v>1877.0</v>
      </c>
      <c r="E1920" s="47">
        <v>29320.0</v>
      </c>
      <c r="F1920" s="47" t="s">
        <v>11</v>
      </c>
    </row>
    <row r="1921" ht="15.75" customHeight="1">
      <c r="A1921" s="46" t="s">
        <v>4077</v>
      </c>
      <c r="B1921" s="47" t="s">
        <v>4078</v>
      </c>
      <c r="C1921" s="47">
        <v>868.0</v>
      </c>
      <c r="D1921" s="47">
        <v>848.0</v>
      </c>
      <c r="E1921" s="47">
        <v>26580.0</v>
      </c>
      <c r="F1921" s="47" t="s">
        <v>11</v>
      </c>
    </row>
    <row r="1922" ht="15.75" customHeight="1">
      <c r="A1922" s="46" t="s">
        <v>4079</v>
      </c>
      <c r="B1922" s="47" t="s">
        <v>4080</v>
      </c>
      <c r="C1922" s="47">
        <v>500.0</v>
      </c>
      <c r="D1922" s="47">
        <v>519.0</v>
      </c>
      <c r="E1922" s="47">
        <v>26940.0</v>
      </c>
      <c r="F1922" s="47" t="s">
        <v>11</v>
      </c>
    </row>
    <row r="1923" ht="15.75" customHeight="1">
      <c r="A1923" s="46" t="s">
        <v>4081</v>
      </c>
      <c r="B1923" s="47" t="s">
        <v>4082</v>
      </c>
      <c r="C1923" s="47">
        <v>1787.0</v>
      </c>
      <c r="D1923" s="47">
        <v>1786.0</v>
      </c>
      <c r="E1923" s="47">
        <v>34050.0</v>
      </c>
      <c r="F1923" s="47" t="s">
        <v>11</v>
      </c>
    </row>
    <row r="1924" ht="15.75" customHeight="1">
      <c r="A1924" s="46" t="s">
        <v>4083</v>
      </c>
      <c r="B1924" s="47" t="s">
        <v>4084</v>
      </c>
      <c r="C1924" s="47">
        <v>403.0</v>
      </c>
      <c r="D1924" s="47">
        <v>422.0</v>
      </c>
      <c r="E1924" s="47">
        <v>26210.0</v>
      </c>
      <c r="F1924" s="47" t="s">
        <v>11</v>
      </c>
    </row>
    <row r="1925" ht="15.75" customHeight="1">
      <c r="A1925" s="46" t="s">
        <v>4085</v>
      </c>
      <c r="B1925" s="47" t="s">
        <v>4086</v>
      </c>
      <c r="C1925" s="47">
        <v>161.0</v>
      </c>
      <c r="D1925" s="47">
        <v>159.0</v>
      </c>
      <c r="E1925" s="47">
        <v>24790.0</v>
      </c>
      <c r="F1925" s="47" t="s">
        <v>11</v>
      </c>
    </row>
    <row r="1926" ht="15.75" customHeight="1">
      <c r="A1926" s="46" t="s">
        <v>4087</v>
      </c>
      <c r="B1926" s="47" t="s">
        <v>4088</v>
      </c>
      <c r="C1926" s="47">
        <v>214.0</v>
      </c>
      <c r="D1926" s="47">
        <v>213.0</v>
      </c>
      <c r="E1926" s="47">
        <v>26750.0</v>
      </c>
      <c r="F1926" s="47" t="s">
        <v>11</v>
      </c>
    </row>
    <row r="1927" ht="15.75" customHeight="1">
      <c r="A1927" s="46" t="s">
        <v>4089</v>
      </c>
      <c r="B1927" s="47" t="s">
        <v>4090</v>
      </c>
      <c r="C1927" s="47">
        <v>514.0</v>
      </c>
      <c r="D1927" s="47">
        <v>521.0</v>
      </c>
      <c r="E1927" s="47">
        <v>25310.0</v>
      </c>
      <c r="F1927" s="47" t="s">
        <v>11</v>
      </c>
    </row>
    <row r="1928" ht="15.75" customHeight="1">
      <c r="A1928" s="46" t="s">
        <v>4091</v>
      </c>
      <c r="B1928" s="47" t="s">
        <v>4092</v>
      </c>
      <c r="C1928" s="47">
        <v>233.0</v>
      </c>
      <c r="D1928" s="47">
        <v>245.0</v>
      </c>
      <c r="E1928" s="47">
        <v>26700.0</v>
      </c>
      <c r="F1928" s="47" t="s">
        <v>11</v>
      </c>
    </row>
    <row r="1929" ht="15.75" customHeight="1">
      <c r="A1929" s="46" t="s">
        <v>4093</v>
      </c>
      <c r="B1929" s="47" t="s">
        <v>4094</v>
      </c>
      <c r="C1929" s="47">
        <v>3408.0</v>
      </c>
      <c r="D1929" s="47">
        <v>4009.0</v>
      </c>
      <c r="E1929" s="47">
        <v>27400.0</v>
      </c>
      <c r="F1929" s="47">
        <v>8.0</v>
      </c>
    </row>
    <row r="1930" ht="15.75" customHeight="1">
      <c r="A1930" s="46" t="s">
        <v>4095</v>
      </c>
      <c r="B1930" s="47" t="s">
        <v>4096</v>
      </c>
      <c r="C1930" s="47">
        <v>1365.0</v>
      </c>
      <c r="D1930" s="47">
        <v>1298.0</v>
      </c>
      <c r="E1930" s="47">
        <v>28750.0</v>
      </c>
      <c r="F1930" s="47" t="s">
        <v>11</v>
      </c>
    </row>
    <row r="1931" ht="15.75" customHeight="1">
      <c r="A1931" s="46" t="s">
        <v>4097</v>
      </c>
      <c r="B1931" s="47" t="s">
        <v>4098</v>
      </c>
      <c r="C1931" s="47">
        <v>102.0</v>
      </c>
      <c r="D1931" s="47">
        <v>113.0</v>
      </c>
      <c r="E1931" s="47">
        <v>24060.0</v>
      </c>
      <c r="F1931" s="47" t="s">
        <v>11</v>
      </c>
    </row>
    <row r="1932" ht="15.75" customHeight="1">
      <c r="A1932" s="46" t="s">
        <v>4099</v>
      </c>
      <c r="B1932" s="47" t="s">
        <v>4100</v>
      </c>
      <c r="C1932" s="47">
        <v>113.0</v>
      </c>
      <c r="D1932" s="47">
        <v>112.0</v>
      </c>
      <c r="E1932" s="47">
        <v>25240.0</v>
      </c>
      <c r="F1932" s="47" t="s">
        <v>11</v>
      </c>
    </row>
    <row r="1933" ht="15.75" customHeight="1">
      <c r="A1933" s="46" t="s">
        <v>4101</v>
      </c>
      <c r="B1933" s="47" t="s">
        <v>4102</v>
      </c>
      <c r="C1933" s="47">
        <v>1113.0</v>
      </c>
      <c r="D1933" s="47">
        <v>1163.0</v>
      </c>
      <c r="E1933" s="47">
        <v>28450.0</v>
      </c>
      <c r="F1933" s="47" t="s">
        <v>11</v>
      </c>
    </row>
    <row r="1934" ht="15.75" customHeight="1">
      <c r="A1934" s="46" t="s">
        <v>4103</v>
      </c>
      <c r="B1934" s="47" t="s">
        <v>4104</v>
      </c>
      <c r="C1934" s="47">
        <v>817.0</v>
      </c>
      <c r="D1934" s="47">
        <v>905.0</v>
      </c>
      <c r="E1934" s="47">
        <v>32750.0</v>
      </c>
      <c r="F1934" s="47" t="s">
        <v>11</v>
      </c>
    </row>
    <row r="1935" ht="15.75" customHeight="1">
      <c r="A1935" s="46" t="s">
        <v>4105</v>
      </c>
      <c r="B1935" s="47" t="s">
        <v>4106</v>
      </c>
      <c r="C1935" s="47">
        <v>672.0</v>
      </c>
      <c r="D1935" s="47">
        <v>648.0</v>
      </c>
      <c r="E1935" s="47">
        <v>22550.0</v>
      </c>
      <c r="F1935" s="47" t="s">
        <v>11</v>
      </c>
    </row>
    <row r="1936" ht="15.75" customHeight="1">
      <c r="A1936" s="46" t="s">
        <v>4107</v>
      </c>
      <c r="B1936" s="47" t="s">
        <v>4108</v>
      </c>
      <c r="C1936" s="47">
        <v>459.0</v>
      </c>
      <c r="D1936" s="47">
        <v>427.0</v>
      </c>
      <c r="E1936" s="47">
        <v>26180.0</v>
      </c>
      <c r="F1936" s="47" t="s">
        <v>11</v>
      </c>
    </row>
    <row r="1937" ht="15.75" customHeight="1">
      <c r="A1937" s="46" t="s">
        <v>4109</v>
      </c>
      <c r="B1937" s="47" t="s">
        <v>4110</v>
      </c>
      <c r="C1937" s="47">
        <v>3268.0</v>
      </c>
      <c r="D1937" s="47">
        <v>3275.0</v>
      </c>
      <c r="E1937" s="47">
        <v>29750.0</v>
      </c>
      <c r="F1937" s="47">
        <v>7.0</v>
      </c>
    </row>
    <row r="1938" ht="15.75" customHeight="1">
      <c r="A1938" s="46" t="s">
        <v>4111</v>
      </c>
      <c r="B1938" s="47" t="s">
        <v>4112</v>
      </c>
      <c r="C1938" s="47">
        <v>12209.0</v>
      </c>
      <c r="D1938" s="47">
        <v>12361.0</v>
      </c>
      <c r="E1938" s="47">
        <v>22980.0</v>
      </c>
      <c r="F1938" s="47">
        <v>21.0</v>
      </c>
    </row>
    <row r="1939" ht="15.75" customHeight="1">
      <c r="A1939" s="46" t="s">
        <v>4113</v>
      </c>
      <c r="B1939" s="47" t="s">
        <v>4114</v>
      </c>
      <c r="C1939" s="47">
        <v>609.0</v>
      </c>
      <c r="D1939" s="47">
        <v>677.0</v>
      </c>
      <c r="E1939" s="47">
        <v>27510.0</v>
      </c>
      <c r="F1939" s="47" t="s">
        <v>11</v>
      </c>
    </row>
    <row r="1940" ht="15.75" customHeight="1">
      <c r="A1940" s="46" t="s">
        <v>4115</v>
      </c>
      <c r="B1940" s="47" t="s">
        <v>4116</v>
      </c>
      <c r="C1940" s="47">
        <v>393.0</v>
      </c>
      <c r="D1940" s="47">
        <v>416.0</v>
      </c>
      <c r="E1940" s="47">
        <v>25670.0</v>
      </c>
      <c r="F1940" s="47" t="s">
        <v>11</v>
      </c>
    </row>
    <row r="1941" ht="15.75" customHeight="1">
      <c r="A1941" s="46" t="s">
        <v>4117</v>
      </c>
      <c r="B1941" s="47" t="s">
        <v>4118</v>
      </c>
      <c r="C1941" s="47">
        <v>156.0</v>
      </c>
      <c r="D1941" s="47">
        <v>148.0</v>
      </c>
      <c r="E1941" s="47">
        <v>26730.0</v>
      </c>
      <c r="F1941" s="47" t="s">
        <v>11</v>
      </c>
    </row>
    <row r="1942" ht="15.75" customHeight="1">
      <c r="A1942" s="46" t="s">
        <v>4119</v>
      </c>
      <c r="B1942" s="47" t="s">
        <v>4120</v>
      </c>
      <c r="C1942" s="47">
        <v>3205.0</v>
      </c>
      <c r="D1942" s="47">
        <v>3332.0</v>
      </c>
      <c r="E1942" s="47">
        <v>31530.0</v>
      </c>
      <c r="F1942" s="47">
        <v>7.0</v>
      </c>
    </row>
    <row r="1943" ht="15.75" customHeight="1">
      <c r="A1943" s="46" t="s">
        <v>4121</v>
      </c>
      <c r="B1943" s="47" t="s">
        <v>4122</v>
      </c>
      <c r="C1943" s="47">
        <v>232.0</v>
      </c>
      <c r="D1943" s="47">
        <v>251.0</v>
      </c>
      <c r="E1943" s="47">
        <v>25130.0</v>
      </c>
      <c r="F1943" s="47" t="s">
        <v>11</v>
      </c>
    </row>
    <row r="1944" ht="15.75" customHeight="1">
      <c r="A1944" s="46" t="s">
        <v>4123</v>
      </c>
      <c r="B1944" s="47" t="s">
        <v>4124</v>
      </c>
      <c r="C1944" s="47">
        <v>382.0</v>
      </c>
      <c r="D1944" s="47">
        <v>365.0</v>
      </c>
      <c r="E1944" s="47">
        <v>27780.0</v>
      </c>
      <c r="F1944" s="47" t="s">
        <v>11</v>
      </c>
    </row>
    <row r="1945" ht="15.75" customHeight="1">
      <c r="A1945" s="46" t="s">
        <v>4125</v>
      </c>
      <c r="B1945" s="47" t="s">
        <v>4126</v>
      </c>
      <c r="C1945" s="47">
        <v>420.0</v>
      </c>
      <c r="D1945" s="47">
        <v>398.0</v>
      </c>
      <c r="E1945" s="47">
        <v>23970.0</v>
      </c>
      <c r="F1945" s="47" t="s">
        <v>11</v>
      </c>
    </row>
    <row r="1946" ht="15.75" customHeight="1">
      <c r="A1946" s="46" t="s">
        <v>4127</v>
      </c>
      <c r="B1946" s="47" t="s">
        <v>4128</v>
      </c>
      <c r="C1946" s="47">
        <v>851.0</v>
      </c>
      <c r="D1946" s="47">
        <v>877.0</v>
      </c>
      <c r="E1946" s="47">
        <v>29490.0</v>
      </c>
      <c r="F1946" s="47" t="s">
        <v>11</v>
      </c>
    </row>
    <row r="1947" ht="15.75" customHeight="1">
      <c r="A1947" s="46" t="s">
        <v>4129</v>
      </c>
      <c r="B1947" s="47" t="s">
        <v>4130</v>
      </c>
      <c r="C1947" s="47">
        <v>203.0</v>
      </c>
      <c r="D1947" s="47">
        <v>203.0</v>
      </c>
      <c r="E1947" s="47">
        <v>26520.0</v>
      </c>
      <c r="F1947" s="47" t="s">
        <v>11</v>
      </c>
    </row>
    <row r="1948" ht="15.75" customHeight="1">
      <c r="A1948" s="46" t="s">
        <v>4131</v>
      </c>
      <c r="B1948" s="47" t="s">
        <v>4132</v>
      </c>
      <c r="C1948" s="47">
        <v>181.0</v>
      </c>
      <c r="D1948" s="47">
        <v>171.0</v>
      </c>
      <c r="E1948" s="47">
        <v>24000.0</v>
      </c>
      <c r="F1948" s="47" t="s">
        <v>11</v>
      </c>
    </row>
    <row r="1949" ht="15.75" customHeight="1">
      <c r="A1949" s="46" t="s">
        <v>4133</v>
      </c>
      <c r="B1949" s="47" t="s">
        <v>4134</v>
      </c>
      <c r="C1949" s="47">
        <v>213.0</v>
      </c>
      <c r="D1949" s="47">
        <v>217.0</v>
      </c>
      <c r="E1949" s="47">
        <v>27160.0</v>
      </c>
      <c r="F1949" s="47" t="s">
        <v>11</v>
      </c>
    </row>
    <row r="1950" ht="15.75" customHeight="1">
      <c r="A1950" s="46" t="s">
        <v>4135</v>
      </c>
      <c r="B1950" s="47" t="s">
        <v>4136</v>
      </c>
      <c r="C1950" s="47">
        <v>396.0</v>
      </c>
      <c r="D1950" s="47">
        <v>410.0</v>
      </c>
      <c r="E1950" s="47">
        <v>24940.0</v>
      </c>
      <c r="F1950" s="47" t="s">
        <v>11</v>
      </c>
    </row>
    <row r="1951" ht="15.75" customHeight="1">
      <c r="A1951" s="46" t="s">
        <v>4137</v>
      </c>
      <c r="B1951" s="47" t="s">
        <v>4138</v>
      </c>
      <c r="C1951" s="47">
        <v>322.0</v>
      </c>
      <c r="D1951" s="47">
        <v>320.0</v>
      </c>
      <c r="E1951" s="47">
        <v>23570.0</v>
      </c>
      <c r="F1951" s="47" t="s">
        <v>11</v>
      </c>
    </row>
    <row r="1952" ht="15.75" customHeight="1">
      <c r="A1952" s="46" t="s">
        <v>4139</v>
      </c>
      <c r="B1952" s="47" t="s">
        <v>4140</v>
      </c>
      <c r="C1952" s="47">
        <v>927.0</v>
      </c>
      <c r="D1952" s="47">
        <v>895.0</v>
      </c>
      <c r="E1952" s="47">
        <v>28090.0</v>
      </c>
      <c r="F1952" s="47" t="s">
        <v>11</v>
      </c>
    </row>
    <row r="1953" ht="15.75" customHeight="1">
      <c r="A1953" s="46" t="s">
        <v>4141</v>
      </c>
      <c r="B1953" s="47" t="s">
        <v>4142</v>
      </c>
      <c r="C1953" s="47">
        <v>2506.0</v>
      </c>
      <c r="D1953" s="47">
        <v>2524.0</v>
      </c>
      <c r="E1953" s="47">
        <v>24500.0</v>
      </c>
      <c r="F1953" s="47">
        <v>15.0</v>
      </c>
    </row>
    <row r="1954" ht="15.75" customHeight="1">
      <c r="A1954" s="46" t="s">
        <v>4143</v>
      </c>
      <c r="B1954" s="47" t="s">
        <v>4144</v>
      </c>
      <c r="C1954" s="47">
        <v>144.0</v>
      </c>
      <c r="D1954" s="47">
        <v>127.0</v>
      </c>
      <c r="E1954" s="47">
        <v>37530.0</v>
      </c>
      <c r="F1954" s="47" t="s">
        <v>11</v>
      </c>
    </row>
    <row r="1955" ht="15.75" customHeight="1">
      <c r="A1955" s="46" t="s">
        <v>4145</v>
      </c>
      <c r="B1955" s="47" t="s">
        <v>4146</v>
      </c>
      <c r="C1955" s="47">
        <v>1098.0</v>
      </c>
      <c r="D1955" s="47">
        <v>1041.0</v>
      </c>
      <c r="E1955" s="47">
        <v>26600.0</v>
      </c>
      <c r="F1955" s="47" t="s">
        <v>11</v>
      </c>
    </row>
    <row r="1956" ht="15.75" customHeight="1">
      <c r="A1956" s="46" t="s">
        <v>4147</v>
      </c>
      <c r="B1956" s="47" t="s">
        <v>4148</v>
      </c>
      <c r="C1956" s="47">
        <v>149.0</v>
      </c>
      <c r="D1956" s="47">
        <v>140.0</v>
      </c>
      <c r="E1956" s="47">
        <v>28430.0</v>
      </c>
      <c r="F1956" s="47" t="s">
        <v>11</v>
      </c>
    </row>
    <row r="1957" ht="15.75" customHeight="1">
      <c r="A1957" s="46" t="s">
        <v>4149</v>
      </c>
      <c r="B1957" s="47" t="s">
        <v>4150</v>
      </c>
      <c r="C1957" s="47">
        <v>126.0</v>
      </c>
      <c r="D1957" s="47">
        <v>115.0</v>
      </c>
      <c r="E1957" s="47">
        <v>31150.0</v>
      </c>
      <c r="F1957" s="47" t="s">
        <v>11</v>
      </c>
    </row>
    <row r="1958" ht="15.75" customHeight="1">
      <c r="A1958" s="46" t="s">
        <v>4151</v>
      </c>
      <c r="B1958" s="47" t="s">
        <v>4152</v>
      </c>
      <c r="C1958" s="47">
        <v>79.0</v>
      </c>
      <c r="D1958" s="47">
        <v>78.0</v>
      </c>
      <c r="E1958" s="47" t="s">
        <v>11</v>
      </c>
      <c r="F1958" s="47" t="s">
        <v>11</v>
      </c>
    </row>
    <row r="1959" ht="15.75" customHeight="1">
      <c r="A1959" s="46" t="s">
        <v>4153</v>
      </c>
      <c r="B1959" s="47" t="s">
        <v>4154</v>
      </c>
      <c r="C1959" s="47">
        <v>216.0</v>
      </c>
      <c r="D1959" s="47">
        <v>210.0</v>
      </c>
      <c r="E1959" s="47">
        <v>30130.0</v>
      </c>
      <c r="F1959" s="47" t="s">
        <v>11</v>
      </c>
    </row>
    <row r="1960" ht="15.75" customHeight="1">
      <c r="A1960" s="46" t="s">
        <v>4155</v>
      </c>
      <c r="B1960" s="47" t="s">
        <v>4156</v>
      </c>
      <c r="C1960" s="47">
        <v>1836.0</v>
      </c>
      <c r="D1960" s="47">
        <v>1928.0</v>
      </c>
      <c r="E1960" s="47">
        <v>28730.0</v>
      </c>
      <c r="F1960" s="47" t="s">
        <v>11</v>
      </c>
    </row>
    <row r="1961" ht="15.75" customHeight="1">
      <c r="A1961" s="46" t="s">
        <v>4157</v>
      </c>
      <c r="B1961" s="47" t="s">
        <v>4158</v>
      </c>
      <c r="C1961" s="47">
        <v>1687.0</v>
      </c>
      <c r="D1961" s="47">
        <v>1727.0</v>
      </c>
      <c r="E1961" s="47">
        <v>23460.0</v>
      </c>
      <c r="F1961" s="47" t="s">
        <v>11</v>
      </c>
    </row>
    <row r="1962" ht="15.75" customHeight="1">
      <c r="A1962" s="46" t="s">
        <v>4159</v>
      </c>
      <c r="B1962" s="47" t="s">
        <v>4160</v>
      </c>
      <c r="C1962" s="47">
        <v>656.0</v>
      </c>
      <c r="D1962" s="47">
        <v>647.0</v>
      </c>
      <c r="E1962" s="47">
        <v>31480.0</v>
      </c>
      <c r="F1962" s="47" t="s">
        <v>11</v>
      </c>
    </row>
    <row r="1963" ht="15.75" customHeight="1">
      <c r="A1963" s="46" t="s">
        <v>4161</v>
      </c>
      <c r="B1963" s="47" t="s">
        <v>4162</v>
      </c>
      <c r="C1963" s="47">
        <v>329.0</v>
      </c>
      <c r="D1963" s="47">
        <v>329.0</v>
      </c>
      <c r="E1963" s="47">
        <v>26630.0</v>
      </c>
      <c r="F1963" s="47" t="s">
        <v>11</v>
      </c>
    </row>
    <row r="1964" ht="15.75" customHeight="1">
      <c r="A1964" s="46" t="s">
        <v>4163</v>
      </c>
      <c r="B1964" s="47" t="s">
        <v>4164</v>
      </c>
      <c r="C1964" s="47">
        <v>140.0</v>
      </c>
      <c r="D1964" s="47">
        <v>134.0</v>
      </c>
      <c r="E1964" s="47">
        <v>36700.0</v>
      </c>
      <c r="F1964" s="47" t="s">
        <v>11</v>
      </c>
    </row>
    <row r="1965" ht="15.75" customHeight="1">
      <c r="A1965" s="46" t="s">
        <v>4165</v>
      </c>
      <c r="B1965" s="47" t="s">
        <v>4166</v>
      </c>
      <c r="C1965" s="47">
        <v>3748.0</v>
      </c>
      <c r="D1965" s="47">
        <v>3871.0</v>
      </c>
      <c r="E1965" s="47">
        <v>23600.0</v>
      </c>
      <c r="F1965" s="47">
        <v>17.0</v>
      </c>
    </row>
    <row r="1966" ht="15.75" customHeight="1">
      <c r="A1966" s="46" t="s">
        <v>4167</v>
      </c>
      <c r="B1966" s="47" t="s">
        <v>4168</v>
      </c>
      <c r="C1966" s="47">
        <v>285.0</v>
      </c>
      <c r="D1966" s="47">
        <v>298.0</v>
      </c>
      <c r="E1966" s="47">
        <v>27960.0</v>
      </c>
      <c r="F1966" s="47" t="s">
        <v>11</v>
      </c>
    </row>
    <row r="1967" ht="15.75" customHeight="1">
      <c r="A1967" s="46" t="s">
        <v>4169</v>
      </c>
      <c r="B1967" s="47" t="s">
        <v>4170</v>
      </c>
      <c r="C1967" s="47">
        <v>1567.0</v>
      </c>
      <c r="D1967" s="47">
        <v>1559.0</v>
      </c>
      <c r="E1967" s="47">
        <v>28040.0</v>
      </c>
      <c r="F1967" s="47" t="s">
        <v>11</v>
      </c>
    </row>
    <row r="1968" ht="15.75" customHeight="1">
      <c r="A1968" s="46" t="s">
        <v>4171</v>
      </c>
      <c r="B1968" s="47" t="s">
        <v>4172</v>
      </c>
      <c r="C1968" s="47">
        <v>595.0</v>
      </c>
      <c r="D1968" s="47">
        <v>639.0</v>
      </c>
      <c r="E1968" s="47">
        <v>27890.0</v>
      </c>
      <c r="F1968" s="47" t="s">
        <v>11</v>
      </c>
    </row>
    <row r="1969" ht="15.75" customHeight="1">
      <c r="A1969" s="46" t="s">
        <v>4173</v>
      </c>
      <c r="B1969" s="47" t="s">
        <v>4174</v>
      </c>
      <c r="C1969" s="47">
        <v>367.0</v>
      </c>
      <c r="D1969" s="47">
        <v>350.0</v>
      </c>
      <c r="E1969" s="47">
        <v>27640.0</v>
      </c>
      <c r="F1969" s="47" t="s">
        <v>11</v>
      </c>
    </row>
    <row r="1970" ht="15.75" customHeight="1">
      <c r="A1970" s="46" t="s">
        <v>4175</v>
      </c>
      <c r="B1970" s="47" t="s">
        <v>4176</v>
      </c>
      <c r="C1970" s="47">
        <v>990.0</v>
      </c>
      <c r="D1970" s="47">
        <v>995.0</v>
      </c>
      <c r="E1970" s="47">
        <v>26420.0</v>
      </c>
      <c r="F1970" s="47" t="s">
        <v>11</v>
      </c>
    </row>
    <row r="1971" ht="15.75" customHeight="1">
      <c r="A1971" s="46" t="s">
        <v>4177</v>
      </c>
      <c r="B1971" s="47" t="s">
        <v>4178</v>
      </c>
      <c r="C1971" s="47">
        <v>121.0</v>
      </c>
      <c r="D1971" s="47">
        <v>117.0</v>
      </c>
      <c r="E1971" s="47">
        <v>29670.0</v>
      </c>
      <c r="F1971" s="47" t="s">
        <v>11</v>
      </c>
    </row>
    <row r="1972" ht="15.75" customHeight="1">
      <c r="A1972" s="46" t="s">
        <v>4179</v>
      </c>
      <c r="B1972" s="47" t="s">
        <v>4180</v>
      </c>
      <c r="C1972" s="47">
        <v>197.0</v>
      </c>
      <c r="D1972" s="47">
        <v>184.0</v>
      </c>
      <c r="E1972" s="47">
        <v>26660.0</v>
      </c>
      <c r="F1972" s="47" t="s">
        <v>11</v>
      </c>
    </row>
    <row r="1973" ht="15.75" customHeight="1">
      <c r="A1973" s="46" t="s">
        <v>4181</v>
      </c>
      <c r="B1973" s="47" t="s">
        <v>4182</v>
      </c>
      <c r="C1973" s="47">
        <v>547.0</v>
      </c>
      <c r="D1973" s="47">
        <v>560.0</v>
      </c>
      <c r="E1973" s="47">
        <v>21620.0</v>
      </c>
      <c r="F1973" s="47" t="s">
        <v>11</v>
      </c>
    </row>
    <row r="1974" ht="15.75" customHeight="1">
      <c r="A1974" s="46" t="s">
        <v>4183</v>
      </c>
      <c r="B1974" s="47" t="s">
        <v>4184</v>
      </c>
      <c r="C1974" s="47">
        <v>137.0</v>
      </c>
      <c r="D1974" s="47">
        <v>139.0</v>
      </c>
      <c r="E1974" s="47">
        <v>33430.0</v>
      </c>
      <c r="F1974" s="47" t="s">
        <v>11</v>
      </c>
    </row>
    <row r="1975" ht="15.75" customHeight="1">
      <c r="A1975" s="46" t="s">
        <v>4185</v>
      </c>
      <c r="B1975" s="47" t="s">
        <v>4186</v>
      </c>
      <c r="C1975" s="47">
        <v>632.0</v>
      </c>
      <c r="D1975" s="47">
        <v>622.0</v>
      </c>
      <c r="E1975" s="47">
        <v>31360.0</v>
      </c>
      <c r="F1975" s="47" t="s">
        <v>11</v>
      </c>
    </row>
    <row r="1976" ht="15.75" customHeight="1">
      <c r="A1976" s="46" t="s">
        <v>4187</v>
      </c>
      <c r="B1976" s="47" t="s">
        <v>4188</v>
      </c>
      <c r="C1976" s="47">
        <v>567.0</v>
      </c>
      <c r="D1976" s="47">
        <v>604.0</v>
      </c>
      <c r="E1976" s="47">
        <v>28660.0</v>
      </c>
      <c r="F1976" s="47" t="s">
        <v>11</v>
      </c>
    </row>
    <row r="1977" ht="15.75" customHeight="1">
      <c r="A1977" s="46" t="s">
        <v>4189</v>
      </c>
      <c r="B1977" s="47" t="s">
        <v>4190</v>
      </c>
      <c r="C1977" s="47">
        <v>213.0</v>
      </c>
      <c r="D1977" s="47">
        <v>235.0</v>
      </c>
      <c r="E1977" s="47">
        <v>28430.0</v>
      </c>
      <c r="F1977" s="47" t="s">
        <v>11</v>
      </c>
    </row>
    <row r="1978" ht="15.75" customHeight="1">
      <c r="A1978" s="46" t="s">
        <v>4191</v>
      </c>
      <c r="B1978" s="47" t="s">
        <v>4192</v>
      </c>
      <c r="C1978" s="47">
        <v>226.0</v>
      </c>
      <c r="D1978" s="47">
        <v>227.0</v>
      </c>
      <c r="E1978" s="47">
        <v>25220.0</v>
      </c>
      <c r="F1978" s="47" t="s">
        <v>11</v>
      </c>
    </row>
    <row r="1979" ht="15.75" customHeight="1">
      <c r="A1979" s="46" t="s">
        <v>4193</v>
      </c>
      <c r="B1979" s="47" t="s">
        <v>4194</v>
      </c>
      <c r="C1979" s="47">
        <v>314.0</v>
      </c>
      <c r="D1979" s="47">
        <v>277.0</v>
      </c>
      <c r="E1979" s="47">
        <v>28220.0</v>
      </c>
      <c r="F1979" s="47" t="s">
        <v>11</v>
      </c>
    </row>
    <row r="1980" ht="15.75" customHeight="1">
      <c r="A1980" s="46" t="s">
        <v>4195</v>
      </c>
      <c r="B1980" s="47" t="s">
        <v>4196</v>
      </c>
      <c r="C1980" s="47">
        <v>254.0</v>
      </c>
      <c r="D1980" s="47">
        <v>254.0</v>
      </c>
      <c r="E1980" s="47">
        <v>33680.0</v>
      </c>
      <c r="F1980" s="47" t="s">
        <v>11</v>
      </c>
    </row>
    <row r="1981" ht="15.75" customHeight="1">
      <c r="A1981" s="46" t="s">
        <v>4197</v>
      </c>
      <c r="B1981" s="47" t="s">
        <v>4198</v>
      </c>
      <c r="C1981" s="47">
        <v>276.0</v>
      </c>
      <c r="D1981" s="47">
        <v>277.0</v>
      </c>
      <c r="E1981" s="47">
        <v>28980.0</v>
      </c>
      <c r="F1981" s="47" t="s">
        <v>11</v>
      </c>
    </row>
    <row r="1982" ht="15.75" customHeight="1">
      <c r="A1982" s="46" t="s">
        <v>4199</v>
      </c>
      <c r="B1982" s="47" t="s">
        <v>4200</v>
      </c>
      <c r="C1982" s="47">
        <v>465.0</v>
      </c>
      <c r="D1982" s="47">
        <v>471.0</v>
      </c>
      <c r="E1982" s="47">
        <v>27320.0</v>
      </c>
      <c r="F1982" s="47" t="s">
        <v>11</v>
      </c>
    </row>
    <row r="1983" ht="15.75" customHeight="1">
      <c r="A1983" s="46" t="s">
        <v>4201</v>
      </c>
      <c r="B1983" s="47" t="s">
        <v>4202</v>
      </c>
      <c r="C1983" s="47">
        <v>54.0</v>
      </c>
      <c r="D1983" s="47">
        <v>71.0</v>
      </c>
      <c r="E1983" s="47" t="s">
        <v>11</v>
      </c>
      <c r="F1983" s="47" t="s">
        <v>11</v>
      </c>
    </row>
    <row r="1984" ht="15.75" customHeight="1">
      <c r="A1984" s="46" t="s">
        <v>4203</v>
      </c>
      <c r="B1984" s="47" t="s">
        <v>4204</v>
      </c>
      <c r="C1984" s="47">
        <v>209.0</v>
      </c>
      <c r="D1984" s="47">
        <v>215.0</v>
      </c>
      <c r="E1984" s="47">
        <v>26190.0</v>
      </c>
      <c r="F1984" s="47" t="s">
        <v>11</v>
      </c>
    </row>
    <row r="1985" ht="15.75" customHeight="1">
      <c r="A1985" s="46" t="s">
        <v>4205</v>
      </c>
      <c r="B1985" s="47" t="s">
        <v>4206</v>
      </c>
      <c r="C1985" s="47">
        <v>318.0</v>
      </c>
      <c r="D1985" s="47">
        <v>328.0</v>
      </c>
      <c r="E1985" s="47">
        <v>28790.0</v>
      </c>
      <c r="F1985" s="47" t="s">
        <v>11</v>
      </c>
    </row>
    <row r="1986" ht="15.75" customHeight="1">
      <c r="A1986" s="46" t="s">
        <v>4207</v>
      </c>
      <c r="B1986" s="47" t="s">
        <v>4208</v>
      </c>
      <c r="C1986" s="47">
        <v>466.0</v>
      </c>
      <c r="D1986" s="47">
        <v>448.0</v>
      </c>
      <c r="E1986" s="47">
        <v>26850.0</v>
      </c>
      <c r="F1986" s="47" t="s">
        <v>11</v>
      </c>
    </row>
    <row r="1987" ht="15.75" customHeight="1">
      <c r="A1987" s="46" t="s">
        <v>4209</v>
      </c>
      <c r="B1987" s="47" t="s">
        <v>4210</v>
      </c>
      <c r="C1987" s="47">
        <v>809.0</v>
      </c>
      <c r="D1987" s="47">
        <v>855.0</v>
      </c>
      <c r="E1987" s="47">
        <v>28330.0</v>
      </c>
      <c r="F1987" s="47" t="s">
        <v>11</v>
      </c>
    </row>
    <row r="1988" ht="15.75" customHeight="1">
      <c r="A1988" s="46" t="s">
        <v>4211</v>
      </c>
      <c r="B1988" s="47" t="s">
        <v>4212</v>
      </c>
      <c r="C1988" s="47">
        <v>720.0</v>
      </c>
      <c r="D1988" s="47">
        <v>757.0</v>
      </c>
      <c r="E1988" s="47">
        <v>35530.0</v>
      </c>
      <c r="F1988" s="47" t="s">
        <v>11</v>
      </c>
    </row>
    <row r="1989" ht="15.75" customHeight="1">
      <c r="A1989" s="46" t="s">
        <v>4213</v>
      </c>
      <c r="B1989" s="47" t="s">
        <v>4214</v>
      </c>
      <c r="C1989" s="47">
        <v>200.0</v>
      </c>
      <c r="D1989" s="47">
        <v>247.0</v>
      </c>
      <c r="E1989" s="47">
        <v>28480.0</v>
      </c>
      <c r="F1989" s="47" t="s">
        <v>11</v>
      </c>
    </row>
    <row r="1990" ht="15.75" customHeight="1">
      <c r="A1990" s="46" t="s">
        <v>4215</v>
      </c>
      <c r="B1990" s="47" t="s">
        <v>4216</v>
      </c>
      <c r="C1990" s="47">
        <v>1542.0</v>
      </c>
      <c r="D1990" s="47">
        <v>1573.0</v>
      </c>
      <c r="E1990" s="47">
        <v>29710.0</v>
      </c>
      <c r="F1990" s="47" t="s">
        <v>11</v>
      </c>
    </row>
    <row r="1991" ht="15.75" customHeight="1">
      <c r="A1991" s="46" t="s">
        <v>4217</v>
      </c>
      <c r="B1991" s="47" t="s">
        <v>4218</v>
      </c>
      <c r="C1991" s="47">
        <v>552.0</v>
      </c>
      <c r="D1991" s="47">
        <v>638.0</v>
      </c>
      <c r="E1991" s="47">
        <v>27810.0</v>
      </c>
      <c r="F1991" s="47" t="s">
        <v>11</v>
      </c>
    </row>
    <row r="1992" ht="15.75" customHeight="1">
      <c r="A1992" s="46" t="s">
        <v>4219</v>
      </c>
      <c r="B1992" s="47" t="s">
        <v>4220</v>
      </c>
      <c r="C1992" s="47">
        <v>273.0</v>
      </c>
      <c r="D1992" s="47">
        <v>272.0</v>
      </c>
      <c r="E1992" s="47">
        <v>25430.0</v>
      </c>
      <c r="F1992" s="47" t="s">
        <v>11</v>
      </c>
    </row>
    <row r="1993" ht="15.75" customHeight="1">
      <c r="A1993" s="46" t="s">
        <v>4221</v>
      </c>
      <c r="B1993" s="47" t="s">
        <v>4222</v>
      </c>
      <c r="C1993" s="47">
        <v>514.0</v>
      </c>
      <c r="D1993" s="47">
        <v>514.0</v>
      </c>
      <c r="E1993" s="47">
        <v>26690.0</v>
      </c>
      <c r="F1993" s="47" t="s">
        <v>11</v>
      </c>
    </row>
    <row r="1994" ht="15.75" customHeight="1">
      <c r="A1994" s="46" t="s">
        <v>4223</v>
      </c>
      <c r="B1994" s="47" t="s">
        <v>4224</v>
      </c>
      <c r="C1994" s="47">
        <v>217.0</v>
      </c>
      <c r="D1994" s="47">
        <v>202.0</v>
      </c>
      <c r="E1994" s="47">
        <v>25050.0</v>
      </c>
      <c r="F1994" s="47" t="s">
        <v>11</v>
      </c>
    </row>
    <row r="1995" ht="15.75" customHeight="1">
      <c r="A1995" s="46" t="s">
        <v>4225</v>
      </c>
      <c r="B1995" s="47" t="s">
        <v>4226</v>
      </c>
      <c r="C1995" s="47">
        <v>1140.0</v>
      </c>
      <c r="D1995" s="47">
        <v>1174.0</v>
      </c>
      <c r="E1995" s="47">
        <v>24480.0</v>
      </c>
      <c r="F1995" s="47" t="s">
        <v>11</v>
      </c>
    </row>
    <row r="1996" ht="15.75" customHeight="1">
      <c r="A1996" s="46" t="s">
        <v>4227</v>
      </c>
      <c r="B1996" s="47" t="s">
        <v>4228</v>
      </c>
      <c r="C1996" s="47">
        <v>336.0</v>
      </c>
      <c r="D1996" s="47">
        <v>349.0</v>
      </c>
      <c r="E1996" s="47">
        <v>29810.0</v>
      </c>
      <c r="F1996" s="47" t="s">
        <v>11</v>
      </c>
    </row>
    <row r="1997" ht="15.75" customHeight="1">
      <c r="A1997" s="46" t="s">
        <v>4229</v>
      </c>
      <c r="B1997" s="47" t="s">
        <v>4230</v>
      </c>
      <c r="C1997" s="47">
        <v>215.0</v>
      </c>
      <c r="D1997" s="47">
        <v>189.0</v>
      </c>
      <c r="E1997" s="47">
        <v>34720.0</v>
      </c>
      <c r="F1997" s="47" t="s">
        <v>11</v>
      </c>
    </row>
    <row r="1998" ht="15.75" customHeight="1">
      <c r="A1998" s="46" t="s">
        <v>4231</v>
      </c>
      <c r="B1998" s="47" t="s">
        <v>4232</v>
      </c>
      <c r="C1998" s="47">
        <v>1533.0</v>
      </c>
      <c r="D1998" s="47">
        <v>1637.0</v>
      </c>
      <c r="E1998" s="47">
        <v>28080.0</v>
      </c>
      <c r="F1998" s="47" t="s">
        <v>11</v>
      </c>
    </row>
    <row r="1999" ht="15.75" customHeight="1">
      <c r="A1999" s="46" t="s">
        <v>4233</v>
      </c>
      <c r="B1999" s="47" t="s">
        <v>4234</v>
      </c>
      <c r="C1999" s="47">
        <v>86.0</v>
      </c>
      <c r="D1999" s="47">
        <v>80.0</v>
      </c>
      <c r="E1999" s="47" t="s">
        <v>11</v>
      </c>
      <c r="F1999" s="47" t="s">
        <v>11</v>
      </c>
    </row>
    <row r="2000" ht="15.75" customHeight="1">
      <c r="A2000" s="46" t="s">
        <v>4235</v>
      </c>
      <c r="B2000" s="47" t="s">
        <v>4236</v>
      </c>
      <c r="C2000" s="47">
        <v>310.0</v>
      </c>
      <c r="D2000" s="47">
        <v>301.0</v>
      </c>
      <c r="E2000" s="47">
        <v>28720.0</v>
      </c>
      <c r="F2000" s="47" t="s">
        <v>11</v>
      </c>
    </row>
    <row r="2001" ht="15.75" customHeight="1">
      <c r="A2001" s="46" t="s">
        <v>4237</v>
      </c>
      <c r="B2001" s="47" t="s">
        <v>4238</v>
      </c>
      <c r="C2001" s="47">
        <v>321.0</v>
      </c>
      <c r="D2001" s="47">
        <v>331.0</v>
      </c>
      <c r="E2001" s="47">
        <v>27020.0</v>
      </c>
      <c r="F2001" s="47" t="s">
        <v>11</v>
      </c>
    </row>
    <row r="2002" ht="15.75" customHeight="1">
      <c r="A2002" s="46" t="s">
        <v>4239</v>
      </c>
      <c r="B2002" s="47" t="s">
        <v>4240</v>
      </c>
      <c r="C2002" s="47">
        <v>631.0</v>
      </c>
      <c r="D2002" s="47">
        <v>618.0</v>
      </c>
      <c r="E2002" s="47">
        <v>26910.0</v>
      </c>
      <c r="F2002" s="47" t="s">
        <v>11</v>
      </c>
    </row>
    <row r="2003" ht="15.75" customHeight="1">
      <c r="A2003" s="46" t="s">
        <v>4241</v>
      </c>
      <c r="B2003" s="47" t="s">
        <v>1545</v>
      </c>
      <c r="C2003" s="47">
        <v>3230.0</v>
      </c>
      <c r="D2003" s="47">
        <v>3505.0</v>
      </c>
      <c r="E2003" s="47">
        <v>25780.0</v>
      </c>
      <c r="F2003" s="47">
        <v>12.0</v>
      </c>
    </row>
    <row r="2004" ht="15.75" customHeight="1">
      <c r="A2004" s="46" t="s">
        <v>4242</v>
      </c>
      <c r="B2004" s="47" t="s">
        <v>4243</v>
      </c>
      <c r="C2004" s="47">
        <v>477.0</v>
      </c>
      <c r="D2004" s="47">
        <v>439.0</v>
      </c>
      <c r="E2004" s="47">
        <v>28150.0</v>
      </c>
      <c r="F2004" s="47" t="s">
        <v>11</v>
      </c>
    </row>
    <row r="2005" ht="15.75" customHeight="1">
      <c r="A2005" s="46" t="s">
        <v>4244</v>
      </c>
      <c r="B2005" s="47" t="s">
        <v>4245</v>
      </c>
      <c r="C2005" s="47">
        <v>1712.0</v>
      </c>
      <c r="D2005" s="47">
        <v>1662.0</v>
      </c>
      <c r="E2005" s="47">
        <v>25760.0</v>
      </c>
      <c r="F2005" s="47" t="s">
        <v>11</v>
      </c>
    </row>
    <row r="2006" ht="15.75" customHeight="1">
      <c r="A2006" s="46" t="s">
        <v>4246</v>
      </c>
      <c r="B2006" s="47" t="s">
        <v>4247</v>
      </c>
      <c r="C2006" s="47">
        <v>1077.0</v>
      </c>
      <c r="D2006" s="47">
        <v>1060.0</v>
      </c>
      <c r="E2006" s="47">
        <v>27460.0</v>
      </c>
      <c r="F2006" s="47" t="s">
        <v>11</v>
      </c>
    </row>
    <row r="2007" ht="15.75" customHeight="1">
      <c r="A2007" s="46" t="s">
        <v>4248</v>
      </c>
      <c r="B2007" s="47" t="s">
        <v>4249</v>
      </c>
      <c r="C2007" s="47">
        <v>315.0</v>
      </c>
      <c r="D2007" s="47">
        <v>345.0</v>
      </c>
      <c r="E2007" s="47">
        <v>38720.0</v>
      </c>
      <c r="F2007" s="47" t="s">
        <v>11</v>
      </c>
    </row>
    <row r="2008" ht="15.75" customHeight="1">
      <c r="A2008" s="46" t="s">
        <v>4250</v>
      </c>
      <c r="B2008" s="47" t="s">
        <v>4251</v>
      </c>
      <c r="C2008" s="47">
        <v>6013.0</v>
      </c>
      <c r="D2008" s="47">
        <v>5810.0</v>
      </c>
      <c r="E2008" s="47">
        <v>22100.0</v>
      </c>
      <c r="F2008" s="47">
        <v>22.0</v>
      </c>
    </row>
    <row r="2009" ht="15.75" customHeight="1">
      <c r="A2009" s="46" t="s">
        <v>4252</v>
      </c>
      <c r="B2009" s="47" t="s">
        <v>4253</v>
      </c>
      <c r="C2009" s="47">
        <v>795.0</v>
      </c>
      <c r="D2009" s="47">
        <v>735.0</v>
      </c>
      <c r="E2009" s="47">
        <v>28310.0</v>
      </c>
      <c r="F2009" s="47" t="s">
        <v>11</v>
      </c>
    </row>
    <row r="2010" ht="15.75" customHeight="1">
      <c r="A2010" s="46" t="s">
        <v>4254</v>
      </c>
      <c r="B2010" s="47" t="s">
        <v>4255</v>
      </c>
      <c r="C2010" s="47">
        <v>349.0</v>
      </c>
      <c r="D2010" s="47">
        <v>378.0</v>
      </c>
      <c r="E2010" s="47">
        <v>27760.0</v>
      </c>
      <c r="F2010" s="47" t="s">
        <v>11</v>
      </c>
    </row>
    <row r="2011" ht="15.75" customHeight="1">
      <c r="A2011" s="46" t="s">
        <v>4256</v>
      </c>
      <c r="B2011" s="47" t="s">
        <v>4257</v>
      </c>
      <c r="C2011" s="47">
        <v>4688.0</v>
      </c>
      <c r="D2011" s="47">
        <v>4638.0</v>
      </c>
      <c r="E2011" s="47">
        <v>26590.0</v>
      </c>
      <c r="F2011" s="47">
        <v>11.0</v>
      </c>
    </row>
    <row r="2012" ht="15.75" customHeight="1">
      <c r="A2012" s="46" t="s">
        <v>4258</v>
      </c>
      <c r="B2012" s="47" t="s">
        <v>4259</v>
      </c>
      <c r="C2012" s="47">
        <v>287.0</v>
      </c>
      <c r="D2012" s="47">
        <v>263.0</v>
      </c>
      <c r="E2012" s="47">
        <v>25180.0</v>
      </c>
      <c r="F2012" s="47" t="s">
        <v>11</v>
      </c>
    </row>
    <row r="2013" ht="15.75" customHeight="1">
      <c r="A2013" s="46" t="s">
        <v>4260</v>
      </c>
      <c r="B2013" s="47" t="s">
        <v>4261</v>
      </c>
      <c r="C2013" s="47">
        <v>1040.0</v>
      </c>
      <c r="D2013" s="47">
        <v>1108.0</v>
      </c>
      <c r="E2013" s="47">
        <v>29330.0</v>
      </c>
      <c r="F2013" s="47" t="s">
        <v>11</v>
      </c>
    </row>
    <row r="2014" ht="15.75" customHeight="1">
      <c r="A2014" s="46" t="s">
        <v>4262</v>
      </c>
      <c r="B2014" s="47" t="s">
        <v>4263</v>
      </c>
      <c r="C2014" s="47">
        <v>1492.0</v>
      </c>
      <c r="D2014" s="47">
        <v>1449.0</v>
      </c>
      <c r="E2014" s="47">
        <v>28500.0</v>
      </c>
      <c r="F2014" s="47" t="s">
        <v>11</v>
      </c>
    </row>
    <row r="2015" ht="15.75" customHeight="1">
      <c r="A2015" s="46" t="s">
        <v>4264</v>
      </c>
      <c r="B2015" s="47" t="s">
        <v>4265</v>
      </c>
      <c r="C2015" s="47">
        <v>383.0</v>
      </c>
      <c r="D2015" s="47">
        <v>397.0</v>
      </c>
      <c r="E2015" s="47">
        <v>22320.0</v>
      </c>
      <c r="F2015" s="47" t="s">
        <v>11</v>
      </c>
    </row>
    <row r="2016" ht="15.75" customHeight="1">
      <c r="A2016" s="46" t="s">
        <v>4266</v>
      </c>
      <c r="B2016" s="47" t="s">
        <v>4267</v>
      </c>
      <c r="C2016" s="47">
        <v>2938.0</v>
      </c>
      <c r="D2016" s="47">
        <v>3335.0</v>
      </c>
      <c r="E2016" s="47">
        <v>23510.0</v>
      </c>
      <c r="F2016" s="47">
        <v>18.0</v>
      </c>
    </row>
    <row r="2017" ht="15.75" customHeight="1">
      <c r="A2017" s="46" t="s">
        <v>4268</v>
      </c>
      <c r="B2017" s="47" t="s">
        <v>4269</v>
      </c>
      <c r="C2017" s="47">
        <v>1249.0</v>
      </c>
      <c r="D2017" s="47">
        <v>1172.0</v>
      </c>
      <c r="E2017" s="47">
        <v>24700.0</v>
      </c>
      <c r="F2017" s="47" t="s">
        <v>11</v>
      </c>
    </row>
    <row r="2018" ht="15.75" customHeight="1">
      <c r="A2018" s="46" t="s">
        <v>4270</v>
      </c>
      <c r="B2018" s="47" t="s">
        <v>4271</v>
      </c>
      <c r="C2018" s="47">
        <v>1531.0</v>
      </c>
      <c r="D2018" s="47">
        <v>1633.0</v>
      </c>
      <c r="E2018" s="47">
        <v>30800.0</v>
      </c>
      <c r="F2018" s="47" t="s">
        <v>11</v>
      </c>
    </row>
    <row r="2019" ht="15.75" customHeight="1">
      <c r="A2019" s="46" t="s">
        <v>4272</v>
      </c>
      <c r="B2019" s="47" t="s">
        <v>4273</v>
      </c>
      <c r="C2019" s="47">
        <v>712.0</v>
      </c>
      <c r="D2019" s="47">
        <v>672.0</v>
      </c>
      <c r="E2019" s="47">
        <v>24640.0</v>
      </c>
      <c r="F2019" s="47" t="s">
        <v>11</v>
      </c>
    </row>
    <row r="2020" ht="15.75" customHeight="1">
      <c r="A2020" s="46" t="s">
        <v>4274</v>
      </c>
      <c r="B2020" s="47" t="s">
        <v>4275</v>
      </c>
      <c r="C2020" s="47">
        <v>147.0</v>
      </c>
      <c r="D2020" s="47">
        <v>153.0</v>
      </c>
      <c r="E2020" s="47">
        <v>25110.0</v>
      </c>
      <c r="F2020" s="47" t="s">
        <v>11</v>
      </c>
    </row>
    <row r="2021" ht="15.75" customHeight="1">
      <c r="A2021" s="46" t="s">
        <v>4276</v>
      </c>
      <c r="B2021" s="47" t="s">
        <v>4277</v>
      </c>
      <c r="C2021" s="47">
        <v>283.0</v>
      </c>
      <c r="D2021" s="47">
        <v>285.0</v>
      </c>
      <c r="E2021" s="47">
        <v>27300.0</v>
      </c>
      <c r="F2021" s="47" t="s">
        <v>11</v>
      </c>
    </row>
    <row r="2022" ht="15.75" customHeight="1">
      <c r="A2022" s="46" t="s">
        <v>4278</v>
      </c>
      <c r="B2022" s="47" t="s">
        <v>4279</v>
      </c>
      <c r="C2022" s="47">
        <v>416.0</v>
      </c>
      <c r="D2022" s="47">
        <v>431.0</v>
      </c>
      <c r="E2022" s="47">
        <v>28040.0</v>
      </c>
      <c r="F2022" s="47" t="s">
        <v>11</v>
      </c>
    </row>
    <row r="2023" ht="15.75" customHeight="1">
      <c r="A2023" s="46" t="s">
        <v>4280</v>
      </c>
      <c r="B2023" s="47" t="s">
        <v>4281</v>
      </c>
      <c r="C2023" s="47">
        <v>250.0</v>
      </c>
      <c r="D2023" s="47">
        <v>225.0</v>
      </c>
      <c r="E2023" s="47">
        <v>25110.0</v>
      </c>
      <c r="F2023" s="47" t="s">
        <v>11</v>
      </c>
    </row>
    <row r="2024" ht="15.75" customHeight="1">
      <c r="A2024" s="46" t="s">
        <v>4282</v>
      </c>
      <c r="B2024" s="47" t="s">
        <v>4283</v>
      </c>
      <c r="C2024" s="47">
        <v>1734.0</v>
      </c>
      <c r="D2024" s="47">
        <v>1751.0</v>
      </c>
      <c r="E2024" s="47">
        <v>27010.0</v>
      </c>
      <c r="F2024" s="47" t="s">
        <v>11</v>
      </c>
    </row>
    <row r="2025" ht="15.75" customHeight="1">
      <c r="A2025" s="46" t="s">
        <v>4284</v>
      </c>
      <c r="B2025" s="47" t="s">
        <v>4285</v>
      </c>
      <c r="C2025" s="47">
        <v>1020.0</v>
      </c>
      <c r="D2025" s="47">
        <v>1079.0</v>
      </c>
      <c r="E2025" s="47">
        <v>27330.0</v>
      </c>
      <c r="F2025" s="47" t="s">
        <v>11</v>
      </c>
    </row>
    <row r="2026" ht="15.75" customHeight="1">
      <c r="A2026" s="46" t="s">
        <v>4286</v>
      </c>
      <c r="B2026" s="47" t="s">
        <v>4287</v>
      </c>
      <c r="C2026" s="47">
        <v>298.0</v>
      </c>
      <c r="D2026" s="47">
        <v>281.0</v>
      </c>
      <c r="E2026" s="47">
        <v>24020.0</v>
      </c>
      <c r="F2026" s="47" t="s">
        <v>11</v>
      </c>
    </row>
    <row r="2027" ht="15.75" customHeight="1">
      <c r="A2027" s="46" t="s">
        <v>4288</v>
      </c>
      <c r="B2027" s="47" t="s">
        <v>4289</v>
      </c>
      <c r="C2027" s="47">
        <v>647.0</v>
      </c>
      <c r="D2027" s="47">
        <v>654.0</v>
      </c>
      <c r="E2027" s="47">
        <v>32160.0</v>
      </c>
      <c r="F2027" s="47" t="s">
        <v>11</v>
      </c>
    </row>
    <row r="2028" ht="15.75" customHeight="1">
      <c r="A2028" s="46" t="s">
        <v>4290</v>
      </c>
      <c r="B2028" s="47" t="s">
        <v>4291</v>
      </c>
      <c r="C2028" s="47">
        <v>1074.0</v>
      </c>
      <c r="D2028" s="47">
        <v>984.0</v>
      </c>
      <c r="E2028" s="47">
        <v>26090.0</v>
      </c>
      <c r="F2028" s="47" t="s">
        <v>11</v>
      </c>
    </row>
    <row r="2029" ht="15.75" customHeight="1">
      <c r="A2029" s="46" t="s">
        <v>4292</v>
      </c>
      <c r="B2029" s="47" t="s">
        <v>4293</v>
      </c>
      <c r="C2029" s="47">
        <v>65.0</v>
      </c>
      <c r="D2029" s="47">
        <v>53.0</v>
      </c>
      <c r="E2029" s="47" t="s">
        <v>11</v>
      </c>
      <c r="F2029" s="47" t="s">
        <v>11</v>
      </c>
    </row>
    <row r="2030" ht="15.75" customHeight="1">
      <c r="A2030" s="46" t="s">
        <v>4294</v>
      </c>
      <c r="B2030" s="47" t="s">
        <v>4295</v>
      </c>
      <c r="C2030" s="47">
        <v>890.0</v>
      </c>
      <c r="D2030" s="47">
        <v>897.0</v>
      </c>
      <c r="E2030" s="47">
        <v>25940.0</v>
      </c>
      <c r="F2030" s="47" t="s">
        <v>11</v>
      </c>
    </row>
    <row r="2031" ht="15.75" customHeight="1">
      <c r="A2031" s="46" t="s">
        <v>4296</v>
      </c>
      <c r="B2031" s="47" t="s">
        <v>4297</v>
      </c>
      <c r="C2031" s="47">
        <v>265.0</v>
      </c>
      <c r="D2031" s="47">
        <v>262.0</v>
      </c>
      <c r="E2031" s="47">
        <v>24250.0</v>
      </c>
      <c r="F2031" s="47" t="s">
        <v>11</v>
      </c>
    </row>
    <row r="2032" ht="15.75" customHeight="1">
      <c r="A2032" s="46" t="s">
        <v>4298</v>
      </c>
      <c r="B2032" s="47" t="s">
        <v>4299</v>
      </c>
      <c r="C2032" s="47">
        <v>348.0</v>
      </c>
      <c r="D2032" s="47">
        <v>351.0</v>
      </c>
      <c r="E2032" s="47">
        <v>25510.0</v>
      </c>
      <c r="F2032" s="47" t="s">
        <v>11</v>
      </c>
    </row>
    <row r="2033" ht="15.75" customHeight="1">
      <c r="A2033" s="46" t="s">
        <v>4300</v>
      </c>
      <c r="B2033" s="47" t="s">
        <v>4301</v>
      </c>
      <c r="C2033" s="47">
        <v>100.0</v>
      </c>
      <c r="D2033" s="47">
        <v>105.0</v>
      </c>
      <c r="E2033" s="47">
        <v>24810.0</v>
      </c>
      <c r="F2033" s="47" t="s">
        <v>11</v>
      </c>
    </row>
    <row r="2034" ht="15.75" customHeight="1">
      <c r="A2034" s="46" t="s">
        <v>4302</v>
      </c>
      <c r="B2034" s="47" t="s">
        <v>4303</v>
      </c>
      <c r="C2034" s="47">
        <v>844.0</v>
      </c>
      <c r="D2034" s="47">
        <v>933.0</v>
      </c>
      <c r="E2034" s="47">
        <v>28540.0</v>
      </c>
      <c r="F2034" s="47" t="s">
        <v>11</v>
      </c>
    </row>
    <row r="2035" ht="15.75" customHeight="1">
      <c r="A2035" s="46" t="s">
        <v>4304</v>
      </c>
      <c r="B2035" s="47" t="s">
        <v>4305</v>
      </c>
      <c r="C2035" s="47">
        <v>789.0</v>
      </c>
      <c r="D2035" s="47">
        <v>760.0</v>
      </c>
      <c r="E2035" s="47">
        <v>25630.0</v>
      </c>
      <c r="F2035" s="47" t="s">
        <v>11</v>
      </c>
    </row>
    <row r="2036" ht="15.75" customHeight="1">
      <c r="A2036" s="46" t="s">
        <v>4306</v>
      </c>
      <c r="B2036" s="47" t="s">
        <v>4307</v>
      </c>
      <c r="C2036" s="47">
        <v>621.0</v>
      </c>
      <c r="D2036" s="47">
        <v>577.0</v>
      </c>
      <c r="E2036" s="47">
        <v>27360.0</v>
      </c>
      <c r="F2036" s="47" t="s">
        <v>11</v>
      </c>
    </row>
    <row r="2037" ht="15.75" customHeight="1">
      <c r="A2037" s="46" t="s">
        <v>4308</v>
      </c>
      <c r="B2037" s="47" t="s">
        <v>4309</v>
      </c>
      <c r="C2037" s="47">
        <v>14277.0</v>
      </c>
      <c r="D2037" s="47">
        <v>15157.0</v>
      </c>
      <c r="E2037" s="47">
        <v>29500.0</v>
      </c>
      <c r="F2037" s="47">
        <v>12.0</v>
      </c>
    </row>
    <row r="2038" ht="15.75" customHeight="1">
      <c r="A2038" s="46" t="s">
        <v>4310</v>
      </c>
      <c r="B2038" s="47" t="s">
        <v>4311</v>
      </c>
      <c r="C2038" s="47">
        <v>347.0</v>
      </c>
      <c r="D2038" s="47">
        <v>331.0</v>
      </c>
      <c r="E2038" s="47">
        <v>30290.0</v>
      </c>
      <c r="F2038" s="47" t="s">
        <v>11</v>
      </c>
    </row>
    <row r="2039" ht="15.75" customHeight="1">
      <c r="A2039" s="46" t="s">
        <v>4312</v>
      </c>
      <c r="B2039" s="47" t="s">
        <v>4313</v>
      </c>
      <c r="C2039" s="47">
        <v>222.0</v>
      </c>
      <c r="D2039" s="47">
        <v>184.0</v>
      </c>
      <c r="E2039" s="47">
        <v>28000.0</v>
      </c>
      <c r="F2039" s="47" t="s">
        <v>11</v>
      </c>
    </row>
    <row r="2040" ht="15.75" customHeight="1">
      <c r="A2040" s="46" t="s">
        <v>4314</v>
      </c>
      <c r="B2040" s="47" t="s">
        <v>4315</v>
      </c>
      <c r="C2040" s="47">
        <v>136.0</v>
      </c>
      <c r="D2040" s="47">
        <v>132.0</v>
      </c>
      <c r="E2040" s="47">
        <v>20740.0</v>
      </c>
      <c r="F2040" s="47" t="s">
        <v>11</v>
      </c>
    </row>
    <row r="2041" ht="15.75" customHeight="1">
      <c r="A2041" s="46" t="s">
        <v>4316</v>
      </c>
      <c r="B2041" s="47" t="s">
        <v>4317</v>
      </c>
      <c r="C2041" s="47">
        <v>2755.0</v>
      </c>
      <c r="D2041" s="47">
        <v>2784.0</v>
      </c>
      <c r="E2041" s="47">
        <v>23910.0</v>
      </c>
      <c r="F2041" s="47">
        <v>18.0</v>
      </c>
    </row>
    <row r="2042" ht="15.75" customHeight="1">
      <c r="A2042" s="46" t="s">
        <v>4318</v>
      </c>
      <c r="B2042" s="47" t="s">
        <v>4319</v>
      </c>
      <c r="C2042" s="47">
        <v>257.0</v>
      </c>
      <c r="D2042" s="47">
        <v>271.0</v>
      </c>
      <c r="E2042" s="47">
        <v>24070.0</v>
      </c>
      <c r="F2042" s="47" t="s">
        <v>11</v>
      </c>
    </row>
    <row r="2043" ht="15.75" customHeight="1">
      <c r="A2043" s="46" t="s">
        <v>4320</v>
      </c>
      <c r="B2043" s="47" t="s">
        <v>4321</v>
      </c>
      <c r="C2043" s="47">
        <v>282.0</v>
      </c>
      <c r="D2043" s="47">
        <v>269.0</v>
      </c>
      <c r="E2043" s="47">
        <v>29670.0</v>
      </c>
      <c r="F2043" s="47" t="s">
        <v>11</v>
      </c>
    </row>
    <row r="2044" ht="15.75" customHeight="1">
      <c r="A2044" s="46" t="s">
        <v>4322</v>
      </c>
      <c r="B2044" s="47" t="s">
        <v>4323</v>
      </c>
      <c r="C2044" s="47">
        <v>1160.0</v>
      </c>
      <c r="D2044" s="47">
        <v>1217.0</v>
      </c>
      <c r="E2044" s="47">
        <v>30680.0</v>
      </c>
      <c r="F2044" s="47" t="s">
        <v>11</v>
      </c>
    </row>
    <row r="2045" ht="15.75" customHeight="1">
      <c r="A2045" s="46" t="s">
        <v>4324</v>
      </c>
      <c r="B2045" s="47" t="s">
        <v>4325</v>
      </c>
      <c r="C2045" s="47">
        <v>440.0</v>
      </c>
      <c r="D2045" s="47">
        <v>450.0</v>
      </c>
      <c r="E2045" s="47">
        <v>31190.0</v>
      </c>
      <c r="F2045" s="47" t="s">
        <v>11</v>
      </c>
    </row>
    <row r="2046" ht="15.75" customHeight="1">
      <c r="A2046" s="46" t="s">
        <v>4326</v>
      </c>
      <c r="B2046" s="47" t="s">
        <v>4327</v>
      </c>
      <c r="C2046" s="47">
        <v>138.0</v>
      </c>
      <c r="D2046" s="47">
        <v>130.0</v>
      </c>
      <c r="E2046" s="47">
        <v>23770.0</v>
      </c>
      <c r="F2046" s="47" t="s">
        <v>11</v>
      </c>
    </row>
    <row r="2047" ht="15.75" customHeight="1">
      <c r="A2047" s="46" t="s">
        <v>4328</v>
      </c>
      <c r="B2047" s="47" t="s">
        <v>4329</v>
      </c>
      <c r="C2047" s="47">
        <v>482.0</v>
      </c>
      <c r="D2047" s="47">
        <v>481.0</v>
      </c>
      <c r="E2047" s="47">
        <v>25130.0</v>
      </c>
      <c r="F2047" s="47" t="s">
        <v>11</v>
      </c>
    </row>
    <row r="2048" ht="15.75" customHeight="1">
      <c r="A2048" s="46" t="s">
        <v>4330</v>
      </c>
      <c r="B2048" s="47" t="s">
        <v>4331</v>
      </c>
      <c r="C2048" s="47">
        <v>1073.0</v>
      </c>
      <c r="D2048" s="47">
        <v>926.0</v>
      </c>
      <c r="E2048" s="47">
        <v>24140.0</v>
      </c>
      <c r="F2048" s="47" t="s">
        <v>11</v>
      </c>
    </row>
    <row r="2049" ht="15.75" customHeight="1">
      <c r="A2049" s="46" t="s">
        <v>4332</v>
      </c>
      <c r="B2049" s="47" t="s">
        <v>4333</v>
      </c>
      <c r="C2049" s="47">
        <v>170.0</v>
      </c>
      <c r="D2049" s="47">
        <v>165.0</v>
      </c>
      <c r="E2049" s="47">
        <v>23140.0</v>
      </c>
      <c r="F2049" s="47" t="s">
        <v>11</v>
      </c>
    </row>
    <row r="2050" ht="15.75" customHeight="1">
      <c r="A2050" s="46" t="s">
        <v>4334</v>
      </c>
      <c r="B2050" s="47" t="s">
        <v>4335</v>
      </c>
      <c r="C2050" s="47">
        <v>568.0</v>
      </c>
      <c r="D2050" s="47">
        <v>518.0</v>
      </c>
      <c r="E2050" s="47">
        <v>26170.0</v>
      </c>
      <c r="F2050" s="47" t="s">
        <v>11</v>
      </c>
    </row>
    <row r="2051" ht="15.75" customHeight="1">
      <c r="A2051" s="46" t="s">
        <v>4336</v>
      </c>
      <c r="B2051" s="47" t="s">
        <v>4337</v>
      </c>
      <c r="C2051" s="47">
        <v>683.0</v>
      </c>
      <c r="D2051" s="47">
        <v>643.0</v>
      </c>
      <c r="E2051" s="47">
        <v>26610.0</v>
      </c>
      <c r="F2051" s="47" t="s">
        <v>11</v>
      </c>
    </row>
    <row r="2052" ht="15.75" customHeight="1">
      <c r="A2052" s="46" t="s">
        <v>4338</v>
      </c>
      <c r="B2052" s="47" t="s">
        <v>4339</v>
      </c>
      <c r="C2052" s="47">
        <v>274.0</v>
      </c>
      <c r="D2052" s="47">
        <v>250.0</v>
      </c>
      <c r="E2052" s="47">
        <v>25360.0</v>
      </c>
      <c r="F2052" s="47" t="s">
        <v>11</v>
      </c>
    </row>
    <row r="2053" ht="15.75" customHeight="1">
      <c r="A2053" s="46" t="s">
        <v>4340</v>
      </c>
      <c r="B2053" s="47" t="s">
        <v>4341</v>
      </c>
      <c r="C2053" s="47">
        <v>1063.0</v>
      </c>
      <c r="D2053" s="47">
        <v>1225.0</v>
      </c>
      <c r="E2053" s="47">
        <v>27420.0</v>
      </c>
      <c r="F2053" s="47" t="s">
        <v>11</v>
      </c>
    </row>
    <row r="2054" ht="15.75" customHeight="1">
      <c r="A2054" s="46" t="s">
        <v>4342</v>
      </c>
      <c r="B2054" s="47" t="s">
        <v>4343</v>
      </c>
      <c r="C2054" s="47">
        <v>202.0</v>
      </c>
      <c r="D2054" s="47">
        <v>196.0</v>
      </c>
      <c r="E2054" s="47">
        <v>26790.0</v>
      </c>
      <c r="F2054" s="47" t="s">
        <v>11</v>
      </c>
    </row>
    <row r="2055" ht="15.75" customHeight="1">
      <c r="A2055" s="46" t="s">
        <v>4344</v>
      </c>
      <c r="B2055" s="47" t="s">
        <v>4345</v>
      </c>
      <c r="C2055" s="47">
        <v>165.0</v>
      </c>
      <c r="D2055" s="47">
        <v>217.0</v>
      </c>
      <c r="E2055" s="47">
        <v>29020.0</v>
      </c>
      <c r="F2055" s="47" t="s">
        <v>11</v>
      </c>
    </row>
    <row r="2056" ht="15.75" customHeight="1">
      <c r="A2056" s="46" t="s">
        <v>4346</v>
      </c>
      <c r="B2056" s="47" t="s">
        <v>4347</v>
      </c>
      <c r="C2056" s="47">
        <v>1059.0</v>
      </c>
      <c r="D2056" s="47">
        <v>1090.0</v>
      </c>
      <c r="E2056" s="47">
        <v>32830.0</v>
      </c>
      <c r="F2056" s="47" t="s">
        <v>11</v>
      </c>
    </row>
    <row r="2057" ht="15.75" customHeight="1">
      <c r="A2057" s="46" t="s">
        <v>4348</v>
      </c>
      <c r="B2057" s="47" t="s">
        <v>4349</v>
      </c>
      <c r="C2057" s="47">
        <v>754.0</v>
      </c>
      <c r="D2057" s="47">
        <v>750.0</v>
      </c>
      <c r="E2057" s="47">
        <v>28040.0</v>
      </c>
      <c r="F2057" s="47" t="s">
        <v>11</v>
      </c>
    </row>
    <row r="2058" ht="15.75" customHeight="1">
      <c r="A2058" s="46" t="s">
        <v>4350</v>
      </c>
      <c r="B2058" s="47" t="s">
        <v>4351</v>
      </c>
      <c r="C2058" s="47">
        <v>410.0</v>
      </c>
      <c r="D2058" s="47">
        <v>379.0</v>
      </c>
      <c r="E2058" s="47">
        <v>24780.0</v>
      </c>
      <c r="F2058" s="47" t="s">
        <v>11</v>
      </c>
    </row>
    <row r="2059" ht="15.75" customHeight="1">
      <c r="A2059" s="46" t="s">
        <v>4352</v>
      </c>
      <c r="B2059" s="47" t="s">
        <v>4353</v>
      </c>
      <c r="C2059" s="47">
        <v>439.0</v>
      </c>
      <c r="D2059" s="47">
        <v>438.0</v>
      </c>
      <c r="E2059" s="47">
        <v>24710.0</v>
      </c>
      <c r="F2059" s="47" t="s">
        <v>11</v>
      </c>
    </row>
    <row r="2060" ht="15.75" customHeight="1">
      <c r="A2060" s="46" t="s">
        <v>4354</v>
      </c>
      <c r="B2060" s="47" t="s">
        <v>4355</v>
      </c>
      <c r="C2060" s="47">
        <v>1065.0</v>
      </c>
      <c r="D2060" s="47">
        <v>1041.0</v>
      </c>
      <c r="E2060" s="47">
        <v>22790.0</v>
      </c>
      <c r="F2060" s="47" t="s">
        <v>11</v>
      </c>
    </row>
    <row r="2061" ht="15.75" customHeight="1">
      <c r="A2061" s="46" t="s">
        <v>4356</v>
      </c>
      <c r="B2061" s="47" t="s">
        <v>4357</v>
      </c>
      <c r="C2061" s="47">
        <v>4558.0</v>
      </c>
      <c r="D2061" s="47">
        <v>4463.0</v>
      </c>
      <c r="E2061" s="47">
        <v>23840.0</v>
      </c>
      <c r="F2061" s="47">
        <v>18.0</v>
      </c>
    </row>
    <row r="2062" ht="15.75" customHeight="1">
      <c r="A2062" s="46" t="s">
        <v>4358</v>
      </c>
      <c r="B2062" s="47" t="s">
        <v>4359</v>
      </c>
      <c r="C2062" s="47">
        <v>493.0</v>
      </c>
      <c r="D2062" s="47">
        <v>462.0</v>
      </c>
      <c r="E2062" s="47">
        <v>28450.0</v>
      </c>
      <c r="F2062" s="47" t="s">
        <v>11</v>
      </c>
    </row>
    <row r="2063" ht="15.75" customHeight="1">
      <c r="A2063" s="46" t="s">
        <v>4360</v>
      </c>
      <c r="B2063" s="47" t="s">
        <v>4361</v>
      </c>
      <c r="C2063" s="47">
        <v>679.0</v>
      </c>
      <c r="D2063" s="47">
        <v>667.0</v>
      </c>
      <c r="E2063" s="47">
        <v>28280.0</v>
      </c>
      <c r="F2063" s="47" t="s">
        <v>11</v>
      </c>
    </row>
    <row r="2064" ht="15.75" customHeight="1">
      <c r="A2064" s="46" t="s">
        <v>4362</v>
      </c>
      <c r="B2064" s="47" t="s">
        <v>4363</v>
      </c>
      <c r="C2064" s="47">
        <v>1169.0</v>
      </c>
      <c r="D2064" s="47">
        <v>1258.0</v>
      </c>
      <c r="E2064" s="47">
        <v>25600.0</v>
      </c>
      <c r="F2064" s="47" t="s">
        <v>11</v>
      </c>
    </row>
    <row r="2065" ht="15.75" customHeight="1">
      <c r="A2065" s="46" t="s">
        <v>4364</v>
      </c>
      <c r="B2065" s="47" t="s">
        <v>4365</v>
      </c>
      <c r="C2065" s="47">
        <v>175.0</v>
      </c>
      <c r="D2065" s="47">
        <v>161.0</v>
      </c>
      <c r="E2065" s="47">
        <v>35530.0</v>
      </c>
      <c r="F2065" s="47" t="s">
        <v>11</v>
      </c>
    </row>
    <row r="2066" ht="15.75" customHeight="1">
      <c r="A2066" s="46" t="s">
        <v>4366</v>
      </c>
      <c r="B2066" s="47" t="s">
        <v>4367</v>
      </c>
      <c r="C2066" s="47">
        <v>1735.0</v>
      </c>
      <c r="D2066" s="47">
        <v>1686.0</v>
      </c>
      <c r="E2066" s="47">
        <v>28110.0</v>
      </c>
      <c r="F2066" s="47" t="s">
        <v>11</v>
      </c>
    </row>
    <row r="2067" ht="15.75" customHeight="1">
      <c r="A2067" s="46" t="s">
        <v>4368</v>
      </c>
      <c r="B2067" s="47" t="s">
        <v>4369</v>
      </c>
      <c r="C2067" s="47">
        <v>1095.0</v>
      </c>
      <c r="D2067" s="47">
        <v>1037.0</v>
      </c>
      <c r="E2067" s="47">
        <v>29610.0</v>
      </c>
      <c r="F2067" s="47" t="s">
        <v>11</v>
      </c>
    </row>
    <row r="2068" ht="15.75" customHeight="1">
      <c r="A2068" s="46" t="s">
        <v>4370</v>
      </c>
      <c r="B2068" s="47" t="s">
        <v>4371</v>
      </c>
      <c r="C2068" s="47">
        <v>1422.0</v>
      </c>
      <c r="D2068" s="47">
        <v>1392.0</v>
      </c>
      <c r="E2068" s="47">
        <v>22840.0</v>
      </c>
      <c r="F2068" s="47" t="s">
        <v>11</v>
      </c>
    </row>
    <row r="2069" ht="15.75" customHeight="1">
      <c r="A2069" s="46" t="s">
        <v>4372</v>
      </c>
      <c r="B2069" s="47" t="s">
        <v>4373</v>
      </c>
      <c r="C2069" s="47">
        <v>1943.0</v>
      </c>
      <c r="D2069" s="47">
        <v>1875.0</v>
      </c>
      <c r="E2069" s="47">
        <v>27900.0</v>
      </c>
      <c r="F2069" s="47" t="s">
        <v>11</v>
      </c>
    </row>
    <row r="2070" ht="15.75" customHeight="1">
      <c r="A2070" s="46" t="s">
        <v>4374</v>
      </c>
      <c r="B2070" s="47" t="s">
        <v>4375</v>
      </c>
      <c r="C2070" s="47">
        <v>310.0</v>
      </c>
      <c r="D2070" s="47">
        <v>303.0</v>
      </c>
      <c r="E2070" s="47">
        <v>26500.0</v>
      </c>
      <c r="F2070" s="47" t="s">
        <v>11</v>
      </c>
    </row>
    <row r="2071" ht="15.75" customHeight="1">
      <c r="A2071" s="46" t="s">
        <v>4376</v>
      </c>
      <c r="B2071" s="47" t="s">
        <v>4377</v>
      </c>
      <c r="C2071" s="47">
        <v>1232.0</v>
      </c>
      <c r="D2071" s="47">
        <v>1374.0</v>
      </c>
      <c r="E2071" s="47">
        <v>26960.0</v>
      </c>
      <c r="F2071" s="47" t="s">
        <v>11</v>
      </c>
    </row>
    <row r="2072" ht="15.75" customHeight="1">
      <c r="A2072" s="46" t="s">
        <v>4378</v>
      </c>
      <c r="B2072" s="47" t="s">
        <v>4379</v>
      </c>
      <c r="C2072" s="47">
        <v>2081.0</v>
      </c>
      <c r="D2072" s="47">
        <v>2077.0</v>
      </c>
      <c r="E2072" s="47">
        <v>26870.0</v>
      </c>
      <c r="F2072" s="47">
        <v>11.0</v>
      </c>
    </row>
    <row r="2073" ht="15.75" customHeight="1">
      <c r="A2073" s="46" t="s">
        <v>4380</v>
      </c>
      <c r="B2073" s="47" t="s">
        <v>4381</v>
      </c>
      <c r="C2073" s="47">
        <v>332.0</v>
      </c>
      <c r="D2073" s="47">
        <v>314.0</v>
      </c>
      <c r="E2073" s="47">
        <v>26200.0</v>
      </c>
      <c r="F2073" s="47" t="s">
        <v>11</v>
      </c>
    </row>
    <row r="2074" ht="15.75" customHeight="1">
      <c r="A2074" s="46" t="s">
        <v>4382</v>
      </c>
      <c r="B2074" s="47" t="s">
        <v>4383</v>
      </c>
      <c r="C2074" s="47">
        <v>528.0</v>
      </c>
      <c r="D2074" s="47">
        <v>522.0</v>
      </c>
      <c r="E2074" s="47">
        <v>32890.0</v>
      </c>
      <c r="F2074" s="47" t="s">
        <v>11</v>
      </c>
    </row>
    <row r="2075" ht="15.75" customHeight="1">
      <c r="A2075" s="46" t="s">
        <v>4384</v>
      </c>
      <c r="B2075" s="47" t="s">
        <v>4385</v>
      </c>
      <c r="C2075" s="47">
        <v>1869.0</v>
      </c>
      <c r="D2075" s="47">
        <v>1941.0</v>
      </c>
      <c r="E2075" s="47">
        <v>28740.0</v>
      </c>
      <c r="F2075" s="47" t="s">
        <v>11</v>
      </c>
    </row>
    <row r="2076" ht="15.75" customHeight="1">
      <c r="A2076" s="46" t="s">
        <v>4386</v>
      </c>
      <c r="B2076" s="47" t="s">
        <v>4387</v>
      </c>
      <c r="C2076" s="47">
        <v>936.0</v>
      </c>
      <c r="D2076" s="47">
        <v>941.0</v>
      </c>
      <c r="E2076" s="47">
        <v>27510.0</v>
      </c>
      <c r="F2076" s="47" t="s">
        <v>11</v>
      </c>
    </row>
    <row r="2077" ht="15.75" customHeight="1">
      <c r="A2077" s="46" t="s">
        <v>4388</v>
      </c>
      <c r="B2077" s="47" t="s">
        <v>4389</v>
      </c>
      <c r="C2077" s="47">
        <v>291.0</v>
      </c>
      <c r="D2077" s="47">
        <v>295.0</v>
      </c>
      <c r="E2077" s="47">
        <v>26000.0</v>
      </c>
      <c r="F2077" s="47" t="s">
        <v>11</v>
      </c>
    </row>
    <row r="2078" ht="15.75" customHeight="1">
      <c r="A2078" s="46" t="s">
        <v>4390</v>
      </c>
      <c r="B2078" s="47" t="s">
        <v>4391</v>
      </c>
      <c r="C2078" s="47">
        <v>276.0</v>
      </c>
      <c r="D2078" s="47">
        <v>254.0</v>
      </c>
      <c r="E2078" s="47">
        <v>27570.0</v>
      </c>
      <c r="F2078" s="47" t="s">
        <v>11</v>
      </c>
    </row>
    <row r="2079" ht="15.75" customHeight="1">
      <c r="A2079" s="46" t="s">
        <v>4392</v>
      </c>
      <c r="B2079" s="47" t="s">
        <v>4393</v>
      </c>
      <c r="C2079" s="47">
        <v>368.0</v>
      </c>
      <c r="D2079" s="47">
        <v>367.0</v>
      </c>
      <c r="E2079" s="47">
        <v>26070.0</v>
      </c>
      <c r="F2079" s="47" t="s">
        <v>11</v>
      </c>
    </row>
    <row r="2080" ht="15.75" customHeight="1">
      <c r="A2080" s="46" t="s">
        <v>4394</v>
      </c>
      <c r="B2080" s="47" t="s">
        <v>4395</v>
      </c>
      <c r="C2080" s="47">
        <v>290.0</v>
      </c>
      <c r="D2080" s="47">
        <v>265.0</v>
      </c>
      <c r="E2080" s="47">
        <v>28500.0</v>
      </c>
      <c r="F2080" s="47" t="s">
        <v>11</v>
      </c>
    </row>
    <row r="2081" ht="15.75" customHeight="1">
      <c r="A2081" s="46" t="s">
        <v>4396</v>
      </c>
      <c r="B2081" s="47" t="s">
        <v>4397</v>
      </c>
      <c r="C2081" s="47">
        <v>265.0</v>
      </c>
      <c r="D2081" s="47">
        <v>246.0</v>
      </c>
      <c r="E2081" s="47">
        <v>25530.0</v>
      </c>
      <c r="F2081" s="47" t="s">
        <v>11</v>
      </c>
    </row>
    <row r="2082" ht="15.75" customHeight="1">
      <c r="A2082" s="46" t="s">
        <v>4398</v>
      </c>
      <c r="B2082" s="47" t="s">
        <v>4399</v>
      </c>
      <c r="C2082" s="47">
        <v>682.0</v>
      </c>
      <c r="D2082" s="47">
        <v>701.0</v>
      </c>
      <c r="E2082" s="47">
        <v>27930.0</v>
      </c>
      <c r="F2082" s="47" t="s">
        <v>11</v>
      </c>
    </row>
    <row r="2083" ht="15.75" customHeight="1">
      <c r="A2083" s="46" t="s">
        <v>4400</v>
      </c>
      <c r="B2083" s="47" t="s">
        <v>4401</v>
      </c>
      <c r="C2083" s="47">
        <v>170.0</v>
      </c>
      <c r="D2083" s="47">
        <v>159.0</v>
      </c>
      <c r="E2083" s="47">
        <v>30210.0</v>
      </c>
      <c r="F2083" s="47" t="s">
        <v>11</v>
      </c>
    </row>
    <row r="2084" ht="15.75" customHeight="1">
      <c r="A2084" s="46" t="s">
        <v>4402</v>
      </c>
      <c r="B2084" s="47" t="s">
        <v>4403</v>
      </c>
      <c r="C2084" s="47">
        <v>372.0</v>
      </c>
      <c r="D2084" s="47">
        <v>401.0</v>
      </c>
      <c r="E2084" s="47">
        <v>28480.0</v>
      </c>
      <c r="F2084" s="47" t="s">
        <v>11</v>
      </c>
    </row>
    <row r="2085" ht="15.75" customHeight="1">
      <c r="A2085" s="46" t="s">
        <v>4404</v>
      </c>
      <c r="B2085" s="47" t="s">
        <v>4405</v>
      </c>
      <c r="C2085" s="47">
        <v>985.0</v>
      </c>
      <c r="D2085" s="47">
        <v>998.0</v>
      </c>
      <c r="E2085" s="47">
        <v>25940.0</v>
      </c>
      <c r="F2085" s="47" t="s">
        <v>11</v>
      </c>
    </row>
    <row r="2086" ht="15.75" customHeight="1">
      <c r="A2086" s="46" t="s">
        <v>4406</v>
      </c>
      <c r="B2086" s="47" t="s">
        <v>4407</v>
      </c>
      <c r="C2086" s="47">
        <v>504.0</v>
      </c>
      <c r="D2086" s="47">
        <v>495.0</v>
      </c>
      <c r="E2086" s="47">
        <v>27310.0</v>
      </c>
      <c r="F2086" s="47" t="s">
        <v>11</v>
      </c>
    </row>
    <row r="2087" ht="15.75" customHeight="1">
      <c r="A2087" s="46" t="s">
        <v>4408</v>
      </c>
      <c r="B2087" s="47" t="s">
        <v>4409</v>
      </c>
      <c r="C2087" s="47">
        <v>241.0</v>
      </c>
      <c r="D2087" s="47">
        <v>227.0</v>
      </c>
      <c r="E2087" s="47">
        <v>27970.0</v>
      </c>
      <c r="F2087" s="47" t="s">
        <v>11</v>
      </c>
    </row>
    <row r="2088" ht="15.75" customHeight="1">
      <c r="A2088" s="46" t="s">
        <v>4410</v>
      </c>
      <c r="B2088" s="47" t="s">
        <v>4411</v>
      </c>
      <c r="C2088" s="47">
        <v>470.0</v>
      </c>
      <c r="D2088" s="47">
        <v>447.0</v>
      </c>
      <c r="E2088" s="47">
        <v>25930.0</v>
      </c>
      <c r="F2088" s="47" t="s">
        <v>11</v>
      </c>
    </row>
    <row r="2089" ht="15.75" customHeight="1">
      <c r="A2089" s="46" t="s">
        <v>4412</v>
      </c>
      <c r="B2089" s="47" t="s">
        <v>4413</v>
      </c>
      <c r="C2089" s="47">
        <v>2857.0</v>
      </c>
      <c r="D2089" s="47">
        <v>2758.0</v>
      </c>
      <c r="E2089" s="47">
        <v>25580.0</v>
      </c>
      <c r="F2089" s="47">
        <v>13.0</v>
      </c>
    </row>
    <row r="2090" ht="15.75" customHeight="1">
      <c r="A2090" s="46" t="s">
        <v>4414</v>
      </c>
      <c r="B2090" s="47" t="s">
        <v>4415</v>
      </c>
      <c r="C2090" s="47">
        <v>1159.0</v>
      </c>
      <c r="D2090" s="47">
        <v>1130.0</v>
      </c>
      <c r="E2090" s="47">
        <v>31930.0</v>
      </c>
      <c r="F2090" s="47" t="s">
        <v>11</v>
      </c>
    </row>
    <row r="2091" ht="15.75" customHeight="1">
      <c r="A2091" s="46" t="s">
        <v>4416</v>
      </c>
      <c r="B2091" s="47" t="s">
        <v>4417</v>
      </c>
      <c r="C2091" s="47">
        <v>3848.0</v>
      </c>
      <c r="D2091" s="47">
        <v>3898.0</v>
      </c>
      <c r="E2091" s="47">
        <v>26030.0</v>
      </c>
      <c r="F2091" s="47">
        <v>11.0</v>
      </c>
    </row>
    <row r="2092" ht="15.75" customHeight="1">
      <c r="A2092" s="46" t="s">
        <v>4418</v>
      </c>
      <c r="B2092" s="47" t="s">
        <v>4419</v>
      </c>
      <c r="C2092" s="47">
        <v>736.0</v>
      </c>
      <c r="D2092" s="47">
        <v>721.0</v>
      </c>
      <c r="E2092" s="47">
        <v>29480.0</v>
      </c>
      <c r="F2092" s="47" t="s">
        <v>11</v>
      </c>
    </row>
    <row r="2093" ht="15.75" customHeight="1">
      <c r="A2093" s="46" t="s">
        <v>4420</v>
      </c>
      <c r="B2093" s="47" t="s">
        <v>4421</v>
      </c>
      <c r="C2093" s="47">
        <v>486.0</v>
      </c>
      <c r="D2093" s="47">
        <v>483.0</v>
      </c>
      <c r="E2093" s="47">
        <v>30870.0</v>
      </c>
      <c r="F2093" s="47" t="s">
        <v>11</v>
      </c>
    </row>
    <row r="2094" ht="15.75" customHeight="1">
      <c r="A2094" s="46" t="s">
        <v>4422</v>
      </c>
      <c r="B2094" s="47" t="s">
        <v>4423</v>
      </c>
      <c r="C2094" s="47">
        <v>4650.0</v>
      </c>
      <c r="D2094" s="47">
        <v>4775.0</v>
      </c>
      <c r="E2094" s="47">
        <v>30060.0</v>
      </c>
      <c r="F2094" s="47">
        <v>6.0</v>
      </c>
    </row>
    <row r="2095" ht="15.75" customHeight="1">
      <c r="A2095" s="46" t="s">
        <v>4424</v>
      </c>
      <c r="B2095" s="47" t="s">
        <v>1755</v>
      </c>
      <c r="C2095" s="47">
        <v>380.0</v>
      </c>
      <c r="D2095" s="47">
        <v>349.0</v>
      </c>
      <c r="E2095" s="47">
        <v>33490.0</v>
      </c>
      <c r="F2095" s="47" t="s">
        <v>11</v>
      </c>
    </row>
    <row r="2096" ht="15.75" customHeight="1">
      <c r="A2096" s="46" t="s">
        <v>4425</v>
      </c>
      <c r="B2096" s="47" t="s">
        <v>4426</v>
      </c>
      <c r="C2096" s="47">
        <v>283.0</v>
      </c>
      <c r="D2096" s="47">
        <v>285.0</v>
      </c>
      <c r="E2096" s="47">
        <v>26680.0</v>
      </c>
      <c r="F2096" s="47" t="s">
        <v>11</v>
      </c>
    </row>
    <row r="2097" ht="15.75" customHeight="1">
      <c r="A2097" s="46" t="s">
        <v>4427</v>
      </c>
      <c r="B2097" s="47" t="s">
        <v>4428</v>
      </c>
      <c r="C2097" s="47">
        <v>193.0</v>
      </c>
      <c r="D2097" s="47">
        <v>211.0</v>
      </c>
      <c r="E2097" s="47">
        <v>26820.0</v>
      </c>
      <c r="F2097" s="47" t="s">
        <v>11</v>
      </c>
    </row>
    <row r="2098" ht="15.75" customHeight="1">
      <c r="A2098" s="46" t="s">
        <v>4429</v>
      </c>
      <c r="B2098" s="47" t="s">
        <v>4430</v>
      </c>
      <c r="C2098" s="47">
        <v>644.0</v>
      </c>
      <c r="D2098" s="47">
        <v>593.0</v>
      </c>
      <c r="E2098" s="47">
        <v>35280.0</v>
      </c>
      <c r="F2098" s="47" t="s">
        <v>11</v>
      </c>
    </row>
    <row r="2099" ht="15.75" customHeight="1">
      <c r="A2099" s="46" t="s">
        <v>4431</v>
      </c>
      <c r="B2099" s="47" t="s">
        <v>4432</v>
      </c>
      <c r="C2099" s="47">
        <v>434.0</v>
      </c>
      <c r="D2099" s="47">
        <v>417.0</v>
      </c>
      <c r="E2099" s="47">
        <v>29510.0</v>
      </c>
      <c r="F2099" s="47" t="s">
        <v>11</v>
      </c>
    </row>
    <row r="2100" ht="15.75" customHeight="1">
      <c r="A2100" s="46" t="s">
        <v>4433</v>
      </c>
      <c r="B2100" s="47" t="s">
        <v>4434</v>
      </c>
      <c r="C2100" s="47">
        <v>762.0</v>
      </c>
      <c r="D2100" s="47">
        <v>741.0</v>
      </c>
      <c r="E2100" s="47">
        <v>26790.0</v>
      </c>
      <c r="F2100" s="47" t="s">
        <v>11</v>
      </c>
    </row>
    <row r="2101" ht="15.75" customHeight="1">
      <c r="A2101" s="46" t="s">
        <v>4435</v>
      </c>
      <c r="B2101" s="47" t="s">
        <v>4436</v>
      </c>
      <c r="C2101" s="47">
        <v>256.0</v>
      </c>
      <c r="D2101" s="47">
        <v>247.0</v>
      </c>
      <c r="E2101" s="47">
        <v>28320.0</v>
      </c>
      <c r="F2101" s="47" t="s">
        <v>11</v>
      </c>
    </row>
    <row r="2102" ht="15.75" customHeight="1">
      <c r="A2102" s="46" t="s">
        <v>4437</v>
      </c>
      <c r="B2102" s="47" t="s">
        <v>4438</v>
      </c>
      <c r="C2102" s="47">
        <v>1188.0</v>
      </c>
      <c r="D2102" s="47">
        <v>1196.0</v>
      </c>
      <c r="E2102" s="47">
        <v>28810.0</v>
      </c>
      <c r="F2102" s="47" t="s">
        <v>11</v>
      </c>
    </row>
    <row r="2103" ht="15.75" customHeight="1">
      <c r="A2103" s="46" t="s">
        <v>4439</v>
      </c>
      <c r="B2103" s="47" t="s">
        <v>4440</v>
      </c>
      <c r="C2103" s="47">
        <v>164.0</v>
      </c>
      <c r="D2103" s="47">
        <v>140.0</v>
      </c>
      <c r="E2103" s="47">
        <v>28730.0</v>
      </c>
      <c r="F2103" s="47" t="s">
        <v>11</v>
      </c>
    </row>
    <row r="2104" ht="15.75" customHeight="1">
      <c r="A2104" s="46" t="s">
        <v>4441</v>
      </c>
      <c r="B2104" s="47" t="s">
        <v>4442</v>
      </c>
      <c r="C2104" s="47">
        <v>636.0</v>
      </c>
      <c r="D2104" s="47">
        <v>724.0</v>
      </c>
      <c r="E2104" s="47">
        <v>29890.0</v>
      </c>
      <c r="F2104" s="47" t="s">
        <v>11</v>
      </c>
    </row>
    <row r="2105" ht="15.75" customHeight="1">
      <c r="A2105" s="46" t="s">
        <v>4443</v>
      </c>
      <c r="B2105" s="47" t="s">
        <v>4444</v>
      </c>
      <c r="C2105" s="47">
        <v>480.0</v>
      </c>
      <c r="D2105" s="47">
        <v>474.0</v>
      </c>
      <c r="E2105" s="47">
        <v>29970.0</v>
      </c>
      <c r="F2105" s="47" t="s">
        <v>11</v>
      </c>
    </row>
    <row r="2106" ht="15.75" customHeight="1">
      <c r="A2106" s="46" t="s">
        <v>4445</v>
      </c>
      <c r="B2106" s="47" t="s">
        <v>4446</v>
      </c>
      <c r="C2106" s="47">
        <v>714.0</v>
      </c>
      <c r="D2106" s="47">
        <v>726.0</v>
      </c>
      <c r="E2106" s="47">
        <v>37640.0</v>
      </c>
      <c r="F2106" s="47" t="s">
        <v>11</v>
      </c>
    </row>
    <row r="2107" ht="15.75" customHeight="1">
      <c r="A2107" s="46" t="s">
        <v>4447</v>
      </c>
      <c r="B2107" s="47" t="s">
        <v>4448</v>
      </c>
      <c r="C2107" s="47">
        <v>389.0</v>
      </c>
      <c r="D2107" s="47">
        <v>386.0</v>
      </c>
      <c r="E2107" s="47">
        <v>30270.0</v>
      </c>
      <c r="F2107" s="47" t="s">
        <v>11</v>
      </c>
    </row>
    <row r="2108" ht="15.75" customHeight="1">
      <c r="A2108" s="46" t="s">
        <v>4449</v>
      </c>
      <c r="B2108" s="47" t="s">
        <v>4450</v>
      </c>
      <c r="C2108" s="47">
        <v>6422.0</v>
      </c>
      <c r="D2108" s="47">
        <v>6480.0</v>
      </c>
      <c r="E2108" s="47">
        <v>21920.0</v>
      </c>
      <c r="F2108" s="47">
        <v>25.0</v>
      </c>
    </row>
    <row r="2109" ht="15.75" customHeight="1">
      <c r="A2109" s="46" t="s">
        <v>4451</v>
      </c>
      <c r="B2109" s="47" t="s">
        <v>4452</v>
      </c>
      <c r="C2109" s="47">
        <v>1002.0</v>
      </c>
      <c r="D2109" s="47">
        <v>951.0</v>
      </c>
      <c r="E2109" s="47">
        <v>26970.0</v>
      </c>
      <c r="F2109" s="47" t="s">
        <v>11</v>
      </c>
    </row>
    <row r="2110" ht="15.75" customHeight="1">
      <c r="A2110" s="46" t="s">
        <v>4453</v>
      </c>
      <c r="B2110" s="47" t="s">
        <v>4454</v>
      </c>
      <c r="C2110" s="47">
        <v>2335.0</v>
      </c>
      <c r="D2110" s="47">
        <v>2284.0</v>
      </c>
      <c r="E2110" s="47">
        <v>31560.0</v>
      </c>
      <c r="F2110" s="47">
        <v>3.0</v>
      </c>
    </row>
    <row r="2111" ht="15.75" customHeight="1">
      <c r="A2111" s="46" t="s">
        <v>4455</v>
      </c>
      <c r="B2111" s="47" t="s">
        <v>4456</v>
      </c>
      <c r="C2111" s="47">
        <v>374.0</v>
      </c>
      <c r="D2111" s="47">
        <v>370.0</v>
      </c>
      <c r="E2111" s="47">
        <v>26000.0</v>
      </c>
      <c r="F2111" s="47" t="s">
        <v>11</v>
      </c>
    </row>
    <row r="2112" ht="15.75" customHeight="1">
      <c r="A2112" s="46" t="s">
        <v>4457</v>
      </c>
      <c r="B2112" s="47" t="s">
        <v>4458</v>
      </c>
      <c r="C2112" s="47">
        <v>164.0</v>
      </c>
      <c r="D2112" s="47">
        <v>130.0</v>
      </c>
      <c r="E2112" s="47">
        <v>29240.0</v>
      </c>
      <c r="F2112" s="47" t="s">
        <v>11</v>
      </c>
    </row>
    <row r="2113" ht="15.75" customHeight="1">
      <c r="A2113" s="46" t="s">
        <v>4459</v>
      </c>
      <c r="B2113" s="47" t="s">
        <v>4460</v>
      </c>
      <c r="C2113" s="47">
        <v>1407.0</v>
      </c>
      <c r="D2113" s="47">
        <v>1421.0</v>
      </c>
      <c r="E2113" s="47">
        <v>34490.0</v>
      </c>
      <c r="F2113" s="47" t="s">
        <v>11</v>
      </c>
    </row>
    <row r="2114" ht="15.75" customHeight="1">
      <c r="A2114" s="46" t="s">
        <v>4461</v>
      </c>
      <c r="B2114" s="47" t="s">
        <v>4462</v>
      </c>
      <c r="C2114" s="47">
        <v>124.0</v>
      </c>
      <c r="D2114" s="47">
        <v>123.0</v>
      </c>
      <c r="E2114" s="47">
        <v>25480.0</v>
      </c>
      <c r="F2114" s="47" t="s">
        <v>11</v>
      </c>
    </row>
    <row r="2115" ht="15.75" customHeight="1">
      <c r="A2115" s="46" t="s">
        <v>4463</v>
      </c>
      <c r="B2115" s="47" t="s">
        <v>4464</v>
      </c>
      <c r="C2115" s="47">
        <v>151.0</v>
      </c>
      <c r="D2115" s="47">
        <v>162.0</v>
      </c>
      <c r="E2115" s="47">
        <v>25650.0</v>
      </c>
      <c r="F2115" s="47" t="s">
        <v>11</v>
      </c>
    </row>
    <row r="2116" ht="15.75" customHeight="1">
      <c r="A2116" s="46" t="s">
        <v>4465</v>
      </c>
      <c r="B2116" s="47" t="s">
        <v>4466</v>
      </c>
      <c r="C2116" s="47">
        <v>421.0</v>
      </c>
      <c r="D2116" s="47">
        <v>379.0</v>
      </c>
      <c r="E2116" s="47">
        <v>25040.0</v>
      </c>
      <c r="F2116" s="47" t="s">
        <v>11</v>
      </c>
    </row>
    <row r="2117" ht="15.75" customHeight="1">
      <c r="A2117" s="46" t="s">
        <v>4467</v>
      </c>
      <c r="B2117" s="47" t="s">
        <v>4468</v>
      </c>
      <c r="C2117" s="47">
        <v>532.0</v>
      </c>
      <c r="D2117" s="47">
        <v>542.0</v>
      </c>
      <c r="E2117" s="47">
        <v>27690.0</v>
      </c>
      <c r="F2117" s="47" t="s">
        <v>11</v>
      </c>
    </row>
    <row r="2118" ht="15.75" customHeight="1">
      <c r="A2118" s="46" t="s">
        <v>4469</v>
      </c>
      <c r="B2118" s="47" t="s">
        <v>4470</v>
      </c>
      <c r="C2118" s="47">
        <v>1413.0</v>
      </c>
      <c r="D2118" s="47">
        <v>1380.0</v>
      </c>
      <c r="E2118" s="47">
        <v>39220.0</v>
      </c>
      <c r="F2118" s="47" t="s">
        <v>11</v>
      </c>
    </row>
    <row r="2119" ht="15.75" customHeight="1">
      <c r="A2119" s="46" t="s">
        <v>4471</v>
      </c>
      <c r="B2119" s="47" t="s">
        <v>4472</v>
      </c>
      <c r="C2119" s="47">
        <v>33.0</v>
      </c>
      <c r="D2119" s="47">
        <v>33.0</v>
      </c>
      <c r="E2119" s="47" t="s">
        <v>11</v>
      </c>
      <c r="F2119" s="47" t="s">
        <v>11</v>
      </c>
    </row>
    <row r="2120" ht="15.75" customHeight="1">
      <c r="A2120" s="46" t="s">
        <v>4473</v>
      </c>
      <c r="B2120" s="47" t="s">
        <v>4474</v>
      </c>
      <c r="C2120" s="47">
        <v>300.0</v>
      </c>
      <c r="D2120" s="47">
        <v>283.0</v>
      </c>
      <c r="E2120" s="47">
        <v>25600.0</v>
      </c>
      <c r="F2120" s="47" t="s">
        <v>11</v>
      </c>
    </row>
    <row r="2121" ht="15.75" customHeight="1">
      <c r="A2121" s="46" t="s">
        <v>4475</v>
      </c>
      <c r="B2121" s="47" t="s">
        <v>4476</v>
      </c>
      <c r="C2121" s="47">
        <v>164.0</v>
      </c>
      <c r="D2121" s="47">
        <v>158.0</v>
      </c>
      <c r="E2121" s="47">
        <v>28200.0</v>
      </c>
      <c r="F2121" s="47" t="s">
        <v>11</v>
      </c>
    </row>
    <row r="2122" ht="15.75" customHeight="1">
      <c r="A2122" s="46" t="s">
        <v>4477</v>
      </c>
      <c r="B2122" s="47" t="s">
        <v>4478</v>
      </c>
      <c r="C2122" s="47">
        <v>1157.0</v>
      </c>
      <c r="D2122" s="47">
        <v>1218.0</v>
      </c>
      <c r="E2122" s="47">
        <v>28590.0</v>
      </c>
      <c r="F2122" s="47" t="s">
        <v>11</v>
      </c>
    </row>
    <row r="2123" ht="15.75" customHeight="1">
      <c r="A2123" s="46" t="s">
        <v>4479</v>
      </c>
      <c r="B2123" s="47" t="s">
        <v>4480</v>
      </c>
      <c r="C2123" s="47">
        <v>1212.0</v>
      </c>
      <c r="D2123" s="47">
        <v>1341.0</v>
      </c>
      <c r="E2123" s="47">
        <v>24560.0</v>
      </c>
      <c r="F2123" s="47" t="s">
        <v>11</v>
      </c>
    </row>
    <row r="2124" ht="15.75" customHeight="1">
      <c r="A2124" s="46" t="s">
        <v>4481</v>
      </c>
      <c r="B2124" s="47" t="s">
        <v>4482</v>
      </c>
      <c r="C2124" s="47">
        <v>255.0</v>
      </c>
      <c r="D2124" s="47">
        <v>233.0</v>
      </c>
      <c r="E2124" s="47">
        <v>24030.0</v>
      </c>
      <c r="F2124" s="47" t="s">
        <v>11</v>
      </c>
    </row>
    <row r="2125" ht="15.75" customHeight="1">
      <c r="A2125" s="46" t="s">
        <v>4483</v>
      </c>
      <c r="B2125" s="47" t="s">
        <v>4484</v>
      </c>
      <c r="C2125" s="47">
        <v>847.0</v>
      </c>
      <c r="D2125" s="47">
        <v>921.0</v>
      </c>
      <c r="E2125" s="47">
        <v>28220.0</v>
      </c>
      <c r="F2125" s="47" t="s">
        <v>11</v>
      </c>
    </row>
    <row r="2126" ht="15.75" customHeight="1">
      <c r="A2126" s="46" t="s">
        <v>4485</v>
      </c>
      <c r="B2126" s="47" t="s">
        <v>4486</v>
      </c>
      <c r="C2126" s="47">
        <v>1772.0</v>
      </c>
      <c r="D2126" s="47">
        <v>1994.0</v>
      </c>
      <c r="E2126" s="47">
        <v>29020.0</v>
      </c>
      <c r="F2126" s="47" t="s">
        <v>11</v>
      </c>
    </row>
    <row r="2127" ht="15.75" customHeight="1">
      <c r="A2127" s="46" t="s">
        <v>4487</v>
      </c>
      <c r="B2127" s="47" t="s">
        <v>4488</v>
      </c>
      <c r="C2127" s="47">
        <v>222.0</v>
      </c>
      <c r="D2127" s="47">
        <v>208.0</v>
      </c>
      <c r="E2127" s="47">
        <v>26610.0</v>
      </c>
      <c r="F2127" s="47" t="s">
        <v>11</v>
      </c>
    </row>
    <row r="2128" ht="15.75" customHeight="1">
      <c r="A2128" s="46" t="s">
        <v>4489</v>
      </c>
      <c r="B2128" s="47" t="s">
        <v>4490</v>
      </c>
      <c r="C2128" s="47">
        <v>627.0</v>
      </c>
      <c r="D2128" s="47">
        <v>576.0</v>
      </c>
      <c r="E2128" s="47">
        <v>31120.0</v>
      </c>
      <c r="F2128" s="47" t="s">
        <v>11</v>
      </c>
    </row>
    <row r="2129" ht="15.75" customHeight="1">
      <c r="A2129" s="46" t="s">
        <v>4491</v>
      </c>
      <c r="B2129" s="47" t="s">
        <v>4492</v>
      </c>
      <c r="C2129" s="47">
        <v>7799.0</v>
      </c>
      <c r="D2129" s="47">
        <v>7873.0</v>
      </c>
      <c r="E2129" s="47">
        <v>24710.0</v>
      </c>
      <c r="F2129" s="47">
        <v>17.0</v>
      </c>
    </row>
    <row r="2130" ht="15.75" customHeight="1">
      <c r="A2130" s="46" t="s">
        <v>4493</v>
      </c>
      <c r="B2130" s="47" t="s">
        <v>4494</v>
      </c>
      <c r="C2130" s="47">
        <v>988.0</v>
      </c>
      <c r="D2130" s="47">
        <v>974.0</v>
      </c>
      <c r="E2130" s="47">
        <v>23220.0</v>
      </c>
      <c r="F2130" s="47" t="s">
        <v>11</v>
      </c>
    </row>
    <row r="2131" ht="15.75" customHeight="1">
      <c r="A2131" s="46" t="s">
        <v>4495</v>
      </c>
      <c r="B2131" s="47" t="s">
        <v>4496</v>
      </c>
      <c r="C2131" s="47">
        <v>303.0</v>
      </c>
      <c r="D2131" s="47">
        <v>320.0</v>
      </c>
      <c r="E2131" s="47">
        <v>25450.0</v>
      </c>
      <c r="F2131" s="47" t="s">
        <v>11</v>
      </c>
    </row>
    <row r="2132" ht="15.75" customHeight="1">
      <c r="A2132" s="46" t="s">
        <v>4497</v>
      </c>
      <c r="B2132" s="47" t="s">
        <v>4498</v>
      </c>
      <c r="C2132" s="47">
        <v>769.0</v>
      </c>
      <c r="D2132" s="47">
        <v>783.0</v>
      </c>
      <c r="E2132" s="47">
        <v>30020.0</v>
      </c>
      <c r="F2132" s="47" t="s">
        <v>11</v>
      </c>
    </row>
    <row r="2133" ht="15.75" customHeight="1">
      <c r="A2133" s="46" t="s">
        <v>4499</v>
      </c>
      <c r="B2133" s="47" t="s">
        <v>4500</v>
      </c>
      <c r="C2133" s="47">
        <v>833.0</v>
      </c>
      <c r="D2133" s="47">
        <v>802.0</v>
      </c>
      <c r="E2133" s="47">
        <v>25100.0</v>
      </c>
      <c r="F2133" s="47" t="s">
        <v>11</v>
      </c>
    </row>
    <row r="2134" ht="15.75" customHeight="1">
      <c r="A2134" s="46" t="s">
        <v>4501</v>
      </c>
      <c r="B2134" s="47" t="s">
        <v>4502</v>
      </c>
      <c r="C2134" s="47">
        <v>259.0</v>
      </c>
      <c r="D2134" s="47">
        <v>287.0</v>
      </c>
      <c r="E2134" s="47">
        <v>26690.0</v>
      </c>
      <c r="F2134" s="47" t="s">
        <v>11</v>
      </c>
    </row>
    <row r="2135" ht="15.75" customHeight="1">
      <c r="A2135" s="46" t="s">
        <v>4503</v>
      </c>
      <c r="B2135" s="47" t="s">
        <v>4504</v>
      </c>
      <c r="C2135" s="47">
        <v>239.0</v>
      </c>
      <c r="D2135" s="47">
        <v>254.0</v>
      </c>
      <c r="E2135" s="47">
        <v>26730.0</v>
      </c>
      <c r="F2135" s="47" t="s">
        <v>11</v>
      </c>
    </row>
    <row r="2136" ht="15.75" customHeight="1">
      <c r="A2136" s="46" t="s">
        <v>4505</v>
      </c>
      <c r="B2136" s="47" t="s">
        <v>4506</v>
      </c>
      <c r="C2136" s="47">
        <v>653.0</v>
      </c>
      <c r="D2136" s="47">
        <v>621.0</v>
      </c>
      <c r="E2136" s="47">
        <v>30630.0</v>
      </c>
      <c r="F2136" s="47" t="s">
        <v>11</v>
      </c>
    </row>
    <row r="2137" ht="15.75" customHeight="1">
      <c r="A2137" s="46" t="s">
        <v>4507</v>
      </c>
      <c r="B2137" s="47" t="s">
        <v>4508</v>
      </c>
      <c r="C2137" s="47">
        <v>249.0</v>
      </c>
      <c r="D2137" s="47">
        <v>255.0</v>
      </c>
      <c r="E2137" s="47">
        <v>28030.0</v>
      </c>
      <c r="F2137" s="47" t="s">
        <v>11</v>
      </c>
    </row>
    <row r="2138" ht="15.75" customHeight="1">
      <c r="A2138" s="46" t="s">
        <v>4509</v>
      </c>
      <c r="B2138" s="47" t="s">
        <v>4510</v>
      </c>
      <c r="C2138" s="47">
        <v>1929.0</v>
      </c>
      <c r="D2138" s="47">
        <v>1871.0</v>
      </c>
      <c r="E2138" s="47">
        <v>27360.0</v>
      </c>
      <c r="F2138" s="47" t="s">
        <v>11</v>
      </c>
    </row>
    <row r="2139" ht="15.75" customHeight="1">
      <c r="A2139" s="46" t="s">
        <v>4511</v>
      </c>
      <c r="B2139" s="47" t="s">
        <v>4512</v>
      </c>
      <c r="C2139" s="47">
        <v>9871.0</v>
      </c>
      <c r="D2139" s="47">
        <v>9598.0</v>
      </c>
      <c r="E2139" s="47">
        <v>23150.0</v>
      </c>
      <c r="F2139" s="47">
        <v>20.0</v>
      </c>
    </row>
    <row r="2140" ht="15.75" customHeight="1">
      <c r="A2140" s="46" t="s">
        <v>4513</v>
      </c>
      <c r="B2140" s="47" t="s">
        <v>4514</v>
      </c>
      <c r="C2140" s="47">
        <v>223.0</v>
      </c>
      <c r="D2140" s="47">
        <v>261.0</v>
      </c>
      <c r="E2140" s="47">
        <v>28050.0</v>
      </c>
      <c r="F2140" s="47" t="s">
        <v>11</v>
      </c>
    </row>
    <row r="2141" ht="15.75" customHeight="1">
      <c r="A2141" s="46" t="s">
        <v>4515</v>
      </c>
      <c r="B2141" s="47" t="s">
        <v>4516</v>
      </c>
      <c r="C2141" s="47">
        <v>186.0</v>
      </c>
      <c r="D2141" s="47">
        <v>185.0</v>
      </c>
      <c r="E2141" s="47">
        <v>27200.0</v>
      </c>
      <c r="F2141" s="47" t="s">
        <v>11</v>
      </c>
    </row>
    <row r="2142" ht="15.75" customHeight="1">
      <c r="A2142" s="46" t="s">
        <v>4517</v>
      </c>
      <c r="B2142" s="47" t="s">
        <v>4518</v>
      </c>
      <c r="C2142" s="47">
        <v>189.0</v>
      </c>
      <c r="D2142" s="47">
        <v>194.0</v>
      </c>
      <c r="E2142" s="47">
        <v>19870.0</v>
      </c>
      <c r="F2142" s="47" t="s">
        <v>11</v>
      </c>
    </row>
    <row r="2143" ht="15.75" customHeight="1">
      <c r="A2143" s="46" t="s">
        <v>4519</v>
      </c>
      <c r="B2143" s="47" t="s">
        <v>4520</v>
      </c>
      <c r="C2143" s="47">
        <v>263.0</v>
      </c>
      <c r="D2143" s="47">
        <v>264.0</v>
      </c>
      <c r="E2143" s="47">
        <v>25990.0</v>
      </c>
      <c r="F2143" s="47" t="s">
        <v>11</v>
      </c>
    </row>
    <row r="2144" ht="15.75" customHeight="1">
      <c r="A2144" s="46" t="s">
        <v>4521</v>
      </c>
      <c r="B2144" s="47" t="s">
        <v>4522</v>
      </c>
      <c r="C2144" s="47">
        <v>3906.0</v>
      </c>
      <c r="D2144" s="47">
        <v>3902.0</v>
      </c>
      <c r="E2144" s="47">
        <v>25960.0</v>
      </c>
      <c r="F2144" s="47">
        <v>12.0</v>
      </c>
    </row>
    <row r="2145" ht="15.75" customHeight="1">
      <c r="A2145" s="46" t="s">
        <v>4523</v>
      </c>
      <c r="B2145" s="47" t="s">
        <v>4524</v>
      </c>
      <c r="C2145" s="47">
        <v>630.0</v>
      </c>
      <c r="D2145" s="47">
        <v>624.0</v>
      </c>
      <c r="E2145" s="47">
        <v>23520.0</v>
      </c>
      <c r="F2145" s="47" t="s">
        <v>11</v>
      </c>
    </row>
    <row r="2146" ht="15.75" customHeight="1">
      <c r="A2146" s="46" t="s">
        <v>4525</v>
      </c>
      <c r="B2146" s="47" t="s">
        <v>4526</v>
      </c>
      <c r="C2146" s="47">
        <v>386.0</v>
      </c>
      <c r="D2146" s="47">
        <v>365.0</v>
      </c>
      <c r="E2146" s="47">
        <v>23770.0</v>
      </c>
      <c r="F2146" s="47" t="s">
        <v>11</v>
      </c>
    </row>
    <row r="2147" ht="15.75" customHeight="1">
      <c r="A2147" s="46" t="s">
        <v>4527</v>
      </c>
      <c r="B2147" s="47" t="s">
        <v>4528</v>
      </c>
      <c r="C2147" s="47">
        <v>330.0</v>
      </c>
      <c r="D2147" s="47">
        <v>291.0</v>
      </c>
      <c r="E2147" s="47">
        <v>23690.0</v>
      </c>
      <c r="F2147" s="47" t="s">
        <v>11</v>
      </c>
    </row>
    <row r="2148" ht="15.75" customHeight="1">
      <c r="A2148" s="46" t="s">
        <v>4529</v>
      </c>
      <c r="B2148" s="47" t="s">
        <v>4530</v>
      </c>
      <c r="C2148" s="47">
        <v>2925.0</v>
      </c>
      <c r="D2148" s="47">
        <v>2823.0</v>
      </c>
      <c r="E2148" s="47">
        <v>24620.0</v>
      </c>
      <c r="F2148" s="47">
        <v>12.0</v>
      </c>
    </row>
    <row r="2149" ht="15.75" customHeight="1">
      <c r="A2149" s="46" t="s">
        <v>4531</v>
      </c>
      <c r="B2149" s="47" t="s">
        <v>4532</v>
      </c>
      <c r="C2149" s="47">
        <v>999.0</v>
      </c>
      <c r="D2149" s="47">
        <v>973.0</v>
      </c>
      <c r="E2149" s="47">
        <v>23300.0</v>
      </c>
      <c r="F2149" s="47" t="s">
        <v>11</v>
      </c>
    </row>
    <row r="2150" ht="15.75" customHeight="1">
      <c r="A2150" s="46" t="s">
        <v>4533</v>
      </c>
      <c r="B2150" s="47" t="s">
        <v>4534</v>
      </c>
      <c r="C2150" s="47">
        <v>1843.0</v>
      </c>
      <c r="D2150" s="47">
        <v>2033.0</v>
      </c>
      <c r="E2150" s="47">
        <v>25080.0</v>
      </c>
      <c r="F2150" s="47" t="s">
        <v>11</v>
      </c>
    </row>
    <row r="2151" ht="15.75" customHeight="1">
      <c r="A2151" s="46" t="s">
        <v>4535</v>
      </c>
      <c r="B2151" s="47" t="s">
        <v>4536</v>
      </c>
      <c r="C2151" s="47">
        <v>112.0</v>
      </c>
      <c r="D2151" s="47">
        <v>118.0</v>
      </c>
      <c r="E2151" s="47">
        <v>25700.0</v>
      </c>
      <c r="F2151" s="47" t="s">
        <v>11</v>
      </c>
    </row>
    <row r="2152" ht="15.75" customHeight="1">
      <c r="A2152" s="46" t="s">
        <v>4537</v>
      </c>
      <c r="B2152" s="47" t="s">
        <v>4538</v>
      </c>
      <c r="C2152" s="47">
        <v>239.0</v>
      </c>
      <c r="D2152" s="47">
        <v>211.0</v>
      </c>
      <c r="E2152" s="47">
        <v>22220.0</v>
      </c>
      <c r="F2152" s="47" t="s">
        <v>11</v>
      </c>
    </row>
    <row r="2153" ht="15.75" customHeight="1">
      <c r="A2153" s="46" t="s">
        <v>4539</v>
      </c>
      <c r="B2153" s="47" t="s">
        <v>4540</v>
      </c>
      <c r="C2153" s="47">
        <v>636.0</v>
      </c>
      <c r="D2153" s="47">
        <v>676.0</v>
      </c>
      <c r="E2153" s="47">
        <v>23650.0</v>
      </c>
      <c r="F2153" s="47" t="s">
        <v>11</v>
      </c>
    </row>
    <row r="2154" ht="15.75" customHeight="1">
      <c r="A2154" s="46" t="s">
        <v>4541</v>
      </c>
      <c r="B2154" s="47" t="s">
        <v>4542</v>
      </c>
      <c r="C2154" s="47">
        <v>475.0</v>
      </c>
      <c r="D2154" s="47">
        <v>469.0</v>
      </c>
      <c r="E2154" s="47">
        <v>24910.0</v>
      </c>
      <c r="F2154" s="47" t="s">
        <v>11</v>
      </c>
    </row>
    <row r="2155" ht="15.75" customHeight="1">
      <c r="A2155" s="46" t="s">
        <v>4543</v>
      </c>
      <c r="B2155" s="47" t="s">
        <v>4544</v>
      </c>
      <c r="C2155" s="47">
        <v>302.0</v>
      </c>
      <c r="D2155" s="47">
        <v>297.0</v>
      </c>
      <c r="E2155" s="47">
        <v>25280.0</v>
      </c>
      <c r="F2155" s="47" t="s">
        <v>11</v>
      </c>
    </row>
    <row r="2156" ht="15.75" customHeight="1">
      <c r="A2156" s="46" t="s">
        <v>4545</v>
      </c>
      <c r="B2156" s="47" t="s">
        <v>4546</v>
      </c>
      <c r="C2156" s="47">
        <v>1564.0</v>
      </c>
      <c r="D2156" s="47">
        <v>1523.0</v>
      </c>
      <c r="E2156" s="47">
        <v>24670.0</v>
      </c>
      <c r="F2156" s="47" t="s">
        <v>11</v>
      </c>
    </row>
    <row r="2157" ht="15.75" customHeight="1">
      <c r="A2157" s="46" t="s">
        <v>4547</v>
      </c>
      <c r="B2157" s="47" t="s">
        <v>4548</v>
      </c>
      <c r="C2157" s="47">
        <v>4526.0</v>
      </c>
      <c r="D2157" s="47">
        <v>4641.0</v>
      </c>
      <c r="E2157" s="47">
        <v>23190.0</v>
      </c>
      <c r="F2157" s="47">
        <v>18.0</v>
      </c>
    </row>
    <row r="2158" ht="15.75" customHeight="1">
      <c r="A2158" s="46" t="s">
        <v>4549</v>
      </c>
      <c r="B2158" s="47" t="s">
        <v>4550</v>
      </c>
      <c r="C2158" s="47">
        <v>4337.0</v>
      </c>
      <c r="D2158" s="47">
        <v>4571.0</v>
      </c>
      <c r="E2158" s="47">
        <v>23530.0</v>
      </c>
      <c r="F2158" s="47">
        <v>16.0</v>
      </c>
    </row>
    <row r="2159" ht="15.75" customHeight="1">
      <c r="A2159" s="46" t="s">
        <v>4551</v>
      </c>
      <c r="B2159" s="47" t="s">
        <v>4552</v>
      </c>
      <c r="C2159" s="47">
        <v>2201.0</v>
      </c>
      <c r="D2159" s="47">
        <v>2133.0</v>
      </c>
      <c r="E2159" s="47">
        <v>22220.0</v>
      </c>
      <c r="F2159" s="47">
        <v>18.0</v>
      </c>
    </row>
    <row r="2160" ht="15.75" customHeight="1">
      <c r="A2160" s="46" t="s">
        <v>4553</v>
      </c>
      <c r="B2160" s="47" t="s">
        <v>4554</v>
      </c>
      <c r="C2160" s="47">
        <v>5898.0</v>
      </c>
      <c r="D2160" s="47">
        <v>5825.0</v>
      </c>
      <c r="E2160" s="47">
        <v>23880.0</v>
      </c>
      <c r="F2160" s="47">
        <v>16.0</v>
      </c>
    </row>
    <row r="2161" ht="15.75" customHeight="1">
      <c r="A2161" s="46" t="s">
        <v>4555</v>
      </c>
      <c r="B2161" s="47" t="s">
        <v>4556</v>
      </c>
      <c r="C2161" s="47">
        <v>772.0</v>
      </c>
      <c r="D2161" s="47">
        <v>700.0</v>
      </c>
      <c r="E2161" s="47">
        <v>22000.0</v>
      </c>
      <c r="F2161" s="47" t="s">
        <v>11</v>
      </c>
    </row>
    <row r="2162" ht="15.75" customHeight="1">
      <c r="A2162" s="46" t="s">
        <v>4557</v>
      </c>
      <c r="B2162" s="47" t="s">
        <v>4558</v>
      </c>
      <c r="C2162" s="47">
        <v>2742.0</v>
      </c>
      <c r="D2162" s="47">
        <v>2833.0</v>
      </c>
      <c r="E2162" s="47">
        <v>32660.0</v>
      </c>
      <c r="F2162" s="47">
        <v>5.0</v>
      </c>
    </row>
    <row r="2163" ht="15.75" customHeight="1">
      <c r="A2163" s="46" t="s">
        <v>4559</v>
      </c>
      <c r="B2163" s="47" t="s">
        <v>4560</v>
      </c>
      <c r="C2163" s="47">
        <v>4405.0</v>
      </c>
      <c r="D2163" s="47">
        <v>4389.0</v>
      </c>
      <c r="E2163" s="47">
        <v>24410.0</v>
      </c>
      <c r="F2163" s="47">
        <v>15.0</v>
      </c>
    </row>
    <row r="2164" ht="15.75" customHeight="1">
      <c r="A2164" s="46" t="s">
        <v>4561</v>
      </c>
      <c r="B2164" s="47" t="s">
        <v>4562</v>
      </c>
      <c r="C2164" s="47">
        <v>856.0</v>
      </c>
      <c r="D2164" s="47">
        <v>960.0</v>
      </c>
      <c r="E2164" s="47">
        <v>28630.0</v>
      </c>
      <c r="F2164" s="47" t="s">
        <v>11</v>
      </c>
    </row>
    <row r="2165" ht="15.75" customHeight="1">
      <c r="A2165" s="46" t="s">
        <v>4563</v>
      </c>
      <c r="B2165" s="47" t="s">
        <v>4564</v>
      </c>
      <c r="C2165" s="47">
        <v>9753.0</v>
      </c>
      <c r="D2165" s="47">
        <v>9431.0</v>
      </c>
      <c r="E2165" s="47">
        <v>21840.0</v>
      </c>
      <c r="F2165" s="47">
        <v>22.0</v>
      </c>
    </row>
    <row r="2166" ht="15.75" customHeight="1">
      <c r="A2166" s="46" t="s">
        <v>4565</v>
      </c>
      <c r="B2166" s="47" t="s">
        <v>4566</v>
      </c>
      <c r="C2166" s="47">
        <v>41019.0</v>
      </c>
      <c r="D2166" s="47">
        <v>42875.0</v>
      </c>
      <c r="E2166" s="47">
        <v>22410.0</v>
      </c>
      <c r="F2166" s="47">
        <v>26.1</v>
      </c>
    </row>
    <row r="2167" ht="15.75" customHeight="1">
      <c r="A2167" s="46" t="s">
        <v>4567</v>
      </c>
      <c r="B2167" s="47" t="s">
        <v>4568</v>
      </c>
      <c r="C2167" s="47">
        <v>1014.0</v>
      </c>
      <c r="D2167" s="47">
        <v>1038.0</v>
      </c>
      <c r="E2167" s="47">
        <v>29100.0</v>
      </c>
      <c r="F2167" s="47" t="s">
        <v>11</v>
      </c>
    </row>
    <row r="2168" ht="15.75" customHeight="1">
      <c r="A2168" s="46" t="s">
        <v>4569</v>
      </c>
      <c r="B2168" s="47" t="s">
        <v>4570</v>
      </c>
      <c r="C2168" s="47">
        <v>1978.0</v>
      </c>
      <c r="D2168" s="47">
        <v>2064.0</v>
      </c>
      <c r="E2168" s="47">
        <v>24960.0</v>
      </c>
      <c r="F2168" s="47">
        <v>12.0</v>
      </c>
    </row>
    <row r="2169" ht="15.75" customHeight="1">
      <c r="A2169" s="46" t="s">
        <v>4571</v>
      </c>
      <c r="B2169" s="47" t="s">
        <v>4572</v>
      </c>
      <c r="C2169" s="47">
        <v>729.0</v>
      </c>
      <c r="D2169" s="47">
        <v>885.0</v>
      </c>
      <c r="E2169" s="47">
        <v>24510.0</v>
      </c>
      <c r="F2169" s="47" t="s">
        <v>11</v>
      </c>
    </row>
    <row r="2170" ht="15.75" customHeight="1">
      <c r="A2170" s="46" t="s">
        <v>4573</v>
      </c>
      <c r="B2170" s="47" t="s">
        <v>4574</v>
      </c>
      <c r="C2170" s="47">
        <v>1459.0</v>
      </c>
      <c r="D2170" s="47">
        <v>1489.0</v>
      </c>
      <c r="E2170" s="47">
        <v>24810.0</v>
      </c>
      <c r="F2170" s="47" t="s">
        <v>11</v>
      </c>
    </row>
    <row r="2171" ht="15.75" customHeight="1">
      <c r="A2171" s="46" t="s">
        <v>4575</v>
      </c>
      <c r="B2171" s="47" t="s">
        <v>4576</v>
      </c>
      <c r="C2171" s="47">
        <v>759.0</v>
      </c>
      <c r="D2171" s="47">
        <v>733.0</v>
      </c>
      <c r="E2171" s="47">
        <v>21920.0</v>
      </c>
      <c r="F2171" s="47" t="s">
        <v>11</v>
      </c>
    </row>
    <row r="2172" ht="15.75" customHeight="1">
      <c r="A2172" s="46" t="s">
        <v>4577</v>
      </c>
      <c r="B2172" s="47" t="s">
        <v>4578</v>
      </c>
      <c r="C2172" s="47">
        <v>152.0</v>
      </c>
      <c r="D2172" s="47">
        <v>141.0</v>
      </c>
      <c r="E2172" s="47">
        <v>25340.0</v>
      </c>
      <c r="F2172" s="47" t="s">
        <v>11</v>
      </c>
    </row>
    <row r="2173" ht="15.75" customHeight="1">
      <c r="A2173" s="46" t="s">
        <v>4579</v>
      </c>
      <c r="B2173" s="47" t="s">
        <v>4580</v>
      </c>
      <c r="C2173" s="47">
        <v>10291.0</v>
      </c>
      <c r="D2173" s="47">
        <v>10051.0</v>
      </c>
      <c r="E2173" s="47">
        <v>19120.0</v>
      </c>
      <c r="F2173" s="47">
        <v>32.0</v>
      </c>
    </row>
    <row r="2174" ht="15.75" customHeight="1">
      <c r="A2174" s="46" t="s">
        <v>4581</v>
      </c>
      <c r="B2174" s="47" t="s">
        <v>4582</v>
      </c>
      <c r="C2174" s="47">
        <v>504.0</v>
      </c>
      <c r="D2174" s="47">
        <v>548.0</v>
      </c>
      <c r="E2174" s="47">
        <v>26060.0</v>
      </c>
      <c r="F2174" s="47" t="s">
        <v>11</v>
      </c>
    </row>
    <row r="2175" ht="15.75" customHeight="1">
      <c r="A2175" s="46" t="s">
        <v>4583</v>
      </c>
      <c r="B2175" s="47" t="s">
        <v>4584</v>
      </c>
      <c r="C2175" s="47">
        <v>1571.0</v>
      </c>
      <c r="D2175" s="47">
        <v>1513.0</v>
      </c>
      <c r="E2175" s="47">
        <v>20480.0</v>
      </c>
      <c r="F2175" s="47" t="s">
        <v>11</v>
      </c>
    </row>
    <row r="2176" ht="15.75" customHeight="1">
      <c r="A2176" s="46" t="s">
        <v>4585</v>
      </c>
      <c r="B2176" s="47" t="s">
        <v>4586</v>
      </c>
      <c r="C2176" s="47">
        <v>4726.0</v>
      </c>
      <c r="D2176" s="47">
        <v>4625.0</v>
      </c>
      <c r="E2176" s="47">
        <v>22890.0</v>
      </c>
      <c r="F2176" s="47">
        <v>18.0</v>
      </c>
    </row>
    <row r="2177" ht="15.75" customHeight="1">
      <c r="A2177" s="46" t="s">
        <v>4587</v>
      </c>
      <c r="B2177" s="47" t="s">
        <v>4588</v>
      </c>
      <c r="C2177" s="47">
        <v>432.0</v>
      </c>
      <c r="D2177" s="47">
        <v>424.0</v>
      </c>
      <c r="E2177" s="47">
        <v>29380.0</v>
      </c>
      <c r="F2177" s="47" t="s">
        <v>11</v>
      </c>
    </row>
    <row r="2178" ht="15.75" customHeight="1">
      <c r="A2178" s="46" t="s">
        <v>4589</v>
      </c>
      <c r="B2178" s="47" t="s">
        <v>4590</v>
      </c>
      <c r="C2178" s="47">
        <v>664.0</v>
      </c>
      <c r="D2178" s="47">
        <v>684.0</v>
      </c>
      <c r="E2178" s="47">
        <v>24970.0</v>
      </c>
      <c r="F2178" s="47" t="s">
        <v>11</v>
      </c>
    </row>
    <row r="2179" ht="15.75" customHeight="1">
      <c r="A2179" s="46" t="s">
        <v>4591</v>
      </c>
      <c r="B2179" s="47" t="s">
        <v>4592</v>
      </c>
      <c r="C2179" s="47">
        <v>582.0</v>
      </c>
      <c r="D2179" s="47">
        <v>617.0</v>
      </c>
      <c r="E2179" s="47">
        <v>23840.0</v>
      </c>
      <c r="F2179" s="47" t="s">
        <v>11</v>
      </c>
    </row>
    <row r="2180" ht="15.75" customHeight="1">
      <c r="A2180" s="46" t="s">
        <v>4593</v>
      </c>
      <c r="B2180" s="47" t="s">
        <v>4594</v>
      </c>
      <c r="C2180" s="47">
        <v>562.0</v>
      </c>
      <c r="D2180" s="47">
        <v>521.0</v>
      </c>
      <c r="E2180" s="47">
        <v>24310.0</v>
      </c>
      <c r="F2180" s="47" t="s">
        <v>11</v>
      </c>
    </row>
    <row r="2181" ht="15.75" customHeight="1">
      <c r="A2181" s="46" t="s">
        <v>4595</v>
      </c>
      <c r="B2181" s="47" t="s">
        <v>4596</v>
      </c>
      <c r="C2181" s="47">
        <v>649.0</v>
      </c>
      <c r="D2181" s="47">
        <v>608.0</v>
      </c>
      <c r="E2181" s="47">
        <v>25410.0</v>
      </c>
      <c r="F2181" s="47" t="s">
        <v>11</v>
      </c>
    </row>
    <row r="2182" ht="15.75" customHeight="1">
      <c r="A2182" s="46" t="s">
        <v>4597</v>
      </c>
      <c r="B2182" s="47" t="s">
        <v>4598</v>
      </c>
      <c r="C2182" s="47">
        <v>5412.0</v>
      </c>
      <c r="D2182" s="47">
        <v>5309.0</v>
      </c>
      <c r="E2182" s="47">
        <v>24360.0</v>
      </c>
      <c r="F2182" s="47">
        <v>15.0</v>
      </c>
    </row>
    <row r="2183" ht="15.75" customHeight="1">
      <c r="A2183" s="46" t="s">
        <v>4599</v>
      </c>
      <c r="B2183" s="47" t="s">
        <v>4600</v>
      </c>
      <c r="C2183" s="47">
        <v>198.0</v>
      </c>
      <c r="D2183" s="47">
        <v>189.0</v>
      </c>
      <c r="E2183" s="47">
        <v>25580.0</v>
      </c>
      <c r="F2183" s="47" t="s">
        <v>11</v>
      </c>
    </row>
    <row r="2184" ht="15.75" customHeight="1">
      <c r="A2184" s="46" t="s">
        <v>4601</v>
      </c>
      <c r="B2184" s="47" t="s">
        <v>4602</v>
      </c>
      <c r="C2184" s="47">
        <v>291.0</v>
      </c>
      <c r="D2184" s="47">
        <v>293.0</v>
      </c>
      <c r="E2184" s="47">
        <v>31950.0</v>
      </c>
      <c r="F2184" s="47" t="s">
        <v>11</v>
      </c>
    </row>
    <row r="2185" ht="15.75" customHeight="1">
      <c r="A2185" s="46" t="s">
        <v>4603</v>
      </c>
      <c r="B2185" s="47" t="s">
        <v>4604</v>
      </c>
      <c r="C2185" s="47">
        <v>2639.0</v>
      </c>
      <c r="D2185" s="47">
        <v>2547.0</v>
      </c>
      <c r="E2185" s="47">
        <v>20430.0</v>
      </c>
      <c r="F2185" s="47">
        <v>29.0</v>
      </c>
    </row>
    <row r="2186" ht="15.75" customHeight="1">
      <c r="A2186" s="46" t="s">
        <v>4605</v>
      </c>
      <c r="B2186" s="47" t="s">
        <v>4606</v>
      </c>
      <c r="C2186" s="47">
        <v>293.0</v>
      </c>
      <c r="D2186" s="47">
        <v>295.0</v>
      </c>
      <c r="E2186" s="47">
        <v>27090.0</v>
      </c>
      <c r="F2186" s="47" t="s">
        <v>11</v>
      </c>
    </row>
    <row r="2187" ht="15.75" customHeight="1">
      <c r="A2187" s="46" t="s">
        <v>4607</v>
      </c>
      <c r="B2187" s="47" t="s">
        <v>4608</v>
      </c>
      <c r="C2187" s="47">
        <v>52.0</v>
      </c>
      <c r="D2187" s="47">
        <v>46.0</v>
      </c>
      <c r="E2187" s="47" t="s">
        <v>11</v>
      </c>
      <c r="F2187" s="47" t="s">
        <v>11</v>
      </c>
    </row>
    <row r="2188" ht="15.75" customHeight="1">
      <c r="A2188" s="46" t="s">
        <v>4609</v>
      </c>
      <c r="B2188" s="47" t="s">
        <v>4610</v>
      </c>
      <c r="C2188" s="47">
        <v>1902.0</v>
      </c>
      <c r="D2188" s="47">
        <v>1840.0</v>
      </c>
      <c r="E2188" s="47">
        <v>22210.0</v>
      </c>
      <c r="F2188" s="47" t="s">
        <v>11</v>
      </c>
    </row>
    <row r="2189" ht="15.75" customHeight="1">
      <c r="A2189" s="46" t="s">
        <v>4611</v>
      </c>
      <c r="B2189" s="47" t="s">
        <v>4612</v>
      </c>
      <c r="C2189" s="47">
        <v>162.0</v>
      </c>
      <c r="D2189" s="47">
        <v>174.0</v>
      </c>
      <c r="E2189" s="47">
        <v>24900.0</v>
      </c>
      <c r="F2189" s="47" t="s">
        <v>11</v>
      </c>
    </row>
    <row r="2190" ht="15.75" customHeight="1">
      <c r="A2190" s="46" t="s">
        <v>4613</v>
      </c>
      <c r="B2190" s="47" t="s">
        <v>4614</v>
      </c>
      <c r="C2190" s="47">
        <v>17622.0</v>
      </c>
      <c r="D2190" s="47">
        <v>17435.0</v>
      </c>
      <c r="E2190" s="47">
        <v>19900.0</v>
      </c>
      <c r="F2190" s="47">
        <v>29.0</v>
      </c>
    </row>
    <row r="2191" ht="15.75" customHeight="1">
      <c r="A2191" s="46" t="s">
        <v>4615</v>
      </c>
      <c r="B2191" s="47" t="s">
        <v>4616</v>
      </c>
      <c r="C2191" s="47">
        <v>38.0</v>
      </c>
      <c r="D2191" s="47">
        <v>33.0</v>
      </c>
      <c r="E2191" s="47" t="s">
        <v>11</v>
      </c>
      <c r="F2191" s="47" t="s">
        <v>11</v>
      </c>
    </row>
    <row r="2192" ht="15.75" customHeight="1">
      <c r="A2192" s="46" t="s">
        <v>4617</v>
      </c>
      <c r="B2192" s="47" t="s">
        <v>4618</v>
      </c>
      <c r="C2192" s="47">
        <v>607.0</v>
      </c>
      <c r="D2192" s="47">
        <v>536.0</v>
      </c>
      <c r="E2192" s="47">
        <v>24740.0</v>
      </c>
      <c r="F2192" s="47" t="s">
        <v>11</v>
      </c>
    </row>
    <row r="2193" ht="15.75" customHeight="1">
      <c r="A2193" s="46" t="s">
        <v>4619</v>
      </c>
      <c r="B2193" s="47" t="s">
        <v>4620</v>
      </c>
      <c r="C2193" s="47">
        <v>324.0</v>
      </c>
      <c r="D2193" s="47">
        <v>330.0</v>
      </c>
      <c r="E2193" s="47">
        <v>26250.0</v>
      </c>
      <c r="F2193" s="47" t="s">
        <v>11</v>
      </c>
    </row>
    <row r="2194" ht="15.75" customHeight="1">
      <c r="A2194" s="46" t="s">
        <v>4621</v>
      </c>
      <c r="B2194" s="47" t="s">
        <v>4622</v>
      </c>
      <c r="C2194" s="47">
        <v>307.0</v>
      </c>
      <c r="D2194" s="47">
        <v>302.0</v>
      </c>
      <c r="E2194" s="47">
        <v>22370.0</v>
      </c>
      <c r="F2194" s="47" t="s">
        <v>11</v>
      </c>
    </row>
    <row r="2195" ht="15.75" customHeight="1">
      <c r="A2195" s="46" t="s">
        <v>4623</v>
      </c>
      <c r="B2195" s="47" t="s">
        <v>4624</v>
      </c>
      <c r="C2195" s="47">
        <v>263.0</v>
      </c>
      <c r="D2195" s="47">
        <v>264.0</v>
      </c>
      <c r="E2195" s="47">
        <v>24490.0</v>
      </c>
      <c r="F2195" s="47" t="s">
        <v>11</v>
      </c>
    </row>
    <row r="2196" ht="15.75" customHeight="1">
      <c r="A2196" s="46" t="s">
        <v>4625</v>
      </c>
      <c r="B2196" s="47" t="s">
        <v>4626</v>
      </c>
      <c r="C2196" s="47">
        <v>422.0</v>
      </c>
      <c r="D2196" s="47">
        <v>408.0</v>
      </c>
      <c r="E2196" s="47">
        <v>25510.0</v>
      </c>
      <c r="F2196" s="47" t="s">
        <v>11</v>
      </c>
    </row>
    <row r="2197" ht="15.75" customHeight="1">
      <c r="A2197" s="46" t="s">
        <v>4627</v>
      </c>
      <c r="B2197" s="47" t="s">
        <v>4628</v>
      </c>
      <c r="C2197" s="47">
        <v>240.0</v>
      </c>
      <c r="D2197" s="47">
        <v>213.0</v>
      </c>
      <c r="E2197" s="47">
        <v>25840.0</v>
      </c>
      <c r="F2197" s="47" t="s">
        <v>11</v>
      </c>
    </row>
    <row r="2198" ht="15.75" customHeight="1">
      <c r="A2198" s="46" t="s">
        <v>4629</v>
      </c>
      <c r="B2198" s="47" t="s">
        <v>4630</v>
      </c>
      <c r="C2198" s="47">
        <v>1412.0</v>
      </c>
      <c r="D2198" s="47">
        <v>1429.0</v>
      </c>
      <c r="E2198" s="47">
        <v>29370.0</v>
      </c>
      <c r="F2198" s="47" t="s">
        <v>11</v>
      </c>
    </row>
    <row r="2199" ht="15.75" customHeight="1">
      <c r="A2199" s="46" t="s">
        <v>4631</v>
      </c>
      <c r="B2199" s="47" t="s">
        <v>4632</v>
      </c>
      <c r="C2199" s="47">
        <v>240.0</v>
      </c>
      <c r="D2199" s="47">
        <v>237.0</v>
      </c>
      <c r="E2199" s="47">
        <v>27440.0</v>
      </c>
      <c r="F2199" s="47" t="s">
        <v>11</v>
      </c>
    </row>
    <row r="2200" ht="15.75" customHeight="1">
      <c r="A2200" s="46" t="s">
        <v>4633</v>
      </c>
      <c r="B2200" s="47" t="s">
        <v>4634</v>
      </c>
      <c r="C2200" s="47">
        <v>1291.0</v>
      </c>
      <c r="D2200" s="47">
        <v>1324.0</v>
      </c>
      <c r="E2200" s="47">
        <v>28290.0</v>
      </c>
      <c r="F2200" s="47" t="s">
        <v>11</v>
      </c>
    </row>
    <row r="2201" ht="15.75" customHeight="1">
      <c r="A2201" s="46" t="s">
        <v>4635</v>
      </c>
      <c r="B2201" s="47" t="s">
        <v>4636</v>
      </c>
      <c r="C2201" s="47">
        <v>227.0</v>
      </c>
      <c r="D2201" s="47">
        <v>208.0</v>
      </c>
      <c r="E2201" s="47">
        <v>27560.0</v>
      </c>
      <c r="F2201" s="47" t="s">
        <v>11</v>
      </c>
    </row>
    <row r="2202" ht="15.75" customHeight="1">
      <c r="A2202" s="46" t="s">
        <v>4637</v>
      </c>
      <c r="B2202" s="47" t="s">
        <v>4638</v>
      </c>
      <c r="C2202" s="47">
        <v>365.0</v>
      </c>
      <c r="D2202" s="47">
        <v>355.0</v>
      </c>
      <c r="E2202" s="47">
        <v>27840.0</v>
      </c>
      <c r="F2202" s="47" t="s">
        <v>11</v>
      </c>
    </row>
    <row r="2203" ht="15.75" customHeight="1">
      <c r="A2203" s="46" t="s">
        <v>4639</v>
      </c>
      <c r="B2203" s="47" t="s">
        <v>4640</v>
      </c>
      <c r="C2203" s="47">
        <v>1169.0</v>
      </c>
      <c r="D2203" s="47">
        <v>1220.0</v>
      </c>
      <c r="E2203" s="47">
        <v>25240.0</v>
      </c>
      <c r="F2203" s="47" t="s">
        <v>11</v>
      </c>
    </row>
    <row r="2204" ht="15.75" customHeight="1">
      <c r="A2204" s="46" t="s">
        <v>4641</v>
      </c>
      <c r="B2204" s="47" t="s">
        <v>4642</v>
      </c>
      <c r="C2204" s="47">
        <v>87.0</v>
      </c>
      <c r="D2204" s="47">
        <v>83.0</v>
      </c>
      <c r="E2204" s="47" t="s">
        <v>11</v>
      </c>
      <c r="F2204" s="47" t="s">
        <v>11</v>
      </c>
    </row>
    <row r="2205" ht="15.75" customHeight="1">
      <c r="A2205" s="46" t="s">
        <v>4643</v>
      </c>
      <c r="B2205" s="47" t="s">
        <v>4644</v>
      </c>
      <c r="C2205" s="47">
        <v>3887.0</v>
      </c>
      <c r="D2205" s="47">
        <v>3779.0</v>
      </c>
      <c r="E2205" s="47">
        <v>21160.0</v>
      </c>
      <c r="F2205" s="47">
        <v>25.0</v>
      </c>
    </row>
    <row r="2206" ht="15.75" customHeight="1">
      <c r="A2206" s="46" t="s">
        <v>4645</v>
      </c>
      <c r="B2206" s="47" t="s">
        <v>4646</v>
      </c>
      <c r="C2206" s="47">
        <v>480.0</v>
      </c>
      <c r="D2206" s="47">
        <v>434.0</v>
      </c>
      <c r="E2206" s="47">
        <v>24130.0</v>
      </c>
      <c r="F2206" s="47" t="s">
        <v>11</v>
      </c>
    </row>
    <row r="2207" ht="15.75" customHeight="1">
      <c r="A2207" s="46" t="s">
        <v>4647</v>
      </c>
      <c r="B2207" s="47" t="s">
        <v>4648</v>
      </c>
      <c r="C2207" s="47">
        <v>307.0</v>
      </c>
      <c r="D2207" s="47">
        <v>308.0</v>
      </c>
      <c r="E2207" s="47">
        <v>23800.0</v>
      </c>
      <c r="F2207" s="47" t="s">
        <v>11</v>
      </c>
    </row>
    <row r="2208" ht="15.75" customHeight="1">
      <c r="A2208" s="46" t="s">
        <v>4649</v>
      </c>
      <c r="B2208" s="47" t="s">
        <v>4650</v>
      </c>
      <c r="C2208" s="47">
        <v>7661.0</v>
      </c>
      <c r="D2208" s="47">
        <v>7331.0</v>
      </c>
      <c r="E2208" s="47">
        <v>20210.0</v>
      </c>
      <c r="F2208" s="47">
        <v>25.0</v>
      </c>
    </row>
    <row r="2209" ht="15.75" customHeight="1">
      <c r="A2209" s="46" t="s">
        <v>4651</v>
      </c>
      <c r="B2209" s="47" t="s">
        <v>4652</v>
      </c>
      <c r="C2209" s="47">
        <v>221.0</v>
      </c>
      <c r="D2209" s="47">
        <v>199.0</v>
      </c>
      <c r="E2209" s="47">
        <v>26160.0</v>
      </c>
      <c r="F2209" s="47" t="s">
        <v>11</v>
      </c>
    </row>
    <row r="2210" ht="15.75" customHeight="1">
      <c r="A2210" s="46" t="s">
        <v>4653</v>
      </c>
      <c r="B2210" s="47" t="s">
        <v>4654</v>
      </c>
      <c r="C2210" s="47">
        <v>137.0</v>
      </c>
      <c r="D2210" s="47">
        <v>129.0</v>
      </c>
      <c r="E2210" s="47">
        <v>29430.0</v>
      </c>
      <c r="F2210" s="47" t="s">
        <v>11</v>
      </c>
    </row>
    <row r="2211" ht="15.75" customHeight="1">
      <c r="A2211" s="46" t="s">
        <v>4655</v>
      </c>
      <c r="B2211" s="47" t="s">
        <v>4656</v>
      </c>
      <c r="C2211" s="47">
        <v>378.0</v>
      </c>
      <c r="D2211" s="47">
        <v>417.0</v>
      </c>
      <c r="E2211" s="47">
        <v>24670.0</v>
      </c>
      <c r="F2211" s="47" t="s">
        <v>11</v>
      </c>
    </row>
    <row r="2212" ht="15.75" customHeight="1">
      <c r="A2212" s="46" t="s">
        <v>4657</v>
      </c>
      <c r="B2212" s="47" t="s">
        <v>4658</v>
      </c>
      <c r="C2212" s="47">
        <v>1009.0</v>
      </c>
      <c r="D2212" s="47">
        <v>1018.0</v>
      </c>
      <c r="E2212" s="47">
        <v>26370.0</v>
      </c>
      <c r="F2212" s="47" t="s">
        <v>11</v>
      </c>
    </row>
    <row r="2213" ht="15.75" customHeight="1">
      <c r="A2213" s="46" t="s">
        <v>4659</v>
      </c>
      <c r="B2213" s="47" t="s">
        <v>4660</v>
      </c>
      <c r="C2213" s="47">
        <v>324.0</v>
      </c>
      <c r="D2213" s="47">
        <v>354.0</v>
      </c>
      <c r="E2213" s="47">
        <v>27320.0</v>
      </c>
      <c r="F2213" s="47" t="s">
        <v>11</v>
      </c>
    </row>
    <row r="2214" ht="15.75" customHeight="1">
      <c r="A2214" s="46" t="s">
        <v>4661</v>
      </c>
      <c r="B2214" s="47" t="s">
        <v>4662</v>
      </c>
      <c r="C2214" s="47">
        <v>393.0</v>
      </c>
      <c r="D2214" s="47">
        <v>410.0</v>
      </c>
      <c r="E2214" s="47">
        <v>30530.0</v>
      </c>
      <c r="F2214" s="47" t="s">
        <v>11</v>
      </c>
    </row>
    <row r="2215" ht="15.75" customHeight="1">
      <c r="A2215" s="46" t="s">
        <v>4663</v>
      </c>
      <c r="B2215" s="47" t="s">
        <v>4664</v>
      </c>
      <c r="C2215" s="47">
        <v>130.0</v>
      </c>
      <c r="D2215" s="47">
        <v>139.0</v>
      </c>
      <c r="E2215" s="47">
        <v>25080.0</v>
      </c>
      <c r="F2215" s="47" t="s">
        <v>11</v>
      </c>
    </row>
    <row r="2216" ht="15.75" customHeight="1">
      <c r="A2216" s="46" t="s">
        <v>4665</v>
      </c>
      <c r="B2216" s="47" t="s">
        <v>4666</v>
      </c>
      <c r="C2216" s="47">
        <v>90.0</v>
      </c>
      <c r="D2216" s="47">
        <v>98.0</v>
      </c>
      <c r="E2216" s="47" t="s">
        <v>11</v>
      </c>
      <c r="F2216" s="47" t="s">
        <v>11</v>
      </c>
    </row>
    <row r="2217" ht="15.75" customHeight="1">
      <c r="A2217" s="46" t="s">
        <v>4667</v>
      </c>
      <c r="B2217" s="47" t="s">
        <v>4668</v>
      </c>
      <c r="C2217" s="47">
        <v>397.0</v>
      </c>
      <c r="D2217" s="47">
        <v>403.0</v>
      </c>
      <c r="E2217" s="47">
        <v>26160.0</v>
      </c>
      <c r="F2217" s="47" t="s">
        <v>11</v>
      </c>
    </row>
    <row r="2218" ht="15.75" customHeight="1">
      <c r="A2218" s="46" t="s">
        <v>4669</v>
      </c>
      <c r="B2218" s="47" t="s">
        <v>4670</v>
      </c>
      <c r="C2218" s="47">
        <v>235.0</v>
      </c>
      <c r="D2218" s="47">
        <v>241.0</v>
      </c>
      <c r="E2218" s="47">
        <v>21570.0</v>
      </c>
      <c r="F2218" s="47" t="s">
        <v>11</v>
      </c>
    </row>
    <row r="2219" ht="15.75" customHeight="1">
      <c r="A2219" s="46" t="s">
        <v>4671</v>
      </c>
      <c r="B2219" s="47" t="s">
        <v>4672</v>
      </c>
      <c r="C2219" s="47">
        <v>397.0</v>
      </c>
      <c r="D2219" s="47">
        <v>379.0</v>
      </c>
      <c r="E2219" s="47">
        <v>22940.0</v>
      </c>
      <c r="F2219" s="47" t="s">
        <v>11</v>
      </c>
    </row>
    <row r="2220" ht="15.75" customHeight="1">
      <c r="A2220" s="46" t="s">
        <v>4673</v>
      </c>
      <c r="B2220" s="47" t="s">
        <v>4674</v>
      </c>
      <c r="C2220" s="47">
        <v>239.0</v>
      </c>
      <c r="D2220" s="47">
        <v>222.0</v>
      </c>
      <c r="E2220" s="47">
        <v>23200.0</v>
      </c>
      <c r="F2220" s="47" t="s">
        <v>11</v>
      </c>
    </row>
    <row r="2221" ht="15.75" customHeight="1">
      <c r="A2221" s="46" t="s">
        <v>4675</v>
      </c>
      <c r="B2221" s="47" t="s">
        <v>4676</v>
      </c>
      <c r="C2221" s="47">
        <v>581.0</v>
      </c>
      <c r="D2221" s="47">
        <v>528.0</v>
      </c>
      <c r="E2221" s="47">
        <v>24380.0</v>
      </c>
      <c r="F2221" s="47" t="s">
        <v>11</v>
      </c>
    </row>
    <row r="2222" ht="15.75" customHeight="1">
      <c r="A2222" s="46" t="s">
        <v>4677</v>
      </c>
      <c r="B2222" s="47" t="s">
        <v>4678</v>
      </c>
      <c r="C2222" s="47">
        <v>999.0</v>
      </c>
      <c r="D2222" s="47">
        <v>1003.0</v>
      </c>
      <c r="E2222" s="47">
        <v>26350.0</v>
      </c>
      <c r="F2222" s="47" t="s">
        <v>11</v>
      </c>
    </row>
    <row r="2223" ht="15.75" customHeight="1">
      <c r="A2223" s="46" t="s">
        <v>4679</v>
      </c>
      <c r="B2223" s="47" t="s">
        <v>4680</v>
      </c>
      <c r="C2223" s="47">
        <v>5662.0</v>
      </c>
      <c r="D2223" s="47">
        <v>5559.0</v>
      </c>
      <c r="E2223" s="47">
        <v>24440.0</v>
      </c>
      <c r="F2223" s="47">
        <v>16.0</v>
      </c>
    </row>
    <row r="2224" ht="15.75" customHeight="1">
      <c r="A2224" s="46" t="s">
        <v>4681</v>
      </c>
      <c r="B2224" s="47" t="s">
        <v>4682</v>
      </c>
      <c r="C2224" s="47">
        <v>2095.0</v>
      </c>
      <c r="D2224" s="47">
        <v>2014.0</v>
      </c>
      <c r="E2224" s="47">
        <v>22860.0</v>
      </c>
      <c r="F2224" s="47" t="s">
        <v>11</v>
      </c>
    </row>
    <row r="2225" ht="15.75" customHeight="1">
      <c r="A2225" s="46" t="s">
        <v>4683</v>
      </c>
      <c r="B2225" s="47" t="s">
        <v>4684</v>
      </c>
      <c r="C2225" s="47">
        <v>142.0</v>
      </c>
      <c r="D2225" s="47">
        <v>133.0</v>
      </c>
      <c r="E2225" s="47">
        <v>22640.0</v>
      </c>
      <c r="F2225" s="47" t="s">
        <v>11</v>
      </c>
    </row>
    <row r="2226" ht="15.75" customHeight="1">
      <c r="A2226" s="46" t="s">
        <v>4685</v>
      </c>
      <c r="B2226" s="47" t="s">
        <v>4686</v>
      </c>
      <c r="C2226" s="47">
        <v>272.0</v>
      </c>
      <c r="D2226" s="47">
        <v>280.0</v>
      </c>
      <c r="E2226" s="47">
        <v>21090.0</v>
      </c>
      <c r="F2226" s="47" t="s">
        <v>11</v>
      </c>
    </row>
    <row r="2227" ht="15.75" customHeight="1">
      <c r="A2227" s="46" t="s">
        <v>4687</v>
      </c>
      <c r="B2227" s="47" t="s">
        <v>4688</v>
      </c>
      <c r="C2227" s="47">
        <v>126.0</v>
      </c>
      <c r="D2227" s="47">
        <v>114.0</v>
      </c>
      <c r="E2227" s="47">
        <v>25160.0</v>
      </c>
      <c r="F2227" s="47" t="s">
        <v>11</v>
      </c>
    </row>
    <row r="2228" ht="15.75" customHeight="1">
      <c r="A2228" s="46" t="s">
        <v>4689</v>
      </c>
      <c r="B2228" s="47" t="s">
        <v>4690</v>
      </c>
      <c r="C2228" s="47">
        <v>400.0</v>
      </c>
      <c r="D2228" s="47">
        <v>427.0</v>
      </c>
      <c r="E2228" s="47">
        <v>28880.0</v>
      </c>
      <c r="F2228" s="47" t="s">
        <v>11</v>
      </c>
    </row>
    <row r="2229" ht="15.75" customHeight="1">
      <c r="A2229" s="46" t="s">
        <v>4691</v>
      </c>
      <c r="B2229" s="47" t="s">
        <v>4692</v>
      </c>
      <c r="C2229" s="47">
        <v>560.0</v>
      </c>
      <c r="D2229" s="47">
        <v>503.0</v>
      </c>
      <c r="E2229" s="47">
        <v>27700.0</v>
      </c>
      <c r="F2229" s="47" t="s">
        <v>11</v>
      </c>
    </row>
    <row r="2230" ht="15.75" customHeight="1">
      <c r="A2230" s="46" t="s">
        <v>4693</v>
      </c>
      <c r="B2230" s="47" t="s">
        <v>4694</v>
      </c>
      <c r="C2230" s="47">
        <v>211.0</v>
      </c>
      <c r="D2230" s="47">
        <v>212.0</v>
      </c>
      <c r="E2230" s="47">
        <v>29510.0</v>
      </c>
      <c r="F2230" s="47" t="s">
        <v>11</v>
      </c>
    </row>
    <row r="2231" ht="15.75" customHeight="1">
      <c r="A2231" s="46" t="s">
        <v>4695</v>
      </c>
      <c r="B2231" s="47" t="s">
        <v>4696</v>
      </c>
      <c r="C2231" s="47">
        <v>356.0</v>
      </c>
      <c r="D2231" s="47">
        <v>330.0</v>
      </c>
      <c r="E2231" s="47">
        <v>30900.0</v>
      </c>
      <c r="F2231" s="47" t="s">
        <v>11</v>
      </c>
    </row>
    <row r="2232" ht="15.75" customHeight="1">
      <c r="A2232" s="46" t="s">
        <v>4697</v>
      </c>
      <c r="B2232" s="47" t="s">
        <v>4698</v>
      </c>
      <c r="C2232" s="47">
        <v>14189.0</v>
      </c>
      <c r="D2232" s="47">
        <v>12951.0</v>
      </c>
      <c r="E2232" s="47">
        <v>23340.0</v>
      </c>
      <c r="F2232" s="47">
        <v>21.0</v>
      </c>
    </row>
    <row r="2233" ht="15.75" customHeight="1">
      <c r="A2233" s="46" t="s">
        <v>4699</v>
      </c>
      <c r="B2233" s="47" t="s">
        <v>4700</v>
      </c>
      <c r="C2233" s="47">
        <v>218.0</v>
      </c>
      <c r="D2233" s="47">
        <v>213.0</v>
      </c>
      <c r="E2233" s="47">
        <v>22140.0</v>
      </c>
      <c r="F2233" s="47" t="s">
        <v>11</v>
      </c>
    </row>
    <row r="2234" ht="15.75" customHeight="1">
      <c r="A2234" s="46" t="s">
        <v>4701</v>
      </c>
      <c r="B2234" s="47" t="s">
        <v>4702</v>
      </c>
      <c r="C2234" s="47">
        <v>275.0</v>
      </c>
      <c r="D2234" s="47">
        <v>277.0</v>
      </c>
      <c r="E2234" s="47">
        <v>23990.0</v>
      </c>
      <c r="F2234" s="47" t="s">
        <v>11</v>
      </c>
    </row>
    <row r="2235" ht="15.75" customHeight="1">
      <c r="A2235" s="46" t="s">
        <v>4703</v>
      </c>
      <c r="B2235" s="47" t="s">
        <v>4704</v>
      </c>
      <c r="C2235" s="47">
        <v>515.0</v>
      </c>
      <c r="D2235" s="47">
        <v>553.0</v>
      </c>
      <c r="E2235" s="47">
        <v>25700.0</v>
      </c>
      <c r="F2235" s="47" t="s">
        <v>11</v>
      </c>
    </row>
    <row r="2236" ht="15.75" customHeight="1">
      <c r="A2236" s="46" t="s">
        <v>4705</v>
      </c>
      <c r="B2236" s="47" t="s">
        <v>4706</v>
      </c>
      <c r="C2236" s="47">
        <v>488.0</v>
      </c>
      <c r="D2236" s="47">
        <v>482.0</v>
      </c>
      <c r="E2236" s="47">
        <v>26130.0</v>
      </c>
      <c r="F2236" s="47" t="s">
        <v>11</v>
      </c>
    </row>
    <row r="2237" ht="15.75" customHeight="1">
      <c r="A2237" s="46" t="s">
        <v>4707</v>
      </c>
      <c r="B2237" s="47" t="s">
        <v>4708</v>
      </c>
      <c r="C2237" s="47">
        <v>165.0</v>
      </c>
      <c r="D2237" s="47">
        <v>164.0</v>
      </c>
      <c r="E2237" s="47">
        <v>26630.0</v>
      </c>
      <c r="F2237" s="47" t="s">
        <v>11</v>
      </c>
    </row>
    <row r="2238" ht="15.75" customHeight="1">
      <c r="A2238" s="46" t="s">
        <v>4709</v>
      </c>
      <c r="B2238" s="47" t="s">
        <v>4710</v>
      </c>
      <c r="C2238" s="47">
        <v>480.0</v>
      </c>
      <c r="D2238" s="47">
        <v>485.0</v>
      </c>
      <c r="E2238" s="47">
        <v>28500.0</v>
      </c>
      <c r="F2238" s="47" t="s">
        <v>11</v>
      </c>
    </row>
    <row r="2239" ht="15.75" customHeight="1">
      <c r="A2239" s="46" t="s">
        <v>4711</v>
      </c>
      <c r="B2239" s="47" t="s">
        <v>4712</v>
      </c>
      <c r="C2239" s="47">
        <v>184.0</v>
      </c>
      <c r="D2239" s="47">
        <v>162.0</v>
      </c>
      <c r="E2239" s="47">
        <v>27730.0</v>
      </c>
      <c r="F2239" s="47" t="s">
        <v>11</v>
      </c>
    </row>
    <row r="2240" ht="15.75" customHeight="1">
      <c r="A2240" s="46" t="s">
        <v>4713</v>
      </c>
      <c r="B2240" s="47" t="s">
        <v>4714</v>
      </c>
      <c r="C2240" s="47">
        <v>918.0</v>
      </c>
      <c r="D2240" s="47">
        <v>920.0</v>
      </c>
      <c r="E2240" s="47">
        <v>22530.0</v>
      </c>
      <c r="F2240" s="47" t="s">
        <v>11</v>
      </c>
    </row>
    <row r="2241" ht="15.75" customHeight="1">
      <c r="A2241" s="46" t="s">
        <v>4715</v>
      </c>
      <c r="B2241" s="47" t="s">
        <v>4716</v>
      </c>
      <c r="C2241" s="47">
        <v>147.0</v>
      </c>
      <c r="D2241" s="47">
        <v>155.0</v>
      </c>
      <c r="E2241" s="47">
        <v>28700.0</v>
      </c>
      <c r="F2241" s="47" t="s">
        <v>11</v>
      </c>
    </row>
    <row r="2242" ht="15.75" customHeight="1">
      <c r="A2242" s="46" t="s">
        <v>4717</v>
      </c>
      <c r="B2242" s="47" t="s">
        <v>4718</v>
      </c>
      <c r="C2242" s="47">
        <v>24895.0</v>
      </c>
      <c r="D2242" s="47">
        <v>25224.0</v>
      </c>
      <c r="E2242" s="47">
        <v>21370.0</v>
      </c>
      <c r="F2242" s="47">
        <v>28.0</v>
      </c>
    </row>
    <row r="2243" ht="15.75" customHeight="1">
      <c r="A2243" s="46" t="s">
        <v>4719</v>
      </c>
      <c r="B2243" s="47" t="s">
        <v>4720</v>
      </c>
      <c r="C2243" s="47">
        <v>471.0</v>
      </c>
      <c r="D2243" s="47">
        <v>460.0</v>
      </c>
      <c r="E2243" s="47">
        <v>26950.0</v>
      </c>
      <c r="F2243" s="47" t="s">
        <v>11</v>
      </c>
    </row>
    <row r="2244" ht="15.75" customHeight="1">
      <c r="A2244" s="46" t="s">
        <v>4721</v>
      </c>
      <c r="B2244" s="47" t="s">
        <v>4722</v>
      </c>
      <c r="C2244" s="47">
        <v>170.0</v>
      </c>
      <c r="D2244" s="47">
        <v>180.0</v>
      </c>
      <c r="E2244" s="47">
        <v>24960.0</v>
      </c>
      <c r="F2244" s="47" t="s">
        <v>11</v>
      </c>
    </row>
    <row r="2245" ht="15.75" customHeight="1">
      <c r="A2245" s="46" t="s">
        <v>4723</v>
      </c>
      <c r="B2245" s="47" t="s">
        <v>4724</v>
      </c>
      <c r="C2245" s="47">
        <v>376.0</v>
      </c>
      <c r="D2245" s="47">
        <v>351.0</v>
      </c>
      <c r="E2245" s="47">
        <v>25450.0</v>
      </c>
      <c r="F2245" s="47" t="s">
        <v>11</v>
      </c>
    </row>
    <row r="2246" ht="15.75" customHeight="1">
      <c r="A2246" s="46" t="s">
        <v>4725</v>
      </c>
      <c r="B2246" s="47" t="s">
        <v>4726</v>
      </c>
      <c r="C2246" s="47">
        <v>548.0</v>
      </c>
      <c r="D2246" s="47">
        <v>546.0</v>
      </c>
      <c r="E2246" s="47">
        <v>24370.0</v>
      </c>
      <c r="F2246" s="47" t="s">
        <v>11</v>
      </c>
    </row>
    <row r="2247" ht="15.75" customHeight="1">
      <c r="A2247" s="46" t="s">
        <v>4727</v>
      </c>
      <c r="B2247" s="47" t="s">
        <v>4728</v>
      </c>
      <c r="C2247" s="47">
        <v>466.0</v>
      </c>
      <c r="D2247" s="47">
        <v>436.0</v>
      </c>
      <c r="E2247" s="47">
        <v>25220.0</v>
      </c>
      <c r="F2247" s="47" t="s">
        <v>11</v>
      </c>
    </row>
    <row r="2248" ht="15.75" customHeight="1">
      <c r="A2248" s="46" t="s">
        <v>4729</v>
      </c>
      <c r="B2248" s="47" t="s">
        <v>4730</v>
      </c>
      <c r="C2248" s="47">
        <v>457.0</v>
      </c>
      <c r="D2248" s="47">
        <v>458.0</v>
      </c>
      <c r="E2248" s="47">
        <v>28360.0</v>
      </c>
      <c r="F2248" s="47" t="s">
        <v>11</v>
      </c>
    </row>
    <row r="2249" ht="15.75" customHeight="1">
      <c r="A2249" s="46" t="s">
        <v>4731</v>
      </c>
      <c r="B2249" s="47" t="s">
        <v>4732</v>
      </c>
      <c r="C2249" s="47">
        <v>9442.0</v>
      </c>
      <c r="D2249" s="47">
        <v>9189.0</v>
      </c>
      <c r="E2249" s="47">
        <v>23110.0</v>
      </c>
      <c r="F2249" s="47">
        <v>20.0</v>
      </c>
    </row>
    <row r="2250" ht="15.75" customHeight="1">
      <c r="A2250" s="46" t="s">
        <v>4733</v>
      </c>
      <c r="B2250" s="47" t="s">
        <v>4734</v>
      </c>
      <c r="C2250" s="47">
        <v>363.0</v>
      </c>
      <c r="D2250" s="47">
        <v>367.0</v>
      </c>
      <c r="E2250" s="47">
        <v>26180.0</v>
      </c>
      <c r="F2250" s="47" t="s">
        <v>11</v>
      </c>
    </row>
    <row r="2251" ht="15.75" customHeight="1">
      <c r="A2251" s="46" t="s">
        <v>4735</v>
      </c>
      <c r="B2251" s="47" t="s">
        <v>4736</v>
      </c>
      <c r="C2251" s="47">
        <v>4083.0</v>
      </c>
      <c r="D2251" s="47">
        <v>4568.0</v>
      </c>
      <c r="E2251" s="47">
        <v>24380.0</v>
      </c>
      <c r="F2251" s="47">
        <v>11.0</v>
      </c>
    </row>
    <row r="2252" ht="15.75" customHeight="1">
      <c r="A2252" s="46" t="s">
        <v>4737</v>
      </c>
      <c r="B2252" s="47" t="s">
        <v>4738</v>
      </c>
      <c r="C2252" s="47">
        <v>94.0</v>
      </c>
      <c r="D2252" s="47">
        <v>93.0</v>
      </c>
      <c r="E2252" s="47" t="s">
        <v>11</v>
      </c>
      <c r="F2252" s="47" t="s">
        <v>11</v>
      </c>
    </row>
    <row r="2253" ht="15.75" customHeight="1">
      <c r="A2253" s="46" t="s">
        <v>4739</v>
      </c>
      <c r="B2253" s="47" t="s">
        <v>4740</v>
      </c>
      <c r="C2253" s="47">
        <v>643.0</v>
      </c>
      <c r="D2253" s="47">
        <v>671.0</v>
      </c>
      <c r="E2253" s="47">
        <v>24760.0</v>
      </c>
      <c r="F2253" s="47" t="s">
        <v>11</v>
      </c>
    </row>
    <row r="2254" ht="15.75" customHeight="1">
      <c r="A2254" s="46" t="s">
        <v>4741</v>
      </c>
      <c r="B2254" s="47" t="s">
        <v>4742</v>
      </c>
      <c r="C2254" s="47">
        <v>351.0</v>
      </c>
      <c r="D2254" s="47">
        <v>286.0</v>
      </c>
      <c r="E2254" s="47">
        <v>25900.0</v>
      </c>
      <c r="F2254" s="47" t="s">
        <v>11</v>
      </c>
    </row>
    <row r="2255" ht="15.75" customHeight="1">
      <c r="A2255" s="46" t="s">
        <v>4743</v>
      </c>
      <c r="B2255" s="47" t="s">
        <v>4744</v>
      </c>
      <c r="C2255" s="47">
        <v>4624.0</v>
      </c>
      <c r="D2255" s="47">
        <v>5093.0</v>
      </c>
      <c r="E2255" s="47">
        <v>26090.0</v>
      </c>
      <c r="F2255" s="47">
        <v>10.0</v>
      </c>
    </row>
    <row r="2256" ht="15.75" customHeight="1">
      <c r="A2256" s="46" t="s">
        <v>4745</v>
      </c>
      <c r="B2256" s="47" t="s">
        <v>4746</v>
      </c>
      <c r="C2256" s="47">
        <v>8150.0</v>
      </c>
      <c r="D2256" s="47">
        <v>7937.0</v>
      </c>
      <c r="E2256" s="47">
        <v>19530.0</v>
      </c>
      <c r="F2256" s="47">
        <v>31.0</v>
      </c>
    </row>
    <row r="2257" ht="15.75" customHeight="1">
      <c r="A2257" s="46" t="s">
        <v>4747</v>
      </c>
      <c r="B2257" s="47" t="s">
        <v>4748</v>
      </c>
      <c r="C2257" s="47">
        <v>114.0</v>
      </c>
      <c r="D2257" s="47">
        <v>112.0</v>
      </c>
      <c r="E2257" s="47">
        <v>26760.0</v>
      </c>
      <c r="F2257" s="47" t="s">
        <v>11</v>
      </c>
    </row>
    <row r="2258" ht="15.75" customHeight="1">
      <c r="A2258" s="46" t="s">
        <v>4749</v>
      </c>
      <c r="B2258" s="47" t="s">
        <v>4750</v>
      </c>
      <c r="C2258" s="47">
        <v>314.0</v>
      </c>
      <c r="D2258" s="47">
        <v>304.0</v>
      </c>
      <c r="E2258" s="47">
        <v>27940.0</v>
      </c>
      <c r="F2258" s="47" t="s">
        <v>11</v>
      </c>
    </row>
    <row r="2259" ht="15.75" customHeight="1">
      <c r="A2259" s="46" t="s">
        <v>4751</v>
      </c>
      <c r="B2259" s="47" t="s">
        <v>4752</v>
      </c>
      <c r="C2259" s="47">
        <v>106.0</v>
      </c>
      <c r="D2259" s="47">
        <v>95.0</v>
      </c>
      <c r="E2259" s="47" t="s">
        <v>11</v>
      </c>
      <c r="F2259" s="47" t="s">
        <v>11</v>
      </c>
    </row>
    <row r="2260" ht="15.75" customHeight="1">
      <c r="A2260" s="46" t="s">
        <v>4753</v>
      </c>
      <c r="B2260" s="47" t="s">
        <v>4754</v>
      </c>
      <c r="C2260" s="47">
        <v>720.0</v>
      </c>
      <c r="D2260" s="47">
        <v>715.0</v>
      </c>
      <c r="E2260" s="47">
        <v>21930.0</v>
      </c>
      <c r="F2260" s="47" t="s">
        <v>11</v>
      </c>
    </row>
    <row r="2261" ht="15.75" customHeight="1">
      <c r="A2261" s="46" t="s">
        <v>4755</v>
      </c>
      <c r="B2261" s="47" t="s">
        <v>4756</v>
      </c>
      <c r="C2261" s="47">
        <v>5002.0</v>
      </c>
      <c r="D2261" s="47">
        <v>4859.0</v>
      </c>
      <c r="E2261" s="47">
        <v>22620.0</v>
      </c>
      <c r="F2261" s="47">
        <v>19.0</v>
      </c>
    </row>
    <row r="2262" ht="15.75" customHeight="1">
      <c r="A2262" s="46" t="s">
        <v>4757</v>
      </c>
      <c r="B2262" s="47" t="s">
        <v>4758</v>
      </c>
      <c r="C2262" s="47">
        <v>519.0</v>
      </c>
      <c r="D2262" s="47">
        <v>490.0</v>
      </c>
      <c r="E2262" s="47">
        <v>22620.0</v>
      </c>
      <c r="F2262" s="47" t="s">
        <v>11</v>
      </c>
    </row>
    <row r="2263" ht="15.75" customHeight="1">
      <c r="A2263" s="46" t="s">
        <v>4759</v>
      </c>
      <c r="B2263" s="47" t="s">
        <v>4760</v>
      </c>
      <c r="C2263" s="47">
        <v>870.0</v>
      </c>
      <c r="D2263" s="47">
        <v>907.0</v>
      </c>
      <c r="E2263" s="47">
        <v>25430.0</v>
      </c>
      <c r="F2263" s="47" t="s">
        <v>11</v>
      </c>
    </row>
    <row r="2264" ht="15.75" customHeight="1">
      <c r="A2264" s="46" t="s">
        <v>4761</v>
      </c>
      <c r="B2264" s="47" t="s">
        <v>4762</v>
      </c>
      <c r="C2264" s="47">
        <v>166.0</v>
      </c>
      <c r="D2264" s="47">
        <v>160.0</v>
      </c>
      <c r="E2264" s="47">
        <v>24970.0</v>
      </c>
      <c r="F2264" s="47" t="s">
        <v>11</v>
      </c>
    </row>
    <row r="2265" ht="15.75" customHeight="1">
      <c r="A2265" s="46" t="s">
        <v>4763</v>
      </c>
      <c r="B2265" s="47" t="s">
        <v>4764</v>
      </c>
      <c r="C2265" s="47">
        <v>50.0</v>
      </c>
      <c r="D2265" s="47">
        <v>46.0</v>
      </c>
      <c r="E2265" s="47" t="s">
        <v>11</v>
      </c>
      <c r="F2265" s="47" t="s">
        <v>11</v>
      </c>
    </row>
    <row r="2266" ht="15.75" customHeight="1">
      <c r="A2266" s="46" t="s">
        <v>4765</v>
      </c>
      <c r="B2266" s="47" t="s">
        <v>4766</v>
      </c>
      <c r="C2266" s="47">
        <v>447.0</v>
      </c>
      <c r="D2266" s="47">
        <v>478.0</v>
      </c>
      <c r="E2266" s="47">
        <v>28480.0</v>
      </c>
      <c r="F2266" s="47" t="s">
        <v>11</v>
      </c>
    </row>
    <row r="2267" ht="15.75" customHeight="1">
      <c r="A2267" s="46" t="s">
        <v>4767</v>
      </c>
      <c r="B2267" s="47" t="s">
        <v>4768</v>
      </c>
      <c r="C2267" s="47">
        <v>454.0</v>
      </c>
      <c r="D2267" s="47">
        <v>450.0</v>
      </c>
      <c r="E2267" s="47">
        <v>28230.0</v>
      </c>
      <c r="F2267" s="47" t="s">
        <v>11</v>
      </c>
    </row>
    <row r="2268" ht="15.75" customHeight="1">
      <c r="A2268" s="46" t="s">
        <v>4769</v>
      </c>
      <c r="B2268" s="47" t="s">
        <v>4770</v>
      </c>
      <c r="C2268" s="47">
        <v>277.0</v>
      </c>
      <c r="D2268" s="47">
        <v>255.0</v>
      </c>
      <c r="E2268" s="47">
        <v>26260.0</v>
      </c>
      <c r="F2268" s="47" t="s">
        <v>11</v>
      </c>
    </row>
    <row r="2269" ht="15.75" customHeight="1">
      <c r="A2269" s="46" t="s">
        <v>4771</v>
      </c>
      <c r="B2269" s="47" t="s">
        <v>4772</v>
      </c>
      <c r="C2269" s="47">
        <v>406.0</v>
      </c>
      <c r="D2269" s="47">
        <v>389.0</v>
      </c>
      <c r="E2269" s="47">
        <v>25850.0</v>
      </c>
      <c r="F2269" s="47" t="s">
        <v>11</v>
      </c>
    </row>
    <row r="2270" ht="15.75" customHeight="1">
      <c r="A2270" s="46" t="s">
        <v>4773</v>
      </c>
      <c r="B2270" s="47" t="s">
        <v>4774</v>
      </c>
      <c r="C2270" s="47">
        <v>827.0</v>
      </c>
      <c r="D2270" s="47">
        <v>839.0</v>
      </c>
      <c r="E2270" s="47">
        <v>27250.0</v>
      </c>
      <c r="F2270" s="47" t="s">
        <v>11</v>
      </c>
    </row>
    <row r="2271" ht="15.75" customHeight="1">
      <c r="A2271" s="46" t="s">
        <v>4775</v>
      </c>
      <c r="B2271" s="47" t="s">
        <v>4776</v>
      </c>
      <c r="C2271" s="47">
        <v>249.0</v>
      </c>
      <c r="D2271" s="47">
        <v>260.0</v>
      </c>
      <c r="E2271" s="47">
        <v>25180.0</v>
      </c>
      <c r="F2271" s="47" t="s">
        <v>11</v>
      </c>
    </row>
    <row r="2272" ht="15.75" customHeight="1">
      <c r="A2272" s="46" t="s">
        <v>4777</v>
      </c>
      <c r="B2272" s="47" t="s">
        <v>4778</v>
      </c>
      <c r="C2272" s="47">
        <v>505.0</v>
      </c>
      <c r="D2272" s="47">
        <v>529.0</v>
      </c>
      <c r="E2272" s="47">
        <v>26650.0</v>
      </c>
      <c r="F2272" s="47" t="s">
        <v>11</v>
      </c>
    </row>
    <row r="2273" ht="15.75" customHeight="1">
      <c r="A2273" s="46" t="s">
        <v>4779</v>
      </c>
      <c r="B2273" s="47" t="s">
        <v>4780</v>
      </c>
      <c r="C2273" s="47">
        <v>517.0</v>
      </c>
      <c r="D2273" s="47">
        <v>514.0</v>
      </c>
      <c r="E2273" s="47">
        <v>26850.0</v>
      </c>
      <c r="F2273" s="47" t="s">
        <v>11</v>
      </c>
    </row>
    <row r="2274" ht="15.75" customHeight="1">
      <c r="A2274" s="46" t="s">
        <v>4781</v>
      </c>
      <c r="B2274" s="47" t="s">
        <v>4782</v>
      </c>
      <c r="C2274" s="47">
        <v>251.0</v>
      </c>
      <c r="D2274" s="47">
        <v>254.0</v>
      </c>
      <c r="E2274" s="47">
        <v>28670.0</v>
      </c>
      <c r="F2274" s="47" t="s">
        <v>11</v>
      </c>
    </row>
    <row r="2275" ht="15.75" customHeight="1">
      <c r="A2275" s="46" t="s">
        <v>4783</v>
      </c>
      <c r="B2275" s="47" t="s">
        <v>4784</v>
      </c>
      <c r="C2275" s="47">
        <v>631.0</v>
      </c>
      <c r="D2275" s="47">
        <v>615.0</v>
      </c>
      <c r="E2275" s="47">
        <v>22420.0</v>
      </c>
      <c r="F2275" s="47" t="s">
        <v>11</v>
      </c>
    </row>
    <row r="2276" ht="15.75" customHeight="1">
      <c r="A2276" s="46" t="s">
        <v>4785</v>
      </c>
      <c r="B2276" s="47" t="s">
        <v>3291</v>
      </c>
      <c r="C2276" s="47">
        <v>674.0</v>
      </c>
      <c r="D2276" s="47">
        <v>659.0</v>
      </c>
      <c r="E2276" s="47">
        <v>22990.0</v>
      </c>
      <c r="F2276" s="47" t="s">
        <v>11</v>
      </c>
    </row>
    <row r="2277" ht="15.75" customHeight="1">
      <c r="A2277" s="46" t="s">
        <v>4786</v>
      </c>
      <c r="B2277" s="47" t="s">
        <v>4787</v>
      </c>
      <c r="C2277" s="47">
        <v>656.0</v>
      </c>
      <c r="D2277" s="47">
        <v>637.0</v>
      </c>
      <c r="E2277" s="47">
        <v>23100.0</v>
      </c>
      <c r="F2277" s="47" t="s">
        <v>11</v>
      </c>
    </row>
    <row r="2278" ht="15.75" customHeight="1">
      <c r="A2278" s="46" t="s">
        <v>4788</v>
      </c>
      <c r="B2278" s="47" t="s">
        <v>4789</v>
      </c>
      <c r="C2278" s="47">
        <v>565.0</v>
      </c>
      <c r="D2278" s="47">
        <v>597.0</v>
      </c>
      <c r="E2278" s="47">
        <v>30310.0</v>
      </c>
      <c r="F2278" s="47" t="s">
        <v>11</v>
      </c>
    </row>
    <row r="2279" ht="15.75" customHeight="1">
      <c r="A2279" s="46" t="s">
        <v>4790</v>
      </c>
      <c r="B2279" s="47" t="s">
        <v>4791</v>
      </c>
      <c r="C2279" s="47">
        <v>88.0</v>
      </c>
      <c r="D2279" s="47">
        <v>68.0</v>
      </c>
      <c r="E2279" s="47" t="s">
        <v>11</v>
      </c>
      <c r="F2279" s="47" t="s">
        <v>11</v>
      </c>
    </row>
    <row r="2280" ht="15.75" customHeight="1">
      <c r="A2280" s="46" t="s">
        <v>4792</v>
      </c>
      <c r="B2280" s="47" t="s">
        <v>4793</v>
      </c>
      <c r="C2280" s="47">
        <v>589.0</v>
      </c>
      <c r="D2280" s="47">
        <v>578.0</v>
      </c>
      <c r="E2280" s="47">
        <v>21910.0</v>
      </c>
      <c r="F2280" s="47" t="s">
        <v>11</v>
      </c>
    </row>
    <row r="2281" ht="15.75" customHeight="1">
      <c r="A2281" s="46" t="s">
        <v>4794</v>
      </c>
      <c r="B2281" s="47" t="s">
        <v>4795</v>
      </c>
      <c r="C2281" s="47">
        <v>40874.0</v>
      </c>
      <c r="D2281" s="47">
        <v>40539.0</v>
      </c>
      <c r="E2281" s="47">
        <v>19800.0</v>
      </c>
      <c r="F2281" s="47">
        <v>30.5</v>
      </c>
    </row>
    <row r="2282" ht="15.75" customHeight="1">
      <c r="A2282" s="46" t="s">
        <v>4796</v>
      </c>
      <c r="B2282" s="47" t="s">
        <v>4797</v>
      </c>
      <c r="C2282" s="47">
        <v>765.0</v>
      </c>
      <c r="D2282" s="47">
        <v>788.0</v>
      </c>
      <c r="E2282" s="47">
        <v>23100.0</v>
      </c>
      <c r="F2282" s="47" t="s">
        <v>11</v>
      </c>
    </row>
    <row r="2283" ht="15.75" customHeight="1">
      <c r="A2283" s="46" t="s">
        <v>4798</v>
      </c>
      <c r="B2283" s="47" t="s">
        <v>4799</v>
      </c>
      <c r="C2283" s="47">
        <v>639.0</v>
      </c>
      <c r="D2283" s="47">
        <v>568.0</v>
      </c>
      <c r="E2283" s="47">
        <v>23630.0</v>
      </c>
      <c r="F2283" s="47" t="s">
        <v>11</v>
      </c>
    </row>
    <row r="2284" ht="15.75" customHeight="1">
      <c r="A2284" s="46" t="s">
        <v>4800</v>
      </c>
      <c r="B2284" s="47" t="s">
        <v>4801</v>
      </c>
      <c r="C2284" s="47">
        <v>256.0</v>
      </c>
      <c r="D2284" s="47">
        <v>239.0</v>
      </c>
      <c r="E2284" s="47">
        <v>25860.0</v>
      </c>
      <c r="F2284" s="47" t="s">
        <v>11</v>
      </c>
    </row>
    <row r="2285" ht="15.75" customHeight="1">
      <c r="A2285" s="46" t="s">
        <v>4802</v>
      </c>
      <c r="B2285" s="47" t="s">
        <v>4803</v>
      </c>
      <c r="C2285" s="47">
        <v>1156.0</v>
      </c>
      <c r="D2285" s="47">
        <v>1156.0</v>
      </c>
      <c r="E2285" s="47">
        <v>25910.0</v>
      </c>
      <c r="F2285" s="47" t="s">
        <v>11</v>
      </c>
    </row>
    <row r="2286" ht="15.75" customHeight="1">
      <c r="A2286" s="46" t="s">
        <v>4804</v>
      </c>
      <c r="B2286" s="47" t="s">
        <v>4805</v>
      </c>
      <c r="C2286" s="47">
        <v>240.0</v>
      </c>
      <c r="D2286" s="47">
        <v>223.0</v>
      </c>
      <c r="E2286" s="47">
        <v>25460.0</v>
      </c>
      <c r="F2286" s="47" t="s">
        <v>11</v>
      </c>
    </row>
    <row r="2287" ht="15.75" customHeight="1">
      <c r="A2287" s="46" t="s">
        <v>4806</v>
      </c>
      <c r="B2287" s="47" t="s">
        <v>4807</v>
      </c>
      <c r="C2287" s="47">
        <v>617.0</v>
      </c>
      <c r="D2287" s="47">
        <v>582.0</v>
      </c>
      <c r="E2287" s="47">
        <v>24680.0</v>
      </c>
      <c r="F2287" s="47" t="s">
        <v>11</v>
      </c>
    </row>
    <row r="2288" ht="15.75" customHeight="1">
      <c r="A2288" s="46" t="s">
        <v>4808</v>
      </c>
      <c r="B2288" s="47" t="s">
        <v>4809</v>
      </c>
      <c r="C2288" s="47">
        <v>255.0</v>
      </c>
      <c r="D2288" s="47">
        <v>236.0</v>
      </c>
      <c r="E2288" s="47">
        <v>28660.0</v>
      </c>
      <c r="F2288" s="47" t="s">
        <v>11</v>
      </c>
    </row>
    <row r="2289" ht="15.75" customHeight="1">
      <c r="A2289" s="46" t="s">
        <v>4810</v>
      </c>
      <c r="B2289" s="47" t="s">
        <v>4811</v>
      </c>
      <c r="C2289" s="47">
        <v>853.0</v>
      </c>
      <c r="D2289" s="47">
        <v>860.0</v>
      </c>
      <c r="E2289" s="47">
        <v>23780.0</v>
      </c>
      <c r="F2289" s="47" t="s">
        <v>11</v>
      </c>
    </row>
    <row r="2290" ht="15.75" customHeight="1">
      <c r="A2290" s="46" t="s">
        <v>4812</v>
      </c>
      <c r="B2290" s="47" t="s">
        <v>4813</v>
      </c>
      <c r="C2290" s="47">
        <v>219.0</v>
      </c>
      <c r="D2290" s="47">
        <v>260.0</v>
      </c>
      <c r="E2290" s="47">
        <v>24970.0</v>
      </c>
      <c r="F2290" s="47" t="s">
        <v>11</v>
      </c>
    </row>
    <row r="2291" ht="15.75" customHeight="1">
      <c r="A2291" s="46" t="s">
        <v>4814</v>
      </c>
      <c r="B2291" s="47" t="s">
        <v>4815</v>
      </c>
      <c r="C2291" s="47">
        <v>2403.0</v>
      </c>
      <c r="D2291" s="47">
        <v>2398.0</v>
      </c>
      <c r="E2291" s="47">
        <v>27550.0</v>
      </c>
      <c r="F2291" s="47">
        <v>8.0</v>
      </c>
    </row>
    <row r="2292" ht="15.75" customHeight="1">
      <c r="A2292" s="46" t="s">
        <v>4816</v>
      </c>
      <c r="B2292" s="47" t="s">
        <v>4817</v>
      </c>
      <c r="C2292" s="47">
        <v>133.0</v>
      </c>
      <c r="D2292" s="47">
        <v>147.0</v>
      </c>
      <c r="E2292" s="47">
        <v>23770.0</v>
      </c>
      <c r="F2292" s="47" t="s">
        <v>11</v>
      </c>
    </row>
    <row r="2293" ht="15.75" customHeight="1">
      <c r="A2293" s="46" t="s">
        <v>4818</v>
      </c>
      <c r="B2293" s="47" t="s">
        <v>4819</v>
      </c>
      <c r="C2293" s="47">
        <v>358.0</v>
      </c>
      <c r="D2293" s="47">
        <v>366.0</v>
      </c>
      <c r="E2293" s="47">
        <v>27570.0</v>
      </c>
      <c r="F2293" s="47" t="s">
        <v>11</v>
      </c>
    </row>
    <row r="2294" ht="15.75" customHeight="1">
      <c r="A2294" s="46" t="s">
        <v>4820</v>
      </c>
      <c r="B2294" s="47" t="s">
        <v>4821</v>
      </c>
      <c r="C2294" s="47">
        <v>5023.0</v>
      </c>
      <c r="D2294" s="47">
        <v>5283.0</v>
      </c>
      <c r="E2294" s="47">
        <v>25370.0</v>
      </c>
      <c r="F2294" s="47">
        <v>12.0</v>
      </c>
    </row>
    <row r="2295" ht="15.75" customHeight="1">
      <c r="A2295" s="46" t="s">
        <v>4822</v>
      </c>
      <c r="B2295" s="47" t="s">
        <v>4823</v>
      </c>
      <c r="C2295" s="47">
        <v>1290.0</v>
      </c>
      <c r="D2295" s="47">
        <v>1324.0</v>
      </c>
      <c r="E2295" s="47">
        <v>25520.0</v>
      </c>
      <c r="F2295" s="47" t="s">
        <v>11</v>
      </c>
    </row>
    <row r="2296" ht="15.75" customHeight="1">
      <c r="A2296" s="46" t="s">
        <v>4824</v>
      </c>
      <c r="B2296" s="47" t="s">
        <v>4825</v>
      </c>
      <c r="C2296" s="47">
        <v>158.0</v>
      </c>
      <c r="D2296" s="47">
        <v>156.0</v>
      </c>
      <c r="E2296" s="47">
        <v>24450.0</v>
      </c>
      <c r="F2296" s="47" t="s">
        <v>11</v>
      </c>
    </row>
    <row r="2297" ht="15.75" customHeight="1">
      <c r="A2297" s="46" t="s">
        <v>4826</v>
      </c>
      <c r="B2297" s="47" t="s">
        <v>4827</v>
      </c>
      <c r="C2297" s="47">
        <v>681.0</v>
      </c>
      <c r="D2297" s="47">
        <v>634.0</v>
      </c>
      <c r="E2297" s="47">
        <v>25680.0</v>
      </c>
      <c r="F2297" s="47" t="s">
        <v>11</v>
      </c>
    </row>
    <row r="2298" ht="15.75" customHeight="1">
      <c r="A2298" s="46" t="s">
        <v>4828</v>
      </c>
      <c r="B2298" s="47" t="s">
        <v>4829</v>
      </c>
      <c r="C2298" s="47">
        <v>847.0</v>
      </c>
      <c r="D2298" s="47">
        <v>868.0</v>
      </c>
      <c r="E2298" s="47">
        <v>24600.0</v>
      </c>
      <c r="F2298" s="47" t="s">
        <v>11</v>
      </c>
    </row>
    <row r="2299" ht="15.75" customHeight="1">
      <c r="A2299" s="46" t="s">
        <v>4830</v>
      </c>
      <c r="B2299" s="47" t="s">
        <v>4831</v>
      </c>
      <c r="C2299" s="47">
        <v>21831.0</v>
      </c>
      <c r="D2299" s="47">
        <v>21424.0</v>
      </c>
      <c r="E2299" s="47">
        <v>19260.0</v>
      </c>
      <c r="F2299" s="47">
        <v>31.2</v>
      </c>
    </row>
    <row r="2300" ht="15.75" customHeight="1">
      <c r="A2300" s="46" t="s">
        <v>4832</v>
      </c>
      <c r="B2300" s="47" t="s">
        <v>4833</v>
      </c>
      <c r="C2300" s="47">
        <v>418.0</v>
      </c>
      <c r="D2300" s="47">
        <v>387.0</v>
      </c>
      <c r="E2300" s="47">
        <v>25070.0</v>
      </c>
      <c r="F2300" s="47" t="s">
        <v>11</v>
      </c>
    </row>
    <row r="2301" ht="15.75" customHeight="1">
      <c r="A2301" s="46" t="s">
        <v>4834</v>
      </c>
      <c r="B2301" s="47" t="s">
        <v>4835</v>
      </c>
      <c r="C2301" s="47">
        <v>294.0</v>
      </c>
      <c r="D2301" s="47">
        <v>295.0</v>
      </c>
      <c r="E2301" s="47">
        <v>26640.0</v>
      </c>
      <c r="F2301" s="47" t="s">
        <v>11</v>
      </c>
    </row>
    <row r="2302" ht="15.75" customHeight="1">
      <c r="A2302" s="46" t="s">
        <v>4836</v>
      </c>
      <c r="B2302" s="47" t="s">
        <v>4837</v>
      </c>
      <c r="C2302" s="47">
        <v>1461.0</v>
      </c>
      <c r="D2302" s="47">
        <v>1503.0</v>
      </c>
      <c r="E2302" s="47">
        <v>23360.0</v>
      </c>
      <c r="F2302" s="47" t="s">
        <v>11</v>
      </c>
    </row>
    <row r="2303" ht="15.75" customHeight="1">
      <c r="A2303" s="46" t="s">
        <v>4838</v>
      </c>
      <c r="B2303" s="47" t="s">
        <v>4839</v>
      </c>
      <c r="C2303" s="47">
        <v>230.0</v>
      </c>
      <c r="D2303" s="47">
        <v>237.0</v>
      </c>
      <c r="E2303" s="47">
        <v>23210.0</v>
      </c>
      <c r="F2303" s="47" t="s">
        <v>11</v>
      </c>
    </row>
    <row r="2304" ht="15.75" customHeight="1">
      <c r="A2304" s="46" t="s">
        <v>4840</v>
      </c>
      <c r="B2304" s="47" t="s">
        <v>4841</v>
      </c>
      <c r="C2304" s="47">
        <v>777.0</v>
      </c>
      <c r="D2304" s="47">
        <v>753.0</v>
      </c>
      <c r="E2304" s="47">
        <v>21740.0</v>
      </c>
      <c r="F2304" s="47" t="s">
        <v>11</v>
      </c>
    </row>
    <row r="2305" ht="15.75" customHeight="1">
      <c r="A2305" s="46" t="s">
        <v>4842</v>
      </c>
      <c r="B2305" s="47" t="s">
        <v>4843</v>
      </c>
      <c r="C2305" s="47">
        <v>263.0</v>
      </c>
      <c r="D2305" s="47">
        <v>284.0</v>
      </c>
      <c r="E2305" s="47">
        <v>26760.0</v>
      </c>
      <c r="F2305" s="47" t="s">
        <v>11</v>
      </c>
    </row>
    <row r="2306" ht="15.75" customHeight="1">
      <c r="A2306" s="46" t="s">
        <v>4844</v>
      </c>
      <c r="B2306" s="47" t="s">
        <v>4845</v>
      </c>
      <c r="C2306" s="47">
        <v>236.0</v>
      </c>
      <c r="D2306" s="47">
        <v>225.0</v>
      </c>
      <c r="E2306" s="47">
        <v>27240.0</v>
      </c>
      <c r="F2306" s="47" t="s">
        <v>11</v>
      </c>
    </row>
    <row r="2307" ht="15.75" customHeight="1">
      <c r="A2307" s="46" t="s">
        <v>4846</v>
      </c>
      <c r="B2307" s="47" t="s">
        <v>4847</v>
      </c>
      <c r="C2307" s="47">
        <v>12163.0</v>
      </c>
      <c r="D2307" s="47">
        <v>12146.0</v>
      </c>
      <c r="E2307" s="47">
        <v>21580.0</v>
      </c>
      <c r="F2307" s="47">
        <v>23.0</v>
      </c>
    </row>
    <row r="2308" ht="15.75" customHeight="1">
      <c r="A2308" s="46" t="s">
        <v>4848</v>
      </c>
      <c r="B2308" s="47" t="s">
        <v>4849</v>
      </c>
      <c r="C2308" s="47">
        <v>180.0</v>
      </c>
      <c r="D2308" s="47">
        <v>172.0</v>
      </c>
      <c r="E2308" s="47">
        <v>26650.0</v>
      </c>
      <c r="F2308" s="47" t="s">
        <v>11</v>
      </c>
    </row>
    <row r="2309" ht="15.75" customHeight="1">
      <c r="A2309" s="46" t="s">
        <v>4850</v>
      </c>
      <c r="B2309" s="47" t="s">
        <v>4851</v>
      </c>
      <c r="C2309" s="47">
        <v>2865.0</v>
      </c>
      <c r="D2309" s="47">
        <v>2834.0</v>
      </c>
      <c r="E2309" s="47">
        <v>23110.0</v>
      </c>
      <c r="F2309" s="47">
        <v>14.0</v>
      </c>
    </row>
    <row r="2310" ht="15.75" customHeight="1">
      <c r="A2310" s="46" t="s">
        <v>4852</v>
      </c>
      <c r="B2310" s="47" t="s">
        <v>4853</v>
      </c>
      <c r="C2310" s="47">
        <v>126.0</v>
      </c>
      <c r="D2310" s="47">
        <v>132.0</v>
      </c>
      <c r="E2310" s="47">
        <v>25440.0</v>
      </c>
      <c r="F2310" s="47" t="s">
        <v>11</v>
      </c>
    </row>
    <row r="2311" ht="15.75" customHeight="1">
      <c r="A2311" s="46" t="s">
        <v>4854</v>
      </c>
      <c r="B2311" s="47" t="s">
        <v>4855</v>
      </c>
      <c r="C2311" s="47">
        <v>1290.0</v>
      </c>
      <c r="D2311" s="47">
        <v>1243.0</v>
      </c>
      <c r="E2311" s="47">
        <v>26900.0</v>
      </c>
      <c r="F2311" s="47" t="s">
        <v>11</v>
      </c>
    </row>
    <row r="2312" ht="15.75" customHeight="1">
      <c r="A2312" s="46" t="s">
        <v>4856</v>
      </c>
      <c r="B2312" s="47" t="s">
        <v>4857</v>
      </c>
      <c r="C2312" s="47">
        <v>749.0</v>
      </c>
      <c r="D2312" s="47">
        <v>734.0</v>
      </c>
      <c r="E2312" s="47">
        <v>23770.0</v>
      </c>
      <c r="F2312" s="47" t="s">
        <v>11</v>
      </c>
    </row>
    <row r="2313" ht="15.75" customHeight="1">
      <c r="A2313" s="46" t="s">
        <v>4858</v>
      </c>
      <c r="B2313" s="47" t="s">
        <v>4859</v>
      </c>
      <c r="C2313" s="47">
        <v>432.0</v>
      </c>
      <c r="D2313" s="47">
        <v>421.0</v>
      </c>
      <c r="E2313" s="47">
        <v>23990.0</v>
      </c>
      <c r="F2313" s="47" t="s">
        <v>11</v>
      </c>
    </row>
    <row r="2314" ht="15.75" customHeight="1">
      <c r="A2314" s="46" t="s">
        <v>4860</v>
      </c>
      <c r="B2314" s="47" t="s">
        <v>4861</v>
      </c>
      <c r="C2314" s="47">
        <v>73911.0</v>
      </c>
      <c r="D2314" s="47">
        <v>67571.0</v>
      </c>
      <c r="E2314" s="47">
        <v>20270.0</v>
      </c>
      <c r="F2314" s="47">
        <v>28.5</v>
      </c>
    </row>
    <row r="2315" ht="15.75" customHeight="1">
      <c r="A2315" s="46" t="s">
        <v>4862</v>
      </c>
      <c r="B2315" s="47" t="s">
        <v>4863</v>
      </c>
      <c r="C2315" s="47">
        <v>5454.0</v>
      </c>
      <c r="D2315" s="47">
        <v>5369.0</v>
      </c>
      <c r="E2315" s="47">
        <v>19540.0</v>
      </c>
      <c r="F2315" s="47">
        <v>29.0</v>
      </c>
    </row>
    <row r="2316" ht="15.75" customHeight="1">
      <c r="A2316" s="46" t="s">
        <v>4864</v>
      </c>
      <c r="B2316" s="47" t="s">
        <v>4865</v>
      </c>
      <c r="C2316" s="47">
        <v>1545.0</v>
      </c>
      <c r="D2316" s="47">
        <v>1595.0</v>
      </c>
      <c r="E2316" s="47">
        <v>26250.0</v>
      </c>
      <c r="F2316" s="47" t="s">
        <v>11</v>
      </c>
    </row>
    <row r="2317" ht="15.75" customHeight="1">
      <c r="A2317" s="46" t="s">
        <v>4866</v>
      </c>
      <c r="B2317" s="47" t="s">
        <v>4867</v>
      </c>
      <c r="C2317" s="47">
        <v>643.0</v>
      </c>
      <c r="D2317" s="47">
        <v>582.0</v>
      </c>
      <c r="E2317" s="47">
        <v>26000.0</v>
      </c>
      <c r="F2317" s="47" t="s">
        <v>11</v>
      </c>
    </row>
    <row r="2318" ht="15.75" customHeight="1">
      <c r="A2318" s="46" t="s">
        <v>4868</v>
      </c>
      <c r="B2318" s="47" t="s">
        <v>4869</v>
      </c>
      <c r="C2318" s="47">
        <v>1764.0</v>
      </c>
      <c r="D2318" s="47">
        <v>1762.0</v>
      </c>
      <c r="E2318" s="47">
        <v>22220.0</v>
      </c>
      <c r="F2318" s="47" t="s">
        <v>11</v>
      </c>
    </row>
    <row r="2319" ht="15.75" customHeight="1">
      <c r="A2319" s="46" t="s">
        <v>4870</v>
      </c>
      <c r="B2319" s="47" t="s">
        <v>4871</v>
      </c>
      <c r="C2319" s="47">
        <v>337.0</v>
      </c>
      <c r="D2319" s="47">
        <v>352.0</v>
      </c>
      <c r="E2319" s="47">
        <v>28600.0</v>
      </c>
      <c r="F2319" s="47" t="s">
        <v>11</v>
      </c>
    </row>
    <row r="2320" ht="15.75" customHeight="1">
      <c r="A2320" s="46" t="s">
        <v>4872</v>
      </c>
      <c r="B2320" s="47" t="s">
        <v>4873</v>
      </c>
      <c r="C2320" s="47">
        <v>650.0</v>
      </c>
      <c r="D2320" s="47">
        <v>683.0</v>
      </c>
      <c r="E2320" s="47">
        <v>27950.0</v>
      </c>
      <c r="F2320" s="47" t="s">
        <v>11</v>
      </c>
    </row>
    <row r="2321" ht="15.75" customHeight="1">
      <c r="A2321" s="46" t="s">
        <v>4874</v>
      </c>
      <c r="B2321" s="47" t="s">
        <v>4875</v>
      </c>
      <c r="C2321" s="47">
        <v>1244.0</v>
      </c>
      <c r="D2321" s="47">
        <v>1263.0</v>
      </c>
      <c r="E2321" s="47">
        <v>25680.0</v>
      </c>
      <c r="F2321" s="47" t="s">
        <v>11</v>
      </c>
    </row>
    <row r="2322" ht="15.75" customHeight="1">
      <c r="A2322" s="46" t="s">
        <v>4876</v>
      </c>
      <c r="B2322" s="47" t="s">
        <v>4877</v>
      </c>
      <c r="C2322" s="47">
        <v>2717.0</v>
      </c>
      <c r="D2322" s="47">
        <v>2582.0</v>
      </c>
      <c r="E2322" s="47">
        <v>24480.0</v>
      </c>
      <c r="F2322" s="47">
        <v>13.0</v>
      </c>
    </row>
    <row r="2323" ht="15.75" customHeight="1">
      <c r="A2323" s="46" t="s">
        <v>4878</v>
      </c>
      <c r="B2323" s="47" t="s">
        <v>4879</v>
      </c>
      <c r="C2323" s="47">
        <v>634.0</v>
      </c>
      <c r="D2323" s="47">
        <v>669.0</v>
      </c>
      <c r="E2323" s="47">
        <v>23930.0</v>
      </c>
      <c r="F2323" s="47" t="s">
        <v>11</v>
      </c>
    </row>
    <row r="2324" ht="15.75" customHeight="1">
      <c r="A2324" s="46" t="s">
        <v>4880</v>
      </c>
      <c r="B2324" s="47" t="s">
        <v>4881</v>
      </c>
      <c r="C2324" s="47">
        <v>445.0</v>
      </c>
      <c r="D2324" s="47">
        <v>407.0</v>
      </c>
      <c r="E2324" s="47">
        <v>26410.0</v>
      </c>
      <c r="F2324" s="47" t="s">
        <v>11</v>
      </c>
    </row>
    <row r="2325" ht="15.75" customHeight="1">
      <c r="A2325" s="46" t="s">
        <v>4882</v>
      </c>
      <c r="B2325" s="47" t="s">
        <v>4883</v>
      </c>
      <c r="C2325" s="47">
        <v>1920.0</v>
      </c>
      <c r="D2325" s="47">
        <v>1943.0</v>
      </c>
      <c r="E2325" s="47">
        <v>24320.0</v>
      </c>
      <c r="F2325" s="47" t="s">
        <v>11</v>
      </c>
    </row>
    <row r="2326" ht="15.75" customHeight="1">
      <c r="A2326" s="46" t="s">
        <v>4884</v>
      </c>
      <c r="B2326" s="47" t="s">
        <v>4885</v>
      </c>
      <c r="C2326" s="47">
        <v>1243.0</v>
      </c>
      <c r="D2326" s="47">
        <v>1301.0</v>
      </c>
      <c r="E2326" s="47">
        <v>26920.0</v>
      </c>
      <c r="F2326" s="47" t="s">
        <v>11</v>
      </c>
    </row>
    <row r="2327" ht="15.75" customHeight="1">
      <c r="A2327" s="46" t="s">
        <v>4886</v>
      </c>
      <c r="B2327" s="47" t="s">
        <v>4887</v>
      </c>
      <c r="C2327" s="47">
        <v>299.0</v>
      </c>
      <c r="D2327" s="47">
        <v>295.0</v>
      </c>
      <c r="E2327" s="47">
        <v>28070.0</v>
      </c>
      <c r="F2327" s="47" t="s">
        <v>11</v>
      </c>
    </row>
    <row r="2328" ht="15.75" customHeight="1">
      <c r="A2328" s="46" t="s">
        <v>4888</v>
      </c>
      <c r="B2328" s="47" t="s">
        <v>4889</v>
      </c>
      <c r="C2328" s="47">
        <v>552.0</v>
      </c>
      <c r="D2328" s="47">
        <v>521.0</v>
      </c>
      <c r="E2328" s="47">
        <v>28880.0</v>
      </c>
      <c r="F2328" s="47" t="s">
        <v>11</v>
      </c>
    </row>
    <row r="2329" ht="15.75" customHeight="1">
      <c r="A2329" s="46" t="s">
        <v>4890</v>
      </c>
      <c r="B2329" s="47" t="s">
        <v>4891</v>
      </c>
      <c r="C2329" s="47">
        <v>70.0</v>
      </c>
      <c r="D2329" s="47">
        <v>66.0</v>
      </c>
      <c r="E2329" s="47" t="s">
        <v>11</v>
      </c>
      <c r="F2329" s="47" t="s">
        <v>11</v>
      </c>
    </row>
    <row r="2330" ht="15.75" customHeight="1">
      <c r="A2330" s="46" t="s">
        <v>4892</v>
      </c>
      <c r="B2330" s="47" t="s">
        <v>4893</v>
      </c>
      <c r="C2330" s="47">
        <v>159.0</v>
      </c>
      <c r="D2330" s="47">
        <v>168.0</v>
      </c>
      <c r="E2330" s="47">
        <v>23030.0</v>
      </c>
      <c r="F2330" s="47" t="s">
        <v>11</v>
      </c>
    </row>
    <row r="2331" ht="15.75" customHeight="1">
      <c r="A2331" s="46" t="s">
        <v>4894</v>
      </c>
      <c r="B2331" s="47" t="s">
        <v>4895</v>
      </c>
      <c r="C2331" s="47">
        <v>217.0</v>
      </c>
      <c r="D2331" s="47">
        <v>223.0</v>
      </c>
      <c r="E2331" s="47">
        <v>28670.0</v>
      </c>
      <c r="F2331" s="47" t="s">
        <v>11</v>
      </c>
    </row>
    <row r="2332" ht="15.75" customHeight="1">
      <c r="A2332" s="46" t="s">
        <v>4896</v>
      </c>
      <c r="B2332" s="47" t="s">
        <v>4897</v>
      </c>
      <c r="C2332" s="47">
        <v>485.0</v>
      </c>
      <c r="D2332" s="47">
        <v>474.0</v>
      </c>
      <c r="E2332" s="47">
        <v>24530.0</v>
      </c>
      <c r="F2332" s="47" t="s">
        <v>11</v>
      </c>
    </row>
    <row r="2333" ht="15.75" customHeight="1">
      <c r="A2333" s="46" t="s">
        <v>4898</v>
      </c>
      <c r="B2333" s="47" t="s">
        <v>4899</v>
      </c>
      <c r="C2333" s="47">
        <v>750.0</v>
      </c>
      <c r="D2333" s="47">
        <v>819.0</v>
      </c>
      <c r="E2333" s="47">
        <v>30950.0</v>
      </c>
      <c r="F2333" s="47" t="s">
        <v>11</v>
      </c>
    </row>
    <row r="2334" ht="15.75" customHeight="1">
      <c r="A2334" s="46" t="s">
        <v>4900</v>
      </c>
      <c r="B2334" s="47" t="s">
        <v>4901</v>
      </c>
      <c r="C2334" s="47">
        <v>551.0</v>
      </c>
      <c r="D2334" s="47">
        <v>638.0</v>
      </c>
      <c r="E2334" s="47">
        <v>28500.0</v>
      </c>
      <c r="F2334" s="47" t="s">
        <v>11</v>
      </c>
    </row>
    <row r="2335" ht="15.75" customHeight="1">
      <c r="A2335" s="46" t="s">
        <v>4902</v>
      </c>
      <c r="B2335" s="47" t="s">
        <v>4903</v>
      </c>
      <c r="C2335" s="47">
        <v>17124.0</v>
      </c>
      <c r="D2335" s="47">
        <v>17909.0</v>
      </c>
      <c r="E2335" s="47">
        <v>22510.0</v>
      </c>
      <c r="F2335" s="47">
        <v>21.0</v>
      </c>
    </row>
    <row r="2336" ht="15.75" customHeight="1">
      <c r="A2336" s="46" t="s">
        <v>4904</v>
      </c>
      <c r="B2336" s="47" t="s">
        <v>4905</v>
      </c>
      <c r="C2336" s="47">
        <v>211.0</v>
      </c>
      <c r="D2336" s="47">
        <v>211.0</v>
      </c>
      <c r="E2336" s="47">
        <v>25440.0</v>
      </c>
      <c r="F2336" s="47" t="s">
        <v>11</v>
      </c>
    </row>
    <row r="2337" ht="15.75" customHeight="1">
      <c r="A2337" s="46" t="s">
        <v>4906</v>
      </c>
      <c r="B2337" s="47" t="s">
        <v>4907</v>
      </c>
      <c r="C2337" s="47">
        <v>2814.0</v>
      </c>
      <c r="D2337" s="47">
        <v>2593.0</v>
      </c>
      <c r="E2337" s="47">
        <v>21890.0</v>
      </c>
      <c r="F2337" s="47">
        <v>20.0</v>
      </c>
    </row>
    <row r="2338" ht="15.75" customHeight="1">
      <c r="A2338" s="46" t="s">
        <v>4908</v>
      </c>
      <c r="B2338" s="47" t="s">
        <v>4909</v>
      </c>
      <c r="C2338" s="47">
        <v>346.0</v>
      </c>
      <c r="D2338" s="47">
        <v>331.0</v>
      </c>
      <c r="E2338" s="47">
        <v>26440.0</v>
      </c>
      <c r="F2338" s="47" t="s">
        <v>11</v>
      </c>
    </row>
    <row r="2339" ht="15.75" customHeight="1">
      <c r="A2339" s="46" t="s">
        <v>4910</v>
      </c>
      <c r="B2339" s="47" t="s">
        <v>516</v>
      </c>
      <c r="C2339" s="47">
        <v>162.0</v>
      </c>
      <c r="D2339" s="47">
        <v>150.0</v>
      </c>
      <c r="E2339" s="47">
        <v>26700.0</v>
      </c>
      <c r="F2339" s="47" t="s">
        <v>11</v>
      </c>
    </row>
    <row r="2340" ht="15.75" customHeight="1">
      <c r="A2340" s="46" t="s">
        <v>4911</v>
      </c>
      <c r="B2340" s="47" t="s">
        <v>4912</v>
      </c>
      <c r="C2340" s="47">
        <v>457.0</v>
      </c>
      <c r="D2340" s="47">
        <v>423.0</v>
      </c>
      <c r="E2340" s="47">
        <v>23510.0</v>
      </c>
      <c r="F2340" s="47" t="s">
        <v>11</v>
      </c>
    </row>
    <row r="2341" ht="15.75" customHeight="1">
      <c r="A2341" s="46" t="s">
        <v>4913</v>
      </c>
      <c r="B2341" s="47" t="s">
        <v>4914</v>
      </c>
      <c r="C2341" s="47">
        <v>259.0</v>
      </c>
      <c r="D2341" s="47">
        <v>247.0</v>
      </c>
      <c r="E2341" s="47">
        <v>27000.0</v>
      </c>
      <c r="F2341" s="47" t="s">
        <v>11</v>
      </c>
    </row>
    <row r="2342" ht="15.75" customHeight="1">
      <c r="A2342" s="46" t="s">
        <v>4915</v>
      </c>
      <c r="B2342" s="47" t="s">
        <v>4916</v>
      </c>
      <c r="C2342" s="47">
        <v>155.0</v>
      </c>
      <c r="D2342" s="47">
        <v>174.0</v>
      </c>
      <c r="E2342" s="47">
        <v>22970.0</v>
      </c>
      <c r="F2342" s="47" t="s">
        <v>11</v>
      </c>
    </row>
    <row r="2343" ht="15.75" customHeight="1">
      <c r="A2343" s="46" t="s">
        <v>4917</v>
      </c>
      <c r="B2343" s="47" t="s">
        <v>4918</v>
      </c>
      <c r="C2343" s="47">
        <v>293.0</v>
      </c>
      <c r="D2343" s="47">
        <v>293.0</v>
      </c>
      <c r="E2343" s="47">
        <v>29570.0</v>
      </c>
      <c r="F2343" s="47" t="s">
        <v>11</v>
      </c>
    </row>
    <row r="2344" ht="15.75" customHeight="1">
      <c r="A2344" s="46" t="s">
        <v>4919</v>
      </c>
      <c r="B2344" s="47" t="s">
        <v>4920</v>
      </c>
      <c r="C2344" s="47">
        <v>2881.0</v>
      </c>
      <c r="D2344" s="47">
        <v>2785.0</v>
      </c>
      <c r="E2344" s="47">
        <v>22840.0</v>
      </c>
      <c r="F2344" s="47">
        <v>16.0</v>
      </c>
    </row>
    <row r="2345" ht="15.75" customHeight="1">
      <c r="A2345" s="46" t="s">
        <v>4921</v>
      </c>
      <c r="B2345" s="47" t="s">
        <v>4922</v>
      </c>
      <c r="C2345" s="47">
        <v>624.0</v>
      </c>
      <c r="D2345" s="47">
        <v>593.0</v>
      </c>
      <c r="E2345" s="47">
        <v>26410.0</v>
      </c>
      <c r="F2345" s="47" t="s">
        <v>11</v>
      </c>
    </row>
    <row r="2346" ht="15.75" customHeight="1">
      <c r="A2346" s="46" t="s">
        <v>4923</v>
      </c>
      <c r="B2346" s="47" t="s">
        <v>4924</v>
      </c>
      <c r="C2346" s="47">
        <v>195.0</v>
      </c>
      <c r="D2346" s="47">
        <v>186.0</v>
      </c>
      <c r="E2346" s="47">
        <v>26160.0</v>
      </c>
      <c r="F2346" s="47" t="s">
        <v>11</v>
      </c>
    </row>
    <row r="2347" ht="15.75" customHeight="1">
      <c r="A2347" s="46" t="s">
        <v>4925</v>
      </c>
      <c r="B2347" s="47" t="s">
        <v>4926</v>
      </c>
      <c r="C2347" s="47">
        <v>327.0</v>
      </c>
      <c r="D2347" s="47">
        <v>312.0</v>
      </c>
      <c r="E2347" s="47">
        <v>24040.0</v>
      </c>
      <c r="F2347" s="47" t="s">
        <v>11</v>
      </c>
    </row>
    <row r="2348" ht="15.75" customHeight="1">
      <c r="A2348" s="46" t="s">
        <v>4927</v>
      </c>
      <c r="B2348" s="47" t="s">
        <v>4928</v>
      </c>
      <c r="C2348" s="47">
        <v>772.0</v>
      </c>
      <c r="D2348" s="47">
        <v>805.0</v>
      </c>
      <c r="E2348" s="47">
        <v>25740.0</v>
      </c>
      <c r="F2348" s="47" t="s">
        <v>11</v>
      </c>
    </row>
    <row r="2349" ht="15.75" customHeight="1">
      <c r="A2349" s="46" t="s">
        <v>4929</v>
      </c>
      <c r="B2349" s="47" t="s">
        <v>4930</v>
      </c>
      <c r="C2349" s="47">
        <v>942.0</v>
      </c>
      <c r="D2349" s="47">
        <v>907.0</v>
      </c>
      <c r="E2349" s="47">
        <v>26060.0</v>
      </c>
      <c r="F2349" s="47" t="s">
        <v>11</v>
      </c>
    </row>
    <row r="2350" ht="15.75" customHeight="1">
      <c r="A2350" s="46" t="s">
        <v>4931</v>
      </c>
      <c r="B2350" s="47" t="s">
        <v>4932</v>
      </c>
      <c r="C2350" s="47">
        <v>137.0</v>
      </c>
      <c r="D2350" s="47">
        <v>132.0</v>
      </c>
      <c r="E2350" s="47">
        <v>27450.0</v>
      </c>
      <c r="F2350" s="47" t="s">
        <v>11</v>
      </c>
    </row>
    <row r="2351" ht="15.75" customHeight="1">
      <c r="A2351" s="46" t="s">
        <v>4933</v>
      </c>
      <c r="B2351" s="47" t="s">
        <v>4934</v>
      </c>
      <c r="C2351" s="47">
        <v>935.0</v>
      </c>
      <c r="D2351" s="47">
        <v>879.0</v>
      </c>
      <c r="E2351" s="47">
        <v>26350.0</v>
      </c>
      <c r="F2351" s="47" t="s">
        <v>11</v>
      </c>
    </row>
    <row r="2352" ht="15.75" customHeight="1">
      <c r="A2352" s="46" t="s">
        <v>4935</v>
      </c>
      <c r="B2352" s="47" t="s">
        <v>4936</v>
      </c>
      <c r="C2352" s="47">
        <v>1135.0</v>
      </c>
      <c r="D2352" s="47">
        <v>1073.0</v>
      </c>
      <c r="E2352" s="47">
        <v>25680.0</v>
      </c>
      <c r="F2352" s="47" t="s">
        <v>11</v>
      </c>
    </row>
    <row r="2353" ht="15.75" customHeight="1">
      <c r="A2353" s="46" t="s">
        <v>4937</v>
      </c>
      <c r="B2353" s="47" t="s">
        <v>4938</v>
      </c>
      <c r="C2353" s="47">
        <v>216.0</v>
      </c>
      <c r="D2353" s="47">
        <v>222.0</v>
      </c>
      <c r="E2353" s="47">
        <v>24600.0</v>
      </c>
      <c r="F2353" s="47" t="s">
        <v>11</v>
      </c>
    </row>
    <row r="2354" ht="15.75" customHeight="1">
      <c r="A2354" s="46" t="s">
        <v>4939</v>
      </c>
      <c r="B2354" s="47" t="s">
        <v>4940</v>
      </c>
      <c r="C2354" s="47">
        <v>2506.0</v>
      </c>
      <c r="D2354" s="47">
        <v>2443.0</v>
      </c>
      <c r="E2354" s="47">
        <v>31840.0</v>
      </c>
      <c r="F2354" s="47">
        <v>8.0</v>
      </c>
    </row>
    <row r="2355" ht="15.75" customHeight="1">
      <c r="A2355" s="46" t="s">
        <v>4941</v>
      </c>
      <c r="B2355" s="47" t="s">
        <v>4942</v>
      </c>
      <c r="C2355" s="47">
        <v>331.0</v>
      </c>
      <c r="D2355" s="47">
        <v>354.0</v>
      </c>
      <c r="E2355" s="47">
        <v>24610.0</v>
      </c>
      <c r="F2355" s="47" t="s">
        <v>11</v>
      </c>
    </row>
    <row r="2356" ht="15.75" customHeight="1">
      <c r="A2356" s="46" t="s">
        <v>4943</v>
      </c>
      <c r="B2356" s="47" t="s">
        <v>4944</v>
      </c>
      <c r="C2356" s="47">
        <v>478.0</v>
      </c>
      <c r="D2356" s="47">
        <v>572.0</v>
      </c>
      <c r="E2356" s="47">
        <v>28320.0</v>
      </c>
      <c r="F2356" s="47" t="s">
        <v>11</v>
      </c>
    </row>
    <row r="2357" ht="15.75" customHeight="1">
      <c r="A2357" s="46" t="s">
        <v>4945</v>
      </c>
      <c r="B2357" s="47" t="s">
        <v>4946</v>
      </c>
      <c r="C2357" s="47">
        <v>91.0</v>
      </c>
      <c r="D2357" s="47">
        <v>83.0</v>
      </c>
      <c r="E2357" s="47" t="s">
        <v>11</v>
      </c>
      <c r="F2357" s="47" t="s">
        <v>11</v>
      </c>
    </row>
    <row r="2358" ht="15.75" customHeight="1">
      <c r="A2358" s="46" t="s">
        <v>4947</v>
      </c>
      <c r="B2358" s="47" t="s">
        <v>4948</v>
      </c>
      <c r="C2358" s="47">
        <v>2611.0</v>
      </c>
      <c r="D2358" s="47">
        <v>2638.0</v>
      </c>
      <c r="E2358" s="47">
        <v>27340.0</v>
      </c>
      <c r="F2358" s="47">
        <v>11.0</v>
      </c>
    </row>
    <row r="2359" ht="15.75" customHeight="1">
      <c r="A2359" s="46" t="s">
        <v>4949</v>
      </c>
      <c r="B2359" s="47" t="s">
        <v>4950</v>
      </c>
      <c r="C2359" s="47">
        <v>2366.0</v>
      </c>
      <c r="D2359" s="47">
        <v>2258.0</v>
      </c>
      <c r="E2359" s="47">
        <v>24720.0</v>
      </c>
      <c r="F2359" s="47">
        <v>11.0</v>
      </c>
    </row>
    <row r="2360" ht="15.75" customHeight="1">
      <c r="A2360" s="46" t="s">
        <v>4951</v>
      </c>
      <c r="B2360" s="47" t="s">
        <v>4952</v>
      </c>
      <c r="C2360" s="47">
        <v>319.0</v>
      </c>
      <c r="D2360" s="47">
        <v>309.0</v>
      </c>
      <c r="E2360" s="47">
        <v>26700.0</v>
      </c>
      <c r="F2360" s="47" t="s">
        <v>11</v>
      </c>
    </row>
    <row r="2361" ht="15.75" customHeight="1">
      <c r="A2361" s="46" t="s">
        <v>4953</v>
      </c>
      <c r="B2361" s="47" t="s">
        <v>4954</v>
      </c>
      <c r="C2361" s="47">
        <v>113.0</v>
      </c>
      <c r="D2361" s="47">
        <v>76.0</v>
      </c>
      <c r="E2361" s="47" t="s">
        <v>11</v>
      </c>
      <c r="F2361" s="47" t="s">
        <v>11</v>
      </c>
    </row>
    <row r="2362" ht="15.75" customHeight="1">
      <c r="A2362" s="46" t="s">
        <v>4955</v>
      </c>
      <c r="B2362" s="47" t="s">
        <v>4956</v>
      </c>
      <c r="C2362" s="47">
        <v>122.0</v>
      </c>
      <c r="D2362" s="47">
        <v>111.0</v>
      </c>
      <c r="E2362" s="47">
        <v>23890.0</v>
      </c>
      <c r="F2362" s="47" t="s">
        <v>11</v>
      </c>
    </row>
    <row r="2363" ht="15.75" customHeight="1">
      <c r="A2363" s="46" t="s">
        <v>4957</v>
      </c>
      <c r="B2363" s="47" t="s">
        <v>4958</v>
      </c>
      <c r="C2363" s="47">
        <v>5372.0</v>
      </c>
      <c r="D2363" s="47">
        <v>5438.0</v>
      </c>
      <c r="E2363" s="47">
        <v>25180.0</v>
      </c>
      <c r="F2363" s="47">
        <v>11.0</v>
      </c>
    </row>
    <row r="2364" ht="15.75" customHeight="1">
      <c r="A2364" s="46" t="s">
        <v>4959</v>
      </c>
      <c r="B2364" s="47" t="s">
        <v>4960</v>
      </c>
      <c r="C2364" s="47">
        <v>737.0</v>
      </c>
      <c r="D2364" s="47">
        <v>770.0</v>
      </c>
      <c r="E2364" s="47">
        <v>24370.0</v>
      </c>
      <c r="F2364" s="47" t="s">
        <v>11</v>
      </c>
    </row>
    <row r="2365" ht="15.75" customHeight="1">
      <c r="A2365" s="46" t="s">
        <v>4961</v>
      </c>
      <c r="B2365" s="47" t="s">
        <v>4962</v>
      </c>
      <c r="C2365" s="47">
        <v>161.0</v>
      </c>
      <c r="D2365" s="47">
        <v>146.0</v>
      </c>
      <c r="E2365" s="47">
        <v>22640.0</v>
      </c>
      <c r="F2365" s="47" t="s">
        <v>11</v>
      </c>
    </row>
    <row r="2366" ht="15.75" customHeight="1">
      <c r="A2366" s="46" t="s">
        <v>4963</v>
      </c>
      <c r="B2366" s="47" t="s">
        <v>4964</v>
      </c>
      <c r="C2366" s="47">
        <v>601.0</v>
      </c>
      <c r="D2366" s="47">
        <v>550.0</v>
      </c>
      <c r="E2366" s="47">
        <v>24420.0</v>
      </c>
      <c r="F2366" s="47" t="s">
        <v>11</v>
      </c>
    </row>
    <row r="2367" ht="15.75" customHeight="1">
      <c r="A2367" s="46" t="s">
        <v>4965</v>
      </c>
      <c r="B2367" s="47" t="s">
        <v>4966</v>
      </c>
      <c r="C2367" s="47">
        <v>461.0</v>
      </c>
      <c r="D2367" s="47">
        <v>479.0</v>
      </c>
      <c r="E2367" s="47">
        <v>25460.0</v>
      </c>
      <c r="F2367" s="47" t="s">
        <v>11</v>
      </c>
    </row>
    <row r="2368" ht="15.75" customHeight="1">
      <c r="A2368" s="46" t="s">
        <v>4967</v>
      </c>
      <c r="B2368" s="47" t="s">
        <v>4968</v>
      </c>
      <c r="C2368" s="47">
        <v>7774.0</v>
      </c>
      <c r="D2368" s="47">
        <v>7830.0</v>
      </c>
      <c r="E2368" s="47">
        <v>21300.0</v>
      </c>
      <c r="F2368" s="47">
        <v>23.0</v>
      </c>
    </row>
    <row r="2369" ht="15.75" customHeight="1">
      <c r="A2369" s="46" t="s">
        <v>4969</v>
      </c>
      <c r="B2369" s="47" t="s">
        <v>4970</v>
      </c>
      <c r="C2369" s="47">
        <v>10512.0</v>
      </c>
      <c r="D2369" s="47">
        <v>10176.0</v>
      </c>
      <c r="E2369" s="47">
        <v>22980.0</v>
      </c>
      <c r="F2369" s="47">
        <v>19.0</v>
      </c>
    </row>
    <row r="2370" ht="15.75" customHeight="1">
      <c r="A2370" s="46" t="s">
        <v>4971</v>
      </c>
      <c r="B2370" s="47" t="s">
        <v>4972</v>
      </c>
      <c r="C2370" s="47">
        <v>515.0</v>
      </c>
      <c r="D2370" s="47">
        <v>505.0</v>
      </c>
      <c r="E2370" s="47">
        <v>24260.0</v>
      </c>
      <c r="F2370" s="47" t="s">
        <v>11</v>
      </c>
    </row>
    <row r="2371" ht="15.75" customHeight="1">
      <c r="A2371" s="46" t="s">
        <v>4973</v>
      </c>
      <c r="B2371" s="47" t="s">
        <v>4974</v>
      </c>
      <c r="C2371" s="47">
        <v>2764.0</v>
      </c>
      <c r="D2371" s="47">
        <v>2590.0</v>
      </c>
      <c r="E2371" s="47">
        <v>27960.0</v>
      </c>
      <c r="F2371" s="47">
        <v>8.0</v>
      </c>
    </row>
    <row r="2372" ht="15.75" customHeight="1">
      <c r="A2372" s="46" t="s">
        <v>4975</v>
      </c>
      <c r="B2372" s="47" t="s">
        <v>4976</v>
      </c>
      <c r="C2372" s="47">
        <v>65.0</v>
      </c>
      <c r="D2372" s="47">
        <v>76.0</v>
      </c>
      <c r="E2372" s="47" t="s">
        <v>11</v>
      </c>
      <c r="F2372" s="47" t="s">
        <v>11</v>
      </c>
    </row>
    <row r="2373" ht="15.75" customHeight="1">
      <c r="A2373" s="46" t="s">
        <v>4977</v>
      </c>
      <c r="B2373" s="47" t="s">
        <v>4978</v>
      </c>
      <c r="C2373" s="47">
        <v>606.0</v>
      </c>
      <c r="D2373" s="47">
        <v>597.0</v>
      </c>
      <c r="E2373" s="47">
        <v>23310.0</v>
      </c>
      <c r="F2373" s="47" t="s">
        <v>11</v>
      </c>
    </row>
    <row r="2374" ht="15.75" customHeight="1">
      <c r="A2374" s="46" t="s">
        <v>4979</v>
      </c>
      <c r="B2374" s="47" t="s">
        <v>4980</v>
      </c>
      <c r="C2374" s="47">
        <v>786.0</v>
      </c>
      <c r="D2374" s="47">
        <v>815.0</v>
      </c>
      <c r="E2374" s="47">
        <v>26700.0</v>
      </c>
      <c r="F2374" s="47" t="s">
        <v>11</v>
      </c>
    </row>
    <row r="2375" ht="15.75" customHeight="1">
      <c r="A2375" s="46" t="s">
        <v>4981</v>
      </c>
      <c r="B2375" s="47" t="s">
        <v>709</v>
      </c>
      <c r="C2375" s="47">
        <v>149.0</v>
      </c>
      <c r="D2375" s="47">
        <v>159.0</v>
      </c>
      <c r="E2375" s="47">
        <v>23570.0</v>
      </c>
      <c r="F2375" s="47" t="s">
        <v>11</v>
      </c>
    </row>
    <row r="2376" ht="15.75" customHeight="1">
      <c r="A2376" s="46" t="s">
        <v>4982</v>
      </c>
      <c r="B2376" s="47" t="s">
        <v>4983</v>
      </c>
      <c r="C2376" s="47">
        <v>485.0</v>
      </c>
      <c r="D2376" s="47">
        <v>463.0</v>
      </c>
      <c r="E2376" s="47">
        <v>23170.0</v>
      </c>
      <c r="F2376" s="47" t="s">
        <v>11</v>
      </c>
    </row>
    <row r="2377" ht="15.75" customHeight="1">
      <c r="A2377" s="46" t="s">
        <v>4984</v>
      </c>
      <c r="B2377" s="47" t="s">
        <v>4985</v>
      </c>
      <c r="C2377" s="47">
        <v>278.0</v>
      </c>
      <c r="D2377" s="47">
        <v>318.0</v>
      </c>
      <c r="E2377" s="47">
        <v>26550.0</v>
      </c>
      <c r="F2377" s="47" t="s">
        <v>11</v>
      </c>
    </row>
    <row r="2378" ht="15.75" customHeight="1">
      <c r="A2378" s="46" t="s">
        <v>4986</v>
      </c>
      <c r="B2378" s="47" t="s">
        <v>4987</v>
      </c>
      <c r="C2378" s="47">
        <v>1929.0</v>
      </c>
      <c r="D2378" s="47">
        <v>1939.0</v>
      </c>
      <c r="E2378" s="47">
        <v>23940.0</v>
      </c>
      <c r="F2378" s="47" t="s">
        <v>11</v>
      </c>
    </row>
    <row r="2379" ht="15.75" customHeight="1">
      <c r="A2379" s="46" t="s">
        <v>4988</v>
      </c>
      <c r="B2379" s="47" t="s">
        <v>4989</v>
      </c>
      <c r="C2379" s="47">
        <v>322.0</v>
      </c>
      <c r="D2379" s="47">
        <v>333.0</v>
      </c>
      <c r="E2379" s="47">
        <v>24450.0</v>
      </c>
      <c r="F2379" s="47" t="s">
        <v>11</v>
      </c>
    </row>
    <row r="2380" ht="15.75" customHeight="1">
      <c r="A2380" s="46" t="s">
        <v>4990</v>
      </c>
      <c r="B2380" s="47" t="s">
        <v>4991</v>
      </c>
      <c r="C2380" s="47">
        <v>5121.0</v>
      </c>
      <c r="D2380" s="47">
        <v>5129.0</v>
      </c>
      <c r="E2380" s="47">
        <v>27070.0</v>
      </c>
      <c r="F2380" s="47">
        <v>12.0</v>
      </c>
    </row>
    <row r="2381" ht="15.75" customHeight="1">
      <c r="A2381" s="46" t="s">
        <v>4992</v>
      </c>
      <c r="B2381" s="47" t="s">
        <v>4993</v>
      </c>
      <c r="C2381" s="47">
        <v>1741.0</v>
      </c>
      <c r="D2381" s="47">
        <v>1784.0</v>
      </c>
      <c r="E2381" s="47">
        <v>25790.0</v>
      </c>
      <c r="F2381" s="47" t="s">
        <v>11</v>
      </c>
    </row>
    <row r="2382" ht="15.75" customHeight="1">
      <c r="A2382" s="46" t="s">
        <v>4994</v>
      </c>
      <c r="B2382" s="47" t="s">
        <v>4995</v>
      </c>
      <c r="C2382" s="47">
        <v>5646.0</v>
      </c>
      <c r="D2382" s="47">
        <v>5683.0</v>
      </c>
      <c r="E2382" s="47">
        <v>27890.0</v>
      </c>
      <c r="F2382" s="47">
        <v>9.0</v>
      </c>
    </row>
    <row r="2383" ht="15.75" customHeight="1">
      <c r="A2383" s="46" t="s">
        <v>4996</v>
      </c>
      <c r="B2383" s="47" t="s">
        <v>4997</v>
      </c>
      <c r="C2383" s="47">
        <v>1316.0</v>
      </c>
      <c r="D2383" s="47">
        <v>1311.0</v>
      </c>
      <c r="E2383" s="47">
        <v>22350.0</v>
      </c>
      <c r="F2383" s="47" t="s">
        <v>11</v>
      </c>
    </row>
    <row r="2384" ht="15.75" customHeight="1">
      <c r="A2384" s="46" t="s">
        <v>4998</v>
      </c>
      <c r="B2384" s="47" t="s">
        <v>4999</v>
      </c>
      <c r="C2384" s="47">
        <v>1178.0</v>
      </c>
      <c r="D2384" s="47">
        <v>1124.0</v>
      </c>
      <c r="E2384" s="47">
        <v>25090.0</v>
      </c>
      <c r="F2384" s="47" t="s">
        <v>11</v>
      </c>
    </row>
    <row r="2385" ht="15.75" customHeight="1">
      <c r="A2385" s="46" t="s">
        <v>5000</v>
      </c>
      <c r="B2385" s="47" t="s">
        <v>5001</v>
      </c>
      <c r="C2385" s="47">
        <v>86.0</v>
      </c>
      <c r="D2385" s="47">
        <v>94.0</v>
      </c>
      <c r="E2385" s="47" t="s">
        <v>11</v>
      </c>
      <c r="F2385" s="47" t="s">
        <v>11</v>
      </c>
    </row>
    <row r="2386" ht="15.75" customHeight="1">
      <c r="A2386" s="46" t="s">
        <v>5002</v>
      </c>
      <c r="B2386" s="47" t="s">
        <v>5003</v>
      </c>
      <c r="C2386" s="47">
        <v>389.0</v>
      </c>
      <c r="D2386" s="47">
        <v>391.0</v>
      </c>
      <c r="E2386" s="47">
        <v>22980.0</v>
      </c>
      <c r="F2386" s="47" t="s">
        <v>11</v>
      </c>
    </row>
    <row r="2387" ht="15.75" customHeight="1">
      <c r="A2387" s="46" t="s">
        <v>5004</v>
      </c>
      <c r="B2387" s="47" t="s">
        <v>5005</v>
      </c>
      <c r="C2387" s="47">
        <v>4985.0</v>
      </c>
      <c r="D2387" s="47">
        <v>4829.0</v>
      </c>
      <c r="E2387" s="47">
        <v>20700.0</v>
      </c>
      <c r="F2387" s="47">
        <v>25.0</v>
      </c>
    </row>
    <row r="2388" ht="15.75" customHeight="1">
      <c r="A2388" s="46" t="s">
        <v>5006</v>
      </c>
      <c r="B2388" s="47" t="s">
        <v>5007</v>
      </c>
      <c r="C2388" s="47">
        <v>750.0</v>
      </c>
      <c r="D2388" s="47">
        <v>709.0</v>
      </c>
      <c r="E2388" s="47">
        <v>24650.0</v>
      </c>
      <c r="F2388" s="47" t="s">
        <v>11</v>
      </c>
    </row>
    <row r="2389" ht="15.75" customHeight="1">
      <c r="A2389" s="46" t="s">
        <v>5008</v>
      </c>
      <c r="B2389" s="47" t="s">
        <v>5009</v>
      </c>
      <c r="C2389" s="47">
        <v>6978.0</v>
      </c>
      <c r="D2389" s="47">
        <v>6766.0</v>
      </c>
      <c r="E2389" s="47">
        <v>19620.0</v>
      </c>
      <c r="F2389" s="47">
        <v>30.0</v>
      </c>
    </row>
    <row r="2390" ht="15.75" customHeight="1">
      <c r="A2390" s="46" t="s">
        <v>5010</v>
      </c>
      <c r="B2390" s="47" t="s">
        <v>5011</v>
      </c>
      <c r="C2390" s="47">
        <v>828.0</v>
      </c>
      <c r="D2390" s="47">
        <v>826.0</v>
      </c>
      <c r="E2390" s="47">
        <v>25690.0</v>
      </c>
      <c r="F2390" s="47" t="s">
        <v>11</v>
      </c>
    </row>
    <row r="2391" ht="15.75" customHeight="1">
      <c r="A2391" s="46" t="s">
        <v>5012</v>
      </c>
      <c r="B2391" s="47" t="s">
        <v>5013</v>
      </c>
      <c r="C2391" s="47">
        <v>308.0</v>
      </c>
      <c r="D2391" s="47">
        <v>286.0</v>
      </c>
      <c r="E2391" s="47">
        <v>26840.0</v>
      </c>
      <c r="F2391" s="47" t="s">
        <v>11</v>
      </c>
    </row>
    <row r="2392" ht="15.75" customHeight="1">
      <c r="A2392" s="46" t="s">
        <v>5014</v>
      </c>
      <c r="B2392" s="47" t="s">
        <v>5015</v>
      </c>
      <c r="C2392" s="47">
        <v>600.0</v>
      </c>
      <c r="D2392" s="47">
        <v>593.0</v>
      </c>
      <c r="E2392" s="47">
        <v>24760.0</v>
      </c>
      <c r="F2392" s="47" t="s">
        <v>11</v>
      </c>
    </row>
    <row r="2393" ht="15.75" customHeight="1">
      <c r="A2393" s="46" t="s">
        <v>5016</v>
      </c>
      <c r="B2393" s="47" t="s">
        <v>5017</v>
      </c>
      <c r="C2393" s="47">
        <v>5891.0</v>
      </c>
      <c r="D2393" s="47">
        <v>6139.0</v>
      </c>
      <c r="E2393" s="47">
        <v>23290.0</v>
      </c>
      <c r="F2393" s="47">
        <v>17.0</v>
      </c>
    </row>
    <row r="2394" ht="15.75" customHeight="1">
      <c r="A2394" s="46" t="s">
        <v>5018</v>
      </c>
      <c r="B2394" s="47" t="s">
        <v>5019</v>
      </c>
      <c r="C2394" s="47">
        <v>326.0</v>
      </c>
      <c r="D2394" s="47">
        <v>296.0</v>
      </c>
      <c r="E2394" s="47">
        <v>24590.0</v>
      </c>
      <c r="F2394" s="47" t="s">
        <v>11</v>
      </c>
    </row>
    <row r="2395" ht="15.75" customHeight="1">
      <c r="A2395" s="46" t="s">
        <v>5020</v>
      </c>
      <c r="B2395" s="47" t="s">
        <v>5021</v>
      </c>
      <c r="C2395" s="47">
        <v>5407.0</v>
      </c>
      <c r="D2395" s="47">
        <v>5867.0</v>
      </c>
      <c r="E2395" s="47">
        <v>24330.0</v>
      </c>
      <c r="F2395" s="47">
        <v>14.0</v>
      </c>
    </row>
    <row r="2396" ht="15.75" customHeight="1">
      <c r="A2396" s="46" t="s">
        <v>5022</v>
      </c>
      <c r="B2396" s="47" t="s">
        <v>5023</v>
      </c>
      <c r="C2396" s="47">
        <v>2936.0</v>
      </c>
      <c r="D2396" s="47">
        <v>2939.0</v>
      </c>
      <c r="E2396" s="47">
        <v>22970.0</v>
      </c>
      <c r="F2396" s="47">
        <v>17.0</v>
      </c>
    </row>
    <row r="2397" ht="15.75" customHeight="1">
      <c r="A2397" s="46" t="s">
        <v>5024</v>
      </c>
      <c r="B2397" s="47" t="s">
        <v>5025</v>
      </c>
      <c r="C2397" s="47">
        <v>594.0</v>
      </c>
      <c r="D2397" s="47">
        <v>622.0</v>
      </c>
      <c r="E2397" s="47">
        <v>29310.0</v>
      </c>
      <c r="F2397" s="47" t="s">
        <v>11</v>
      </c>
    </row>
    <row r="2398" ht="15.75" customHeight="1">
      <c r="A2398" s="46" t="s">
        <v>5026</v>
      </c>
      <c r="B2398" s="47" t="s">
        <v>5027</v>
      </c>
      <c r="C2398" s="47">
        <v>1309.0</v>
      </c>
      <c r="D2398" s="47">
        <v>1399.0</v>
      </c>
      <c r="E2398" s="47">
        <v>32440.0</v>
      </c>
      <c r="F2398" s="47" t="s">
        <v>11</v>
      </c>
    </row>
    <row r="2399" ht="15.75" customHeight="1">
      <c r="A2399" s="46" t="s">
        <v>5028</v>
      </c>
      <c r="B2399" s="47" t="s">
        <v>777</v>
      </c>
      <c r="C2399" s="47">
        <v>350.0</v>
      </c>
      <c r="D2399" s="47">
        <v>301.0</v>
      </c>
      <c r="E2399" s="47">
        <v>26620.0</v>
      </c>
      <c r="F2399" s="47" t="s">
        <v>11</v>
      </c>
    </row>
    <row r="2400" ht="15.75" customHeight="1">
      <c r="A2400" s="46" t="s">
        <v>5029</v>
      </c>
      <c r="B2400" s="47" t="s">
        <v>5030</v>
      </c>
      <c r="C2400" s="47">
        <v>390.0</v>
      </c>
      <c r="D2400" s="47">
        <v>378.0</v>
      </c>
      <c r="E2400" s="47">
        <v>31560.0</v>
      </c>
      <c r="F2400" s="47" t="s">
        <v>11</v>
      </c>
    </row>
    <row r="2401" ht="15.75" customHeight="1">
      <c r="A2401" s="46" t="s">
        <v>5031</v>
      </c>
      <c r="B2401" s="47" t="s">
        <v>5032</v>
      </c>
      <c r="C2401" s="47">
        <v>176.0</v>
      </c>
      <c r="D2401" s="47">
        <v>178.0</v>
      </c>
      <c r="E2401" s="47">
        <v>23630.0</v>
      </c>
      <c r="F2401" s="47" t="s">
        <v>11</v>
      </c>
    </row>
    <row r="2402" ht="15.75" customHeight="1">
      <c r="A2402" s="46" t="s">
        <v>5033</v>
      </c>
      <c r="B2402" s="47" t="s">
        <v>5034</v>
      </c>
      <c r="C2402" s="47">
        <v>131.0</v>
      </c>
      <c r="D2402" s="47">
        <v>124.0</v>
      </c>
      <c r="E2402" s="47">
        <v>22790.0</v>
      </c>
      <c r="F2402" s="47" t="s">
        <v>11</v>
      </c>
    </row>
    <row r="2403" ht="15.75" customHeight="1">
      <c r="A2403" s="46" t="s">
        <v>5035</v>
      </c>
      <c r="B2403" s="47" t="s">
        <v>5036</v>
      </c>
      <c r="C2403" s="47">
        <v>1672.0</v>
      </c>
      <c r="D2403" s="47">
        <v>1706.0</v>
      </c>
      <c r="E2403" s="47">
        <v>24360.0</v>
      </c>
      <c r="F2403" s="47" t="s">
        <v>11</v>
      </c>
    </row>
    <row r="2404" ht="15.75" customHeight="1">
      <c r="A2404" s="46" t="s">
        <v>5037</v>
      </c>
      <c r="B2404" s="47" t="s">
        <v>5038</v>
      </c>
      <c r="C2404" s="47">
        <v>491.0</v>
      </c>
      <c r="D2404" s="47">
        <v>485.0</v>
      </c>
      <c r="E2404" s="47">
        <v>27960.0</v>
      </c>
      <c r="F2404" s="47" t="s">
        <v>11</v>
      </c>
    </row>
    <row r="2405" ht="15.75" customHeight="1">
      <c r="A2405" s="46" t="s">
        <v>5039</v>
      </c>
      <c r="B2405" s="47" t="s">
        <v>5040</v>
      </c>
      <c r="C2405" s="47">
        <v>513.0</v>
      </c>
      <c r="D2405" s="47">
        <v>511.0</v>
      </c>
      <c r="E2405" s="47">
        <v>26290.0</v>
      </c>
      <c r="F2405" s="47" t="s">
        <v>11</v>
      </c>
    </row>
    <row r="2406" ht="15.75" customHeight="1">
      <c r="A2406" s="46" t="s">
        <v>5041</v>
      </c>
      <c r="B2406" s="47" t="s">
        <v>5042</v>
      </c>
      <c r="C2406" s="47">
        <v>2139.0</v>
      </c>
      <c r="D2406" s="47">
        <v>2181.0</v>
      </c>
      <c r="E2406" s="47">
        <v>26340.0</v>
      </c>
      <c r="F2406" s="47">
        <v>7.0</v>
      </c>
    </row>
    <row r="2407" ht="15.75" customHeight="1">
      <c r="A2407" s="46" t="s">
        <v>5043</v>
      </c>
      <c r="B2407" s="47" t="s">
        <v>5044</v>
      </c>
      <c r="C2407" s="47">
        <v>717.0</v>
      </c>
      <c r="D2407" s="47">
        <v>682.0</v>
      </c>
      <c r="E2407" s="47">
        <v>25670.0</v>
      </c>
      <c r="F2407" s="47" t="s">
        <v>11</v>
      </c>
    </row>
    <row r="2408" ht="15.75" customHeight="1">
      <c r="A2408" s="46" t="s">
        <v>5045</v>
      </c>
      <c r="B2408" s="47" t="s">
        <v>5046</v>
      </c>
      <c r="C2408" s="47">
        <v>386.0</v>
      </c>
      <c r="D2408" s="47">
        <v>370.0</v>
      </c>
      <c r="E2408" s="47">
        <v>31630.0</v>
      </c>
      <c r="F2408" s="47" t="s">
        <v>11</v>
      </c>
    </row>
    <row r="2409" ht="15.75" customHeight="1">
      <c r="A2409" s="46" t="s">
        <v>5047</v>
      </c>
      <c r="B2409" s="47" t="s">
        <v>5048</v>
      </c>
      <c r="C2409" s="47">
        <v>2920.0</v>
      </c>
      <c r="D2409" s="47">
        <v>2805.0</v>
      </c>
      <c r="E2409" s="47">
        <v>22770.0</v>
      </c>
      <c r="F2409" s="47">
        <v>19.0</v>
      </c>
    </row>
    <row r="2410" ht="15.75" customHeight="1">
      <c r="A2410" s="46" t="s">
        <v>5049</v>
      </c>
      <c r="B2410" s="47" t="s">
        <v>5050</v>
      </c>
      <c r="C2410" s="47">
        <v>914.0</v>
      </c>
      <c r="D2410" s="47">
        <v>836.0</v>
      </c>
      <c r="E2410" s="47">
        <v>23650.0</v>
      </c>
      <c r="F2410" s="47" t="s">
        <v>11</v>
      </c>
    </row>
    <row r="2411" ht="15.75" customHeight="1">
      <c r="A2411" s="46" t="s">
        <v>5051</v>
      </c>
      <c r="B2411" s="47" t="s">
        <v>5052</v>
      </c>
      <c r="C2411" s="47">
        <v>239.0</v>
      </c>
      <c r="D2411" s="47">
        <v>241.0</v>
      </c>
      <c r="E2411" s="47">
        <v>19520.0</v>
      </c>
      <c r="F2411" s="47" t="s">
        <v>11</v>
      </c>
    </row>
    <row r="2412" ht="15.75" customHeight="1">
      <c r="A2412" s="46" t="s">
        <v>5053</v>
      </c>
      <c r="B2412" s="47" t="s">
        <v>5054</v>
      </c>
      <c r="C2412" s="47">
        <v>1616.0</v>
      </c>
      <c r="D2412" s="47">
        <v>1594.0</v>
      </c>
      <c r="E2412" s="47">
        <v>23500.0</v>
      </c>
      <c r="F2412" s="47" t="s">
        <v>11</v>
      </c>
    </row>
    <row r="2413" ht="15.75" customHeight="1">
      <c r="A2413" s="46" t="s">
        <v>5055</v>
      </c>
      <c r="B2413" s="47" t="s">
        <v>5056</v>
      </c>
      <c r="C2413" s="47">
        <v>280.0</v>
      </c>
      <c r="D2413" s="47">
        <v>237.0</v>
      </c>
      <c r="E2413" s="47">
        <v>23980.0</v>
      </c>
      <c r="F2413" s="47" t="s">
        <v>11</v>
      </c>
    </row>
    <row r="2414" ht="15.75" customHeight="1">
      <c r="A2414" s="46" t="s">
        <v>5057</v>
      </c>
      <c r="B2414" s="47" t="s">
        <v>5058</v>
      </c>
      <c r="C2414" s="47">
        <v>3640.0</v>
      </c>
      <c r="D2414" s="47">
        <v>3737.0</v>
      </c>
      <c r="E2414" s="47">
        <v>24080.0</v>
      </c>
      <c r="F2414" s="47">
        <v>14.0</v>
      </c>
    </row>
    <row r="2415" ht="15.75" customHeight="1">
      <c r="A2415" s="46" t="s">
        <v>5059</v>
      </c>
      <c r="B2415" s="47" t="s">
        <v>5060</v>
      </c>
      <c r="C2415" s="47">
        <v>546.0</v>
      </c>
      <c r="D2415" s="47">
        <v>491.0</v>
      </c>
      <c r="E2415" s="47">
        <v>26220.0</v>
      </c>
      <c r="F2415" s="47" t="s">
        <v>11</v>
      </c>
    </row>
    <row r="2416" ht="15.75" customHeight="1">
      <c r="A2416" s="46" t="s">
        <v>5061</v>
      </c>
      <c r="B2416" s="47" t="s">
        <v>5062</v>
      </c>
      <c r="C2416" s="47">
        <v>250.0</v>
      </c>
      <c r="D2416" s="47">
        <v>238.0</v>
      </c>
      <c r="E2416" s="47">
        <v>25920.0</v>
      </c>
      <c r="F2416" s="47" t="s">
        <v>11</v>
      </c>
    </row>
    <row r="2417" ht="15.75" customHeight="1">
      <c r="A2417" s="46" t="s">
        <v>5063</v>
      </c>
      <c r="B2417" s="47" t="s">
        <v>5064</v>
      </c>
      <c r="C2417" s="47">
        <v>2738.0</v>
      </c>
      <c r="D2417" s="47">
        <v>2619.0</v>
      </c>
      <c r="E2417" s="47">
        <v>23250.0</v>
      </c>
      <c r="F2417" s="47">
        <v>18.0</v>
      </c>
    </row>
    <row r="2418" ht="15.75" customHeight="1">
      <c r="A2418" s="46" t="s">
        <v>5065</v>
      </c>
      <c r="B2418" s="47" t="s">
        <v>5066</v>
      </c>
      <c r="C2418" s="47">
        <v>76.0</v>
      </c>
      <c r="D2418" s="47">
        <v>71.0</v>
      </c>
      <c r="E2418" s="47" t="s">
        <v>11</v>
      </c>
      <c r="F2418" s="47" t="s">
        <v>11</v>
      </c>
    </row>
    <row r="2419" ht="15.75" customHeight="1">
      <c r="A2419" s="46" t="s">
        <v>5067</v>
      </c>
      <c r="B2419" s="47" t="s">
        <v>5068</v>
      </c>
      <c r="C2419" s="47">
        <v>233.0</v>
      </c>
      <c r="D2419" s="47">
        <v>230.0</v>
      </c>
      <c r="E2419" s="47">
        <v>22820.0</v>
      </c>
      <c r="F2419" s="47" t="s">
        <v>11</v>
      </c>
    </row>
    <row r="2420" ht="15.75" customHeight="1">
      <c r="A2420" s="46" t="s">
        <v>5069</v>
      </c>
      <c r="B2420" s="47" t="s">
        <v>5070</v>
      </c>
      <c r="C2420" s="47">
        <v>234.0</v>
      </c>
      <c r="D2420" s="47">
        <v>221.0</v>
      </c>
      <c r="E2420" s="47">
        <v>22220.0</v>
      </c>
      <c r="F2420" s="47" t="s">
        <v>11</v>
      </c>
    </row>
    <row r="2421" ht="15.75" customHeight="1">
      <c r="A2421" s="46" t="s">
        <v>5071</v>
      </c>
      <c r="B2421" s="47" t="s">
        <v>5072</v>
      </c>
      <c r="C2421" s="47">
        <v>325.0</v>
      </c>
      <c r="D2421" s="47">
        <v>338.0</v>
      </c>
      <c r="E2421" s="47">
        <v>22540.0</v>
      </c>
      <c r="F2421" s="47" t="s">
        <v>11</v>
      </c>
    </row>
    <row r="2422" ht="15.75" customHeight="1">
      <c r="A2422" s="46" t="s">
        <v>5073</v>
      </c>
      <c r="B2422" s="47" t="s">
        <v>5074</v>
      </c>
      <c r="C2422" s="47">
        <v>399.0</v>
      </c>
      <c r="D2422" s="47">
        <v>396.0</v>
      </c>
      <c r="E2422" s="47">
        <v>26070.0</v>
      </c>
      <c r="F2422" s="47" t="s">
        <v>11</v>
      </c>
    </row>
    <row r="2423" ht="15.75" customHeight="1">
      <c r="A2423" s="46" t="s">
        <v>5075</v>
      </c>
      <c r="B2423" s="47" t="s">
        <v>5076</v>
      </c>
      <c r="C2423" s="47">
        <v>228.0</v>
      </c>
      <c r="D2423" s="47">
        <v>223.0</v>
      </c>
      <c r="E2423" s="47">
        <v>30240.0</v>
      </c>
      <c r="F2423" s="47" t="s">
        <v>11</v>
      </c>
    </row>
    <row r="2424" ht="15.75" customHeight="1">
      <c r="A2424" s="46" t="s">
        <v>5077</v>
      </c>
      <c r="B2424" s="47" t="s">
        <v>5078</v>
      </c>
      <c r="C2424" s="47">
        <v>479.0</v>
      </c>
      <c r="D2424" s="47">
        <v>461.0</v>
      </c>
      <c r="E2424" s="47">
        <v>24430.0</v>
      </c>
      <c r="F2424" s="47" t="s">
        <v>11</v>
      </c>
    </row>
    <row r="2425" ht="15.75" customHeight="1">
      <c r="A2425" s="46" t="s">
        <v>5079</v>
      </c>
      <c r="B2425" s="47" t="s">
        <v>5080</v>
      </c>
      <c r="C2425" s="47">
        <v>1629.0</v>
      </c>
      <c r="D2425" s="47">
        <v>1594.0</v>
      </c>
      <c r="E2425" s="47">
        <v>24650.0</v>
      </c>
      <c r="F2425" s="47" t="s">
        <v>11</v>
      </c>
    </row>
    <row r="2426" ht="15.75" customHeight="1">
      <c r="A2426" s="46" t="s">
        <v>5081</v>
      </c>
      <c r="B2426" s="47" t="s">
        <v>5082</v>
      </c>
      <c r="C2426" s="47">
        <v>1725.0</v>
      </c>
      <c r="D2426" s="47">
        <v>1753.0</v>
      </c>
      <c r="E2426" s="47">
        <v>25860.0</v>
      </c>
      <c r="F2426" s="47" t="s">
        <v>11</v>
      </c>
    </row>
    <row r="2427" ht="15.75" customHeight="1">
      <c r="A2427" s="46" t="s">
        <v>5083</v>
      </c>
      <c r="B2427" s="47" t="s">
        <v>5084</v>
      </c>
      <c r="C2427" s="47">
        <v>2044.0</v>
      </c>
      <c r="D2427" s="47">
        <v>1979.0</v>
      </c>
      <c r="E2427" s="47">
        <v>25600.0</v>
      </c>
      <c r="F2427" s="47" t="s">
        <v>11</v>
      </c>
    </row>
    <row r="2428" ht="15.75" customHeight="1">
      <c r="A2428" s="46" t="s">
        <v>5085</v>
      </c>
      <c r="B2428" s="47" t="s">
        <v>5086</v>
      </c>
      <c r="C2428" s="47">
        <v>290.0</v>
      </c>
      <c r="D2428" s="47">
        <v>304.0</v>
      </c>
      <c r="E2428" s="47">
        <v>26000.0</v>
      </c>
      <c r="F2428" s="47" t="s">
        <v>11</v>
      </c>
    </row>
    <row r="2429" ht="15.75" customHeight="1">
      <c r="A2429" s="46" t="s">
        <v>5087</v>
      </c>
      <c r="B2429" s="47" t="s">
        <v>5088</v>
      </c>
      <c r="C2429" s="47">
        <v>951.0</v>
      </c>
      <c r="D2429" s="47">
        <v>913.0</v>
      </c>
      <c r="E2429" s="47">
        <v>20710.0</v>
      </c>
      <c r="F2429" s="47" t="s">
        <v>11</v>
      </c>
    </row>
    <row r="2430" ht="15.75" customHeight="1">
      <c r="A2430" s="46" t="s">
        <v>5089</v>
      </c>
      <c r="B2430" s="47" t="s">
        <v>5090</v>
      </c>
      <c r="C2430" s="47">
        <v>373.0</v>
      </c>
      <c r="D2430" s="47">
        <v>354.0</v>
      </c>
      <c r="E2430" s="47">
        <v>28920.0</v>
      </c>
      <c r="F2430" s="47" t="s">
        <v>11</v>
      </c>
    </row>
    <row r="2431" ht="15.75" customHeight="1">
      <c r="A2431" s="46" t="s">
        <v>5091</v>
      </c>
      <c r="B2431" s="47" t="s">
        <v>5092</v>
      </c>
      <c r="C2431" s="47">
        <v>352.0</v>
      </c>
      <c r="D2431" s="47">
        <v>342.0</v>
      </c>
      <c r="E2431" s="47">
        <v>26460.0</v>
      </c>
      <c r="F2431" s="47" t="s">
        <v>11</v>
      </c>
    </row>
    <row r="2432" ht="15.75" customHeight="1">
      <c r="A2432" s="46" t="s">
        <v>5093</v>
      </c>
      <c r="B2432" s="47" t="s">
        <v>5094</v>
      </c>
      <c r="C2432" s="47">
        <v>172.0</v>
      </c>
      <c r="D2432" s="47">
        <v>224.0</v>
      </c>
      <c r="E2432" s="47">
        <v>22550.0</v>
      </c>
      <c r="F2432" s="47" t="s">
        <v>11</v>
      </c>
    </row>
    <row r="2433" ht="15.75" customHeight="1">
      <c r="A2433" s="46" t="s">
        <v>5095</v>
      </c>
      <c r="B2433" s="47" t="s">
        <v>5096</v>
      </c>
      <c r="C2433" s="47">
        <v>450.0</v>
      </c>
      <c r="D2433" s="47">
        <v>476.0</v>
      </c>
      <c r="E2433" s="47">
        <v>25840.0</v>
      </c>
      <c r="F2433" s="47" t="s">
        <v>11</v>
      </c>
    </row>
    <row r="2434" ht="15.75" customHeight="1">
      <c r="A2434" s="46" t="s">
        <v>5097</v>
      </c>
      <c r="B2434" s="47" t="s">
        <v>5098</v>
      </c>
      <c r="C2434" s="47">
        <v>10865.0</v>
      </c>
      <c r="D2434" s="47">
        <v>10710.0</v>
      </c>
      <c r="E2434" s="47">
        <v>21560.0</v>
      </c>
      <c r="F2434" s="47">
        <v>21.0</v>
      </c>
    </row>
    <row r="2435" ht="15.75" customHeight="1">
      <c r="A2435" s="46" t="s">
        <v>5099</v>
      </c>
      <c r="B2435" s="47" t="s">
        <v>5100</v>
      </c>
      <c r="C2435" s="47">
        <v>258.0</v>
      </c>
      <c r="D2435" s="47">
        <v>252.0</v>
      </c>
      <c r="E2435" s="47">
        <v>28950.0</v>
      </c>
      <c r="F2435" s="47" t="s">
        <v>11</v>
      </c>
    </row>
    <row r="2436" ht="15.75" customHeight="1">
      <c r="A2436" s="46" t="s">
        <v>5101</v>
      </c>
      <c r="B2436" s="47" t="s">
        <v>5102</v>
      </c>
      <c r="C2436" s="47">
        <v>314.0</v>
      </c>
      <c r="D2436" s="47">
        <v>327.0</v>
      </c>
      <c r="E2436" s="47">
        <v>26820.0</v>
      </c>
      <c r="F2436" s="47" t="s">
        <v>11</v>
      </c>
    </row>
    <row r="2437" ht="15.75" customHeight="1">
      <c r="A2437" s="46" t="s">
        <v>5103</v>
      </c>
      <c r="B2437" s="47" t="s">
        <v>5104</v>
      </c>
      <c r="C2437" s="47">
        <v>4551.0</v>
      </c>
      <c r="D2437" s="47">
        <v>4628.0</v>
      </c>
      <c r="E2437" s="47">
        <v>22210.0</v>
      </c>
      <c r="F2437" s="47">
        <v>22.0</v>
      </c>
    </row>
    <row r="2438" ht="15.75" customHeight="1">
      <c r="A2438" s="46" t="s">
        <v>5105</v>
      </c>
      <c r="B2438" s="47" t="s">
        <v>5106</v>
      </c>
      <c r="C2438" s="47">
        <v>120.0</v>
      </c>
      <c r="D2438" s="47">
        <v>111.0</v>
      </c>
      <c r="E2438" s="47" t="s">
        <v>11</v>
      </c>
      <c r="F2438" s="47" t="s">
        <v>11</v>
      </c>
    </row>
    <row r="2439" ht="15.75" customHeight="1">
      <c r="A2439" s="46" t="s">
        <v>5107</v>
      </c>
      <c r="B2439" s="47" t="s">
        <v>5108</v>
      </c>
      <c r="C2439" s="47">
        <v>1181.0</v>
      </c>
      <c r="D2439" s="47">
        <v>1267.0</v>
      </c>
      <c r="E2439" s="47">
        <v>28320.0</v>
      </c>
      <c r="F2439" s="47" t="s">
        <v>11</v>
      </c>
    </row>
    <row r="2440" ht="15.75" customHeight="1">
      <c r="A2440" s="46" t="s">
        <v>5109</v>
      </c>
      <c r="B2440" s="47" t="s">
        <v>5110</v>
      </c>
      <c r="C2440" s="47">
        <v>557.0</v>
      </c>
      <c r="D2440" s="47">
        <v>629.0</v>
      </c>
      <c r="E2440" s="47">
        <v>28020.0</v>
      </c>
      <c r="F2440" s="47" t="s">
        <v>11</v>
      </c>
    </row>
    <row r="2441" ht="15.75" customHeight="1">
      <c r="A2441" s="46" t="s">
        <v>5111</v>
      </c>
      <c r="B2441" s="47" t="s">
        <v>5112</v>
      </c>
      <c r="C2441" s="47">
        <v>984.0</v>
      </c>
      <c r="D2441" s="47">
        <v>932.0</v>
      </c>
      <c r="E2441" s="47">
        <v>19280.0</v>
      </c>
      <c r="F2441" s="47" t="s">
        <v>11</v>
      </c>
    </row>
    <row r="2442" ht="15.75" customHeight="1">
      <c r="A2442" s="46" t="s">
        <v>5113</v>
      </c>
      <c r="B2442" s="47" t="s">
        <v>5114</v>
      </c>
      <c r="C2442" s="47">
        <v>237.0</v>
      </c>
      <c r="D2442" s="47">
        <v>228.0</v>
      </c>
      <c r="E2442" s="47">
        <v>26000.0</v>
      </c>
      <c r="F2442" s="47" t="s">
        <v>11</v>
      </c>
    </row>
    <row r="2443" ht="15.75" customHeight="1">
      <c r="A2443" s="46" t="s">
        <v>5115</v>
      </c>
      <c r="B2443" s="47" t="s">
        <v>5116</v>
      </c>
      <c r="C2443" s="47">
        <v>600.0</v>
      </c>
      <c r="D2443" s="47">
        <v>604.0</v>
      </c>
      <c r="E2443" s="47">
        <v>23670.0</v>
      </c>
      <c r="F2443" s="47" t="s">
        <v>11</v>
      </c>
    </row>
    <row r="2444" ht="15.75" customHeight="1">
      <c r="A2444" s="46" t="s">
        <v>5117</v>
      </c>
      <c r="B2444" s="47" t="s">
        <v>5118</v>
      </c>
      <c r="C2444" s="47">
        <v>912.0</v>
      </c>
      <c r="D2444" s="47">
        <v>861.0</v>
      </c>
      <c r="E2444" s="47">
        <v>23270.0</v>
      </c>
      <c r="F2444" s="47" t="s">
        <v>11</v>
      </c>
    </row>
    <row r="2445" ht="15.75" customHeight="1">
      <c r="A2445" s="46" t="s">
        <v>5119</v>
      </c>
      <c r="B2445" s="47" t="s">
        <v>5120</v>
      </c>
      <c r="C2445" s="47">
        <v>1802.0</v>
      </c>
      <c r="D2445" s="47">
        <v>1770.0</v>
      </c>
      <c r="E2445" s="47">
        <v>22810.0</v>
      </c>
      <c r="F2445" s="47" t="s">
        <v>11</v>
      </c>
    </row>
    <row r="2446" ht="15.75" customHeight="1">
      <c r="A2446" s="46" t="s">
        <v>5121</v>
      </c>
      <c r="B2446" s="47" t="s">
        <v>5122</v>
      </c>
      <c r="C2446" s="47">
        <v>1313.0</v>
      </c>
      <c r="D2446" s="47">
        <v>1242.0</v>
      </c>
      <c r="E2446" s="47">
        <v>29620.0</v>
      </c>
      <c r="F2446" s="47" t="s">
        <v>11</v>
      </c>
    </row>
    <row r="2447" ht="15.75" customHeight="1">
      <c r="A2447" s="46" t="s">
        <v>5123</v>
      </c>
      <c r="B2447" s="47" t="s">
        <v>5124</v>
      </c>
      <c r="C2447" s="47">
        <v>1028.0</v>
      </c>
      <c r="D2447" s="47">
        <v>991.0</v>
      </c>
      <c r="E2447" s="47">
        <v>25730.0</v>
      </c>
      <c r="F2447" s="47" t="s">
        <v>11</v>
      </c>
    </row>
    <row r="2448" ht="15.75" customHeight="1">
      <c r="A2448" s="46" t="s">
        <v>5125</v>
      </c>
      <c r="B2448" s="47" t="s">
        <v>5126</v>
      </c>
      <c r="C2448" s="47">
        <v>523.0</v>
      </c>
      <c r="D2448" s="47">
        <v>496.0</v>
      </c>
      <c r="E2448" s="47">
        <v>28530.0</v>
      </c>
      <c r="F2448" s="47" t="s">
        <v>11</v>
      </c>
    </row>
    <row r="2449" ht="15.75" customHeight="1">
      <c r="A2449" s="46" t="s">
        <v>5127</v>
      </c>
      <c r="B2449" s="47" t="s">
        <v>5128</v>
      </c>
      <c r="C2449" s="47">
        <v>385.0</v>
      </c>
      <c r="D2449" s="47">
        <v>354.0</v>
      </c>
      <c r="E2449" s="47">
        <v>25290.0</v>
      </c>
      <c r="F2449" s="47" t="s">
        <v>11</v>
      </c>
    </row>
    <row r="2450" ht="15.75" customHeight="1">
      <c r="A2450" s="46" t="s">
        <v>5129</v>
      </c>
      <c r="B2450" s="47" t="s">
        <v>5130</v>
      </c>
      <c r="C2450" s="47">
        <v>891.0</v>
      </c>
      <c r="D2450" s="47">
        <v>850.0</v>
      </c>
      <c r="E2450" s="47">
        <v>23890.0</v>
      </c>
      <c r="F2450" s="47" t="s">
        <v>11</v>
      </c>
    </row>
    <row r="2451" ht="15.75" customHeight="1">
      <c r="A2451" s="46" t="s">
        <v>5131</v>
      </c>
      <c r="B2451" s="47" t="s">
        <v>5132</v>
      </c>
      <c r="C2451" s="47">
        <v>509.0</v>
      </c>
      <c r="D2451" s="47">
        <v>510.0</v>
      </c>
      <c r="E2451" s="47">
        <v>23520.0</v>
      </c>
      <c r="F2451" s="47" t="s">
        <v>11</v>
      </c>
    </row>
    <row r="2452" ht="15.75" customHeight="1">
      <c r="A2452" s="46" t="s">
        <v>5133</v>
      </c>
      <c r="B2452" s="47" t="s">
        <v>5134</v>
      </c>
      <c r="C2452" s="47">
        <v>479.0</v>
      </c>
      <c r="D2452" s="47">
        <v>469.0</v>
      </c>
      <c r="E2452" s="47">
        <v>22860.0</v>
      </c>
      <c r="F2452" s="47" t="s">
        <v>11</v>
      </c>
    </row>
    <row r="2453" ht="15.75" customHeight="1">
      <c r="A2453" s="46" t="s">
        <v>5135</v>
      </c>
      <c r="B2453" s="47" t="s">
        <v>5136</v>
      </c>
      <c r="C2453" s="47">
        <v>225.0</v>
      </c>
      <c r="D2453" s="47">
        <v>227.0</v>
      </c>
      <c r="E2453" s="47">
        <v>24840.0</v>
      </c>
      <c r="F2453" s="47" t="s">
        <v>11</v>
      </c>
    </row>
    <row r="2454" ht="15.75" customHeight="1">
      <c r="A2454" s="46" t="s">
        <v>5137</v>
      </c>
      <c r="B2454" s="47" t="s">
        <v>5138</v>
      </c>
      <c r="C2454" s="47">
        <v>2732.0</v>
      </c>
      <c r="D2454" s="47">
        <v>2947.0</v>
      </c>
      <c r="E2454" s="47">
        <v>33840.0</v>
      </c>
      <c r="F2454" s="47">
        <v>5.0</v>
      </c>
    </row>
    <row r="2455" ht="15.75" customHeight="1">
      <c r="A2455" s="46" t="s">
        <v>5139</v>
      </c>
      <c r="B2455" s="47" t="s">
        <v>853</v>
      </c>
      <c r="C2455" s="47">
        <v>122.0</v>
      </c>
      <c r="D2455" s="47">
        <v>109.0</v>
      </c>
      <c r="E2455" s="47">
        <v>23520.0</v>
      </c>
      <c r="F2455" s="47" t="s">
        <v>11</v>
      </c>
    </row>
    <row r="2456" ht="15.75" customHeight="1">
      <c r="A2456" s="46" t="s">
        <v>5140</v>
      </c>
      <c r="B2456" s="47" t="s">
        <v>5141</v>
      </c>
      <c r="C2456" s="47">
        <v>898.0</v>
      </c>
      <c r="D2456" s="47">
        <v>877.0</v>
      </c>
      <c r="E2456" s="47">
        <v>24620.0</v>
      </c>
      <c r="F2456" s="47" t="s">
        <v>11</v>
      </c>
    </row>
    <row r="2457" ht="15.75" customHeight="1">
      <c r="A2457" s="46" t="s">
        <v>5142</v>
      </c>
      <c r="B2457" s="47" t="s">
        <v>5143</v>
      </c>
      <c r="C2457" s="47">
        <v>435.0</v>
      </c>
      <c r="D2457" s="47">
        <v>401.0</v>
      </c>
      <c r="E2457" s="47">
        <v>24780.0</v>
      </c>
      <c r="F2457" s="47" t="s">
        <v>11</v>
      </c>
    </row>
    <row r="2458" ht="15.75" customHeight="1">
      <c r="A2458" s="46" t="s">
        <v>5144</v>
      </c>
      <c r="B2458" s="47" t="s">
        <v>5145</v>
      </c>
      <c r="C2458" s="47">
        <v>100.0</v>
      </c>
      <c r="D2458" s="47">
        <v>97.0</v>
      </c>
      <c r="E2458" s="47" t="s">
        <v>11</v>
      </c>
      <c r="F2458" s="47" t="s">
        <v>11</v>
      </c>
    </row>
    <row r="2459" ht="15.75" customHeight="1">
      <c r="A2459" s="46" t="s">
        <v>5146</v>
      </c>
      <c r="B2459" s="47" t="s">
        <v>5147</v>
      </c>
      <c r="C2459" s="47">
        <v>278.0</v>
      </c>
      <c r="D2459" s="47">
        <v>273.0</v>
      </c>
      <c r="E2459" s="47">
        <v>28630.0</v>
      </c>
      <c r="F2459" s="47" t="s">
        <v>11</v>
      </c>
    </row>
    <row r="2460" ht="15.75" customHeight="1">
      <c r="A2460" s="46" t="s">
        <v>5148</v>
      </c>
      <c r="B2460" s="47" t="s">
        <v>5149</v>
      </c>
      <c r="C2460" s="47">
        <v>108.0</v>
      </c>
      <c r="D2460" s="47">
        <v>105.0</v>
      </c>
      <c r="E2460" s="47">
        <v>22790.0</v>
      </c>
      <c r="F2460" s="47" t="s">
        <v>11</v>
      </c>
    </row>
    <row r="2461" ht="15.75" customHeight="1">
      <c r="A2461" s="46" t="s">
        <v>5150</v>
      </c>
      <c r="B2461" s="47" t="s">
        <v>5151</v>
      </c>
      <c r="C2461" s="47">
        <v>102.0</v>
      </c>
      <c r="D2461" s="47">
        <v>92.0</v>
      </c>
      <c r="E2461" s="47" t="s">
        <v>11</v>
      </c>
      <c r="F2461" s="47" t="s">
        <v>11</v>
      </c>
    </row>
    <row r="2462" ht="15.75" customHeight="1">
      <c r="A2462" s="46" t="s">
        <v>5152</v>
      </c>
      <c r="B2462" s="47" t="s">
        <v>5153</v>
      </c>
      <c r="C2462" s="47">
        <v>211.0</v>
      </c>
      <c r="D2462" s="47">
        <v>212.0</v>
      </c>
      <c r="E2462" s="47">
        <v>23520.0</v>
      </c>
      <c r="F2462" s="47" t="s">
        <v>11</v>
      </c>
    </row>
    <row r="2463" ht="15.75" customHeight="1">
      <c r="A2463" s="46" t="s">
        <v>5154</v>
      </c>
      <c r="B2463" s="47" t="s">
        <v>5155</v>
      </c>
      <c r="C2463" s="47">
        <v>136.0</v>
      </c>
      <c r="D2463" s="47">
        <v>119.0</v>
      </c>
      <c r="E2463" s="47">
        <v>22540.0</v>
      </c>
      <c r="F2463" s="47" t="s">
        <v>11</v>
      </c>
    </row>
    <row r="2464" ht="15.75" customHeight="1">
      <c r="A2464" s="46" t="s">
        <v>5156</v>
      </c>
      <c r="B2464" s="47" t="s">
        <v>5157</v>
      </c>
      <c r="C2464" s="47">
        <v>160.0</v>
      </c>
      <c r="D2464" s="47">
        <v>148.0</v>
      </c>
      <c r="E2464" s="47">
        <v>27370.0</v>
      </c>
      <c r="F2464" s="47" t="s">
        <v>11</v>
      </c>
    </row>
    <row r="2465" ht="15.75" customHeight="1">
      <c r="A2465" s="46" t="s">
        <v>5158</v>
      </c>
      <c r="B2465" s="47" t="s">
        <v>5159</v>
      </c>
      <c r="C2465" s="47">
        <v>1570.0</v>
      </c>
      <c r="D2465" s="47">
        <v>1632.0</v>
      </c>
      <c r="E2465" s="47">
        <v>25130.0</v>
      </c>
      <c r="F2465" s="47" t="s">
        <v>11</v>
      </c>
    </row>
    <row r="2466" ht="15.75" customHeight="1">
      <c r="A2466" s="46" t="s">
        <v>5160</v>
      </c>
      <c r="B2466" s="47" t="s">
        <v>5161</v>
      </c>
      <c r="C2466" s="47">
        <v>1060.0</v>
      </c>
      <c r="D2466" s="47">
        <v>1108.0</v>
      </c>
      <c r="E2466" s="47">
        <v>28510.0</v>
      </c>
      <c r="F2466" s="47" t="s">
        <v>11</v>
      </c>
    </row>
    <row r="2467" ht="15.75" customHeight="1">
      <c r="A2467" s="46" t="s">
        <v>5162</v>
      </c>
      <c r="B2467" s="47" t="s">
        <v>5163</v>
      </c>
      <c r="C2467" s="47">
        <v>6362.0</v>
      </c>
      <c r="D2467" s="47">
        <v>6087.0</v>
      </c>
      <c r="E2467" s="47">
        <v>20180.0</v>
      </c>
      <c r="F2467" s="47">
        <v>25.0</v>
      </c>
    </row>
    <row r="2468" ht="15.75" customHeight="1">
      <c r="A2468" s="46" t="s">
        <v>5164</v>
      </c>
      <c r="B2468" s="47" t="s">
        <v>5165</v>
      </c>
      <c r="C2468" s="47">
        <v>105.0</v>
      </c>
      <c r="D2468" s="47">
        <v>116.0</v>
      </c>
      <c r="E2468" s="47">
        <v>28790.0</v>
      </c>
      <c r="F2468" s="47" t="s">
        <v>11</v>
      </c>
    </row>
    <row r="2469" ht="15.75" customHeight="1">
      <c r="A2469" s="46" t="s">
        <v>5166</v>
      </c>
      <c r="B2469" s="47" t="s">
        <v>5167</v>
      </c>
      <c r="C2469" s="47">
        <v>244.0</v>
      </c>
      <c r="D2469" s="47">
        <v>239.0</v>
      </c>
      <c r="E2469" s="47">
        <v>24460.0</v>
      </c>
      <c r="F2469" s="47" t="s">
        <v>11</v>
      </c>
    </row>
    <row r="2470" ht="15.75" customHeight="1">
      <c r="A2470" s="46" t="s">
        <v>5168</v>
      </c>
      <c r="B2470" s="47" t="s">
        <v>5169</v>
      </c>
      <c r="C2470" s="47">
        <v>843.0</v>
      </c>
      <c r="D2470" s="47">
        <v>893.0</v>
      </c>
      <c r="E2470" s="47">
        <v>25100.0</v>
      </c>
      <c r="F2470" s="47" t="s">
        <v>11</v>
      </c>
    </row>
    <row r="2471" ht="15.75" customHeight="1">
      <c r="A2471" s="46" t="s">
        <v>5170</v>
      </c>
      <c r="B2471" s="47" t="s">
        <v>5171</v>
      </c>
      <c r="C2471" s="47">
        <v>572.0</v>
      </c>
      <c r="D2471" s="47">
        <v>604.0</v>
      </c>
      <c r="E2471" s="47">
        <v>28000.0</v>
      </c>
      <c r="F2471" s="47" t="s">
        <v>11</v>
      </c>
    </row>
    <row r="2472" ht="15.75" customHeight="1">
      <c r="A2472" s="46" t="s">
        <v>5172</v>
      </c>
      <c r="B2472" s="47" t="s">
        <v>5173</v>
      </c>
      <c r="C2472" s="47">
        <v>772.0</v>
      </c>
      <c r="D2472" s="47">
        <v>791.0</v>
      </c>
      <c r="E2472" s="47">
        <v>26790.0</v>
      </c>
      <c r="F2472" s="47" t="s">
        <v>11</v>
      </c>
    </row>
    <row r="2473" ht="15.75" customHeight="1">
      <c r="A2473" s="46" t="s">
        <v>5174</v>
      </c>
      <c r="B2473" s="47" t="s">
        <v>5175</v>
      </c>
      <c r="C2473" s="47">
        <v>69.0</v>
      </c>
      <c r="D2473" s="47">
        <v>62.0</v>
      </c>
      <c r="E2473" s="47" t="s">
        <v>11</v>
      </c>
      <c r="F2473" s="47" t="s">
        <v>11</v>
      </c>
    </row>
    <row r="2474" ht="15.75" customHeight="1">
      <c r="A2474" s="46" t="s">
        <v>5176</v>
      </c>
      <c r="B2474" s="47" t="s">
        <v>5177</v>
      </c>
      <c r="C2474" s="47">
        <v>214.0</v>
      </c>
      <c r="D2474" s="47">
        <v>233.0</v>
      </c>
      <c r="E2474" s="47">
        <v>27990.0</v>
      </c>
      <c r="F2474" s="47" t="s">
        <v>11</v>
      </c>
    </row>
    <row r="2475" ht="15.75" customHeight="1">
      <c r="A2475" s="46" t="s">
        <v>5178</v>
      </c>
      <c r="B2475" s="47" t="s">
        <v>5179</v>
      </c>
      <c r="C2475" s="47">
        <v>575.0</v>
      </c>
      <c r="D2475" s="47">
        <v>579.0</v>
      </c>
      <c r="E2475" s="47">
        <v>23940.0</v>
      </c>
      <c r="F2475" s="47" t="s">
        <v>11</v>
      </c>
    </row>
    <row r="2476" ht="15.75" customHeight="1">
      <c r="A2476" s="46" t="s">
        <v>5180</v>
      </c>
      <c r="B2476" s="47" t="s">
        <v>5181</v>
      </c>
      <c r="C2476" s="47">
        <v>1322.0</v>
      </c>
      <c r="D2476" s="47">
        <v>1403.0</v>
      </c>
      <c r="E2476" s="47">
        <v>28250.0</v>
      </c>
      <c r="F2476" s="47" t="s">
        <v>11</v>
      </c>
    </row>
    <row r="2477" ht="15.75" customHeight="1">
      <c r="A2477" s="46" t="s">
        <v>5182</v>
      </c>
      <c r="B2477" s="47" t="s">
        <v>5183</v>
      </c>
      <c r="C2477" s="47">
        <v>3570.0</v>
      </c>
      <c r="D2477" s="47">
        <v>3259.0</v>
      </c>
      <c r="E2477" s="47">
        <v>18410.0</v>
      </c>
      <c r="F2477" s="47">
        <v>36.0</v>
      </c>
    </row>
    <row r="2478" ht="15.75" customHeight="1">
      <c r="A2478" s="46" t="s">
        <v>5184</v>
      </c>
      <c r="B2478" s="47" t="s">
        <v>5185</v>
      </c>
      <c r="C2478" s="47">
        <v>239.0</v>
      </c>
      <c r="D2478" s="47">
        <v>239.0</v>
      </c>
      <c r="E2478" s="47">
        <v>23930.0</v>
      </c>
      <c r="F2478" s="47" t="s">
        <v>11</v>
      </c>
    </row>
    <row r="2479" ht="15.75" customHeight="1">
      <c r="A2479" s="46" t="s">
        <v>5186</v>
      </c>
      <c r="B2479" s="47" t="s">
        <v>5187</v>
      </c>
      <c r="C2479" s="47">
        <v>380.0</v>
      </c>
      <c r="D2479" s="47">
        <v>400.0</v>
      </c>
      <c r="E2479" s="47">
        <v>27510.0</v>
      </c>
      <c r="F2479" s="47" t="s">
        <v>11</v>
      </c>
    </row>
    <row r="2480" ht="15.75" customHeight="1">
      <c r="A2480" s="46" t="s">
        <v>5188</v>
      </c>
      <c r="B2480" s="47" t="s">
        <v>5189</v>
      </c>
      <c r="C2480" s="47">
        <v>2371.0</v>
      </c>
      <c r="D2480" s="47">
        <v>2362.0</v>
      </c>
      <c r="E2480" s="47">
        <v>20450.0</v>
      </c>
      <c r="F2480" s="47">
        <v>26.0</v>
      </c>
    </row>
    <row r="2481" ht="15.75" customHeight="1">
      <c r="A2481" s="46" t="s">
        <v>5190</v>
      </c>
      <c r="B2481" s="47" t="s">
        <v>5191</v>
      </c>
      <c r="C2481" s="47">
        <v>199.0</v>
      </c>
      <c r="D2481" s="47">
        <v>208.0</v>
      </c>
      <c r="E2481" s="47">
        <v>21410.0</v>
      </c>
      <c r="F2481" s="47" t="s">
        <v>11</v>
      </c>
    </row>
    <row r="2482" ht="15.75" customHeight="1">
      <c r="A2482" s="46" t="s">
        <v>5192</v>
      </c>
      <c r="B2482" s="47" t="s">
        <v>5193</v>
      </c>
      <c r="C2482" s="47">
        <v>321.0</v>
      </c>
      <c r="D2482" s="47">
        <v>296.0</v>
      </c>
      <c r="E2482" s="47">
        <v>26200.0</v>
      </c>
      <c r="F2482" s="47" t="s">
        <v>11</v>
      </c>
    </row>
    <row r="2483" ht="15.75" customHeight="1">
      <c r="A2483" s="46" t="s">
        <v>5194</v>
      </c>
      <c r="B2483" s="47" t="s">
        <v>5195</v>
      </c>
      <c r="C2483" s="47">
        <v>838.0</v>
      </c>
      <c r="D2483" s="47">
        <v>774.0</v>
      </c>
      <c r="E2483" s="47">
        <v>24120.0</v>
      </c>
      <c r="F2483" s="47" t="s">
        <v>11</v>
      </c>
    </row>
    <row r="2484" ht="15.75" customHeight="1">
      <c r="A2484" s="46" t="s">
        <v>5196</v>
      </c>
      <c r="B2484" s="47" t="s">
        <v>5197</v>
      </c>
      <c r="C2484" s="47">
        <v>199.0</v>
      </c>
      <c r="D2484" s="47">
        <v>215.0</v>
      </c>
      <c r="E2484" s="47">
        <v>21570.0</v>
      </c>
      <c r="F2484" s="47" t="s">
        <v>11</v>
      </c>
    </row>
    <row r="2485" ht="15.75" customHeight="1">
      <c r="A2485" s="46" t="s">
        <v>5198</v>
      </c>
      <c r="B2485" s="47" t="s">
        <v>5199</v>
      </c>
      <c r="C2485" s="47">
        <v>627.0</v>
      </c>
      <c r="D2485" s="47">
        <v>768.0</v>
      </c>
      <c r="E2485" s="47">
        <v>28580.0</v>
      </c>
      <c r="F2485" s="47" t="s">
        <v>11</v>
      </c>
    </row>
    <row r="2486" ht="15.75" customHeight="1">
      <c r="A2486" s="46" t="s">
        <v>5200</v>
      </c>
      <c r="B2486" s="47" t="s">
        <v>5201</v>
      </c>
      <c r="C2486" s="47">
        <v>128.0</v>
      </c>
      <c r="D2486" s="47">
        <v>122.0</v>
      </c>
      <c r="E2486" s="47">
        <v>23630.0</v>
      </c>
      <c r="F2486" s="47" t="s">
        <v>11</v>
      </c>
    </row>
    <row r="2487" ht="15.75" customHeight="1">
      <c r="A2487" s="46" t="s">
        <v>5202</v>
      </c>
      <c r="B2487" s="47" t="s">
        <v>5203</v>
      </c>
      <c r="C2487" s="47">
        <v>1947.0</v>
      </c>
      <c r="D2487" s="47">
        <v>2072.0</v>
      </c>
      <c r="E2487" s="47">
        <v>28860.0</v>
      </c>
      <c r="F2487" s="47">
        <v>8.0</v>
      </c>
    </row>
    <row r="2488" ht="15.75" customHeight="1">
      <c r="A2488" s="46" t="s">
        <v>5204</v>
      </c>
      <c r="B2488" s="47" t="s">
        <v>5205</v>
      </c>
      <c r="C2488" s="47">
        <v>150.0</v>
      </c>
      <c r="D2488" s="47">
        <v>155.0</v>
      </c>
      <c r="E2488" s="47">
        <v>26450.0</v>
      </c>
      <c r="F2488" s="47" t="s">
        <v>11</v>
      </c>
    </row>
    <row r="2489" ht="15.75" customHeight="1">
      <c r="A2489" s="46" t="s">
        <v>5206</v>
      </c>
      <c r="B2489" s="47" t="s">
        <v>5207</v>
      </c>
      <c r="C2489" s="47">
        <v>1012.0</v>
      </c>
      <c r="D2489" s="47">
        <v>982.0</v>
      </c>
      <c r="E2489" s="47">
        <v>26300.0</v>
      </c>
      <c r="F2489" s="47" t="s">
        <v>11</v>
      </c>
    </row>
    <row r="2490" ht="15.75" customHeight="1">
      <c r="A2490" s="46" t="s">
        <v>5208</v>
      </c>
      <c r="B2490" s="47" t="s">
        <v>5209</v>
      </c>
      <c r="C2490" s="47">
        <v>156.0</v>
      </c>
      <c r="D2490" s="47">
        <v>151.0</v>
      </c>
      <c r="E2490" s="47">
        <v>24100.0</v>
      </c>
      <c r="F2490" s="47" t="s">
        <v>11</v>
      </c>
    </row>
    <row r="2491" ht="15.75" customHeight="1">
      <c r="A2491" s="46" t="s">
        <v>5210</v>
      </c>
      <c r="B2491" s="47" t="s">
        <v>5211</v>
      </c>
      <c r="C2491" s="47">
        <v>96.0</v>
      </c>
      <c r="D2491" s="47">
        <v>86.0</v>
      </c>
      <c r="E2491" s="47">
        <v>22880.0</v>
      </c>
      <c r="F2491" s="47" t="s">
        <v>11</v>
      </c>
    </row>
    <row r="2492" ht="15.75" customHeight="1">
      <c r="A2492" s="46" t="s">
        <v>5212</v>
      </c>
      <c r="B2492" s="47" t="s">
        <v>5213</v>
      </c>
      <c r="C2492" s="47">
        <v>2536.0</v>
      </c>
      <c r="D2492" s="47">
        <v>2525.0</v>
      </c>
      <c r="E2492" s="47">
        <v>28460.0</v>
      </c>
      <c r="F2492" s="47">
        <v>9.0</v>
      </c>
    </row>
    <row r="2493" ht="15.75" customHeight="1">
      <c r="A2493" s="46" t="s">
        <v>5214</v>
      </c>
      <c r="B2493" s="47" t="s">
        <v>5215</v>
      </c>
      <c r="C2493" s="47">
        <v>951.0</v>
      </c>
      <c r="D2493" s="47">
        <v>941.0</v>
      </c>
      <c r="E2493" s="47">
        <v>21980.0</v>
      </c>
      <c r="F2493" s="47" t="s">
        <v>11</v>
      </c>
    </row>
    <row r="2494" ht="15.75" customHeight="1">
      <c r="A2494" s="46" t="s">
        <v>5216</v>
      </c>
      <c r="B2494" s="47" t="s">
        <v>5217</v>
      </c>
      <c r="C2494" s="47">
        <v>197.0</v>
      </c>
      <c r="D2494" s="47">
        <v>195.0</v>
      </c>
      <c r="E2494" s="47">
        <v>29070.0</v>
      </c>
      <c r="F2494" s="47" t="s">
        <v>11</v>
      </c>
    </row>
    <row r="2495" ht="15.75" customHeight="1">
      <c r="A2495" s="46" t="s">
        <v>5218</v>
      </c>
      <c r="B2495" s="47" t="s">
        <v>5219</v>
      </c>
      <c r="C2495" s="47">
        <v>330.0</v>
      </c>
      <c r="D2495" s="47">
        <v>327.0</v>
      </c>
      <c r="E2495" s="47">
        <v>26940.0</v>
      </c>
      <c r="F2495" s="47" t="s">
        <v>11</v>
      </c>
    </row>
    <row r="2496" ht="15.75" customHeight="1">
      <c r="A2496" s="46" t="s">
        <v>5220</v>
      </c>
      <c r="B2496" s="47" t="s">
        <v>5221</v>
      </c>
      <c r="C2496" s="47">
        <v>344.0</v>
      </c>
      <c r="D2496" s="47">
        <v>360.0</v>
      </c>
      <c r="E2496" s="47">
        <v>29480.0</v>
      </c>
      <c r="F2496" s="47" t="s">
        <v>11</v>
      </c>
    </row>
    <row r="2497" ht="15.75" customHeight="1">
      <c r="A2497" s="46" t="s">
        <v>5222</v>
      </c>
      <c r="B2497" s="47" t="s">
        <v>5223</v>
      </c>
      <c r="C2497" s="47">
        <v>133.0</v>
      </c>
      <c r="D2497" s="47">
        <v>127.0</v>
      </c>
      <c r="E2497" s="47">
        <v>26110.0</v>
      </c>
      <c r="F2497" s="47" t="s">
        <v>11</v>
      </c>
    </row>
    <row r="2498" ht="15.75" customHeight="1">
      <c r="A2498" s="46" t="s">
        <v>5224</v>
      </c>
      <c r="B2498" s="47" t="s">
        <v>5225</v>
      </c>
      <c r="C2498" s="47">
        <v>643.0</v>
      </c>
      <c r="D2498" s="47">
        <v>659.0</v>
      </c>
      <c r="E2498" s="47">
        <v>24730.0</v>
      </c>
      <c r="F2498" s="47" t="s">
        <v>11</v>
      </c>
    </row>
    <row r="2499" ht="15.75" customHeight="1">
      <c r="A2499" s="46" t="s">
        <v>5226</v>
      </c>
      <c r="B2499" s="47" t="s">
        <v>5227</v>
      </c>
      <c r="C2499" s="47">
        <v>1368.0</v>
      </c>
      <c r="D2499" s="47">
        <v>1391.0</v>
      </c>
      <c r="E2499" s="47">
        <v>28640.0</v>
      </c>
      <c r="F2499" s="47" t="s">
        <v>11</v>
      </c>
    </row>
    <row r="2500" ht="15.75" customHeight="1">
      <c r="A2500" s="46" t="s">
        <v>5228</v>
      </c>
      <c r="B2500" s="47" t="s">
        <v>5229</v>
      </c>
      <c r="C2500" s="47">
        <v>638.0</v>
      </c>
      <c r="D2500" s="47">
        <v>632.0</v>
      </c>
      <c r="E2500" s="47">
        <v>25730.0</v>
      </c>
      <c r="F2500" s="47" t="s">
        <v>11</v>
      </c>
    </row>
    <row r="2501" ht="15.75" customHeight="1">
      <c r="A2501" s="46" t="s">
        <v>5230</v>
      </c>
      <c r="B2501" s="47" t="s">
        <v>5231</v>
      </c>
      <c r="C2501" s="47">
        <v>410.0</v>
      </c>
      <c r="D2501" s="47">
        <v>383.0</v>
      </c>
      <c r="E2501" s="47">
        <v>25020.0</v>
      </c>
      <c r="F2501" s="47" t="s">
        <v>11</v>
      </c>
    </row>
    <row r="2502" ht="15.75" customHeight="1">
      <c r="A2502" s="46" t="s">
        <v>5232</v>
      </c>
      <c r="B2502" s="47" t="s">
        <v>5233</v>
      </c>
      <c r="C2502" s="47">
        <v>6932.0</v>
      </c>
      <c r="D2502" s="47">
        <v>6644.0</v>
      </c>
      <c r="E2502" s="47">
        <v>19200.0</v>
      </c>
      <c r="F2502" s="47">
        <v>31.0</v>
      </c>
    </row>
    <row r="2503" ht="15.75" customHeight="1">
      <c r="A2503" s="46" t="s">
        <v>5234</v>
      </c>
      <c r="B2503" s="47" t="s">
        <v>5235</v>
      </c>
      <c r="C2503" s="47">
        <v>365.0</v>
      </c>
      <c r="D2503" s="47">
        <v>353.0</v>
      </c>
      <c r="E2503" s="47">
        <v>26000.0</v>
      </c>
      <c r="F2503" s="47" t="s">
        <v>11</v>
      </c>
    </row>
    <row r="2504" ht="15.75" customHeight="1">
      <c r="A2504" s="46" t="s">
        <v>5236</v>
      </c>
      <c r="B2504" s="47" t="s">
        <v>5237</v>
      </c>
      <c r="C2504" s="47">
        <v>296.0</v>
      </c>
      <c r="D2504" s="47">
        <v>290.0</v>
      </c>
      <c r="E2504" s="47">
        <v>22540.0</v>
      </c>
      <c r="F2504" s="47" t="s">
        <v>11</v>
      </c>
    </row>
    <row r="2505" ht="15.75" customHeight="1">
      <c r="A2505" s="46" t="s">
        <v>5238</v>
      </c>
      <c r="B2505" s="47" t="s">
        <v>5239</v>
      </c>
      <c r="C2505" s="47">
        <v>30.0</v>
      </c>
      <c r="D2505" s="47">
        <v>32.0</v>
      </c>
      <c r="E2505" s="47" t="s">
        <v>11</v>
      </c>
      <c r="F2505" s="47" t="s">
        <v>11</v>
      </c>
    </row>
    <row r="2506" ht="15.75" customHeight="1">
      <c r="A2506" s="46" t="s">
        <v>5240</v>
      </c>
      <c r="B2506" s="47" t="s">
        <v>5241</v>
      </c>
      <c r="C2506" s="47">
        <v>1508.0</v>
      </c>
      <c r="D2506" s="47">
        <v>1470.0</v>
      </c>
      <c r="E2506" s="47">
        <v>28320.0</v>
      </c>
      <c r="F2506" s="47" t="s">
        <v>11</v>
      </c>
    </row>
    <row r="2507" ht="15.75" customHeight="1">
      <c r="A2507" s="46" t="s">
        <v>5242</v>
      </c>
      <c r="B2507" s="47" t="s">
        <v>5243</v>
      </c>
      <c r="C2507" s="47">
        <v>1425.0</v>
      </c>
      <c r="D2507" s="47">
        <v>1381.0</v>
      </c>
      <c r="E2507" s="47">
        <v>25250.0</v>
      </c>
      <c r="F2507" s="47" t="s">
        <v>11</v>
      </c>
    </row>
    <row r="2508" ht="15.75" customHeight="1">
      <c r="A2508" s="46" t="s">
        <v>5244</v>
      </c>
      <c r="B2508" s="47" t="s">
        <v>5245</v>
      </c>
      <c r="C2508" s="47">
        <v>336.0</v>
      </c>
      <c r="D2508" s="47">
        <v>408.0</v>
      </c>
      <c r="E2508" s="47">
        <v>28410.0</v>
      </c>
      <c r="F2508" s="47" t="s">
        <v>11</v>
      </c>
    </row>
    <row r="2509" ht="15.75" customHeight="1">
      <c r="A2509" s="46" t="s">
        <v>5246</v>
      </c>
      <c r="B2509" s="47" t="s">
        <v>5247</v>
      </c>
      <c r="C2509" s="47">
        <v>1092.0</v>
      </c>
      <c r="D2509" s="47">
        <v>1067.0</v>
      </c>
      <c r="E2509" s="47">
        <v>24550.0</v>
      </c>
      <c r="F2509" s="47" t="s">
        <v>11</v>
      </c>
    </row>
    <row r="2510" ht="15.75" customHeight="1">
      <c r="A2510" s="46" t="s">
        <v>5248</v>
      </c>
      <c r="B2510" s="47" t="s">
        <v>5249</v>
      </c>
      <c r="C2510" s="47">
        <v>139.0</v>
      </c>
      <c r="D2510" s="47">
        <v>149.0</v>
      </c>
      <c r="E2510" s="47">
        <v>22850.0</v>
      </c>
      <c r="F2510" s="47" t="s">
        <v>11</v>
      </c>
    </row>
    <row r="2511" ht="15.75" customHeight="1">
      <c r="A2511" s="46" t="s">
        <v>5250</v>
      </c>
      <c r="B2511" s="47" t="s">
        <v>5251</v>
      </c>
      <c r="C2511" s="47">
        <v>17.0</v>
      </c>
      <c r="D2511" s="47">
        <v>13.0</v>
      </c>
      <c r="E2511" s="47" t="s">
        <v>11</v>
      </c>
      <c r="F2511" s="47" t="s">
        <v>11</v>
      </c>
    </row>
    <row r="2512" ht="15.75" customHeight="1">
      <c r="A2512" s="46" t="s">
        <v>5252</v>
      </c>
      <c r="B2512" s="47" t="s">
        <v>5253</v>
      </c>
      <c r="C2512" s="47">
        <v>5626.0</v>
      </c>
      <c r="D2512" s="47">
        <v>5479.0</v>
      </c>
      <c r="E2512" s="47">
        <v>21570.0</v>
      </c>
      <c r="F2512" s="47">
        <v>21.0</v>
      </c>
    </row>
    <row r="2513" ht="15.75" customHeight="1">
      <c r="A2513" s="46" t="s">
        <v>5254</v>
      </c>
      <c r="B2513" s="47" t="s">
        <v>5255</v>
      </c>
      <c r="C2513" s="47">
        <v>270.0</v>
      </c>
      <c r="D2513" s="47">
        <v>275.0</v>
      </c>
      <c r="E2513" s="47">
        <v>26210.0</v>
      </c>
      <c r="F2513" s="47" t="s">
        <v>11</v>
      </c>
    </row>
    <row r="2514" ht="15.75" customHeight="1">
      <c r="A2514" s="46" t="s">
        <v>5256</v>
      </c>
      <c r="B2514" s="47" t="s">
        <v>5257</v>
      </c>
      <c r="C2514" s="47">
        <v>676.0</v>
      </c>
      <c r="D2514" s="47">
        <v>676.0</v>
      </c>
      <c r="E2514" s="47">
        <v>29730.0</v>
      </c>
      <c r="F2514" s="47" t="s">
        <v>11</v>
      </c>
    </row>
    <row r="2515" ht="15.75" customHeight="1">
      <c r="A2515" s="46" t="s">
        <v>5258</v>
      </c>
      <c r="B2515" s="47" t="s">
        <v>5259</v>
      </c>
      <c r="C2515" s="47">
        <v>4886.0</v>
      </c>
      <c r="D2515" s="47">
        <v>5064.0</v>
      </c>
      <c r="E2515" s="47">
        <v>20860.0</v>
      </c>
      <c r="F2515" s="47">
        <v>24.0</v>
      </c>
    </row>
    <row r="2516" ht="15.75" customHeight="1">
      <c r="A2516" s="46" t="s">
        <v>5260</v>
      </c>
      <c r="B2516" s="47" t="s">
        <v>5261</v>
      </c>
      <c r="C2516" s="47">
        <v>4337.0</v>
      </c>
      <c r="D2516" s="47">
        <v>4396.0</v>
      </c>
      <c r="E2516" s="47">
        <v>22760.0</v>
      </c>
      <c r="F2516" s="47">
        <v>18.0</v>
      </c>
    </row>
    <row r="2517" ht="15.75" customHeight="1">
      <c r="A2517" s="46" t="s">
        <v>5262</v>
      </c>
      <c r="B2517" s="47" t="s">
        <v>5263</v>
      </c>
      <c r="C2517" s="47">
        <v>325.0</v>
      </c>
      <c r="D2517" s="47">
        <v>308.0</v>
      </c>
      <c r="E2517" s="47">
        <v>26020.0</v>
      </c>
      <c r="F2517" s="47" t="s">
        <v>11</v>
      </c>
    </row>
    <row r="2518" ht="15.75" customHeight="1">
      <c r="A2518" s="46" t="s">
        <v>5264</v>
      </c>
      <c r="B2518" s="47" t="s">
        <v>5265</v>
      </c>
      <c r="C2518" s="47">
        <v>1195.0</v>
      </c>
      <c r="D2518" s="47">
        <v>1196.0</v>
      </c>
      <c r="E2518" s="47">
        <v>22950.0</v>
      </c>
      <c r="F2518" s="47" t="s">
        <v>11</v>
      </c>
    </row>
    <row r="2519" ht="15.75" customHeight="1">
      <c r="A2519" s="46" t="s">
        <v>5266</v>
      </c>
      <c r="B2519" s="47" t="s">
        <v>3704</v>
      </c>
      <c r="C2519" s="47">
        <v>217.0</v>
      </c>
      <c r="D2519" s="47">
        <v>201.0</v>
      </c>
      <c r="E2519" s="47">
        <v>25680.0</v>
      </c>
      <c r="F2519" s="47" t="s">
        <v>11</v>
      </c>
    </row>
    <row r="2520" ht="15.75" customHeight="1">
      <c r="A2520" s="46" t="s">
        <v>5267</v>
      </c>
      <c r="B2520" s="47" t="s">
        <v>5268</v>
      </c>
      <c r="C2520" s="47">
        <v>504.0</v>
      </c>
      <c r="D2520" s="47">
        <v>454.0</v>
      </c>
      <c r="E2520" s="47">
        <v>27580.0</v>
      </c>
      <c r="F2520" s="47" t="s">
        <v>11</v>
      </c>
    </row>
    <row r="2521" ht="15.75" customHeight="1">
      <c r="A2521" s="46" t="s">
        <v>5269</v>
      </c>
      <c r="B2521" s="47" t="s">
        <v>5270</v>
      </c>
      <c r="C2521" s="47">
        <v>255.0</v>
      </c>
      <c r="D2521" s="47">
        <v>260.0</v>
      </c>
      <c r="E2521" s="47">
        <v>28910.0</v>
      </c>
      <c r="F2521" s="47" t="s">
        <v>11</v>
      </c>
    </row>
    <row r="2522" ht="15.75" customHeight="1">
      <c r="A2522" s="46" t="s">
        <v>5271</v>
      </c>
      <c r="B2522" s="47" t="s">
        <v>5272</v>
      </c>
      <c r="C2522" s="47">
        <v>992.0</v>
      </c>
      <c r="D2522" s="47">
        <v>944.0</v>
      </c>
      <c r="E2522" s="47">
        <v>26450.0</v>
      </c>
      <c r="F2522" s="47" t="s">
        <v>11</v>
      </c>
    </row>
    <row r="2523" ht="15.75" customHeight="1">
      <c r="A2523" s="46" t="s">
        <v>5273</v>
      </c>
      <c r="B2523" s="47" t="s">
        <v>5274</v>
      </c>
      <c r="C2523" s="47">
        <v>1469.0</v>
      </c>
      <c r="D2523" s="47">
        <v>1439.0</v>
      </c>
      <c r="E2523" s="47">
        <v>26110.0</v>
      </c>
      <c r="F2523" s="47" t="s">
        <v>11</v>
      </c>
    </row>
    <row r="2524" ht="15.75" customHeight="1">
      <c r="A2524" s="46" t="s">
        <v>5275</v>
      </c>
      <c r="B2524" s="47" t="s">
        <v>5276</v>
      </c>
      <c r="C2524" s="47">
        <v>196.0</v>
      </c>
      <c r="D2524" s="47">
        <v>205.0</v>
      </c>
      <c r="E2524" s="47">
        <v>24940.0</v>
      </c>
      <c r="F2524" s="47" t="s">
        <v>11</v>
      </c>
    </row>
    <row r="2525" ht="15.75" customHeight="1">
      <c r="A2525" s="46" t="s">
        <v>5277</v>
      </c>
      <c r="B2525" s="47" t="s">
        <v>5278</v>
      </c>
      <c r="C2525" s="47">
        <v>184.0</v>
      </c>
      <c r="D2525" s="47">
        <v>191.0</v>
      </c>
      <c r="E2525" s="47">
        <v>23300.0</v>
      </c>
      <c r="F2525" s="47" t="s">
        <v>11</v>
      </c>
    </row>
    <row r="2526" ht="15.75" customHeight="1">
      <c r="A2526" s="46" t="s">
        <v>5279</v>
      </c>
      <c r="B2526" s="47" t="s">
        <v>5280</v>
      </c>
      <c r="C2526" s="47">
        <v>50.0</v>
      </c>
      <c r="D2526" s="47">
        <v>51.0</v>
      </c>
      <c r="E2526" s="47" t="s">
        <v>11</v>
      </c>
      <c r="F2526" s="47" t="s">
        <v>11</v>
      </c>
    </row>
    <row r="2527" ht="15.75" customHeight="1">
      <c r="A2527" s="46" t="s">
        <v>5281</v>
      </c>
      <c r="B2527" s="47" t="s">
        <v>5282</v>
      </c>
      <c r="C2527" s="47">
        <v>1210.0</v>
      </c>
      <c r="D2527" s="47">
        <v>1270.0</v>
      </c>
      <c r="E2527" s="47">
        <v>25730.0</v>
      </c>
      <c r="F2527" s="47" t="s">
        <v>11</v>
      </c>
    </row>
    <row r="2528" ht="15.75" customHeight="1">
      <c r="A2528" s="46" t="s">
        <v>5283</v>
      </c>
      <c r="B2528" s="47" t="s">
        <v>5284</v>
      </c>
      <c r="C2528" s="47">
        <v>12354.0</v>
      </c>
      <c r="D2528" s="47">
        <v>12247.0</v>
      </c>
      <c r="E2528" s="47">
        <v>21070.0</v>
      </c>
      <c r="F2528" s="47">
        <v>27.0</v>
      </c>
    </row>
    <row r="2529" ht="15.75" customHeight="1">
      <c r="A2529" s="46" t="s">
        <v>5285</v>
      </c>
      <c r="B2529" s="47" t="s">
        <v>3714</v>
      </c>
      <c r="C2529" s="47">
        <v>238.0</v>
      </c>
      <c r="D2529" s="47">
        <v>206.0</v>
      </c>
      <c r="E2529" s="47">
        <v>28380.0</v>
      </c>
      <c r="F2529" s="47" t="s">
        <v>11</v>
      </c>
    </row>
    <row r="2530" ht="15.75" customHeight="1">
      <c r="A2530" s="46" t="s">
        <v>5286</v>
      </c>
      <c r="B2530" s="47" t="s">
        <v>5287</v>
      </c>
      <c r="C2530" s="47">
        <v>445.0</v>
      </c>
      <c r="D2530" s="47">
        <v>465.0</v>
      </c>
      <c r="E2530" s="47">
        <v>29330.0</v>
      </c>
      <c r="F2530" s="47" t="s">
        <v>11</v>
      </c>
    </row>
    <row r="2531" ht="15.75" customHeight="1">
      <c r="A2531" s="46" t="s">
        <v>5288</v>
      </c>
      <c r="B2531" s="47" t="s">
        <v>5289</v>
      </c>
      <c r="C2531" s="47">
        <v>218.0</v>
      </c>
      <c r="D2531" s="47">
        <v>214.0</v>
      </c>
      <c r="E2531" s="47">
        <v>25520.0</v>
      </c>
      <c r="F2531" s="47" t="s">
        <v>11</v>
      </c>
    </row>
    <row r="2532" ht="15.75" customHeight="1">
      <c r="A2532" s="46" t="s">
        <v>5290</v>
      </c>
      <c r="B2532" s="47" t="s">
        <v>965</v>
      </c>
      <c r="C2532" s="47">
        <v>316.0</v>
      </c>
      <c r="D2532" s="47">
        <v>308.0</v>
      </c>
      <c r="E2532" s="47">
        <v>26100.0</v>
      </c>
      <c r="F2532" s="47" t="s">
        <v>11</v>
      </c>
    </row>
    <row r="2533" ht="15.75" customHeight="1">
      <c r="A2533" s="46" t="s">
        <v>5291</v>
      </c>
      <c r="B2533" s="47" t="s">
        <v>5292</v>
      </c>
      <c r="C2533" s="47">
        <v>185.0</v>
      </c>
      <c r="D2533" s="47">
        <v>189.0</v>
      </c>
      <c r="E2533" s="47">
        <v>21840.0</v>
      </c>
      <c r="F2533" s="47" t="s">
        <v>11</v>
      </c>
    </row>
    <row r="2534" ht="15.75" customHeight="1">
      <c r="A2534" s="46" t="s">
        <v>5293</v>
      </c>
      <c r="B2534" s="47" t="s">
        <v>5294</v>
      </c>
      <c r="C2534" s="47">
        <v>403.0</v>
      </c>
      <c r="D2534" s="47">
        <v>351.0</v>
      </c>
      <c r="E2534" s="47">
        <v>24340.0</v>
      </c>
      <c r="F2534" s="47" t="s">
        <v>11</v>
      </c>
    </row>
    <row r="2535" ht="15.75" customHeight="1">
      <c r="A2535" s="46" t="s">
        <v>5295</v>
      </c>
      <c r="B2535" s="47" t="s">
        <v>5296</v>
      </c>
      <c r="C2535" s="47">
        <v>524.0</v>
      </c>
      <c r="D2535" s="47">
        <v>526.0</v>
      </c>
      <c r="E2535" s="47">
        <v>24680.0</v>
      </c>
      <c r="F2535" s="47" t="s">
        <v>11</v>
      </c>
    </row>
    <row r="2536" ht="15.75" customHeight="1">
      <c r="A2536" s="46" t="s">
        <v>5297</v>
      </c>
      <c r="B2536" s="47" t="s">
        <v>5298</v>
      </c>
      <c r="C2536" s="47">
        <v>1697.0</v>
      </c>
      <c r="D2536" s="47">
        <v>1724.0</v>
      </c>
      <c r="E2536" s="47">
        <v>26060.0</v>
      </c>
      <c r="F2536" s="47" t="s">
        <v>11</v>
      </c>
    </row>
    <row r="2537" ht="15.75" customHeight="1">
      <c r="A2537" s="46" t="s">
        <v>5299</v>
      </c>
      <c r="B2537" s="47" t="s">
        <v>5300</v>
      </c>
      <c r="C2537" s="47">
        <v>312.0</v>
      </c>
      <c r="D2537" s="47">
        <v>288.0</v>
      </c>
      <c r="E2537" s="47">
        <v>25170.0</v>
      </c>
      <c r="F2537" s="47" t="s">
        <v>11</v>
      </c>
    </row>
    <row r="2538" ht="15.75" customHeight="1">
      <c r="A2538" s="46" t="s">
        <v>5301</v>
      </c>
      <c r="B2538" s="47" t="s">
        <v>5302</v>
      </c>
      <c r="C2538" s="47">
        <v>135.0</v>
      </c>
      <c r="D2538" s="47">
        <v>143.0</v>
      </c>
      <c r="E2538" s="47">
        <v>24490.0</v>
      </c>
      <c r="F2538" s="47" t="s">
        <v>11</v>
      </c>
    </row>
    <row r="2539" ht="15.75" customHeight="1">
      <c r="A2539" s="46" t="s">
        <v>5303</v>
      </c>
      <c r="B2539" s="47" t="s">
        <v>5304</v>
      </c>
      <c r="C2539" s="47">
        <v>177.0</v>
      </c>
      <c r="D2539" s="47">
        <v>187.0</v>
      </c>
      <c r="E2539" s="47">
        <v>28850.0</v>
      </c>
      <c r="F2539" s="47" t="s">
        <v>11</v>
      </c>
    </row>
    <row r="2540" ht="15.75" customHeight="1">
      <c r="A2540" s="46" t="s">
        <v>5305</v>
      </c>
      <c r="B2540" s="47" t="s">
        <v>5306</v>
      </c>
      <c r="C2540" s="47">
        <v>26022.0</v>
      </c>
      <c r="D2540" s="47">
        <v>25688.0</v>
      </c>
      <c r="E2540" s="47">
        <v>21590.0</v>
      </c>
      <c r="F2540" s="47">
        <v>25.7</v>
      </c>
    </row>
    <row r="2541" ht="15.75" customHeight="1">
      <c r="A2541" s="46" t="s">
        <v>5307</v>
      </c>
      <c r="B2541" s="47" t="s">
        <v>5308</v>
      </c>
      <c r="C2541" s="47">
        <v>527.0</v>
      </c>
      <c r="D2541" s="47">
        <v>528.0</v>
      </c>
      <c r="E2541" s="47">
        <v>28610.0</v>
      </c>
      <c r="F2541" s="47" t="s">
        <v>11</v>
      </c>
    </row>
    <row r="2542" ht="15.75" customHeight="1">
      <c r="A2542" s="46" t="s">
        <v>5309</v>
      </c>
      <c r="B2542" s="47" t="s">
        <v>5310</v>
      </c>
      <c r="C2542" s="47">
        <v>300.0</v>
      </c>
      <c r="D2542" s="47">
        <v>272.0</v>
      </c>
      <c r="E2542" s="47">
        <v>27680.0</v>
      </c>
      <c r="F2542" s="47" t="s">
        <v>11</v>
      </c>
    </row>
    <row r="2543" ht="15.75" customHeight="1">
      <c r="A2543" s="46" t="s">
        <v>5311</v>
      </c>
      <c r="B2543" s="47" t="s">
        <v>5312</v>
      </c>
      <c r="C2543" s="47">
        <v>164.0</v>
      </c>
      <c r="D2543" s="47">
        <v>147.0</v>
      </c>
      <c r="E2543" s="47">
        <v>21710.0</v>
      </c>
      <c r="F2543" s="47" t="s">
        <v>11</v>
      </c>
    </row>
    <row r="2544" ht="15.75" customHeight="1">
      <c r="A2544" s="46" t="s">
        <v>5313</v>
      </c>
      <c r="B2544" s="47" t="s">
        <v>5314</v>
      </c>
      <c r="C2544" s="47">
        <v>378.0</v>
      </c>
      <c r="D2544" s="47">
        <v>415.0</v>
      </c>
      <c r="E2544" s="47">
        <v>24060.0</v>
      </c>
      <c r="F2544" s="47" t="s">
        <v>11</v>
      </c>
    </row>
    <row r="2545" ht="15.75" customHeight="1">
      <c r="A2545" s="46" t="s">
        <v>5315</v>
      </c>
      <c r="B2545" s="47" t="s">
        <v>5316</v>
      </c>
      <c r="C2545" s="47">
        <v>95.0</v>
      </c>
      <c r="D2545" s="47">
        <v>77.0</v>
      </c>
      <c r="E2545" s="47" t="s">
        <v>11</v>
      </c>
      <c r="F2545" s="47" t="s">
        <v>11</v>
      </c>
    </row>
    <row r="2546" ht="15.75" customHeight="1">
      <c r="A2546" s="46" t="s">
        <v>5317</v>
      </c>
      <c r="B2546" s="47" t="s">
        <v>5318</v>
      </c>
      <c r="C2546" s="47">
        <v>149.0</v>
      </c>
      <c r="D2546" s="47">
        <v>135.0</v>
      </c>
      <c r="E2546" s="47">
        <v>26410.0</v>
      </c>
      <c r="F2546" s="47" t="s">
        <v>11</v>
      </c>
    </row>
    <row r="2547" ht="15.75" customHeight="1">
      <c r="A2547" s="46" t="s">
        <v>5319</v>
      </c>
      <c r="B2547" s="47" t="s">
        <v>5320</v>
      </c>
      <c r="C2547" s="47">
        <v>104.0</v>
      </c>
      <c r="D2547" s="47">
        <v>106.0</v>
      </c>
      <c r="E2547" s="47">
        <v>25230.0</v>
      </c>
      <c r="F2547" s="47" t="s">
        <v>11</v>
      </c>
    </row>
    <row r="2548" ht="15.75" customHeight="1">
      <c r="A2548" s="46" t="s">
        <v>5321</v>
      </c>
      <c r="B2548" s="47" t="s">
        <v>5322</v>
      </c>
      <c r="C2548" s="47">
        <v>171.0</v>
      </c>
      <c r="D2548" s="47">
        <v>161.0</v>
      </c>
      <c r="E2548" s="47">
        <v>23060.0</v>
      </c>
      <c r="F2548" s="47" t="s">
        <v>11</v>
      </c>
    </row>
    <row r="2549" ht="15.75" customHeight="1">
      <c r="A2549" s="46" t="s">
        <v>5323</v>
      </c>
      <c r="B2549" s="47" t="s">
        <v>5324</v>
      </c>
      <c r="C2549" s="47">
        <v>313.0</v>
      </c>
      <c r="D2549" s="47">
        <v>330.0</v>
      </c>
      <c r="E2549" s="47">
        <v>22260.0</v>
      </c>
      <c r="F2549" s="47" t="s">
        <v>11</v>
      </c>
    </row>
    <row r="2550" ht="15.75" customHeight="1">
      <c r="A2550" s="46" t="s">
        <v>5325</v>
      </c>
      <c r="B2550" s="47" t="s">
        <v>5326</v>
      </c>
      <c r="C2550" s="47">
        <v>540.0</v>
      </c>
      <c r="D2550" s="47">
        <v>529.0</v>
      </c>
      <c r="E2550" s="47">
        <v>29120.0</v>
      </c>
      <c r="F2550" s="47" t="s">
        <v>11</v>
      </c>
    </row>
    <row r="2551" ht="15.75" customHeight="1">
      <c r="A2551" s="46" t="s">
        <v>5327</v>
      </c>
      <c r="B2551" s="47" t="s">
        <v>5328</v>
      </c>
      <c r="C2551" s="47">
        <v>422.0</v>
      </c>
      <c r="D2551" s="47">
        <v>407.0</v>
      </c>
      <c r="E2551" s="47">
        <v>23340.0</v>
      </c>
      <c r="F2551" s="47" t="s">
        <v>11</v>
      </c>
    </row>
    <row r="2552" ht="15.75" customHeight="1">
      <c r="A2552" s="46" t="s">
        <v>5329</v>
      </c>
      <c r="B2552" s="47" t="s">
        <v>5330</v>
      </c>
      <c r="C2552" s="47">
        <v>1180.0</v>
      </c>
      <c r="D2552" s="47">
        <v>1062.0</v>
      </c>
      <c r="E2552" s="47">
        <v>23960.0</v>
      </c>
      <c r="F2552" s="47" t="s">
        <v>11</v>
      </c>
    </row>
    <row r="2553" ht="15.75" customHeight="1">
      <c r="A2553" s="46" t="s">
        <v>5331</v>
      </c>
      <c r="B2553" s="47" t="s">
        <v>5332</v>
      </c>
      <c r="C2553" s="47">
        <v>213.0</v>
      </c>
      <c r="D2553" s="47">
        <v>206.0</v>
      </c>
      <c r="E2553" s="47">
        <v>29620.0</v>
      </c>
      <c r="F2553" s="47" t="s">
        <v>11</v>
      </c>
    </row>
    <row r="2554" ht="15.75" customHeight="1">
      <c r="A2554" s="46" t="s">
        <v>5333</v>
      </c>
      <c r="B2554" s="47" t="s">
        <v>5334</v>
      </c>
      <c r="C2554" s="47">
        <v>567.0</v>
      </c>
      <c r="D2554" s="47">
        <v>512.0</v>
      </c>
      <c r="E2554" s="47">
        <v>24810.0</v>
      </c>
      <c r="F2554" s="47" t="s">
        <v>11</v>
      </c>
    </row>
    <row r="2555" ht="15.75" customHeight="1">
      <c r="A2555" s="46" t="s">
        <v>5335</v>
      </c>
      <c r="B2555" s="47" t="s">
        <v>5336</v>
      </c>
      <c r="C2555" s="47">
        <v>6245.0</v>
      </c>
      <c r="D2555" s="47">
        <v>6082.0</v>
      </c>
      <c r="E2555" s="47">
        <v>21910.0</v>
      </c>
      <c r="F2555" s="47">
        <v>22.0</v>
      </c>
    </row>
    <row r="2556" ht="15.75" customHeight="1">
      <c r="A2556" s="46" t="s">
        <v>5337</v>
      </c>
      <c r="B2556" s="47" t="s">
        <v>5338</v>
      </c>
      <c r="C2556" s="47">
        <v>232.0</v>
      </c>
      <c r="D2556" s="47">
        <v>215.0</v>
      </c>
      <c r="E2556" s="47">
        <v>26360.0</v>
      </c>
      <c r="F2556" s="47" t="s">
        <v>11</v>
      </c>
    </row>
    <row r="2557" ht="15.75" customHeight="1">
      <c r="A2557" s="46" t="s">
        <v>5339</v>
      </c>
      <c r="B2557" s="47" t="s">
        <v>5340</v>
      </c>
      <c r="C2557" s="47">
        <v>822.0</v>
      </c>
      <c r="D2557" s="47">
        <v>828.0</v>
      </c>
      <c r="E2557" s="47">
        <v>26950.0</v>
      </c>
      <c r="F2557" s="47" t="s">
        <v>11</v>
      </c>
    </row>
    <row r="2558" ht="15.75" customHeight="1">
      <c r="A2558" s="46" t="s">
        <v>5341</v>
      </c>
      <c r="B2558" s="47" t="s">
        <v>5342</v>
      </c>
      <c r="C2558" s="47">
        <v>677.0</v>
      </c>
      <c r="D2558" s="47">
        <v>853.0</v>
      </c>
      <c r="E2558" s="47">
        <v>26200.0</v>
      </c>
      <c r="F2558" s="47" t="s">
        <v>11</v>
      </c>
    </row>
    <row r="2559" ht="15.75" customHeight="1">
      <c r="A2559" s="46" t="s">
        <v>5343</v>
      </c>
      <c r="B2559" s="47" t="s">
        <v>5344</v>
      </c>
      <c r="C2559" s="47">
        <v>4605.0</v>
      </c>
      <c r="D2559" s="47">
        <v>4480.0</v>
      </c>
      <c r="E2559" s="47">
        <v>21440.0</v>
      </c>
      <c r="F2559" s="47">
        <v>26.0</v>
      </c>
    </row>
    <row r="2560" ht="15.75" customHeight="1">
      <c r="A2560" s="46" t="s">
        <v>5345</v>
      </c>
      <c r="B2560" s="47" t="s">
        <v>5346</v>
      </c>
      <c r="C2560" s="47">
        <v>1863.0</v>
      </c>
      <c r="D2560" s="47">
        <v>1891.0</v>
      </c>
      <c r="E2560" s="47">
        <v>26100.0</v>
      </c>
      <c r="F2560" s="47" t="s">
        <v>11</v>
      </c>
    </row>
    <row r="2561" ht="15.75" customHeight="1">
      <c r="A2561" s="46" t="s">
        <v>5347</v>
      </c>
      <c r="B2561" s="47" t="s">
        <v>5348</v>
      </c>
      <c r="C2561" s="47">
        <v>165.0</v>
      </c>
      <c r="D2561" s="47">
        <v>172.0</v>
      </c>
      <c r="E2561" s="47">
        <v>24510.0</v>
      </c>
      <c r="F2561" s="47" t="s">
        <v>11</v>
      </c>
    </row>
    <row r="2562" ht="15.75" customHeight="1">
      <c r="A2562" s="46" t="s">
        <v>5349</v>
      </c>
      <c r="B2562" s="47" t="s">
        <v>5350</v>
      </c>
      <c r="C2562" s="47">
        <v>243.0</v>
      </c>
      <c r="D2562" s="47">
        <v>215.0</v>
      </c>
      <c r="E2562" s="47">
        <v>26730.0</v>
      </c>
      <c r="F2562" s="47" t="s">
        <v>11</v>
      </c>
    </row>
    <row r="2563" ht="15.75" customHeight="1">
      <c r="A2563" s="46" t="s">
        <v>5351</v>
      </c>
      <c r="B2563" s="47" t="s">
        <v>5352</v>
      </c>
      <c r="C2563" s="47">
        <v>529.0</v>
      </c>
      <c r="D2563" s="47">
        <v>482.0</v>
      </c>
      <c r="E2563" s="47">
        <v>22480.0</v>
      </c>
      <c r="F2563" s="47" t="s">
        <v>11</v>
      </c>
    </row>
    <row r="2564" ht="15.75" customHeight="1">
      <c r="A2564" s="46" t="s">
        <v>5353</v>
      </c>
      <c r="B2564" s="47" t="s">
        <v>5354</v>
      </c>
      <c r="C2564" s="47">
        <v>1339.0</v>
      </c>
      <c r="D2564" s="47">
        <v>1389.0</v>
      </c>
      <c r="E2564" s="47">
        <v>28470.0</v>
      </c>
      <c r="F2564" s="47" t="s">
        <v>11</v>
      </c>
    </row>
    <row r="2565" ht="15.75" customHeight="1">
      <c r="A2565" s="46" t="s">
        <v>5355</v>
      </c>
      <c r="B2565" s="47" t="s">
        <v>5356</v>
      </c>
      <c r="C2565" s="47">
        <v>122.0</v>
      </c>
      <c r="D2565" s="47">
        <v>127.0</v>
      </c>
      <c r="E2565" s="47">
        <v>24520.0</v>
      </c>
      <c r="F2565" s="47" t="s">
        <v>11</v>
      </c>
    </row>
    <row r="2566" ht="15.75" customHeight="1">
      <c r="A2566" s="46" t="s">
        <v>5357</v>
      </c>
      <c r="B2566" s="47" t="s">
        <v>5358</v>
      </c>
      <c r="C2566" s="47">
        <v>2452.0</v>
      </c>
      <c r="D2566" s="47">
        <v>2485.0</v>
      </c>
      <c r="E2566" s="47">
        <v>29590.0</v>
      </c>
      <c r="F2566" s="47">
        <v>5.0</v>
      </c>
    </row>
    <row r="2567" ht="15.75" customHeight="1">
      <c r="A2567" s="46" t="s">
        <v>5359</v>
      </c>
      <c r="B2567" s="47" t="s">
        <v>5360</v>
      </c>
      <c r="C2567" s="47">
        <v>112.0</v>
      </c>
      <c r="D2567" s="47">
        <v>118.0</v>
      </c>
      <c r="E2567" s="47">
        <v>26140.0</v>
      </c>
      <c r="F2567" s="47" t="s">
        <v>11</v>
      </c>
    </row>
    <row r="2568" ht="15.75" customHeight="1">
      <c r="A2568" s="46" t="s">
        <v>5361</v>
      </c>
      <c r="B2568" s="47" t="s">
        <v>5362</v>
      </c>
      <c r="C2568" s="47">
        <v>718.0</v>
      </c>
      <c r="D2568" s="47">
        <v>738.0</v>
      </c>
      <c r="E2568" s="47">
        <v>26350.0</v>
      </c>
      <c r="F2568" s="47" t="s">
        <v>11</v>
      </c>
    </row>
    <row r="2569" ht="15.75" customHeight="1">
      <c r="A2569" s="46" t="s">
        <v>5363</v>
      </c>
      <c r="B2569" s="47" t="s">
        <v>5364</v>
      </c>
      <c r="C2569" s="47">
        <v>7246.0</v>
      </c>
      <c r="D2569" s="47">
        <v>6945.0</v>
      </c>
      <c r="E2569" s="47">
        <v>21170.0</v>
      </c>
      <c r="F2569" s="47">
        <v>22.0</v>
      </c>
    </row>
    <row r="2570" ht="15.75" customHeight="1">
      <c r="A2570" s="46" t="s">
        <v>5365</v>
      </c>
      <c r="B2570" s="47" t="s">
        <v>5366</v>
      </c>
      <c r="C2570" s="47">
        <v>1127.0</v>
      </c>
      <c r="D2570" s="47">
        <v>1116.0</v>
      </c>
      <c r="E2570" s="47">
        <v>24860.0</v>
      </c>
      <c r="F2570" s="47" t="s">
        <v>11</v>
      </c>
    </row>
    <row r="2571" ht="15.75" customHeight="1">
      <c r="A2571" s="46" t="s">
        <v>5367</v>
      </c>
      <c r="B2571" s="47" t="s">
        <v>5368</v>
      </c>
      <c r="C2571" s="47">
        <v>232.0</v>
      </c>
      <c r="D2571" s="47">
        <v>247.0</v>
      </c>
      <c r="E2571" s="47">
        <v>21860.0</v>
      </c>
      <c r="F2571" s="47" t="s">
        <v>11</v>
      </c>
    </row>
    <row r="2572" ht="15.75" customHeight="1">
      <c r="A2572" s="46" t="s">
        <v>5369</v>
      </c>
      <c r="B2572" s="47" t="s">
        <v>5370</v>
      </c>
      <c r="C2572" s="47">
        <v>269.0</v>
      </c>
      <c r="D2572" s="47">
        <v>272.0</v>
      </c>
      <c r="E2572" s="47">
        <v>26020.0</v>
      </c>
      <c r="F2572" s="47" t="s">
        <v>11</v>
      </c>
    </row>
    <row r="2573" ht="15.75" customHeight="1">
      <c r="A2573" s="46" t="s">
        <v>5371</v>
      </c>
      <c r="B2573" s="47" t="s">
        <v>5372</v>
      </c>
      <c r="C2573" s="47">
        <v>137.0</v>
      </c>
      <c r="D2573" s="47">
        <v>152.0</v>
      </c>
      <c r="E2573" s="47">
        <v>26060.0</v>
      </c>
      <c r="F2573" s="47" t="s">
        <v>11</v>
      </c>
    </row>
    <row r="2574" ht="15.75" customHeight="1">
      <c r="A2574" s="46" t="s">
        <v>5373</v>
      </c>
      <c r="B2574" s="47" t="s">
        <v>5374</v>
      </c>
      <c r="C2574" s="47">
        <v>464.0</v>
      </c>
      <c r="D2574" s="47">
        <v>494.0</v>
      </c>
      <c r="E2574" s="47">
        <v>22550.0</v>
      </c>
      <c r="F2574" s="47" t="s">
        <v>11</v>
      </c>
    </row>
    <row r="2575" ht="15.75" customHeight="1">
      <c r="A2575" s="46" t="s">
        <v>5375</v>
      </c>
      <c r="B2575" s="47" t="s">
        <v>5376</v>
      </c>
      <c r="C2575" s="47">
        <v>3448.0</v>
      </c>
      <c r="D2575" s="47">
        <v>3371.0</v>
      </c>
      <c r="E2575" s="47">
        <v>24150.0</v>
      </c>
      <c r="F2575" s="47">
        <v>18.0</v>
      </c>
    </row>
    <row r="2576" ht="15.75" customHeight="1">
      <c r="A2576" s="46" t="s">
        <v>5377</v>
      </c>
      <c r="B2576" s="47" t="s">
        <v>5378</v>
      </c>
      <c r="C2576" s="47">
        <v>218.0</v>
      </c>
      <c r="D2576" s="47">
        <v>219.0</v>
      </c>
      <c r="E2576" s="47">
        <v>25390.0</v>
      </c>
      <c r="F2576" s="47" t="s">
        <v>11</v>
      </c>
    </row>
    <row r="2577" ht="15.75" customHeight="1">
      <c r="A2577" s="46" t="s">
        <v>5379</v>
      </c>
      <c r="B2577" s="47" t="s">
        <v>5380</v>
      </c>
      <c r="C2577" s="47">
        <v>232.0</v>
      </c>
      <c r="D2577" s="47">
        <v>249.0</v>
      </c>
      <c r="E2577" s="47">
        <v>24940.0</v>
      </c>
      <c r="F2577" s="47" t="s">
        <v>11</v>
      </c>
    </row>
    <row r="2578" ht="15.75" customHeight="1">
      <c r="A2578" s="46" t="s">
        <v>5381</v>
      </c>
      <c r="B2578" s="47" t="s">
        <v>5382</v>
      </c>
      <c r="C2578" s="47">
        <v>176.0</v>
      </c>
      <c r="D2578" s="47">
        <v>182.0</v>
      </c>
      <c r="E2578" s="47">
        <v>24670.0</v>
      </c>
      <c r="F2578" s="47" t="s">
        <v>11</v>
      </c>
    </row>
    <row r="2579" ht="15.75" customHeight="1">
      <c r="A2579" s="46" t="s">
        <v>5383</v>
      </c>
      <c r="B2579" s="47" t="s">
        <v>5384</v>
      </c>
      <c r="C2579" s="47">
        <v>229.0</v>
      </c>
      <c r="D2579" s="47">
        <v>218.0</v>
      </c>
      <c r="E2579" s="47">
        <v>24970.0</v>
      </c>
      <c r="F2579" s="47" t="s">
        <v>11</v>
      </c>
    </row>
    <row r="2580" ht="15.75" customHeight="1">
      <c r="A2580" s="46" t="s">
        <v>5385</v>
      </c>
      <c r="B2580" s="47" t="s">
        <v>5386</v>
      </c>
      <c r="C2580" s="47">
        <v>624.0</v>
      </c>
      <c r="D2580" s="47">
        <v>575.0</v>
      </c>
      <c r="E2580" s="47">
        <v>25390.0</v>
      </c>
      <c r="F2580" s="47" t="s">
        <v>11</v>
      </c>
    </row>
    <row r="2581" ht="15.75" customHeight="1">
      <c r="A2581" s="46" t="s">
        <v>5387</v>
      </c>
      <c r="B2581" s="47" t="s">
        <v>5388</v>
      </c>
      <c r="C2581" s="47">
        <v>86.0</v>
      </c>
      <c r="D2581" s="47">
        <v>91.0</v>
      </c>
      <c r="E2581" s="47" t="s">
        <v>11</v>
      </c>
      <c r="F2581" s="47" t="s">
        <v>11</v>
      </c>
    </row>
    <row r="2582" ht="15.75" customHeight="1">
      <c r="A2582" s="46" t="s">
        <v>5389</v>
      </c>
      <c r="B2582" s="47" t="s">
        <v>5390</v>
      </c>
      <c r="C2582" s="47">
        <v>1070.0</v>
      </c>
      <c r="D2582" s="47">
        <v>1062.0</v>
      </c>
      <c r="E2582" s="47">
        <v>25740.0</v>
      </c>
      <c r="F2582" s="47" t="s">
        <v>11</v>
      </c>
    </row>
    <row r="2583" ht="15.75" customHeight="1">
      <c r="A2583" s="46" t="s">
        <v>5391</v>
      </c>
      <c r="B2583" s="47" t="s">
        <v>5392</v>
      </c>
      <c r="C2583" s="47">
        <v>162.0</v>
      </c>
      <c r="D2583" s="47">
        <v>157.0</v>
      </c>
      <c r="E2583" s="47">
        <v>25870.0</v>
      </c>
      <c r="F2583" s="47" t="s">
        <v>11</v>
      </c>
    </row>
    <row r="2584" ht="15.75" customHeight="1">
      <c r="A2584" s="46" t="s">
        <v>5393</v>
      </c>
      <c r="B2584" s="47" t="s">
        <v>5394</v>
      </c>
      <c r="C2584" s="47">
        <v>8845.0</v>
      </c>
      <c r="D2584" s="47">
        <v>8650.0</v>
      </c>
      <c r="E2584" s="47">
        <v>22440.0</v>
      </c>
      <c r="F2584" s="47">
        <v>18.0</v>
      </c>
    </row>
    <row r="2585" ht="15.75" customHeight="1">
      <c r="A2585" s="46" t="s">
        <v>5395</v>
      </c>
      <c r="B2585" s="47" t="s">
        <v>5396</v>
      </c>
      <c r="C2585" s="47">
        <v>1153.0</v>
      </c>
      <c r="D2585" s="47">
        <v>1122.0</v>
      </c>
      <c r="E2585" s="47">
        <v>25350.0</v>
      </c>
      <c r="F2585" s="47" t="s">
        <v>11</v>
      </c>
    </row>
    <row r="2586" ht="15.75" customHeight="1">
      <c r="A2586" s="46" t="s">
        <v>5397</v>
      </c>
      <c r="B2586" s="47" t="s">
        <v>5398</v>
      </c>
      <c r="C2586" s="47">
        <v>259.0</v>
      </c>
      <c r="D2586" s="47">
        <v>238.0</v>
      </c>
      <c r="E2586" s="47">
        <v>22700.0</v>
      </c>
      <c r="F2586" s="47" t="s">
        <v>11</v>
      </c>
    </row>
    <row r="2587" ht="15.75" customHeight="1">
      <c r="A2587" s="46" t="s">
        <v>5399</v>
      </c>
      <c r="B2587" s="47" t="s">
        <v>5400</v>
      </c>
      <c r="C2587" s="47">
        <v>1011.0</v>
      </c>
      <c r="D2587" s="47">
        <v>1040.0</v>
      </c>
      <c r="E2587" s="47">
        <v>28410.0</v>
      </c>
      <c r="F2587" s="47" t="s">
        <v>11</v>
      </c>
    </row>
    <row r="2588" ht="15.75" customHeight="1">
      <c r="A2588" s="46" t="s">
        <v>5401</v>
      </c>
      <c r="B2588" s="47" t="s">
        <v>5402</v>
      </c>
      <c r="C2588" s="47">
        <v>727.0</v>
      </c>
      <c r="D2588" s="47">
        <v>742.0</v>
      </c>
      <c r="E2588" s="47">
        <v>26850.0</v>
      </c>
      <c r="F2588" s="47" t="s">
        <v>11</v>
      </c>
    </row>
    <row r="2589" ht="15.75" customHeight="1">
      <c r="A2589" s="46" t="s">
        <v>5403</v>
      </c>
      <c r="B2589" s="47" t="s">
        <v>5404</v>
      </c>
      <c r="C2589" s="47">
        <v>287.0</v>
      </c>
      <c r="D2589" s="47">
        <v>310.0</v>
      </c>
      <c r="E2589" s="47">
        <v>22720.0</v>
      </c>
      <c r="F2589" s="47" t="s">
        <v>11</v>
      </c>
    </row>
    <row r="2590" ht="15.75" customHeight="1">
      <c r="A2590" s="46" t="s">
        <v>5405</v>
      </c>
      <c r="B2590" s="47" t="s">
        <v>5406</v>
      </c>
      <c r="C2590" s="47">
        <v>1645.0</v>
      </c>
      <c r="D2590" s="47">
        <v>1648.0</v>
      </c>
      <c r="E2590" s="47">
        <v>25750.0</v>
      </c>
      <c r="F2590" s="47" t="s">
        <v>11</v>
      </c>
    </row>
    <row r="2591" ht="15.75" customHeight="1">
      <c r="A2591" s="46" t="s">
        <v>5407</v>
      </c>
      <c r="B2591" s="47" t="s">
        <v>5408</v>
      </c>
      <c r="C2591" s="47">
        <v>2847.0</v>
      </c>
      <c r="D2591" s="47">
        <v>2858.0</v>
      </c>
      <c r="E2591" s="47">
        <v>25030.0</v>
      </c>
      <c r="F2591" s="47">
        <v>15.0</v>
      </c>
    </row>
    <row r="2592" ht="15.75" customHeight="1">
      <c r="A2592" s="46" t="s">
        <v>5409</v>
      </c>
      <c r="B2592" s="47" t="s">
        <v>5410</v>
      </c>
      <c r="C2592" s="47">
        <v>165.0</v>
      </c>
      <c r="D2592" s="47">
        <v>140.0</v>
      </c>
      <c r="E2592" s="47">
        <v>24800.0</v>
      </c>
      <c r="F2592" s="47" t="s">
        <v>11</v>
      </c>
    </row>
    <row r="2593" ht="15.75" customHeight="1">
      <c r="A2593" s="46" t="s">
        <v>5411</v>
      </c>
      <c r="B2593" s="47" t="s">
        <v>5412</v>
      </c>
      <c r="C2593" s="47">
        <v>247.0</v>
      </c>
      <c r="D2593" s="47">
        <v>250.0</v>
      </c>
      <c r="E2593" s="47">
        <v>26050.0</v>
      </c>
      <c r="F2593" s="47" t="s">
        <v>11</v>
      </c>
    </row>
    <row r="2594" ht="15.75" customHeight="1">
      <c r="A2594" s="46" t="s">
        <v>5413</v>
      </c>
      <c r="B2594" s="47" t="s">
        <v>5414</v>
      </c>
      <c r="C2594" s="47">
        <v>331.0</v>
      </c>
      <c r="D2594" s="47">
        <v>309.0</v>
      </c>
      <c r="E2594" s="47">
        <v>24170.0</v>
      </c>
      <c r="F2594" s="47" t="s">
        <v>11</v>
      </c>
    </row>
    <row r="2595" ht="15.75" customHeight="1">
      <c r="A2595" s="46" t="s">
        <v>5415</v>
      </c>
      <c r="B2595" s="47" t="s">
        <v>5416</v>
      </c>
      <c r="C2595" s="47">
        <v>364.0</v>
      </c>
      <c r="D2595" s="47">
        <v>365.0</v>
      </c>
      <c r="E2595" s="47">
        <v>22430.0</v>
      </c>
      <c r="F2595" s="47" t="s">
        <v>11</v>
      </c>
    </row>
    <row r="2596" ht="15.75" customHeight="1">
      <c r="A2596" s="46" t="s">
        <v>5417</v>
      </c>
      <c r="B2596" s="47" t="s">
        <v>5418</v>
      </c>
      <c r="C2596" s="47">
        <v>1061.0</v>
      </c>
      <c r="D2596" s="47">
        <v>1070.0</v>
      </c>
      <c r="E2596" s="47">
        <v>23980.0</v>
      </c>
      <c r="F2596" s="47" t="s">
        <v>11</v>
      </c>
    </row>
    <row r="2597" ht="15.75" customHeight="1">
      <c r="A2597" s="46" t="s">
        <v>5419</v>
      </c>
      <c r="B2597" s="47" t="s">
        <v>5420</v>
      </c>
      <c r="C2597" s="47">
        <v>1299.0</v>
      </c>
      <c r="D2597" s="47">
        <v>1242.0</v>
      </c>
      <c r="E2597" s="47">
        <v>24010.0</v>
      </c>
      <c r="F2597" s="47" t="s">
        <v>11</v>
      </c>
    </row>
    <row r="2598" ht="15.75" customHeight="1">
      <c r="A2598" s="46" t="s">
        <v>5421</v>
      </c>
      <c r="B2598" s="47" t="s">
        <v>5422</v>
      </c>
      <c r="C2598" s="47">
        <v>753.0</v>
      </c>
      <c r="D2598" s="47">
        <v>787.0</v>
      </c>
      <c r="E2598" s="47">
        <v>23160.0</v>
      </c>
      <c r="F2598" s="47" t="s">
        <v>11</v>
      </c>
    </row>
    <row r="2599" ht="15.75" customHeight="1">
      <c r="A2599" s="46" t="s">
        <v>5423</v>
      </c>
      <c r="B2599" s="47" t="s">
        <v>5424</v>
      </c>
      <c r="C2599" s="47">
        <v>3459.0</v>
      </c>
      <c r="D2599" s="47">
        <v>3481.0</v>
      </c>
      <c r="E2599" s="47">
        <v>23770.0</v>
      </c>
      <c r="F2599" s="47">
        <v>15.0</v>
      </c>
    </row>
    <row r="2600" ht="15.75" customHeight="1">
      <c r="A2600" s="46" t="s">
        <v>5425</v>
      </c>
      <c r="B2600" s="47" t="s">
        <v>5426</v>
      </c>
      <c r="C2600" s="47">
        <v>267.0</v>
      </c>
      <c r="D2600" s="47">
        <v>341.0</v>
      </c>
      <c r="E2600" s="47">
        <v>28220.0</v>
      </c>
      <c r="F2600" s="47" t="s">
        <v>11</v>
      </c>
    </row>
    <row r="2601" ht="15.75" customHeight="1">
      <c r="A2601" s="46" t="s">
        <v>5427</v>
      </c>
      <c r="B2601" s="47" t="s">
        <v>5428</v>
      </c>
      <c r="C2601" s="47">
        <v>4994.0</v>
      </c>
      <c r="D2601" s="47">
        <v>5044.0</v>
      </c>
      <c r="E2601" s="47">
        <v>27610.0</v>
      </c>
      <c r="F2601" s="47">
        <v>10.0</v>
      </c>
    </row>
    <row r="2602" ht="15.75" customHeight="1">
      <c r="A2602" s="46" t="s">
        <v>5429</v>
      </c>
      <c r="B2602" s="47" t="s">
        <v>5430</v>
      </c>
      <c r="C2602" s="47">
        <v>250.0</v>
      </c>
      <c r="D2602" s="47">
        <v>229.0</v>
      </c>
      <c r="E2602" s="47">
        <v>20050.0</v>
      </c>
      <c r="F2602" s="47" t="s">
        <v>11</v>
      </c>
    </row>
    <row r="2603" ht="15.75" customHeight="1">
      <c r="A2603" s="46" t="s">
        <v>5431</v>
      </c>
      <c r="B2603" s="47" t="s">
        <v>5432</v>
      </c>
      <c r="C2603" s="47">
        <v>234.0</v>
      </c>
      <c r="D2603" s="47">
        <v>232.0</v>
      </c>
      <c r="E2603" s="47">
        <v>24700.0</v>
      </c>
      <c r="F2603" s="47" t="s">
        <v>11</v>
      </c>
    </row>
    <row r="2604" ht="15.75" customHeight="1">
      <c r="A2604" s="46" t="s">
        <v>5433</v>
      </c>
      <c r="B2604" s="47" t="s">
        <v>5434</v>
      </c>
      <c r="C2604" s="47">
        <v>49.0</v>
      </c>
      <c r="D2604" s="47">
        <v>44.0</v>
      </c>
      <c r="E2604" s="47" t="s">
        <v>11</v>
      </c>
      <c r="F2604" s="47" t="s">
        <v>11</v>
      </c>
    </row>
    <row r="2605" ht="15.75" customHeight="1">
      <c r="A2605" s="46" t="s">
        <v>5435</v>
      </c>
      <c r="B2605" s="47" t="s">
        <v>5436</v>
      </c>
      <c r="C2605" s="47">
        <v>338.0</v>
      </c>
      <c r="D2605" s="47">
        <v>316.0</v>
      </c>
      <c r="E2605" s="47">
        <v>21920.0</v>
      </c>
      <c r="F2605" s="47" t="s">
        <v>11</v>
      </c>
    </row>
    <row r="2606" ht="15.75" customHeight="1">
      <c r="A2606" s="46" t="s">
        <v>5437</v>
      </c>
      <c r="B2606" s="47" t="s">
        <v>5438</v>
      </c>
      <c r="C2606" s="47">
        <v>238.0</v>
      </c>
      <c r="D2606" s="47">
        <v>229.0</v>
      </c>
      <c r="E2606" s="47">
        <v>26390.0</v>
      </c>
      <c r="F2606" s="47" t="s">
        <v>11</v>
      </c>
    </row>
    <row r="2607" ht="15.75" customHeight="1">
      <c r="A2607" s="46" t="s">
        <v>5439</v>
      </c>
      <c r="B2607" s="47" t="s">
        <v>5440</v>
      </c>
      <c r="C2607" s="47">
        <v>7167.0</v>
      </c>
      <c r="D2607" s="47">
        <v>7060.0</v>
      </c>
      <c r="E2607" s="47">
        <v>22680.0</v>
      </c>
      <c r="F2607" s="47">
        <v>19.0</v>
      </c>
    </row>
    <row r="2608" ht="15.75" customHeight="1">
      <c r="A2608" s="46" t="s">
        <v>5441</v>
      </c>
      <c r="B2608" s="47" t="s">
        <v>5442</v>
      </c>
      <c r="C2608" s="47">
        <v>31415.0</v>
      </c>
      <c r="D2608" s="47">
        <v>32920.0</v>
      </c>
      <c r="E2608" s="47">
        <v>18660.0</v>
      </c>
      <c r="F2608" s="47">
        <v>35.4</v>
      </c>
    </row>
    <row r="2609" ht="15.75" customHeight="1">
      <c r="A2609" s="46" t="s">
        <v>5443</v>
      </c>
      <c r="B2609" s="47" t="s">
        <v>5444</v>
      </c>
      <c r="C2609" s="47">
        <v>273.0</v>
      </c>
      <c r="D2609" s="47">
        <v>291.0</v>
      </c>
      <c r="E2609" s="47">
        <v>24290.0</v>
      </c>
      <c r="F2609" s="47" t="s">
        <v>11</v>
      </c>
    </row>
    <row r="2610" ht="15.75" customHeight="1">
      <c r="A2610" s="46" t="s">
        <v>5445</v>
      </c>
      <c r="B2610" s="47" t="s">
        <v>5446</v>
      </c>
      <c r="C2610" s="47">
        <v>405.0</v>
      </c>
      <c r="D2610" s="47">
        <v>402.0</v>
      </c>
      <c r="E2610" s="47">
        <v>27170.0</v>
      </c>
      <c r="F2610" s="47" t="s">
        <v>11</v>
      </c>
    </row>
    <row r="2611" ht="15.75" customHeight="1">
      <c r="A2611" s="46" t="s">
        <v>5447</v>
      </c>
      <c r="B2611" s="47" t="s">
        <v>5448</v>
      </c>
      <c r="C2611" s="47">
        <v>222.0</v>
      </c>
      <c r="D2611" s="47">
        <v>243.0</v>
      </c>
      <c r="E2611" s="47">
        <v>23040.0</v>
      </c>
      <c r="F2611" s="47" t="s">
        <v>11</v>
      </c>
    </row>
    <row r="2612" ht="15.75" customHeight="1">
      <c r="A2612" s="46" t="s">
        <v>5449</v>
      </c>
      <c r="B2612" s="47" t="s">
        <v>5450</v>
      </c>
      <c r="C2612" s="47">
        <v>4532.0</v>
      </c>
      <c r="D2612" s="47">
        <v>5009.0</v>
      </c>
      <c r="E2612" s="47">
        <v>27570.0</v>
      </c>
      <c r="F2612" s="47">
        <v>8.0</v>
      </c>
    </row>
    <row r="2613" ht="15.75" customHeight="1">
      <c r="A2613" s="46" t="s">
        <v>5451</v>
      </c>
      <c r="B2613" s="47" t="s">
        <v>5452</v>
      </c>
      <c r="C2613" s="47">
        <v>295.0</v>
      </c>
      <c r="D2613" s="47">
        <v>293.0</v>
      </c>
      <c r="E2613" s="47">
        <v>30600.0</v>
      </c>
      <c r="F2613" s="47" t="s">
        <v>11</v>
      </c>
    </row>
    <row r="2614" ht="15.75" customHeight="1">
      <c r="A2614" s="46" t="s">
        <v>5453</v>
      </c>
      <c r="B2614" s="47" t="s">
        <v>5454</v>
      </c>
      <c r="C2614" s="47">
        <v>252.0</v>
      </c>
      <c r="D2614" s="47">
        <v>269.0</v>
      </c>
      <c r="E2614" s="47">
        <v>27040.0</v>
      </c>
      <c r="F2614" s="47" t="s">
        <v>11</v>
      </c>
    </row>
    <row r="2615" ht="15.75" customHeight="1">
      <c r="A2615" s="46" t="s">
        <v>5455</v>
      </c>
      <c r="B2615" s="47" t="s">
        <v>5456</v>
      </c>
      <c r="C2615" s="47">
        <v>470.0</v>
      </c>
      <c r="D2615" s="47">
        <v>540.0</v>
      </c>
      <c r="E2615" s="47">
        <v>24740.0</v>
      </c>
      <c r="F2615" s="47" t="s">
        <v>11</v>
      </c>
    </row>
    <row r="2616" ht="15.75" customHeight="1">
      <c r="A2616" s="46" t="s">
        <v>5457</v>
      </c>
      <c r="B2616" s="47" t="s">
        <v>5458</v>
      </c>
      <c r="C2616" s="47">
        <v>1631.0</v>
      </c>
      <c r="D2616" s="47">
        <v>1679.0</v>
      </c>
      <c r="E2616" s="47">
        <v>23460.0</v>
      </c>
      <c r="F2616" s="47" t="s">
        <v>11</v>
      </c>
    </row>
    <row r="2617" ht="15.75" customHeight="1">
      <c r="A2617" s="46" t="s">
        <v>5459</v>
      </c>
      <c r="B2617" s="47" t="s">
        <v>5460</v>
      </c>
      <c r="C2617" s="47">
        <v>291.0</v>
      </c>
      <c r="D2617" s="47">
        <v>303.0</v>
      </c>
      <c r="E2617" s="47">
        <v>25130.0</v>
      </c>
      <c r="F2617" s="47" t="s">
        <v>11</v>
      </c>
    </row>
    <row r="2618" ht="15.75" customHeight="1">
      <c r="A2618" s="46" t="s">
        <v>5461</v>
      </c>
      <c r="B2618" s="47" t="s">
        <v>5462</v>
      </c>
      <c r="C2618" s="47">
        <v>380.0</v>
      </c>
      <c r="D2618" s="47">
        <v>335.0</v>
      </c>
      <c r="E2618" s="47">
        <v>25450.0</v>
      </c>
      <c r="F2618" s="47" t="s">
        <v>11</v>
      </c>
    </row>
    <row r="2619" ht="15.75" customHeight="1">
      <c r="A2619" s="46" t="s">
        <v>5463</v>
      </c>
      <c r="B2619" s="47" t="s">
        <v>5464</v>
      </c>
      <c r="C2619" s="47">
        <v>327.0</v>
      </c>
      <c r="D2619" s="47">
        <v>378.0</v>
      </c>
      <c r="E2619" s="47">
        <v>24090.0</v>
      </c>
      <c r="F2619" s="47" t="s">
        <v>11</v>
      </c>
    </row>
    <row r="2620" ht="15.75" customHeight="1">
      <c r="A2620" s="46" t="s">
        <v>5465</v>
      </c>
      <c r="B2620" s="47" t="s">
        <v>5466</v>
      </c>
      <c r="C2620" s="47">
        <v>30785.0</v>
      </c>
      <c r="D2620" s="47">
        <v>30063.0</v>
      </c>
      <c r="E2620" s="47">
        <v>20030.0</v>
      </c>
      <c r="F2620" s="47">
        <v>29.2</v>
      </c>
    </row>
    <row r="2621" ht="15.75" customHeight="1">
      <c r="A2621" s="46" t="s">
        <v>5467</v>
      </c>
      <c r="B2621" s="47" t="s">
        <v>5468</v>
      </c>
      <c r="C2621" s="47">
        <v>137.0</v>
      </c>
      <c r="D2621" s="47">
        <v>140.0</v>
      </c>
      <c r="E2621" s="47">
        <v>24120.0</v>
      </c>
      <c r="F2621" s="47" t="s">
        <v>11</v>
      </c>
    </row>
    <row r="2622" ht="15.75" customHeight="1">
      <c r="A2622" s="46" t="s">
        <v>5469</v>
      </c>
      <c r="B2622" s="47" t="s">
        <v>5470</v>
      </c>
      <c r="C2622" s="47">
        <v>598.0</v>
      </c>
      <c r="D2622" s="47">
        <v>565.0</v>
      </c>
      <c r="E2622" s="47">
        <v>25620.0</v>
      </c>
      <c r="F2622" s="47" t="s">
        <v>11</v>
      </c>
    </row>
    <row r="2623" ht="15.75" customHeight="1">
      <c r="A2623" s="46" t="s">
        <v>5471</v>
      </c>
      <c r="B2623" s="47" t="s">
        <v>5472</v>
      </c>
      <c r="C2623" s="47">
        <v>194.0</v>
      </c>
      <c r="D2623" s="47">
        <v>188.0</v>
      </c>
      <c r="E2623" s="47">
        <v>22540.0</v>
      </c>
      <c r="F2623" s="47" t="s">
        <v>11</v>
      </c>
    </row>
    <row r="2624" ht="15.75" customHeight="1">
      <c r="A2624" s="46" t="s">
        <v>5473</v>
      </c>
      <c r="B2624" s="47" t="s">
        <v>5474</v>
      </c>
      <c r="C2624" s="47">
        <v>258.0</v>
      </c>
      <c r="D2624" s="47">
        <v>235.0</v>
      </c>
      <c r="E2624" s="47">
        <v>25400.0</v>
      </c>
      <c r="F2624" s="47" t="s">
        <v>11</v>
      </c>
    </row>
    <row r="2625" ht="15.75" customHeight="1">
      <c r="A2625" s="46" t="s">
        <v>5475</v>
      </c>
      <c r="B2625" s="47" t="s">
        <v>5476</v>
      </c>
      <c r="C2625" s="47">
        <v>532.0</v>
      </c>
      <c r="D2625" s="47">
        <v>514.0</v>
      </c>
      <c r="E2625" s="47">
        <v>27880.0</v>
      </c>
      <c r="F2625" s="47" t="s">
        <v>11</v>
      </c>
    </row>
    <row r="2626" ht="15.75" customHeight="1">
      <c r="A2626" s="46" t="s">
        <v>5477</v>
      </c>
      <c r="B2626" s="47" t="s">
        <v>5478</v>
      </c>
      <c r="C2626" s="47">
        <v>9931.0</v>
      </c>
      <c r="D2626" s="47">
        <v>10193.0</v>
      </c>
      <c r="E2626" s="47">
        <v>21760.0</v>
      </c>
      <c r="F2626" s="47">
        <v>24.0</v>
      </c>
    </row>
    <row r="2627" ht="15.75" customHeight="1">
      <c r="A2627" s="46" t="s">
        <v>5479</v>
      </c>
      <c r="B2627" s="47" t="s">
        <v>5480</v>
      </c>
      <c r="C2627" s="47">
        <v>205.0</v>
      </c>
      <c r="D2627" s="47">
        <v>219.0</v>
      </c>
      <c r="E2627" s="47">
        <v>22500.0</v>
      </c>
      <c r="F2627" s="47" t="s">
        <v>11</v>
      </c>
    </row>
    <row r="2628" ht="15.75" customHeight="1">
      <c r="A2628" s="46" t="s">
        <v>5481</v>
      </c>
      <c r="B2628" s="47" t="s">
        <v>5482</v>
      </c>
      <c r="C2628" s="47">
        <v>153.0</v>
      </c>
      <c r="D2628" s="47">
        <v>174.0</v>
      </c>
      <c r="E2628" s="47">
        <v>23800.0</v>
      </c>
      <c r="F2628" s="47" t="s">
        <v>11</v>
      </c>
    </row>
    <row r="2629" ht="15.75" customHeight="1">
      <c r="A2629" s="46" t="s">
        <v>5483</v>
      </c>
      <c r="B2629" s="47" t="s">
        <v>5484</v>
      </c>
      <c r="C2629" s="47">
        <v>591.0</v>
      </c>
      <c r="D2629" s="47">
        <v>582.0</v>
      </c>
      <c r="E2629" s="47">
        <v>23830.0</v>
      </c>
      <c r="F2629" s="47" t="s">
        <v>11</v>
      </c>
    </row>
    <row r="2630" ht="15.75" customHeight="1">
      <c r="A2630" s="46" t="s">
        <v>5485</v>
      </c>
      <c r="B2630" s="47" t="s">
        <v>5486</v>
      </c>
      <c r="C2630" s="47">
        <v>2465.0</v>
      </c>
      <c r="D2630" s="47">
        <v>2324.0</v>
      </c>
      <c r="E2630" s="47">
        <v>29980.0</v>
      </c>
      <c r="F2630" s="47">
        <v>7.0</v>
      </c>
    </row>
    <row r="2631" ht="15.75" customHeight="1">
      <c r="A2631" s="46" t="s">
        <v>5487</v>
      </c>
      <c r="B2631" s="47" t="s">
        <v>5488</v>
      </c>
      <c r="C2631" s="47">
        <v>201.0</v>
      </c>
      <c r="D2631" s="47">
        <v>224.0</v>
      </c>
      <c r="E2631" s="47">
        <v>21410.0</v>
      </c>
      <c r="F2631" s="47" t="s">
        <v>11</v>
      </c>
    </row>
    <row r="2632" ht="15.75" customHeight="1">
      <c r="A2632" s="46" t="s">
        <v>5489</v>
      </c>
      <c r="B2632" s="47" t="s">
        <v>5490</v>
      </c>
      <c r="C2632" s="47">
        <v>266.0</v>
      </c>
      <c r="D2632" s="47">
        <v>252.0</v>
      </c>
      <c r="E2632" s="47">
        <v>26290.0</v>
      </c>
      <c r="F2632" s="47" t="s">
        <v>11</v>
      </c>
    </row>
    <row r="2633" ht="15.75" customHeight="1">
      <c r="A2633" s="46" t="s">
        <v>5491</v>
      </c>
      <c r="B2633" s="47" t="s">
        <v>5492</v>
      </c>
      <c r="C2633" s="47">
        <v>5410.0</v>
      </c>
      <c r="D2633" s="47">
        <v>5169.0</v>
      </c>
      <c r="E2633" s="47">
        <v>21600.0</v>
      </c>
      <c r="F2633" s="47">
        <v>23.0</v>
      </c>
    </row>
    <row r="2634" ht="15.75" customHeight="1">
      <c r="A2634" s="46" t="s">
        <v>5493</v>
      </c>
      <c r="B2634" s="47" t="s">
        <v>5494</v>
      </c>
      <c r="C2634" s="47">
        <v>1452.0</v>
      </c>
      <c r="D2634" s="47">
        <v>1528.0</v>
      </c>
      <c r="E2634" s="47">
        <v>23030.0</v>
      </c>
      <c r="F2634" s="47" t="s">
        <v>11</v>
      </c>
    </row>
    <row r="2635" ht="15.75" customHeight="1">
      <c r="A2635" s="46" t="s">
        <v>5495</v>
      </c>
      <c r="B2635" s="47" t="s">
        <v>5496</v>
      </c>
      <c r="C2635" s="47">
        <v>11023.0</v>
      </c>
      <c r="D2635" s="47">
        <v>10548.0</v>
      </c>
      <c r="E2635" s="47">
        <v>21570.0</v>
      </c>
      <c r="F2635" s="47">
        <v>25.0</v>
      </c>
    </row>
    <row r="2636" ht="15.75" customHeight="1">
      <c r="A2636" s="46" t="s">
        <v>5497</v>
      </c>
      <c r="B2636" s="47" t="s">
        <v>5498</v>
      </c>
      <c r="C2636" s="47">
        <v>138.0</v>
      </c>
      <c r="D2636" s="47">
        <v>149.0</v>
      </c>
      <c r="E2636" s="47">
        <v>28050.0</v>
      </c>
      <c r="F2636" s="47" t="s">
        <v>11</v>
      </c>
    </row>
    <row r="2637" ht="15.75" customHeight="1">
      <c r="A2637" s="46" t="s">
        <v>5499</v>
      </c>
      <c r="B2637" s="47" t="s">
        <v>5500</v>
      </c>
      <c r="C2637" s="47">
        <v>247.0</v>
      </c>
      <c r="D2637" s="47">
        <v>253.0</v>
      </c>
      <c r="E2637" s="47">
        <v>21610.0</v>
      </c>
      <c r="F2637" s="47" t="s">
        <v>11</v>
      </c>
    </row>
    <row r="2638" ht="15.75" customHeight="1">
      <c r="A2638" s="46" t="s">
        <v>5501</v>
      </c>
      <c r="B2638" s="47" t="s">
        <v>5502</v>
      </c>
      <c r="C2638" s="47">
        <v>6751.0</v>
      </c>
      <c r="D2638" s="47">
        <v>6799.0</v>
      </c>
      <c r="E2638" s="47">
        <v>23200.0</v>
      </c>
      <c r="F2638" s="47">
        <v>19.0</v>
      </c>
    </row>
    <row r="2639" ht="15.75" customHeight="1">
      <c r="A2639" s="46" t="s">
        <v>5503</v>
      </c>
      <c r="B2639" s="47" t="s">
        <v>5504</v>
      </c>
      <c r="C2639" s="47">
        <v>1586.0</v>
      </c>
      <c r="D2639" s="47">
        <v>1651.0</v>
      </c>
      <c r="E2639" s="47">
        <v>31570.0</v>
      </c>
      <c r="F2639" s="47" t="s">
        <v>11</v>
      </c>
    </row>
    <row r="2640" ht="15.75" customHeight="1">
      <c r="A2640" s="46" t="s">
        <v>5505</v>
      </c>
      <c r="B2640" s="47" t="s">
        <v>5506</v>
      </c>
      <c r="C2640" s="47">
        <v>545.0</v>
      </c>
      <c r="D2640" s="47">
        <v>544.0</v>
      </c>
      <c r="E2640" s="47">
        <v>25190.0</v>
      </c>
      <c r="F2640" s="47" t="s">
        <v>11</v>
      </c>
    </row>
    <row r="2641" ht="15.75" customHeight="1">
      <c r="A2641" s="46" t="s">
        <v>5507</v>
      </c>
      <c r="B2641" s="47" t="s">
        <v>5508</v>
      </c>
      <c r="C2641" s="47">
        <v>960.0</v>
      </c>
      <c r="D2641" s="47">
        <v>947.0</v>
      </c>
      <c r="E2641" s="47">
        <v>26370.0</v>
      </c>
      <c r="F2641" s="47" t="s">
        <v>11</v>
      </c>
    </row>
    <row r="2642" ht="15.75" customHeight="1">
      <c r="A2642" s="46" t="s">
        <v>5509</v>
      </c>
      <c r="B2642" s="47" t="s">
        <v>5510</v>
      </c>
      <c r="C2642" s="47">
        <v>1262.0</v>
      </c>
      <c r="D2642" s="47">
        <v>1256.0</v>
      </c>
      <c r="E2642" s="47">
        <v>23490.0</v>
      </c>
      <c r="F2642" s="47" t="s">
        <v>11</v>
      </c>
    </row>
    <row r="2643" ht="15.75" customHeight="1">
      <c r="A2643" s="46" t="s">
        <v>5511</v>
      </c>
      <c r="B2643" s="47" t="s">
        <v>5512</v>
      </c>
      <c r="C2643" s="47">
        <v>147.0</v>
      </c>
      <c r="D2643" s="47">
        <v>140.0</v>
      </c>
      <c r="E2643" s="47">
        <v>23230.0</v>
      </c>
      <c r="F2643" s="47" t="s">
        <v>11</v>
      </c>
    </row>
    <row r="2644" ht="15.75" customHeight="1">
      <c r="A2644" s="46" t="s">
        <v>5513</v>
      </c>
      <c r="B2644" s="47" t="s">
        <v>5514</v>
      </c>
      <c r="C2644" s="47">
        <v>3626.0</v>
      </c>
      <c r="D2644" s="47">
        <v>3579.0</v>
      </c>
      <c r="E2644" s="47">
        <v>22170.0</v>
      </c>
      <c r="F2644" s="47">
        <v>19.0</v>
      </c>
    </row>
    <row r="2645" ht="15.75" customHeight="1">
      <c r="A2645" s="46" t="s">
        <v>5515</v>
      </c>
      <c r="B2645" s="47" t="s">
        <v>5516</v>
      </c>
      <c r="C2645" s="47">
        <v>161.0</v>
      </c>
      <c r="D2645" s="47">
        <v>149.0</v>
      </c>
      <c r="E2645" s="47">
        <v>32540.0</v>
      </c>
      <c r="F2645" s="47" t="s">
        <v>11</v>
      </c>
    </row>
    <row r="2646" ht="15.75" customHeight="1">
      <c r="A2646" s="46" t="s">
        <v>5517</v>
      </c>
      <c r="B2646" s="47" t="s">
        <v>5518</v>
      </c>
      <c r="C2646" s="47">
        <v>649.0</v>
      </c>
      <c r="D2646" s="47">
        <v>647.0</v>
      </c>
      <c r="E2646" s="47">
        <v>24740.0</v>
      </c>
      <c r="F2646" s="47" t="s">
        <v>11</v>
      </c>
    </row>
    <row r="2647" ht="15.75" customHeight="1">
      <c r="A2647" s="46" t="s">
        <v>5519</v>
      </c>
      <c r="B2647" s="47" t="s">
        <v>5520</v>
      </c>
      <c r="C2647" s="47">
        <v>117.0</v>
      </c>
      <c r="D2647" s="47">
        <v>105.0</v>
      </c>
      <c r="E2647" s="47" t="s">
        <v>11</v>
      </c>
      <c r="F2647" s="47" t="s">
        <v>11</v>
      </c>
    </row>
    <row r="2648" ht="15.75" customHeight="1">
      <c r="A2648" s="46" t="s">
        <v>5521</v>
      </c>
      <c r="B2648" s="47" t="s">
        <v>5522</v>
      </c>
      <c r="C2648" s="47">
        <v>426.0</v>
      </c>
      <c r="D2648" s="47">
        <v>451.0</v>
      </c>
      <c r="E2648" s="47">
        <v>23290.0</v>
      </c>
      <c r="F2648" s="47" t="s">
        <v>11</v>
      </c>
    </row>
    <row r="2649" ht="15.75" customHeight="1">
      <c r="A2649" s="46" t="s">
        <v>5523</v>
      </c>
      <c r="B2649" s="47" t="s">
        <v>5524</v>
      </c>
      <c r="C2649" s="47">
        <v>242.0</v>
      </c>
      <c r="D2649" s="47">
        <v>266.0</v>
      </c>
      <c r="E2649" s="47">
        <v>25420.0</v>
      </c>
      <c r="F2649" s="47" t="s">
        <v>11</v>
      </c>
    </row>
    <row r="2650" ht="15.75" customHeight="1">
      <c r="A2650" s="46" t="s">
        <v>5525</v>
      </c>
      <c r="B2650" s="47" t="s">
        <v>5526</v>
      </c>
      <c r="C2650" s="47">
        <v>1680.0</v>
      </c>
      <c r="D2650" s="47">
        <v>1678.0</v>
      </c>
      <c r="E2650" s="47">
        <v>25340.0</v>
      </c>
      <c r="F2650" s="47" t="s">
        <v>11</v>
      </c>
    </row>
    <row r="2651" ht="15.75" customHeight="1">
      <c r="A2651" s="46" t="s">
        <v>5527</v>
      </c>
      <c r="B2651" s="47" t="s">
        <v>5528</v>
      </c>
      <c r="C2651" s="47">
        <v>125.0</v>
      </c>
      <c r="D2651" s="47">
        <v>119.0</v>
      </c>
      <c r="E2651" s="47">
        <v>24460.0</v>
      </c>
      <c r="F2651" s="47" t="s">
        <v>11</v>
      </c>
    </row>
    <row r="2652" ht="15.75" customHeight="1">
      <c r="A2652" s="46" t="s">
        <v>5529</v>
      </c>
      <c r="B2652" s="47" t="s">
        <v>5530</v>
      </c>
      <c r="C2652" s="47">
        <v>193.0</v>
      </c>
      <c r="D2652" s="47">
        <v>205.0</v>
      </c>
      <c r="E2652" s="47">
        <v>24890.0</v>
      </c>
      <c r="F2652" s="47" t="s">
        <v>11</v>
      </c>
    </row>
    <row r="2653" ht="15.75" customHeight="1">
      <c r="A2653" s="46" t="s">
        <v>5531</v>
      </c>
      <c r="B2653" s="47" t="s">
        <v>5532</v>
      </c>
      <c r="C2653" s="47">
        <v>1997.0</v>
      </c>
      <c r="D2653" s="47">
        <v>1973.0</v>
      </c>
      <c r="E2653" s="47">
        <v>23880.0</v>
      </c>
      <c r="F2653" s="47" t="s">
        <v>11</v>
      </c>
    </row>
    <row r="2654" ht="15.75" customHeight="1">
      <c r="A2654" s="46" t="s">
        <v>5533</v>
      </c>
      <c r="B2654" s="47" t="s">
        <v>5534</v>
      </c>
      <c r="C2654" s="47">
        <v>185.0</v>
      </c>
      <c r="D2654" s="47">
        <v>182.0</v>
      </c>
      <c r="E2654" s="47">
        <v>27980.0</v>
      </c>
      <c r="F2654" s="47" t="s">
        <v>11</v>
      </c>
    </row>
    <row r="2655" ht="15.75" customHeight="1">
      <c r="A2655" s="46" t="s">
        <v>5535</v>
      </c>
      <c r="B2655" s="47" t="s">
        <v>5536</v>
      </c>
      <c r="C2655" s="47">
        <v>151.0</v>
      </c>
      <c r="D2655" s="47">
        <v>152.0</v>
      </c>
      <c r="E2655" s="47">
        <v>23830.0</v>
      </c>
      <c r="F2655" s="47" t="s">
        <v>11</v>
      </c>
    </row>
    <row r="2656" ht="15.75" customHeight="1">
      <c r="A2656" s="46" t="s">
        <v>5537</v>
      </c>
      <c r="B2656" s="47" t="s">
        <v>5538</v>
      </c>
      <c r="C2656" s="47">
        <v>314.0</v>
      </c>
      <c r="D2656" s="47">
        <v>336.0</v>
      </c>
      <c r="E2656" s="47">
        <v>32870.0</v>
      </c>
      <c r="F2656" s="47" t="s">
        <v>11</v>
      </c>
    </row>
    <row r="2657" ht="15.75" customHeight="1">
      <c r="A2657" s="46" t="s">
        <v>5539</v>
      </c>
      <c r="B2657" s="47" t="s">
        <v>5540</v>
      </c>
      <c r="C2657" s="47">
        <v>66.0</v>
      </c>
      <c r="D2657" s="47">
        <v>73.0</v>
      </c>
      <c r="E2657" s="47" t="s">
        <v>11</v>
      </c>
      <c r="F2657" s="47" t="s">
        <v>11</v>
      </c>
    </row>
    <row r="2658" ht="15.75" customHeight="1">
      <c r="A2658" s="46" t="s">
        <v>5541</v>
      </c>
      <c r="B2658" s="47" t="s">
        <v>5542</v>
      </c>
      <c r="C2658" s="47">
        <v>10676.0</v>
      </c>
      <c r="D2658" s="47">
        <v>10467.0</v>
      </c>
      <c r="E2658" s="47">
        <v>25410.0</v>
      </c>
      <c r="F2658" s="47">
        <v>12.0</v>
      </c>
    </row>
    <row r="2659" ht="15.75" customHeight="1">
      <c r="A2659" s="46" t="s">
        <v>5543</v>
      </c>
      <c r="B2659" s="47" t="s">
        <v>5544</v>
      </c>
      <c r="C2659" s="47">
        <v>1134.0</v>
      </c>
      <c r="D2659" s="47">
        <v>1090.0</v>
      </c>
      <c r="E2659" s="47">
        <v>22610.0</v>
      </c>
      <c r="F2659" s="47" t="s">
        <v>11</v>
      </c>
    </row>
    <row r="2660" ht="15.75" customHeight="1">
      <c r="A2660" s="46" t="s">
        <v>5545</v>
      </c>
      <c r="B2660" s="47" t="s">
        <v>5546</v>
      </c>
      <c r="C2660" s="47">
        <v>243.0</v>
      </c>
      <c r="D2660" s="47">
        <v>283.0</v>
      </c>
      <c r="E2660" s="47">
        <v>26730.0</v>
      </c>
      <c r="F2660" s="47" t="s">
        <v>11</v>
      </c>
    </row>
    <row r="2661" ht="15.75" customHeight="1">
      <c r="A2661" s="46" t="s">
        <v>5547</v>
      </c>
      <c r="B2661" s="47" t="s">
        <v>5548</v>
      </c>
      <c r="C2661" s="47">
        <v>986.0</v>
      </c>
      <c r="D2661" s="47">
        <v>1070.0</v>
      </c>
      <c r="E2661" s="47">
        <v>23420.0</v>
      </c>
      <c r="F2661" s="47" t="s">
        <v>11</v>
      </c>
    </row>
    <row r="2662" ht="15.75" customHeight="1">
      <c r="A2662" s="46" t="s">
        <v>5549</v>
      </c>
      <c r="B2662" s="47" t="s">
        <v>5550</v>
      </c>
      <c r="C2662" s="47">
        <v>285.0</v>
      </c>
      <c r="D2662" s="47">
        <v>279.0</v>
      </c>
      <c r="E2662" s="47">
        <v>26760.0</v>
      </c>
      <c r="F2662" s="47" t="s">
        <v>11</v>
      </c>
    </row>
    <row r="2663" ht="15.75" customHeight="1">
      <c r="A2663" s="46" t="s">
        <v>5551</v>
      </c>
      <c r="B2663" s="47" t="s">
        <v>5552</v>
      </c>
      <c r="C2663" s="47">
        <v>102.0</v>
      </c>
      <c r="D2663" s="47">
        <v>93.0</v>
      </c>
      <c r="E2663" s="47" t="s">
        <v>11</v>
      </c>
      <c r="F2663" s="47" t="s">
        <v>11</v>
      </c>
    </row>
    <row r="2664" ht="15.75" customHeight="1">
      <c r="A2664" s="46" t="s">
        <v>5553</v>
      </c>
      <c r="B2664" s="47" t="s">
        <v>5554</v>
      </c>
      <c r="C2664" s="47">
        <v>5579.0</v>
      </c>
      <c r="D2664" s="47">
        <v>5411.0</v>
      </c>
      <c r="E2664" s="47">
        <v>18770.0</v>
      </c>
      <c r="F2664" s="47">
        <v>30.0</v>
      </c>
    </row>
    <row r="2665" ht="15.75" customHeight="1">
      <c r="A2665" s="46" t="s">
        <v>5555</v>
      </c>
      <c r="B2665" s="47" t="s">
        <v>5556</v>
      </c>
      <c r="C2665" s="47">
        <v>299.0</v>
      </c>
      <c r="D2665" s="47">
        <v>314.0</v>
      </c>
      <c r="E2665" s="47">
        <v>23720.0</v>
      </c>
      <c r="F2665" s="47" t="s">
        <v>11</v>
      </c>
    </row>
    <row r="2666" ht="15.75" customHeight="1">
      <c r="A2666" s="46" t="s">
        <v>5557</v>
      </c>
      <c r="B2666" s="47" t="s">
        <v>5558</v>
      </c>
      <c r="C2666" s="47">
        <v>2464.0</v>
      </c>
      <c r="D2666" s="47">
        <v>2422.0</v>
      </c>
      <c r="E2666" s="47">
        <v>29120.0</v>
      </c>
      <c r="F2666" s="47">
        <v>7.0</v>
      </c>
    </row>
    <row r="2667" ht="15.75" customHeight="1">
      <c r="A2667" s="46" t="s">
        <v>5559</v>
      </c>
      <c r="B2667" s="47" t="s">
        <v>5560</v>
      </c>
      <c r="C2667" s="47">
        <v>179.0</v>
      </c>
      <c r="D2667" s="47">
        <v>166.0</v>
      </c>
      <c r="E2667" s="47">
        <v>23980.0</v>
      </c>
      <c r="F2667" s="47" t="s">
        <v>11</v>
      </c>
    </row>
    <row r="2668" ht="15.75" customHeight="1">
      <c r="A2668" s="46" t="s">
        <v>5561</v>
      </c>
      <c r="B2668" s="47" t="s">
        <v>5562</v>
      </c>
      <c r="C2668" s="47">
        <v>976.0</v>
      </c>
      <c r="D2668" s="47">
        <v>1039.0</v>
      </c>
      <c r="E2668" s="47">
        <v>25070.0</v>
      </c>
      <c r="F2668" s="47" t="s">
        <v>11</v>
      </c>
    </row>
    <row r="2669" ht="15.75" customHeight="1">
      <c r="A2669" s="46" t="s">
        <v>5563</v>
      </c>
      <c r="B2669" s="47" t="s">
        <v>5564</v>
      </c>
      <c r="C2669" s="47">
        <v>5088.0</v>
      </c>
      <c r="D2669" s="47">
        <v>5217.0</v>
      </c>
      <c r="E2669" s="47">
        <v>23400.0</v>
      </c>
      <c r="F2669" s="47">
        <v>16.0</v>
      </c>
    </row>
    <row r="2670" ht="15.75" customHeight="1">
      <c r="A2670" s="46" t="s">
        <v>5565</v>
      </c>
      <c r="B2670" s="47" t="s">
        <v>5566</v>
      </c>
      <c r="C2670" s="47">
        <v>196.0</v>
      </c>
      <c r="D2670" s="47">
        <v>173.0</v>
      </c>
      <c r="E2670" s="47">
        <v>26810.0</v>
      </c>
      <c r="F2670" s="47" t="s">
        <v>11</v>
      </c>
    </row>
    <row r="2671" ht="15.75" customHeight="1">
      <c r="A2671" s="46" t="s">
        <v>5567</v>
      </c>
      <c r="B2671" s="47" t="s">
        <v>5568</v>
      </c>
      <c r="C2671" s="47">
        <v>185.0</v>
      </c>
      <c r="D2671" s="47">
        <v>177.0</v>
      </c>
      <c r="E2671" s="47">
        <v>21940.0</v>
      </c>
      <c r="F2671" s="47" t="s">
        <v>11</v>
      </c>
    </row>
    <row r="2672" ht="15.75" customHeight="1">
      <c r="A2672" s="46" t="s">
        <v>5569</v>
      </c>
      <c r="B2672" s="47" t="s">
        <v>5570</v>
      </c>
      <c r="C2672" s="47">
        <v>8053.0</v>
      </c>
      <c r="D2672" s="47">
        <v>8217.0</v>
      </c>
      <c r="E2672" s="47">
        <v>20570.0</v>
      </c>
      <c r="F2672" s="47">
        <v>26.0</v>
      </c>
    </row>
    <row r="2673" ht="15.75" customHeight="1">
      <c r="A2673" s="46" t="s">
        <v>5571</v>
      </c>
      <c r="B2673" s="47" t="s">
        <v>5572</v>
      </c>
      <c r="C2673" s="47">
        <v>474.0</v>
      </c>
      <c r="D2673" s="47">
        <v>457.0</v>
      </c>
      <c r="E2673" s="47">
        <v>27130.0</v>
      </c>
      <c r="F2673" s="47" t="s">
        <v>11</v>
      </c>
    </row>
    <row r="2674" ht="15.75" customHeight="1">
      <c r="A2674" s="46" t="s">
        <v>5573</v>
      </c>
      <c r="B2674" s="47" t="s">
        <v>5574</v>
      </c>
      <c r="C2674" s="47">
        <v>77.0</v>
      </c>
      <c r="D2674" s="47">
        <v>71.0</v>
      </c>
      <c r="E2674" s="47" t="s">
        <v>11</v>
      </c>
      <c r="F2674" s="47" t="s">
        <v>11</v>
      </c>
    </row>
    <row r="2675" ht="15.75" customHeight="1">
      <c r="A2675" s="46" t="s">
        <v>5575</v>
      </c>
      <c r="B2675" s="47" t="s">
        <v>5576</v>
      </c>
      <c r="C2675" s="47">
        <v>700.0</v>
      </c>
      <c r="D2675" s="47">
        <v>670.0</v>
      </c>
      <c r="E2675" s="47">
        <v>25550.0</v>
      </c>
      <c r="F2675" s="47" t="s">
        <v>11</v>
      </c>
    </row>
    <row r="2676" ht="15.75" customHeight="1">
      <c r="A2676" s="46" t="s">
        <v>5577</v>
      </c>
      <c r="B2676" s="47" t="s">
        <v>5578</v>
      </c>
      <c r="C2676" s="47">
        <v>651.0</v>
      </c>
      <c r="D2676" s="47">
        <v>649.0</v>
      </c>
      <c r="E2676" s="47">
        <v>25200.0</v>
      </c>
      <c r="F2676" s="47" t="s">
        <v>11</v>
      </c>
    </row>
    <row r="2677" ht="15.75" customHeight="1">
      <c r="A2677" s="46" t="s">
        <v>5579</v>
      </c>
      <c r="B2677" s="47" t="s">
        <v>5580</v>
      </c>
      <c r="C2677" s="47">
        <v>697.0</v>
      </c>
      <c r="D2677" s="47">
        <v>730.0</v>
      </c>
      <c r="E2677" s="47">
        <v>26870.0</v>
      </c>
      <c r="F2677" s="47" t="s">
        <v>11</v>
      </c>
    </row>
    <row r="2678" ht="15.75" customHeight="1">
      <c r="A2678" s="46" t="s">
        <v>5581</v>
      </c>
      <c r="B2678" s="47" t="s">
        <v>5582</v>
      </c>
      <c r="C2678" s="47">
        <v>656.0</v>
      </c>
      <c r="D2678" s="47">
        <v>655.0</v>
      </c>
      <c r="E2678" s="47">
        <v>23310.0</v>
      </c>
      <c r="F2678" s="47" t="s">
        <v>11</v>
      </c>
    </row>
    <row r="2679" ht="15.75" customHeight="1">
      <c r="A2679" s="46" t="s">
        <v>5583</v>
      </c>
      <c r="B2679" s="47" t="s">
        <v>5584</v>
      </c>
      <c r="C2679" s="47">
        <v>11363.0</v>
      </c>
      <c r="D2679" s="47">
        <v>11619.0</v>
      </c>
      <c r="E2679" s="47">
        <v>20640.0</v>
      </c>
      <c r="F2679" s="47">
        <v>26.0</v>
      </c>
    </row>
    <row r="2680" ht="15.75" customHeight="1">
      <c r="A2680" s="46" t="s">
        <v>5585</v>
      </c>
      <c r="B2680" s="47" t="s">
        <v>5586</v>
      </c>
      <c r="C2680" s="47">
        <v>3348.0</v>
      </c>
      <c r="D2680" s="47">
        <v>3342.0</v>
      </c>
      <c r="E2680" s="47">
        <v>27510.0</v>
      </c>
      <c r="F2680" s="47">
        <v>10.0</v>
      </c>
    </row>
    <row r="2681" ht="15.75" customHeight="1">
      <c r="A2681" s="46" t="s">
        <v>5587</v>
      </c>
      <c r="B2681" s="47" t="s">
        <v>5588</v>
      </c>
      <c r="C2681" s="47">
        <v>664.0</v>
      </c>
      <c r="D2681" s="47">
        <v>620.0</v>
      </c>
      <c r="E2681" s="47">
        <v>22540.0</v>
      </c>
      <c r="F2681" s="47" t="s">
        <v>11</v>
      </c>
    </row>
    <row r="2682" ht="15.75" customHeight="1">
      <c r="A2682" s="46" t="s">
        <v>5589</v>
      </c>
      <c r="B2682" s="47" t="s">
        <v>5590</v>
      </c>
      <c r="C2682" s="47">
        <v>3786.0</v>
      </c>
      <c r="D2682" s="47">
        <v>3691.0</v>
      </c>
      <c r="E2682" s="47">
        <v>24130.0</v>
      </c>
      <c r="F2682" s="47">
        <v>15.0</v>
      </c>
    </row>
    <row r="2683" ht="15.75" customHeight="1">
      <c r="A2683" s="46" t="s">
        <v>5591</v>
      </c>
      <c r="B2683" s="47" t="s">
        <v>5592</v>
      </c>
      <c r="C2683" s="47">
        <v>230.0</v>
      </c>
      <c r="D2683" s="47">
        <v>228.0</v>
      </c>
      <c r="E2683" s="47">
        <v>25400.0</v>
      </c>
      <c r="F2683" s="47" t="s">
        <v>11</v>
      </c>
    </row>
    <row r="2684" ht="15.75" customHeight="1">
      <c r="A2684" s="46" t="s">
        <v>5593</v>
      </c>
      <c r="B2684" s="47" t="s">
        <v>5594</v>
      </c>
      <c r="C2684" s="47">
        <v>139.0</v>
      </c>
      <c r="D2684" s="47">
        <v>133.0</v>
      </c>
      <c r="E2684" s="47">
        <v>25170.0</v>
      </c>
      <c r="F2684" s="47" t="s">
        <v>11</v>
      </c>
    </row>
    <row r="2685" ht="15.75" customHeight="1">
      <c r="A2685" s="46" t="s">
        <v>5595</v>
      </c>
      <c r="B2685" s="47" t="s">
        <v>5596</v>
      </c>
      <c r="C2685" s="47">
        <v>90.0</v>
      </c>
      <c r="D2685" s="47">
        <v>71.0</v>
      </c>
      <c r="E2685" s="47" t="s">
        <v>11</v>
      </c>
      <c r="F2685" s="47" t="s">
        <v>11</v>
      </c>
    </row>
    <row r="2686" ht="15.75" customHeight="1">
      <c r="A2686" s="46" t="s">
        <v>5597</v>
      </c>
      <c r="B2686" s="47" t="s">
        <v>5598</v>
      </c>
      <c r="C2686" s="47">
        <v>96.0</v>
      </c>
      <c r="D2686" s="47">
        <v>104.0</v>
      </c>
      <c r="E2686" s="47">
        <v>30230.0</v>
      </c>
      <c r="F2686" s="47" t="s">
        <v>11</v>
      </c>
    </row>
    <row r="2687" ht="15.75" customHeight="1">
      <c r="A2687" s="46" t="s">
        <v>5599</v>
      </c>
      <c r="B2687" s="47" t="s">
        <v>5600</v>
      </c>
      <c r="C2687" s="47">
        <v>561.0</v>
      </c>
      <c r="D2687" s="47">
        <v>545.0</v>
      </c>
      <c r="E2687" s="47">
        <v>25660.0</v>
      </c>
      <c r="F2687" s="47" t="s">
        <v>11</v>
      </c>
    </row>
    <row r="2688" ht="15.75" customHeight="1">
      <c r="A2688" s="46" t="s">
        <v>5601</v>
      </c>
      <c r="B2688" s="47" t="s">
        <v>5602</v>
      </c>
      <c r="C2688" s="47">
        <v>476.0</v>
      </c>
      <c r="D2688" s="47">
        <v>512.0</v>
      </c>
      <c r="E2688" s="47">
        <v>25860.0</v>
      </c>
      <c r="F2688" s="47" t="s">
        <v>11</v>
      </c>
    </row>
    <row r="2689" ht="15.75" customHeight="1">
      <c r="A2689" s="46" t="s">
        <v>5603</v>
      </c>
      <c r="B2689" s="47" t="s">
        <v>5604</v>
      </c>
      <c r="C2689" s="47">
        <v>300.0</v>
      </c>
      <c r="D2689" s="47">
        <v>285.0</v>
      </c>
      <c r="E2689" s="47">
        <v>22280.0</v>
      </c>
      <c r="F2689" s="47" t="s">
        <v>11</v>
      </c>
    </row>
    <row r="2690" ht="15.75" customHeight="1">
      <c r="A2690" s="46" t="s">
        <v>5605</v>
      </c>
      <c r="B2690" s="47" t="s">
        <v>5606</v>
      </c>
      <c r="C2690" s="47">
        <v>651.0</v>
      </c>
      <c r="D2690" s="47">
        <v>679.0</v>
      </c>
      <c r="E2690" s="47">
        <v>28970.0</v>
      </c>
      <c r="F2690" s="47" t="s">
        <v>11</v>
      </c>
    </row>
    <row r="2691" ht="15.75" customHeight="1">
      <c r="A2691" s="46" t="s">
        <v>5607</v>
      </c>
      <c r="B2691" s="47" t="s">
        <v>5608</v>
      </c>
      <c r="C2691" s="47">
        <v>592.0</v>
      </c>
      <c r="D2691" s="47">
        <v>600.0</v>
      </c>
      <c r="E2691" s="47">
        <v>22300.0</v>
      </c>
      <c r="F2691" s="47" t="s">
        <v>11</v>
      </c>
    </row>
    <row r="2692" ht="15.75" customHeight="1">
      <c r="A2692" s="46" t="s">
        <v>5609</v>
      </c>
      <c r="B2692" s="47" t="s">
        <v>5610</v>
      </c>
      <c r="C2692" s="47">
        <v>1359.0</v>
      </c>
      <c r="D2692" s="47">
        <v>1317.0</v>
      </c>
      <c r="E2692" s="47">
        <v>27310.0</v>
      </c>
      <c r="F2692" s="47" t="s">
        <v>11</v>
      </c>
    </row>
    <row r="2693" ht="15.75" customHeight="1">
      <c r="A2693" s="46" t="s">
        <v>5611</v>
      </c>
      <c r="B2693" s="47" t="s">
        <v>5612</v>
      </c>
      <c r="C2693" s="47">
        <v>413.0</v>
      </c>
      <c r="D2693" s="47">
        <v>384.0</v>
      </c>
      <c r="E2693" s="47">
        <v>24620.0</v>
      </c>
      <c r="F2693" s="47" t="s">
        <v>11</v>
      </c>
    </row>
    <row r="2694" ht="15.75" customHeight="1">
      <c r="A2694" s="46" t="s">
        <v>5613</v>
      </c>
      <c r="B2694" s="47" t="s">
        <v>5614</v>
      </c>
      <c r="C2694" s="47">
        <v>460.0</v>
      </c>
      <c r="D2694" s="47">
        <v>443.0</v>
      </c>
      <c r="E2694" s="47">
        <v>29690.0</v>
      </c>
      <c r="F2694" s="47" t="s">
        <v>11</v>
      </c>
    </row>
    <row r="2695" ht="15.75" customHeight="1">
      <c r="A2695" s="46" t="s">
        <v>5615</v>
      </c>
      <c r="B2695" s="47" t="s">
        <v>5616</v>
      </c>
      <c r="C2695" s="47">
        <v>10198.0</v>
      </c>
      <c r="D2695" s="47">
        <v>9743.0</v>
      </c>
      <c r="E2695" s="47">
        <v>20660.0</v>
      </c>
      <c r="F2695" s="47">
        <v>26.0</v>
      </c>
    </row>
    <row r="2696" ht="15.75" customHeight="1">
      <c r="A2696" s="46" t="s">
        <v>5617</v>
      </c>
      <c r="B2696" s="47" t="s">
        <v>5618</v>
      </c>
      <c r="C2696" s="47">
        <v>2014.0</v>
      </c>
      <c r="D2696" s="47">
        <v>1912.0</v>
      </c>
      <c r="E2696" s="47">
        <v>24070.0</v>
      </c>
      <c r="F2696" s="47" t="s">
        <v>11</v>
      </c>
    </row>
    <row r="2697" ht="15.75" customHeight="1">
      <c r="A2697" s="46" t="s">
        <v>5619</v>
      </c>
      <c r="B2697" s="47" t="s">
        <v>5620</v>
      </c>
      <c r="C2697" s="47">
        <v>1023.0</v>
      </c>
      <c r="D2697" s="47">
        <v>1022.0</v>
      </c>
      <c r="E2697" s="47">
        <v>30580.0</v>
      </c>
      <c r="F2697" s="47" t="s">
        <v>11</v>
      </c>
    </row>
    <row r="2698" ht="15.75" customHeight="1">
      <c r="A2698" s="46" t="s">
        <v>5621</v>
      </c>
      <c r="B2698" s="47" t="s">
        <v>5622</v>
      </c>
      <c r="C2698" s="47">
        <v>63.0</v>
      </c>
      <c r="D2698" s="47">
        <v>62.0</v>
      </c>
      <c r="E2698" s="47" t="s">
        <v>11</v>
      </c>
      <c r="F2698" s="47" t="s">
        <v>11</v>
      </c>
    </row>
    <row r="2699" ht="15.75" customHeight="1">
      <c r="A2699" s="46" t="s">
        <v>5623</v>
      </c>
      <c r="B2699" s="47" t="s">
        <v>5624</v>
      </c>
      <c r="C2699" s="47">
        <v>210.0</v>
      </c>
      <c r="D2699" s="47">
        <v>210.0</v>
      </c>
      <c r="E2699" s="47">
        <v>24010.0</v>
      </c>
      <c r="F2699" s="47" t="s">
        <v>11</v>
      </c>
    </row>
    <row r="2700" ht="15.75" customHeight="1">
      <c r="A2700" s="46" t="s">
        <v>5625</v>
      </c>
      <c r="B2700" s="47" t="s">
        <v>5626</v>
      </c>
      <c r="C2700" s="47">
        <v>558.0</v>
      </c>
      <c r="D2700" s="47">
        <v>557.0</v>
      </c>
      <c r="E2700" s="47">
        <v>25260.0</v>
      </c>
      <c r="F2700" s="47" t="s">
        <v>11</v>
      </c>
    </row>
    <row r="2701" ht="15.75" customHeight="1">
      <c r="A2701" s="46" t="s">
        <v>5627</v>
      </c>
      <c r="B2701" s="47" t="s">
        <v>5628</v>
      </c>
      <c r="C2701" s="47">
        <v>94.0</v>
      </c>
      <c r="D2701" s="47">
        <v>87.0</v>
      </c>
      <c r="E2701" s="47" t="s">
        <v>11</v>
      </c>
      <c r="F2701" s="47" t="s">
        <v>11</v>
      </c>
    </row>
    <row r="2702" ht="15.75" customHeight="1">
      <c r="A2702" s="46" t="s">
        <v>5629</v>
      </c>
      <c r="B2702" s="47" t="s">
        <v>5630</v>
      </c>
      <c r="C2702" s="47">
        <v>309.0</v>
      </c>
      <c r="D2702" s="47">
        <v>299.0</v>
      </c>
      <c r="E2702" s="47">
        <v>24990.0</v>
      </c>
      <c r="F2702" s="47" t="s">
        <v>11</v>
      </c>
    </row>
    <row r="2703" ht="15.75" customHeight="1">
      <c r="A2703" s="46" t="s">
        <v>5631</v>
      </c>
      <c r="B2703" s="47" t="s">
        <v>5632</v>
      </c>
      <c r="C2703" s="47">
        <v>1117.0</v>
      </c>
      <c r="D2703" s="47">
        <v>1170.0</v>
      </c>
      <c r="E2703" s="47">
        <v>27500.0</v>
      </c>
      <c r="F2703" s="47" t="s">
        <v>11</v>
      </c>
    </row>
    <row r="2704" ht="15.75" customHeight="1">
      <c r="A2704" s="46" t="s">
        <v>5633</v>
      </c>
      <c r="B2704" s="47" t="s">
        <v>5634</v>
      </c>
      <c r="C2704" s="47">
        <v>249.0</v>
      </c>
      <c r="D2704" s="47">
        <v>237.0</v>
      </c>
      <c r="E2704" s="47">
        <v>26430.0</v>
      </c>
      <c r="F2704" s="47" t="s">
        <v>11</v>
      </c>
    </row>
    <row r="2705" ht="15.75" customHeight="1">
      <c r="A2705" s="46" t="s">
        <v>5635</v>
      </c>
      <c r="B2705" s="47" t="s">
        <v>3983</v>
      </c>
      <c r="C2705" s="47">
        <v>272.0</v>
      </c>
      <c r="D2705" s="47">
        <v>289.0</v>
      </c>
      <c r="E2705" s="47">
        <v>26160.0</v>
      </c>
      <c r="F2705" s="47" t="s">
        <v>11</v>
      </c>
    </row>
    <row r="2706" ht="15.75" customHeight="1">
      <c r="A2706" s="46" t="s">
        <v>5636</v>
      </c>
      <c r="B2706" s="47" t="s">
        <v>5637</v>
      </c>
      <c r="C2706" s="47">
        <v>734.0</v>
      </c>
      <c r="D2706" s="47">
        <v>673.0</v>
      </c>
      <c r="E2706" s="47">
        <v>25800.0</v>
      </c>
      <c r="F2706" s="47" t="s">
        <v>11</v>
      </c>
    </row>
    <row r="2707" ht="15.75" customHeight="1">
      <c r="A2707" s="46" t="s">
        <v>5638</v>
      </c>
      <c r="B2707" s="47" t="s">
        <v>5639</v>
      </c>
      <c r="C2707" s="47">
        <v>212.0</v>
      </c>
      <c r="D2707" s="47">
        <v>225.0</v>
      </c>
      <c r="E2707" s="47">
        <v>27220.0</v>
      </c>
      <c r="F2707" s="47" t="s">
        <v>11</v>
      </c>
    </row>
    <row r="2708" ht="15.75" customHeight="1">
      <c r="A2708" s="46" t="s">
        <v>5640</v>
      </c>
      <c r="B2708" s="47" t="s">
        <v>5641</v>
      </c>
      <c r="C2708" s="47">
        <v>153.0</v>
      </c>
      <c r="D2708" s="47">
        <v>158.0</v>
      </c>
      <c r="E2708" s="47">
        <v>26550.0</v>
      </c>
      <c r="F2708" s="47" t="s">
        <v>11</v>
      </c>
    </row>
    <row r="2709" ht="15.75" customHeight="1">
      <c r="A2709" s="46" t="s">
        <v>5642</v>
      </c>
      <c r="B2709" s="47" t="s">
        <v>5643</v>
      </c>
      <c r="C2709" s="47">
        <v>282.0</v>
      </c>
      <c r="D2709" s="47">
        <v>357.0</v>
      </c>
      <c r="E2709" s="47">
        <v>20430.0</v>
      </c>
      <c r="F2709" s="47" t="s">
        <v>11</v>
      </c>
    </row>
    <row r="2710" ht="15.75" customHeight="1">
      <c r="A2710" s="46" t="s">
        <v>5644</v>
      </c>
      <c r="B2710" s="47" t="s">
        <v>5645</v>
      </c>
      <c r="C2710" s="47">
        <v>198.0</v>
      </c>
      <c r="D2710" s="47">
        <v>200.0</v>
      </c>
      <c r="E2710" s="47">
        <v>23840.0</v>
      </c>
      <c r="F2710" s="47" t="s">
        <v>11</v>
      </c>
    </row>
    <row r="2711" ht="15.75" customHeight="1">
      <c r="A2711" s="46" t="s">
        <v>5646</v>
      </c>
      <c r="B2711" s="47" t="s">
        <v>5647</v>
      </c>
      <c r="C2711" s="47">
        <v>953.0</v>
      </c>
      <c r="D2711" s="47">
        <v>1095.0</v>
      </c>
      <c r="E2711" s="47">
        <v>24100.0</v>
      </c>
      <c r="F2711" s="47" t="s">
        <v>11</v>
      </c>
    </row>
    <row r="2712" ht="15.75" customHeight="1">
      <c r="A2712" s="46" t="s">
        <v>5648</v>
      </c>
      <c r="B2712" s="47" t="s">
        <v>5649</v>
      </c>
      <c r="C2712" s="47">
        <v>3746.0</v>
      </c>
      <c r="D2712" s="47">
        <v>4115.0</v>
      </c>
      <c r="E2712" s="47">
        <v>28640.0</v>
      </c>
      <c r="F2712" s="47">
        <v>11.0</v>
      </c>
    </row>
    <row r="2713" ht="15.75" customHeight="1">
      <c r="A2713" s="46" t="s">
        <v>5650</v>
      </c>
      <c r="B2713" s="47" t="s">
        <v>5651</v>
      </c>
      <c r="C2713" s="47">
        <v>28.0</v>
      </c>
      <c r="D2713" s="47">
        <v>22.0</v>
      </c>
      <c r="E2713" s="47" t="s">
        <v>11</v>
      </c>
      <c r="F2713" s="47" t="s">
        <v>11</v>
      </c>
    </row>
    <row r="2714" ht="15.75" customHeight="1">
      <c r="A2714" s="46" t="s">
        <v>5652</v>
      </c>
      <c r="B2714" s="47" t="s">
        <v>5653</v>
      </c>
      <c r="C2714" s="47">
        <v>1440.0</v>
      </c>
      <c r="D2714" s="47">
        <v>1409.0</v>
      </c>
      <c r="E2714" s="47">
        <v>30640.0</v>
      </c>
      <c r="F2714" s="47" t="s">
        <v>11</v>
      </c>
    </row>
    <row r="2715" ht="15.75" customHeight="1">
      <c r="A2715" s="46" t="s">
        <v>5654</v>
      </c>
      <c r="B2715" s="47" t="s">
        <v>5655</v>
      </c>
      <c r="C2715" s="47">
        <v>71.0</v>
      </c>
      <c r="D2715" s="47">
        <v>59.0</v>
      </c>
      <c r="E2715" s="47" t="s">
        <v>11</v>
      </c>
      <c r="F2715" s="47" t="s">
        <v>11</v>
      </c>
    </row>
    <row r="2716" ht="15.75" customHeight="1">
      <c r="A2716" s="46" t="s">
        <v>5656</v>
      </c>
      <c r="B2716" s="47" t="s">
        <v>5657</v>
      </c>
      <c r="C2716" s="47">
        <v>168.0</v>
      </c>
      <c r="D2716" s="47">
        <v>171.0</v>
      </c>
      <c r="E2716" s="47">
        <v>26790.0</v>
      </c>
      <c r="F2716" s="47" t="s">
        <v>11</v>
      </c>
    </row>
    <row r="2717" ht="15.75" customHeight="1">
      <c r="A2717" s="46" t="s">
        <v>5658</v>
      </c>
      <c r="B2717" s="47" t="s">
        <v>5659</v>
      </c>
      <c r="C2717" s="47">
        <v>1526.0</v>
      </c>
      <c r="D2717" s="47">
        <v>1628.0</v>
      </c>
      <c r="E2717" s="47">
        <v>32390.0</v>
      </c>
      <c r="F2717" s="47" t="s">
        <v>11</v>
      </c>
    </row>
    <row r="2718" ht="15.75" customHeight="1">
      <c r="A2718" s="46" t="s">
        <v>5660</v>
      </c>
      <c r="B2718" s="47" t="s">
        <v>5661</v>
      </c>
      <c r="C2718" s="47">
        <v>650.0</v>
      </c>
      <c r="D2718" s="47">
        <v>618.0</v>
      </c>
      <c r="E2718" s="47">
        <v>22310.0</v>
      </c>
      <c r="F2718" s="47" t="s">
        <v>11</v>
      </c>
    </row>
    <row r="2719" ht="15.75" customHeight="1">
      <c r="A2719" s="46" t="s">
        <v>5662</v>
      </c>
      <c r="B2719" s="47" t="s">
        <v>5663</v>
      </c>
      <c r="C2719" s="47">
        <v>505.0</v>
      </c>
      <c r="D2719" s="47">
        <v>481.0</v>
      </c>
      <c r="E2719" s="47">
        <v>29190.0</v>
      </c>
      <c r="F2719" s="47" t="s">
        <v>11</v>
      </c>
    </row>
    <row r="2720" ht="15.75" customHeight="1">
      <c r="A2720" s="46" t="s">
        <v>5664</v>
      </c>
      <c r="B2720" s="47" t="s">
        <v>5665</v>
      </c>
      <c r="C2720" s="47">
        <v>574.0</v>
      </c>
      <c r="D2720" s="47">
        <v>570.0</v>
      </c>
      <c r="E2720" s="47">
        <v>28160.0</v>
      </c>
      <c r="F2720" s="47" t="s">
        <v>11</v>
      </c>
    </row>
    <row r="2721" ht="15.75" customHeight="1">
      <c r="A2721" s="46" t="s">
        <v>5666</v>
      </c>
      <c r="B2721" s="47" t="s">
        <v>5667</v>
      </c>
      <c r="C2721" s="47">
        <v>847.0</v>
      </c>
      <c r="D2721" s="47">
        <v>902.0</v>
      </c>
      <c r="E2721" s="47">
        <v>23590.0</v>
      </c>
      <c r="F2721" s="47" t="s">
        <v>11</v>
      </c>
    </row>
    <row r="2722" ht="15.75" customHeight="1">
      <c r="A2722" s="46" t="s">
        <v>5668</v>
      </c>
      <c r="B2722" s="47" t="s">
        <v>5669</v>
      </c>
      <c r="C2722" s="47">
        <v>557.0</v>
      </c>
      <c r="D2722" s="47">
        <v>577.0</v>
      </c>
      <c r="E2722" s="47">
        <v>26510.0</v>
      </c>
      <c r="F2722" s="47" t="s">
        <v>11</v>
      </c>
    </row>
    <row r="2723" ht="15.75" customHeight="1">
      <c r="A2723" s="46" t="s">
        <v>5670</v>
      </c>
      <c r="B2723" s="47" t="s">
        <v>5671</v>
      </c>
      <c r="C2723" s="47">
        <v>281.0</v>
      </c>
      <c r="D2723" s="47">
        <v>280.0</v>
      </c>
      <c r="E2723" s="47">
        <v>29320.0</v>
      </c>
      <c r="F2723" s="47" t="s">
        <v>11</v>
      </c>
    </row>
    <row r="2724" ht="15.75" customHeight="1">
      <c r="A2724" s="46" t="s">
        <v>5672</v>
      </c>
      <c r="B2724" s="47" t="s">
        <v>5673</v>
      </c>
      <c r="C2724" s="47">
        <v>179.0</v>
      </c>
      <c r="D2724" s="47">
        <v>186.0</v>
      </c>
      <c r="E2724" s="47">
        <v>22100.0</v>
      </c>
      <c r="F2724" s="47" t="s">
        <v>11</v>
      </c>
    </row>
    <row r="2725" ht="15.75" customHeight="1">
      <c r="A2725" s="46" t="s">
        <v>5674</v>
      </c>
      <c r="B2725" s="47" t="s">
        <v>5675</v>
      </c>
      <c r="C2725" s="47">
        <v>12074.0</v>
      </c>
      <c r="D2725" s="47">
        <v>11590.0</v>
      </c>
      <c r="E2725" s="47">
        <v>20690.0</v>
      </c>
      <c r="F2725" s="47">
        <v>24.0</v>
      </c>
    </row>
    <row r="2726" ht="15.75" customHeight="1">
      <c r="A2726" s="46" t="s">
        <v>5676</v>
      </c>
      <c r="B2726" s="47" t="s">
        <v>5677</v>
      </c>
      <c r="C2726" s="47">
        <v>1273.0</v>
      </c>
      <c r="D2726" s="47">
        <v>1271.0</v>
      </c>
      <c r="E2726" s="47">
        <v>24290.0</v>
      </c>
      <c r="F2726" s="47" t="s">
        <v>11</v>
      </c>
    </row>
    <row r="2727" ht="15.75" customHeight="1">
      <c r="A2727" s="46" t="s">
        <v>5678</v>
      </c>
      <c r="B2727" s="47" t="s">
        <v>5679</v>
      </c>
      <c r="C2727" s="47">
        <v>160.0</v>
      </c>
      <c r="D2727" s="47">
        <v>130.0</v>
      </c>
      <c r="E2727" s="47">
        <v>25420.0</v>
      </c>
      <c r="F2727" s="47" t="s">
        <v>11</v>
      </c>
    </row>
    <row r="2728" ht="15.75" customHeight="1">
      <c r="A2728" s="46" t="s">
        <v>5680</v>
      </c>
      <c r="B2728" s="47" t="s">
        <v>5681</v>
      </c>
      <c r="C2728" s="47">
        <v>1398.0</v>
      </c>
      <c r="D2728" s="47">
        <v>1381.0</v>
      </c>
      <c r="E2728" s="47">
        <v>24410.0</v>
      </c>
      <c r="F2728" s="47" t="s">
        <v>11</v>
      </c>
    </row>
    <row r="2729" ht="15.75" customHeight="1">
      <c r="A2729" s="46" t="s">
        <v>5682</v>
      </c>
      <c r="B2729" s="47" t="s">
        <v>5683</v>
      </c>
      <c r="C2729" s="47">
        <v>1613.0</v>
      </c>
      <c r="D2729" s="47">
        <v>1756.0</v>
      </c>
      <c r="E2729" s="47">
        <v>25250.0</v>
      </c>
      <c r="F2729" s="47" t="s">
        <v>11</v>
      </c>
    </row>
    <row r="2730" ht="15.75" customHeight="1">
      <c r="A2730" s="46" t="s">
        <v>5684</v>
      </c>
      <c r="B2730" s="47" t="s">
        <v>5685</v>
      </c>
      <c r="C2730" s="47">
        <v>234.0</v>
      </c>
      <c r="D2730" s="47">
        <v>261.0</v>
      </c>
      <c r="E2730" s="47">
        <v>24070.0</v>
      </c>
      <c r="F2730" s="47" t="s">
        <v>11</v>
      </c>
    </row>
    <row r="2731" ht="15.75" customHeight="1">
      <c r="A2731" s="46" t="s">
        <v>5686</v>
      </c>
      <c r="B2731" s="47" t="s">
        <v>5687</v>
      </c>
      <c r="C2731" s="47">
        <v>679.0</v>
      </c>
      <c r="D2731" s="47">
        <v>709.0</v>
      </c>
      <c r="E2731" s="47">
        <v>28620.0</v>
      </c>
      <c r="F2731" s="47" t="s">
        <v>11</v>
      </c>
    </row>
    <row r="2732" ht="15.75" customHeight="1">
      <c r="A2732" s="46" t="s">
        <v>5688</v>
      </c>
      <c r="B2732" s="47" t="s">
        <v>5689</v>
      </c>
      <c r="C2732" s="47">
        <v>5973.0</v>
      </c>
      <c r="D2732" s="47">
        <v>5994.0</v>
      </c>
      <c r="E2732" s="47">
        <v>21450.0</v>
      </c>
      <c r="F2732" s="47">
        <v>24.0</v>
      </c>
    </row>
    <row r="2733" ht="15.75" customHeight="1">
      <c r="A2733" s="46" t="s">
        <v>5690</v>
      </c>
      <c r="B2733" s="47" t="s">
        <v>5691</v>
      </c>
      <c r="C2733" s="47">
        <v>53.0</v>
      </c>
      <c r="D2733" s="47">
        <v>56.0</v>
      </c>
      <c r="E2733" s="47" t="s">
        <v>11</v>
      </c>
      <c r="F2733" s="47" t="s">
        <v>11</v>
      </c>
    </row>
    <row r="2734" ht="15.75" customHeight="1">
      <c r="A2734" s="46" t="s">
        <v>5692</v>
      </c>
      <c r="B2734" s="47" t="s">
        <v>5693</v>
      </c>
      <c r="C2734" s="47">
        <v>2401.0</v>
      </c>
      <c r="D2734" s="47">
        <v>2273.0</v>
      </c>
      <c r="E2734" s="47">
        <v>23860.0</v>
      </c>
      <c r="F2734" s="47">
        <v>18.0</v>
      </c>
    </row>
    <row r="2735" ht="15.75" customHeight="1">
      <c r="A2735" s="46" t="s">
        <v>5694</v>
      </c>
      <c r="B2735" s="47" t="s">
        <v>5695</v>
      </c>
      <c r="C2735" s="47">
        <v>812.0</v>
      </c>
      <c r="D2735" s="47">
        <v>848.0</v>
      </c>
      <c r="E2735" s="47">
        <v>28820.0</v>
      </c>
      <c r="F2735" s="47" t="s">
        <v>11</v>
      </c>
    </row>
    <row r="2736" ht="15.75" customHeight="1">
      <c r="A2736" s="46" t="s">
        <v>5696</v>
      </c>
      <c r="B2736" s="47" t="s">
        <v>5697</v>
      </c>
      <c r="C2736" s="47">
        <v>6561.0</v>
      </c>
      <c r="D2736" s="47">
        <v>6854.0</v>
      </c>
      <c r="E2736" s="47">
        <v>19360.0</v>
      </c>
      <c r="F2736" s="47">
        <v>30.0</v>
      </c>
    </row>
    <row r="2737" ht="15.75" customHeight="1">
      <c r="A2737" s="46" t="s">
        <v>5698</v>
      </c>
      <c r="B2737" s="47" t="s">
        <v>5699</v>
      </c>
      <c r="C2737" s="47">
        <v>173.0</v>
      </c>
      <c r="D2737" s="47">
        <v>154.0</v>
      </c>
      <c r="E2737" s="47">
        <v>28000.0</v>
      </c>
      <c r="F2737" s="47" t="s">
        <v>11</v>
      </c>
    </row>
    <row r="2738" ht="15.75" customHeight="1">
      <c r="A2738" s="46" t="s">
        <v>5700</v>
      </c>
      <c r="B2738" s="47" t="s">
        <v>5701</v>
      </c>
      <c r="C2738" s="47">
        <v>294.0</v>
      </c>
      <c r="D2738" s="47">
        <v>256.0</v>
      </c>
      <c r="E2738" s="47">
        <v>28440.0</v>
      </c>
      <c r="F2738" s="47" t="s">
        <v>11</v>
      </c>
    </row>
    <row r="2739" ht="15.75" customHeight="1">
      <c r="A2739" s="46" t="s">
        <v>5702</v>
      </c>
      <c r="B2739" s="47" t="s">
        <v>5703</v>
      </c>
      <c r="C2739" s="47">
        <v>476.0</v>
      </c>
      <c r="D2739" s="47">
        <v>471.0</v>
      </c>
      <c r="E2739" s="47">
        <v>24110.0</v>
      </c>
      <c r="F2739" s="47" t="s">
        <v>11</v>
      </c>
    </row>
    <row r="2740" ht="15.75" customHeight="1">
      <c r="A2740" s="46" t="s">
        <v>5704</v>
      </c>
      <c r="B2740" s="47" t="s">
        <v>5705</v>
      </c>
      <c r="C2740" s="47">
        <v>379.0</v>
      </c>
      <c r="D2740" s="47">
        <v>384.0</v>
      </c>
      <c r="E2740" s="47">
        <v>23560.0</v>
      </c>
      <c r="F2740" s="47" t="s">
        <v>11</v>
      </c>
    </row>
    <row r="2741" ht="15.75" customHeight="1">
      <c r="A2741" s="46" t="s">
        <v>5706</v>
      </c>
      <c r="B2741" s="47" t="s">
        <v>5707</v>
      </c>
      <c r="C2741" s="47">
        <v>249.0</v>
      </c>
      <c r="D2741" s="47">
        <v>251.0</v>
      </c>
      <c r="E2741" s="47">
        <v>23920.0</v>
      </c>
      <c r="F2741" s="47" t="s">
        <v>11</v>
      </c>
    </row>
    <row r="2742" ht="15.75" customHeight="1">
      <c r="A2742" s="46" t="s">
        <v>5708</v>
      </c>
      <c r="B2742" s="47" t="s">
        <v>5709</v>
      </c>
      <c r="C2742" s="47">
        <v>1167.0</v>
      </c>
      <c r="D2742" s="47">
        <v>1291.0</v>
      </c>
      <c r="E2742" s="47">
        <v>24880.0</v>
      </c>
      <c r="F2742" s="47" t="s">
        <v>11</v>
      </c>
    </row>
    <row r="2743" ht="15.75" customHeight="1">
      <c r="A2743" s="46" t="s">
        <v>5710</v>
      </c>
      <c r="B2743" s="47" t="s">
        <v>5711</v>
      </c>
      <c r="C2743" s="47">
        <v>207.0</v>
      </c>
      <c r="D2743" s="47">
        <v>210.0</v>
      </c>
      <c r="E2743" s="47">
        <v>23070.0</v>
      </c>
      <c r="F2743" s="47" t="s">
        <v>11</v>
      </c>
    </row>
    <row r="2744" ht="15.75" customHeight="1">
      <c r="A2744" s="46" t="s">
        <v>5712</v>
      </c>
      <c r="B2744" s="47" t="s">
        <v>5713</v>
      </c>
      <c r="C2744" s="47">
        <v>264.0</v>
      </c>
      <c r="D2744" s="47">
        <v>276.0</v>
      </c>
      <c r="E2744" s="47">
        <v>29470.0</v>
      </c>
      <c r="F2744" s="47" t="s">
        <v>11</v>
      </c>
    </row>
    <row r="2745" ht="15.75" customHeight="1">
      <c r="A2745" s="46" t="s">
        <v>5714</v>
      </c>
      <c r="B2745" s="47" t="s">
        <v>5715</v>
      </c>
      <c r="C2745" s="47">
        <v>9767.0</v>
      </c>
      <c r="D2745" s="47">
        <v>10323.0</v>
      </c>
      <c r="E2745" s="47">
        <v>21020.0</v>
      </c>
      <c r="F2745" s="47">
        <v>26.0</v>
      </c>
    </row>
    <row r="2746" ht="15.75" customHeight="1">
      <c r="A2746" s="46" t="s">
        <v>5716</v>
      </c>
      <c r="B2746" s="47" t="s">
        <v>5717</v>
      </c>
      <c r="C2746" s="47">
        <v>1217.0</v>
      </c>
      <c r="D2746" s="47">
        <v>1213.0</v>
      </c>
      <c r="E2746" s="47">
        <v>24510.0</v>
      </c>
      <c r="F2746" s="47" t="s">
        <v>11</v>
      </c>
    </row>
    <row r="2747" ht="15.75" customHeight="1">
      <c r="A2747" s="46" t="s">
        <v>5718</v>
      </c>
      <c r="B2747" s="47" t="s">
        <v>5719</v>
      </c>
      <c r="C2747" s="47">
        <v>399.0</v>
      </c>
      <c r="D2747" s="47">
        <v>418.0</v>
      </c>
      <c r="E2747" s="47">
        <v>31050.0</v>
      </c>
      <c r="F2747" s="47" t="s">
        <v>11</v>
      </c>
    </row>
    <row r="2748" ht="15.75" customHeight="1">
      <c r="A2748" s="46" t="s">
        <v>5720</v>
      </c>
      <c r="B2748" s="47" t="s">
        <v>5721</v>
      </c>
      <c r="C2748" s="47">
        <v>402.0</v>
      </c>
      <c r="D2748" s="47">
        <v>341.0</v>
      </c>
      <c r="E2748" s="47">
        <v>24400.0</v>
      </c>
      <c r="F2748" s="47" t="s">
        <v>11</v>
      </c>
    </row>
    <row r="2749" ht="15.75" customHeight="1">
      <c r="A2749" s="46" t="s">
        <v>5722</v>
      </c>
      <c r="B2749" s="47" t="s">
        <v>5723</v>
      </c>
      <c r="C2749" s="47">
        <v>239.0</v>
      </c>
      <c r="D2749" s="47">
        <v>227.0</v>
      </c>
      <c r="E2749" s="47">
        <v>25420.0</v>
      </c>
      <c r="F2749" s="47" t="s">
        <v>11</v>
      </c>
    </row>
    <row r="2750" ht="15.75" customHeight="1">
      <c r="A2750" s="46" t="s">
        <v>5724</v>
      </c>
      <c r="B2750" s="47" t="s">
        <v>5725</v>
      </c>
      <c r="C2750" s="47">
        <v>769.0</v>
      </c>
      <c r="D2750" s="47">
        <v>719.0</v>
      </c>
      <c r="E2750" s="47">
        <v>23560.0</v>
      </c>
      <c r="F2750" s="47" t="s">
        <v>11</v>
      </c>
    </row>
    <row r="2751" ht="15.75" customHeight="1">
      <c r="A2751" s="46" t="s">
        <v>5726</v>
      </c>
      <c r="B2751" s="47" t="s">
        <v>5727</v>
      </c>
      <c r="C2751" s="47">
        <v>13422.0</v>
      </c>
      <c r="D2751" s="47">
        <v>13138.0</v>
      </c>
      <c r="E2751" s="47">
        <v>21970.0</v>
      </c>
      <c r="F2751" s="47">
        <v>19.0</v>
      </c>
    </row>
    <row r="2752" ht="15.75" customHeight="1">
      <c r="A2752" s="46" t="s">
        <v>5728</v>
      </c>
      <c r="B2752" s="47" t="s">
        <v>5729</v>
      </c>
      <c r="C2752" s="47">
        <v>506.0</v>
      </c>
      <c r="D2752" s="47">
        <v>493.0</v>
      </c>
      <c r="E2752" s="47">
        <v>23610.0</v>
      </c>
      <c r="F2752" s="47" t="s">
        <v>11</v>
      </c>
    </row>
    <row r="2753" ht="15.75" customHeight="1">
      <c r="A2753" s="46" t="s">
        <v>5730</v>
      </c>
      <c r="B2753" s="47" t="s">
        <v>5731</v>
      </c>
      <c r="C2753" s="47">
        <v>5373.0</v>
      </c>
      <c r="D2753" s="47">
        <v>5780.0</v>
      </c>
      <c r="E2753" s="47">
        <v>25870.0</v>
      </c>
      <c r="F2753" s="47">
        <v>11.0</v>
      </c>
    </row>
    <row r="2754" ht="15.75" customHeight="1">
      <c r="A2754" s="46" t="s">
        <v>5732</v>
      </c>
      <c r="B2754" s="47" t="s">
        <v>5733</v>
      </c>
      <c r="C2754" s="47">
        <v>563.0</v>
      </c>
      <c r="D2754" s="47">
        <v>566.0</v>
      </c>
      <c r="E2754" s="47">
        <v>24330.0</v>
      </c>
      <c r="F2754" s="47" t="s">
        <v>11</v>
      </c>
    </row>
    <row r="2755" ht="15.75" customHeight="1">
      <c r="A2755" s="46" t="s">
        <v>5734</v>
      </c>
      <c r="B2755" s="47" t="s">
        <v>5735</v>
      </c>
      <c r="C2755" s="47">
        <v>776.0</v>
      </c>
      <c r="D2755" s="47">
        <v>740.0</v>
      </c>
      <c r="E2755" s="47">
        <v>21880.0</v>
      </c>
      <c r="F2755" s="47" t="s">
        <v>11</v>
      </c>
    </row>
    <row r="2756" ht="15.75" customHeight="1">
      <c r="A2756" s="46" t="s">
        <v>5736</v>
      </c>
      <c r="B2756" s="47" t="s">
        <v>5737</v>
      </c>
      <c r="C2756" s="47">
        <v>520.0</v>
      </c>
      <c r="D2756" s="47">
        <v>559.0</v>
      </c>
      <c r="E2756" s="47">
        <v>24460.0</v>
      </c>
      <c r="F2756" s="47" t="s">
        <v>11</v>
      </c>
    </row>
    <row r="2757" ht="15.75" customHeight="1">
      <c r="A2757" s="46" t="s">
        <v>5738</v>
      </c>
      <c r="B2757" s="47" t="s">
        <v>5739</v>
      </c>
      <c r="C2757" s="47">
        <v>762.0</v>
      </c>
      <c r="D2757" s="47">
        <v>768.0</v>
      </c>
      <c r="E2757" s="47">
        <v>22040.0</v>
      </c>
      <c r="F2757" s="47" t="s">
        <v>11</v>
      </c>
    </row>
    <row r="2758" ht="15.75" customHeight="1">
      <c r="A2758" s="46" t="s">
        <v>5740</v>
      </c>
      <c r="B2758" s="47" t="s">
        <v>5741</v>
      </c>
      <c r="C2758" s="47">
        <v>740.0</v>
      </c>
      <c r="D2758" s="47">
        <v>770.0</v>
      </c>
      <c r="E2758" s="47">
        <v>27730.0</v>
      </c>
      <c r="F2758" s="47" t="s">
        <v>11</v>
      </c>
    </row>
    <row r="2759" ht="15.75" customHeight="1">
      <c r="A2759" s="46" t="s">
        <v>5742</v>
      </c>
      <c r="B2759" s="47" t="s">
        <v>5743</v>
      </c>
      <c r="C2759" s="47">
        <v>474.0</v>
      </c>
      <c r="D2759" s="47">
        <v>458.0</v>
      </c>
      <c r="E2759" s="47">
        <v>25550.0</v>
      </c>
      <c r="F2759" s="47" t="s">
        <v>11</v>
      </c>
    </row>
    <row r="2760" ht="15.75" customHeight="1">
      <c r="A2760" s="46" t="s">
        <v>5744</v>
      </c>
      <c r="B2760" s="47" t="s">
        <v>5745</v>
      </c>
      <c r="C2760" s="47">
        <v>1686.0</v>
      </c>
      <c r="D2760" s="47">
        <v>1574.0</v>
      </c>
      <c r="E2760" s="47">
        <v>22490.0</v>
      </c>
      <c r="F2760" s="47" t="s">
        <v>11</v>
      </c>
    </row>
    <row r="2761" ht="15.75" customHeight="1">
      <c r="A2761" s="46" t="s">
        <v>5746</v>
      </c>
      <c r="B2761" s="47" t="s">
        <v>5747</v>
      </c>
      <c r="C2761" s="47">
        <v>421.0</v>
      </c>
      <c r="D2761" s="47">
        <v>422.0</v>
      </c>
      <c r="E2761" s="47">
        <v>27910.0</v>
      </c>
      <c r="F2761" s="47" t="s">
        <v>11</v>
      </c>
    </row>
    <row r="2762" ht="15.75" customHeight="1">
      <c r="A2762" s="46" t="s">
        <v>5748</v>
      </c>
      <c r="B2762" s="47" t="s">
        <v>5749</v>
      </c>
      <c r="C2762" s="47">
        <v>777.0</v>
      </c>
      <c r="D2762" s="47">
        <v>789.0</v>
      </c>
      <c r="E2762" s="47">
        <v>29110.0</v>
      </c>
      <c r="F2762" s="47" t="s">
        <v>11</v>
      </c>
    </row>
    <row r="2763" ht="15.75" customHeight="1">
      <c r="A2763" s="46" t="s">
        <v>5750</v>
      </c>
      <c r="B2763" s="47" t="s">
        <v>5751</v>
      </c>
      <c r="C2763" s="47">
        <v>292.0</v>
      </c>
      <c r="D2763" s="47">
        <v>325.0</v>
      </c>
      <c r="E2763" s="47">
        <v>25490.0</v>
      </c>
      <c r="F2763" s="47" t="s">
        <v>11</v>
      </c>
    </row>
    <row r="2764" ht="15.75" customHeight="1">
      <c r="A2764" s="46" t="s">
        <v>5752</v>
      </c>
      <c r="B2764" s="47" t="s">
        <v>5753</v>
      </c>
      <c r="C2764" s="47">
        <v>948.0</v>
      </c>
      <c r="D2764" s="47">
        <v>919.0</v>
      </c>
      <c r="E2764" s="47">
        <v>26470.0</v>
      </c>
      <c r="F2764" s="47" t="s">
        <v>11</v>
      </c>
    </row>
    <row r="2765" ht="15.75" customHeight="1">
      <c r="A2765" s="46" t="s">
        <v>5754</v>
      </c>
      <c r="B2765" s="47" t="s">
        <v>5755</v>
      </c>
      <c r="C2765" s="47">
        <v>499.0</v>
      </c>
      <c r="D2765" s="47">
        <v>545.0</v>
      </c>
      <c r="E2765" s="47">
        <v>29960.0</v>
      </c>
      <c r="F2765" s="47" t="s">
        <v>11</v>
      </c>
    </row>
    <row r="2766" ht="15.75" customHeight="1">
      <c r="A2766" s="46" t="s">
        <v>5756</v>
      </c>
      <c r="B2766" s="47" t="s">
        <v>5757</v>
      </c>
      <c r="C2766" s="47">
        <v>124.0</v>
      </c>
      <c r="D2766" s="47">
        <v>114.0</v>
      </c>
      <c r="E2766" s="47">
        <v>33450.0</v>
      </c>
      <c r="F2766" s="47" t="s">
        <v>11</v>
      </c>
    </row>
    <row r="2767" ht="15.75" customHeight="1">
      <c r="A2767" s="46" t="s">
        <v>5758</v>
      </c>
      <c r="B2767" s="47" t="s">
        <v>5759</v>
      </c>
      <c r="C2767" s="47">
        <v>81.0</v>
      </c>
      <c r="D2767" s="47">
        <v>104.0</v>
      </c>
      <c r="E2767" s="47" t="s">
        <v>11</v>
      </c>
      <c r="F2767" s="47" t="s">
        <v>11</v>
      </c>
    </row>
    <row r="2768" ht="15.75" customHeight="1">
      <c r="A2768" s="46" t="s">
        <v>5760</v>
      </c>
      <c r="B2768" s="47" t="s">
        <v>5761</v>
      </c>
      <c r="C2768" s="47">
        <v>454.0</v>
      </c>
      <c r="D2768" s="47">
        <v>452.0</v>
      </c>
      <c r="E2768" s="47">
        <v>28290.0</v>
      </c>
      <c r="F2768" s="47" t="s">
        <v>11</v>
      </c>
    </row>
    <row r="2769" ht="15.75" customHeight="1">
      <c r="A2769" s="46" t="s">
        <v>5762</v>
      </c>
      <c r="B2769" s="47" t="s">
        <v>5763</v>
      </c>
      <c r="C2769" s="47">
        <v>494.0</v>
      </c>
      <c r="D2769" s="47">
        <v>511.0</v>
      </c>
      <c r="E2769" s="47">
        <v>24240.0</v>
      </c>
      <c r="F2769" s="47" t="s">
        <v>11</v>
      </c>
    </row>
    <row r="2770" ht="15.75" customHeight="1">
      <c r="A2770" s="46" t="s">
        <v>5764</v>
      </c>
      <c r="B2770" s="47" t="s">
        <v>5765</v>
      </c>
      <c r="C2770" s="47">
        <v>853.0</v>
      </c>
      <c r="D2770" s="47">
        <v>867.0</v>
      </c>
      <c r="E2770" s="47">
        <v>25200.0</v>
      </c>
      <c r="F2770" s="47" t="s">
        <v>11</v>
      </c>
    </row>
    <row r="2771" ht="15.75" customHeight="1">
      <c r="A2771" s="46" t="s">
        <v>5766</v>
      </c>
      <c r="B2771" s="47" t="s">
        <v>5767</v>
      </c>
      <c r="C2771" s="47">
        <v>306.0</v>
      </c>
      <c r="D2771" s="47">
        <v>307.0</v>
      </c>
      <c r="E2771" s="47">
        <v>23260.0</v>
      </c>
      <c r="F2771" s="47" t="s">
        <v>11</v>
      </c>
    </row>
    <row r="2772" ht="15.75" customHeight="1">
      <c r="A2772" s="46" t="s">
        <v>5768</v>
      </c>
      <c r="B2772" s="47" t="s">
        <v>5769</v>
      </c>
      <c r="C2772" s="47">
        <v>232.0</v>
      </c>
      <c r="D2772" s="47">
        <v>244.0</v>
      </c>
      <c r="E2772" s="47">
        <v>25450.0</v>
      </c>
      <c r="F2772" s="47" t="s">
        <v>11</v>
      </c>
    </row>
    <row r="2773" ht="15.75" customHeight="1">
      <c r="A2773" s="46" t="s">
        <v>5770</v>
      </c>
      <c r="B2773" s="47" t="s">
        <v>5771</v>
      </c>
      <c r="C2773" s="47">
        <v>207.0</v>
      </c>
      <c r="D2773" s="47">
        <v>216.0</v>
      </c>
      <c r="E2773" s="47">
        <v>23380.0</v>
      </c>
      <c r="F2773" s="47" t="s">
        <v>11</v>
      </c>
    </row>
    <row r="2774" ht="15.75" customHeight="1">
      <c r="A2774" s="46" t="s">
        <v>5772</v>
      </c>
      <c r="B2774" s="47" t="s">
        <v>5773</v>
      </c>
      <c r="C2774" s="47">
        <v>3187.0</v>
      </c>
      <c r="D2774" s="47">
        <v>3062.0</v>
      </c>
      <c r="E2774" s="47">
        <v>21960.0</v>
      </c>
      <c r="F2774" s="47">
        <v>22.0</v>
      </c>
    </row>
    <row r="2775" ht="15.75" customHeight="1">
      <c r="A2775" s="46" t="s">
        <v>5774</v>
      </c>
      <c r="B2775" s="47" t="s">
        <v>5775</v>
      </c>
      <c r="C2775" s="47">
        <v>9240.0</v>
      </c>
      <c r="D2775" s="47">
        <v>8768.0</v>
      </c>
      <c r="E2775" s="47">
        <v>20870.0</v>
      </c>
      <c r="F2775" s="47">
        <v>25.0</v>
      </c>
    </row>
    <row r="2776" ht="15.75" customHeight="1">
      <c r="A2776" s="46" t="s">
        <v>5776</v>
      </c>
      <c r="B2776" s="47" t="s">
        <v>5777</v>
      </c>
      <c r="C2776" s="47">
        <v>190.0</v>
      </c>
      <c r="D2776" s="47">
        <v>227.0</v>
      </c>
      <c r="E2776" s="47">
        <v>21440.0</v>
      </c>
      <c r="F2776" s="47" t="s">
        <v>11</v>
      </c>
    </row>
    <row r="2777" ht="15.75" customHeight="1">
      <c r="A2777" s="46" t="s">
        <v>5778</v>
      </c>
      <c r="B2777" s="47" t="s">
        <v>5779</v>
      </c>
      <c r="C2777" s="47">
        <v>317.0</v>
      </c>
      <c r="D2777" s="47">
        <v>298.0</v>
      </c>
      <c r="E2777" s="47">
        <v>24900.0</v>
      </c>
      <c r="F2777" s="47" t="s">
        <v>11</v>
      </c>
    </row>
    <row r="2778" ht="15.75" customHeight="1">
      <c r="A2778" s="46" t="s">
        <v>5780</v>
      </c>
      <c r="B2778" s="47" t="s">
        <v>5781</v>
      </c>
      <c r="C2778" s="47">
        <v>605.0</v>
      </c>
      <c r="D2778" s="47">
        <v>642.0</v>
      </c>
      <c r="E2778" s="47">
        <v>23990.0</v>
      </c>
      <c r="F2778" s="47" t="s">
        <v>11</v>
      </c>
    </row>
    <row r="2779" ht="15.75" customHeight="1">
      <c r="A2779" s="46" t="s">
        <v>5782</v>
      </c>
      <c r="B2779" s="47" t="s">
        <v>5783</v>
      </c>
      <c r="C2779" s="47">
        <v>324.0</v>
      </c>
      <c r="D2779" s="47">
        <v>307.0</v>
      </c>
      <c r="E2779" s="47">
        <v>24850.0</v>
      </c>
      <c r="F2779" s="47" t="s">
        <v>11</v>
      </c>
    </row>
    <row r="2780" ht="15.75" customHeight="1">
      <c r="A2780" s="46" t="s">
        <v>5784</v>
      </c>
      <c r="B2780" s="47" t="s">
        <v>5785</v>
      </c>
      <c r="C2780" s="47">
        <v>661.0</v>
      </c>
      <c r="D2780" s="47">
        <v>675.0</v>
      </c>
      <c r="E2780" s="47">
        <v>23650.0</v>
      </c>
      <c r="F2780" s="47" t="s">
        <v>11</v>
      </c>
    </row>
    <row r="2781" ht="15.75" customHeight="1">
      <c r="A2781" s="46" t="s">
        <v>5786</v>
      </c>
      <c r="B2781" s="47" t="s">
        <v>5787</v>
      </c>
      <c r="C2781" s="47">
        <v>657.0</v>
      </c>
      <c r="D2781" s="47">
        <v>631.0</v>
      </c>
      <c r="E2781" s="47">
        <v>25070.0</v>
      </c>
      <c r="F2781" s="47" t="s">
        <v>11</v>
      </c>
    </row>
    <row r="2782" ht="15.75" customHeight="1">
      <c r="A2782" s="46" t="s">
        <v>5788</v>
      </c>
      <c r="B2782" s="47" t="s">
        <v>5789</v>
      </c>
      <c r="C2782" s="47">
        <v>576.0</v>
      </c>
      <c r="D2782" s="47">
        <v>529.0</v>
      </c>
      <c r="E2782" s="47">
        <v>25920.0</v>
      </c>
      <c r="F2782" s="47" t="s">
        <v>11</v>
      </c>
    </row>
    <row r="2783" ht="15.75" customHeight="1">
      <c r="A2783" s="46" t="s">
        <v>5790</v>
      </c>
      <c r="B2783" s="47" t="s">
        <v>5791</v>
      </c>
      <c r="C2783" s="47">
        <v>269.0</v>
      </c>
      <c r="D2783" s="47">
        <v>292.0</v>
      </c>
      <c r="E2783" s="47">
        <v>24020.0</v>
      </c>
      <c r="F2783" s="47" t="s">
        <v>11</v>
      </c>
    </row>
    <row r="2784" ht="15.75" customHeight="1">
      <c r="A2784" s="46" t="s">
        <v>5792</v>
      </c>
      <c r="B2784" s="47" t="s">
        <v>5793</v>
      </c>
      <c r="C2784" s="47">
        <v>458.0</v>
      </c>
      <c r="D2784" s="47">
        <v>420.0</v>
      </c>
      <c r="E2784" s="47">
        <v>24070.0</v>
      </c>
      <c r="F2784" s="47" t="s">
        <v>11</v>
      </c>
    </row>
    <row r="2785" ht="15.75" customHeight="1">
      <c r="A2785" s="46" t="s">
        <v>5794</v>
      </c>
      <c r="B2785" s="47" t="s">
        <v>5795</v>
      </c>
      <c r="C2785" s="47">
        <v>347.0</v>
      </c>
      <c r="D2785" s="47">
        <v>320.0</v>
      </c>
      <c r="E2785" s="47">
        <v>20690.0</v>
      </c>
      <c r="F2785" s="47" t="s">
        <v>11</v>
      </c>
    </row>
    <row r="2786" ht="15.75" customHeight="1">
      <c r="A2786" s="46" t="s">
        <v>5796</v>
      </c>
      <c r="B2786" s="47" t="s">
        <v>5797</v>
      </c>
      <c r="C2786" s="47">
        <v>676.0</v>
      </c>
      <c r="D2786" s="47">
        <v>720.0</v>
      </c>
      <c r="E2786" s="47">
        <v>25550.0</v>
      </c>
      <c r="F2786" s="47" t="s">
        <v>11</v>
      </c>
    </row>
    <row r="2787" ht="15.75" customHeight="1">
      <c r="A2787" s="46" t="s">
        <v>5798</v>
      </c>
      <c r="B2787" s="47" t="s">
        <v>5799</v>
      </c>
      <c r="C2787" s="47">
        <v>307.0</v>
      </c>
      <c r="D2787" s="47">
        <v>333.0</v>
      </c>
      <c r="E2787" s="47">
        <v>27600.0</v>
      </c>
      <c r="F2787" s="47" t="s">
        <v>11</v>
      </c>
    </row>
    <row r="2788" ht="15.75" customHeight="1">
      <c r="A2788" s="46" t="s">
        <v>5800</v>
      </c>
      <c r="B2788" s="47" t="s">
        <v>5801</v>
      </c>
      <c r="C2788" s="47">
        <v>737.0</v>
      </c>
      <c r="D2788" s="47">
        <v>702.0</v>
      </c>
      <c r="E2788" s="47">
        <v>28080.0</v>
      </c>
      <c r="F2788" s="47" t="s">
        <v>11</v>
      </c>
    </row>
    <row r="2789" ht="15.75" customHeight="1">
      <c r="A2789" s="46" t="s">
        <v>5802</v>
      </c>
      <c r="B2789" s="47" t="s">
        <v>5803</v>
      </c>
      <c r="C2789" s="47">
        <v>614.0</v>
      </c>
      <c r="D2789" s="47">
        <v>663.0</v>
      </c>
      <c r="E2789" s="47">
        <v>26060.0</v>
      </c>
      <c r="F2789" s="47" t="s">
        <v>11</v>
      </c>
    </row>
    <row r="2790" ht="15.75" customHeight="1">
      <c r="A2790" s="46" t="s">
        <v>5804</v>
      </c>
      <c r="B2790" s="47" t="s">
        <v>5805</v>
      </c>
      <c r="C2790" s="47">
        <v>60.0</v>
      </c>
      <c r="D2790" s="47">
        <v>64.0</v>
      </c>
      <c r="E2790" s="47" t="s">
        <v>11</v>
      </c>
      <c r="F2790" s="47" t="s">
        <v>11</v>
      </c>
    </row>
    <row r="2791" ht="15.75" customHeight="1">
      <c r="A2791" s="46" t="s">
        <v>5806</v>
      </c>
      <c r="B2791" s="47" t="s">
        <v>5807</v>
      </c>
      <c r="C2791" s="47">
        <v>257.0</v>
      </c>
      <c r="D2791" s="47">
        <v>210.0</v>
      </c>
      <c r="E2791" s="47">
        <v>21440.0</v>
      </c>
      <c r="F2791" s="47" t="s">
        <v>11</v>
      </c>
    </row>
    <row r="2792" ht="15.75" customHeight="1">
      <c r="A2792" s="46" t="s">
        <v>5808</v>
      </c>
      <c r="B2792" s="47" t="s">
        <v>5809</v>
      </c>
      <c r="C2792" s="47">
        <v>2276.0</v>
      </c>
      <c r="D2792" s="47">
        <v>2257.0</v>
      </c>
      <c r="E2792" s="47">
        <v>24460.0</v>
      </c>
      <c r="F2792" s="47">
        <v>10.0</v>
      </c>
    </row>
    <row r="2793" ht="15.75" customHeight="1">
      <c r="A2793" s="46" t="s">
        <v>5810</v>
      </c>
      <c r="B2793" s="47" t="s">
        <v>5811</v>
      </c>
      <c r="C2793" s="47">
        <v>275.0</v>
      </c>
      <c r="D2793" s="47">
        <v>263.0</v>
      </c>
      <c r="E2793" s="47">
        <v>23530.0</v>
      </c>
      <c r="F2793" s="47" t="s">
        <v>11</v>
      </c>
    </row>
    <row r="2794" ht="15.75" customHeight="1">
      <c r="A2794" s="46" t="s">
        <v>5812</v>
      </c>
      <c r="B2794" s="47" t="s">
        <v>5813</v>
      </c>
      <c r="C2794" s="47">
        <v>382.0</v>
      </c>
      <c r="D2794" s="47">
        <v>349.0</v>
      </c>
      <c r="E2794" s="47">
        <v>26320.0</v>
      </c>
      <c r="F2794" s="47" t="s">
        <v>11</v>
      </c>
    </row>
    <row r="2795" ht="15.75" customHeight="1">
      <c r="A2795" s="46" t="s">
        <v>5814</v>
      </c>
      <c r="B2795" s="47" t="s">
        <v>5815</v>
      </c>
      <c r="C2795" s="47">
        <v>4171.0</v>
      </c>
      <c r="D2795" s="47">
        <v>4297.0</v>
      </c>
      <c r="E2795" s="47">
        <v>25340.0</v>
      </c>
      <c r="F2795" s="47">
        <v>9.0</v>
      </c>
    </row>
    <row r="2796" ht="15.75" customHeight="1">
      <c r="A2796" s="46" t="s">
        <v>5816</v>
      </c>
      <c r="B2796" s="47" t="s">
        <v>5817</v>
      </c>
      <c r="C2796" s="47">
        <v>404.0</v>
      </c>
      <c r="D2796" s="47">
        <v>407.0</v>
      </c>
      <c r="E2796" s="47">
        <v>27860.0</v>
      </c>
      <c r="F2796" s="47" t="s">
        <v>11</v>
      </c>
    </row>
    <row r="2797" ht="15.75" customHeight="1">
      <c r="A2797" s="46" t="s">
        <v>5818</v>
      </c>
      <c r="B2797" s="47" t="s">
        <v>5819</v>
      </c>
      <c r="C2797" s="47">
        <v>250.0</v>
      </c>
      <c r="D2797" s="47">
        <v>227.0</v>
      </c>
      <c r="E2797" s="47">
        <v>20130.0</v>
      </c>
      <c r="F2797" s="47" t="s">
        <v>11</v>
      </c>
    </row>
    <row r="2798" ht="15.75" customHeight="1">
      <c r="A2798" s="46" t="s">
        <v>5820</v>
      </c>
      <c r="B2798" s="47" t="s">
        <v>5821</v>
      </c>
      <c r="C2798" s="47">
        <v>805.0</v>
      </c>
      <c r="D2798" s="47">
        <v>880.0</v>
      </c>
      <c r="E2798" s="47">
        <v>25700.0</v>
      </c>
      <c r="F2798" s="47" t="s">
        <v>11</v>
      </c>
    </row>
    <row r="2799" ht="15.75" customHeight="1">
      <c r="A2799" s="46" t="s">
        <v>5822</v>
      </c>
      <c r="B2799" s="47" t="s">
        <v>5823</v>
      </c>
      <c r="C2799" s="47">
        <v>375.0</v>
      </c>
      <c r="D2799" s="47">
        <v>403.0</v>
      </c>
      <c r="E2799" s="47">
        <v>24490.0</v>
      </c>
      <c r="F2799" s="47" t="s">
        <v>11</v>
      </c>
    </row>
    <row r="2800" ht="15.75" customHeight="1">
      <c r="A2800" s="46" t="s">
        <v>5824</v>
      </c>
      <c r="B2800" s="47" t="s">
        <v>5825</v>
      </c>
      <c r="C2800" s="47">
        <v>1074.0</v>
      </c>
      <c r="D2800" s="47">
        <v>1071.0</v>
      </c>
      <c r="E2800" s="47">
        <v>30440.0</v>
      </c>
      <c r="F2800" s="47" t="s">
        <v>11</v>
      </c>
    </row>
    <row r="2801" ht="15.75" customHeight="1">
      <c r="A2801" s="46" t="s">
        <v>5826</v>
      </c>
      <c r="B2801" s="47" t="s">
        <v>5827</v>
      </c>
      <c r="C2801" s="47">
        <v>194.0</v>
      </c>
      <c r="D2801" s="47">
        <v>190.0</v>
      </c>
      <c r="E2801" s="47">
        <v>21390.0</v>
      </c>
      <c r="F2801" s="47" t="s">
        <v>11</v>
      </c>
    </row>
    <row r="2802" ht="15.75" customHeight="1">
      <c r="A2802" s="46" t="s">
        <v>5828</v>
      </c>
      <c r="B2802" s="47" t="s">
        <v>5829</v>
      </c>
      <c r="C2802" s="47">
        <v>268.0</v>
      </c>
      <c r="D2802" s="47">
        <v>253.0</v>
      </c>
      <c r="E2802" s="47">
        <v>24610.0</v>
      </c>
      <c r="F2802" s="47" t="s">
        <v>11</v>
      </c>
    </row>
    <row r="2803" ht="15.75" customHeight="1">
      <c r="A2803" s="46" t="s">
        <v>5830</v>
      </c>
      <c r="B2803" s="47" t="s">
        <v>5831</v>
      </c>
      <c r="C2803" s="47">
        <v>241.0</v>
      </c>
      <c r="D2803" s="47">
        <v>238.0</v>
      </c>
      <c r="E2803" s="47">
        <v>24010.0</v>
      </c>
      <c r="F2803" s="47" t="s">
        <v>11</v>
      </c>
    </row>
    <row r="2804" ht="15.75" customHeight="1">
      <c r="A2804" s="46" t="s">
        <v>5832</v>
      </c>
      <c r="B2804" s="47" t="s">
        <v>5833</v>
      </c>
      <c r="C2804" s="47">
        <v>211.0</v>
      </c>
      <c r="D2804" s="47">
        <v>318.0</v>
      </c>
      <c r="E2804" s="47">
        <v>24970.0</v>
      </c>
      <c r="F2804" s="47" t="s">
        <v>11</v>
      </c>
    </row>
    <row r="2805" ht="15.75" customHeight="1">
      <c r="A2805" s="46" t="s">
        <v>5834</v>
      </c>
      <c r="B2805" s="47" t="s">
        <v>5835</v>
      </c>
      <c r="C2805" s="47">
        <v>279.0</v>
      </c>
      <c r="D2805" s="47">
        <v>266.0</v>
      </c>
      <c r="E2805" s="47">
        <v>28760.0</v>
      </c>
      <c r="F2805" s="47" t="s">
        <v>11</v>
      </c>
    </row>
    <row r="2806" ht="15.75" customHeight="1">
      <c r="A2806" s="46" t="s">
        <v>5836</v>
      </c>
      <c r="B2806" s="47" t="s">
        <v>5837</v>
      </c>
      <c r="C2806" s="47">
        <v>631.0</v>
      </c>
      <c r="D2806" s="47">
        <v>675.0</v>
      </c>
      <c r="E2806" s="47">
        <v>26030.0</v>
      </c>
      <c r="F2806" s="47" t="s">
        <v>11</v>
      </c>
    </row>
    <row r="2807" ht="15.75" customHeight="1">
      <c r="A2807" s="46" t="s">
        <v>5838</v>
      </c>
      <c r="B2807" s="47" t="s">
        <v>5839</v>
      </c>
      <c r="C2807" s="47">
        <v>213.0</v>
      </c>
      <c r="D2807" s="47">
        <v>213.0</v>
      </c>
      <c r="E2807" s="47">
        <v>24710.0</v>
      </c>
      <c r="F2807" s="47" t="s">
        <v>11</v>
      </c>
    </row>
    <row r="2808" ht="15.75" customHeight="1">
      <c r="A2808" s="46" t="s">
        <v>5840</v>
      </c>
      <c r="B2808" s="47" t="s">
        <v>5841</v>
      </c>
      <c r="C2808" s="47">
        <v>454.0</v>
      </c>
      <c r="D2808" s="47">
        <v>464.0</v>
      </c>
      <c r="E2808" s="47">
        <v>25010.0</v>
      </c>
      <c r="F2808" s="47" t="s">
        <v>11</v>
      </c>
    </row>
    <row r="2809" ht="15.75" customHeight="1">
      <c r="A2809" s="46" t="s">
        <v>5842</v>
      </c>
      <c r="B2809" s="47" t="s">
        <v>5843</v>
      </c>
      <c r="C2809" s="47">
        <v>349.0</v>
      </c>
      <c r="D2809" s="47">
        <v>355.0</v>
      </c>
      <c r="E2809" s="47">
        <v>25820.0</v>
      </c>
      <c r="F2809" s="47" t="s">
        <v>11</v>
      </c>
    </row>
    <row r="2810" ht="15.75" customHeight="1">
      <c r="A2810" s="46" t="s">
        <v>5844</v>
      </c>
      <c r="B2810" s="47" t="s">
        <v>5845</v>
      </c>
      <c r="C2810" s="47">
        <v>395.0</v>
      </c>
      <c r="D2810" s="47">
        <v>394.0</v>
      </c>
      <c r="E2810" s="47">
        <v>27990.0</v>
      </c>
      <c r="F2810" s="47" t="s">
        <v>11</v>
      </c>
    </row>
    <row r="2811" ht="15.75" customHeight="1">
      <c r="A2811" s="46" t="s">
        <v>5846</v>
      </c>
      <c r="B2811" s="47" t="s">
        <v>5847</v>
      </c>
      <c r="C2811" s="47">
        <v>624.0</v>
      </c>
      <c r="D2811" s="47">
        <v>596.0</v>
      </c>
      <c r="E2811" s="47">
        <v>24510.0</v>
      </c>
      <c r="F2811" s="47" t="s">
        <v>11</v>
      </c>
    </row>
    <row r="2812" ht="15.75" customHeight="1">
      <c r="A2812" s="46" t="s">
        <v>5848</v>
      </c>
      <c r="B2812" s="47" t="s">
        <v>5849</v>
      </c>
      <c r="C2812" s="47">
        <v>2096.0</v>
      </c>
      <c r="D2812" s="47">
        <v>2032.0</v>
      </c>
      <c r="E2812" s="47">
        <v>23080.0</v>
      </c>
      <c r="F2812" s="47">
        <v>15.0</v>
      </c>
    </row>
    <row r="2813" ht="15.75" customHeight="1">
      <c r="A2813" s="46" t="s">
        <v>5850</v>
      </c>
      <c r="B2813" s="47" t="s">
        <v>5851</v>
      </c>
      <c r="C2813" s="47">
        <v>2622.0</v>
      </c>
      <c r="D2813" s="47">
        <v>2687.0</v>
      </c>
      <c r="E2813" s="47">
        <v>29390.0</v>
      </c>
      <c r="F2813" s="47">
        <v>6.0</v>
      </c>
    </row>
    <row r="2814" ht="15.75" customHeight="1">
      <c r="A2814" s="46" t="s">
        <v>5852</v>
      </c>
      <c r="B2814" s="47" t="s">
        <v>5853</v>
      </c>
      <c r="C2814" s="47">
        <v>35.0</v>
      </c>
      <c r="D2814" s="47">
        <v>33.0</v>
      </c>
      <c r="E2814" s="47" t="s">
        <v>11</v>
      </c>
      <c r="F2814" s="47" t="s">
        <v>11</v>
      </c>
    </row>
    <row r="2815" ht="15.75" customHeight="1">
      <c r="A2815" s="46" t="s">
        <v>5854</v>
      </c>
      <c r="B2815" s="47" t="s">
        <v>5855</v>
      </c>
      <c r="C2815" s="47">
        <v>262.0</v>
      </c>
      <c r="D2815" s="47">
        <v>253.0</v>
      </c>
      <c r="E2815" s="47">
        <v>27160.0</v>
      </c>
      <c r="F2815" s="47" t="s">
        <v>11</v>
      </c>
    </row>
    <row r="2816" ht="15.75" customHeight="1">
      <c r="A2816" s="46" t="s">
        <v>5856</v>
      </c>
      <c r="B2816" s="47" t="s">
        <v>5857</v>
      </c>
      <c r="C2816" s="47">
        <v>142.0</v>
      </c>
      <c r="D2816" s="47">
        <v>185.0</v>
      </c>
      <c r="E2816" s="47">
        <v>22530.0</v>
      </c>
      <c r="F2816" s="47" t="s">
        <v>11</v>
      </c>
    </row>
    <row r="2817" ht="15.75" customHeight="1">
      <c r="A2817" s="46" t="s">
        <v>5858</v>
      </c>
      <c r="B2817" s="47" t="s">
        <v>5859</v>
      </c>
      <c r="C2817" s="47">
        <v>3001.0</v>
      </c>
      <c r="D2817" s="47">
        <v>2987.0</v>
      </c>
      <c r="E2817" s="47">
        <v>22580.0</v>
      </c>
      <c r="F2817" s="47">
        <v>18.0</v>
      </c>
    </row>
    <row r="2818" ht="15.75" customHeight="1">
      <c r="A2818" s="46" t="s">
        <v>5860</v>
      </c>
      <c r="B2818" s="47" t="s">
        <v>5861</v>
      </c>
      <c r="C2818" s="47">
        <v>1123.0</v>
      </c>
      <c r="D2818" s="47">
        <v>1123.0</v>
      </c>
      <c r="E2818" s="47">
        <v>29640.0</v>
      </c>
      <c r="F2818" s="47" t="s">
        <v>11</v>
      </c>
    </row>
    <row r="2819" ht="15.75" customHeight="1">
      <c r="A2819" s="46" t="s">
        <v>5862</v>
      </c>
      <c r="B2819" s="47" t="s">
        <v>5863</v>
      </c>
      <c r="C2819" s="47">
        <v>1359.0</v>
      </c>
      <c r="D2819" s="47">
        <v>1328.0</v>
      </c>
      <c r="E2819" s="47">
        <v>27330.0</v>
      </c>
      <c r="F2819" s="47" t="s">
        <v>11</v>
      </c>
    </row>
    <row r="2820" ht="15.75" customHeight="1">
      <c r="A2820" s="46" t="s">
        <v>5864</v>
      </c>
      <c r="B2820" s="47" t="s">
        <v>5865</v>
      </c>
      <c r="C2820" s="47">
        <v>782.0</v>
      </c>
      <c r="D2820" s="47">
        <v>794.0</v>
      </c>
      <c r="E2820" s="47">
        <v>30690.0</v>
      </c>
      <c r="F2820" s="47" t="s">
        <v>11</v>
      </c>
    </row>
    <row r="2821" ht="15.75" customHeight="1">
      <c r="A2821" s="46" t="s">
        <v>5866</v>
      </c>
      <c r="B2821" s="47" t="s">
        <v>1491</v>
      </c>
      <c r="C2821" s="47">
        <v>285.0</v>
      </c>
      <c r="D2821" s="47">
        <v>265.0</v>
      </c>
      <c r="E2821" s="47">
        <v>22130.0</v>
      </c>
      <c r="F2821" s="47" t="s">
        <v>11</v>
      </c>
    </row>
    <row r="2822" ht="15.75" customHeight="1">
      <c r="A2822" s="46" t="s">
        <v>5867</v>
      </c>
      <c r="B2822" s="47" t="s">
        <v>5868</v>
      </c>
      <c r="C2822" s="47">
        <v>528.0</v>
      </c>
      <c r="D2822" s="47">
        <v>558.0</v>
      </c>
      <c r="E2822" s="47">
        <v>25270.0</v>
      </c>
      <c r="F2822" s="47" t="s">
        <v>11</v>
      </c>
    </row>
    <row r="2823" ht="15.75" customHeight="1">
      <c r="A2823" s="46" t="s">
        <v>5869</v>
      </c>
      <c r="B2823" s="47" t="s">
        <v>5870</v>
      </c>
      <c r="C2823" s="47">
        <v>538.0</v>
      </c>
      <c r="D2823" s="47">
        <v>516.0</v>
      </c>
      <c r="E2823" s="47">
        <v>24370.0</v>
      </c>
      <c r="F2823" s="47" t="s">
        <v>11</v>
      </c>
    </row>
    <row r="2824" ht="15.75" customHeight="1">
      <c r="A2824" s="46" t="s">
        <v>5871</v>
      </c>
      <c r="B2824" s="47" t="s">
        <v>5872</v>
      </c>
      <c r="C2824" s="47">
        <v>1446.0</v>
      </c>
      <c r="D2824" s="47">
        <v>1381.0</v>
      </c>
      <c r="E2824" s="47">
        <v>25850.0</v>
      </c>
      <c r="F2824" s="47" t="s">
        <v>11</v>
      </c>
    </row>
    <row r="2825" ht="15.75" customHeight="1">
      <c r="A2825" s="46" t="s">
        <v>5873</v>
      </c>
      <c r="B2825" s="47" t="s">
        <v>5874</v>
      </c>
      <c r="C2825" s="47">
        <v>307.0</v>
      </c>
      <c r="D2825" s="47">
        <v>293.0</v>
      </c>
      <c r="E2825" s="47">
        <v>24030.0</v>
      </c>
      <c r="F2825" s="47" t="s">
        <v>11</v>
      </c>
    </row>
    <row r="2826" ht="15.75" customHeight="1">
      <c r="A2826" s="46" t="s">
        <v>5875</v>
      </c>
      <c r="B2826" s="47" t="s">
        <v>5876</v>
      </c>
      <c r="C2826" s="47">
        <v>46.0</v>
      </c>
      <c r="D2826" s="47">
        <v>53.0</v>
      </c>
      <c r="E2826" s="47" t="s">
        <v>11</v>
      </c>
      <c r="F2826" s="47" t="s">
        <v>11</v>
      </c>
    </row>
    <row r="2827" ht="15.75" customHeight="1">
      <c r="A2827" s="46" t="s">
        <v>5877</v>
      </c>
      <c r="B2827" s="47" t="s">
        <v>5878</v>
      </c>
      <c r="C2827" s="47">
        <v>1944.0</v>
      </c>
      <c r="D2827" s="47">
        <v>1970.0</v>
      </c>
      <c r="E2827" s="47">
        <v>26280.0</v>
      </c>
      <c r="F2827" s="47" t="s">
        <v>11</v>
      </c>
    </row>
    <row r="2828" ht="15.75" customHeight="1">
      <c r="A2828" s="46" t="s">
        <v>5879</v>
      </c>
      <c r="B2828" s="47" t="s">
        <v>5880</v>
      </c>
      <c r="C2828" s="47">
        <v>86.0</v>
      </c>
      <c r="D2828" s="47">
        <v>83.0</v>
      </c>
      <c r="E2828" s="47" t="s">
        <v>11</v>
      </c>
      <c r="F2828" s="47" t="s">
        <v>11</v>
      </c>
    </row>
    <row r="2829" ht="15.75" customHeight="1">
      <c r="A2829" s="46" t="s">
        <v>5881</v>
      </c>
      <c r="B2829" s="47" t="s">
        <v>5882</v>
      </c>
      <c r="C2829" s="47">
        <v>241.0</v>
      </c>
      <c r="D2829" s="47">
        <v>251.0</v>
      </c>
      <c r="E2829" s="47">
        <v>22940.0</v>
      </c>
      <c r="F2829" s="47" t="s">
        <v>11</v>
      </c>
    </row>
    <row r="2830" ht="15.75" customHeight="1">
      <c r="A2830" s="46" t="s">
        <v>5883</v>
      </c>
      <c r="B2830" s="47" t="s">
        <v>1509</v>
      </c>
      <c r="C2830" s="47">
        <v>8738.0</v>
      </c>
      <c r="D2830" s="47">
        <v>8552.0</v>
      </c>
      <c r="E2830" s="47">
        <v>20430.0</v>
      </c>
      <c r="F2830" s="47">
        <v>27.0</v>
      </c>
    </row>
    <row r="2831" ht="15.75" customHeight="1">
      <c r="A2831" s="46" t="s">
        <v>5884</v>
      </c>
      <c r="B2831" s="47" t="s">
        <v>5885</v>
      </c>
      <c r="C2831" s="47">
        <v>135.0</v>
      </c>
      <c r="D2831" s="47">
        <v>121.0</v>
      </c>
      <c r="E2831" s="47">
        <v>24030.0</v>
      </c>
      <c r="F2831" s="47" t="s">
        <v>11</v>
      </c>
    </row>
    <row r="2832" ht="15.75" customHeight="1">
      <c r="A2832" s="46" t="s">
        <v>5886</v>
      </c>
      <c r="B2832" s="47" t="s">
        <v>5887</v>
      </c>
      <c r="C2832" s="47">
        <v>199.0</v>
      </c>
      <c r="D2832" s="47">
        <v>214.0</v>
      </c>
      <c r="E2832" s="47">
        <v>24180.0</v>
      </c>
      <c r="F2832" s="47" t="s">
        <v>11</v>
      </c>
    </row>
    <row r="2833" ht="15.75" customHeight="1">
      <c r="A2833" s="46" t="s">
        <v>5888</v>
      </c>
      <c r="B2833" s="47" t="s">
        <v>5889</v>
      </c>
      <c r="C2833" s="47">
        <v>1583.0</v>
      </c>
      <c r="D2833" s="47">
        <v>1478.0</v>
      </c>
      <c r="E2833" s="47">
        <v>26650.0</v>
      </c>
      <c r="F2833" s="47" t="s">
        <v>11</v>
      </c>
    </row>
    <row r="2834" ht="15.75" customHeight="1">
      <c r="A2834" s="46" t="s">
        <v>5890</v>
      </c>
      <c r="B2834" s="47" t="s">
        <v>5891</v>
      </c>
      <c r="C2834" s="47">
        <v>685.0</v>
      </c>
      <c r="D2834" s="47">
        <v>691.0</v>
      </c>
      <c r="E2834" s="47">
        <v>25380.0</v>
      </c>
      <c r="F2834" s="47" t="s">
        <v>11</v>
      </c>
    </row>
    <row r="2835" ht="15.75" customHeight="1">
      <c r="A2835" s="46" t="s">
        <v>5892</v>
      </c>
      <c r="B2835" s="47" t="s">
        <v>5893</v>
      </c>
      <c r="C2835" s="47">
        <v>254.0</v>
      </c>
      <c r="D2835" s="47">
        <v>237.0</v>
      </c>
      <c r="E2835" s="47">
        <v>22460.0</v>
      </c>
      <c r="F2835" s="47" t="s">
        <v>11</v>
      </c>
    </row>
    <row r="2836" ht="15.75" customHeight="1">
      <c r="A2836" s="46" t="s">
        <v>5894</v>
      </c>
      <c r="B2836" s="47" t="s">
        <v>5895</v>
      </c>
      <c r="C2836" s="47">
        <v>1650.0</v>
      </c>
      <c r="D2836" s="47">
        <v>1614.0</v>
      </c>
      <c r="E2836" s="47">
        <v>25140.0</v>
      </c>
      <c r="F2836" s="47" t="s">
        <v>11</v>
      </c>
    </row>
    <row r="2837" ht="15.75" customHeight="1">
      <c r="A2837" s="46" t="s">
        <v>5896</v>
      </c>
      <c r="B2837" s="47" t="s">
        <v>5897</v>
      </c>
      <c r="C2837" s="47">
        <v>294.0</v>
      </c>
      <c r="D2837" s="47">
        <v>285.0</v>
      </c>
      <c r="E2837" s="47">
        <v>23340.0</v>
      </c>
      <c r="F2837" s="47" t="s">
        <v>11</v>
      </c>
    </row>
    <row r="2838" ht="15.75" customHeight="1">
      <c r="A2838" s="46" t="s">
        <v>5898</v>
      </c>
      <c r="B2838" s="47" t="s">
        <v>5899</v>
      </c>
      <c r="C2838" s="47">
        <v>345.0</v>
      </c>
      <c r="D2838" s="47">
        <v>323.0</v>
      </c>
      <c r="E2838" s="47">
        <v>25400.0</v>
      </c>
      <c r="F2838" s="47" t="s">
        <v>11</v>
      </c>
    </row>
    <row r="2839" ht="15.75" customHeight="1">
      <c r="A2839" s="46" t="s">
        <v>5900</v>
      </c>
      <c r="B2839" s="47" t="s">
        <v>5901</v>
      </c>
      <c r="C2839" s="47">
        <v>309.0</v>
      </c>
      <c r="D2839" s="47">
        <v>285.0</v>
      </c>
      <c r="E2839" s="47">
        <v>23340.0</v>
      </c>
      <c r="F2839" s="47" t="s">
        <v>11</v>
      </c>
    </row>
    <row r="2840" ht="15.75" customHeight="1">
      <c r="A2840" s="46" t="s">
        <v>5902</v>
      </c>
      <c r="B2840" s="47" t="s">
        <v>5903</v>
      </c>
      <c r="C2840" s="47">
        <v>722.0</v>
      </c>
      <c r="D2840" s="47">
        <v>665.0</v>
      </c>
      <c r="E2840" s="47">
        <v>27620.0</v>
      </c>
      <c r="F2840" s="47" t="s">
        <v>11</v>
      </c>
    </row>
    <row r="2841" ht="15.75" customHeight="1">
      <c r="A2841" s="46" t="s">
        <v>5904</v>
      </c>
      <c r="B2841" s="47" t="s">
        <v>5905</v>
      </c>
      <c r="C2841" s="47">
        <v>2336.0</v>
      </c>
      <c r="D2841" s="47">
        <v>2493.0</v>
      </c>
      <c r="E2841" s="47">
        <v>23790.0</v>
      </c>
      <c r="F2841" s="47">
        <v>18.0</v>
      </c>
    </row>
    <row r="2842" ht="15.75" customHeight="1">
      <c r="A2842" s="46" t="s">
        <v>5906</v>
      </c>
      <c r="B2842" s="47" t="s">
        <v>5907</v>
      </c>
      <c r="C2842" s="47">
        <v>3982.0</v>
      </c>
      <c r="D2842" s="47">
        <v>3981.0</v>
      </c>
      <c r="E2842" s="47">
        <v>28570.0</v>
      </c>
      <c r="F2842" s="47">
        <v>7.0</v>
      </c>
    </row>
    <row r="2843" ht="15.75" customHeight="1">
      <c r="A2843" s="46" t="s">
        <v>5908</v>
      </c>
      <c r="B2843" s="47" t="s">
        <v>5909</v>
      </c>
      <c r="C2843" s="47">
        <v>6145.0</v>
      </c>
      <c r="D2843" s="47">
        <v>5948.0</v>
      </c>
      <c r="E2843" s="47">
        <v>22010.0</v>
      </c>
      <c r="F2843" s="47">
        <v>22.0</v>
      </c>
    </row>
    <row r="2844" ht="15.75" customHeight="1">
      <c r="A2844" s="46" t="s">
        <v>5910</v>
      </c>
      <c r="B2844" s="47" t="s">
        <v>5911</v>
      </c>
      <c r="C2844" s="47">
        <v>162.0</v>
      </c>
      <c r="D2844" s="47">
        <v>150.0</v>
      </c>
      <c r="E2844" s="47">
        <v>20980.0</v>
      </c>
      <c r="F2844" s="47" t="s">
        <v>11</v>
      </c>
    </row>
    <row r="2845" ht="15.75" customHeight="1">
      <c r="A2845" s="46" t="s">
        <v>5912</v>
      </c>
      <c r="B2845" s="47" t="s">
        <v>5913</v>
      </c>
      <c r="C2845" s="47">
        <v>322.0</v>
      </c>
      <c r="D2845" s="47">
        <v>310.0</v>
      </c>
      <c r="E2845" s="47">
        <v>25940.0</v>
      </c>
      <c r="F2845" s="47" t="s">
        <v>11</v>
      </c>
    </row>
    <row r="2846" ht="15.75" customHeight="1">
      <c r="A2846" s="46" t="s">
        <v>5914</v>
      </c>
      <c r="B2846" s="47" t="s">
        <v>5915</v>
      </c>
      <c r="C2846" s="47">
        <v>292.0</v>
      </c>
      <c r="D2846" s="47">
        <v>294.0</v>
      </c>
      <c r="E2846" s="47">
        <v>25050.0</v>
      </c>
      <c r="F2846" s="47" t="s">
        <v>11</v>
      </c>
    </row>
    <row r="2847" ht="15.75" customHeight="1">
      <c r="A2847" s="46" t="s">
        <v>5916</v>
      </c>
      <c r="B2847" s="47" t="s">
        <v>5917</v>
      </c>
      <c r="C2847" s="47">
        <v>122.0</v>
      </c>
      <c r="D2847" s="47">
        <v>122.0</v>
      </c>
      <c r="E2847" s="47">
        <v>25360.0</v>
      </c>
      <c r="F2847" s="47" t="s">
        <v>11</v>
      </c>
    </row>
    <row r="2848" ht="15.75" customHeight="1">
      <c r="A2848" s="46" t="s">
        <v>5918</v>
      </c>
      <c r="B2848" s="47" t="s">
        <v>1531</v>
      </c>
      <c r="C2848" s="47">
        <v>264.0</v>
      </c>
      <c r="D2848" s="47">
        <v>289.0</v>
      </c>
      <c r="E2848" s="47">
        <v>31700.0</v>
      </c>
      <c r="F2848" s="47" t="s">
        <v>11</v>
      </c>
    </row>
    <row r="2849" ht="15.75" customHeight="1">
      <c r="A2849" s="46" t="s">
        <v>5919</v>
      </c>
      <c r="B2849" s="47" t="s">
        <v>5920</v>
      </c>
      <c r="C2849" s="47">
        <v>3511.0</v>
      </c>
      <c r="D2849" s="47">
        <v>3471.0</v>
      </c>
      <c r="E2849" s="47">
        <v>30060.0</v>
      </c>
      <c r="F2849" s="47">
        <v>7.0</v>
      </c>
    </row>
    <row r="2850" ht="15.75" customHeight="1">
      <c r="A2850" s="46" t="s">
        <v>5921</v>
      </c>
      <c r="B2850" s="47" t="s">
        <v>5922</v>
      </c>
      <c r="C2850" s="47">
        <v>160.0</v>
      </c>
      <c r="D2850" s="47">
        <v>173.0</v>
      </c>
      <c r="E2850" s="47">
        <v>23200.0</v>
      </c>
      <c r="F2850" s="47" t="s">
        <v>11</v>
      </c>
    </row>
    <row r="2851" ht="15.75" customHeight="1">
      <c r="A2851" s="46" t="s">
        <v>5923</v>
      </c>
      <c r="B2851" s="47" t="s">
        <v>5924</v>
      </c>
      <c r="C2851" s="47">
        <v>5076.0</v>
      </c>
      <c r="D2851" s="47">
        <v>5029.0</v>
      </c>
      <c r="E2851" s="47">
        <v>23380.0</v>
      </c>
      <c r="F2851" s="47">
        <v>19.0</v>
      </c>
    </row>
    <row r="2852" ht="15.75" customHeight="1">
      <c r="A2852" s="46" t="s">
        <v>5925</v>
      </c>
      <c r="B2852" s="47" t="s">
        <v>5926</v>
      </c>
      <c r="C2852" s="47">
        <v>592.0</v>
      </c>
      <c r="D2852" s="47">
        <v>618.0</v>
      </c>
      <c r="E2852" s="47">
        <v>29630.0</v>
      </c>
      <c r="F2852" s="47" t="s">
        <v>11</v>
      </c>
    </row>
    <row r="2853" ht="15.75" customHeight="1">
      <c r="A2853" s="46" t="s">
        <v>5927</v>
      </c>
      <c r="B2853" s="47" t="s">
        <v>5928</v>
      </c>
      <c r="C2853" s="47">
        <v>2248.0</v>
      </c>
      <c r="D2853" s="47">
        <v>2349.0</v>
      </c>
      <c r="E2853" s="47">
        <v>27870.0</v>
      </c>
      <c r="F2853" s="47">
        <v>9.0</v>
      </c>
    </row>
    <row r="2854" ht="15.75" customHeight="1">
      <c r="A2854" s="46" t="s">
        <v>5929</v>
      </c>
      <c r="B2854" s="47" t="s">
        <v>5930</v>
      </c>
      <c r="C2854" s="47">
        <v>326.0</v>
      </c>
      <c r="D2854" s="47">
        <v>318.0</v>
      </c>
      <c r="E2854" s="47">
        <v>24310.0</v>
      </c>
      <c r="F2854" s="47" t="s">
        <v>11</v>
      </c>
    </row>
    <row r="2855" ht="15.75" customHeight="1">
      <c r="A2855" s="46" t="s">
        <v>5931</v>
      </c>
      <c r="B2855" s="47" t="s">
        <v>5932</v>
      </c>
      <c r="C2855" s="47">
        <v>807.0</v>
      </c>
      <c r="D2855" s="47">
        <v>830.0</v>
      </c>
      <c r="E2855" s="47">
        <v>23260.0</v>
      </c>
      <c r="F2855" s="47" t="s">
        <v>11</v>
      </c>
    </row>
    <row r="2856" ht="15.75" customHeight="1">
      <c r="A2856" s="46" t="s">
        <v>5933</v>
      </c>
      <c r="B2856" s="47" t="s">
        <v>5934</v>
      </c>
      <c r="C2856" s="47">
        <v>783.0</v>
      </c>
      <c r="D2856" s="47">
        <v>821.0</v>
      </c>
      <c r="E2856" s="47">
        <v>28700.0</v>
      </c>
      <c r="F2856" s="47" t="s">
        <v>11</v>
      </c>
    </row>
    <row r="2857" ht="15.75" customHeight="1">
      <c r="A2857" s="46" t="s">
        <v>5935</v>
      </c>
      <c r="B2857" s="47" t="s">
        <v>5936</v>
      </c>
      <c r="C2857" s="47">
        <v>1136.0</v>
      </c>
      <c r="D2857" s="47">
        <v>1041.0</v>
      </c>
      <c r="E2857" s="47">
        <v>29370.0</v>
      </c>
      <c r="F2857" s="47" t="s">
        <v>11</v>
      </c>
    </row>
    <row r="2858" ht="15.75" customHeight="1">
      <c r="A2858" s="46" t="s">
        <v>5937</v>
      </c>
      <c r="B2858" s="47" t="s">
        <v>5938</v>
      </c>
      <c r="C2858" s="47">
        <v>6606.0</v>
      </c>
      <c r="D2858" s="47">
        <v>6459.0</v>
      </c>
      <c r="E2858" s="47">
        <v>23780.0</v>
      </c>
      <c r="F2858" s="47">
        <v>17.0</v>
      </c>
    </row>
    <row r="2859" ht="15.75" customHeight="1">
      <c r="A2859" s="46" t="s">
        <v>5939</v>
      </c>
      <c r="B2859" s="47" t="s">
        <v>5940</v>
      </c>
      <c r="C2859" s="47">
        <v>450.0</v>
      </c>
      <c r="D2859" s="47">
        <v>520.0</v>
      </c>
      <c r="E2859" s="47">
        <v>26520.0</v>
      </c>
      <c r="F2859" s="47" t="s">
        <v>11</v>
      </c>
    </row>
    <row r="2860" ht="15.75" customHeight="1">
      <c r="A2860" s="46" t="s">
        <v>5941</v>
      </c>
      <c r="B2860" s="47" t="s">
        <v>5942</v>
      </c>
      <c r="C2860" s="47">
        <v>3452.0</v>
      </c>
      <c r="D2860" s="47">
        <v>3353.0</v>
      </c>
      <c r="E2860" s="47">
        <v>25100.0</v>
      </c>
      <c r="F2860" s="47">
        <v>11.0</v>
      </c>
    </row>
    <row r="2861" ht="15.75" customHeight="1">
      <c r="A2861" s="46" t="s">
        <v>5943</v>
      </c>
      <c r="B2861" s="47" t="s">
        <v>5944</v>
      </c>
      <c r="C2861" s="47">
        <v>1648.0</v>
      </c>
      <c r="D2861" s="47">
        <v>1708.0</v>
      </c>
      <c r="E2861" s="47">
        <v>25090.0</v>
      </c>
      <c r="F2861" s="47" t="s">
        <v>11</v>
      </c>
    </row>
    <row r="2862" ht="15.75" customHeight="1">
      <c r="A2862" s="46" t="s">
        <v>5945</v>
      </c>
      <c r="B2862" s="47" t="s">
        <v>5946</v>
      </c>
      <c r="C2862" s="47">
        <v>5906.0</v>
      </c>
      <c r="D2862" s="47">
        <v>5843.0</v>
      </c>
      <c r="E2862" s="47">
        <v>24900.0</v>
      </c>
      <c r="F2862" s="47">
        <v>14.0</v>
      </c>
    </row>
    <row r="2863" ht="15.75" customHeight="1">
      <c r="A2863" s="46" t="s">
        <v>5947</v>
      </c>
      <c r="B2863" s="47" t="s">
        <v>5948</v>
      </c>
      <c r="C2863" s="47">
        <v>11204.0</v>
      </c>
      <c r="D2863" s="47">
        <v>10888.0</v>
      </c>
      <c r="E2863" s="47">
        <v>24100.0</v>
      </c>
      <c r="F2863" s="47">
        <v>17.0</v>
      </c>
    </row>
    <row r="2864" ht="15.75" customHeight="1">
      <c r="A2864" s="46" t="s">
        <v>5949</v>
      </c>
      <c r="B2864" s="47" t="s">
        <v>5950</v>
      </c>
      <c r="C2864" s="47">
        <v>482.0</v>
      </c>
      <c r="D2864" s="47">
        <v>443.0</v>
      </c>
      <c r="E2864" s="47">
        <v>24990.0</v>
      </c>
      <c r="F2864" s="47" t="s">
        <v>11</v>
      </c>
    </row>
    <row r="2865" ht="15.75" customHeight="1">
      <c r="A2865" s="46" t="s">
        <v>5951</v>
      </c>
      <c r="B2865" s="47" t="s">
        <v>5952</v>
      </c>
      <c r="C2865" s="47">
        <v>286.0</v>
      </c>
      <c r="D2865" s="47">
        <v>264.0</v>
      </c>
      <c r="E2865" s="47">
        <v>24300.0</v>
      </c>
      <c r="F2865" s="47" t="s">
        <v>11</v>
      </c>
    </row>
    <row r="2866" ht="15.75" customHeight="1">
      <c r="A2866" s="46" t="s">
        <v>5953</v>
      </c>
      <c r="B2866" s="47" t="s">
        <v>5954</v>
      </c>
      <c r="C2866" s="47">
        <v>210.0</v>
      </c>
      <c r="D2866" s="47">
        <v>216.0</v>
      </c>
      <c r="E2866" s="47">
        <v>29280.0</v>
      </c>
      <c r="F2866" s="47" t="s">
        <v>11</v>
      </c>
    </row>
    <row r="2867" ht="15.75" customHeight="1">
      <c r="A2867" s="46" t="s">
        <v>5955</v>
      </c>
      <c r="B2867" s="47" t="s">
        <v>5956</v>
      </c>
      <c r="C2867" s="47">
        <v>119.0</v>
      </c>
      <c r="D2867" s="47">
        <v>131.0</v>
      </c>
      <c r="E2867" s="47">
        <v>25600.0</v>
      </c>
      <c r="F2867" s="47" t="s">
        <v>11</v>
      </c>
    </row>
    <row r="2868" ht="15.75" customHeight="1">
      <c r="A2868" s="46" t="s">
        <v>5957</v>
      </c>
      <c r="B2868" s="47" t="s">
        <v>5958</v>
      </c>
      <c r="C2868" s="47">
        <v>878.0</v>
      </c>
      <c r="D2868" s="47">
        <v>826.0</v>
      </c>
      <c r="E2868" s="47">
        <v>24020.0</v>
      </c>
      <c r="F2868" s="47" t="s">
        <v>11</v>
      </c>
    </row>
    <row r="2869" ht="15.75" customHeight="1">
      <c r="A2869" s="46" t="s">
        <v>5959</v>
      </c>
      <c r="B2869" s="47" t="s">
        <v>5960</v>
      </c>
      <c r="C2869" s="47">
        <v>4738.0</v>
      </c>
      <c r="D2869" s="47">
        <v>4494.0</v>
      </c>
      <c r="E2869" s="47">
        <v>23000.0</v>
      </c>
      <c r="F2869" s="47">
        <v>23.0</v>
      </c>
    </row>
    <row r="2870" ht="15.75" customHeight="1">
      <c r="A2870" s="46" t="s">
        <v>5961</v>
      </c>
      <c r="B2870" s="47" t="s">
        <v>5962</v>
      </c>
      <c r="C2870" s="47">
        <v>14782.0</v>
      </c>
      <c r="D2870" s="47">
        <v>14382.0</v>
      </c>
      <c r="E2870" s="47">
        <v>20050.0</v>
      </c>
      <c r="F2870" s="47">
        <v>31.0</v>
      </c>
    </row>
    <row r="2871" ht="15.75" customHeight="1">
      <c r="A2871" s="46" t="s">
        <v>5963</v>
      </c>
      <c r="B2871" s="47" t="s">
        <v>5964</v>
      </c>
      <c r="C2871" s="47">
        <v>1095.0</v>
      </c>
      <c r="D2871" s="47">
        <v>1073.0</v>
      </c>
      <c r="E2871" s="47">
        <v>26180.0</v>
      </c>
      <c r="F2871" s="47" t="s">
        <v>11</v>
      </c>
    </row>
    <row r="2872" ht="15.75" customHeight="1">
      <c r="A2872" s="46" t="s">
        <v>5965</v>
      </c>
      <c r="B2872" s="47" t="s">
        <v>5966</v>
      </c>
      <c r="C2872" s="47">
        <v>4971.0</v>
      </c>
      <c r="D2872" s="47">
        <v>4677.0</v>
      </c>
      <c r="E2872" s="47">
        <v>20400.0</v>
      </c>
      <c r="F2872" s="47">
        <v>28.0</v>
      </c>
    </row>
    <row r="2873" ht="15.75" customHeight="1">
      <c r="A2873" s="46" t="s">
        <v>5967</v>
      </c>
      <c r="B2873" s="47" t="s">
        <v>5968</v>
      </c>
      <c r="C2873" s="47">
        <v>101.0</v>
      </c>
      <c r="D2873" s="47">
        <v>105.0</v>
      </c>
      <c r="E2873" s="47">
        <v>25720.0</v>
      </c>
      <c r="F2873" s="47" t="s">
        <v>11</v>
      </c>
    </row>
    <row r="2874" ht="15.75" customHeight="1">
      <c r="A2874" s="46" t="s">
        <v>5969</v>
      </c>
      <c r="B2874" s="47" t="s">
        <v>5970</v>
      </c>
      <c r="C2874" s="47">
        <v>760.0</v>
      </c>
      <c r="D2874" s="47">
        <v>773.0</v>
      </c>
      <c r="E2874" s="47">
        <v>28730.0</v>
      </c>
      <c r="F2874" s="47" t="s">
        <v>11</v>
      </c>
    </row>
    <row r="2875" ht="15.75" customHeight="1">
      <c r="A2875" s="46" t="s">
        <v>5971</v>
      </c>
      <c r="B2875" s="47" t="s">
        <v>5972</v>
      </c>
      <c r="C2875" s="47">
        <v>3027.0</v>
      </c>
      <c r="D2875" s="47">
        <v>2999.0</v>
      </c>
      <c r="E2875" s="47">
        <v>25410.0</v>
      </c>
      <c r="F2875" s="47">
        <v>11.0</v>
      </c>
    </row>
    <row r="2876" ht="15.75" customHeight="1">
      <c r="A2876" s="46" t="s">
        <v>5973</v>
      </c>
      <c r="B2876" s="47" t="s">
        <v>5974</v>
      </c>
      <c r="C2876" s="47">
        <v>9715.0</v>
      </c>
      <c r="D2876" s="47">
        <v>9414.0</v>
      </c>
      <c r="E2876" s="47">
        <v>18180.0</v>
      </c>
      <c r="F2876" s="47">
        <v>36.0</v>
      </c>
    </row>
    <row r="2877" ht="15.75" customHeight="1">
      <c r="A2877" s="46" t="s">
        <v>5975</v>
      </c>
      <c r="B2877" s="47" t="s">
        <v>5976</v>
      </c>
      <c r="C2877" s="47">
        <v>486.0</v>
      </c>
      <c r="D2877" s="47">
        <v>521.0</v>
      </c>
      <c r="E2877" s="47">
        <v>26430.0</v>
      </c>
      <c r="F2877" s="47" t="s">
        <v>11</v>
      </c>
    </row>
    <row r="2878" ht="15.75" customHeight="1">
      <c r="A2878" s="46" t="s">
        <v>5977</v>
      </c>
      <c r="B2878" s="47" t="s">
        <v>5978</v>
      </c>
      <c r="C2878" s="47">
        <v>4496.0</v>
      </c>
      <c r="D2878" s="47">
        <v>4704.0</v>
      </c>
      <c r="E2878" s="47">
        <v>22650.0</v>
      </c>
      <c r="F2878" s="47">
        <v>15.0</v>
      </c>
    </row>
    <row r="2879" ht="15.75" customHeight="1">
      <c r="A2879" s="46" t="s">
        <v>5979</v>
      </c>
      <c r="B2879" s="47" t="s">
        <v>5980</v>
      </c>
      <c r="C2879" s="47">
        <v>4820.0</v>
      </c>
      <c r="D2879" s="47">
        <v>4668.0</v>
      </c>
      <c r="E2879" s="47">
        <v>26960.0</v>
      </c>
      <c r="F2879" s="47">
        <v>12.0</v>
      </c>
    </row>
    <row r="2880" ht="15.75" customHeight="1">
      <c r="A2880" s="46" t="s">
        <v>5981</v>
      </c>
      <c r="B2880" s="47" t="s">
        <v>5982</v>
      </c>
      <c r="C2880" s="47">
        <v>329.0</v>
      </c>
      <c r="D2880" s="47">
        <v>315.0</v>
      </c>
      <c r="E2880" s="47">
        <v>24230.0</v>
      </c>
      <c r="F2880" s="47" t="s">
        <v>11</v>
      </c>
    </row>
    <row r="2881" ht="15.75" customHeight="1">
      <c r="A2881" s="46" t="s">
        <v>5983</v>
      </c>
      <c r="B2881" s="47" t="s">
        <v>5984</v>
      </c>
      <c r="C2881" s="47">
        <v>196.0</v>
      </c>
      <c r="D2881" s="47">
        <v>198.0</v>
      </c>
      <c r="E2881" s="47">
        <v>25340.0</v>
      </c>
      <c r="F2881" s="47" t="s">
        <v>11</v>
      </c>
    </row>
    <row r="2882" ht="15.75" customHeight="1">
      <c r="A2882" s="46" t="s">
        <v>5985</v>
      </c>
      <c r="B2882" s="47" t="s">
        <v>5986</v>
      </c>
      <c r="C2882" s="47">
        <v>180.0</v>
      </c>
      <c r="D2882" s="47">
        <v>153.0</v>
      </c>
      <c r="E2882" s="47">
        <v>25340.0</v>
      </c>
      <c r="F2882" s="47" t="s">
        <v>11</v>
      </c>
    </row>
    <row r="2883" ht="15.75" customHeight="1">
      <c r="A2883" s="46" t="s">
        <v>5987</v>
      </c>
      <c r="B2883" s="47" t="s">
        <v>5988</v>
      </c>
      <c r="C2883" s="47">
        <v>82.0</v>
      </c>
      <c r="D2883" s="47">
        <v>83.0</v>
      </c>
      <c r="E2883" s="47" t="s">
        <v>11</v>
      </c>
      <c r="F2883" s="47" t="s">
        <v>11</v>
      </c>
    </row>
    <row r="2884" ht="15.75" customHeight="1">
      <c r="A2884" s="46" t="s">
        <v>5989</v>
      </c>
      <c r="B2884" s="47" t="s">
        <v>5990</v>
      </c>
      <c r="C2884" s="47">
        <v>183.0</v>
      </c>
      <c r="D2884" s="47">
        <v>182.0</v>
      </c>
      <c r="E2884" s="47">
        <v>24570.0</v>
      </c>
      <c r="F2884" s="47" t="s">
        <v>11</v>
      </c>
    </row>
    <row r="2885" ht="15.75" customHeight="1">
      <c r="A2885" s="46" t="s">
        <v>5991</v>
      </c>
      <c r="B2885" s="47" t="s">
        <v>5992</v>
      </c>
      <c r="C2885" s="47">
        <v>364.0</v>
      </c>
      <c r="D2885" s="47">
        <v>390.0</v>
      </c>
      <c r="E2885" s="47">
        <v>25420.0</v>
      </c>
      <c r="F2885" s="47" t="s">
        <v>11</v>
      </c>
    </row>
    <row r="2886" ht="15.75" customHeight="1">
      <c r="A2886" s="46" t="s">
        <v>5993</v>
      </c>
      <c r="B2886" s="47" t="s">
        <v>5994</v>
      </c>
      <c r="C2886" s="47">
        <v>455.0</v>
      </c>
      <c r="D2886" s="47">
        <v>438.0</v>
      </c>
      <c r="E2886" s="47">
        <v>25090.0</v>
      </c>
      <c r="F2886" s="47" t="s">
        <v>11</v>
      </c>
    </row>
    <row r="2887" ht="15.75" customHeight="1">
      <c r="A2887" s="46" t="s">
        <v>5995</v>
      </c>
      <c r="B2887" s="47" t="s">
        <v>5996</v>
      </c>
      <c r="C2887" s="47">
        <v>449.0</v>
      </c>
      <c r="D2887" s="47">
        <v>409.0</v>
      </c>
      <c r="E2887" s="47">
        <v>25270.0</v>
      </c>
      <c r="F2887" s="47" t="s">
        <v>11</v>
      </c>
    </row>
    <row r="2888" ht="15.75" customHeight="1">
      <c r="A2888" s="46" t="s">
        <v>5997</v>
      </c>
      <c r="B2888" s="47" t="s">
        <v>5998</v>
      </c>
      <c r="C2888" s="47">
        <v>317.0</v>
      </c>
      <c r="D2888" s="47">
        <v>325.0</v>
      </c>
      <c r="E2888" s="47">
        <v>23900.0</v>
      </c>
      <c r="F2888" s="47" t="s">
        <v>11</v>
      </c>
    </row>
    <row r="2889" ht="15.75" customHeight="1">
      <c r="A2889" s="46" t="s">
        <v>5999</v>
      </c>
      <c r="B2889" s="47" t="s">
        <v>6000</v>
      </c>
      <c r="C2889" s="47">
        <v>765.0</v>
      </c>
      <c r="D2889" s="47">
        <v>750.0</v>
      </c>
      <c r="E2889" s="47">
        <v>24390.0</v>
      </c>
      <c r="F2889" s="47" t="s">
        <v>11</v>
      </c>
    </row>
    <row r="2890" ht="15.75" customHeight="1">
      <c r="A2890" s="46" t="s">
        <v>6001</v>
      </c>
      <c r="B2890" s="47" t="s">
        <v>6002</v>
      </c>
      <c r="C2890" s="47">
        <v>916.0</v>
      </c>
      <c r="D2890" s="47">
        <v>929.0</v>
      </c>
      <c r="E2890" s="47">
        <v>26990.0</v>
      </c>
      <c r="F2890" s="47" t="s">
        <v>11</v>
      </c>
    </row>
    <row r="2891" ht="15.75" customHeight="1">
      <c r="A2891" s="46" t="s">
        <v>6003</v>
      </c>
      <c r="B2891" s="47" t="s">
        <v>6004</v>
      </c>
      <c r="C2891" s="47">
        <v>333.0</v>
      </c>
      <c r="D2891" s="47">
        <v>299.0</v>
      </c>
      <c r="E2891" s="47">
        <v>24320.0</v>
      </c>
      <c r="F2891" s="47" t="s">
        <v>11</v>
      </c>
    </row>
    <row r="2892" ht="15.75" customHeight="1">
      <c r="A2892" s="46" t="s">
        <v>6005</v>
      </c>
      <c r="B2892" s="47" t="s">
        <v>6006</v>
      </c>
      <c r="C2892" s="47">
        <v>325.0</v>
      </c>
      <c r="D2892" s="47">
        <v>324.0</v>
      </c>
      <c r="E2892" s="47">
        <v>23120.0</v>
      </c>
      <c r="F2892" s="47" t="s">
        <v>11</v>
      </c>
    </row>
    <row r="2893" ht="15.75" customHeight="1">
      <c r="A2893" s="46" t="s">
        <v>6007</v>
      </c>
      <c r="B2893" s="47" t="s">
        <v>6008</v>
      </c>
      <c r="C2893" s="47">
        <v>722.0</v>
      </c>
      <c r="D2893" s="47">
        <v>685.0</v>
      </c>
      <c r="E2893" s="47">
        <v>23780.0</v>
      </c>
      <c r="F2893" s="47" t="s">
        <v>11</v>
      </c>
    </row>
    <row r="2894" ht="15.75" customHeight="1">
      <c r="A2894" s="46" t="s">
        <v>6009</v>
      </c>
      <c r="B2894" s="47" t="s">
        <v>6010</v>
      </c>
      <c r="C2894" s="47">
        <v>269.0</v>
      </c>
      <c r="D2894" s="47">
        <v>251.0</v>
      </c>
      <c r="E2894" s="47">
        <v>25830.0</v>
      </c>
      <c r="F2894" s="47" t="s">
        <v>11</v>
      </c>
    </row>
    <row r="2895" ht="15.75" customHeight="1">
      <c r="A2895" s="46" t="s">
        <v>6011</v>
      </c>
      <c r="B2895" s="47" t="s">
        <v>4309</v>
      </c>
      <c r="C2895" s="47">
        <v>163.0</v>
      </c>
      <c r="D2895" s="47">
        <v>159.0</v>
      </c>
      <c r="E2895" s="47">
        <v>24500.0</v>
      </c>
      <c r="F2895" s="47" t="s">
        <v>11</v>
      </c>
    </row>
    <row r="2896" ht="15.75" customHeight="1">
      <c r="A2896" s="46" t="s">
        <v>6012</v>
      </c>
      <c r="B2896" s="47" t="s">
        <v>6013</v>
      </c>
      <c r="C2896" s="47">
        <v>54.0</v>
      </c>
      <c r="D2896" s="47">
        <v>49.0</v>
      </c>
      <c r="E2896" s="47" t="s">
        <v>11</v>
      </c>
      <c r="F2896" s="47" t="s">
        <v>11</v>
      </c>
    </row>
    <row r="2897" ht="15.75" customHeight="1">
      <c r="A2897" s="46" t="s">
        <v>6014</v>
      </c>
      <c r="B2897" s="47" t="s">
        <v>6015</v>
      </c>
      <c r="C2897" s="47">
        <v>1148.0</v>
      </c>
      <c r="D2897" s="47">
        <v>1210.0</v>
      </c>
      <c r="E2897" s="47">
        <v>26410.0</v>
      </c>
      <c r="F2897" s="47" t="s">
        <v>11</v>
      </c>
    </row>
    <row r="2898" ht="15.75" customHeight="1">
      <c r="A2898" s="46" t="s">
        <v>6016</v>
      </c>
      <c r="B2898" s="47" t="s">
        <v>6017</v>
      </c>
      <c r="C2898" s="47">
        <v>1093.0</v>
      </c>
      <c r="D2898" s="47">
        <v>1147.0</v>
      </c>
      <c r="E2898" s="47">
        <v>28350.0</v>
      </c>
      <c r="F2898" s="47" t="s">
        <v>11</v>
      </c>
    </row>
    <row r="2899" ht="15.75" customHeight="1">
      <c r="A2899" s="46" t="s">
        <v>6018</v>
      </c>
      <c r="B2899" s="47" t="s">
        <v>6019</v>
      </c>
      <c r="C2899" s="47">
        <v>608.0</v>
      </c>
      <c r="D2899" s="47">
        <v>594.0</v>
      </c>
      <c r="E2899" s="47">
        <v>24780.0</v>
      </c>
      <c r="F2899" s="47" t="s">
        <v>11</v>
      </c>
    </row>
    <row r="2900" ht="15.75" customHeight="1">
      <c r="A2900" s="46" t="s">
        <v>6020</v>
      </c>
      <c r="B2900" s="47" t="s">
        <v>6021</v>
      </c>
      <c r="C2900" s="47">
        <v>111.0</v>
      </c>
      <c r="D2900" s="47">
        <v>118.0</v>
      </c>
      <c r="E2900" s="47">
        <v>23290.0</v>
      </c>
      <c r="F2900" s="47" t="s">
        <v>11</v>
      </c>
    </row>
    <row r="2901" ht="15.75" customHeight="1">
      <c r="A2901" s="46" t="s">
        <v>6022</v>
      </c>
      <c r="B2901" s="47" t="s">
        <v>6023</v>
      </c>
      <c r="C2901" s="47">
        <v>557.0</v>
      </c>
      <c r="D2901" s="47">
        <v>569.0</v>
      </c>
      <c r="E2901" s="47">
        <v>28760.0</v>
      </c>
      <c r="F2901" s="47" t="s">
        <v>11</v>
      </c>
    </row>
    <row r="2902" ht="15.75" customHeight="1">
      <c r="A2902" s="46" t="s">
        <v>6024</v>
      </c>
      <c r="B2902" s="47" t="s">
        <v>6025</v>
      </c>
      <c r="C2902" s="47">
        <v>269.0</v>
      </c>
      <c r="D2902" s="47">
        <v>286.0</v>
      </c>
      <c r="E2902" s="47">
        <v>25240.0</v>
      </c>
      <c r="F2902" s="47" t="s">
        <v>11</v>
      </c>
    </row>
    <row r="2903" ht="15.75" customHeight="1">
      <c r="A2903" s="46" t="s">
        <v>6026</v>
      </c>
      <c r="B2903" s="47" t="s">
        <v>6027</v>
      </c>
      <c r="C2903" s="47">
        <v>240.0</v>
      </c>
      <c r="D2903" s="47">
        <v>205.0</v>
      </c>
      <c r="E2903" s="47">
        <v>25150.0</v>
      </c>
      <c r="F2903" s="47" t="s">
        <v>11</v>
      </c>
    </row>
    <row r="2904" ht="15.75" customHeight="1">
      <c r="A2904" s="46" t="s">
        <v>6028</v>
      </c>
      <c r="B2904" s="47" t="s">
        <v>6029</v>
      </c>
      <c r="C2904" s="47">
        <v>817.0</v>
      </c>
      <c r="D2904" s="47">
        <v>942.0</v>
      </c>
      <c r="E2904" s="47">
        <v>28390.0</v>
      </c>
      <c r="F2904" s="47" t="s">
        <v>11</v>
      </c>
    </row>
    <row r="2905" ht="15.75" customHeight="1">
      <c r="A2905" s="46" t="s">
        <v>6030</v>
      </c>
      <c r="B2905" s="47" t="s">
        <v>6031</v>
      </c>
      <c r="C2905" s="47">
        <v>379.0</v>
      </c>
      <c r="D2905" s="47">
        <v>375.0</v>
      </c>
      <c r="E2905" s="47">
        <v>23030.0</v>
      </c>
      <c r="F2905" s="47" t="s">
        <v>11</v>
      </c>
    </row>
    <row r="2906" ht="15.75" customHeight="1">
      <c r="A2906" s="46" t="s">
        <v>6032</v>
      </c>
      <c r="B2906" s="47" t="s">
        <v>6033</v>
      </c>
      <c r="C2906" s="47">
        <v>2496.0</v>
      </c>
      <c r="D2906" s="47">
        <v>2663.0</v>
      </c>
      <c r="E2906" s="47">
        <v>28200.0</v>
      </c>
      <c r="F2906" s="47">
        <v>9.0</v>
      </c>
    </row>
    <row r="2907" ht="15.75" customHeight="1">
      <c r="A2907" s="46" t="s">
        <v>6034</v>
      </c>
      <c r="B2907" s="47" t="s">
        <v>6035</v>
      </c>
      <c r="C2907" s="47">
        <v>154.0</v>
      </c>
      <c r="D2907" s="47">
        <v>197.0</v>
      </c>
      <c r="E2907" s="47">
        <v>24630.0</v>
      </c>
      <c r="F2907" s="47" t="s">
        <v>11</v>
      </c>
    </row>
    <row r="2908" ht="15.75" customHeight="1">
      <c r="A2908" s="46" t="s">
        <v>6036</v>
      </c>
      <c r="B2908" s="47" t="s">
        <v>6037</v>
      </c>
      <c r="C2908" s="47">
        <v>640.0</v>
      </c>
      <c r="D2908" s="47">
        <v>624.0</v>
      </c>
      <c r="E2908" s="47">
        <v>25050.0</v>
      </c>
      <c r="F2908" s="47" t="s">
        <v>11</v>
      </c>
    </row>
    <row r="2909" ht="15.75" customHeight="1">
      <c r="A2909" s="46" t="s">
        <v>6038</v>
      </c>
      <c r="B2909" s="47" t="s">
        <v>6039</v>
      </c>
      <c r="C2909" s="47">
        <v>376.0</v>
      </c>
      <c r="D2909" s="47">
        <v>359.0</v>
      </c>
      <c r="E2909" s="47">
        <v>22600.0</v>
      </c>
      <c r="F2909" s="47" t="s">
        <v>11</v>
      </c>
    </row>
    <row r="2910" ht="15.75" customHeight="1">
      <c r="A2910" s="46" t="s">
        <v>6040</v>
      </c>
      <c r="B2910" s="47" t="s">
        <v>6041</v>
      </c>
      <c r="C2910" s="47">
        <v>252.0</v>
      </c>
      <c r="D2910" s="47">
        <v>265.0</v>
      </c>
      <c r="E2910" s="47">
        <v>28810.0</v>
      </c>
      <c r="F2910" s="47" t="s">
        <v>11</v>
      </c>
    </row>
    <row r="2911" ht="15.75" customHeight="1">
      <c r="A2911" s="46" t="s">
        <v>6042</v>
      </c>
      <c r="B2911" s="47" t="s">
        <v>6043</v>
      </c>
      <c r="C2911" s="47">
        <v>151.0</v>
      </c>
      <c r="D2911" s="47">
        <v>150.0</v>
      </c>
      <c r="E2911" s="47">
        <v>31610.0</v>
      </c>
      <c r="F2911" s="47" t="s">
        <v>11</v>
      </c>
    </row>
    <row r="2912" ht="15.75" customHeight="1">
      <c r="A2912" s="46" t="s">
        <v>6044</v>
      </c>
      <c r="B2912" s="47" t="s">
        <v>6045</v>
      </c>
      <c r="C2912" s="47">
        <v>260.0</v>
      </c>
      <c r="D2912" s="47">
        <v>259.0</v>
      </c>
      <c r="E2912" s="47">
        <v>23760.0</v>
      </c>
      <c r="F2912" s="47" t="s">
        <v>11</v>
      </c>
    </row>
    <row r="2913" ht="15.75" customHeight="1">
      <c r="A2913" s="46" t="s">
        <v>6046</v>
      </c>
      <c r="B2913" s="47" t="s">
        <v>6047</v>
      </c>
      <c r="C2913" s="47">
        <v>137.0</v>
      </c>
      <c r="D2913" s="47">
        <v>125.0</v>
      </c>
      <c r="E2913" s="47">
        <v>24780.0</v>
      </c>
      <c r="F2913" s="47" t="s">
        <v>11</v>
      </c>
    </row>
    <row r="2914" ht="15.75" customHeight="1">
      <c r="A2914" s="46" t="s">
        <v>6048</v>
      </c>
      <c r="B2914" s="47" t="s">
        <v>6049</v>
      </c>
      <c r="C2914" s="47">
        <v>1204.0</v>
      </c>
      <c r="D2914" s="47">
        <v>1310.0</v>
      </c>
      <c r="E2914" s="47">
        <v>29480.0</v>
      </c>
      <c r="F2914" s="47" t="s">
        <v>11</v>
      </c>
    </row>
    <row r="2915" ht="15.75" customHeight="1">
      <c r="A2915" s="46" t="s">
        <v>6050</v>
      </c>
      <c r="B2915" s="47" t="s">
        <v>6051</v>
      </c>
      <c r="C2915" s="47">
        <v>1115.0</v>
      </c>
      <c r="D2915" s="47">
        <v>1146.0</v>
      </c>
      <c r="E2915" s="47">
        <v>24420.0</v>
      </c>
      <c r="F2915" s="47" t="s">
        <v>11</v>
      </c>
    </row>
    <row r="2916" ht="15.75" customHeight="1">
      <c r="A2916" s="46" t="s">
        <v>6052</v>
      </c>
      <c r="B2916" s="47" t="s">
        <v>6053</v>
      </c>
      <c r="C2916" s="47">
        <v>834.0</v>
      </c>
      <c r="D2916" s="47">
        <v>815.0</v>
      </c>
      <c r="E2916" s="47">
        <v>23230.0</v>
      </c>
      <c r="F2916" s="47" t="s">
        <v>11</v>
      </c>
    </row>
    <row r="2917" ht="15.75" customHeight="1">
      <c r="A2917" s="46" t="s">
        <v>6054</v>
      </c>
      <c r="B2917" s="47" t="s">
        <v>6055</v>
      </c>
      <c r="C2917" s="47">
        <v>493.0</v>
      </c>
      <c r="D2917" s="47">
        <v>476.0</v>
      </c>
      <c r="E2917" s="47">
        <v>27090.0</v>
      </c>
      <c r="F2917" s="47" t="s">
        <v>11</v>
      </c>
    </row>
    <row r="2918" ht="15.75" customHeight="1">
      <c r="A2918" s="46" t="s">
        <v>6056</v>
      </c>
      <c r="B2918" s="47" t="s">
        <v>6057</v>
      </c>
      <c r="C2918" s="47">
        <v>123.0</v>
      </c>
      <c r="D2918" s="47">
        <v>96.0</v>
      </c>
      <c r="E2918" s="47">
        <v>24250.0</v>
      </c>
      <c r="F2918" s="47" t="s">
        <v>11</v>
      </c>
    </row>
    <row r="2919" ht="15.75" customHeight="1">
      <c r="A2919" s="46" t="s">
        <v>6058</v>
      </c>
      <c r="B2919" s="47" t="s">
        <v>6059</v>
      </c>
      <c r="C2919" s="47">
        <v>174.0</v>
      </c>
      <c r="D2919" s="47">
        <v>163.0</v>
      </c>
      <c r="E2919" s="47">
        <v>25900.0</v>
      </c>
      <c r="F2919" s="47" t="s">
        <v>11</v>
      </c>
    </row>
    <row r="2920" ht="15.75" customHeight="1">
      <c r="A2920" s="46" t="s">
        <v>6060</v>
      </c>
      <c r="B2920" s="47" t="s">
        <v>6061</v>
      </c>
      <c r="C2920" s="47">
        <v>223.0</v>
      </c>
      <c r="D2920" s="47">
        <v>215.0</v>
      </c>
      <c r="E2920" s="47">
        <v>28970.0</v>
      </c>
      <c r="F2920" s="47" t="s">
        <v>11</v>
      </c>
    </row>
    <row r="2921" ht="15.75" customHeight="1">
      <c r="A2921" s="46" t="s">
        <v>6062</v>
      </c>
      <c r="B2921" s="47" t="s">
        <v>6063</v>
      </c>
      <c r="C2921" s="47">
        <v>1434.0</v>
      </c>
      <c r="D2921" s="47">
        <v>1616.0</v>
      </c>
      <c r="E2921" s="47">
        <v>26620.0</v>
      </c>
      <c r="F2921" s="47" t="s">
        <v>11</v>
      </c>
    </row>
    <row r="2922" ht="15.75" customHeight="1">
      <c r="A2922" s="46" t="s">
        <v>6064</v>
      </c>
      <c r="B2922" s="47" t="s">
        <v>6065</v>
      </c>
      <c r="C2922" s="47">
        <v>159.0</v>
      </c>
      <c r="D2922" s="47">
        <v>154.0</v>
      </c>
      <c r="E2922" s="47">
        <v>22880.0</v>
      </c>
      <c r="F2922" s="47" t="s">
        <v>11</v>
      </c>
    </row>
    <row r="2923" ht="15.75" customHeight="1">
      <c r="A2923" s="46" t="s">
        <v>6066</v>
      </c>
      <c r="B2923" s="47" t="s">
        <v>6067</v>
      </c>
      <c r="C2923" s="47">
        <v>1099.0</v>
      </c>
      <c r="D2923" s="47">
        <v>1072.0</v>
      </c>
      <c r="E2923" s="47">
        <v>26910.0</v>
      </c>
      <c r="F2923" s="47" t="s">
        <v>11</v>
      </c>
    </row>
    <row r="2924" ht="15.75" customHeight="1">
      <c r="A2924" s="46" t="s">
        <v>6068</v>
      </c>
      <c r="B2924" s="47" t="s">
        <v>6069</v>
      </c>
      <c r="C2924" s="47">
        <v>825.0</v>
      </c>
      <c r="D2924" s="47">
        <v>818.0</v>
      </c>
      <c r="E2924" s="47">
        <v>27090.0</v>
      </c>
      <c r="F2924" s="47" t="s">
        <v>11</v>
      </c>
    </row>
    <row r="2925" ht="15.75" customHeight="1">
      <c r="A2925" s="46" t="s">
        <v>6070</v>
      </c>
      <c r="B2925" s="47" t="s">
        <v>6071</v>
      </c>
      <c r="C2925" s="47">
        <v>290.0</v>
      </c>
      <c r="D2925" s="47">
        <v>291.0</v>
      </c>
      <c r="E2925" s="47">
        <v>28110.0</v>
      </c>
      <c r="F2925" s="47" t="s">
        <v>11</v>
      </c>
    </row>
    <row r="2926" ht="15.75" customHeight="1">
      <c r="A2926" s="46" t="s">
        <v>6072</v>
      </c>
      <c r="B2926" s="47" t="s">
        <v>6073</v>
      </c>
      <c r="C2926" s="47">
        <v>91.0</v>
      </c>
      <c r="D2926" s="47">
        <v>81.0</v>
      </c>
      <c r="E2926" s="47" t="s">
        <v>11</v>
      </c>
      <c r="F2926" s="47" t="s">
        <v>11</v>
      </c>
    </row>
    <row r="2927" ht="15.75" customHeight="1">
      <c r="A2927" s="46" t="s">
        <v>6074</v>
      </c>
      <c r="B2927" s="47" t="s">
        <v>6075</v>
      </c>
      <c r="C2927" s="47">
        <v>165.0</v>
      </c>
      <c r="D2927" s="47">
        <v>171.0</v>
      </c>
      <c r="E2927" s="47">
        <v>23650.0</v>
      </c>
      <c r="F2927" s="47" t="s">
        <v>11</v>
      </c>
    </row>
    <row r="2928" ht="15.75" customHeight="1">
      <c r="A2928" s="46" t="s">
        <v>6076</v>
      </c>
      <c r="B2928" s="47" t="s">
        <v>6077</v>
      </c>
      <c r="C2928" s="47">
        <v>222.0</v>
      </c>
      <c r="D2928" s="47">
        <v>233.0</v>
      </c>
      <c r="E2928" s="47">
        <v>24100.0</v>
      </c>
      <c r="F2928" s="47" t="s">
        <v>11</v>
      </c>
    </row>
    <row r="2929" ht="15.75" customHeight="1">
      <c r="A2929" s="46" t="s">
        <v>6078</v>
      </c>
      <c r="B2929" s="47" t="s">
        <v>6079</v>
      </c>
      <c r="C2929" s="47">
        <v>826.0</v>
      </c>
      <c r="D2929" s="47">
        <v>907.0</v>
      </c>
      <c r="E2929" s="47">
        <v>26590.0</v>
      </c>
      <c r="F2929" s="47" t="s">
        <v>11</v>
      </c>
    </row>
    <row r="2930" ht="15.75" customHeight="1">
      <c r="A2930" s="46" t="s">
        <v>6080</v>
      </c>
      <c r="B2930" s="47" t="s">
        <v>6081</v>
      </c>
      <c r="C2930" s="47">
        <v>4223.0</v>
      </c>
      <c r="D2930" s="47">
        <v>4224.0</v>
      </c>
      <c r="E2930" s="47">
        <v>36850.0</v>
      </c>
      <c r="F2930" s="47">
        <v>10.0</v>
      </c>
    </row>
    <row r="2931" ht="15.75" customHeight="1">
      <c r="A2931" s="46" t="s">
        <v>6082</v>
      </c>
      <c r="B2931" s="47" t="s">
        <v>6083</v>
      </c>
      <c r="C2931" s="47">
        <v>1436.0</v>
      </c>
      <c r="D2931" s="47">
        <v>1376.0</v>
      </c>
      <c r="E2931" s="47">
        <v>23020.0</v>
      </c>
      <c r="F2931" s="47" t="s">
        <v>11</v>
      </c>
    </row>
    <row r="2932" ht="15.75" customHeight="1">
      <c r="A2932" s="46" t="s">
        <v>6084</v>
      </c>
      <c r="B2932" s="47" t="s">
        <v>6085</v>
      </c>
      <c r="C2932" s="47">
        <v>60.0</v>
      </c>
      <c r="D2932" s="47">
        <v>55.0</v>
      </c>
      <c r="E2932" s="47" t="s">
        <v>11</v>
      </c>
      <c r="F2932" s="47" t="s">
        <v>11</v>
      </c>
    </row>
    <row r="2933" ht="15.75" customHeight="1">
      <c r="A2933" s="46" t="s">
        <v>6086</v>
      </c>
      <c r="B2933" s="47" t="s">
        <v>6087</v>
      </c>
      <c r="C2933" s="47">
        <v>411.0</v>
      </c>
      <c r="D2933" s="47">
        <v>422.0</v>
      </c>
      <c r="E2933" s="47">
        <v>24530.0</v>
      </c>
      <c r="F2933" s="47" t="s">
        <v>11</v>
      </c>
    </row>
    <row r="2934" ht="15.75" customHeight="1">
      <c r="A2934" s="46" t="s">
        <v>6088</v>
      </c>
      <c r="B2934" s="47" t="s">
        <v>6089</v>
      </c>
      <c r="C2934" s="47">
        <v>178.0</v>
      </c>
      <c r="D2934" s="47">
        <v>204.0</v>
      </c>
      <c r="E2934" s="47">
        <v>25780.0</v>
      </c>
      <c r="F2934" s="47" t="s">
        <v>11</v>
      </c>
    </row>
    <row r="2935" ht="15.75" customHeight="1">
      <c r="A2935" s="46" t="s">
        <v>6090</v>
      </c>
      <c r="B2935" s="47" t="s">
        <v>6091</v>
      </c>
      <c r="C2935" s="47">
        <v>279.0</v>
      </c>
      <c r="D2935" s="47">
        <v>293.0</v>
      </c>
      <c r="E2935" s="47">
        <v>27100.0</v>
      </c>
      <c r="F2935" s="47" t="s">
        <v>11</v>
      </c>
    </row>
    <row r="2936" ht="15.75" customHeight="1">
      <c r="A2936" s="46" t="s">
        <v>6092</v>
      </c>
      <c r="B2936" s="47" t="s">
        <v>6093</v>
      </c>
      <c r="C2936" s="47">
        <v>538.0</v>
      </c>
      <c r="D2936" s="47">
        <v>578.0</v>
      </c>
      <c r="E2936" s="47">
        <v>25030.0</v>
      </c>
      <c r="F2936" s="47" t="s">
        <v>11</v>
      </c>
    </row>
    <row r="2937" ht="15.75" customHeight="1">
      <c r="A2937" s="46" t="s">
        <v>6094</v>
      </c>
      <c r="B2937" s="47" t="s">
        <v>6095</v>
      </c>
      <c r="C2937" s="47">
        <v>84.0</v>
      </c>
      <c r="D2937" s="47">
        <v>67.0</v>
      </c>
      <c r="E2937" s="47" t="s">
        <v>11</v>
      </c>
      <c r="F2937" s="47" t="s">
        <v>11</v>
      </c>
    </row>
    <row r="2938" ht="15.75" customHeight="1">
      <c r="A2938" s="46" t="s">
        <v>6096</v>
      </c>
      <c r="B2938" s="47" t="s">
        <v>6097</v>
      </c>
      <c r="C2938" s="47">
        <v>253.0</v>
      </c>
      <c r="D2938" s="47">
        <v>245.0</v>
      </c>
      <c r="E2938" s="47">
        <v>22870.0</v>
      </c>
      <c r="F2938" s="47" t="s">
        <v>11</v>
      </c>
    </row>
    <row r="2939" ht="15.75" customHeight="1">
      <c r="A2939" s="46" t="s">
        <v>6098</v>
      </c>
      <c r="B2939" s="47" t="s">
        <v>6099</v>
      </c>
      <c r="C2939" s="47">
        <v>569.0</v>
      </c>
      <c r="D2939" s="47">
        <v>538.0</v>
      </c>
      <c r="E2939" s="47">
        <v>26250.0</v>
      </c>
      <c r="F2939" s="47" t="s">
        <v>11</v>
      </c>
    </row>
    <row r="2940" ht="15.75" customHeight="1">
      <c r="A2940" s="46" t="s">
        <v>6100</v>
      </c>
      <c r="B2940" s="47" t="s">
        <v>6101</v>
      </c>
      <c r="C2940" s="47">
        <v>971.0</v>
      </c>
      <c r="D2940" s="47">
        <v>1138.0</v>
      </c>
      <c r="E2940" s="47">
        <v>32600.0</v>
      </c>
      <c r="F2940" s="47" t="s">
        <v>11</v>
      </c>
    </row>
    <row r="2941" ht="15.75" customHeight="1">
      <c r="A2941" s="46" t="s">
        <v>6102</v>
      </c>
      <c r="B2941" s="47" t="s">
        <v>6103</v>
      </c>
      <c r="C2941" s="47">
        <v>532.0</v>
      </c>
      <c r="D2941" s="47">
        <v>494.0</v>
      </c>
      <c r="E2941" s="47">
        <v>24980.0</v>
      </c>
      <c r="F2941" s="47" t="s">
        <v>11</v>
      </c>
    </row>
    <row r="2942" ht="15.75" customHeight="1">
      <c r="A2942" s="46" t="s">
        <v>6104</v>
      </c>
      <c r="B2942" s="47" t="s">
        <v>6105</v>
      </c>
      <c r="C2942" s="47">
        <v>90.0</v>
      </c>
      <c r="D2942" s="47">
        <v>89.0</v>
      </c>
      <c r="E2942" s="47" t="s">
        <v>11</v>
      </c>
      <c r="F2942" s="47" t="s">
        <v>11</v>
      </c>
    </row>
    <row r="2943" ht="15.75" customHeight="1">
      <c r="A2943" s="46" t="s">
        <v>6106</v>
      </c>
      <c r="B2943" s="47" t="s">
        <v>6107</v>
      </c>
      <c r="C2943" s="47">
        <v>1018.0</v>
      </c>
      <c r="D2943" s="47">
        <v>1099.0</v>
      </c>
      <c r="E2943" s="47">
        <v>25930.0</v>
      </c>
      <c r="F2943" s="47" t="s">
        <v>11</v>
      </c>
    </row>
    <row r="2944" ht="15.75" customHeight="1">
      <c r="A2944" s="46" t="s">
        <v>6108</v>
      </c>
      <c r="B2944" s="47" t="s">
        <v>6109</v>
      </c>
      <c r="C2944" s="47">
        <v>135.0</v>
      </c>
      <c r="D2944" s="47">
        <v>130.0</v>
      </c>
      <c r="E2944" s="47">
        <v>23180.0</v>
      </c>
      <c r="F2944" s="47" t="s">
        <v>11</v>
      </c>
    </row>
    <row r="2945" ht="15.75" customHeight="1">
      <c r="A2945" s="46" t="s">
        <v>6110</v>
      </c>
      <c r="B2945" s="47" t="s">
        <v>6111</v>
      </c>
      <c r="C2945" s="47">
        <v>2443.0</v>
      </c>
      <c r="D2945" s="47">
        <v>2374.0</v>
      </c>
      <c r="E2945" s="47">
        <v>24300.0</v>
      </c>
      <c r="F2945" s="47">
        <v>12.0</v>
      </c>
    </row>
    <row r="2946" ht="15.75" customHeight="1">
      <c r="A2946" s="46" t="s">
        <v>6112</v>
      </c>
      <c r="B2946" s="47" t="s">
        <v>6113</v>
      </c>
      <c r="C2946" s="47">
        <v>8608.0</v>
      </c>
      <c r="D2946" s="47">
        <v>8536.0</v>
      </c>
      <c r="E2946" s="47">
        <v>22900.0</v>
      </c>
      <c r="F2946" s="47">
        <v>20.0</v>
      </c>
    </row>
    <row r="2947" ht="15.75" customHeight="1">
      <c r="A2947" s="46" t="s">
        <v>6114</v>
      </c>
      <c r="B2947" s="47" t="s">
        <v>6115</v>
      </c>
      <c r="C2947" s="47">
        <v>241.0</v>
      </c>
      <c r="D2947" s="47">
        <v>235.0</v>
      </c>
      <c r="E2947" s="47">
        <v>25160.0</v>
      </c>
      <c r="F2947" s="47" t="s">
        <v>11</v>
      </c>
    </row>
    <row r="2948" ht="15.75" customHeight="1">
      <c r="A2948" s="46" t="s">
        <v>6116</v>
      </c>
      <c r="B2948" s="47" t="s">
        <v>6117</v>
      </c>
      <c r="C2948" s="47">
        <v>645.0</v>
      </c>
      <c r="D2948" s="47">
        <v>665.0</v>
      </c>
      <c r="E2948" s="47">
        <v>23450.0</v>
      </c>
      <c r="F2948" s="47" t="s">
        <v>11</v>
      </c>
    </row>
    <row r="2949" ht="15.75" customHeight="1">
      <c r="A2949" s="46" t="s">
        <v>6118</v>
      </c>
      <c r="B2949" s="47" t="s">
        <v>6119</v>
      </c>
      <c r="C2949" s="47">
        <v>444.0</v>
      </c>
      <c r="D2949" s="47">
        <v>516.0</v>
      </c>
      <c r="E2949" s="47">
        <v>26260.0</v>
      </c>
      <c r="F2949" s="47" t="s">
        <v>11</v>
      </c>
    </row>
    <row r="2950" ht="15.75" customHeight="1">
      <c r="A2950" s="46" t="s">
        <v>6120</v>
      </c>
      <c r="B2950" s="47" t="s">
        <v>6121</v>
      </c>
      <c r="C2950" s="47">
        <v>4726.0</v>
      </c>
      <c r="D2950" s="47">
        <v>4729.0</v>
      </c>
      <c r="E2950" s="47">
        <v>22380.0</v>
      </c>
      <c r="F2950" s="47">
        <v>18.0</v>
      </c>
    </row>
    <row r="2951" ht="15.75" customHeight="1">
      <c r="A2951" s="46" t="s">
        <v>6122</v>
      </c>
      <c r="B2951" s="47" t="s">
        <v>6123</v>
      </c>
      <c r="C2951" s="47">
        <v>1929.0</v>
      </c>
      <c r="D2951" s="47">
        <v>1978.0</v>
      </c>
      <c r="E2951" s="47">
        <v>26010.0</v>
      </c>
      <c r="F2951" s="47" t="s">
        <v>11</v>
      </c>
    </row>
    <row r="2952" ht="15.75" customHeight="1">
      <c r="A2952" s="46" t="s">
        <v>6124</v>
      </c>
      <c r="B2952" s="47" t="s">
        <v>6125</v>
      </c>
      <c r="C2952" s="47">
        <v>3452.0</v>
      </c>
      <c r="D2952" s="47">
        <v>3445.0</v>
      </c>
      <c r="E2952" s="47">
        <v>23880.0</v>
      </c>
      <c r="F2952" s="47">
        <v>15.0</v>
      </c>
    </row>
    <row r="2953" ht="15.75" customHeight="1">
      <c r="A2953" s="46" t="s">
        <v>6126</v>
      </c>
      <c r="B2953" s="47" t="s">
        <v>6127</v>
      </c>
      <c r="C2953" s="47">
        <v>2425.0</v>
      </c>
      <c r="D2953" s="47">
        <v>2571.0</v>
      </c>
      <c r="E2953" s="47">
        <v>27570.0</v>
      </c>
      <c r="F2953" s="47">
        <v>8.0</v>
      </c>
    </row>
    <row r="2954" ht="15.75" customHeight="1">
      <c r="A2954" s="46" t="s">
        <v>6128</v>
      </c>
      <c r="B2954" s="47" t="s">
        <v>6129</v>
      </c>
      <c r="C2954" s="47">
        <v>356.0</v>
      </c>
      <c r="D2954" s="47">
        <v>351.0</v>
      </c>
      <c r="E2954" s="47">
        <v>24530.0</v>
      </c>
      <c r="F2954" s="47" t="s">
        <v>11</v>
      </c>
    </row>
    <row r="2955" ht="15.75" customHeight="1">
      <c r="A2955" s="46" t="s">
        <v>6130</v>
      </c>
      <c r="B2955" s="47" t="s">
        <v>6131</v>
      </c>
      <c r="C2955" s="47">
        <v>778.0</v>
      </c>
      <c r="D2955" s="47">
        <v>882.0</v>
      </c>
      <c r="E2955" s="47">
        <v>29910.0</v>
      </c>
      <c r="F2955" s="47" t="s">
        <v>11</v>
      </c>
    </row>
    <row r="2956" ht="15.75" customHeight="1">
      <c r="A2956" s="46" t="s">
        <v>6132</v>
      </c>
      <c r="B2956" s="47" t="s">
        <v>6133</v>
      </c>
      <c r="C2956" s="47">
        <v>1382.0</v>
      </c>
      <c r="D2956" s="47">
        <v>1511.0</v>
      </c>
      <c r="E2956" s="47">
        <v>26950.0</v>
      </c>
      <c r="F2956" s="47" t="s">
        <v>11</v>
      </c>
    </row>
    <row r="2957" ht="15.75" customHeight="1">
      <c r="A2957" s="46" t="s">
        <v>6134</v>
      </c>
      <c r="B2957" s="47" t="s">
        <v>6135</v>
      </c>
      <c r="C2957" s="47">
        <v>386.0</v>
      </c>
      <c r="D2957" s="47">
        <v>391.0</v>
      </c>
      <c r="E2957" s="47">
        <v>24190.0</v>
      </c>
      <c r="F2957" s="47" t="s">
        <v>11</v>
      </c>
    </row>
    <row r="2958" ht="15.75" customHeight="1">
      <c r="A2958" s="46" t="s">
        <v>6136</v>
      </c>
      <c r="B2958" s="47" t="s">
        <v>6137</v>
      </c>
      <c r="C2958" s="47">
        <v>568.0</v>
      </c>
      <c r="D2958" s="47">
        <v>607.0</v>
      </c>
      <c r="E2958" s="47">
        <v>30240.0</v>
      </c>
      <c r="F2958" s="47" t="s">
        <v>11</v>
      </c>
    </row>
    <row r="2959" ht="15.75" customHeight="1">
      <c r="A2959" s="46" t="s">
        <v>6138</v>
      </c>
      <c r="B2959" s="47" t="s">
        <v>6139</v>
      </c>
      <c r="C2959" s="47">
        <v>272.0</v>
      </c>
      <c r="D2959" s="47">
        <v>245.0</v>
      </c>
      <c r="E2959" s="47">
        <v>25080.0</v>
      </c>
      <c r="F2959" s="47" t="s">
        <v>11</v>
      </c>
    </row>
    <row r="2960" ht="15.75" customHeight="1">
      <c r="A2960" s="46" t="s">
        <v>6140</v>
      </c>
      <c r="B2960" s="47" t="s">
        <v>6141</v>
      </c>
      <c r="C2960" s="47">
        <v>365.0</v>
      </c>
      <c r="D2960" s="47">
        <v>368.0</v>
      </c>
      <c r="E2960" s="47">
        <v>25840.0</v>
      </c>
      <c r="F2960" s="47" t="s">
        <v>11</v>
      </c>
    </row>
    <row r="2961" ht="15.75" customHeight="1">
      <c r="A2961" s="46" t="s">
        <v>6142</v>
      </c>
      <c r="B2961" s="47" t="s">
        <v>6143</v>
      </c>
      <c r="C2961" s="47">
        <v>135.0</v>
      </c>
      <c r="D2961" s="47">
        <v>127.0</v>
      </c>
      <c r="E2961" s="47">
        <v>30670.0</v>
      </c>
      <c r="F2961" s="47" t="s">
        <v>11</v>
      </c>
    </row>
    <row r="2962" ht="15.75" customHeight="1">
      <c r="A2962" s="46" t="s">
        <v>6144</v>
      </c>
      <c r="B2962" s="47" t="s">
        <v>6145</v>
      </c>
      <c r="C2962" s="47">
        <v>264.0</v>
      </c>
      <c r="D2962" s="47">
        <v>243.0</v>
      </c>
      <c r="E2962" s="47">
        <v>27420.0</v>
      </c>
      <c r="F2962" s="47" t="s">
        <v>11</v>
      </c>
    </row>
    <row r="2963" ht="15.75" customHeight="1">
      <c r="A2963" s="46" t="s">
        <v>6146</v>
      </c>
      <c r="B2963" s="47" t="s">
        <v>6147</v>
      </c>
      <c r="C2963" s="47">
        <v>265.0</v>
      </c>
      <c r="D2963" s="47">
        <v>255.0</v>
      </c>
      <c r="E2963" s="47">
        <v>21700.0</v>
      </c>
      <c r="F2963" s="47" t="s">
        <v>11</v>
      </c>
    </row>
    <row r="2964" ht="15.75" customHeight="1">
      <c r="A2964" s="46" t="s">
        <v>6148</v>
      </c>
      <c r="B2964" s="47" t="s">
        <v>6149</v>
      </c>
      <c r="C2964" s="47">
        <v>118.0</v>
      </c>
      <c r="D2964" s="47">
        <v>137.0</v>
      </c>
      <c r="E2964" s="47">
        <v>26490.0</v>
      </c>
      <c r="F2964" s="47" t="s">
        <v>11</v>
      </c>
    </row>
    <row r="2965" ht="15.75" customHeight="1">
      <c r="A2965" s="46" t="s">
        <v>6150</v>
      </c>
      <c r="B2965" s="47" t="s">
        <v>6151</v>
      </c>
      <c r="C2965" s="47">
        <v>4265.0</v>
      </c>
      <c r="D2965" s="47">
        <v>4270.0</v>
      </c>
      <c r="E2965" s="47">
        <v>27350.0</v>
      </c>
      <c r="F2965" s="47">
        <v>8.0</v>
      </c>
    </row>
    <row r="2966" ht="15.75" customHeight="1">
      <c r="A2966" s="46" t="s">
        <v>6152</v>
      </c>
      <c r="B2966" s="47" t="s">
        <v>6153</v>
      </c>
      <c r="C2966" s="47">
        <v>158.0</v>
      </c>
      <c r="D2966" s="47">
        <v>146.0</v>
      </c>
      <c r="E2966" s="47">
        <v>22730.0</v>
      </c>
      <c r="F2966" s="47" t="s">
        <v>11</v>
      </c>
    </row>
    <row r="2967" ht="15.75" customHeight="1">
      <c r="A2967" s="46" t="s">
        <v>6154</v>
      </c>
      <c r="B2967" s="47" t="s">
        <v>6155</v>
      </c>
      <c r="C2967" s="47">
        <v>3667.0</v>
      </c>
      <c r="D2967" s="47">
        <v>3839.0</v>
      </c>
      <c r="E2967" s="47">
        <v>25540.0</v>
      </c>
      <c r="F2967" s="47">
        <v>10.0</v>
      </c>
    </row>
    <row r="2968" ht="15.75" customHeight="1">
      <c r="A2968" s="46" t="s">
        <v>6156</v>
      </c>
      <c r="B2968" s="47" t="s">
        <v>6157</v>
      </c>
      <c r="C2968" s="47">
        <v>654.0</v>
      </c>
      <c r="D2968" s="47">
        <v>632.0</v>
      </c>
      <c r="E2968" s="47">
        <v>26840.0</v>
      </c>
      <c r="F2968" s="47" t="s">
        <v>11</v>
      </c>
    </row>
    <row r="2969" ht="15.75" customHeight="1">
      <c r="A2969" s="46" t="s">
        <v>6158</v>
      </c>
      <c r="B2969" s="47" t="s">
        <v>6159</v>
      </c>
      <c r="C2969" s="47">
        <v>4677.0</v>
      </c>
      <c r="D2969" s="47">
        <v>4849.0</v>
      </c>
      <c r="E2969" s="47">
        <v>23980.0</v>
      </c>
      <c r="F2969" s="47">
        <v>16.0</v>
      </c>
    </row>
    <row r="2970" ht="15.75" customHeight="1">
      <c r="A2970" s="46" t="s">
        <v>6160</v>
      </c>
      <c r="B2970" s="47" t="s">
        <v>6161</v>
      </c>
      <c r="C2970" s="47">
        <v>431.0</v>
      </c>
      <c r="D2970" s="47">
        <v>449.0</v>
      </c>
      <c r="E2970" s="47">
        <v>26880.0</v>
      </c>
      <c r="F2970" s="47" t="s">
        <v>11</v>
      </c>
    </row>
    <row r="2971" ht="15.75" customHeight="1">
      <c r="A2971" s="46" t="s">
        <v>6162</v>
      </c>
      <c r="B2971" s="47" t="s">
        <v>6163</v>
      </c>
      <c r="C2971" s="47">
        <v>262.0</v>
      </c>
      <c r="D2971" s="47">
        <v>259.0</v>
      </c>
      <c r="E2971" s="47">
        <v>26730.0</v>
      </c>
      <c r="F2971" s="47" t="s">
        <v>11</v>
      </c>
    </row>
    <row r="2972" ht="15.75" customHeight="1">
      <c r="A2972" s="46" t="s">
        <v>6164</v>
      </c>
      <c r="B2972" s="47" t="s">
        <v>6165</v>
      </c>
      <c r="C2972" s="47">
        <v>262.0</v>
      </c>
      <c r="D2972" s="47">
        <v>261.0</v>
      </c>
      <c r="E2972" s="47">
        <v>24950.0</v>
      </c>
      <c r="F2972" s="47" t="s">
        <v>11</v>
      </c>
    </row>
    <row r="2973" ht="15.75" customHeight="1">
      <c r="A2973" s="46" t="s">
        <v>6166</v>
      </c>
      <c r="B2973" s="47" t="s">
        <v>6167</v>
      </c>
      <c r="C2973" s="47">
        <v>1099.0</v>
      </c>
      <c r="D2973" s="47">
        <v>1062.0</v>
      </c>
      <c r="E2973" s="47">
        <v>29620.0</v>
      </c>
      <c r="F2973" s="47" t="s">
        <v>11</v>
      </c>
    </row>
    <row r="2974" ht="15.75" customHeight="1">
      <c r="A2974" s="46" t="s">
        <v>6168</v>
      </c>
      <c r="B2974" s="47" t="s">
        <v>6169</v>
      </c>
      <c r="C2974" s="47">
        <v>1004.0</v>
      </c>
      <c r="D2974" s="47">
        <v>1062.0</v>
      </c>
      <c r="E2974" s="47">
        <v>27180.0</v>
      </c>
      <c r="F2974" s="47" t="s">
        <v>11</v>
      </c>
    </row>
    <row r="2975" ht="15.75" customHeight="1">
      <c r="A2975" s="46" t="s">
        <v>6170</v>
      </c>
      <c r="B2975" s="47" t="s">
        <v>6171</v>
      </c>
      <c r="C2975" s="47">
        <v>245.0</v>
      </c>
      <c r="D2975" s="47">
        <v>259.0</v>
      </c>
      <c r="E2975" s="47">
        <v>24320.0</v>
      </c>
      <c r="F2975" s="47" t="s">
        <v>11</v>
      </c>
    </row>
    <row r="2976" ht="15.75" customHeight="1">
      <c r="A2976" s="46" t="s">
        <v>6172</v>
      </c>
      <c r="B2976" s="47" t="s">
        <v>6173</v>
      </c>
      <c r="C2976" s="47">
        <v>237.0</v>
      </c>
      <c r="D2976" s="47">
        <v>253.0</v>
      </c>
      <c r="E2976" s="47">
        <v>21350.0</v>
      </c>
      <c r="F2976" s="47" t="s">
        <v>11</v>
      </c>
    </row>
    <row r="2977" ht="15.75" customHeight="1">
      <c r="A2977" s="46" t="s">
        <v>6174</v>
      </c>
      <c r="B2977" s="47" t="s">
        <v>6175</v>
      </c>
      <c r="C2977" s="47">
        <v>649.0</v>
      </c>
      <c r="D2977" s="47">
        <v>626.0</v>
      </c>
      <c r="E2977" s="47">
        <v>30320.0</v>
      </c>
      <c r="F2977" s="47" t="s">
        <v>11</v>
      </c>
    </row>
    <row r="2978" ht="15.75" customHeight="1">
      <c r="A2978" s="46" t="s">
        <v>6176</v>
      </c>
      <c r="B2978" s="47" t="s">
        <v>6177</v>
      </c>
      <c r="C2978" s="47">
        <v>719.0</v>
      </c>
      <c r="D2978" s="47">
        <v>748.0</v>
      </c>
      <c r="E2978" s="47">
        <v>27600.0</v>
      </c>
      <c r="F2978" s="47" t="s">
        <v>11</v>
      </c>
    </row>
    <row r="2979" ht="15.75" customHeight="1">
      <c r="A2979" s="46" t="s">
        <v>6178</v>
      </c>
      <c r="B2979" s="47" t="s">
        <v>6179</v>
      </c>
      <c r="C2979" s="47">
        <v>1333.0</v>
      </c>
      <c r="D2979" s="47">
        <v>1328.0</v>
      </c>
      <c r="E2979" s="47">
        <v>24620.0</v>
      </c>
      <c r="F2979" s="47" t="s">
        <v>11</v>
      </c>
    </row>
    <row r="2980" ht="15.75" customHeight="1">
      <c r="A2980" s="46" t="s">
        <v>6180</v>
      </c>
      <c r="B2980" s="47" t="s">
        <v>6181</v>
      </c>
      <c r="C2980" s="47">
        <v>138.0</v>
      </c>
      <c r="D2980" s="47">
        <v>131.0</v>
      </c>
      <c r="E2980" s="47">
        <v>29360.0</v>
      </c>
      <c r="F2980" s="47" t="s">
        <v>11</v>
      </c>
    </row>
    <row r="2981" ht="15.75" customHeight="1">
      <c r="A2981" s="46" t="s">
        <v>6182</v>
      </c>
      <c r="B2981" s="47" t="s">
        <v>6183</v>
      </c>
      <c r="C2981" s="47">
        <v>174.0</v>
      </c>
      <c r="D2981" s="47">
        <v>177.0</v>
      </c>
      <c r="E2981" s="47">
        <v>26480.0</v>
      </c>
      <c r="F2981" s="47" t="s">
        <v>11</v>
      </c>
    </row>
    <row r="2982" ht="15.75" customHeight="1">
      <c r="A2982" s="46" t="s">
        <v>6184</v>
      </c>
      <c r="B2982" s="47" t="s">
        <v>6185</v>
      </c>
      <c r="C2982" s="47">
        <v>377.0</v>
      </c>
      <c r="D2982" s="47">
        <v>377.0</v>
      </c>
      <c r="E2982" s="47">
        <v>30440.0</v>
      </c>
      <c r="F2982" s="47" t="s">
        <v>11</v>
      </c>
    </row>
    <row r="2983" ht="15.75" customHeight="1">
      <c r="A2983" s="46" t="s">
        <v>6186</v>
      </c>
      <c r="B2983" s="47" t="s">
        <v>6187</v>
      </c>
      <c r="C2983" s="47">
        <v>232.0</v>
      </c>
      <c r="D2983" s="47">
        <v>218.0</v>
      </c>
      <c r="E2983" s="47">
        <v>25410.0</v>
      </c>
      <c r="F2983" s="47" t="s">
        <v>11</v>
      </c>
    </row>
    <row r="2984" ht="15.75" customHeight="1">
      <c r="A2984" s="46" t="s">
        <v>6188</v>
      </c>
      <c r="B2984" s="47" t="s">
        <v>6189</v>
      </c>
      <c r="C2984" s="47">
        <v>206.0</v>
      </c>
      <c r="D2984" s="47">
        <v>203.0</v>
      </c>
      <c r="E2984" s="47">
        <v>27160.0</v>
      </c>
      <c r="F2984" s="47" t="s">
        <v>11</v>
      </c>
    </row>
    <row r="2985" ht="15.75" customHeight="1">
      <c r="A2985" s="46" t="s">
        <v>6190</v>
      </c>
      <c r="B2985" s="47" t="s">
        <v>6191</v>
      </c>
      <c r="C2985" s="47">
        <v>380.0</v>
      </c>
      <c r="D2985" s="47">
        <v>355.0</v>
      </c>
      <c r="E2985" s="47">
        <v>22150.0</v>
      </c>
      <c r="F2985" s="47" t="s">
        <v>11</v>
      </c>
    </row>
    <row r="2986" ht="15.75" customHeight="1">
      <c r="A2986" s="46" t="s">
        <v>6192</v>
      </c>
      <c r="B2986" s="47" t="s">
        <v>6193</v>
      </c>
      <c r="C2986" s="47">
        <v>1270.0</v>
      </c>
      <c r="D2986" s="47">
        <v>1203.0</v>
      </c>
      <c r="E2986" s="47">
        <v>24380.0</v>
      </c>
      <c r="F2986" s="47" t="s">
        <v>11</v>
      </c>
    </row>
    <row r="2987" ht="15.75" customHeight="1">
      <c r="A2987" s="46" t="s">
        <v>6194</v>
      </c>
      <c r="B2987" s="47" t="s">
        <v>6195</v>
      </c>
      <c r="C2987" s="47">
        <v>201.0</v>
      </c>
      <c r="D2987" s="47">
        <v>197.0</v>
      </c>
      <c r="E2987" s="47">
        <v>23790.0</v>
      </c>
      <c r="F2987" s="47" t="s">
        <v>11</v>
      </c>
    </row>
    <row r="2988" ht="15.75" customHeight="1">
      <c r="A2988" s="46" t="s">
        <v>6196</v>
      </c>
      <c r="B2988" s="47" t="s">
        <v>6197</v>
      </c>
      <c r="C2988" s="47">
        <v>244.0</v>
      </c>
      <c r="D2988" s="47">
        <v>246.0</v>
      </c>
      <c r="E2988" s="47">
        <v>26990.0</v>
      </c>
      <c r="F2988" s="47" t="s">
        <v>11</v>
      </c>
    </row>
    <row r="2989" ht="15.75" customHeight="1">
      <c r="A2989" s="46" t="s">
        <v>6198</v>
      </c>
      <c r="B2989" s="47" t="s">
        <v>6199</v>
      </c>
      <c r="C2989" s="47">
        <v>252.0</v>
      </c>
      <c r="D2989" s="47">
        <v>267.0</v>
      </c>
      <c r="E2989" s="47">
        <v>25200.0</v>
      </c>
      <c r="F2989" s="47" t="s">
        <v>11</v>
      </c>
    </row>
    <row r="2990" ht="15.75" customHeight="1">
      <c r="A2990" s="46" t="s">
        <v>6200</v>
      </c>
      <c r="B2990" s="47" t="s">
        <v>6201</v>
      </c>
      <c r="C2990" s="47">
        <v>244.0</v>
      </c>
      <c r="D2990" s="47">
        <v>244.0</v>
      </c>
      <c r="E2990" s="47">
        <v>26210.0</v>
      </c>
      <c r="F2990" s="47" t="s">
        <v>11</v>
      </c>
    </row>
    <row r="2991" ht="15.75" customHeight="1">
      <c r="A2991" s="46" t="s">
        <v>6202</v>
      </c>
      <c r="B2991" s="47" t="s">
        <v>6203</v>
      </c>
      <c r="C2991" s="47">
        <v>226.0</v>
      </c>
      <c r="D2991" s="47">
        <v>228.0</v>
      </c>
      <c r="E2991" s="47">
        <v>28060.0</v>
      </c>
      <c r="F2991" s="47" t="s">
        <v>11</v>
      </c>
    </row>
    <row r="2992" ht="15.75" customHeight="1">
      <c r="A2992" s="46" t="s">
        <v>6204</v>
      </c>
      <c r="B2992" s="47" t="s">
        <v>6205</v>
      </c>
      <c r="C2992" s="47">
        <v>857.0</v>
      </c>
      <c r="D2992" s="47">
        <v>834.0</v>
      </c>
      <c r="E2992" s="47">
        <v>28690.0</v>
      </c>
      <c r="F2992" s="47" t="s">
        <v>11</v>
      </c>
    </row>
    <row r="2993" ht="15.75" customHeight="1">
      <c r="A2993" s="46" t="s">
        <v>6206</v>
      </c>
      <c r="B2993" s="47" t="s">
        <v>6207</v>
      </c>
      <c r="C2993" s="47">
        <v>188.0</v>
      </c>
      <c r="D2993" s="47">
        <v>183.0</v>
      </c>
      <c r="E2993" s="47">
        <v>23820.0</v>
      </c>
      <c r="F2993" s="47" t="s">
        <v>11</v>
      </c>
    </row>
    <row r="2994" ht="15.75" customHeight="1">
      <c r="A2994" s="46" t="s">
        <v>6208</v>
      </c>
      <c r="B2994" s="47" t="s">
        <v>6209</v>
      </c>
      <c r="C2994" s="47">
        <v>134.0</v>
      </c>
      <c r="D2994" s="47">
        <v>138.0</v>
      </c>
      <c r="E2994" s="47">
        <v>23880.0</v>
      </c>
      <c r="F2994" s="47" t="s">
        <v>11</v>
      </c>
    </row>
    <row r="2995" ht="15.75" customHeight="1">
      <c r="A2995" s="46" t="s">
        <v>6210</v>
      </c>
      <c r="B2995" s="47" t="s">
        <v>6211</v>
      </c>
      <c r="C2995" s="47">
        <v>651.0</v>
      </c>
      <c r="D2995" s="47">
        <v>660.0</v>
      </c>
      <c r="E2995" s="47">
        <v>28820.0</v>
      </c>
      <c r="F2995" s="47" t="s">
        <v>11</v>
      </c>
    </row>
    <row r="2996" ht="15.75" customHeight="1">
      <c r="A2996" s="46" t="s">
        <v>6212</v>
      </c>
      <c r="B2996" s="47" t="s">
        <v>6213</v>
      </c>
      <c r="C2996" s="47">
        <v>6575.0</v>
      </c>
      <c r="D2996" s="47">
        <v>6256.0</v>
      </c>
      <c r="E2996" s="47">
        <v>27160.0</v>
      </c>
      <c r="F2996" s="47">
        <v>13.0</v>
      </c>
    </row>
    <row r="2997" ht="15.75" customHeight="1">
      <c r="A2997" s="46" t="s">
        <v>6214</v>
      </c>
      <c r="B2997" s="47" t="s">
        <v>6215</v>
      </c>
      <c r="C2997" s="47">
        <v>4083.0</v>
      </c>
      <c r="D2997" s="47">
        <v>3866.0</v>
      </c>
      <c r="E2997" s="47">
        <v>24400.0</v>
      </c>
      <c r="F2997" s="47">
        <v>15.0</v>
      </c>
    </row>
    <row r="2998" ht="15.75" customHeight="1">
      <c r="A2998" s="46" t="s">
        <v>6216</v>
      </c>
      <c r="B2998" s="47" t="s">
        <v>6217</v>
      </c>
      <c r="C2998" s="47">
        <v>8770.0</v>
      </c>
      <c r="D2998" s="47">
        <v>8720.0</v>
      </c>
      <c r="E2998" s="47">
        <v>21290.0</v>
      </c>
      <c r="F2998" s="47">
        <v>23.0</v>
      </c>
    </row>
    <row r="2999" ht="15.75" customHeight="1">
      <c r="A2999" s="46" t="s">
        <v>6218</v>
      </c>
      <c r="B2999" s="47" t="s">
        <v>6219</v>
      </c>
      <c r="C2999" s="47">
        <v>746.0</v>
      </c>
      <c r="D2999" s="47">
        <v>768.0</v>
      </c>
      <c r="E2999" s="47">
        <v>26220.0</v>
      </c>
      <c r="F2999" s="47" t="s">
        <v>11</v>
      </c>
    </row>
    <row r="3000" ht="15.75" customHeight="1">
      <c r="A3000" s="46" t="s">
        <v>6220</v>
      </c>
      <c r="B3000" s="47" t="s">
        <v>6221</v>
      </c>
      <c r="C3000" s="47">
        <v>491.0</v>
      </c>
      <c r="D3000" s="47">
        <v>492.0</v>
      </c>
      <c r="E3000" s="47">
        <v>24230.0</v>
      </c>
      <c r="F3000" s="47" t="s">
        <v>11</v>
      </c>
    </row>
    <row r="3001" ht="15.75" customHeight="1">
      <c r="A3001" s="46" t="s">
        <v>6222</v>
      </c>
      <c r="B3001" s="47" t="s">
        <v>6223</v>
      </c>
      <c r="C3001" s="47">
        <v>226.0</v>
      </c>
      <c r="D3001" s="47">
        <v>222.0</v>
      </c>
      <c r="E3001" s="47">
        <v>29610.0</v>
      </c>
      <c r="F3001" s="47" t="s">
        <v>11</v>
      </c>
    </row>
    <row r="3002" ht="15.75" customHeight="1">
      <c r="A3002" s="46" t="s">
        <v>6224</v>
      </c>
      <c r="B3002" s="47" t="s">
        <v>6225</v>
      </c>
      <c r="C3002" s="47">
        <v>939.0</v>
      </c>
      <c r="D3002" s="47">
        <v>835.0</v>
      </c>
      <c r="E3002" s="47">
        <v>27240.0</v>
      </c>
      <c r="F3002" s="47" t="s">
        <v>11</v>
      </c>
    </row>
    <row r="3003" ht="15.75" customHeight="1">
      <c r="A3003" s="46" t="s">
        <v>6226</v>
      </c>
      <c r="B3003" s="47" t="s">
        <v>6227</v>
      </c>
      <c r="C3003" s="47">
        <v>587.0</v>
      </c>
      <c r="D3003" s="47">
        <v>636.0</v>
      </c>
      <c r="E3003" s="47">
        <v>26210.0</v>
      </c>
      <c r="F3003" s="47" t="s">
        <v>11</v>
      </c>
    </row>
    <row r="3004" ht="15.75" customHeight="1">
      <c r="A3004" s="46" t="s">
        <v>6228</v>
      </c>
      <c r="B3004" s="47" t="s">
        <v>6229</v>
      </c>
      <c r="C3004" s="47">
        <v>961.0</v>
      </c>
      <c r="D3004" s="47">
        <v>973.0</v>
      </c>
      <c r="E3004" s="47">
        <v>24780.0</v>
      </c>
      <c r="F3004" s="47" t="s">
        <v>11</v>
      </c>
    </row>
    <row r="3005" ht="15.75" customHeight="1">
      <c r="A3005" s="46" t="s">
        <v>6230</v>
      </c>
      <c r="B3005" s="47" t="s">
        <v>6231</v>
      </c>
      <c r="C3005" s="47">
        <v>3344.0</v>
      </c>
      <c r="D3005" s="47">
        <v>3321.0</v>
      </c>
      <c r="E3005" s="47">
        <v>22630.0</v>
      </c>
      <c r="F3005" s="47">
        <v>19.0</v>
      </c>
    </row>
    <row r="3006" ht="15.75" customHeight="1">
      <c r="A3006" s="46" t="s">
        <v>6232</v>
      </c>
      <c r="B3006" s="47" t="s">
        <v>6233</v>
      </c>
      <c r="C3006" s="47">
        <v>615.0</v>
      </c>
      <c r="D3006" s="47">
        <v>588.0</v>
      </c>
      <c r="E3006" s="47">
        <v>24860.0</v>
      </c>
      <c r="F3006" s="47" t="s">
        <v>11</v>
      </c>
    </row>
    <row r="3007" ht="15.75" customHeight="1">
      <c r="A3007" s="46" t="s">
        <v>6234</v>
      </c>
      <c r="B3007" s="47" t="s">
        <v>6235</v>
      </c>
      <c r="C3007" s="47">
        <v>609.0</v>
      </c>
      <c r="D3007" s="47">
        <v>592.0</v>
      </c>
      <c r="E3007" s="47">
        <v>24630.0</v>
      </c>
      <c r="F3007" s="47" t="s">
        <v>11</v>
      </c>
    </row>
    <row r="3008" ht="15.75" customHeight="1">
      <c r="A3008" s="46" t="s">
        <v>6236</v>
      </c>
      <c r="B3008" s="47" t="s">
        <v>6237</v>
      </c>
      <c r="C3008" s="47">
        <v>915.0</v>
      </c>
      <c r="D3008" s="47">
        <v>1084.0</v>
      </c>
      <c r="E3008" s="47">
        <v>28350.0</v>
      </c>
      <c r="F3008" s="47" t="s">
        <v>11</v>
      </c>
    </row>
    <row r="3009" ht="15.75" customHeight="1">
      <c r="A3009" s="46" t="s">
        <v>6238</v>
      </c>
      <c r="B3009" s="47" t="s">
        <v>6239</v>
      </c>
      <c r="C3009" s="47">
        <v>1753.0</v>
      </c>
      <c r="D3009" s="47">
        <v>1820.0</v>
      </c>
      <c r="E3009" s="47">
        <v>24240.0</v>
      </c>
      <c r="F3009" s="47" t="s">
        <v>11</v>
      </c>
    </row>
    <row r="3010" ht="15.75" customHeight="1">
      <c r="A3010" s="46" t="s">
        <v>6240</v>
      </c>
      <c r="B3010" s="47" t="s">
        <v>6241</v>
      </c>
      <c r="C3010" s="47">
        <v>8355.0</v>
      </c>
      <c r="D3010" s="47">
        <v>7973.0</v>
      </c>
      <c r="E3010" s="47">
        <v>20360.0</v>
      </c>
      <c r="F3010" s="47">
        <v>27.0</v>
      </c>
    </row>
    <row r="3011" ht="15.75" customHeight="1">
      <c r="A3011" s="46" t="s">
        <v>6242</v>
      </c>
      <c r="B3011" s="47" t="s">
        <v>6243</v>
      </c>
      <c r="C3011" s="47">
        <v>1629.0</v>
      </c>
      <c r="D3011" s="47">
        <v>1551.0</v>
      </c>
      <c r="E3011" s="47">
        <v>29560.0</v>
      </c>
      <c r="F3011" s="47" t="s">
        <v>11</v>
      </c>
    </row>
    <row r="3012" ht="15.75" customHeight="1">
      <c r="A3012" s="46" t="s">
        <v>6244</v>
      </c>
      <c r="B3012" s="47" t="s">
        <v>6245</v>
      </c>
      <c r="C3012" s="47">
        <v>435.0</v>
      </c>
      <c r="D3012" s="47">
        <v>425.0</v>
      </c>
      <c r="E3012" s="47">
        <v>22230.0</v>
      </c>
      <c r="F3012" s="47" t="s">
        <v>11</v>
      </c>
    </row>
    <row r="3013" ht="15.75" customHeight="1">
      <c r="A3013" s="46" t="s">
        <v>6246</v>
      </c>
      <c r="B3013" s="47" t="s">
        <v>6247</v>
      </c>
      <c r="C3013" s="47">
        <v>22946.0</v>
      </c>
      <c r="D3013" s="47">
        <v>22395.0</v>
      </c>
      <c r="E3013" s="47">
        <v>21380.0</v>
      </c>
      <c r="F3013" s="47">
        <v>25.4</v>
      </c>
    </row>
    <row r="3014" ht="15.75" customHeight="1">
      <c r="A3014" s="46" t="s">
        <v>6248</v>
      </c>
      <c r="B3014" s="47" t="s">
        <v>6249</v>
      </c>
      <c r="C3014" s="47">
        <v>266.0</v>
      </c>
      <c r="D3014" s="47">
        <v>263.0</v>
      </c>
      <c r="E3014" s="47">
        <v>23430.0</v>
      </c>
      <c r="F3014" s="47" t="s">
        <v>11</v>
      </c>
    </row>
    <row r="3015" ht="15.75" customHeight="1">
      <c r="A3015" s="46" t="s">
        <v>6250</v>
      </c>
      <c r="B3015" s="47" t="s">
        <v>6251</v>
      </c>
      <c r="C3015" s="47">
        <v>593.0</v>
      </c>
      <c r="D3015" s="47">
        <v>590.0</v>
      </c>
      <c r="E3015" s="47">
        <v>24590.0</v>
      </c>
      <c r="F3015" s="47" t="s">
        <v>11</v>
      </c>
    </row>
    <row r="3016" ht="15.75" customHeight="1">
      <c r="A3016" s="46" t="s">
        <v>6252</v>
      </c>
      <c r="B3016" s="47" t="s">
        <v>6253</v>
      </c>
      <c r="C3016" s="47">
        <v>528.0</v>
      </c>
      <c r="D3016" s="47">
        <v>501.0</v>
      </c>
      <c r="E3016" s="47">
        <v>24840.0</v>
      </c>
      <c r="F3016" s="47" t="s">
        <v>11</v>
      </c>
    </row>
    <row r="3017" ht="15.75" customHeight="1">
      <c r="A3017" s="46" t="s">
        <v>6254</v>
      </c>
      <c r="B3017" s="47" t="s">
        <v>6255</v>
      </c>
      <c r="C3017" s="47">
        <v>91.0</v>
      </c>
      <c r="D3017" s="47">
        <v>83.0</v>
      </c>
      <c r="E3017" s="47" t="s">
        <v>11</v>
      </c>
      <c r="F3017" s="47" t="s">
        <v>11</v>
      </c>
    </row>
    <row r="3018" ht="15.75" customHeight="1">
      <c r="A3018" s="46" t="s">
        <v>6256</v>
      </c>
      <c r="B3018" s="47" t="s">
        <v>6257</v>
      </c>
      <c r="C3018" s="47">
        <v>228.0</v>
      </c>
      <c r="D3018" s="47">
        <v>215.0</v>
      </c>
      <c r="E3018" s="47">
        <v>25930.0</v>
      </c>
      <c r="F3018" s="47" t="s">
        <v>11</v>
      </c>
    </row>
    <row r="3019" ht="15.75" customHeight="1">
      <c r="A3019" s="46" t="s">
        <v>6258</v>
      </c>
      <c r="B3019" s="47" t="s">
        <v>6259</v>
      </c>
      <c r="C3019" s="47">
        <v>890.0</v>
      </c>
      <c r="D3019" s="47">
        <v>904.0</v>
      </c>
      <c r="E3019" s="47">
        <v>25000.0</v>
      </c>
      <c r="F3019" s="47" t="s">
        <v>11</v>
      </c>
    </row>
    <row r="3020" ht="15.75" customHeight="1">
      <c r="A3020" s="46" t="s">
        <v>6260</v>
      </c>
      <c r="B3020" s="47" t="s">
        <v>6261</v>
      </c>
      <c r="C3020" s="47">
        <v>966.0</v>
      </c>
      <c r="D3020" s="47">
        <v>1024.0</v>
      </c>
      <c r="E3020" s="47">
        <v>25560.0</v>
      </c>
      <c r="F3020" s="47" t="s">
        <v>11</v>
      </c>
    </row>
    <row r="3021" ht="15.75" customHeight="1">
      <c r="A3021" s="46" t="s">
        <v>6262</v>
      </c>
      <c r="B3021" s="47" t="s">
        <v>6263</v>
      </c>
      <c r="C3021" s="47">
        <v>2838.0</v>
      </c>
      <c r="D3021" s="47">
        <v>2648.0</v>
      </c>
      <c r="E3021" s="47">
        <v>25800.0</v>
      </c>
      <c r="F3021" s="47">
        <v>13.0</v>
      </c>
    </row>
    <row r="3022" ht="15.75" customHeight="1">
      <c r="A3022" s="46" t="s">
        <v>6264</v>
      </c>
      <c r="B3022" s="47" t="s">
        <v>6265</v>
      </c>
      <c r="C3022" s="47">
        <v>2967.0</v>
      </c>
      <c r="D3022" s="47">
        <v>3003.0</v>
      </c>
      <c r="E3022" s="47">
        <v>25180.0</v>
      </c>
      <c r="F3022" s="47">
        <v>11.0</v>
      </c>
    </row>
    <row r="3023" ht="15.75" customHeight="1">
      <c r="A3023" s="46" t="s">
        <v>6266</v>
      </c>
      <c r="B3023" s="47" t="s">
        <v>6267</v>
      </c>
      <c r="C3023" s="47">
        <v>2378.0</v>
      </c>
      <c r="D3023" s="47">
        <v>2204.0</v>
      </c>
      <c r="E3023" s="47">
        <v>21200.0</v>
      </c>
      <c r="F3023" s="47">
        <v>27.0</v>
      </c>
    </row>
    <row r="3024" ht="15.75" customHeight="1">
      <c r="A3024" s="46" t="s">
        <v>6268</v>
      </c>
      <c r="B3024" s="47" t="s">
        <v>6269</v>
      </c>
      <c r="C3024" s="47">
        <v>54.0</v>
      </c>
      <c r="D3024" s="47">
        <v>69.0</v>
      </c>
      <c r="E3024" s="47" t="s">
        <v>11</v>
      </c>
      <c r="F3024" s="47" t="s">
        <v>11</v>
      </c>
    </row>
    <row r="3025" ht="15.75" customHeight="1">
      <c r="A3025" s="46" t="s">
        <v>6270</v>
      </c>
      <c r="B3025" s="47" t="s">
        <v>6271</v>
      </c>
      <c r="C3025" s="47">
        <v>67.0</v>
      </c>
      <c r="D3025" s="47">
        <v>66.0</v>
      </c>
      <c r="E3025" s="47" t="s">
        <v>11</v>
      </c>
      <c r="F3025" s="47" t="s">
        <v>11</v>
      </c>
    </row>
    <row r="3026" ht="15.75" customHeight="1">
      <c r="A3026" s="46" t="s">
        <v>6272</v>
      </c>
      <c r="B3026" s="47" t="s">
        <v>6273</v>
      </c>
      <c r="C3026" s="47">
        <v>9928.0</v>
      </c>
      <c r="D3026" s="47">
        <v>9521.0</v>
      </c>
      <c r="E3026" s="47">
        <v>22180.0</v>
      </c>
      <c r="F3026" s="47">
        <v>22.0</v>
      </c>
    </row>
    <row r="3027" ht="15.75" customHeight="1">
      <c r="A3027" s="46" t="s">
        <v>6274</v>
      </c>
      <c r="B3027" s="47" t="s">
        <v>6275</v>
      </c>
      <c r="C3027" s="47">
        <v>466.0</v>
      </c>
      <c r="D3027" s="47">
        <v>419.0</v>
      </c>
      <c r="E3027" s="47">
        <v>24170.0</v>
      </c>
      <c r="F3027" s="47" t="s">
        <v>11</v>
      </c>
    </row>
    <row r="3028" ht="15.75" customHeight="1">
      <c r="A3028" s="46" t="s">
        <v>6276</v>
      </c>
      <c r="B3028" s="47" t="s">
        <v>6277</v>
      </c>
      <c r="C3028" s="47">
        <v>250.0</v>
      </c>
      <c r="D3028" s="47">
        <v>253.0</v>
      </c>
      <c r="E3028" s="47">
        <v>23670.0</v>
      </c>
      <c r="F3028" s="47" t="s">
        <v>11</v>
      </c>
    </row>
    <row r="3029" ht="15.75" customHeight="1">
      <c r="A3029" s="46" t="s">
        <v>6278</v>
      </c>
      <c r="B3029" s="47" t="s">
        <v>6279</v>
      </c>
      <c r="C3029" s="47">
        <v>793.0</v>
      </c>
      <c r="D3029" s="47">
        <v>843.0</v>
      </c>
      <c r="E3029" s="47">
        <v>24840.0</v>
      </c>
      <c r="F3029" s="47" t="s">
        <v>11</v>
      </c>
    </row>
    <row r="3030" ht="15.75" customHeight="1">
      <c r="A3030" s="46" t="s">
        <v>6280</v>
      </c>
      <c r="B3030" s="47" t="s">
        <v>6281</v>
      </c>
      <c r="C3030" s="47">
        <v>738.0</v>
      </c>
      <c r="D3030" s="47">
        <v>778.0</v>
      </c>
      <c r="E3030" s="47">
        <v>30180.0</v>
      </c>
      <c r="F3030" s="47" t="s">
        <v>11</v>
      </c>
    </row>
    <row r="3031" ht="15.75" customHeight="1">
      <c r="A3031" s="46" t="s">
        <v>6282</v>
      </c>
      <c r="B3031" s="47" t="s">
        <v>6283</v>
      </c>
      <c r="C3031" s="47">
        <v>134057.0</v>
      </c>
      <c r="D3031" s="47">
        <v>136449.0</v>
      </c>
      <c r="E3031" s="47">
        <v>21400.0</v>
      </c>
      <c r="F3031" s="47">
        <v>29.3</v>
      </c>
    </row>
    <row r="3032" ht="15.75" customHeight="1">
      <c r="A3032" s="46" t="s">
        <v>6284</v>
      </c>
      <c r="B3032" s="47" t="s">
        <v>6285</v>
      </c>
      <c r="C3032" s="47">
        <v>254.0</v>
      </c>
      <c r="D3032" s="47">
        <v>233.0</v>
      </c>
      <c r="E3032" s="47">
        <v>24960.0</v>
      </c>
      <c r="F3032" s="47" t="s">
        <v>11</v>
      </c>
    </row>
    <row r="3033" ht="15.75" customHeight="1">
      <c r="A3033" s="46" t="s">
        <v>6286</v>
      </c>
      <c r="B3033" s="47" t="s">
        <v>6287</v>
      </c>
      <c r="C3033" s="47">
        <v>269.0</v>
      </c>
      <c r="D3033" s="47">
        <v>282.0</v>
      </c>
      <c r="E3033" s="47">
        <v>25870.0</v>
      </c>
      <c r="F3033" s="47" t="s">
        <v>11</v>
      </c>
    </row>
    <row r="3034" ht="15.75" customHeight="1">
      <c r="A3034" s="46" t="s">
        <v>6288</v>
      </c>
      <c r="B3034" s="47" t="s">
        <v>6289</v>
      </c>
      <c r="C3034" s="47">
        <v>542.0</v>
      </c>
      <c r="D3034" s="47">
        <v>543.0</v>
      </c>
      <c r="E3034" s="47">
        <v>29990.0</v>
      </c>
      <c r="F3034" s="47" t="s">
        <v>11</v>
      </c>
    </row>
    <row r="3035" ht="15.75" customHeight="1">
      <c r="A3035" s="46" t="s">
        <v>6290</v>
      </c>
      <c r="B3035" s="47" t="s">
        <v>6291</v>
      </c>
      <c r="C3035" s="47">
        <v>326.0</v>
      </c>
      <c r="D3035" s="47">
        <v>322.0</v>
      </c>
      <c r="E3035" s="47">
        <v>25240.0</v>
      </c>
      <c r="F3035" s="47" t="s">
        <v>11</v>
      </c>
    </row>
    <row r="3036" ht="15.75" customHeight="1">
      <c r="A3036" s="46" t="s">
        <v>6292</v>
      </c>
      <c r="B3036" s="47" t="s">
        <v>6293</v>
      </c>
      <c r="C3036" s="47">
        <v>29.0</v>
      </c>
      <c r="D3036" s="47">
        <v>31.0</v>
      </c>
      <c r="E3036" s="47" t="s">
        <v>11</v>
      </c>
      <c r="F3036" s="47" t="s">
        <v>11</v>
      </c>
    </row>
    <row r="3037" ht="15.75" customHeight="1">
      <c r="A3037" s="46" t="s">
        <v>6294</v>
      </c>
      <c r="B3037" s="47" t="s">
        <v>3174</v>
      </c>
      <c r="C3037" s="47">
        <v>33.0</v>
      </c>
      <c r="D3037" s="47">
        <v>33.0</v>
      </c>
      <c r="E3037" s="47" t="s">
        <v>11</v>
      </c>
      <c r="F3037" s="47" t="s">
        <v>11</v>
      </c>
    </row>
    <row r="3038" ht="15.75" customHeight="1">
      <c r="A3038" s="46" t="s">
        <v>6295</v>
      </c>
      <c r="B3038" s="47" t="s">
        <v>6296</v>
      </c>
      <c r="C3038" s="47">
        <v>165.0</v>
      </c>
      <c r="D3038" s="47">
        <v>152.0</v>
      </c>
      <c r="E3038" s="47">
        <v>25940.0</v>
      </c>
      <c r="F3038" s="47" t="s">
        <v>11</v>
      </c>
    </row>
    <row r="3039" ht="15.75" customHeight="1">
      <c r="A3039" s="46" t="s">
        <v>6297</v>
      </c>
      <c r="B3039" s="47" t="s">
        <v>6298</v>
      </c>
      <c r="C3039" s="47">
        <v>869.0</v>
      </c>
      <c r="D3039" s="47">
        <v>820.0</v>
      </c>
      <c r="E3039" s="47">
        <v>23410.0</v>
      </c>
      <c r="F3039" s="47" t="s">
        <v>11</v>
      </c>
    </row>
    <row r="3040" ht="15.75" customHeight="1">
      <c r="A3040" s="46" t="s">
        <v>6299</v>
      </c>
      <c r="B3040" s="47" t="s">
        <v>6300</v>
      </c>
      <c r="C3040" s="47">
        <v>212.0</v>
      </c>
      <c r="D3040" s="47">
        <v>212.0</v>
      </c>
      <c r="E3040" s="47">
        <v>23180.0</v>
      </c>
      <c r="F3040" s="47" t="s">
        <v>11</v>
      </c>
    </row>
    <row r="3041" ht="15.75" customHeight="1">
      <c r="A3041" s="46" t="s">
        <v>6301</v>
      </c>
      <c r="B3041" s="47" t="s">
        <v>6302</v>
      </c>
      <c r="C3041" s="47">
        <v>778.0</v>
      </c>
      <c r="D3041" s="47">
        <v>759.0</v>
      </c>
      <c r="E3041" s="47">
        <v>24480.0</v>
      </c>
      <c r="F3041" s="47" t="s">
        <v>11</v>
      </c>
    </row>
    <row r="3042" ht="15.75" customHeight="1">
      <c r="A3042" s="46" t="s">
        <v>6303</v>
      </c>
      <c r="B3042" s="47" t="s">
        <v>6304</v>
      </c>
      <c r="C3042" s="47">
        <v>108.0</v>
      </c>
      <c r="D3042" s="47">
        <v>136.0</v>
      </c>
      <c r="E3042" s="47">
        <v>25560.0</v>
      </c>
      <c r="F3042" s="47" t="s">
        <v>11</v>
      </c>
    </row>
    <row r="3043" ht="15.75" customHeight="1">
      <c r="A3043" s="46" t="s">
        <v>6305</v>
      </c>
      <c r="B3043" s="47" t="s">
        <v>6306</v>
      </c>
      <c r="C3043" s="47">
        <v>296.0</v>
      </c>
      <c r="D3043" s="47">
        <v>311.0</v>
      </c>
      <c r="E3043" s="47">
        <v>22420.0</v>
      </c>
      <c r="F3043" s="47" t="s">
        <v>11</v>
      </c>
    </row>
    <row r="3044" ht="15.75" customHeight="1">
      <c r="A3044" s="46" t="s">
        <v>6307</v>
      </c>
      <c r="B3044" s="47" t="s">
        <v>4568</v>
      </c>
      <c r="C3044" s="47">
        <v>594.0</v>
      </c>
      <c r="D3044" s="47">
        <v>614.0</v>
      </c>
      <c r="E3044" s="47">
        <v>24690.0</v>
      </c>
      <c r="F3044" s="47" t="s">
        <v>11</v>
      </c>
    </row>
    <row r="3045" ht="15.75" customHeight="1">
      <c r="A3045" s="46" t="s">
        <v>6308</v>
      </c>
      <c r="B3045" s="47" t="s">
        <v>6309</v>
      </c>
      <c r="C3045" s="47">
        <v>81.0</v>
      </c>
      <c r="D3045" s="47">
        <v>69.0</v>
      </c>
      <c r="E3045" s="47" t="s">
        <v>11</v>
      </c>
      <c r="F3045" s="47" t="s">
        <v>11</v>
      </c>
    </row>
    <row r="3046" ht="15.75" customHeight="1">
      <c r="A3046" s="46" t="s">
        <v>6310</v>
      </c>
      <c r="B3046" s="47" t="s">
        <v>6311</v>
      </c>
      <c r="C3046" s="47">
        <v>505.0</v>
      </c>
      <c r="D3046" s="47">
        <v>502.0</v>
      </c>
      <c r="E3046" s="47">
        <v>27940.0</v>
      </c>
      <c r="F3046" s="47" t="s">
        <v>11</v>
      </c>
    </row>
    <row r="3047" ht="15.75" customHeight="1">
      <c r="A3047" s="46" t="s">
        <v>6312</v>
      </c>
      <c r="B3047" s="47" t="s">
        <v>6313</v>
      </c>
      <c r="C3047" s="47">
        <v>142.0</v>
      </c>
      <c r="D3047" s="47">
        <v>170.0</v>
      </c>
      <c r="E3047" s="47">
        <v>22430.0</v>
      </c>
      <c r="F3047" s="47" t="s">
        <v>11</v>
      </c>
    </row>
    <row r="3048" ht="15.75" customHeight="1">
      <c r="A3048" s="46" t="s">
        <v>6314</v>
      </c>
      <c r="B3048" s="47" t="s">
        <v>6315</v>
      </c>
      <c r="C3048" s="47">
        <v>143.0</v>
      </c>
      <c r="D3048" s="47">
        <v>125.0</v>
      </c>
      <c r="E3048" s="47">
        <v>26280.0</v>
      </c>
      <c r="F3048" s="47" t="s">
        <v>11</v>
      </c>
    </row>
    <row r="3049" ht="15.75" customHeight="1">
      <c r="A3049" s="46" t="s">
        <v>6316</v>
      </c>
      <c r="B3049" s="47" t="s">
        <v>6317</v>
      </c>
      <c r="C3049" s="47">
        <v>1464.0</v>
      </c>
      <c r="D3049" s="47">
        <v>1346.0</v>
      </c>
      <c r="E3049" s="47">
        <v>22720.0</v>
      </c>
      <c r="F3049" s="47" t="s">
        <v>11</v>
      </c>
    </row>
    <row r="3050" ht="15.75" customHeight="1">
      <c r="A3050" s="46" t="s">
        <v>6318</v>
      </c>
      <c r="B3050" s="47" t="s">
        <v>6319</v>
      </c>
      <c r="C3050" s="47">
        <v>180.0</v>
      </c>
      <c r="D3050" s="47">
        <v>170.0</v>
      </c>
      <c r="E3050" s="47">
        <v>26270.0</v>
      </c>
      <c r="F3050" s="47" t="s">
        <v>11</v>
      </c>
    </row>
    <row r="3051" ht="15.75" customHeight="1">
      <c r="A3051" s="46" t="s">
        <v>6320</v>
      </c>
      <c r="B3051" s="47" t="s">
        <v>6321</v>
      </c>
      <c r="C3051" s="47">
        <v>145.0</v>
      </c>
      <c r="D3051" s="47">
        <v>119.0</v>
      </c>
      <c r="E3051" s="47">
        <v>25080.0</v>
      </c>
      <c r="F3051" s="47" t="s">
        <v>11</v>
      </c>
    </row>
    <row r="3052" ht="15.75" customHeight="1">
      <c r="A3052" s="46" t="s">
        <v>6322</v>
      </c>
      <c r="B3052" s="47" t="s">
        <v>6323</v>
      </c>
      <c r="C3052" s="47">
        <v>120.0</v>
      </c>
      <c r="D3052" s="47">
        <v>120.0</v>
      </c>
      <c r="E3052" s="47">
        <v>22150.0</v>
      </c>
      <c r="F3052" s="47" t="s">
        <v>11</v>
      </c>
    </row>
    <row r="3053" ht="15.75" customHeight="1">
      <c r="A3053" s="46" t="s">
        <v>6324</v>
      </c>
      <c r="B3053" s="47" t="s">
        <v>6325</v>
      </c>
      <c r="C3053" s="47">
        <v>286.0</v>
      </c>
      <c r="D3053" s="47">
        <v>246.0</v>
      </c>
      <c r="E3053" s="47">
        <v>25590.0</v>
      </c>
      <c r="F3053" s="47" t="s">
        <v>11</v>
      </c>
    </row>
    <row r="3054" ht="15.75" customHeight="1">
      <c r="A3054" s="46" t="s">
        <v>6326</v>
      </c>
      <c r="B3054" s="47" t="s">
        <v>6327</v>
      </c>
      <c r="C3054" s="47">
        <v>409.0</v>
      </c>
      <c r="D3054" s="47">
        <v>393.0</v>
      </c>
      <c r="E3054" s="47">
        <v>24920.0</v>
      </c>
      <c r="F3054" s="47" t="s">
        <v>11</v>
      </c>
    </row>
    <row r="3055" ht="15.75" customHeight="1">
      <c r="A3055" s="46" t="s">
        <v>6328</v>
      </c>
      <c r="B3055" s="47" t="s">
        <v>6329</v>
      </c>
      <c r="C3055" s="47">
        <v>165.0</v>
      </c>
      <c r="D3055" s="47">
        <v>154.0</v>
      </c>
      <c r="E3055" s="47">
        <v>24230.0</v>
      </c>
      <c r="F3055" s="47" t="s">
        <v>11</v>
      </c>
    </row>
    <row r="3056" ht="15.75" customHeight="1">
      <c r="A3056" s="46" t="s">
        <v>6330</v>
      </c>
      <c r="B3056" s="47" t="s">
        <v>6331</v>
      </c>
      <c r="C3056" s="47">
        <v>57.0</v>
      </c>
      <c r="D3056" s="47">
        <v>48.0</v>
      </c>
      <c r="E3056" s="47" t="s">
        <v>11</v>
      </c>
      <c r="F3056" s="47" t="s">
        <v>11</v>
      </c>
    </row>
    <row r="3057" ht="15.75" customHeight="1">
      <c r="A3057" s="46" t="s">
        <v>6332</v>
      </c>
      <c r="B3057" s="47" t="s">
        <v>6333</v>
      </c>
      <c r="C3057" s="47">
        <v>522.0</v>
      </c>
      <c r="D3057" s="47">
        <v>540.0</v>
      </c>
      <c r="E3057" s="47">
        <v>26220.0</v>
      </c>
      <c r="F3057" s="47" t="s">
        <v>11</v>
      </c>
    </row>
    <row r="3058" ht="15.75" customHeight="1">
      <c r="A3058" s="46" t="s">
        <v>6334</v>
      </c>
      <c r="B3058" s="47" t="s">
        <v>6335</v>
      </c>
      <c r="C3058" s="47">
        <v>64.0</v>
      </c>
      <c r="D3058" s="47">
        <v>63.0</v>
      </c>
      <c r="E3058" s="47" t="s">
        <v>11</v>
      </c>
      <c r="F3058" s="47" t="s">
        <v>11</v>
      </c>
    </row>
    <row r="3059" ht="15.75" customHeight="1">
      <c r="A3059" s="46" t="s">
        <v>6336</v>
      </c>
      <c r="B3059" s="47" t="s">
        <v>6337</v>
      </c>
      <c r="C3059" s="47">
        <v>192.0</v>
      </c>
      <c r="D3059" s="47">
        <v>152.0</v>
      </c>
      <c r="E3059" s="47">
        <v>25820.0</v>
      </c>
      <c r="F3059" s="47" t="s">
        <v>11</v>
      </c>
    </row>
    <row r="3060" ht="15.75" customHeight="1">
      <c r="A3060" s="46" t="s">
        <v>6338</v>
      </c>
      <c r="B3060" s="47" t="s">
        <v>6339</v>
      </c>
      <c r="C3060" s="47">
        <v>501.0</v>
      </c>
      <c r="D3060" s="47">
        <v>461.0</v>
      </c>
      <c r="E3060" s="47">
        <v>30470.0</v>
      </c>
      <c r="F3060" s="47" t="s">
        <v>11</v>
      </c>
    </row>
    <row r="3061" ht="15.75" customHeight="1">
      <c r="A3061" s="46" t="s">
        <v>6340</v>
      </c>
      <c r="B3061" s="47" t="s">
        <v>1923</v>
      </c>
      <c r="C3061" s="47">
        <v>266.0</v>
      </c>
      <c r="D3061" s="47">
        <v>253.0</v>
      </c>
      <c r="E3061" s="47">
        <v>25550.0</v>
      </c>
      <c r="F3061" s="47" t="s">
        <v>11</v>
      </c>
    </row>
    <row r="3062" ht="15.75" customHeight="1">
      <c r="A3062" s="46" t="s">
        <v>6341</v>
      </c>
      <c r="B3062" s="47" t="s">
        <v>6342</v>
      </c>
      <c r="C3062" s="47">
        <v>207.0</v>
      </c>
      <c r="D3062" s="47">
        <v>243.0</v>
      </c>
      <c r="E3062" s="47">
        <v>26450.0</v>
      </c>
      <c r="F3062" s="47" t="s">
        <v>11</v>
      </c>
    </row>
    <row r="3063" ht="15.75" customHeight="1">
      <c r="A3063" s="46" t="s">
        <v>6343</v>
      </c>
      <c r="B3063" s="47" t="s">
        <v>6344</v>
      </c>
      <c r="C3063" s="47">
        <v>72.0</v>
      </c>
      <c r="D3063" s="47">
        <v>78.0</v>
      </c>
      <c r="E3063" s="47" t="s">
        <v>11</v>
      </c>
      <c r="F3063" s="47" t="s">
        <v>11</v>
      </c>
    </row>
    <row r="3064" ht="15.75" customHeight="1">
      <c r="A3064" s="46" t="s">
        <v>6345</v>
      </c>
      <c r="B3064" s="47" t="s">
        <v>6346</v>
      </c>
      <c r="C3064" s="47">
        <v>230.0</v>
      </c>
      <c r="D3064" s="47">
        <v>233.0</v>
      </c>
      <c r="E3064" s="47">
        <v>23550.0</v>
      </c>
      <c r="F3064" s="47" t="s">
        <v>11</v>
      </c>
    </row>
    <row r="3065" ht="15.75" customHeight="1">
      <c r="A3065" s="46" t="s">
        <v>6347</v>
      </c>
      <c r="B3065" s="47" t="s">
        <v>4652</v>
      </c>
      <c r="C3065" s="47">
        <v>177.0</v>
      </c>
      <c r="D3065" s="47">
        <v>161.0</v>
      </c>
      <c r="E3065" s="47">
        <v>20940.0</v>
      </c>
      <c r="F3065" s="47" t="s">
        <v>11</v>
      </c>
    </row>
    <row r="3066" ht="15.75" customHeight="1">
      <c r="A3066" s="46" t="s">
        <v>6348</v>
      </c>
      <c r="B3066" s="47" t="s">
        <v>6349</v>
      </c>
      <c r="C3066" s="47">
        <v>106.0</v>
      </c>
      <c r="D3066" s="47">
        <v>104.0</v>
      </c>
      <c r="E3066" s="47">
        <v>24690.0</v>
      </c>
      <c r="F3066" s="47" t="s">
        <v>11</v>
      </c>
    </row>
    <row r="3067" ht="15.75" customHeight="1">
      <c r="A3067" s="46" t="s">
        <v>6350</v>
      </c>
      <c r="B3067" s="47" t="s">
        <v>6351</v>
      </c>
      <c r="C3067" s="47">
        <v>79.0</v>
      </c>
      <c r="D3067" s="47">
        <v>70.0</v>
      </c>
      <c r="E3067" s="47" t="s">
        <v>11</v>
      </c>
      <c r="F3067" s="47" t="s">
        <v>11</v>
      </c>
    </row>
    <row r="3068" ht="15.75" customHeight="1">
      <c r="A3068" s="46" t="s">
        <v>6352</v>
      </c>
      <c r="B3068" s="47" t="s">
        <v>6353</v>
      </c>
      <c r="C3068" s="47">
        <v>340.0</v>
      </c>
      <c r="D3068" s="47">
        <v>340.0</v>
      </c>
      <c r="E3068" s="47">
        <v>25770.0</v>
      </c>
      <c r="F3068" s="47" t="s">
        <v>11</v>
      </c>
    </row>
    <row r="3069" ht="15.75" customHeight="1">
      <c r="A3069" s="46" t="s">
        <v>6354</v>
      </c>
      <c r="B3069" s="47" t="s">
        <v>6355</v>
      </c>
      <c r="C3069" s="47">
        <v>79.0</v>
      </c>
      <c r="D3069" s="47">
        <v>79.0</v>
      </c>
      <c r="E3069" s="47" t="s">
        <v>11</v>
      </c>
      <c r="F3069" s="47" t="s">
        <v>11</v>
      </c>
    </row>
    <row r="3070" ht="15.75" customHeight="1">
      <c r="A3070" s="46" t="s">
        <v>6356</v>
      </c>
      <c r="B3070" s="47" t="s">
        <v>6357</v>
      </c>
      <c r="C3070" s="47">
        <v>104.0</v>
      </c>
      <c r="D3070" s="47">
        <v>126.0</v>
      </c>
      <c r="E3070" s="47">
        <v>23300.0</v>
      </c>
      <c r="F3070" s="47" t="s">
        <v>11</v>
      </c>
    </row>
    <row r="3071" ht="15.75" customHeight="1">
      <c r="A3071" s="46" t="s">
        <v>6358</v>
      </c>
      <c r="B3071" s="47" t="s">
        <v>6359</v>
      </c>
      <c r="C3071" s="47">
        <v>202.0</v>
      </c>
      <c r="D3071" s="47">
        <v>207.0</v>
      </c>
      <c r="E3071" s="47">
        <v>21870.0</v>
      </c>
      <c r="F3071" s="47" t="s">
        <v>11</v>
      </c>
    </row>
    <row r="3072" ht="15.75" customHeight="1">
      <c r="A3072" s="46" t="s">
        <v>6360</v>
      </c>
      <c r="B3072" s="47" t="s">
        <v>6361</v>
      </c>
      <c r="C3072" s="47">
        <v>1421.0</v>
      </c>
      <c r="D3072" s="47">
        <v>1396.0</v>
      </c>
      <c r="E3072" s="47">
        <v>21750.0</v>
      </c>
      <c r="F3072" s="47" t="s">
        <v>11</v>
      </c>
    </row>
    <row r="3073" ht="15.75" customHeight="1">
      <c r="A3073" s="46" t="s">
        <v>6362</v>
      </c>
      <c r="B3073" s="47" t="s">
        <v>6363</v>
      </c>
      <c r="C3073" s="47">
        <v>996.0</v>
      </c>
      <c r="D3073" s="47">
        <v>937.0</v>
      </c>
      <c r="E3073" s="47">
        <v>23770.0</v>
      </c>
      <c r="F3073" s="47" t="s">
        <v>11</v>
      </c>
    </row>
    <row r="3074" ht="15.75" customHeight="1">
      <c r="A3074" s="46" t="s">
        <v>6364</v>
      </c>
      <c r="B3074" s="47" t="s">
        <v>6365</v>
      </c>
      <c r="C3074" s="47">
        <v>176.0</v>
      </c>
      <c r="D3074" s="47">
        <v>161.0</v>
      </c>
      <c r="E3074" s="47">
        <v>30070.0</v>
      </c>
      <c r="F3074" s="47" t="s">
        <v>11</v>
      </c>
    </row>
    <row r="3075" ht="15.75" customHeight="1">
      <c r="A3075" s="46" t="s">
        <v>6366</v>
      </c>
      <c r="B3075" s="47" t="s">
        <v>6367</v>
      </c>
      <c r="C3075" s="47">
        <v>95.0</v>
      </c>
      <c r="D3075" s="47">
        <v>89.0</v>
      </c>
      <c r="E3075" s="47">
        <v>26520.0</v>
      </c>
      <c r="F3075" s="47" t="s">
        <v>11</v>
      </c>
    </row>
    <row r="3076" ht="15.75" customHeight="1">
      <c r="A3076" s="46" t="s">
        <v>6368</v>
      </c>
      <c r="B3076" s="47" t="s">
        <v>6369</v>
      </c>
      <c r="C3076" s="47">
        <v>298.0</v>
      </c>
      <c r="D3076" s="47">
        <v>278.0</v>
      </c>
      <c r="E3076" s="47">
        <v>27480.0</v>
      </c>
      <c r="F3076" s="47" t="s">
        <v>11</v>
      </c>
    </row>
    <row r="3077" ht="15.75" customHeight="1">
      <c r="A3077" s="46" t="s">
        <v>6370</v>
      </c>
      <c r="B3077" s="47" t="s">
        <v>6371</v>
      </c>
      <c r="C3077" s="47">
        <v>204.0</v>
      </c>
      <c r="D3077" s="47">
        <v>193.0</v>
      </c>
      <c r="E3077" s="47">
        <v>24620.0</v>
      </c>
      <c r="F3077" s="47" t="s">
        <v>11</v>
      </c>
    </row>
    <row r="3078" ht="15.75" customHeight="1">
      <c r="A3078" s="46" t="s">
        <v>6372</v>
      </c>
      <c r="B3078" s="47" t="s">
        <v>6373</v>
      </c>
      <c r="C3078" s="47">
        <v>226.0</v>
      </c>
      <c r="D3078" s="47">
        <v>215.0</v>
      </c>
      <c r="E3078" s="47">
        <v>24110.0</v>
      </c>
      <c r="F3078" s="47" t="s">
        <v>11</v>
      </c>
    </row>
    <row r="3079" ht="15.75" customHeight="1">
      <c r="A3079" s="46" t="s">
        <v>6374</v>
      </c>
      <c r="B3079" s="47" t="s">
        <v>6375</v>
      </c>
      <c r="C3079" s="47">
        <v>215.0</v>
      </c>
      <c r="D3079" s="47">
        <v>200.0</v>
      </c>
      <c r="E3079" s="47">
        <v>26080.0</v>
      </c>
      <c r="F3079" s="47" t="s">
        <v>11</v>
      </c>
    </row>
    <row r="3080" ht="15.75" customHeight="1">
      <c r="A3080" s="46" t="s">
        <v>6376</v>
      </c>
      <c r="B3080" s="47" t="s">
        <v>6377</v>
      </c>
      <c r="C3080" s="47">
        <v>1339.0</v>
      </c>
      <c r="D3080" s="47">
        <v>1352.0</v>
      </c>
      <c r="E3080" s="47">
        <v>24300.0</v>
      </c>
      <c r="F3080" s="47" t="s">
        <v>11</v>
      </c>
    </row>
    <row r="3081" ht="15.75" customHeight="1">
      <c r="A3081" s="46" t="s">
        <v>6378</v>
      </c>
      <c r="B3081" s="47" t="s">
        <v>6379</v>
      </c>
      <c r="C3081" s="47">
        <v>2095.0</v>
      </c>
      <c r="D3081" s="47">
        <v>1929.0</v>
      </c>
      <c r="E3081" s="47">
        <v>22170.0</v>
      </c>
      <c r="F3081" s="47" t="s">
        <v>11</v>
      </c>
    </row>
    <row r="3082" ht="15.75" customHeight="1">
      <c r="A3082" s="46" t="s">
        <v>6380</v>
      </c>
      <c r="B3082" s="47" t="s">
        <v>6381</v>
      </c>
      <c r="C3082" s="47">
        <v>160.0</v>
      </c>
      <c r="D3082" s="47">
        <v>153.0</v>
      </c>
      <c r="E3082" s="47">
        <v>25500.0</v>
      </c>
      <c r="F3082" s="47" t="s">
        <v>11</v>
      </c>
    </row>
    <row r="3083" ht="15.75" customHeight="1">
      <c r="A3083" s="46" t="s">
        <v>6382</v>
      </c>
      <c r="B3083" s="47" t="s">
        <v>302</v>
      </c>
      <c r="C3083" s="47">
        <v>131.0</v>
      </c>
      <c r="D3083" s="47">
        <v>109.0</v>
      </c>
      <c r="E3083" s="47">
        <v>26930.0</v>
      </c>
      <c r="F3083" s="47" t="s">
        <v>11</v>
      </c>
    </row>
    <row r="3084" ht="15.75" customHeight="1">
      <c r="A3084" s="46" t="s">
        <v>6383</v>
      </c>
      <c r="B3084" s="47" t="s">
        <v>6384</v>
      </c>
      <c r="C3084" s="47">
        <v>509.0</v>
      </c>
      <c r="D3084" s="47">
        <v>500.0</v>
      </c>
      <c r="E3084" s="47">
        <v>26030.0</v>
      </c>
      <c r="F3084" s="47" t="s">
        <v>11</v>
      </c>
    </row>
    <row r="3085" ht="15.75" customHeight="1">
      <c r="A3085" s="46" t="s">
        <v>6385</v>
      </c>
      <c r="B3085" s="47" t="s">
        <v>6386</v>
      </c>
      <c r="C3085" s="47">
        <v>333.0</v>
      </c>
      <c r="D3085" s="47">
        <v>301.0</v>
      </c>
      <c r="E3085" s="47">
        <v>26920.0</v>
      </c>
      <c r="F3085" s="47" t="s">
        <v>11</v>
      </c>
    </row>
    <row r="3086" ht="15.75" customHeight="1">
      <c r="A3086" s="46" t="s">
        <v>6387</v>
      </c>
      <c r="B3086" s="47" t="s">
        <v>6388</v>
      </c>
      <c r="C3086" s="47">
        <v>513.0</v>
      </c>
      <c r="D3086" s="47">
        <v>494.0</v>
      </c>
      <c r="E3086" s="47">
        <v>29200.0</v>
      </c>
      <c r="F3086" s="47" t="s">
        <v>11</v>
      </c>
    </row>
    <row r="3087" ht="15.75" customHeight="1">
      <c r="A3087" s="46" t="s">
        <v>6389</v>
      </c>
      <c r="B3087" s="47" t="s">
        <v>6390</v>
      </c>
      <c r="C3087" s="47">
        <v>357.0</v>
      </c>
      <c r="D3087" s="47">
        <v>297.0</v>
      </c>
      <c r="E3087" s="47">
        <v>26170.0</v>
      </c>
      <c r="F3087" s="47" t="s">
        <v>11</v>
      </c>
    </row>
    <row r="3088" ht="15.75" customHeight="1">
      <c r="A3088" s="46" t="s">
        <v>6391</v>
      </c>
      <c r="B3088" s="47" t="s">
        <v>6392</v>
      </c>
      <c r="C3088" s="47">
        <v>149.0</v>
      </c>
      <c r="D3088" s="47">
        <v>149.0</v>
      </c>
      <c r="E3088" s="47">
        <v>24930.0</v>
      </c>
      <c r="F3088" s="47" t="s">
        <v>11</v>
      </c>
    </row>
    <row r="3089" ht="15.75" customHeight="1">
      <c r="A3089" s="46" t="s">
        <v>6393</v>
      </c>
      <c r="B3089" s="47" t="s">
        <v>6394</v>
      </c>
      <c r="C3089" s="47">
        <v>92.0</v>
      </c>
      <c r="D3089" s="47">
        <v>80.0</v>
      </c>
      <c r="E3089" s="47" t="s">
        <v>11</v>
      </c>
      <c r="F3089" s="47" t="s">
        <v>11</v>
      </c>
    </row>
    <row r="3090" ht="15.75" customHeight="1">
      <c r="A3090" s="46" t="s">
        <v>6395</v>
      </c>
      <c r="B3090" s="47" t="s">
        <v>6396</v>
      </c>
      <c r="C3090" s="47">
        <v>752.0</v>
      </c>
      <c r="D3090" s="47">
        <v>717.0</v>
      </c>
      <c r="E3090" s="47">
        <v>28610.0</v>
      </c>
      <c r="F3090" s="47" t="s">
        <v>11</v>
      </c>
    </row>
    <row r="3091" ht="15.75" customHeight="1">
      <c r="A3091" s="46" t="s">
        <v>6397</v>
      </c>
      <c r="B3091" s="47" t="s">
        <v>6398</v>
      </c>
      <c r="C3091" s="47">
        <v>145.0</v>
      </c>
      <c r="D3091" s="47">
        <v>145.0</v>
      </c>
      <c r="E3091" s="47">
        <v>26900.0</v>
      </c>
      <c r="F3091" s="47" t="s">
        <v>11</v>
      </c>
    </row>
    <row r="3092" ht="15.75" customHeight="1">
      <c r="A3092" s="46" t="s">
        <v>6399</v>
      </c>
      <c r="B3092" s="47" t="s">
        <v>6400</v>
      </c>
      <c r="C3092" s="47">
        <v>222.0</v>
      </c>
      <c r="D3092" s="47">
        <v>197.0</v>
      </c>
      <c r="E3092" s="47">
        <v>25610.0</v>
      </c>
      <c r="F3092" s="47" t="s">
        <v>11</v>
      </c>
    </row>
    <row r="3093" ht="15.75" customHeight="1">
      <c r="A3093" s="46" t="s">
        <v>6401</v>
      </c>
      <c r="B3093" s="47" t="s">
        <v>6402</v>
      </c>
      <c r="C3093" s="47">
        <v>32.0</v>
      </c>
      <c r="D3093" s="47">
        <v>40.0</v>
      </c>
      <c r="E3093" s="47" t="s">
        <v>11</v>
      </c>
      <c r="F3093" s="47" t="s">
        <v>11</v>
      </c>
    </row>
    <row r="3094" ht="15.75" customHeight="1">
      <c r="A3094" s="46" t="s">
        <v>6403</v>
      </c>
      <c r="B3094" s="47" t="s">
        <v>6404</v>
      </c>
      <c r="C3094" s="47">
        <v>1070.0</v>
      </c>
      <c r="D3094" s="47">
        <v>1042.0</v>
      </c>
      <c r="E3094" s="47">
        <v>23520.0</v>
      </c>
      <c r="F3094" s="47" t="s">
        <v>11</v>
      </c>
    </row>
    <row r="3095" ht="15.75" customHeight="1">
      <c r="A3095" s="46" t="s">
        <v>6405</v>
      </c>
      <c r="B3095" s="47" t="s">
        <v>6406</v>
      </c>
      <c r="C3095" s="47">
        <v>231.0</v>
      </c>
      <c r="D3095" s="47">
        <v>240.0</v>
      </c>
      <c r="E3095" s="47">
        <v>24930.0</v>
      </c>
      <c r="F3095" s="47" t="s">
        <v>11</v>
      </c>
    </row>
    <row r="3096" ht="15.75" customHeight="1">
      <c r="A3096" s="46" t="s">
        <v>6407</v>
      </c>
      <c r="B3096" s="47" t="s">
        <v>6408</v>
      </c>
      <c r="C3096" s="47">
        <v>352.0</v>
      </c>
      <c r="D3096" s="47">
        <v>353.0</v>
      </c>
      <c r="E3096" s="47">
        <v>25160.0</v>
      </c>
      <c r="F3096" s="47" t="s">
        <v>11</v>
      </c>
    </row>
    <row r="3097" ht="15.75" customHeight="1">
      <c r="A3097" s="46" t="s">
        <v>6409</v>
      </c>
      <c r="B3097" s="47" t="s">
        <v>6410</v>
      </c>
      <c r="C3097" s="47">
        <v>257.0</v>
      </c>
      <c r="D3097" s="47">
        <v>279.0</v>
      </c>
      <c r="E3097" s="47">
        <v>25250.0</v>
      </c>
      <c r="F3097" s="47" t="s">
        <v>11</v>
      </c>
    </row>
    <row r="3098" ht="15.75" customHeight="1">
      <c r="A3098" s="46" t="s">
        <v>6411</v>
      </c>
      <c r="B3098" s="47" t="s">
        <v>6412</v>
      </c>
      <c r="C3098" s="47">
        <v>154.0</v>
      </c>
      <c r="D3098" s="47">
        <v>155.0</v>
      </c>
      <c r="E3098" s="47">
        <v>25490.0</v>
      </c>
      <c r="F3098" s="47" t="s">
        <v>11</v>
      </c>
    </row>
    <row r="3099" ht="15.75" customHeight="1">
      <c r="A3099" s="46" t="s">
        <v>6413</v>
      </c>
      <c r="B3099" s="47" t="s">
        <v>6414</v>
      </c>
      <c r="C3099" s="47">
        <v>627.0</v>
      </c>
      <c r="D3099" s="47">
        <v>815.0</v>
      </c>
      <c r="E3099" s="47">
        <v>28360.0</v>
      </c>
      <c r="F3099" s="47" t="s">
        <v>11</v>
      </c>
    </row>
    <row r="3100" ht="15.75" customHeight="1">
      <c r="A3100" s="46" t="s">
        <v>6415</v>
      </c>
      <c r="B3100" s="47" t="s">
        <v>6416</v>
      </c>
      <c r="C3100" s="47">
        <v>1162.0</v>
      </c>
      <c r="D3100" s="47">
        <v>1092.0</v>
      </c>
      <c r="E3100" s="47">
        <v>23790.0</v>
      </c>
      <c r="F3100" s="47" t="s">
        <v>11</v>
      </c>
    </row>
    <row r="3101" ht="15.75" customHeight="1">
      <c r="A3101" s="46" t="s">
        <v>6417</v>
      </c>
      <c r="B3101" s="47" t="s">
        <v>6418</v>
      </c>
      <c r="C3101" s="47">
        <v>437.0</v>
      </c>
      <c r="D3101" s="47">
        <v>517.0</v>
      </c>
      <c r="E3101" s="47">
        <v>30150.0</v>
      </c>
      <c r="F3101" s="47" t="s">
        <v>11</v>
      </c>
    </row>
    <row r="3102" ht="15.75" customHeight="1">
      <c r="A3102" s="46" t="s">
        <v>6419</v>
      </c>
      <c r="B3102" s="47" t="s">
        <v>6420</v>
      </c>
      <c r="C3102" s="47">
        <v>223.0</v>
      </c>
      <c r="D3102" s="47">
        <v>220.0</v>
      </c>
      <c r="E3102" s="47">
        <v>24230.0</v>
      </c>
      <c r="F3102" s="47" t="s">
        <v>11</v>
      </c>
    </row>
    <row r="3103" ht="15.75" customHeight="1">
      <c r="A3103" s="46" t="s">
        <v>6421</v>
      </c>
      <c r="B3103" s="47" t="s">
        <v>6422</v>
      </c>
      <c r="C3103" s="47">
        <v>968.0</v>
      </c>
      <c r="D3103" s="47">
        <v>882.0</v>
      </c>
      <c r="E3103" s="47">
        <v>24000.0</v>
      </c>
      <c r="F3103" s="47" t="s">
        <v>11</v>
      </c>
    </row>
    <row r="3104" ht="15.75" customHeight="1">
      <c r="A3104" s="46" t="s">
        <v>6423</v>
      </c>
      <c r="B3104" s="47" t="s">
        <v>6424</v>
      </c>
      <c r="C3104" s="47">
        <v>129.0</v>
      </c>
      <c r="D3104" s="47">
        <v>124.0</v>
      </c>
      <c r="E3104" s="47">
        <v>22880.0</v>
      </c>
      <c r="F3104" s="47" t="s">
        <v>11</v>
      </c>
    </row>
    <row r="3105" ht="15.75" customHeight="1">
      <c r="A3105" s="46" t="s">
        <v>6425</v>
      </c>
      <c r="B3105" s="47" t="s">
        <v>6426</v>
      </c>
      <c r="C3105" s="47">
        <v>102.0</v>
      </c>
      <c r="D3105" s="47">
        <v>91.0</v>
      </c>
      <c r="E3105" s="47" t="s">
        <v>11</v>
      </c>
      <c r="F3105" s="47" t="s">
        <v>11</v>
      </c>
    </row>
    <row r="3106" ht="15.75" customHeight="1">
      <c r="A3106" s="46" t="s">
        <v>6427</v>
      </c>
      <c r="B3106" s="47" t="s">
        <v>6428</v>
      </c>
      <c r="C3106" s="47">
        <v>230.0</v>
      </c>
      <c r="D3106" s="47">
        <v>209.0</v>
      </c>
      <c r="E3106" s="47">
        <v>27280.0</v>
      </c>
      <c r="F3106" s="47" t="s">
        <v>11</v>
      </c>
    </row>
    <row r="3107" ht="15.75" customHeight="1">
      <c r="A3107" s="46" t="s">
        <v>6429</v>
      </c>
      <c r="B3107" s="47" t="s">
        <v>6430</v>
      </c>
      <c r="C3107" s="47">
        <v>619.0</v>
      </c>
      <c r="D3107" s="47">
        <v>605.0</v>
      </c>
      <c r="E3107" s="47">
        <v>24860.0</v>
      </c>
      <c r="F3107" s="47" t="s">
        <v>11</v>
      </c>
    </row>
    <row r="3108" ht="15.75" customHeight="1">
      <c r="A3108" s="46" t="s">
        <v>6431</v>
      </c>
      <c r="B3108" s="47" t="s">
        <v>6432</v>
      </c>
      <c r="C3108" s="47">
        <v>860.0</v>
      </c>
      <c r="D3108" s="47">
        <v>900.0</v>
      </c>
      <c r="E3108" s="47">
        <v>24610.0</v>
      </c>
      <c r="F3108" s="47" t="s">
        <v>11</v>
      </c>
    </row>
    <row r="3109" ht="15.75" customHeight="1">
      <c r="A3109" s="46" t="s">
        <v>6433</v>
      </c>
      <c r="B3109" s="47" t="s">
        <v>6434</v>
      </c>
      <c r="C3109" s="47">
        <v>384.0</v>
      </c>
      <c r="D3109" s="47">
        <v>386.0</v>
      </c>
      <c r="E3109" s="47">
        <v>25270.0</v>
      </c>
      <c r="F3109" s="47" t="s">
        <v>11</v>
      </c>
    </row>
    <row r="3110" ht="15.75" customHeight="1">
      <c r="A3110" s="46" t="s">
        <v>6435</v>
      </c>
      <c r="B3110" s="47" t="s">
        <v>6436</v>
      </c>
      <c r="C3110" s="47">
        <v>67.0</v>
      </c>
      <c r="D3110" s="47">
        <v>57.0</v>
      </c>
      <c r="E3110" s="47" t="s">
        <v>11</v>
      </c>
      <c r="F3110" s="47" t="s">
        <v>11</v>
      </c>
    </row>
    <row r="3111" ht="15.75" customHeight="1">
      <c r="A3111" s="46" t="s">
        <v>6437</v>
      </c>
      <c r="B3111" s="47" t="s">
        <v>6438</v>
      </c>
      <c r="C3111" s="47">
        <v>133.0</v>
      </c>
      <c r="D3111" s="47">
        <v>137.0</v>
      </c>
      <c r="E3111" s="47">
        <v>25230.0</v>
      </c>
      <c r="F3111" s="47" t="s">
        <v>11</v>
      </c>
    </row>
    <row r="3112" ht="15.75" customHeight="1">
      <c r="A3112" s="46" t="s">
        <v>6439</v>
      </c>
      <c r="B3112" s="47" t="s">
        <v>6440</v>
      </c>
      <c r="C3112" s="47">
        <v>173.0</v>
      </c>
      <c r="D3112" s="47">
        <v>178.0</v>
      </c>
      <c r="E3112" s="47">
        <v>27000.0</v>
      </c>
      <c r="F3112" s="47" t="s">
        <v>11</v>
      </c>
    </row>
    <row r="3113" ht="15.75" customHeight="1">
      <c r="A3113" s="46" t="s">
        <v>6441</v>
      </c>
      <c r="B3113" s="47" t="s">
        <v>6442</v>
      </c>
      <c r="C3113" s="47">
        <v>181.0</v>
      </c>
      <c r="D3113" s="47">
        <v>161.0</v>
      </c>
      <c r="E3113" s="47">
        <v>25760.0</v>
      </c>
      <c r="F3113" s="47" t="s">
        <v>11</v>
      </c>
    </row>
    <row r="3114" ht="15.75" customHeight="1">
      <c r="A3114" s="46" t="s">
        <v>6443</v>
      </c>
      <c r="B3114" s="47" t="s">
        <v>6444</v>
      </c>
      <c r="C3114" s="47">
        <v>563.0</v>
      </c>
      <c r="D3114" s="47">
        <v>613.0</v>
      </c>
      <c r="E3114" s="47">
        <v>31260.0</v>
      </c>
      <c r="F3114" s="47" t="s">
        <v>11</v>
      </c>
    </row>
    <row r="3115" ht="15.75" customHeight="1">
      <c r="A3115" s="46" t="s">
        <v>6445</v>
      </c>
      <c r="B3115" s="47" t="s">
        <v>6446</v>
      </c>
      <c r="C3115" s="47">
        <v>78.0</v>
      </c>
      <c r="D3115" s="47">
        <v>64.0</v>
      </c>
      <c r="E3115" s="47" t="s">
        <v>11</v>
      </c>
      <c r="F3115" s="47" t="s">
        <v>11</v>
      </c>
    </row>
    <row r="3116" ht="15.75" customHeight="1">
      <c r="A3116" s="46" t="s">
        <v>6447</v>
      </c>
      <c r="B3116" s="47" t="s">
        <v>6448</v>
      </c>
      <c r="C3116" s="47">
        <v>363.0</v>
      </c>
      <c r="D3116" s="47">
        <v>329.0</v>
      </c>
      <c r="E3116" s="47">
        <v>22960.0</v>
      </c>
      <c r="F3116" s="47" t="s">
        <v>11</v>
      </c>
    </row>
    <row r="3117" ht="15.75" customHeight="1">
      <c r="A3117" s="46" t="s">
        <v>6449</v>
      </c>
      <c r="B3117" s="47" t="s">
        <v>6450</v>
      </c>
      <c r="C3117" s="47">
        <v>475.0</v>
      </c>
      <c r="D3117" s="47">
        <v>441.0</v>
      </c>
      <c r="E3117" s="47">
        <v>25900.0</v>
      </c>
      <c r="F3117" s="47" t="s">
        <v>11</v>
      </c>
    </row>
    <row r="3118" ht="15.75" customHeight="1">
      <c r="A3118" s="46" t="s">
        <v>6451</v>
      </c>
      <c r="B3118" s="47" t="s">
        <v>6452</v>
      </c>
      <c r="C3118" s="47">
        <v>237.0</v>
      </c>
      <c r="D3118" s="47">
        <v>247.0</v>
      </c>
      <c r="E3118" s="47">
        <v>25440.0</v>
      </c>
      <c r="F3118" s="47" t="s">
        <v>11</v>
      </c>
    </row>
    <row r="3119" ht="15.75" customHeight="1">
      <c r="A3119" s="46" t="s">
        <v>6453</v>
      </c>
      <c r="B3119" s="47" t="s">
        <v>6454</v>
      </c>
      <c r="C3119" s="47">
        <v>331.0</v>
      </c>
      <c r="D3119" s="47">
        <v>325.0</v>
      </c>
      <c r="E3119" s="47">
        <v>24520.0</v>
      </c>
      <c r="F3119" s="47" t="s">
        <v>11</v>
      </c>
    </row>
    <row r="3120" ht="15.75" customHeight="1">
      <c r="A3120" s="46" t="s">
        <v>6455</v>
      </c>
      <c r="B3120" s="47" t="s">
        <v>6456</v>
      </c>
      <c r="C3120" s="47">
        <v>334.0</v>
      </c>
      <c r="D3120" s="47">
        <v>349.0</v>
      </c>
      <c r="E3120" s="47">
        <v>28080.0</v>
      </c>
      <c r="F3120" s="47" t="s">
        <v>11</v>
      </c>
    </row>
    <row r="3121" ht="15.75" customHeight="1">
      <c r="A3121" s="46" t="s">
        <v>6457</v>
      </c>
      <c r="B3121" s="47" t="s">
        <v>6458</v>
      </c>
      <c r="C3121" s="47">
        <v>291.0</v>
      </c>
      <c r="D3121" s="47">
        <v>283.0</v>
      </c>
      <c r="E3121" s="47">
        <v>23450.0</v>
      </c>
      <c r="F3121" s="47" t="s">
        <v>11</v>
      </c>
    </row>
    <row r="3122" ht="15.75" customHeight="1">
      <c r="A3122" s="46" t="s">
        <v>6459</v>
      </c>
      <c r="B3122" s="47" t="s">
        <v>6460</v>
      </c>
      <c r="C3122" s="47">
        <v>293.0</v>
      </c>
      <c r="D3122" s="47">
        <v>276.0</v>
      </c>
      <c r="E3122" s="47">
        <v>26530.0</v>
      </c>
      <c r="F3122" s="47" t="s">
        <v>11</v>
      </c>
    </row>
    <row r="3123" ht="15.75" customHeight="1">
      <c r="A3123" s="46" t="s">
        <v>6461</v>
      </c>
      <c r="B3123" s="47" t="s">
        <v>6462</v>
      </c>
      <c r="C3123" s="47">
        <v>155.0</v>
      </c>
      <c r="D3123" s="47">
        <v>158.0</v>
      </c>
      <c r="E3123" s="47">
        <v>25690.0</v>
      </c>
      <c r="F3123" s="47" t="s">
        <v>11</v>
      </c>
    </row>
    <row r="3124" ht="15.75" customHeight="1">
      <c r="A3124" s="46" t="s">
        <v>6463</v>
      </c>
      <c r="B3124" s="47" t="s">
        <v>6464</v>
      </c>
      <c r="C3124" s="47">
        <v>122.0</v>
      </c>
      <c r="D3124" s="47">
        <v>113.0</v>
      </c>
      <c r="E3124" s="47">
        <v>22240.0</v>
      </c>
      <c r="F3124" s="47" t="s">
        <v>11</v>
      </c>
    </row>
    <row r="3125" ht="15.75" customHeight="1">
      <c r="A3125" s="46" t="s">
        <v>6465</v>
      </c>
      <c r="B3125" s="47" t="s">
        <v>6466</v>
      </c>
      <c r="C3125" s="47">
        <v>448.0</v>
      </c>
      <c r="D3125" s="47">
        <v>389.0</v>
      </c>
      <c r="E3125" s="47">
        <v>26690.0</v>
      </c>
      <c r="F3125" s="47" t="s">
        <v>11</v>
      </c>
    </row>
    <row r="3126" ht="15.75" customHeight="1">
      <c r="A3126" s="46" t="s">
        <v>6467</v>
      </c>
      <c r="B3126" s="47" t="s">
        <v>6468</v>
      </c>
      <c r="C3126" s="47">
        <v>550.0</v>
      </c>
      <c r="D3126" s="47">
        <v>540.0</v>
      </c>
      <c r="E3126" s="47">
        <v>26360.0</v>
      </c>
      <c r="F3126" s="47" t="s">
        <v>11</v>
      </c>
    </row>
    <row r="3127" ht="15.75" customHeight="1">
      <c r="A3127" s="46" t="s">
        <v>6469</v>
      </c>
      <c r="B3127" s="47" t="s">
        <v>6470</v>
      </c>
      <c r="C3127" s="47">
        <v>155.0</v>
      </c>
      <c r="D3127" s="47">
        <v>142.0</v>
      </c>
      <c r="E3127" s="47">
        <v>24060.0</v>
      </c>
      <c r="F3127" s="47" t="s">
        <v>11</v>
      </c>
    </row>
    <row r="3128" ht="15.75" customHeight="1">
      <c r="A3128" s="46" t="s">
        <v>6471</v>
      </c>
      <c r="B3128" s="47" t="s">
        <v>6472</v>
      </c>
      <c r="C3128" s="47">
        <v>503.0</v>
      </c>
      <c r="D3128" s="47">
        <v>493.0</v>
      </c>
      <c r="E3128" s="47">
        <v>24870.0</v>
      </c>
      <c r="F3128" s="47" t="s">
        <v>11</v>
      </c>
    </row>
    <row r="3129" ht="15.75" customHeight="1">
      <c r="A3129" s="46" t="s">
        <v>6473</v>
      </c>
      <c r="B3129" s="47" t="s">
        <v>6474</v>
      </c>
      <c r="C3129" s="47">
        <v>385.0</v>
      </c>
      <c r="D3129" s="47">
        <v>376.0</v>
      </c>
      <c r="E3129" s="47">
        <v>29000.0</v>
      </c>
      <c r="F3129" s="47" t="s">
        <v>11</v>
      </c>
    </row>
    <row r="3130" ht="15.75" customHeight="1">
      <c r="A3130" s="46" t="s">
        <v>6475</v>
      </c>
      <c r="B3130" s="47" t="s">
        <v>6476</v>
      </c>
      <c r="C3130" s="47">
        <v>699.0</v>
      </c>
      <c r="D3130" s="47">
        <v>725.0</v>
      </c>
      <c r="E3130" s="47">
        <v>24940.0</v>
      </c>
      <c r="F3130" s="47" t="s">
        <v>11</v>
      </c>
    </row>
    <row r="3131" ht="15.75" customHeight="1">
      <c r="A3131" s="46" t="s">
        <v>6477</v>
      </c>
      <c r="B3131" s="47" t="s">
        <v>6478</v>
      </c>
      <c r="C3131" s="47">
        <v>87.0</v>
      </c>
      <c r="D3131" s="47">
        <v>80.0</v>
      </c>
      <c r="E3131" s="47" t="s">
        <v>11</v>
      </c>
      <c r="F3131" s="47" t="s">
        <v>11</v>
      </c>
    </row>
    <row r="3132" ht="15.75" customHeight="1">
      <c r="A3132" s="46" t="s">
        <v>6479</v>
      </c>
      <c r="B3132" s="47" t="s">
        <v>6480</v>
      </c>
      <c r="C3132" s="47">
        <v>931.0</v>
      </c>
      <c r="D3132" s="47">
        <v>927.0</v>
      </c>
      <c r="E3132" s="47">
        <v>25490.0</v>
      </c>
      <c r="F3132" s="47" t="s">
        <v>11</v>
      </c>
    </row>
    <row r="3133" ht="15.75" customHeight="1">
      <c r="A3133" s="46" t="s">
        <v>6481</v>
      </c>
      <c r="B3133" s="47" t="s">
        <v>6482</v>
      </c>
      <c r="C3133" s="47">
        <v>868.0</v>
      </c>
      <c r="D3133" s="47">
        <v>783.0</v>
      </c>
      <c r="E3133" s="47">
        <v>25070.0</v>
      </c>
      <c r="F3133" s="47" t="s">
        <v>11</v>
      </c>
    </row>
    <row r="3134" ht="15.75" customHeight="1">
      <c r="A3134" s="46" t="s">
        <v>6483</v>
      </c>
      <c r="B3134" s="47" t="s">
        <v>6484</v>
      </c>
      <c r="C3134" s="47">
        <v>151.0</v>
      </c>
      <c r="D3134" s="47">
        <v>154.0</v>
      </c>
      <c r="E3134" s="47">
        <v>25600.0</v>
      </c>
      <c r="F3134" s="47" t="s">
        <v>11</v>
      </c>
    </row>
    <row r="3135" ht="15.75" customHeight="1">
      <c r="A3135" s="46" t="s">
        <v>6485</v>
      </c>
      <c r="B3135" s="47" t="s">
        <v>6486</v>
      </c>
      <c r="C3135" s="47">
        <v>550.0</v>
      </c>
      <c r="D3135" s="47">
        <v>528.0</v>
      </c>
      <c r="E3135" s="47">
        <v>26060.0</v>
      </c>
      <c r="F3135" s="47" t="s">
        <v>11</v>
      </c>
    </row>
    <row r="3136" ht="15.75" customHeight="1">
      <c r="A3136" s="46" t="s">
        <v>6487</v>
      </c>
      <c r="B3136" s="47" t="s">
        <v>6488</v>
      </c>
      <c r="C3136" s="47">
        <v>434.0</v>
      </c>
      <c r="D3136" s="47">
        <v>425.0</v>
      </c>
      <c r="E3136" s="47">
        <v>31200.0</v>
      </c>
      <c r="F3136" s="47" t="s">
        <v>11</v>
      </c>
    </row>
    <row r="3137" ht="15.75" customHeight="1">
      <c r="A3137" s="46" t="s">
        <v>6489</v>
      </c>
      <c r="B3137" s="47" t="s">
        <v>6490</v>
      </c>
      <c r="C3137" s="47">
        <v>3192.0</v>
      </c>
      <c r="D3137" s="47">
        <v>3234.0</v>
      </c>
      <c r="E3137" s="47">
        <v>27890.0</v>
      </c>
      <c r="F3137" s="47">
        <v>8.0</v>
      </c>
    </row>
    <row r="3138" ht="15.75" customHeight="1">
      <c r="A3138" s="46" t="s">
        <v>6491</v>
      </c>
      <c r="B3138" s="47" t="s">
        <v>6492</v>
      </c>
      <c r="C3138" s="47">
        <v>263.0</v>
      </c>
      <c r="D3138" s="47">
        <v>203.0</v>
      </c>
      <c r="E3138" s="47">
        <v>27170.0</v>
      </c>
      <c r="F3138" s="47" t="s">
        <v>11</v>
      </c>
    </row>
    <row r="3139" ht="15.75" customHeight="1">
      <c r="A3139" s="46" t="s">
        <v>6493</v>
      </c>
      <c r="B3139" s="47" t="s">
        <v>6494</v>
      </c>
      <c r="C3139" s="47">
        <v>241.0</v>
      </c>
      <c r="D3139" s="47">
        <v>211.0</v>
      </c>
      <c r="E3139" s="47">
        <v>24270.0</v>
      </c>
      <c r="F3139" s="47" t="s">
        <v>11</v>
      </c>
    </row>
    <row r="3140" ht="15.75" customHeight="1">
      <c r="A3140" s="46" t="s">
        <v>6495</v>
      </c>
      <c r="B3140" s="47" t="s">
        <v>6496</v>
      </c>
      <c r="C3140" s="47">
        <v>74.0</v>
      </c>
      <c r="D3140" s="47">
        <v>82.0</v>
      </c>
      <c r="E3140" s="47" t="s">
        <v>11</v>
      </c>
      <c r="F3140" s="47" t="s">
        <v>11</v>
      </c>
    </row>
    <row r="3141" ht="15.75" customHeight="1">
      <c r="A3141" s="46" t="s">
        <v>6497</v>
      </c>
      <c r="B3141" s="47" t="s">
        <v>6498</v>
      </c>
      <c r="C3141" s="47">
        <v>240.0</v>
      </c>
      <c r="D3141" s="47">
        <v>249.0</v>
      </c>
      <c r="E3141" s="47">
        <v>23120.0</v>
      </c>
      <c r="F3141" s="47" t="s">
        <v>11</v>
      </c>
    </row>
    <row r="3142" ht="15.75" customHeight="1">
      <c r="A3142" s="46" t="s">
        <v>6499</v>
      </c>
      <c r="B3142" s="47" t="s">
        <v>6500</v>
      </c>
      <c r="C3142" s="47">
        <v>1276.0</v>
      </c>
      <c r="D3142" s="47">
        <v>1184.0</v>
      </c>
      <c r="E3142" s="47">
        <v>24040.0</v>
      </c>
      <c r="F3142" s="47" t="s">
        <v>11</v>
      </c>
    </row>
    <row r="3143" ht="15.75" customHeight="1">
      <c r="A3143" s="46" t="s">
        <v>6501</v>
      </c>
      <c r="B3143" s="47" t="s">
        <v>6502</v>
      </c>
      <c r="C3143" s="47">
        <v>685.0</v>
      </c>
      <c r="D3143" s="47">
        <v>707.0</v>
      </c>
      <c r="E3143" s="47">
        <v>25780.0</v>
      </c>
      <c r="F3143" s="47" t="s">
        <v>11</v>
      </c>
    </row>
    <row r="3144" ht="15.75" customHeight="1">
      <c r="A3144" s="46" t="s">
        <v>6503</v>
      </c>
      <c r="B3144" s="47" t="s">
        <v>6504</v>
      </c>
      <c r="C3144" s="47">
        <v>128.0</v>
      </c>
      <c r="D3144" s="47">
        <v>120.0</v>
      </c>
      <c r="E3144" s="47">
        <v>26890.0</v>
      </c>
      <c r="F3144" s="47" t="s">
        <v>11</v>
      </c>
    </row>
    <row r="3145" ht="15.75" customHeight="1">
      <c r="A3145" s="46" t="s">
        <v>6505</v>
      </c>
      <c r="B3145" s="47" t="s">
        <v>6506</v>
      </c>
      <c r="C3145" s="47">
        <v>46.0</v>
      </c>
      <c r="D3145" s="47">
        <v>45.0</v>
      </c>
      <c r="E3145" s="47" t="s">
        <v>11</v>
      </c>
      <c r="F3145" s="47" t="s">
        <v>11</v>
      </c>
    </row>
    <row r="3146" ht="15.75" customHeight="1">
      <c r="A3146" s="46" t="s">
        <v>6507</v>
      </c>
      <c r="B3146" s="47" t="s">
        <v>4825</v>
      </c>
      <c r="C3146" s="47">
        <v>108.0</v>
      </c>
      <c r="D3146" s="47">
        <v>116.0</v>
      </c>
      <c r="E3146" s="47">
        <v>25310.0</v>
      </c>
      <c r="F3146" s="47" t="s">
        <v>11</v>
      </c>
    </row>
    <row r="3147" ht="15.75" customHeight="1">
      <c r="A3147" s="46" t="s">
        <v>6508</v>
      </c>
      <c r="B3147" s="47" t="s">
        <v>454</v>
      </c>
      <c r="C3147" s="47">
        <v>331.0</v>
      </c>
      <c r="D3147" s="47">
        <v>350.0</v>
      </c>
      <c r="E3147" s="47">
        <v>24460.0</v>
      </c>
      <c r="F3147" s="47" t="s">
        <v>11</v>
      </c>
    </row>
    <row r="3148" ht="15.75" customHeight="1">
      <c r="A3148" s="46" t="s">
        <v>6509</v>
      </c>
      <c r="B3148" s="47" t="s">
        <v>6510</v>
      </c>
      <c r="C3148" s="47">
        <v>269.0</v>
      </c>
      <c r="D3148" s="47">
        <v>341.0</v>
      </c>
      <c r="E3148" s="47">
        <v>29250.0</v>
      </c>
      <c r="F3148" s="47" t="s">
        <v>11</v>
      </c>
    </row>
    <row r="3149" ht="15.75" customHeight="1">
      <c r="A3149" s="46" t="s">
        <v>6511</v>
      </c>
      <c r="B3149" s="47" t="s">
        <v>6512</v>
      </c>
      <c r="C3149" s="47">
        <v>98.0</v>
      </c>
      <c r="D3149" s="47">
        <v>109.0</v>
      </c>
      <c r="E3149" s="47" t="s">
        <v>11</v>
      </c>
      <c r="F3149" s="47" t="s">
        <v>11</v>
      </c>
    </row>
    <row r="3150" ht="15.75" customHeight="1">
      <c r="A3150" s="46" t="s">
        <v>6513</v>
      </c>
      <c r="B3150" s="47" t="s">
        <v>6514</v>
      </c>
      <c r="C3150" s="47">
        <v>512.0</v>
      </c>
      <c r="D3150" s="47">
        <v>495.0</v>
      </c>
      <c r="E3150" s="47">
        <v>24820.0</v>
      </c>
      <c r="F3150" s="47" t="s">
        <v>11</v>
      </c>
    </row>
    <row r="3151" ht="15.75" customHeight="1">
      <c r="A3151" s="46" t="s">
        <v>6515</v>
      </c>
      <c r="B3151" s="47" t="s">
        <v>6516</v>
      </c>
      <c r="C3151" s="47">
        <v>139.0</v>
      </c>
      <c r="D3151" s="47">
        <v>155.0</v>
      </c>
      <c r="E3151" s="47">
        <v>23680.0</v>
      </c>
      <c r="F3151" s="47" t="s">
        <v>11</v>
      </c>
    </row>
    <row r="3152" ht="15.75" customHeight="1">
      <c r="A3152" s="46" t="s">
        <v>6517</v>
      </c>
      <c r="B3152" s="47" t="s">
        <v>6518</v>
      </c>
      <c r="C3152" s="47">
        <v>207.0</v>
      </c>
      <c r="D3152" s="47">
        <v>197.0</v>
      </c>
      <c r="E3152" s="47">
        <v>24880.0</v>
      </c>
      <c r="F3152" s="47" t="s">
        <v>11</v>
      </c>
    </row>
    <row r="3153" ht="15.75" customHeight="1">
      <c r="A3153" s="46" t="s">
        <v>6519</v>
      </c>
      <c r="B3153" s="47" t="s">
        <v>6520</v>
      </c>
      <c r="C3153" s="47">
        <v>311.0</v>
      </c>
      <c r="D3153" s="47">
        <v>341.0</v>
      </c>
      <c r="E3153" s="47">
        <v>27020.0</v>
      </c>
      <c r="F3153" s="47" t="s">
        <v>11</v>
      </c>
    </row>
    <row r="3154" ht="15.75" customHeight="1">
      <c r="A3154" s="46" t="s">
        <v>6521</v>
      </c>
      <c r="B3154" s="47" t="s">
        <v>6522</v>
      </c>
      <c r="C3154" s="47">
        <v>414.0</v>
      </c>
      <c r="D3154" s="47">
        <v>397.0</v>
      </c>
      <c r="E3154" s="47">
        <v>24160.0</v>
      </c>
      <c r="F3154" s="47" t="s">
        <v>11</v>
      </c>
    </row>
    <row r="3155" ht="15.75" customHeight="1">
      <c r="A3155" s="46" t="s">
        <v>6523</v>
      </c>
      <c r="B3155" s="47" t="s">
        <v>6524</v>
      </c>
      <c r="C3155" s="47">
        <v>517.0</v>
      </c>
      <c r="D3155" s="47">
        <v>514.0</v>
      </c>
      <c r="E3155" s="47">
        <v>28040.0</v>
      </c>
      <c r="F3155" s="47" t="s">
        <v>11</v>
      </c>
    </row>
    <row r="3156" ht="15.75" customHeight="1">
      <c r="A3156" s="46" t="s">
        <v>6525</v>
      </c>
      <c r="B3156" s="47" t="s">
        <v>6526</v>
      </c>
      <c r="C3156" s="47">
        <v>234.0</v>
      </c>
      <c r="D3156" s="47">
        <v>220.0</v>
      </c>
      <c r="E3156" s="47">
        <v>21990.0</v>
      </c>
      <c r="F3156" s="47" t="s">
        <v>11</v>
      </c>
    </row>
    <row r="3157" ht="15.75" customHeight="1">
      <c r="A3157" s="46" t="s">
        <v>6527</v>
      </c>
      <c r="B3157" s="47" t="s">
        <v>6528</v>
      </c>
      <c r="C3157" s="47">
        <v>310.0</v>
      </c>
      <c r="D3157" s="47">
        <v>294.0</v>
      </c>
      <c r="E3157" s="47">
        <v>27840.0</v>
      </c>
      <c r="F3157" s="47" t="s">
        <v>11</v>
      </c>
    </row>
    <row r="3158" ht="15.75" customHeight="1">
      <c r="A3158" s="46" t="s">
        <v>6529</v>
      </c>
      <c r="B3158" s="47" t="s">
        <v>6530</v>
      </c>
      <c r="C3158" s="47">
        <v>167.0</v>
      </c>
      <c r="D3158" s="47">
        <v>144.0</v>
      </c>
      <c r="E3158" s="47">
        <v>25500.0</v>
      </c>
      <c r="F3158" s="47" t="s">
        <v>11</v>
      </c>
    </row>
    <row r="3159" ht="15.75" customHeight="1">
      <c r="A3159" s="46" t="s">
        <v>6531</v>
      </c>
      <c r="B3159" s="47" t="s">
        <v>6532</v>
      </c>
      <c r="C3159" s="47">
        <v>134.0</v>
      </c>
      <c r="D3159" s="47">
        <v>140.0</v>
      </c>
      <c r="E3159" s="47">
        <v>22350.0</v>
      </c>
      <c r="F3159" s="47" t="s">
        <v>11</v>
      </c>
    </row>
    <row r="3160" ht="15.75" customHeight="1">
      <c r="A3160" s="46" t="s">
        <v>6533</v>
      </c>
      <c r="B3160" s="47" t="s">
        <v>6534</v>
      </c>
      <c r="C3160" s="47">
        <v>213.0</v>
      </c>
      <c r="D3160" s="47">
        <v>207.0</v>
      </c>
      <c r="E3160" s="47">
        <v>25450.0</v>
      </c>
      <c r="F3160" s="47" t="s">
        <v>11</v>
      </c>
    </row>
    <row r="3161" ht="15.75" customHeight="1">
      <c r="A3161" s="46" t="s">
        <v>6535</v>
      </c>
      <c r="B3161" s="47" t="s">
        <v>6536</v>
      </c>
      <c r="C3161" s="47">
        <v>541.0</v>
      </c>
      <c r="D3161" s="47">
        <v>556.0</v>
      </c>
      <c r="E3161" s="47">
        <v>25600.0</v>
      </c>
      <c r="F3161" s="47" t="s">
        <v>11</v>
      </c>
    </row>
    <row r="3162" ht="15.75" customHeight="1">
      <c r="A3162" s="46" t="s">
        <v>6537</v>
      </c>
      <c r="B3162" s="47" t="s">
        <v>6538</v>
      </c>
      <c r="C3162" s="47">
        <v>381.0</v>
      </c>
      <c r="D3162" s="47">
        <v>370.0</v>
      </c>
      <c r="E3162" s="47">
        <v>30360.0</v>
      </c>
      <c r="F3162" s="47" t="s">
        <v>11</v>
      </c>
    </row>
    <row r="3163" ht="15.75" customHeight="1">
      <c r="A3163" s="46" t="s">
        <v>6539</v>
      </c>
      <c r="B3163" s="47" t="s">
        <v>6540</v>
      </c>
      <c r="C3163" s="47">
        <v>101.0</v>
      </c>
      <c r="D3163" s="47">
        <v>90.0</v>
      </c>
      <c r="E3163" s="47">
        <v>31510.0</v>
      </c>
      <c r="F3163" s="47" t="s">
        <v>11</v>
      </c>
    </row>
    <row r="3164" ht="15.75" customHeight="1">
      <c r="A3164" s="46" t="s">
        <v>6541</v>
      </c>
      <c r="B3164" s="47" t="s">
        <v>6542</v>
      </c>
      <c r="C3164" s="47">
        <v>49.0</v>
      </c>
      <c r="D3164" s="47">
        <v>41.0</v>
      </c>
      <c r="E3164" s="47" t="s">
        <v>11</v>
      </c>
      <c r="F3164" s="47" t="s">
        <v>11</v>
      </c>
    </row>
    <row r="3165" ht="15.75" customHeight="1">
      <c r="A3165" s="46" t="s">
        <v>6543</v>
      </c>
      <c r="B3165" s="47" t="s">
        <v>6544</v>
      </c>
      <c r="C3165" s="47">
        <v>282.0</v>
      </c>
      <c r="D3165" s="47">
        <v>300.0</v>
      </c>
      <c r="E3165" s="47">
        <v>29320.0</v>
      </c>
      <c r="F3165" s="47" t="s">
        <v>11</v>
      </c>
    </row>
    <row r="3166" ht="15.75" customHeight="1">
      <c r="A3166" s="46" t="s">
        <v>6545</v>
      </c>
      <c r="B3166" s="47" t="s">
        <v>6546</v>
      </c>
      <c r="C3166" s="47">
        <v>1204.0</v>
      </c>
      <c r="D3166" s="47">
        <v>1191.0</v>
      </c>
      <c r="E3166" s="47">
        <v>31070.0</v>
      </c>
      <c r="F3166" s="47" t="s">
        <v>11</v>
      </c>
    </row>
    <row r="3167" ht="15.75" customHeight="1">
      <c r="A3167" s="46" t="s">
        <v>6547</v>
      </c>
      <c r="B3167" s="47" t="s">
        <v>6548</v>
      </c>
      <c r="C3167" s="47">
        <v>199.0</v>
      </c>
      <c r="D3167" s="47">
        <v>222.0</v>
      </c>
      <c r="E3167" s="47">
        <v>26480.0</v>
      </c>
      <c r="F3167" s="47" t="s">
        <v>11</v>
      </c>
    </row>
    <row r="3168" ht="15.75" customHeight="1">
      <c r="A3168" s="46" t="s">
        <v>6549</v>
      </c>
      <c r="B3168" s="47" t="s">
        <v>6550</v>
      </c>
      <c r="C3168" s="47">
        <v>740.0</v>
      </c>
      <c r="D3168" s="47">
        <v>704.0</v>
      </c>
      <c r="E3168" s="47">
        <v>24460.0</v>
      </c>
      <c r="F3168" s="47" t="s">
        <v>11</v>
      </c>
    </row>
    <row r="3169" ht="15.75" customHeight="1">
      <c r="A3169" s="46" t="s">
        <v>6551</v>
      </c>
      <c r="B3169" s="47" t="s">
        <v>6552</v>
      </c>
      <c r="C3169" s="47">
        <v>724.0</v>
      </c>
      <c r="D3169" s="47">
        <v>740.0</v>
      </c>
      <c r="E3169" s="47">
        <v>25950.0</v>
      </c>
      <c r="F3169" s="47" t="s">
        <v>11</v>
      </c>
    </row>
    <row r="3170" ht="15.75" customHeight="1">
      <c r="A3170" s="46" t="s">
        <v>6553</v>
      </c>
      <c r="B3170" s="47" t="s">
        <v>6554</v>
      </c>
      <c r="C3170" s="47">
        <v>4432.0</v>
      </c>
      <c r="D3170" s="47">
        <v>4359.0</v>
      </c>
      <c r="E3170" s="47">
        <v>26860.0</v>
      </c>
      <c r="F3170" s="47">
        <v>13.0</v>
      </c>
    </row>
    <row r="3171" ht="15.75" customHeight="1">
      <c r="A3171" s="46" t="s">
        <v>6555</v>
      </c>
      <c r="B3171" s="47" t="s">
        <v>6556</v>
      </c>
      <c r="C3171" s="47">
        <v>188.0</v>
      </c>
      <c r="D3171" s="47">
        <v>182.0</v>
      </c>
      <c r="E3171" s="47">
        <v>26940.0</v>
      </c>
      <c r="F3171" s="47" t="s">
        <v>11</v>
      </c>
    </row>
    <row r="3172" ht="15.75" customHeight="1">
      <c r="A3172" s="46" t="s">
        <v>6557</v>
      </c>
      <c r="B3172" s="47" t="s">
        <v>6558</v>
      </c>
      <c r="C3172" s="47">
        <v>706.0</v>
      </c>
      <c r="D3172" s="47">
        <v>705.0</v>
      </c>
      <c r="E3172" s="47">
        <v>26560.0</v>
      </c>
      <c r="F3172" s="47" t="s">
        <v>11</v>
      </c>
    </row>
    <row r="3173" ht="15.75" customHeight="1">
      <c r="A3173" s="46" t="s">
        <v>6559</v>
      </c>
      <c r="B3173" s="47" t="s">
        <v>6560</v>
      </c>
      <c r="C3173" s="47">
        <v>322.0</v>
      </c>
      <c r="D3173" s="47">
        <v>348.0</v>
      </c>
      <c r="E3173" s="47">
        <v>26320.0</v>
      </c>
      <c r="F3173" s="47" t="s">
        <v>11</v>
      </c>
    </row>
    <row r="3174" ht="15.75" customHeight="1">
      <c r="A3174" s="46" t="s">
        <v>6561</v>
      </c>
      <c r="B3174" s="47" t="s">
        <v>6562</v>
      </c>
      <c r="C3174" s="47">
        <v>1100.0</v>
      </c>
      <c r="D3174" s="47">
        <v>1035.0</v>
      </c>
      <c r="E3174" s="47">
        <v>24280.0</v>
      </c>
      <c r="F3174" s="47" t="s">
        <v>11</v>
      </c>
    </row>
    <row r="3175" ht="15.75" customHeight="1">
      <c r="A3175" s="46" t="s">
        <v>6563</v>
      </c>
      <c r="B3175" s="47" t="s">
        <v>6564</v>
      </c>
      <c r="C3175" s="47">
        <v>70.0</v>
      </c>
      <c r="D3175" s="47">
        <v>59.0</v>
      </c>
      <c r="E3175" s="47" t="s">
        <v>11</v>
      </c>
      <c r="F3175" s="47" t="s">
        <v>11</v>
      </c>
    </row>
    <row r="3176" ht="15.75" customHeight="1">
      <c r="A3176" s="46" t="s">
        <v>6565</v>
      </c>
      <c r="B3176" s="47" t="s">
        <v>6566</v>
      </c>
      <c r="C3176" s="47">
        <v>114.0</v>
      </c>
      <c r="D3176" s="47">
        <v>110.0</v>
      </c>
      <c r="E3176" s="47">
        <v>26040.0</v>
      </c>
      <c r="F3176" s="47" t="s">
        <v>11</v>
      </c>
    </row>
    <row r="3177" ht="15.75" customHeight="1">
      <c r="A3177" s="46" t="s">
        <v>6567</v>
      </c>
      <c r="B3177" s="47" t="s">
        <v>6568</v>
      </c>
      <c r="C3177" s="47">
        <v>603.0</v>
      </c>
      <c r="D3177" s="47">
        <v>548.0</v>
      </c>
      <c r="E3177" s="47">
        <v>29240.0</v>
      </c>
      <c r="F3177" s="47" t="s">
        <v>11</v>
      </c>
    </row>
    <row r="3178" ht="15.75" customHeight="1">
      <c r="A3178" s="46" t="s">
        <v>6569</v>
      </c>
      <c r="B3178" s="47" t="s">
        <v>6570</v>
      </c>
      <c r="C3178" s="47">
        <v>535.0</v>
      </c>
      <c r="D3178" s="47">
        <v>546.0</v>
      </c>
      <c r="E3178" s="47">
        <v>24680.0</v>
      </c>
      <c r="F3178" s="47" t="s">
        <v>11</v>
      </c>
    </row>
    <row r="3179" ht="15.75" customHeight="1">
      <c r="A3179" s="46" t="s">
        <v>6571</v>
      </c>
      <c r="B3179" s="47" t="s">
        <v>6572</v>
      </c>
      <c r="C3179" s="47">
        <v>518.0</v>
      </c>
      <c r="D3179" s="47">
        <v>513.0</v>
      </c>
      <c r="E3179" s="47">
        <v>31200.0</v>
      </c>
      <c r="F3179" s="47" t="s">
        <v>11</v>
      </c>
    </row>
    <row r="3180" ht="15.75" customHeight="1">
      <c r="A3180" s="46" t="s">
        <v>6573</v>
      </c>
      <c r="B3180" s="47" t="s">
        <v>6574</v>
      </c>
      <c r="C3180" s="47">
        <v>83.0</v>
      </c>
      <c r="D3180" s="47">
        <v>75.0</v>
      </c>
      <c r="E3180" s="47" t="s">
        <v>11</v>
      </c>
      <c r="F3180" s="47" t="s">
        <v>11</v>
      </c>
    </row>
    <row r="3181" ht="15.75" customHeight="1">
      <c r="A3181" s="46" t="s">
        <v>6575</v>
      </c>
      <c r="B3181" s="47" t="s">
        <v>6576</v>
      </c>
      <c r="C3181" s="47">
        <v>272.0</v>
      </c>
      <c r="D3181" s="47">
        <v>250.0</v>
      </c>
      <c r="E3181" s="47">
        <v>26670.0</v>
      </c>
      <c r="F3181" s="47" t="s">
        <v>11</v>
      </c>
    </row>
    <row r="3182" ht="15.75" customHeight="1">
      <c r="A3182" s="46" t="s">
        <v>6577</v>
      </c>
      <c r="B3182" s="47" t="s">
        <v>6578</v>
      </c>
      <c r="C3182" s="47">
        <v>745.0</v>
      </c>
      <c r="D3182" s="47">
        <v>688.0</v>
      </c>
      <c r="E3182" s="47">
        <v>24770.0</v>
      </c>
      <c r="F3182" s="47" t="s">
        <v>11</v>
      </c>
    </row>
    <row r="3183" ht="15.75" customHeight="1">
      <c r="A3183" s="46" t="s">
        <v>6579</v>
      </c>
      <c r="B3183" s="47" t="s">
        <v>6580</v>
      </c>
      <c r="C3183" s="47">
        <v>206.0</v>
      </c>
      <c r="D3183" s="47">
        <v>223.0</v>
      </c>
      <c r="E3183" s="47">
        <v>23900.0</v>
      </c>
      <c r="F3183" s="47" t="s">
        <v>11</v>
      </c>
    </row>
    <row r="3184" ht="15.75" customHeight="1">
      <c r="A3184" s="46" t="s">
        <v>6581</v>
      </c>
      <c r="B3184" s="47" t="s">
        <v>6582</v>
      </c>
      <c r="C3184" s="47">
        <v>103.0</v>
      </c>
      <c r="D3184" s="47">
        <v>90.0</v>
      </c>
      <c r="E3184" s="47" t="s">
        <v>11</v>
      </c>
      <c r="F3184" s="47" t="s">
        <v>11</v>
      </c>
    </row>
    <row r="3185" ht="15.75" customHeight="1">
      <c r="A3185" s="46" t="s">
        <v>6583</v>
      </c>
      <c r="B3185" s="47" t="s">
        <v>6584</v>
      </c>
      <c r="C3185" s="47">
        <v>121.0</v>
      </c>
      <c r="D3185" s="47">
        <v>123.0</v>
      </c>
      <c r="E3185" s="47">
        <v>24590.0</v>
      </c>
      <c r="F3185" s="47" t="s">
        <v>11</v>
      </c>
    </row>
    <row r="3186" ht="15.75" customHeight="1">
      <c r="A3186" s="46" t="s">
        <v>6585</v>
      </c>
      <c r="B3186" s="47" t="s">
        <v>6586</v>
      </c>
      <c r="C3186" s="47">
        <v>2477.0</v>
      </c>
      <c r="D3186" s="47">
        <v>2316.0</v>
      </c>
      <c r="E3186" s="47">
        <v>23120.0</v>
      </c>
      <c r="F3186" s="47">
        <v>19.0</v>
      </c>
    </row>
    <row r="3187" ht="15.75" customHeight="1">
      <c r="A3187" s="46" t="s">
        <v>6587</v>
      </c>
      <c r="B3187" s="47" t="s">
        <v>6588</v>
      </c>
      <c r="C3187" s="47">
        <v>266.0</v>
      </c>
      <c r="D3187" s="47">
        <v>278.0</v>
      </c>
      <c r="E3187" s="47">
        <v>24080.0</v>
      </c>
      <c r="F3187" s="47" t="s">
        <v>11</v>
      </c>
    </row>
    <row r="3188" ht="15.75" customHeight="1">
      <c r="A3188" s="46" t="s">
        <v>6589</v>
      </c>
      <c r="B3188" s="47" t="s">
        <v>6590</v>
      </c>
      <c r="C3188" s="47">
        <v>531.0</v>
      </c>
      <c r="D3188" s="47">
        <v>526.0</v>
      </c>
      <c r="E3188" s="47">
        <v>24570.0</v>
      </c>
      <c r="F3188" s="47" t="s">
        <v>11</v>
      </c>
    </row>
    <row r="3189" ht="15.75" customHeight="1">
      <c r="A3189" s="46" t="s">
        <v>6591</v>
      </c>
      <c r="B3189" s="47" t="s">
        <v>6592</v>
      </c>
      <c r="C3189" s="47">
        <v>276.0</v>
      </c>
      <c r="D3189" s="47">
        <v>272.0</v>
      </c>
      <c r="E3189" s="47">
        <v>25660.0</v>
      </c>
      <c r="F3189" s="47" t="s">
        <v>11</v>
      </c>
    </row>
    <row r="3190" ht="15.75" customHeight="1">
      <c r="A3190" s="46" t="s">
        <v>6593</v>
      </c>
      <c r="B3190" s="47" t="s">
        <v>6594</v>
      </c>
      <c r="C3190" s="47">
        <v>2083.0</v>
      </c>
      <c r="D3190" s="47">
        <v>1969.0</v>
      </c>
      <c r="E3190" s="47">
        <v>21400.0</v>
      </c>
      <c r="F3190" s="47">
        <v>22.0</v>
      </c>
    </row>
    <row r="3191" ht="15.75" customHeight="1">
      <c r="A3191" s="46" t="s">
        <v>6595</v>
      </c>
      <c r="B3191" s="47" t="s">
        <v>6596</v>
      </c>
      <c r="C3191" s="47">
        <v>659.0</v>
      </c>
      <c r="D3191" s="47">
        <v>699.0</v>
      </c>
      <c r="E3191" s="47">
        <v>27920.0</v>
      </c>
      <c r="F3191" s="47" t="s">
        <v>11</v>
      </c>
    </row>
    <row r="3192" ht="15.75" customHeight="1">
      <c r="A3192" s="46" t="s">
        <v>6597</v>
      </c>
      <c r="B3192" s="47" t="s">
        <v>6598</v>
      </c>
      <c r="C3192" s="47">
        <v>581.0</v>
      </c>
      <c r="D3192" s="47">
        <v>570.0</v>
      </c>
      <c r="E3192" s="47">
        <v>27760.0</v>
      </c>
      <c r="F3192" s="47" t="s">
        <v>11</v>
      </c>
    </row>
    <row r="3193" ht="15.75" customHeight="1">
      <c r="A3193" s="46" t="s">
        <v>6599</v>
      </c>
      <c r="B3193" s="47" t="s">
        <v>6600</v>
      </c>
      <c r="C3193" s="47">
        <v>73.0</v>
      </c>
      <c r="D3193" s="47">
        <v>60.0</v>
      </c>
      <c r="E3193" s="47" t="s">
        <v>11</v>
      </c>
      <c r="F3193" s="47" t="s">
        <v>11</v>
      </c>
    </row>
    <row r="3194" ht="15.75" customHeight="1">
      <c r="A3194" s="46" t="s">
        <v>6601</v>
      </c>
      <c r="B3194" s="47" t="s">
        <v>6602</v>
      </c>
      <c r="C3194" s="47">
        <v>1252.0</v>
      </c>
      <c r="D3194" s="47">
        <v>1190.0</v>
      </c>
      <c r="E3194" s="47">
        <v>23670.0</v>
      </c>
      <c r="F3194" s="47" t="s">
        <v>11</v>
      </c>
    </row>
    <row r="3195" ht="15.75" customHeight="1">
      <c r="A3195" s="46" t="s">
        <v>6603</v>
      </c>
      <c r="B3195" s="47" t="s">
        <v>6604</v>
      </c>
      <c r="C3195" s="47">
        <v>183.0</v>
      </c>
      <c r="D3195" s="47">
        <v>169.0</v>
      </c>
      <c r="E3195" s="47">
        <v>27420.0</v>
      </c>
      <c r="F3195" s="47" t="s">
        <v>11</v>
      </c>
    </row>
    <row r="3196" ht="15.75" customHeight="1">
      <c r="A3196" s="46" t="s">
        <v>6605</v>
      </c>
      <c r="B3196" s="47" t="s">
        <v>6606</v>
      </c>
      <c r="C3196" s="47">
        <v>171.0</v>
      </c>
      <c r="D3196" s="47">
        <v>172.0</v>
      </c>
      <c r="E3196" s="47">
        <v>25960.0</v>
      </c>
      <c r="F3196" s="47" t="s">
        <v>11</v>
      </c>
    </row>
    <row r="3197" ht="15.75" customHeight="1">
      <c r="A3197" s="46" t="s">
        <v>6607</v>
      </c>
      <c r="B3197" s="47" t="s">
        <v>6608</v>
      </c>
      <c r="C3197" s="47">
        <v>119.0</v>
      </c>
      <c r="D3197" s="47">
        <v>158.0</v>
      </c>
      <c r="E3197" s="47">
        <v>24560.0</v>
      </c>
      <c r="F3197" s="47" t="s">
        <v>11</v>
      </c>
    </row>
    <row r="3198" ht="15.75" customHeight="1">
      <c r="A3198" s="46" t="s">
        <v>6609</v>
      </c>
      <c r="B3198" s="47" t="s">
        <v>6610</v>
      </c>
      <c r="C3198" s="47">
        <v>134.0</v>
      </c>
      <c r="D3198" s="47">
        <v>152.0</v>
      </c>
      <c r="E3198" s="47">
        <v>25150.0</v>
      </c>
      <c r="F3198" s="47" t="s">
        <v>11</v>
      </c>
    </row>
    <row r="3199" ht="15.75" customHeight="1">
      <c r="A3199" s="46" t="s">
        <v>6611</v>
      </c>
      <c r="B3199" s="47" t="s">
        <v>6612</v>
      </c>
      <c r="C3199" s="47">
        <v>152.0</v>
      </c>
      <c r="D3199" s="47">
        <v>147.0</v>
      </c>
      <c r="E3199" s="47">
        <v>26170.0</v>
      </c>
      <c r="F3199" s="47" t="s">
        <v>11</v>
      </c>
    </row>
    <row r="3200" ht="15.75" customHeight="1">
      <c r="A3200" s="46" t="s">
        <v>6613</v>
      </c>
      <c r="B3200" s="47" t="s">
        <v>6614</v>
      </c>
      <c r="C3200" s="47">
        <v>238.0</v>
      </c>
      <c r="D3200" s="47">
        <v>240.0</v>
      </c>
      <c r="E3200" s="47">
        <v>22260.0</v>
      </c>
      <c r="F3200" s="47" t="s">
        <v>11</v>
      </c>
    </row>
    <row r="3201" ht="15.75" customHeight="1">
      <c r="A3201" s="46" t="s">
        <v>6615</v>
      </c>
      <c r="B3201" s="47" t="s">
        <v>6616</v>
      </c>
      <c r="C3201" s="47">
        <v>34.0</v>
      </c>
      <c r="D3201" s="47">
        <v>30.0</v>
      </c>
      <c r="E3201" s="47" t="s">
        <v>11</v>
      </c>
      <c r="F3201" s="47" t="s">
        <v>11</v>
      </c>
    </row>
    <row r="3202" ht="15.75" customHeight="1">
      <c r="A3202" s="46" t="s">
        <v>6617</v>
      </c>
      <c r="B3202" s="47" t="s">
        <v>6618</v>
      </c>
      <c r="C3202" s="47">
        <v>370.0</v>
      </c>
      <c r="D3202" s="47">
        <v>376.0</v>
      </c>
      <c r="E3202" s="47">
        <v>29550.0</v>
      </c>
      <c r="F3202" s="47" t="s">
        <v>11</v>
      </c>
    </row>
    <row r="3203" ht="15.75" customHeight="1">
      <c r="A3203" s="46" t="s">
        <v>6619</v>
      </c>
      <c r="B3203" s="47" t="s">
        <v>6620</v>
      </c>
      <c r="C3203" s="47">
        <v>546.0</v>
      </c>
      <c r="D3203" s="47">
        <v>516.0</v>
      </c>
      <c r="E3203" s="47">
        <v>27010.0</v>
      </c>
      <c r="F3203" s="47" t="s">
        <v>11</v>
      </c>
    </row>
    <row r="3204" ht="15.75" customHeight="1">
      <c r="A3204" s="46" t="s">
        <v>6621</v>
      </c>
      <c r="B3204" s="47" t="s">
        <v>6622</v>
      </c>
      <c r="C3204" s="47">
        <v>229.0</v>
      </c>
      <c r="D3204" s="47">
        <v>220.0</v>
      </c>
      <c r="E3204" s="47">
        <v>25620.0</v>
      </c>
      <c r="F3204" s="47" t="s">
        <v>11</v>
      </c>
    </row>
    <row r="3205" ht="15.75" customHeight="1">
      <c r="A3205" s="46" t="s">
        <v>6623</v>
      </c>
      <c r="B3205" s="47" t="s">
        <v>6624</v>
      </c>
      <c r="C3205" s="47">
        <v>49.0</v>
      </c>
      <c r="D3205" s="47">
        <v>45.0</v>
      </c>
      <c r="E3205" s="47" t="s">
        <v>11</v>
      </c>
      <c r="F3205" s="47" t="s">
        <v>11</v>
      </c>
    </row>
    <row r="3206" ht="15.75" customHeight="1">
      <c r="A3206" s="46" t="s">
        <v>6625</v>
      </c>
      <c r="B3206" s="47" t="s">
        <v>6626</v>
      </c>
      <c r="C3206" s="47">
        <v>340.0</v>
      </c>
      <c r="D3206" s="47">
        <v>387.0</v>
      </c>
      <c r="E3206" s="47">
        <v>29570.0</v>
      </c>
      <c r="F3206" s="47" t="s">
        <v>11</v>
      </c>
    </row>
    <row r="3207" ht="15.75" customHeight="1">
      <c r="A3207" s="46" t="s">
        <v>6627</v>
      </c>
      <c r="B3207" s="47" t="s">
        <v>6628</v>
      </c>
      <c r="C3207" s="47">
        <v>88.0</v>
      </c>
      <c r="D3207" s="47">
        <v>80.0</v>
      </c>
      <c r="E3207" s="47" t="s">
        <v>11</v>
      </c>
      <c r="F3207" s="47" t="s">
        <v>11</v>
      </c>
    </row>
    <row r="3208" ht="15.75" customHeight="1">
      <c r="A3208" s="46" t="s">
        <v>6629</v>
      </c>
      <c r="B3208" s="47" t="s">
        <v>6630</v>
      </c>
      <c r="C3208" s="47">
        <v>765.0</v>
      </c>
      <c r="D3208" s="47">
        <v>757.0</v>
      </c>
      <c r="E3208" s="47">
        <v>23270.0</v>
      </c>
      <c r="F3208" s="47" t="s">
        <v>11</v>
      </c>
    </row>
    <row r="3209" ht="15.75" customHeight="1">
      <c r="A3209" s="46" t="s">
        <v>6631</v>
      </c>
      <c r="B3209" s="47" t="s">
        <v>6632</v>
      </c>
      <c r="C3209" s="47">
        <v>916.0</v>
      </c>
      <c r="D3209" s="47">
        <v>865.0</v>
      </c>
      <c r="E3209" s="47">
        <v>23700.0</v>
      </c>
      <c r="F3209" s="47" t="s">
        <v>11</v>
      </c>
    </row>
    <row r="3210" ht="15.75" customHeight="1">
      <c r="A3210" s="46" t="s">
        <v>6633</v>
      </c>
      <c r="B3210" s="47" t="s">
        <v>6634</v>
      </c>
      <c r="C3210" s="47">
        <v>118.0</v>
      </c>
      <c r="D3210" s="47">
        <v>122.0</v>
      </c>
      <c r="E3210" s="47">
        <v>26270.0</v>
      </c>
      <c r="F3210" s="47" t="s">
        <v>11</v>
      </c>
    </row>
    <row r="3211" ht="15.75" customHeight="1">
      <c r="A3211" s="46" t="s">
        <v>6635</v>
      </c>
      <c r="B3211" s="47" t="s">
        <v>6636</v>
      </c>
      <c r="C3211" s="47">
        <v>364.0</v>
      </c>
      <c r="D3211" s="47">
        <v>305.0</v>
      </c>
      <c r="E3211" s="47">
        <v>26730.0</v>
      </c>
      <c r="F3211" s="47" t="s">
        <v>11</v>
      </c>
    </row>
    <row r="3212" ht="15.75" customHeight="1">
      <c r="A3212" s="46" t="s">
        <v>6637</v>
      </c>
      <c r="B3212" s="47" t="s">
        <v>3443</v>
      </c>
      <c r="C3212" s="47">
        <v>211.0</v>
      </c>
      <c r="D3212" s="47">
        <v>210.0</v>
      </c>
      <c r="E3212" s="47">
        <v>23220.0</v>
      </c>
      <c r="F3212" s="47" t="s">
        <v>11</v>
      </c>
    </row>
    <row r="3213" ht="15.75" customHeight="1">
      <c r="A3213" s="46" t="s">
        <v>6638</v>
      </c>
      <c r="B3213" s="47" t="s">
        <v>6639</v>
      </c>
      <c r="C3213" s="47">
        <v>153.0</v>
      </c>
      <c r="D3213" s="47">
        <v>149.0</v>
      </c>
      <c r="E3213" s="47">
        <v>27220.0</v>
      </c>
      <c r="F3213" s="47" t="s">
        <v>11</v>
      </c>
    </row>
    <row r="3214" ht="15.75" customHeight="1">
      <c r="A3214" s="46" t="s">
        <v>6640</v>
      </c>
      <c r="B3214" s="47" t="s">
        <v>6641</v>
      </c>
      <c r="C3214" s="47">
        <v>1735.0</v>
      </c>
      <c r="D3214" s="47">
        <v>1660.0</v>
      </c>
      <c r="E3214" s="47">
        <v>24150.0</v>
      </c>
      <c r="F3214" s="47" t="s">
        <v>11</v>
      </c>
    </row>
    <row r="3215" ht="15.75" customHeight="1">
      <c r="A3215" s="46" t="s">
        <v>6642</v>
      </c>
      <c r="B3215" s="47" t="s">
        <v>6643</v>
      </c>
      <c r="C3215" s="47">
        <v>6283.0</v>
      </c>
      <c r="D3215" s="47">
        <v>5982.0</v>
      </c>
      <c r="E3215" s="47">
        <v>24450.0</v>
      </c>
      <c r="F3215" s="47">
        <v>16.0</v>
      </c>
    </row>
    <row r="3216" ht="15.75" customHeight="1">
      <c r="A3216" s="46" t="s">
        <v>6644</v>
      </c>
      <c r="B3216" s="47" t="s">
        <v>6645</v>
      </c>
      <c r="C3216" s="47">
        <v>576.0</v>
      </c>
      <c r="D3216" s="47">
        <v>566.0</v>
      </c>
      <c r="E3216" s="47">
        <v>30570.0</v>
      </c>
      <c r="F3216" s="47" t="s">
        <v>11</v>
      </c>
    </row>
    <row r="3217" ht="15.75" customHeight="1">
      <c r="A3217" s="46" t="s">
        <v>6646</v>
      </c>
      <c r="B3217" s="47" t="s">
        <v>6647</v>
      </c>
      <c r="C3217" s="47">
        <v>332.0</v>
      </c>
      <c r="D3217" s="47">
        <v>313.0</v>
      </c>
      <c r="E3217" s="47">
        <v>23880.0</v>
      </c>
      <c r="F3217" s="47" t="s">
        <v>11</v>
      </c>
    </row>
    <row r="3218" ht="15.75" customHeight="1">
      <c r="A3218" s="46" t="s">
        <v>6648</v>
      </c>
      <c r="B3218" s="47" t="s">
        <v>6649</v>
      </c>
      <c r="C3218" s="47">
        <v>231.0</v>
      </c>
      <c r="D3218" s="47">
        <v>214.0</v>
      </c>
      <c r="E3218" s="47">
        <v>21050.0</v>
      </c>
      <c r="F3218" s="47" t="s">
        <v>11</v>
      </c>
    </row>
    <row r="3219" ht="15.75" customHeight="1">
      <c r="A3219" s="46" t="s">
        <v>6650</v>
      </c>
      <c r="B3219" s="47" t="s">
        <v>6651</v>
      </c>
      <c r="C3219" s="47">
        <v>154.0</v>
      </c>
      <c r="D3219" s="47">
        <v>152.0</v>
      </c>
      <c r="E3219" s="47">
        <v>26220.0</v>
      </c>
      <c r="F3219" s="47" t="s">
        <v>11</v>
      </c>
    </row>
    <row r="3220" ht="15.75" customHeight="1">
      <c r="A3220" s="46" t="s">
        <v>6652</v>
      </c>
      <c r="B3220" s="47" t="s">
        <v>6653</v>
      </c>
      <c r="C3220" s="47">
        <v>82.0</v>
      </c>
      <c r="D3220" s="47">
        <v>69.0</v>
      </c>
      <c r="E3220" s="47" t="s">
        <v>11</v>
      </c>
      <c r="F3220" s="47" t="s">
        <v>11</v>
      </c>
    </row>
    <row r="3221" ht="15.75" customHeight="1">
      <c r="A3221" s="46" t="s">
        <v>6654</v>
      </c>
      <c r="B3221" s="47" t="s">
        <v>6655</v>
      </c>
      <c r="C3221" s="47">
        <v>139.0</v>
      </c>
      <c r="D3221" s="47">
        <v>164.0</v>
      </c>
      <c r="E3221" s="47">
        <v>26350.0</v>
      </c>
      <c r="F3221" s="47" t="s">
        <v>11</v>
      </c>
    </row>
    <row r="3222" ht="15.75" customHeight="1">
      <c r="A3222" s="46" t="s">
        <v>6656</v>
      </c>
      <c r="B3222" s="47" t="s">
        <v>6657</v>
      </c>
      <c r="C3222" s="47">
        <v>69.0</v>
      </c>
      <c r="D3222" s="47">
        <v>65.0</v>
      </c>
      <c r="E3222" s="47" t="s">
        <v>11</v>
      </c>
      <c r="F3222" s="47" t="s">
        <v>11</v>
      </c>
    </row>
    <row r="3223" ht="15.75" customHeight="1">
      <c r="A3223" s="46" t="s">
        <v>6658</v>
      </c>
      <c r="B3223" s="47" t="s">
        <v>6659</v>
      </c>
      <c r="C3223" s="47">
        <v>102.0</v>
      </c>
      <c r="D3223" s="47">
        <v>99.0</v>
      </c>
      <c r="E3223" s="47" t="s">
        <v>11</v>
      </c>
      <c r="F3223" s="47" t="s">
        <v>11</v>
      </c>
    </row>
    <row r="3224" ht="15.75" customHeight="1">
      <c r="A3224" s="46" t="s">
        <v>6660</v>
      </c>
      <c r="B3224" s="47" t="s">
        <v>6661</v>
      </c>
      <c r="C3224" s="47">
        <v>303.0</v>
      </c>
      <c r="D3224" s="47">
        <v>304.0</v>
      </c>
      <c r="E3224" s="47">
        <v>24600.0</v>
      </c>
      <c r="F3224" s="47" t="s">
        <v>11</v>
      </c>
    </row>
    <row r="3225" ht="15.75" customHeight="1">
      <c r="A3225" s="46" t="s">
        <v>6662</v>
      </c>
      <c r="B3225" s="47" t="s">
        <v>6663</v>
      </c>
      <c r="C3225" s="47">
        <v>1436.0</v>
      </c>
      <c r="D3225" s="47">
        <v>1376.0</v>
      </c>
      <c r="E3225" s="47">
        <v>22980.0</v>
      </c>
      <c r="F3225" s="47" t="s">
        <v>11</v>
      </c>
    </row>
    <row r="3226" ht="15.75" customHeight="1">
      <c r="A3226" s="46" t="s">
        <v>6664</v>
      </c>
      <c r="B3226" s="47" t="s">
        <v>6665</v>
      </c>
      <c r="C3226" s="47">
        <v>121.0</v>
      </c>
      <c r="D3226" s="47">
        <v>115.0</v>
      </c>
      <c r="E3226" s="47" t="s">
        <v>11</v>
      </c>
      <c r="F3226" s="47" t="s">
        <v>11</v>
      </c>
    </row>
    <row r="3227" ht="15.75" customHeight="1">
      <c r="A3227" s="46" t="s">
        <v>6666</v>
      </c>
      <c r="B3227" s="47" t="s">
        <v>6667</v>
      </c>
      <c r="C3227" s="47">
        <v>123.0</v>
      </c>
      <c r="D3227" s="47">
        <v>127.0</v>
      </c>
      <c r="E3227" s="47">
        <v>25390.0</v>
      </c>
      <c r="F3227" s="47" t="s">
        <v>11</v>
      </c>
    </row>
    <row r="3228" ht="15.75" customHeight="1">
      <c r="A3228" s="46" t="s">
        <v>6668</v>
      </c>
      <c r="B3228" s="47" t="s">
        <v>6669</v>
      </c>
      <c r="C3228" s="47">
        <v>190.0</v>
      </c>
      <c r="D3228" s="47">
        <v>186.0</v>
      </c>
      <c r="E3228" s="47">
        <v>34520.0</v>
      </c>
      <c r="F3228" s="47" t="s">
        <v>11</v>
      </c>
    </row>
    <row r="3229" ht="15.75" customHeight="1">
      <c r="A3229" s="46" t="s">
        <v>6670</v>
      </c>
      <c r="B3229" s="47" t="s">
        <v>6671</v>
      </c>
      <c r="C3229" s="47">
        <v>278.0</v>
      </c>
      <c r="D3229" s="47">
        <v>270.0</v>
      </c>
      <c r="E3229" s="47">
        <v>23030.0</v>
      </c>
      <c r="F3229" s="47" t="s">
        <v>11</v>
      </c>
    </row>
    <row r="3230" ht="15.75" customHeight="1">
      <c r="A3230" s="46" t="s">
        <v>6672</v>
      </c>
      <c r="B3230" s="47" t="s">
        <v>6673</v>
      </c>
      <c r="C3230" s="47">
        <v>434.0</v>
      </c>
      <c r="D3230" s="47">
        <v>460.0</v>
      </c>
      <c r="E3230" s="47">
        <v>25900.0</v>
      </c>
      <c r="F3230" s="47" t="s">
        <v>11</v>
      </c>
    </row>
    <row r="3231" ht="15.75" customHeight="1">
      <c r="A3231" s="46" t="s">
        <v>6674</v>
      </c>
      <c r="B3231" s="47" t="s">
        <v>6675</v>
      </c>
      <c r="C3231" s="47">
        <v>2012.0</v>
      </c>
      <c r="D3231" s="47">
        <v>1958.0</v>
      </c>
      <c r="E3231" s="47">
        <v>23600.0</v>
      </c>
      <c r="F3231" s="47" t="s">
        <v>11</v>
      </c>
    </row>
    <row r="3232" ht="15.75" customHeight="1">
      <c r="A3232" s="46" t="s">
        <v>6676</v>
      </c>
      <c r="B3232" s="47" t="s">
        <v>6677</v>
      </c>
      <c r="C3232" s="47">
        <v>346.0</v>
      </c>
      <c r="D3232" s="47">
        <v>374.0</v>
      </c>
      <c r="E3232" s="47">
        <v>26280.0</v>
      </c>
      <c r="F3232" s="47" t="s">
        <v>11</v>
      </c>
    </row>
    <row r="3233" ht="15.75" customHeight="1">
      <c r="A3233" s="46" t="s">
        <v>6678</v>
      </c>
      <c r="B3233" s="47" t="s">
        <v>6679</v>
      </c>
      <c r="C3233" s="47">
        <v>298.0</v>
      </c>
      <c r="D3233" s="47">
        <v>281.0</v>
      </c>
      <c r="E3233" s="47">
        <v>24780.0</v>
      </c>
      <c r="F3233" s="47" t="s">
        <v>11</v>
      </c>
    </row>
    <row r="3234" ht="15.75" customHeight="1">
      <c r="A3234" s="46" t="s">
        <v>6680</v>
      </c>
      <c r="B3234" s="47" t="s">
        <v>6681</v>
      </c>
      <c r="C3234" s="47">
        <v>168.0</v>
      </c>
      <c r="D3234" s="47">
        <v>152.0</v>
      </c>
      <c r="E3234" s="47">
        <v>27920.0</v>
      </c>
      <c r="F3234" s="47" t="s">
        <v>11</v>
      </c>
    </row>
    <row r="3235" ht="15.75" customHeight="1">
      <c r="A3235" s="46" t="s">
        <v>6682</v>
      </c>
      <c r="B3235" s="47" t="s">
        <v>6683</v>
      </c>
      <c r="C3235" s="47">
        <v>235.0</v>
      </c>
      <c r="D3235" s="47">
        <v>215.0</v>
      </c>
      <c r="E3235" s="47">
        <v>24560.0</v>
      </c>
      <c r="F3235" s="47" t="s">
        <v>11</v>
      </c>
    </row>
    <row r="3236" ht="15.75" customHeight="1">
      <c r="A3236" s="46" t="s">
        <v>6684</v>
      </c>
      <c r="B3236" s="47" t="s">
        <v>6685</v>
      </c>
      <c r="C3236" s="47">
        <v>155.0</v>
      </c>
      <c r="D3236" s="47">
        <v>150.0</v>
      </c>
      <c r="E3236" s="47">
        <v>27990.0</v>
      </c>
      <c r="F3236" s="47" t="s">
        <v>11</v>
      </c>
    </row>
    <row r="3237" ht="15.75" customHeight="1">
      <c r="A3237" s="46" t="s">
        <v>6686</v>
      </c>
      <c r="B3237" s="47" t="s">
        <v>6687</v>
      </c>
      <c r="C3237" s="47">
        <v>797.0</v>
      </c>
      <c r="D3237" s="47">
        <v>737.0</v>
      </c>
      <c r="E3237" s="47">
        <v>26520.0</v>
      </c>
      <c r="F3237" s="47" t="s">
        <v>11</v>
      </c>
    </row>
    <row r="3238" ht="15.75" customHeight="1">
      <c r="A3238" s="46" t="s">
        <v>6688</v>
      </c>
      <c r="B3238" s="47" t="s">
        <v>6689</v>
      </c>
      <c r="C3238" s="47">
        <v>1246.0</v>
      </c>
      <c r="D3238" s="47">
        <v>1174.0</v>
      </c>
      <c r="E3238" s="47">
        <v>21720.0</v>
      </c>
      <c r="F3238" s="47" t="s">
        <v>11</v>
      </c>
    </row>
    <row r="3239" ht="15.75" customHeight="1">
      <c r="A3239" s="46" t="s">
        <v>6690</v>
      </c>
      <c r="B3239" s="47" t="s">
        <v>6691</v>
      </c>
      <c r="C3239" s="47">
        <v>563.0</v>
      </c>
      <c r="D3239" s="47">
        <v>555.0</v>
      </c>
      <c r="E3239" s="47">
        <v>23580.0</v>
      </c>
      <c r="F3239" s="47" t="s">
        <v>11</v>
      </c>
    </row>
    <row r="3240" ht="15.75" customHeight="1">
      <c r="A3240" s="46" t="s">
        <v>6692</v>
      </c>
      <c r="B3240" s="47" t="s">
        <v>6693</v>
      </c>
      <c r="C3240" s="47">
        <v>493.0</v>
      </c>
      <c r="D3240" s="47">
        <v>524.0</v>
      </c>
      <c r="E3240" s="47">
        <v>27000.0</v>
      </c>
      <c r="F3240" s="47" t="s">
        <v>11</v>
      </c>
    </row>
    <row r="3241" ht="15.75" customHeight="1">
      <c r="A3241" s="46" t="s">
        <v>6694</v>
      </c>
      <c r="B3241" s="47" t="s">
        <v>6695</v>
      </c>
      <c r="C3241" s="47">
        <v>540.0</v>
      </c>
      <c r="D3241" s="47">
        <v>517.0</v>
      </c>
      <c r="E3241" s="47">
        <v>28400.0</v>
      </c>
      <c r="F3241" s="47" t="s">
        <v>11</v>
      </c>
    </row>
    <row r="3242" ht="15.75" customHeight="1">
      <c r="A3242" s="46" t="s">
        <v>6696</v>
      </c>
      <c r="B3242" s="47" t="s">
        <v>6697</v>
      </c>
      <c r="C3242" s="47">
        <v>50.0</v>
      </c>
      <c r="D3242" s="47">
        <v>59.0</v>
      </c>
      <c r="E3242" s="47" t="s">
        <v>11</v>
      </c>
      <c r="F3242" s="47" t="s">
        <v>11</v>
      </c>
    </row>
    <row r="3243" ht="15.75" customHeight="1">
      <c r="A3243" s="46" t="s">
        <v>6698</v>
      </c>
      <c r="B3243" s="47" t="s">
        <v>6699</v>
      </c>
      <c r="C3243" s="47">
        <v>1427.0</v>
      </c>
      <c r="D3243" s="47">
        <v>1389.0</v>
      </c>
      <c r="E3243" s="47">
        <v>26280.0</v>
      </c>
      <c r="F3243" s="47" t="s">
        <v>11</v>
      </c>
    </row>
    <row r="3244" ht="15.75" customHeight="1">
      <c r="A3244" s="46" t="s">
        <v>6700</v>
      </c>
      <c r="B3244" s="47" t="s">
        <v>6701</v>
      </c>
      <c r="C3244" s="47">
        <v>1094.0</v>
      </c>
      <c r="D3244" s="47">
        <v>1081.0</v>
      </c>
      <c r="E3244" s="47">
        <v>23650.0</v>
      </c>
      <c r="F3244" s="47" t="s">
        <v>11</v>
      </c>
    </row>
    <row r="3245" ht="15.75" customHeight="1">
      <c r="A3245" s="46" t="s">
        <v>6702</v>
      </c>
      <c r="B3245" s="47" t="s">
        <v>6703</v>
      </c>
      <c r="C3245" s="47">
        <v>419.0</v>
      </c>
      <c r="D3245" s="47">
        <v>403.0</v>
      </c>
      <c r="E3245" s="47">
        <v>26830.0</v>
      </c>
      <c r="F3245" s="47" t="s">
        <v>11</v>
      </c>
    </row>
    <row r="3246" ht="15.75" customHeight="1">
      <c r="A3246" s="46" t="s">
        <v>6704</v>
      </c>
      <c r="B3246" s="47" t="s">
        <v>6705</v>
      </c>
      <c r="C3246" s="47">
        <v>45.0</v>
      </c>
      <c r="D3246" s="47">
        <v>44.0</v>
      </c>
      <c r="E3246" s="47" t="s">
        <v>11</v>
      </c>
      <c r="F3246" s="47" t="s">
        <v>11</v>
      </c>
    </row>
    <row r="3247" ht="15.75" customHeight="1">
      <c r="A3247" s="46" t="s">
        <v>6706</v>
      </c>
      <c r="B3247" s="47" t="s">
        <v>6707</v>
      </c>
      <c r="C3247" s="47">
        <v>177.0</v>
      </c>
      <c r="D3247" s="47">
        <v>168.0</v>
      </c>
      <c r="E3247" s="47">
        <v>25110.0</v>
      </c>
      <c r="F3247" s="47" t="s">
        <v>11</v>
      </c>
    </row>
    <row r="3248" ht="15.75" customHeight="1">
      <c r="A3248" s="46" t="s">
        <v>6708</v>
      </c>
      <c r="B3248" s="47" t="s">
        <v>6709</v>
      </c>
      <c r="C3248" s="47">
        <v>302.0</v>
      </c>
      <c r="D3248" s="47">
        <v>287.0</v>
      </c>
      <c r="E3248" s="47">
        <v>24920.0</v>
      </c>
      <c r="F3248" s="47" t="s">
        <v>11</v>
      </c>
    </row>
    <row r="3249" ht="15.75" customHeight="1">
      <c r="A3249" s="46" t="s">
        <v>6710</v>
      </c>
      <c r="B3249" s="47" t="s">
        <v>6711</v>
      </c>
      <c r="C3249" s="47">
        <v>350.0</v>
      </c>
      <c r="D3249" s="47">
        <v>346.0</v>
      </c>
      <c r="E3249" s="47">
        <v>27960.0</v>
      </c>
      <c r="F3249" s="47" t="s">
        <v>11</v>
      </c>
    </row>
    <row r="3250" ht="15.75" customHeight="1">
      <c r="A3250" s="46" t="s">
        <v>6712</v>
      </c>
      <c r="B3250" s="47" t="s">
        <v>6713</v>
      </c>
      <c r="C3250" s="47">
        <v>706.0</v>
      </c>
      <c r="D3250" s="47">
        <v>709.0</v>
      </c>
      <c r="E3250" s="47">
        <v>23400.0</v>
      </c>
      <c r="F3250" s="47" t="s">
        <v>11</v>
      </c>
    </row>
    <row r="3251" ht="15.75" customHeight="1">
      <c r="A3251" s="46" t="s">
        <v>6714</v>
      </c>
      <c r="B3251" s="47" t="s">
        <v>6715</v>
      </c>
      <c r="C3251" s="47">
        <v>401.0</v>
      </c>
      <c r="D3251" s="47">
        <v>417.0</v>
      </c>
      <c r="E3251" s="47">
        <v>21920.0</v>
      </c>
      <c r="F3251" s="47" t="s">
        <v>11</v>
      </c>
    </row>
    <row r="3252" ht="15.75" customHeight="1">
      <c r="A3252" s="46" t="s">
        <v>6716</v>
      </c>
      <c r="B3252" s="47" t="s">
        <v>6717</v>
      </c>
      <c r="C3252" s="47">
        <v>311.0</v>
      </c>
      <c r="D3252" s="47">
        <v>308.0</v>
      </c>
      <c r="E3252" s="47">
        <v>25870.0</v>
      </c>
      <c r="F3252" s="47" t="s">
        <v>11</v>
      </c>
    </row>
    <row r="3253" ht="15.75" customHeight="1">
      <c r="A3253" s="46" t="s">
        <v>6718</v>
      </c>
      <c r="B3253" s="47" t="s">
        <v>6719</v>
      </c>
      <c r="C3253" s="47">
        <v>350.0</v>
      </c>
      <c r="D3253" s="47">
        <v>333.0</v>
      </c>
      <c r="E3253" s="47">
        <v>27440.0</v>
      </c>
      <c r="F3253" s="47" t="s">
        <v>11</v>
      </c>
    </row>
    <row r="3254" ht="15.75" customHeight="1">
      <c r="A3254" s="46" t="s">
        <v>6720</v>
      </c>
      <c r="B3254" s="47" t="s">
        <v>6721</v>
      </c>
      <c r="C3254" s="47">
        <v>339.0</v>
      </c>
      <c r="D3254" s="47">
        <v>363.0</v>
      </c>
      <c r="E3254" s="47">
        <v>23660.0</v>
      </c>
      <c r="F3254" s="47" t="s">
        <v>11</v>
      </c>
    </row>
    <row r="3255" ht="15.75" customHeight="1">
      <c r="A3255" s="46" t="s">
        <v>6722</v>
      </c>
      <c r="B3255" s="47" t="s">
        <v>6723</v>
      </c>
      <c r="C3255" s="47">
        <v>240.0</v>
      </c>
      <c r="D3255" s="47">
        <v>250.0</v>
      </c>
      <c r="E3255" s="47">
        <v>22530.0</v>
      </c>
      <c r="F3255" s="47" t="s">
        <v>11</v>
      </c>
    </row>
    <row r="3256" ht="15.75" customHeight="1">
      <c r="A3256" s="46" t="s">
        <v>6724</v>
      </c>
      <c r="B3256" s="47" t="s">
        <v>6725</v>
      </c>
      <c r="C3256" s="47">
        <v>6106.0</v>
      </c>
      <c r="D3256" s="47">
        <v>5751.0</v>
      </c>
      <c r="E3256" s="47">
        <v>20460.0</v>
      </c>
      <c r="F3256" s="47">
        <v>28.0</v>
      </c>
    </row>
    <row r="3257" ht="15.75" customHeight="1">
      <c r="A3257" s="46" t="s">
        <v>6726</v>
      </c>
      <c r="B3257" s="47" t="s">
        <v>6727</v>
      </c>
      <c r="C3257" s="47">
        <v>1653.0</v>
      </c>
      <c r="D3257" s="47">
        <v>1576.0</v>
      </c>
      <c r="E3257" s="47">
        <v>26330.0</v>
      </c>
      <c r="F3257" s="47" t="s">
        <v>11</v>
      </c>
    </row>
    <row r="3258" ht="15.75" customHeight="1">
      <c r="A3258" s="46" t="s">
        <v>6728</v>
      </c>
      <c r="B3258" s="47" t="s">
        <v>6729</v>
      </c>
      <c r="C3258" s="47">
        <v>92.0</v>
      </c>
      <c r="D3258" s="47">
        <v>78.0</v>
      </c>
      <c r="E3258" s="47" t="s">
        <v>11</v>
      </c>
      <c r="F3258" s="47" t="s">
        <v>11</v>
      </c>
    </row>
    <row r="3259" ht="15.75" customHeight="1">
      <c r="A3259" s="46" t="s">
        <v>6730</v>
      </c>
      <c r="B3259" s="47" t="s">
        <v>6731</v>
      </c>
      <c r="C3259" s="47">
        <v>94.0</v>
      </c>
      <c r="D3259" s="47">
        <v>82.0</v>
      </c>
      <c r="E3259" s="47" t="s">
        <v>11</v>
      </c>
      <c r="F3259" s="47" t="s">
        <v>11</v>
      </c>
    </row>
    <row r="3260" ht="15.75" customHeight="1">
      <c r="A3260" s="46" t="s">
        <v>6732</v>
      </c>
      <c r="B3260" s="47" t="s">
        <v>6733</v>
      </c>
      <c r="C3260" s="47">
        <v>921.0</v>
      </c>
      <c r="D3260" s="47">
        <v>887.0</v>
      </c>
      <c r="E3260" s="47">
        <v>31010.0</v>
      </c>
      <c r="F3260" s="47" t="s">
        <v>11</v>
      </c>
    </row>
    <row r="3261" ht="15.75" customHeight="1">
      <c r="A3261" s="46" t="s">
        <v>6734</v>
      </c>
      <c r="B3261" s="47" t="s">
        <v>777</v>
      </c>
      <c r="C3261" s="47">
        <v>1430.0</v>
      </c>
      <c r="D3261" s="47">
        <v>1441.0</v>
      </c>
      <c r="E3261" s="47">
        <v>38400.0</v>
      </c>
      <c r="F3261" s="47" t="s">
        <v>11</v>
      </c>
    </row>
    <row r="3262" ht="15.75" customHeight="1">
      <c r="A3262" s="46" t="s">
        <v>6735</v>
      </c>
      <c r="B3262" s="47" t="s">
        <v>6736</v>
      </c>
      <c r="C3262" s="47">
        <v>424.0</v>
      </c>
      <c r="D3262" s="47">
        <v>357.0</v>
      </c>
      <c r="E3262" s="47">
        <v>26090.0</v>
      </c>
      <c r="F3262" s="47" t="s">
        <v>11</v>
      </c>
    </row>
    <row r="3263" ht="15.75" customHeight="1">
      <c r="A3263" s="46" t="s">
        <v>6737</v>
      </c>
      <c r="B3263" s="47" t="s">
        <v>6738</v>
      </c>
      <c r="C3263" s="47">
        <v>53.0</v>
      </c>
      <c r="D3263" s="47">
        <v>43.0</v>
      </c>
      <c r="E3263" s="47" t="s">
        <v>11</v>
      </c>
      <c r="F3263" s="47" t="s">
        <v>11</v>
      </c>
    </row>
    <row r="3264" ht="15.75" customHeight="1">
      <c r="A3264" s="46" t="s">
        <v>6739</v>
      </c>
      <c r="B3264" s="47" t="s">
        <v>6740</v>
      </c>
      <c r="C3264" s="47">
        <v>81.0</v>
      </c>
      <c r="D3264" s="47">
        <v>85.0</v>
      </c>
      <c r="E3264" s="47" t="s">
        <v>11</v>
      </c>
      <c r="F3264" s="47" t="s">
        <v>11</v>
      </c>
    </row>
    <row r="3265" ht="15.75" customHeight="1">
      <c r="A3265" s="46" t="s">
        <v>6741</v>
      </c>
      <c r="B3265" s="47" t="s">
        <v>6742</v>
      </c>
      <c r="C3265" s="47">
        <v>557.0</v>
      </c>
      <c r="D3265" s="47">
        <v>560.0</v>
      </c>
      <c r="E3265" s="47">
        <v>23580.0</v>
      </c>
      <c r="F3265" s="47" t="s">
        <v>11</v>
      </c>
    </row>
    <row r="3266" ht="15.75" customHeight="1">
      <c r="A3266" s="46" t="s">
        <v>6743</v>
      </c>
      <c r="B3266" s="47" t="s">
        <v>6744</v>
      </c>
      <c r="C3266" s="47">
        <v>299.0</v>
      </c>
      <c r="D3266" s="47">
        <v>282.0</v>
      </c>
      <c r="E3266" s="47">
        <v>24590.0</v>
      </c>
      <c r="F3266" s="47" t="s">
        <v>11</v>
      </c>
    </row>
    <row r="3267" ht="15.75" customHeight="1">
      <c r="A3267" s="46" t="s">
        <v>6745</v>
      </c>
      <c r="B3267" s="47" t="s">
        <v>6746</v>
      </c>
      <c r="C3267" s="47">
        <v>262.0</v>
      </c>
      <c r="D3267" s="47">
        <v>241.0</v>
      </c>
      <c r="E3267" s="47">
        <v>24640.0</v>
      </c>
      <c r="F3267" s="47" t="s">
        <v>11</v>
      </c>
    </row>
    <row r="3268" ht="15.75" customHeight="1">
      <c r="A3268" s="46" t="s">
        <v>6747</v>
      </c>
      <c r="B3268" s="47" t="s">
        <v>6748</v>
      </c>
      <c r="C3268" s="47">
        <v>544.0</v>
      </c>
      <c r="D3268" s="47">
        <v>510.0</v>
      </c>
      <c r="E3268" s="47">
        <v>27840.0</v>
      </c>
      <c r="F3268" s="47" t="s">
        <v>11</v>
      </c>
    </row>
    <row r="3269" ht="15.75" customHeight="1">
      <c r="A3269" s="46" t="s">
        <v>6749</v>
      </c>
      <c r="B3269" s="47" t="s">
        <v>6750</v>
      </c>
      <c r="C3269" s="47">
        <v>133.0</v>
      </c>
      <c r="D3269" s="47">
        <v>104.0</v>
      </c>
      <c r="E3269" s="47">
        <v>22310.0</v>
      </c>
      <c r="F3269" s="47" t="s">
        <v>11</v>
      </c>
    </row>
    <row r="3270" ht="15.75" customHeight="1">
      <c r="A3270" s="46" t="s">
        <v>6751</v>
      </c>
      <c r="B3270" s="47" t="s">
        <v>6752</v>
      </c>
      <c r="C3270" s="47">
        <v>5.0</v>
      </c>
      <c r="D3270" s="47">
        <v>7.0</v>
      </c>
      <c r="E3270" s="47" t="s">
        <v>11</v>
      </c>
      <c r="F3270" s="47" t="s">
        <v>11</v>
      </c>
    </row>
    <row r="3271" ht="15.75" customHeight="1">
      <c r="A3271" s="46" t="s">
        <v>6753</v>
      </c>
      <c r="B3271" s="47" t="s">
        <v>6754</v>
      </c>
      <c r="C3271" s="47">
        <v>1145.0</v>
      </c>
      <c r="D3271" s="47">
        <v>1099.0</v>
      </c>
      <c r="E3271" s="47">
        <v>22400.0</v>
      </c>
      <c r="F3271" s="47" t="s">
        <v>11</v>
      </c>
    </row>
    <row r="3272" ht="15.75" customHeight="1">
      <c r="A3272" s="46" t="s">
        <v>6755</v>
      </c>
      <c r="B3272" s="47" t="s">
        <v>6756</v>
      </c>
      <c r="C3272" s="47">
        <v>123.0</v>
      </c>
      <c r="D3272" s="47">
        <v>129.0</v>
      </c>
      <c r="E3272" s="47">
        <v>23620.0</v>
      </c>
      <c r="F3272" s="47" t="s">
        <v>11</v>
      </c>
    </row>
    <row r="3273" ht="15.75" customHeight="1">
      <c r="A3273" s="46" t="s">
        <v>6757</v>
      </c>
      <c r="B3273" s="47" t="s">
        <v>6758</v>
      </c>
      <c r="C3273" s="47">
        <v>361.0</v>
      </c>
      <c r="D3273" s="47">
        <v>342.0</v>
      </c>
      <c r="E3273" s="47">
        <v>27180.0</v>
      </c>
      <c r="F3273" s="47" t="s">
        <v>11</v>
      </c>
    </row>
    <row r="3274" ht="15.75" customHeight="1">
      <c r="A3274" s="46" t="s">
        <v>6759</v>
      </c>
      <c r="B3274" s="47" t="s">
        <v>6760</v>
      </c>
      <c r="C3274" s="47">
        <v>1816.0</v>
      </c>
      <c r="D3274" s="47">
        <v>1704.0</v>
      </c>
      <c r="E3274" s="47">
        <v>22880.0</v>
      </c>
      <c r="F3274" s="47" t="s">
        <v>11</v>
      </c>
    </row>
    <row r="3275" ht="15.75" customHeight="1">
      <c r="A3275" s="46" t="s">
        <v>6761</v>
      </c>
      <c r="B3275" s="47" t="s">
        <v>6762</v>
      </c>
      <c r="C3275" s="47">
        <v>298.0</v>
      </c>
      <c r="D3275" s="47">
        <v>300.0</v>
      </c>
      <c r="E3275" s="47">
        <v>24910.0</v>
      </c>
      <c r="F3275" s="47" t="s">
        <v>11</v>
      </c>
    </row>
    <row r="3276" ht="15.75" customHeight="1">
      <c r="A3276" s="46" t="s">
        <v>6763</v>
      </c>
      <c r="B3276" s="47" t="s">
        <v>6764</v>
      </c>
      <c r="C3276" s="47">
        <v>296.0</v>
      </c>
      <c r="D3276" s="47">
        <v>276.0</v>
      </c>
      <c r="E3276" s="47">
        <v>27370.0</v>
      </c>
      <c r="F3276" s="47" t="s">
        <v>11</v>
      </c>
    </row>
    <row r="3277" ht="15.75" customHeight="1">
      <c r="A3277" s="46" t="s">
        <v>6765</v>
      </c>
      <c r="B3277" s="47" t="s">
        <v>6766</v>
      </c>
      <c r="C3277" s="47">
        <v>187.0</v>
      </c>
      <c r="D3277" s="47">
        <v>201.0</v>
      </c>
      <c r="E3277" s="47">
        <v>25970.0</v>
      </c>
      <c r="F3277" s="47" t="s">
        <v>11</v>
      </c>
    </row>
    <row r="3278" ht="15.75" customHeight="1">
      <c r="A3278" s="46" t="s">
        <v>6767</v>
      </c>
      <c r="B3278" s="47" t="s">
        <v>6768</v>
      </c>
      <c r="C3278" s="47">
        <v>785.0</v>
      </c>
      <c r="D3278" s="47">
        <v>751.0</v>
      </c>
      <c r="E3278" s="47">
        <v>24060.0</v>
      </c>
      <c r="F3278" s="47" t="s">
        <v>11</v>
      </c>
    </row>
    <row r="3279" ht="15.75" customHeight="1">
      <c r="A3279" s="46" t="s">
        <v>6769</v>
      </c>
      <c r="B3279" s="47" t="s">
        <v>6770</v>
      </c>
      <c r="C3279" s="47">
        <v>122.0</v>
      </c>
      <c r="D3279" s="47">
        <v>132.0</v>
      </c>
      <c r="E3279" s="47">
        <v>21770.0</v>
      </c>
      <c r="F3279" s="47" t="s">
        <v>11</v>
      </c>
    </row>
    <row r="3280" ht="15.75" customHeight="1">
      <c r="A3280" s="46" t="s">
        <v>6771</v>
      </c>
      <c r="B3280" s="47" t="s">
        <v>6772</v>
      </c>
      <c r="C3280" s="47">
        <v>180.0</v>
      </c>
      <c r="D3280" s="47">
        <v>159.0</v>
      </c>
      <c r="E3280" s="47">
        <v>26360.0</v>
      </c>
      <c r="F3280" s="47" t="s">
        <v>11</v>
      </c>
    </row>
    <row r="3281" ht="15.75" customHeight="1">
      <c r="A3281" s="46" t="s">
        <v>6773</v>
      </c>
      <c r="B3281" s="47" t="s">
        <v>6774</v>
      </c>
      <c r="C3281" s="47">
        <v>511.0</v>
      </c>
      <c r="D3281" s="47">
        <v>504.0</v>
      </c>
      <c r="E3281" s="47">
        <v>25760.0</v>
      </c>
      <c r="F3281" s="47" t="s">
        <v>11</v>
      </c>
    </row>
    <row r="3282" ht="15.75" customHeight="1">
      <c r="A3282" s="46" t="s">
        <v>6775</v>
      </c>
      <c r="B3282" s="47" t="s">
        <v>6776</v>
      </c>
      <c r="C3282" s="47">
        <v>167.0</v>
      </c>
      <c r="D3282" s="47">
        <v>159.0</v>
      </c>
      <c r="E3282" s="47">
        <v>25470.0</v>
      </c>
      <c r="F3282" s="47" t="s">
        <v>11</v>
      </c>
    </row>
    <row r="3283" ht="15.75" customHeight="1">
      <c r="A3283" s="46" t="s">
        <v>6777</v>
      </c>
      <c r="B3283" s="47" t="s">
        <v>6778</v>
      </c>
      <c r="C3283" s="47">
        <v>767.0</v>
      </c>
      <c r="D3283" s="47">
        <v>715.0</v>
      </c>
      <c r="E3283" s="47">
        <v>23880.0</v>
      </c>
      <c r="F3283" s="47" t="s">
        <v>11</v>
      </c>
    </row>
    <row r="3284" ht="15.75" customHeight="1">
      <c r="A3284" s="46" t="s">
        <v>6779</v>
      </c>
      <c r="B3284" s="47" t="s">
        <v>6780</v>
      </c>
      <c r="C3284" s="47">
        <v>262.0</v>
      </c>
      <c r="D3284" s="47">
        <v>270.0</v>
      </c>
      <c r="E3284" s="47">
        <v>28500.0</v>
      </c>
      <c r="F3284" s="47" t="s">
        <v>11</v>
      </c>
    </row>
    <row r="3285" ht="15.75" customHeight="1">
      <c r="A3285" s="46" t="s">
        <v>6781</v>
      </c>
      <c r="B3285" s="47" t="s">
        <v>6782</v>
      </c>
      <c r="C3285" s="47">
        <v>243.0</v>
      </c>
      <c r="D3285" s="47">
        <v>244.0</v>
      </c>
      <c r="E3285" s="47">
        <v>26470.0</v>
      </c>
      <c r="F3285" s="47" t="s">
        <v>11</v>
      </c>
    </row>
    <row r="3286" ht="15.75" customHeight="1">
      <c r="A3286" s="46" t="s">
        <v>6783</v>
      </c>
      <c r="B3286" s="47" t="s">
        <v>6784</v>
      </c>
      <c r="C3286" s="47">
        <v>330.0</v>
      </c>
      <c r="D3286" s="47">
        <v>379.0</v>
      </c>
      <c r="E3286" s="47">
        <v>24240.0</v>
      </c>
      <c r="F3286" s="47" t="s">
        <v>11</v>
      </c>
    </row>
    <row r="3287" ht="15.75" customHeight="1">
      <c r="A3287" s="46" t="s">
        <v>6785</v>
      </c>
      <c r="B3287" s="47" t="s">
        <v>6786</v>
      </c>
      <c r="C3287" s="47">
        <v>391.0</v>
      </c>
      <c r="D3287" s="47">
        <v>398.0</v>
      </c>
      <c r="E3287" s="47">
        <v>22130.0</v>
      </c>
      <c r="F3287" s="47" t="s">
        <v>11</v>
      </c>
    </row>
    <row r="3288" ht="15.75" customHeight="1">
      <c r="A3288" s="46" t="s">
        <v>6787</v>
      </c>
      <c r="B3288" s="47" t="s">
        <v>6788</v>
      </c>
      <c r="C3288" s="47">
        <v>270.0</v>
      </c>
      <c r="D3288" s="47">
        <v>287.0</v>
      </c>
      <c r="E3288" s="47">
        <v>31750.0</v>
      </c>
      <c r="F3288" s="47" t="s">
        <v>11</v>
      </c>
    </row>
    <row r="3289" ht="15.75" customHeight="1">
      <c r="A3289" s="46" t="s">
        <v>6789</v>
      </c>
      <c r="B3289" s="47" t="s">
        <v>6790</v>
      </c>
      <c r="C3289" s="47">
        <v>136.0</v>
      </c>
      <c r="D3289" s="47">
        <v>126.0</v>
      </c>
      <c r="E3289" s="47">
        <v>27540.0</v>
      </c>
      <c r="F3289" s="47" t="s">
        <v>11</v>
      </c>
    </row>
    <row r="3290" ht="15.75" customHeight="1">
      <c r="A3290" s="46" t="s">
        <v>6791</v>
      </c>
      <c r="B3290" s="47" t="s">
        <v>6792</v>
      </c>
      <c r="C3290" s="47">
        <v>378.0</v>
      </c>
      <c r="D3290" s="47">
        <v>348.0</v>
      </c>
      <c r="E3290" s="47">
        <v>28130.0</v>
      </c>
      <c r="F3290" s="47" t="s">
        <v>11</v>
      </c>
    </row>
    <row r="3291" ht="15.75" customHeight="1">
      <c r="A3291" s="46" t="s">
        <v>6793</v>
      </c>
      <c r="B3291" s="47" t="s">
        <v>5100</v>
      </c>
      <c r="C3291" s="47">
        <v>168.0</v>
      </c>
      <c r="D3291" s="47">
        <v>166.0</v>
      </c>
      <c r="E3291" s="47">
        <v>22580.0</v>
      </c>
      <c r="F3291" s="47" t="s">
        <v>11</v>
      </c>
    </row>
    <row r="3292" ht="15.75" customHeight="1">
      <c r="A3292" s="46" t="s">
        <v>6794</v>
      </c>
      <c r="B3292" s="47" t="s">
        <v>6795</v>
      </c>
      <c r="C3292" s="47">
        <v>592.0</v>
      </c>
      <c r="D3292" s="47">
        <v>589.0</v>
      </c>
      <c r="E3292" s="47">
        <v>25070.0</v>
      </c>
      <c r="F3292" s="47" t="s">
        <v>11</v>
      </c>
    </row>
    <row r="3293" ht="15.75" customHeight="1">
      <c r="A3293" s="46" t="s">
        <v>6796</v>
      </c>
      <c r="B3293" s="47" t="s">
        <v>6797</v>
      </c>
      <c r="C3293" s="47">
        <v>1194.0</v>
      </c>
      <c r="D3293" s="47">
        <v>1128.0</v>
      </c>
      <c r="E3293" s="47">
        <v>21430.0</v>
      </c>
      <c r="F3293" s="47" t="s">
        <v>11</v>
      </c>
    </row>
    <row r="3294" ht="15.75" customHeight="1">
      <c r="A3294" s="46" t="s">
        <v>6798</v>
      </c>
      <c r="B3294" s="47" t="s">
        <v>6799</v>
      </c>
      <c r="C3294" s="47">
        <v>44.0</v>
      </c>
      <c r="D3294" s="47">
        <v>42.0</v>
      </c>
      <c r="E3294" s="47" t="s">
        <v>11</v>
      </c>
      <c r="F3294" s="47" t="s">
        <v>11</v>
      </c>
    </row>
    <row r="3295" ht="15.75" customHeight="1">
      <c r="A3295" s="46" t="s">
        <v>6800</v>
      </c>
      <c r="B3295" s="47" t="s">
        <v>6801</v>
      </c>
      <c r="C3295" s="47">
        <v>531.0</v>
      </c>
      <c r="D3295" s="47">
        <v>510.0</v>
      </c>
      <c r="E3295" s="47">
        <v>24740.0</v>
      </c>
      <c r="F3295" s="47" t="s">
        <v>11</v>
      </c>
    </row>
    <row r="3296" ht="15.75" customHeight="1">
      <c r="A3296" s="46" t="s">
        <v>6802</v>
      </c>
      <c r="B3296" s="47" t="s">
        <v>6803</v>
      </c>
      <c r="C3296" s="47">
        <v>231.0</v>
      </c>
      <c r="D3296" s="47">
        <v>204.0</v>
      </c>
      <c r="E3296" s="47">
        <v>24180.0</v>
      </c>
      <c r="F3296" s="47" t="s">
        <v>11</v>
      </c>
    </row>
    <row r="3297" ht="15.75" customHeight="1">
      <c r="A3297" s="46" t="s">
        <v>6804</v>
      </c>
      <c r="B3297" s="47" t="s">
        <v>6805</v>
      </c>
      <c r="C3297" s="47">
        <v>150.0</v>
      </c>
      <c r="D3297" s="47">
        <v>163.0</v>
      </c>
      <c r="E3297" s="47">
        <v>25430.0</v>
      </c>
      <c r="F3297" s="47" t="s">
        <v>11</v>
      </c>
    </row>
    <row r="3298" ht="15.75" customHeight="1">
      <c r="A3298" s="46" t="s">
        <v>6806</v>
      </c>
      <c r="B3298" s="47" t="s">
        <v>5106</v>
      </c>
      <c r="C3298" s="47">
        <v>266.0</v>
      </c>
      <c r="D3298" s="47">
        <v>270.0</v>
      </c>
      <c r="E3298" s="47">
        <v>26340.0</v>
      </c>
      <c r="F3298" s="47" t="s">
        <v>11</v>
      </c>
    </row>
    <row r="3299" ht="15.75" customHeight="1">
      <c r="A3299" s="46" t="s">
        <v>6807</v>
      </c>
      <c r="B3299" s="47" t="s">
        <v>829</v>
      </c>
      <c r="C3299" s="47">
        <v>161.0</v>
      </c>
      <c r="D3299" s="47">
        <v>171.0</v>
      </c>
      <c r="E3299" s="47">
        <v>26480.0</v>
      </c>
      <c r="F3299" s="47" t="s">
        <v>11</v>
      </c>
    </row>
    <row r="3300" ht="15.75" customHeight="1">
      <c r="A3300" s="46" t="s">
        <v>6808</v>
      </c>
      <c r="B3300" s="47" t="s">
        <v>6809</v>
      </c>
      <c r="C3300" s="47">
        <v>462.0</v>
      </c>
      <c r="D3300" s="47">
        <v>453.0</v>
      </c>
      <c r="E3300" s="47">
        <v>25780.0</v>
      </c>
      <c r="F3300" s="47" t="s">
        <v>11</v>
      </c>
    </row>
    <row r="3301" ht="15.75" customHeight="1">
      <c r="A3301" s="46" t="s">
        <v>6810</v>
      </c>
      <c r="B3301" s="47" t="s">
        <v>6811</v>
      </c>
      <c r="C3301" s="47">
        <v>103.0</v>
      </c>
      <c r="D3301" s="47">
        <v>91.0</v>
      </c>
      <c r="E3301" s="47">
        <v>23850.0</v>
      </c>
      <c r="F3301" s="47" t="s">
        <v>11</v>
      </c>
    </row>
    <row r="3302" ht="15.75" customHeight="1">
      <c r="A3302" s="46" t="s">
        <v>6812</v>
      </c>
      <c r="B3302" s="47" t="s">
        <v>3583</v>
      </c>
      <c r="C3302" s="47">
        <v>477.0</v>
      </c>
      <c r="D3302" s="47">
        <v>496.0</v>
      </c>
      <c r="E3302" s="47">
        <v>31800.0</v>
      </c>
      <c r="F3302" s="47" t="s">
        <v>11</v>
      </c>
    </row>
    <row r="3303" ht="15.75" customHeight="1">
      <c r="A3303" s="46" t="s">
        <v>6813</v>
      </c>
      <c r="B3303" s="47" t="s">
        <v>6814</v>
      </c>
      <c r="C3303" s="47">
        <v>138.0</v>
      </c>
      <c r="D3303" s="47">
        <v>136.0</v>
      </c>
      <c r="E3303" s="47">
        <v>24000.0</v>
      </c>
      <c r="F3303" s="47" t="s">
        <v>11</v>
      </c>
    </row>
    <row r="3304" ht="15.75" customHeight="1">
      <c r="A3304" s="46" t="s">
        <v>6815</v>
      </c>
      <c r="B3304" s="47" t="s">
        <v>6816</v>
      </c>
      <c r="C3304" s="47">
        <v>147.0</v>
      </c>
      <c r="D3304" s="47">
        <v>155.0</v>
      </c>
      <c r="E3304" s="47">
        <v>23270.0</v>
      </c>
      <c r="F3304" s="47" t="s">
        <v>11</v>
      </c>
    </row>
    <row r="3305" ht="15.75" customHeight="1">
      <c r="A3305" s="46" t="s">
        <v>6817</v>
      </c>
      <c r="B3305" s="47" t="s">
        <v>6818</v>
      </c>
      <c r="C3305" s="47">
        <v>2570.0</v>
      </c>
      <c r="D3305" s="47">
        <v>2414.0</v>
      </c>
      <c r="E3305" s="47">
        <v>22930.0</v>
      </c>
      <c r="F3305" s="47">
        <v>16.0</v>
      </c>
    </row>
    <row r="3306" ht="15.75" customHeight="1">
      <c r="A3306" s="46" t="s">
        <v>6819</v>
      </c>
      <c r="B3306" s="47" t="s">
        <v>6820</v>
      </c>
      <c r="C3306" s="47">
        <v>686.0</v>
      </c>
      <c r="D3306" s="47">
        <v>663.0</v>
      </c>
      <c r="E3306" s="47">
        <v>23910.0</v>
      </c>
      <c r="F3306" s="47" t="s">
        <v>11</v>
      </c>
    </row>
    <row r="3307" ht="15.75" customHeight="1">
      <c r="A3307" s="46" t="s">
        <v>6821</v>
      </c>
      <c r="B3307" s="47" t="s">
        <v>6822</v>
      </c>
      <c r="C3307" s="47">
        <v>154.0</v>
      </c>
      <c r="D3307" s="47">
        <v>142.0</v>
      </c>
      <c r="E3307" s="47">
        <v>28050.0</v>
      </c>
      <c r="F3307" s="47" t="s">
        <v>11</v>
      </c>
    </row>
    <row r="3308" ht="15.75" customHeight="1">
      <c r="A3308" s="46" t="s">
        <v>6823</v>
      </c>
      <c r="B3308" s="47" t="s">
        <v>6824</v>
      </c>
      <c r="C3308" s="47">
        <v>277.0</v>
      </c>
      <c r="D3308" s="47">
        <v>278.0</v>
      </c>
      <c r="E3308" s="47">
        <v>24370.0</v>
      </c>
      <c r="F3308" s="47" t="s">
        <v>11</v>
      </c>
    </row>
    <row r="3309" ht="15.75" customHeight="1">
      <c r="A3309" s="46" t="s">
        <v>6825</v>
      </c>
      <c r="B3309" s="47" t="s">
        <v>6826</v>
      </c>
      <c r="C3309" s="47">
        <v>291.0</v>
      </c>
      <c r="D3309" s="47">
        <v>299.0</v>
      </c>
      <c r="E3309" s="47">
        <v>25530.0</v>
      </c>
      <c r="F3309" s="47" t="s">
        <v>11</v>
      </c>
    </row>
    <row r="3310" ht="15.75" customHeight="1">
      <c r="A3310" s="46" t="s">
        <v>6827</v>
      </c>
      <c r="B3310" s="47" t="s">
        <v>5136</v>
      </c>
      <c r="C3310" s="47">
        <v>195.0</v>
      </c>
      <c r="D3310" s="47">
        <v>190.0</v>
      </c>
      <c r="E3310" s="47">
        <v>25010.0</v>
      </c>
      <c r="F3310" s="47" t="s">
        <v>11</v>
      </c>
    </row>
    <row r="3311" ht="15.75" customHeight="1">
      <c r="A3311" s="46" t="s">
        <v>6828</v>
      </c>
      <c r="B3311" s="47" t="s">
        <v>6829</v>
      </c>
      <c r="C3311" s="47">
        <v>506.0</v>
      </c>
      <c r="D3311" s="47">
        <v>531.0</v>
      </c>
      <c r="E3311" s="47">
        <v>29880.0</v>
      </c>
      <c r="F3311" s="47" t="s">
        <v>11</v>
      </c>
    </row>
    <row r="3312" ht="15.75" customHeight="1">
      <c r="A3312" s="46" t="s">
        <v>6830</v>
      </c>
      <c r="B3312" s="47" t="s">
        <v>6831</v>
      </c>
      <c r="C3312" s="47">
        <v>2063.0</v>
      </c>
      <c r="D3312" s="47">
        <v>1937.0</v>
      </c>
      <c r="E3312" s="47">
        <v>26460.0</v>
      </c>
      <c r="F3312" s="47" t="s">
        <v>11</v>
      </c>
    </row>
    <row r="3313" ht="15.75" customHeight="1">
      <c r="A3313" s="46" t="s">
        <v>6832</v>
      </c>
      <c r="B3313" s="47" t="s">
        <v>853</v>
      </c>
      <c r="C3313" s="47">
        <v>223.0</v>
      </c>
      <c r="D3313" s="47">
        <v>206.0</v>
      </c>
      <c r="E3313" s="47">
        <v>26200.0</v>
      </c>
      <c r="F3313" s="47" t="s">
        <v>11</v>
      </c>
    </row>
    <row r="3314" ht="15.75" customHeight="1">
      <c r="A3314" s="46" t="s">
        <v>6833</v>
      </c>
      <c r="B3314" s="47" t="s">
        <v>6834</v>
      </c>
      <c r="C3314" s="47">
        <v>3173.0</v>
      </c>
      <c r="D3314" s="47">
        <v>3221.0</v>
      </c>
      <c r="E3314" s="47">
        <v>21580.0</v>
      </c>
      <c r="F3314" s="47">
        <v>20.0</v>
      </c>
    </row>
    <row r="3315" ht="15.75" customHeight="1">
      <c r="A3315" s="46" t="s">
        <v>6835</v>
      </c>
      <c r="B3315" s="47" t="s">
        <v>6836</v>
      </c>
      <c r="C3315" s="47">
        <v>332.0</v>
      </c>
      <c r="D3315" s="47">
        <v>320.0</v>
      </c>
      <c r="E3315" s="47">
        <v>29260.0</v>
      </c>
      <c r="F3315" s="47" t="s">
        <v>11</v>
      </c>
    </row>
    <row r="3316" ht="15.75" customHeight="1">
      <c r="A3316" s="46" t="s">
        <v>6837</v>
      </c>
      <c r="B3316" s="47" t="s">
        <v>6838</v>
      </c>
      <c r="C3316" s="47">
        <v>146.0</v>
      </c>
      <c r="D3316" s="47">
        <v>152.0</v>
      </c>
      <c r="E3316" s="47">
        <v>26960.0</v>
      </c>
      <c r="F3316" s="47" t="s">
        <v>11</v>
      </c>
    </row>
    <row r="3317" ht="15.75" customHeight="1">
      <c r="A3317" s="46" t="s">
        <v>6839</v>
      </c>
      <c r="B3317" s="47" t="s">
        <v>6840</v>
      </c>
      <c r="C3317" s="47">
        <v>146.0</v>
      </c>
      <c r="D3317" s="47">
        <v>154.0</v>
      </c>
      <c r="E3317" s="47">
        <v>26710.0</v>
      </c>
      <c r="F3317" s="47" t="s">
        <v>11</v>
      </c>
    </row>
    <row r="3318" ht="15.75" customHeight="1">
      <c r="A3318" s="46" t="s">
        <v>6841</v>
      </c>
      <c r="B3318" s="47" t="s">
        <v>6842</v>
      </c>
      <c r="C3318" s="47">
        <v>164.0</v>
      </c>
      <c r="D3318" s="47">
        <v>168.0</v>
      </c>
      <c r="E3318" s="47">
        <v>20870.0</v>
      </c>
      <c r="F3318" s="47" t="s">
        <v>11</v>
      </c>
    </row>
    <row r="3319" ht="15.75" customHeight="1">
      <c r="A3319" s="46" t="s">
        <v>6843</v>
      </c>
      <c r="B3319" s="47" t="s">
        <v>6844</v>
      </c>
      <c r="C3319" s="47">
        <v>154.0</v>
      </c>
      <c r="D3319" s="47">
        <v>143.0</v>
      </c>
      <c r="E3319" s="47">
        <v>26630.0</v>
      </c>
      <c r="F3319" s="47" t="s">
        <v>11</v>
      </c>
    </row>
    <row r="3320" ht="15.75" customHeight="1">
      <c r="A3320" s="46" t="s">
        <v>6845</v>
      </c>
      <c r="B3320" s="47" t="s">
        <v>6846</v>
      </c>
      <c r="C3320" s="47">
        <v>51.0</v>
      </c>
      <c r="D3320" s="47">
        <v>54.0</v>
      </c>
      <c r="E3320" s="47" t="s">
        <v>11</v>
      </c>
      <c r="F3320" s="47" t="s">
        <v>11</v>
      </c>
    </row>
    <row r="3321" ht="15.75" customHeight="1">
      <c r="A3321" s="46" t="s">
        <v>6847</v>
      </c>
      <c r="B3321" s="47" t="s">
        <v>6848</v>
      </c>
      <c r="C3321" s="47">
        <v>108.0</v>
      </c>
      <c r="D3321" s="47">
        <v>97.0</v>
      </c>
      <c r="E3321" s="47" t="s">
        <v>11</v>
      </c>
      <c r="F3321" s="47" t="s">
        <v>11</v>
      </c>
    </row>
    <row r="3322" ht="15.75" customHeight="1">
      <c r="A3322" s="46" t="s">
        <v>6849</v>
      </c>
      <c r="B3322" s="47" t="s">
        <v>6850</v>
      </c>
      <c r="C3322" s="47">
        <v>161.0</v>
      </c>
      <c r="D3322" s="47">
        <v>162.0</v>
      </c>
      <c r="E3322" s="47">
        <v>26980.0</v>
      </c>
      <c r="F3322" s="47" t="s">
        <v>11</v>
      </c>
    </row>
    <row r="3323" ht="15.75" customHeight="1">
      <c r="A3323" s="46" t="s">
        <v>6851</v>
      </c>
      <c r="B3323" s="47" t="s">
        <v>6852</v>
      </c>
      <c r="C3323" s="47">
        <v>518.0</v>
      </c>
      <c r="D3323" s="47">
        <v>502.0</v>
      </c>
      <c r="E3323" s="47">
        <v>23590.0</v>
      </c>
      <c r="F3323" s="47" t="s">
        <v>11</v>
      </c>
    </row>
    <row r="3324" ht="15.75" customHeight="1">
      <c r="A3324" s="46" t="s">
        <v>6853</v>
      </c>
      <c r="B3324" s="47" t="s">
        <v>6854</v>
      </c>
      <c r="C3324" s="47">
        <v>175.0</v>
      </c>
      <c r="D3324" s="47">
        <v>163.0</v>
      </c>
      <c r="E3324" s="47">
        <v>25700.0</v>
      </c>
      <c r="F3324" s="47" t="s">
        <v>11</v>
      </c>
    </row>
    <row r="3325" ht="15.75" customHeight="1">
      <c r="A3325" s="46" t="s">
        <v>6855</v>
      </c>
      <c r="B3325" s="47" t="s">
        <v>6856</v>
      </c>
      <c r="C3325" s="47">
        <v>238.0</v>
      </c>
      <c r="D3325" s="47">
        <v>226.0</v>
      </c>
      <c r="E3325" s="47">
        <v>24870.0</v>
      </c>
      <c r="F3325" s="47" t="s">
        <v>11</v>
      </c>
    </row>
    <row r="3326" ht="15.75" customHeight="1">
      <c r="A3326" s="46" t="s">
        <v>6857</v>
      </c>
      <c r="B3326" s="47" t="s">
        <v>6858</v>
      </c>
      <c r="C3326" s="47">
        <v>301.0</v>
      </c>
      <c r="D3326" s="47">
        <v>314.0</v>
      </c>
      <c r="E3326" s="47">
        <v>25420.0</v>
      </c>
      <c r="F3326" s="47" t="s">
        <v>11</v>
      </c>
    </row>
    <row r="3327" ht="15.75" customHeight="1">
      <c r="A3327" s="46" t="s">
        <v>6859</v>
      </c>
      <c r="B3327" s="47" t="s">
        <v>6860</v>
      </c>
      <c r="C3327" s="47">
        <v>399.0</v>
      </c>
      <c r="D3327" s="47">
        <v>382.0</v>
      </c>
      <c r="E3327" s="47">
        <v>24450.0</v>
      </c>
      <c r="F3327" s="47" t="s">
        <v>11</v>
      </c>
    </row>
    <row r="3328" ht="15.75" customHeight="1">
      <c r="A3328" s="46" t="s">
        <v>6861</v>
      </c>
      <c r="B3328" s="47" t="s">
        <v>6862</v>
      </c>
      <c r="C3328" s="47">
        <v>1259.0</v>
      </c>
      <c r="D3328" s="47">
        <v>1363.0</v>
      </c>
      <c r="E3328" s="47">
        <v>25320.0</v>
      </c>
      <c r="F3328" s="47" t="s">
        <v>11</v>
      </c>
    </row>
    <row r="3329" ht="15.75" customHeight="1">
      <c r="A3329" s="46" t="s">
        <v>6863</v>
      </c>
      <c r="B3329" s="47" t="s">
        <v>6864</v>
      </c>
      <c r="C3329" s="47">
        <v>93.0</v>
      </c>
      <c r="D3329" s="47">
        <v>100.0</v>
      </c>
      <c r="E3329" s="47" t="s">
        <v>11</v>
      </c>
      <c r="F3329" s="47" t="s">
        <v>11</v>
      </c>
    </row>
    <row r="3330" ht="15.75" customHeight="1">
      <c r="A3330" s="46" t="s">
        <v>6865</v>
      </c>
      <c r="B3330" s="47" t="s">
        <v>6866</v>
      </c>
      <c r="C3330" s="47">
        <v>268.0</v>
      </c>
      <c r="D3330" s="47">
        <v>235.0</v>
      </c>
      <c r="E3330" s="47">
        <v>26160.0</v>
      </c>
      <c r="F3330" s="47" t="s">
        <v>11</v>
      </c>
    </row>
    <row r="3331" ht="15.75" customHeight="1">
      <c r="A3331" s="46" t="s">
        <v>6867</v>
      </c>
      <c r="B3331" s="47" t="s">
        <v>6868</v>
      </c>
      <c r="C3331" s="47">
        <v>80.0</v>
      </c>
      <c r="D3331" s="47">
        <v>79.0</v>
      </c>
      <c r="E3331" s="47" t="s">
        <v>11</v>
      </c>
      <c r="F3331" s="47" t="s">
        <v>11</v>
      </c>
    </row>
    <row r="3332" ht="15.75" customHeight="1">
      <c r="A3332" s="46" t="s">
        <v>6869</v>
      </c>
      <c r="B3332" s="47" t="s">
        <v>6870</v>
      </c>
      <c r="C3332" s="47">
        <v>208.0</v>
      </c>
      <c r="D3332" s="47">
        <v>216.0</v>
      </c>
      <c r="E3332" s="47">
        <v>28070.0</v>
      </c>
      <c r="F3332" s="47" t="s">
        <v>11</v>
      </c>
    </row>
    <row r="3333" ht="15.75" customHeight="1">
      <c r="A3333" s="46" t="s">
        <v>6871</v>
      </c>
      <c r="B3333" s="47" t="s">
        <v>3612</v>
      </c>
      <c r="C3333" s="47">
        <v>1837.0</v>
      </c>
      <c r="D3333" s="47">
        <v>1723.0</v>
      </c>
      <c r="E3333" s="47">
        <v>26060.0</v>
      </c>
      <c r="F3333" s="47" t="s">
        <v>11</v>
      </c>
    </row>
    <row r="3334" ht="15.75" customHeight="1">
      <c r="A3334" s="46" t="s">
        <v>6872</v>
      </c>
      <c r="B3334" s="47" t="s">
        <v>6873</v>
      </c>
      <c r="C3334" s="47">
        <v>158.0</v>
      </c>
      <c r="D3334" s="47">
        <v>154.0</v>
      </c>
      <c r="E3334" s="47">
        <v>24660.0</v>
      </c>
      <c r="F3334" s="47" t="s">
        <v>11</v>
      </c>
    </row>
    <row r="3335" ht="15.75" customHeight="1">
      <c r="A3335" s="46" t="s">
        <v>6874</v>
      </c>
      <c r="B3335" s="47" t="s">
        <v>6875</v>
      </c>
      <c r="C3335" s="47">
        <v>193.0</v>
      </c>
      <c r="D3335" s="47">
        <v>181.0</v>
      </c>
      <c r="E3335" s="47">
        <v>24170.0</v>
      </c>
      <c r="F3335" s="47" t="s">
        <v>11</v>
      </c>
    </row>
    <row r="3336" ht="15.75" customHeight="1">
      <c r="A3336" s="46" t="s">
        <v>6876</v>
      </c>
      <c r="B3336" s="47" t="s">
        <v>6877</v>
      </c>
      <c r="C3336" s="47">
        <v>417.0</v>
      </c>
      <c r="D3336" s="47">
        <v>380.0</v>
      </c>
      <c r="E3336" s="47">
        <v>27750.0</v>
      </c>
      <c r="F3336" s="47" t="s">
        <v>11</v>
      </c>
    </row>
    <row r="3337" ht="15.75" customHeight="1">
      <c r="A3337" s="46" t="s">
        <v>6878</v>
      </c>
      <c r="B3337" s="47" t="s">
        <v>6879</v>
      </c>
      <c r="C3337" s="47">
        <v>461.0</v>
      </c>
      <c r="D3337" s="47">
        <v>443.0</v>
      </c>
      <c r="E3337" s="47">
        <v>26380.0</v>
      </c>
      <c r="F3337" s="47" t="s">
        <v>11</v>
      </c>
    </row>
    <row r="3338" ht="15.75" customHeight="1">
      <c r="A3338" s="46" t="s">
        <v>6880</v>
      </c>
      <c r="B3338" s="47" t="s">
        <v>6881</v>
      </c>
      <c r="C3338" s="47">
        <v>176.0</v>
      </c>
      <c r="D3338" s="47">
        <v>151.0</v>
      </c>
      <c r="E3338" s="47">
        <v>24880.0</v>
      </c>
      <c r="F3338" s="47" t="s">
        <v>11</v>
      </c>
    </row>
    <row r="3339" ht="15.75" customHeight="1">
      <c r="A3339" s="46" t="s">
        <v>6882</v>
      </c>
      <c r="B3339" s="47" t="s">
        <v>3624</v>
      </c>
      <c r="C3339" s="47">
        <v>194.0</v>
      </c>
      <c r="D3339" s="47">
        <v>176.0</v>
      </c>
      <c r="E3339" s="47">
        <v>27190.0</v>
      </c>
      <c r="F3339" s="47" t="s">
        <v>11</v>
      </c>
    </row>
    <row r="3340" ht="15.75" customHeight="1">
      <c r="A3340" s="46" t="s">
        <v>6883</v>
      </c>
      <c r="B3340" s="47" t="s">
        <v>6884</v>
      </c>
      <c r="C3340" s="47">
        <v>552.0</v>
      </c>
      <c r="D3340" s="47">
        <v>501.0</v>
      </c>
      <c r="E3340" s="47">
        <v>23950.0</v>
      </c>
      <c r="F3340" s="47" t="s">
        <v>11</v>
      </c>
    </row>
    <row r="3341" ht="15.75" customHeight="1">
      <c r="A3341" s="46" t="s">
        <v>6885</v>
      </c>
      <c r="B3341" s="47" t="s">
        <v>881</v>
      </c>
      <c r="C3341" s="47">
        <v>177.0</v>
      </c>
      <c r="D3341" s="47">
        <v>163.0</v>
      </c>
      <c r="E3341" s="47">
        <v>24660.0</v>
      </c>
      <c r="F3341" s="47" t="s">
        <v>11</v>
      </c>
    </row>
    <row r="3342" ht="15.75" customHeight="1">
      <c r="A3342" s="46" t="s">
        <v>6886</v>
      </c>
      <c r="B3342" s="47" t="s">
        <v>6887</v>
      </c>
      <c r="C3342" s="47">
        <v>151.0</v>
      </c>
      <c r="D3342" s="47">
        <v>163.0</v>
      </c>
      <c r="E3342" s="47">
        <v>24880.0</v>
      </c>
      <c r="F3342" s="47" t="s">
        <v>11</v>
      </c>
    </row>
    <row r="3343" ht="15.75" customHeight="1">
      <c r="A3343" s="46" t="s">
        <v>6888</v>
      </c>
      <c r="B3343" s="47" t="s">
        <v>6889</v>
      </c>
      <c r="C3343" s="47">
        <v>176.0</v>
      </c>
      <c r="D3343" s="47">
        <v>193.0</v>
      </c>
      <c r="E3343" s="47">
        <v>23890.0</v>
      </c>
      <c r="F3343" s="47" t="s">
        <v>11</v>
      </c>
    </row>
    <row r="3344" ht="15.75" customHeight="1">
      <c r="A3344" s="46" t="s">
        <v>6890</v>
      </c>
      <c r="B3344" s="47" t="s">
        <v>6891</v>
      </c>
      <c r="C3344" s="47">
        <v>133.0</v>
      </c>
      <c r="D3344" s="47">
        <v>125.0</v>
      </c>
      <c r="E3344" s="47">
        <v>27020.0</v>
      </c>
      <c r="F3344" s="47" t="s">
        <v>11</v>
      </c>
    </row>
    <row r="3345" ht="15.75" customHeight="1">
      <c r="A3345" s="46" t="s">
        <v>6892</v>
      </c>
      <c r="B3345" s="47" t="s">
        <v>6893</v>
      </c>
      <c r="C3345" s="47">
        <v>513.0</v>
      </c>
      <c r="D3345" s="47">
        <v>558.0</v>
      </c>
      <c r="E3345" s="47">
        <v>26660.0</v>
      </c>
      <c r="F3345" s="47" t="s">
        <v>11</v>
      </c>
    </row>
    <row r="3346" ht="15.75" customHeight="1">
      <c r="A3346" s="46" t="s">
        <v>6894</v>
      </c>
      <c r="B3346" s="47" t="s">
        <v>6895</v>
      </c>
      <c r="C3346" s="47">
        <v>263.0</v>
      </c>
      <c r="D3346" s="47">
        <v>250.0</v>
      </c>
      <c r="E3346" s="47">
        <v>27270.0</v>
      </c>
      <c r="F3346" s="47" t="s">
        <v>11</v>
      </c>
    </row>
    <row r="3347" ht="15.75" customHeight="1">
      <c r="A3347" s="46" t="s">
        <v>6896</v>
      </c>
      <c r="B3347" s="47" t="s">
        <v>6897</v>
      </c>
      <c r="C3347" s="47">
        <v>154.0</v>
      </c>
      <c r="D3347" s="47">
        <v>166.0</v>
      </c>
      <c r="E3347" s="47">
        <v>25360.0</v>
      </c>
      <c r="F3347" s="47" t="s">
        <v>11</v>
      </c>
    </row>
    <row r="3348" ht="15.75" customHeight="1">
      <c r="A3348" s="46" t="s">
        <v>6898</v>
      </c>
      <c r="B3348" s="47" t="s">
        <v>6899</v>
      </c>
      <c r="C3348" s="47">
        <v>139.0</v>
      </c>
      <c r="D3348" s="47">
        <v>158.0</v>
      </c>
      <c r="E3348" s="47">
        <v>24240.0</v>
      </c>
      <c r="F3348" s="47" t="s">
        <v>11</v>
      </c>
    </row>
    <row r="3349" ht="15.75" customHeight="1">
      <c r="A3349" s="46" t="s">
        <v>6900</v>
      </c>
      <c r="B3349" s="47" t="s">
        <v>6901</v>
      </c>
      <c r="C3349" s="47">
        <v>203.0</v>
      </c>
      <c r="D3349" s="47">
        <v>211.0</v>
      </c>
      <c r="E3349" s="47">
        <v>23570.0</v>
      </c>
      <c r="F3349" s="47" t="s">
        <v>11</v>
      </c>
    </row>
    <row r="3350" ht="15.75" customHeight="1">
      <c r="A3350" s="46" t="s">
        <v>6902</v>
      </c>
      <c r="B3350" s="47" t="s">
        <v>6903</v>
      </c>
      <c r="C3350" s="47">
        <v>105.0</v>
      </c>
      <c r="D3350" s="47">
        <v>104.0</v>
      </c>
      <c r="E3350" s="47">
        <v>22650.0</v>
      </c>
      <c r="F3350" s="47" t="s">
        <v>11</v>
      </c>
    </row>
    <row r="3351" ht="15.75" customHeight="1">
      <c r="A3351" s="46" t="s">
        <v>6904</v>
      </c>
      <c r="B3351" s="47" t="s">
        <v>6905</v>
      </c>
      <c r="C3351" s="47">
        <v>86.0</v>
      </c>
      <c r="D3351" s="47">
        <v>96.0</v>
      </c>
      <c r="E3351" s="47" t="s">
        <v>11</v>
      </c>
      <c r="F3351" s="47" t="s">
        <v>11</v>
      </c>
    </row>
    <row r="3352" ht="15.75" customHeight="1">
      <c r="A3352" s="46" t="s">
        <v>6906</v>
      </c>
      <c r="B3352" s="47" t="s">
        <v>6907</v>
      </c>
      <c r="C3352" s="47">
        <v>243.0</v>
      </c>
      <c r="D3352" s="47">
        <v>223.0</v>
      </c>
      <c r="E3352" s="47">
        <v>27190.0</v>
      </c>
      <c r="F3352" s="47" t="s">
        <v>11</v>
      </c>
    </row>
    <row r="3353" ht="15.75" customHeight="1">
      <c r="A3353" s="46" t="s">
        <v>6908</v>
      </c>
      <c r="B3353" s="47" t="s">
        <v>6909</v>
      </c>
      <c r="C3353" s="47">
        <v>148.0</v>
      </c>
      <c r="D3353" s="47">
        <v>138.0</v>
      </c>
      <c r="E3353" s="47">
        <v>26750.0</v>
      </c>
      <c r="F3353" s="47" t="s">
        <v>11</v>
      </c>
    </row>
    <row r="3354" ht="15.75" customHeight="1">
      <c r="A3354" s="46" t="s">
        <v>6910</v>
      </c>
      <c r="B3354" s="47" t="s">
        <v>6911</v>
      </c>
      <c r="C3354" s="47">
        <v>293.0</v>
      </c>
      <c r="D3354" s="47">
        <v>286.0</v>
      </c>
      <c r="E3354" s="47">
        <v>26090.0</v>
      </c>
      <c r="F3354" s="47" t="s">
        <v>11</v>
      </c>
    </row>
    <row r="3355" ht="15.75" customHeight="1">
      <c r="A3355" s="46" t="s">
        <v>6912</v>
      </c>
      <c r="B3355" s="47" t="s">
        <v>6913</v>
      </c>
      <c r="C3355" s="47">
        <v>2207.0</v>
      </c>
      <c r="D3355" s="47">
        <v>2045.0</v>
      </c>
      <c r="E3355" s="47">
        <v>22920.0</v>
      </c>
      <c r="F3355" s="47" t="s">
        <v>11</v>
      </c>
    </row>
    <row r="3356" ht="15.75" customHeight="1">
      <c r="A3356" s="46" t="s">
        <v>6914</v>
      </c>
      <c r="B3356" s="47" t="s">
        <v>6915</v>
      </c>
      <c r="C3356" s="47">
        <v>74.0</v>
      </c>
      <c r="D3356" s="47">
        <v>69.0</v>
      </c>
      <c r="E3356" s="47" t="s">
        <v>11</v>
      </c>
      <c r="F3356" s="47" t="s">
        <v>11</v>
      </c>
    </row>
    <row r="3357" ht="15.75" customHeight="1">
      <c r="A3357" s="46" t="s">
        <v>6916</v>
      </c>
      <c r="B3357" s="47" t="s">
        <v>6917</v>
      </c>
      <c r="C3357" s="47">
        <v>324.0</v>
      </c>
      <c r="D3357" s="47">
        <v>296.0</v>
      </c>
      <c r="E3357" s="47">
        <v>26100.0</v>
      </c>
      <c r="F3357" s="47" t="s">
        <v>11</v>
      </c>
    </row>
    <row r="3358" ht="15.75" customHeight="1">
      <c r="A3358" s="46" t="s">
        <v>6918</v>
      </c>
      <c r="B3358" s="47" t="s">
        <v>6919</v>
      </c>
      <c r="C3358" s="47">
        <v>742.0</v>
      </c>
      <c r="D3358" s="47">
        <v>695.0</v>
      </c>
      <c r="E3358" s="47">
        <v>26260.0</v>
      </c>
      <c r="F3358" s="47" t="s">
        <v>11</v>
      </c>
    </row>
    <row r="3359" ht="15.75" customHeight="1">
      <c r="A3359" s="46" t="s">
        <v>6920</v>
      </c>
      <c r="B3359" s="47" t="s">
        <v>6921</v>
      </c>
      <c r="C3359" s="47">
        <v>176.0</v>
      </c>
      <c r="D3359" s="47">
        <v>177.0</v>
      </c>
      <c r="E3359" s="47">
        <v>25660.0</v>
      </c>
      <c r="F3359" s="47" t="s">
        <v>11</v>
      </c>
    </row>
    <row r="3360" ht="15.75" customHeight="1">
      <c r="A3360" s="46" t="s">
        <v>6922</v>
      </c>
      <c r="B3360" s="47" t="s">
        <v>6923</v>
      </c>
      <c r="C3360" s="47">
        <v>490.0</v>
      </c>
      <c r="D3360" s="47">
        <v>457.0</v>
      </c>
      <c r="E3360" s="47">
        <v>26090.0</v>
      </c>
      <c r="F3360" s="47" t="s">
        <v>11</v>
      </c>
    </row>
    <row r="3361" ht="15.75" customHeight="1">
      <c r="A3361" s="46" t="s">
        <v>6924</v>
      </c>
      <c r="B3361" s="47" t="s">
        <v>6925</v>
      </c>
      <c r="C3361" s="47">
        <v>183.0</v>
      </c>
      <c r="D3361" s="47">
        <v>176.0</v>
      </c>
      <c r="E3361" s="47">
        <v>28640.0</v>
      </c>
      <c r="F3361" s="47" t="s">
        <v>11</v>
      </c>
    </row>
    <row r="3362" ht="15.75" customHeight="1">
      <c r="A3362" s="46" t="s">
        <v>6926</v>
      </c>
      <c r="B3362" s="47" t="s">
        <v>6927</v>
      </c>
      <c r="C3362" s="47">
        <v>4569.0</v>
      </c>
      <c r="D3362" s="47">
        <v>4306.0</v>
      </c>
      <c r="E3362" s="47">
        <v>22080.0</v>
      </c>
      <c r="F3362" s="47">
        <v>18.0</v>
      </c>
    </row>
    <row r="3363" ht="15.75" customHeight="1">
      <c r="A3363" s="46" t="s">
        <v>6928</v>
      </c>
      <c r="B3363" s="47" t="s">
        <v>6929</v>
      </c>
      <c r="C3363" s="47">
        <v>233.0</v>
      </c>
      <c r="D3363" s="47">
        <v>244.0</v>
      </c>
      <c r="E3363" s="47">
        <v>21540.0</v>
      </c>
      <c r="F3363" s="47" t="s">
        <v>11</v>
      </c>
    </row>
    <row r="3364" ht="15.75" customHeight="1">
      <c r="A3364" s="46" t="s">
        <v>6930</v>
      </c>
      <c r="B3364" s="47" t="s">
        <v>6931</v>
      </c>
      <c r="C3364" s="47">
        <v>105.0</v>
      </c>
      <c r="D3364" s="47">
        <v>96.0</v>
      </c>
      <c r="E3364" s="47" t="s">
        <v>11</v>
      </c>
      <c r="F3364" s="47" t="s">
        <v>11</v>
      </c>
    </row>
    <row r="3365" ht="15.75" customHeight="1">
      <c r="A3365" s="46" t="s">
        <v>6932</v>
      </c>
      <c r="B3365" s="47" t="s">
        <v>6933</v>
      </c>
      <c r="C3365" s="47">
        <v>132.0</v>
      </c>
      <c r="D3365" s="47">
        <v>121.0</v>
      </c>
      <c r="E3365" s="47">
        <v>25090.0</v>
      </c>
      <c r="F3365" s="47" t="s">
        <v>11</v>
      </c>
    </row>
    <row r="3366" ht="15.75" customHeight="1">
      <c r="A3366" s="46" t="s">
        <v>6934</v>
      </c>
      <c r="B3366" s="47" t="s">
        <v>6935</v>
      </c>
      <c r="C3366" s="47">
        <v>2548.0</v>
      </c>
      <c r="D3366" s="47">
        <v>2397.0</v>
      </c>
      <c r="E3366" s="47">
        <v>20970.0</v>
      </c>
      <c r="F3366" s="47">
        <v>23.0</v>
      </c>
    </row>
    <row r="3367" ht="15.75" customHeight="1">
      <c r="A3367" s="46" t="s">
        <v>6936</v>
      </c>
      <c r="B3367" s="47" t="s">
        <v>6937</v>
      </c>
      <c r="C3367" s="47">
        <v>281.0</v>
      </c>
      <c r="D3367" s="47">
        <v>270.0</v>
      </c>
      <c r="E3367" s="47">
        <v>24850.0</v>
      </c>
      <c r="F3367" s="47" t="s">
        <v>11</v>
      </c>
    </row>
    <row r="3368" ht="15.75" customHeight="1">
      <c r="A3368" s="46" t="s">
        <v>6938</v>
      </c>
      <c r="B3368" s="47" t="s">
        <v>6939</v>
      </c>
      <c r="C3368" s="47">
        <v>346.0</v>
      </c>
      <c r="D3368" s="47">
        <v>327.0</v>
      </c>
      <c r="E3368" s="47">
        <v>24650.0</v>
      </c>
      <c r="F3368" s="47" t="s">
        <v>11</v>
      </c>
    </row>
    <row r="3369" ht="15.75" customHeight="1">
      <c r="A3369" s="46" t="s">
        <v>6940</v>
      </c>
      <c r="B3369" s="47" t="s">
        <v>6941</v>
      </c>
      <c r="C3369" s="47">
        <v>640.0</v>
      </c>
      <c r="D3369" s="47">
        <v>627.0</v>
      </c>
      <c r="E3369" s="47">
        <v>29900.0</v>
      </c>
      <c r="F3369" s="47" t="s">
        <v>11</v>
      </c>
    </row>
    <row r="3370" ht="15.75" customHeight="1">
      <c r="A3370" s="46" t="s">
        <v>6942</v>
      </c>
      <c r="B3370" s="47" t="s">
        <v>6943</v>
      </c>
      <c r="C3370" s="47">
        <v>428.0</v>
      </c>
      <c r="D3370" s="47">
        <v>399.0</v>
      </c>
      <c r="E3370" s="47">
        <v>24120.0</v>
      </c>
      <c r="F3370" s="47" t="s">
        <v>11</v>
      </c>
    </row>
    <row r="3371" ht="15.75" customHeight="1">
      <c r="A3371" s="46" t="s">
        <v>6944</v>
      </c>
      <c r="B3371" s="47" t="s">
        <v>6945</v>
      </c>
      <c r="C3371" s="47">
        <v>61.0</v>
      </c>
      <c r="D3371" s="47">
        <v>75.0</v>
      </c>
      <c r="E3371" s="47" t="s">
        <v>11</v>
      </c>
      <c r="F3371" s="47" t="s">
        <v>11</v>
      </c>
    </row>
    <row r="3372" ht="15.75" customHeight="1">
      <c r="A3372" s="46" t="s">
        <v>6946</v>
      </c>
      <c r="B3372" s="47" t="s">
        <v>6947</v>
      </c>
      <c r="C3372" s="47">
        <v>771.0</v>
      </c>
      <c r="D3372" s="47">
        <v>791.0</v>
      </c>
      <c r="E3372" s="47">
        <v>31380.0</v>
      </c>
      <c r="F3372" s="47" t="s">
        <v>11</v>
      </c>
    </row>
    <row r="3373" ht="15.75" customHeight="1">
      <c r="A3373" s="46" t="s">
        <v>6948</v>
      </c>
      <c r="B3373" s="47" t="s">
        <v>6949</v>
      </c>
      <c r="C3373" s="47">
        <v>254.0</v>
      </c>
      <c r="D3373" s="47">
        <v>234.0</v>
      </c>
      <c r="E3373" s="47">
        <v>26380.0</v>
      </c>
      <c r="F3373" s="47" t="s">
        <v>11</v>
      </c>
    </row>
    <row r="3374" ht="15.75" customHeight="1">
      <c r="A3374" s="46" t="s">
        <v>6950</v>
      </c>
      <c r="B3374" s="47" t="s">
        <v>6951</v>
      </c>
      <c r="C3374" s="47">
        <v>40.0</v>
      </c>
      <c r="D3374" s="47">
        <v>40.0</v>
      </c>
      <c r="E3374" s="47" t="s">
        <v>11</v>
      </c>
      <c r="F3374" s="47" t="s">
        <v>11</v>
      </c>
    </row>
    <row r="3375" ht="15.75" customHeight="1">
      <c r="A3375" s="46" t="s">
        <v>6952</v>
      </c>
      <c r="B3375" s="47" t="s">
        <v>6953</v>
      </c>
      <c r="C3375" s="47">
        <v>94.0</v>
      </c>
      <c r="D3375" s="47">
        <v>99.0</v>
      </c>
      <c r="E3375" s="47" t="s">
        <v>11</v>
      </c>
      <c r="F3375" s="47" t="s">
        <v>11</v>
      </c>
    </row>
    <row r="3376" ht="15.75" customHeight="1">
      <c r="A3376" s="46" t="s">
        <v>6954</v>
      </c>
      <c r="B3376" s="47" t="s">
        <v>6955</v>
      </c>
      <c r="C3376" s="47">
        <v>176.0</v>
      </c>
      <c r="D3376" s="47">
        <v>178.0</v>
      </c>
      <c r="E3376" s="47">
        <v>26560.0</v>
      </c>
      <c r="F3376" s="47" t="s">
        <v>11</v>
      </c>
    </row>
    <row r="3377" ht="15.75" customHeight="1">
      <c r="A3377" s="46" t="s">
        <v>6956</v>
      </c>
      <c r="B3377" s="47" t="s">
        <v>6957</v>
      </c>
      <c r="C3377" s="47">
        <v>433.0</v>
      </c>
      <c r="D3377" s="47">
        <v>465.0</v>
      </c>
      <c r="E3377" s="47">
        <v>28700.0</v>
      </c>
      <c r="F3377" s="47" t="s">
        <v>11</v>
      </c>
    </row>
    <row r="3378" ht="15.75" customHeight="1">
      <c r="A3378" s="46" t="s">
        <v>6958</v>
      </c>
      <c r="B3378" s="47" t="s">
        <v>6959</v>
      </c>
      <c r="C3378" s="47">
        <v>182.0</v>
      </c>
      <c r="D3378" s="47">
        <v>175.0</v>
      </c>
      <c r="E3378" s="47">
        <v>25910.0</v>
      </c>
      <c r="F3378" s="47" t="s">
        <v>11</v>
      </c>
    </row>
    <row r="3379" ht="15.75" customHeight="1">
      <c r="A3379" s="46" t="s">
        <v>6960</v>
      </c>
      <c r="B3379" s="47" t="s">
        <v>6961</v>
      </c>
      <c r="C3379" s="47">
        <v>318.0</v>
      </c>
      <c r="D3379" s="47">
        <v>321.0</v>
      </c>
      <c r="E3379" s="47">
        <v>28940.0</v>
      </c>
      <c r="F3379" s="47" t="s">
        <v>11</v>
      </c>
    </row>
    <row r="3380" ht="15.75" customHeight="1">
      <c r="A3380" s="46" t="s">
        <v>6962</v>
      </c>
      <c r="B3380" s="47" t="s">
        <v>6963</v>
      </c>
      <c r="C3380" s="47">
        <v>220.0</v>
      </c>
      <c r="D3380" s="47">
        <v>204.0</v>
      </c>
      <c r="E3380" s="47">
        <v>23780.0</v>
      </c>
      <c r="F3380" s="47" t="s">
        <v>11</v>
      </c>
    </row>
    <row r="3381" ht="15.75" customHeight="1">
      <c r="A3381" s="46" t="s">
        <v>6964</v>
      </c>
      <c r="B3381" s="47" t="s">
        <v>6965</v>
      </c>
      <c r="C3381" s="47">
        <v>407.0</v>
      </c>
      <c r="D3381" s="47">
        <v>409.0</v>
      </c>
      <c r="E3381" s="47">
        <v>26840.0</v>
      </c>
      <c r="F3381" s="47" t="s">
        <v>11</v>
      </c>
    </row>
    <row r="3382" ht="15.75" customHeight="1">
      <c r="A3382" s="46" t="s">
        <v>6966</v>
      </c>
      <c r="B3382" s="47" t="s">
        <v>6967</v>
      </c>
      <c r="C3382" s="47">
        <v>86.0</v>
      </c>
      <c r="D3382" s="47">
        <v>91.0</v>
      </c>
      <c r="E3382" s="47" t="s">
        <v>11</v>
      </c>
      <c r="F3382" s="47" t="s">
        <v>11</v>
      </c>
    </row>
    <row r="3383" ht="15.75" customHeight="1">
      <c r="A3383" s="46" t="s">
        <v>6968</v>
      </c>
      <c r="B3383" s="47" t="s">
        <v>6969</v>
      </c>
      <c r="C3383" s="47">
        <v>586.0</v>
      </c>
      <c r="D3383" s="47">
        <v>572.0</v>
      </c>
      <c r="E3383" s="47">
        <v>25560.0</v>
      </c>
      <c r="F3383" s="47" t="s">
        <v>11</v>
      </c>
    </row>
    <row r="3384" ht="15.75" customHeight="1">
      <c r="A3384" s="46" t="s">
        <v>6970</v>
      </c>
      <c r="B3384" s="47" t="s">
        <v>6971</v>
      </c>
      <c r="C3384" s="47">
        <v>324.0</v>
      </c>
      <c r="D3384" s="47">
        <v>303.0</v>
      </c>
      <c r="E3384" s="47">
        <v>25350.0</v>
      </c>
      <c r="F3384" s="47" t="s">
        <v>11</v>
      </c>
    </row>
    <row r="3385" ht="15.75" customHeight="1">
      <c r="A3385" s="46" t="s">
        <v>6972</v>
      </c>
      <c r="B3385" s="47" t="s">
        <v>6973</v>
      </c>
      <c r="C3385" s="47">
        <v>293.0</v>
      </c>
      <c r="D3385" s="47">
        <v>275.0</v>
      </c>
      <c r="E3385" s="47">
        <v>26580.0</v>
      </c>
      <c r="F3385" s="47" t="s">
        <v>11</v>
      </c>
    </row>
    <row r="3386" ht="15.75" customHeight="1">
      <c r="A3386" s="46" t="s">
        <v>6974</v>
      </c>
      <c r="B3386" s="47" t="s">
        <v>6975</v>
      </c>
      <c r="C3386" s="47">
        <v>335.0</v>
      </c>
      <c r="D3386" s="47">
        <v>361.0</v>
      </c>
      <c r="E3386" s="47">
        <v>23750.0</v>
      </c>
      <c r="F3386" s="47" t="s">
        <v>11</v>
      </c>
    </row>
    <row r="3387" ht="15.75" customHeight="1">
      <c r="A3387" s="46" t="s">
        <v>6976</v>
      </c>
      <c r="B3387" s="47" t="s">
        <v>6977</v>
      </c>
      <c r="C3387" s="47">
        <v>94.0</v>
      </c>
      <c r="D3387" s="47">
        <v>101.0</v>
      </c>
      <c r="E3387" s="47">
        <v>26930.0</v>
      </c>
      <c r="F3387" s="47" t="s">
        <v>11</v>
      </c>
    </row>
    <row r="3388" ht="15.75" customHeight="1">
      <c r="A3388" s="46" t="s">
        <v>6978</v>
      </c>
      <c r="B3388" s="47" t="s">
        <v>6979</v>
      </c>
      <c r="C3388" s="47">
        <v>360.0</v>
      </c>
      <c r="D3388" s="47">
        <v>386.0</v>
      </c>
      <c r="E3388" s="47">
        <v>31780.0</v>
      </c>
      <c r="F3388" s="47" t="s">
        <v>11</v>
      </c>
    </row>
    <row r="3389" ht="15.75" customHeight="1">
      <c r="A3389" s="46" t="s">
        <v>6980</v>
      </c>
      <c r="B3389" s="47" t="s">
        <v>6981</v>
      </c>
      <c r="C3389" s="47">
        <v>440.0</v>
      </c>
      <c r="D3389" s="47">
        <v>386.0</v>
      </c>
      <c r="E3389" s="47">
        <v>25080.0</v>
      </c>
      <c r="F3389" s="47" t="s">
        <v>11</v>
      </c>
    </row>
    <row r="3390" ht="15.75" customHeight="1">
      <c r="A3390" s="46" t="s">
        <v>6982</v>
      </c>
      <c r="B3390" s="47" t="s">
        <v>6983</v>
      </c>
      <c r="C3390" s="47">
        <v>137.0</v>
      </c>
      <c r="D3390" s="47">
        <v>126.0</v>
      </c>
      <c r="E3390" s="47">
        <v>26480.0</v>
      </c>
      <c r="F3390" s="47" t="s">
        <v>11</v>
      </c>
    </row>
    <row r="3391" ht="15.75" customHeight="1">
      <c r="A3391" s="46" t="s">
        <v>6984</v>
      </c>
      <c r="B3391" s="47" t="s">
        <v>6985</v>
      </c>
      <c r="C3391" s="47">
        <v>127.0</v>
      </c>
      <c r="D3391" s="47">
        <v>113.0</v>
      </c>
      <c r="E3391" s="47">
        <v>29800.0</v>
      </c>
      <c r="F3391" s="47" t="s">
        <v>11</v>
      </c>
    </row>
    <row r="3392" ht="15.75" customHeight="1">
      <c r="A3392" s="46" t="s">
        <v>6986</v>
      </c>
      <c r="B3392" s="47" t="s">
        <v>6987</v>
      </c>
      <c r="C3392" s="47">
        <v>177.0</v>
      </c>
      <c r="D3392" s="47">
        <v>161.0</v>
      </c>
      <c r="E3392" s="47">
        <v>29090.0</v>
      </c>
      <c r="F3392" s="47" t="s">
        <v>11</v>
      </c>
    </row>
    <row r="3393" ht="15.75" customHeight="1">
      <c r="A3393" s="46" t="s">
        <v>6988</v>
      </c>
      <c r="B3393" s="47" t="s">
        <v>6989</v>
      </c>
      <c r="C3393" s="47">
        <v>140.0</v>
      </c>
      <c r="D3393" s="47">
        <v>145.0</v>
      </c>
      <c r="E3393" s="47">
        <v>25520.0</v>
      </c>
      <c r="F3393" s="47" t="s">
        <v>11</v>
      </c>
    </row>
    <row r="3394" ht="15.75" customHeight="1">
      <c r="A3394" s="46" t="s">
        <v>6990</v>
      </c>
      <c r="B3394" s="47" t="s">
        <v>6991</v>
      </c>
      <c r="C3394" s="47">
        <v>422.0</v>
      </c>
      <c r="D3394" s="47">
        <v>404.0</v>
      </c>
      <c r="E3394" s="47">
        <v>29730.0</v>
      </c>
      <c r="F3394" s="47" t="s">
        <v>11</v>
      </c>
    </row>
    <row r="3395" ht="15.75" customHeight="1">
      <c r="A3395" s="46" t="s">
        <v>6992</v>
      </c>
      <c r="B3395" s="47" t="s">
        <v>6993</v>
      </c>
      <c r="C3395" s="47">
        <v>1325.0</v>
      </c>
      <c r="D3395" s="47">
        <v>1351.0</v>
      </c>
      <c r="E3395" s="47">
        <v>22940.0</v>
      </c>
      <c r="F3395" s="47" t="s">
        <v>11</v>
      </c>
    </row>
    <row r="3396" ht="15.75" customHeight="1">
      <c r="A3396" s="46" t="s">
        <v>6994</v>
      </c>
      <c r="B3396" s="47" t="s">
        <v>6995</v>
      </c>
      <c r="C3396" s="47">
        <v>149.0</v>
      </c>
      <c r="D3396" s="47">
        <v>142.0</v>
      </c>
      <c r="E3396" s="47">
        <v>27130.0</v>
      </c>
      <c r="F3396" s="47" t="s">
        <v>11</v>
      </c>
    </row>
    <row r="3397" ht="15.75" customHeight="1">
      <c r="A3397" s="46" t="s">
        <v>6996</v>
      </c>
      <c r="B3397" s="47" t="s">
        <v>6997</v>
      </c>
      <c r="C3397" s="47">
        <v>343.0</v>
      </c>
      <c r="D3397" s="47">
        <v>322.0</v>
      </c>
      <c r="E3397" s="47">
        <v>25360.0</v>
      </c>
      <c r="F3397" s="47" t="s">
        <v>11</v>
      </c>
    </row>
    <row r="3398" ht="15.75" customHeight="1">
      <c r="A3398" s="46" t="s">
        <v>6998</v>
      </c>
      <c r="B3398" s="47" t="s">
        <v>6999</v>
      </c>
      <c r="C3398" s="47">
        <v>177.0</v>
      </c>
      <c r="D3398" s="47">
        <v>143.0</v>
      </c>
      <c r="E3398" s="47">
        <v>26230.0</v>
      </c>
      <c r="F3398" s="47" t="s">
        <v>11</v>
      </c>
    </row>
    <row r="3399" ht="15.75" customHeight="1">
      <c r="A3399" s="46" t="s">
        <v>7000</v>
      </c>
      <c r="B3399" s="47" t="s">
        <v>7001</v>
      </c>
      <c r="C3399" s="47">
        <v>4611.0</v>
      </c>
      <c r="D3399" s="47">
        <v>4378.0</v>
      </c>
      <c r="E3399" s="47">
        <v>19330.0</v>
      </c>
      <c r="F3399" s="47">
        <v>32.0</v>
      </c>
    </row>
    <row r="3400" ht="15.75" customHeight="1">
      <c r="A3400" s="46" t="s">
        <v>7002</v>
      </c>
      <c r="B3400" s="47" t="s">
        <v>3708</v>
      </c>
      <c r="C3400" s="47">
        <v>501.0</v>
      </c>
      <c r="D3400" s="47">
        <v>492.0</v>
      </c>
      <c r="E3400" s="47">
        <v>25520.0</v>
      </c>
      <c r="F3400" s="47" t="s">
        <v>11</v>
      </c>
    </row>
    <row r="3401" ht="15.75" customHeight="1">
      <c r="A3401" s="46" t="s">
        <v>7003</v>
      </c>
      <c r="B3401" s="47" t="s">
        <v>7004</v>
      </c>
      <c r="C3401" s="47">
        <v>630.0</v>
      </c>
      <c r="D3401" s="47">
        <v>624.0</v>
      </c>
      <c r="E3401" s="47">
        <v>28590.0</v>
      </c>
      <c r="F3401" s="47" t="s">
        <v>11</v>
      </c>
    </row>
    <row r="3402" ht="15.75" customHeight="1">
      <c r="A3402" s="46" t="s">
        <v>7005</v>
      </c>
      <c r="B3402" s="47" t="s">
        <v>7006</v>
      </c>
      <c r="C3402" s="47">
        <v>92.0</v>
      </c>
      <c r="D3402" s="47">
        <v>94.0</v>
      </c>
      <c r="E3402" s="47" t="s">
        <v>11</v>
      </c>
      <c r="F3402" s="47" t="s">
        <v>11</v>
      </c>
    </row>
    <row r="3403" ht="15.75" customHeight="1">
      <c r="A3403" s="46" t="s">
        <v>7007</v>
      </c>
      <c r="B3403" s="47" t="s">
        <v>7008</v>
      </c>
      <c r="C3403" s="47">
        <v>124.0</v>
      </c>
      <c r="D3403" s="47">
        <v>115.0</v>
      </c>
      <c r="E3403" s="47">
        <v>32780.0</v>
      </c>
      <c r="F3403" s="47" t="s">
        <v>11</v>
      </c>
    </row>
    <row r="3404" ht="15.75" customHeight="1">
      <c r="A3404" s="46" t="s">
        <v>7009</v>
      </c>
      <c r="B3404" s="47" t="s">
        <v>7010</v>
      </c>
      <c r="C3404" s="47">
        <v>1016.0</v>
      </c>
      <c r="D3404" s="47">
        <v>1027.0</v>
      </c>
      <c r="E3404" s="47">
        <v>27050.0</v>
      </c>
      <c r="F3404" s="47" t="s">
        <v>11</v>
      </c>
    </row>
    <row r="3405" ht="15.75" customHeight="1">
      <c r="A3405" s="46" t="s">
        <v>7011</v>
      </c>
      <c r="B3405" s="47" t="s">
        <v>7012</v>
      </c>
      <c r="C3405" s="47">
        <v>775.0</v>
      </c>
      <c r="D3405" s="47">
        <v>760.0</v>
      </c>
      <c r="E3405" s="47">
        <v>26140.0</v>
      </c>
      <c r="F3405" s="47" t="s">
        <v>11</v>
      </c>
    </row>
    <row r="3406" ht="15.75" customHeight="1">
      <c r="A3406" s="46" t="s">
        <v>7013</v>
      </c>
      <c r="B3406" s="47" t="s">
        <v>7014</v>
      </c>
      <c r="C3406" s="47">
        <v>1641.0</v>
      </c>
      <c r="D3406" s="47">
        <v>1640.0</v>
      </c>
      <c r="E3406" s="47">
        <v>21750.0</v>
      </c>
      <c r="F3406" s="47" t="s">
        <v>11</v>
      </c>
    </row>
    <row r="3407" ht="15.75" customHeight="1">
      <c r="A3407" s="46" t="s">
        <v>7015</v>
      </c>
      <c r="B3407" s="47" t="s">
        <v>7016</v>
      </c>
      <c r="C3407" s="47">
        <v>84.0</v>
      </c>
      <c r="D3407" s="47">
        <v>84.0</v>
      </c>
      <c r="E3407" s="47" t="s">
        <v>11</v>
      </c>
      <c r="F3407" s="47" t="s">
        <v>11</v>
      </c>
    </row>
    <row r="3408" ht="15.75" customHeight="1">
      <c r="A3408" s="46" t="s">
        <v>7017</v>
      </c>
      <c r="B3408" s="47" t="s">
        <v>7018</v>
      </c>
      <c r="C3408" s="47">
        <v>180.0</v>
      </c>
      <c r="D3408" s="47">
        <v>170.0</v>
      </c>
      <c r="E3408" s="47">
        <v>24950.0</v>
      </c>
      <c r="F3408" s="47" t="s">
        <v>11</v>
      </c>
    </row>
    <row r="3409" ht="15.75" customHeight="1">
      <c r="A3409" s="46" t="s">
        <v>7019</v>
      </c>
      <c r="B3409" s="47" t="s">
        <v>7020</v>
      </c>
      <c r="C3409" s="47">
        <v>291.0</v>
      </c>
      <c r="D3409" s="47">
        <v>302.0</v>
      </c>
      <c r="E3409" s="47">
        <v>23800.0</v>
      </c>
      <c r="F3409" s="47" t="s">
        <v>11</v>
      </c>
    </row>
    <row r="3410" ht="15.75" customHeight="1">
      <c r="A3410" s="46" t="s">
        <v>7021</v>
      </c>
      <c r="B3410" s="47" t="s">
        <v>7022</v>
      </c>
      <c r="C3410" s="47">
        <v>580.0</v>
      </c>
      <c r="D3410" s="47">
        <v>527.0</v>
      </c>
      <c r="E3410" s="47">
        <v>26360.0</v>
      </c>
      <c r="F3410" s="47" t="s">
        <v>11</v>
      </c>
    </row>
    <row r="3411" ht="15.75" customHeight="1">
      <c r="A3411" s="46" t="s">
        <v>7023</v>
      </c>
      <c r="B3411" s="47" t="s">
        <v>7024</v>
      </c>
      <c r="C3411" s="47">
        <v>394.0</v>
      </c>
      <c r="D3411" s="47">
        <v>378.0</v>
      </c>
      <c r="E3411" s="47">
        <v>29510.0</v>
      </c>
      <c r="F3411" s="47" t="s">
        <v>11</v>
      </c>
    </row>
    <row r="3412" ht="15.75" customHeight="1">
      <c r="A3412" s="46" t="s">
        <v>7025</v>
      </c>
      <c r="B3412" s="47" t="s">
        <v>7026</v>
      </c>
      <c r="C3412" s="47">
        <v>538.0</v>
      </c>
      <c r="D3412" s="47">
        <v>576.0</v>
      </c>
      <c r="E3412" s="47">
        <v>32870.0</v>
      </c>
      <c r="F3412" s="47" t="s">
        <v>11</v>
      </c>
    </row>
    <row r="3413" ht="15.75" customHeight="1">
      <c r="A3413" s="46" t="s">
        <v>7027</v>
      </c>
      <c r="B3413" s="47" t="s">
        <v>7028</v>
      </c>
      <c r="C3413" s="47">
        <v>126.0</v>
      </c>
      <c r="D3413" s="47">
        <v>106.0</v>
      </c>
      <c r="E3413" s="47">
        <v>25650.0</v>
      </c>
      <c r="F3413" s="47" t="s">
        <v>11</v>
      </c>
    </row>
    <row r="3414" ht="15.75" customHeight="1">
      <c r="A3414" s="46" t="s">
        <v>7029</v>
      </c>
      <c r="B3414" s="47" t="s">
        <v>7030</v>
      </c>
      <c r="C3414" s="47">
        <v>424.0</v>
      </c>
      <c r="D3414" s="47">
        <v>438.0</v>
      </c>
      <c r="E3414" s="47">
        <v>28060.0</v>
      </c>
      <c r="F3414" s="47" t="s">
        <v>11</v>
      </c>
    </row>
    <row r="3415" ht="15.75" customHeight="1">
      <c r="A3415" s="46" t="s">
        <v>7031</v>
      </c>
      <c r="B3415" s="47" t="s">
        <v>7032</v>
      </c>
      <c r="C3415" s="47">
        <v>363.0</v>
      </c>
      <c r="D3415" s="47">
        <v>347.0</v>
      </c>
      <c r="E3415" s="47">
        <v>26470.0</v>
      </c>
      <c r="F3415" s="47" t="s">
        <v>11</v>
      </c>
    </row>
    <row r="3416" ht="15.75" customHeight="1">
      <c r="A3416" s="46" t="s">
        <v>7033</v>
      </c>
      <c r="B3416" s="47" t="s">
        <v>7034</v>
      </c>
      <c r="C3416" s="47">
        <v>128.0</v>
      </c>
      <c r="D3416" s="47">
        <v>137.0</v>
      </c>
      <c r="E3416" s="47">
        <v>26790.0</v>
      </c>
      <c r="F3416" s="47" t="s">
        <v>11</v>
      </c>
    </row>
    <row r="3417" ht="15.75" customHeight="1">
      <c r="A3417" s="46" t="s">
        <v>7035</v>
      </c>
      <c r="B3417" s="47" t="s">
        <v>7036</v>
      </c>
      <c r="C3417" s="47">
        <v>195.0</v>
      </c>
      <c r="D3417" s="47">
        <v>194.0</v>
      </c>
      <c r="E3417" s="47">
        <v>27230.0</v>
      </c>
      <c r="F3417" s="47" t="s">
        <v>11</v>
      </c>
    </row>
    <row r="3418" ht="15.75" customHeight="1">
      <c r="A3418" s="46" t="s">
        <v>7037</v>
      </c>
      <c r="B3418" s="47" t="s">
        <v>7038</v>
      </c>
      <c r="C3418" s="47">
        <v>224.0</v>
      </c>
      <c r="D3418" s="47">
        <v>178.0</v>
      </c>
      <c r="E3418" s="47">
        <v>23660.0</v>
      </c>
      <c r="F3418" s="47" t="s">
        <v>11</v>
      </c>
    </row>
    <row r="3419" ht="15.75" customHeight="1">
      <c r="A3419" s="46" t="s">
        <v>7039</v>
      </c>
      <c r="B3419" s="47" t="s">
        <v>7040</v>
      </c>
      <c r="C3419" s="47">
        <v>614.0</v>
      </c>
      <c r="D3419" s="47">
        <v>764.0</v>
      </c>
      <c r="E3419" s="47">
        <v>28180.0</v>
      </c>
      <c r="F3419" s="47" t="s">
        <v>11</v>
      </c>
    </row>
    <row r="3420" ht="15.75" customHeight="1">
      <c r="A3420" s="46" t="s">
        <v>7041</v>
      </c>
      <c r="B3420" s="47" t="s">
        <v>7042</v>
      </c>
      <c r="C3420" s="47">
        <v>183.0</v>
      </c>
      <c r="D3420" s="47">
        <v>192.0</v>
      </c>
      <c r="E3420" s="47">
        <v>27090.0</v>
      </c>
      <c r="F3420" s="47" t="s">
        <v>11</v>
      </c>
    </row>
    <row r="3421" ht="15.75" customHeight="1">
      <c r="A3421" s="46" t="s">
        <v>7043</v>
      </c>
      <c r="B3421" s="47" t="s">
        <v>5324</v>
      </c>
      <c r="C3421" s="47">
        <v>45.0</v>
      </c>
      <c r="D3421" s="47">
        <v>38.0</v>
      </c>
      <c r="E3421" s="47" t="s">
        <v>11</v>
      </c>
      <c r="F3421" s="47" t="s">
        <v>11</v>
      </c>
    </row>
    <row r="3422" ht="15.75" customHeight="1">
      <c r="A3422" s="46" t="s">
        <v>7044</v>
      </c>
      <c r="B3422" s="47" t="s">
        <v>7045</v>
      </c>
      <c r="C3422" s="47">
        <v>189.0</v>
      </c>
      <c r="D3422" s="47">
        <v>184.0</v>
      </c>
      <c r="E3422" s="47">
        <v>25490.0</v>
      </c>
      <c r="F3422" s="47" t="s">
        <v>11</v>
      </c>
    </row>
    <row r="3423" ht="15.75" customHeight="1">
      <c r="A3423" s="46" t="s">
        <v>7046</v>
      </c>
      <c r="B3423" s="47" t="s">
        <v>7047</v>
      </c>
      <c r="C3423" s="47">
        <v>57.0</v>
      </c>
      <c r="D3423" s="47">
        <v>45.0</v>
      </c>
      <c r="E3423" s="47" t="s">
        <v>11</v>
      </c>
      <c r="F3423" s="47" t="s">
        <v>11</v>
      </c>
    </row>
    <row r="3424" ht="15.75" customHeight="1">
      <c r="A3424" s="46" t="s">
        <v>7048</v>
      </c>
      <c r="B3424" s="47" t="s">
        <v>7049</v>
      </c>
      <c r="C3424" s="47">
        <v>516.0</v>
      </c>
      <c r="D3424" s="47">
        <v>522.0</v>
      </c>
      <c r="E3424" s="47">
        <v>26980.0</v>
      </c>
      <c r="F3424" s="47" t="s">
        <v>11</v>
      </c>
    </row>
    <row r="3425" ht="15.75" customHeight="1">
      <c r="A3425" s="46" t="s">
        <v>7050</v>
      </c>
      <c r="B3425" s="47" t="s">
        <v>7051</v>
      </c>
      <c r="C3425" s="47">
        <v>117.0</v>
      </c>
      <c r="D3425" s="47">
        <v>108.0</v>
      </c>
      <c r="E3425" s="47">
        <v>24500.0</v>
      </c>
      <c r="F3425" s="47" t="s">
        <v>11</v>
      </c>
    </row>
    <row r="3426" ht="15.75" customHeight="1">
      <c r="A3426" s="46" t="s">
        <v>7052</v>
      </c>
      <c r="B3426" s="47" t="s">
        <v>7053</v>
      </c>
      <c r="C3426" s="47">
        <v>507.0</v>
      </c>
      <c r="D3426" s="47">
        <v>527.0</v>
      </c>
      <c r="E3426" s="47">
        <v>22880.0</v>
      </c>
      <c r="F3426" s="47" t="s">
        <v>11</v>
      </c>
    </row>
    <row r="3427" ht="15.75" customHeight="1">
      <c r="A3427" s="46" t="s">
        <v>7054</v>
      </c>
      <c r="B3427" s="47" t="s">
        <v>7055</v>
      </c>
      <c r="C3427" s="47">
        <v>169.0</v>
      </c>
      <c r="D3427" s="47">
        <v>165.0</v>
      </c>
      <c r="E3427" s="47">
        <v>25210.0</v>
      </c>
      <c r="F3427" s="47" t="s">
        <v>11</v>
      </c>
    </row>
    <row r="3428" ht="15.75" customHeight="1">
      <c r="A3428" s="46" t="s">
        <v>7056</v>
      </c>
      <c r="B3428" s="47" t="s">
        <v>7057</v>
      </c>
      <c r="C3428" s="47">
        <v>150.0</v>
      </c>
      <c r="D3428" s="47">
        <v>150.0</v>
      </c>
      <c r="E3428" s="47">
        <v>20740.0</v>
      </c>
      <c r="F3428" s="47" t="s">
        <v>11</v>
      </c>
    </row>
    <row r="3429" ht="15.75" customHeight="1">
      <c r="A3429" s="46" t="s">
        <v>7058</v>
      </c>
      <c r="B3429" s="47" t="s">
        <v>7059</v>
      </c>
      <c r="C3429" s="47">
        <v>1180.0</v>
      </c>
      <c r="D3429" s="47">
        <v>1111.0</v>
      </c>
      <c r="E3429" s="47">
        <v>23550.0</v>
      </c>
      <c r="F3429" s="47" t="s">
        <v>11</v>
      </c>
    </row>
    <row r="3430" ht="15.75" customHeight="1">
      <c r="A3430" s="46" t="s">
        <v>7060</v>
      </c>
      <c r="B3430" s="47" t="s">
        <v>7061</v>
      </c>
      <c r="C3430" s="47">
        <v>1679.0</v>
      </c>
      <c r="D3430" s="47">
        <v>1622.0</v>
      </c>
      <c r="E3430" s="47">
        <v>24230.0</v>
      </c>
      <c r="F3430" s="47" t="s">
        <v>11</v>
      </c>
    </row>
    <row r="3431" ht="15.75" customHeight="1">
      <c r="A3431" s="46" t="s">
        <v>7062</v>
      </c>
      <c r="B3431" s="47" t="s">
        <v>7063</v>
      </c>
      <c r="C3431" s="47">
        <v>665.0</v>
      </c>
      <c r="D3431" s="47">
        <v>679.0</v>
      </c>
      <c r="E3431" s="47">
        <v>25630.0</v>
      </c>
      <c r="F3431" s="47" t="s">
        <v>11</v>
      </c>
    </row>
    <row r="3432" ht="15.75" customHeight="1">
      <c r="A3432" s="46" t="s">
        <v>7064</v>
      </c>
      <c r="B3432" s="47" t="s">
        <v>7065</v>
      </c>
      <c r="C3432" s="47">
        <v>268.0</v>
      </c>
      <c r="D3432" s="47">
        <v>247.0</v>
      </c>
      <c r="E3432" s="47">
        <v>21420.0</v>
      </c>
      <c r="F3432" s="47" t="s">
        <v>11</v>
      </c>
    </row>
    <row r="3433" ht="15.75" customHeight="1">
      <c r="A3433" s="46" t="s">
        <v>7066</v>
      </c>
      <c r="B3433" s="47" t="s">
        <v>7067</v>
      </c>
      <c r="C3433" s="47">
        <v>785.0</v>
      </c>
      <c r="D3433" s="47">
        <v>749.0</v>
      </c>
      <c r="E3433" s="47">
        <v>25550.0</v>
      </c>
      <c r="F3433" s="47" t="s">
        <v>11</v>
      </c>
    </row>
    <row r="3434" ht="15.75" customHeight="1">
      <c r="A3434" s="46" t="s">
        <v>7068</v>
      </c>
      <c r="B3434" s="47" t="s">
        <v>7069</v>
      </c>
      <c r="C3434" s="47">
        <v>76.0</v>
      </c>
      <c r="D3434" s="47">
        <v>65.0</v>
      </c>
      <c r="E3434" s="47" t="s">
        <v>11</v>
      </c>
      <c r="F3434" s="47" t="s">
        <v>11</v>
      </c>
    </row>
    <row r="3435" ht="15.75" customHeight="1">
      <c r="A3435" s="46" t="s">
        <v>7070</v>
      </c>
      <c r="B3435" s="47" t="s">
        <v>7071</v>
      </c>
      <c r="C3435" s="47">
        <v>113.0</v>
      </c>
      <c r="D3435" s="47">
        <v>118.0</v>
      </c>
      <c r="E3435" s="47" t="s">
        <v>11</v>
      </c>
      <c r="F3435" s="47" t="s">
        <v>11</v>
      </c>
    </row>
    <row r="3436" ht="15.75" customHeight="1">
      <c r="A3436" s="46" t="s">
        <v>7072</v>
      </c>
      <c r="B3436" s="47" t="s">
        <v>7073</v>
      </c>
      <c r="C3436" s="47">
        <v>113.0</v>
      </c>
      <c r="D3436" s="47">
        <v>111.0</v>
      </c>
      <c r="E3436" s="47">
        <v>24640.0</v>
      </c>
      <c r="F3436" s="47" t="s">
        <v>11</v>
      </c>
    </row>
    <row r="3437" ht="15.75" customHeight="1">
      <c r="A3437" s="46" t="s">
        <v>7074</v>
      </c>
      <c r="B3437" s="47" t="s">
        <v>7075</v>
      </c>
      <c r="C3437" s="47">
        <v>518.0</v>
      </c>
      <c r="D3437" s="47">
        <v>532.0</v>
      </c>
      <c r="E3437" s="47">
        <v>28360.0</v>
      </c>
      <c r="F3437" s="47" t="s">
        <v>11</v>
      </c>
    </row>
    <row r="3438" ht="15.75" customHeight="1">
      <c r="A3438" s="46" t="s">
        <v>7076</v>
      </c>
      <c r="B3438" s="47" t="s">
        <v>7077</v>
      </c>
      <c r="C3438" s="47">
        <v>150.0</v>
      </c>
      <c r="D3438" s="47">
        <v>134.0</v>
      </c>
      <c r="E3438" s="47">
        <v>26170.0</v>
      </c>
      <c r="F3438" s="47" t="s">
        <v>11</v>
      </c>
    </row>
    <row r="3439" ht="15.75" customHeight="1">
      <c r="A3439" s="46" t="s">
        <v>7078</v>
      </c>
      <c r="B3439" s="47" t="s">
        <v>7079</v>
      </c>
      <c r="C3439" s="47">
        <v>85.0</v>
      </c>
      <c r="D3439" s="47">
        <v>87.0</v>
      </c>
      <c r="E3439" s="47" t="s">
        <v>11</v>
      </c>
      <c r="F3439" s="47" t="s">
        <v>11</v>
      </c>
    </row>
    <row r="3440" ht="15.75" customHeight="1">
      <c r="A3440" s="46" t="s">
        <v>7080</v>
      </c>
      <c r="B3440" s="47" t="s">
        <v>7081</v>
      </c>
      <c r="C3440" s="47">
        <v>550.0</v>
      </c>
      <c r="D3440" s="47">
        <v>553.0</v>
      </c>
      <c r="E3440" s="47">
        <v>26240.0</v>
      </c>
      <c r="F3440" s="47" t="s">
        <v>11</v>
      </c>
    </row>
    <row r="3441" ht="15.75" customHeight="1">
      <c r="A3441" s="46" t="s">
        <v>7082</v>
      </c>
      <c r="B3441" s="47" t="s">
        <v>7083</v>
      </c>
      <c r="C3441" s="47">
        <v>471.0</v>
      </c>
      <c r="D3441" s="47">
        <v>442.0</v>
      </c>
      <c r="E3441" s="47">
        <v>28570.0</v>
      </c>
      <c r="F3441" s="47" t="s">
        <v>11</v>
      </c>
    </row>
    <row r="3442" ht="15.75" customHeight="1">
      <c r="A3442" s="46" t="s">
        <v>7084</v>
      </c>
      <c r="B3442" s="47" t="s">
        <v>7085</v>
      </c>
      <c r="C3442" s="47">
        <v>117.0</v>
      </c>
      <c r="D3442" s="47">
        <v>98.0</v>
      </c>
      <c r="E3442" s="47" t="s">
        <v>11</v>
      </c>
      <c r="F3442" s="47" t="s">
        <v>11</v>
      </c>
    </row>
    <row r="3443" ht="15.75" customHeight="1">
      <c r="A3443" s="46" t="s">
        <v>7086</v>
      </c>
      <c r="B3443" s="47" t="s">
        <v>7087</v>
      </c>
      <c r="C3443" s="47">
        <v>65.0</v>
      </c>
      <c r="D3443" s="47">
        <v>51.0</v>
      </c>
      <c r="E3443" s="47" t="s">
        <v>11</v>
      </c>
      <c r="F3443" s="47" t="s">
        <v>11</v>
      </c>
    </row>
    <row r="3444" ht="15.75" customHeight="1">
      <c r="A3444" s="46" t="s">
        <v>7088</v>
      </c>
      <c r="B3444" s="47" t="s">
        <v>7089</v>
      </c>
      <c r="C3444" s="47">
        <v>222.0</v>
      </c>
      <c r="D3444" s="47">
        <v>260.0</v>
      </c>
      <c r="E3444" s="47">
        <v>28990.0</v>
      </c>
      <c r="F3444" s="47" t="s">
        <v>11</v>
      </c>
    </row>
    <row r="3445" ht="15.75" customHeight="1">
      <c r="A3445" s="46" t="s">
        <v>7090</v>
      </c>
      <c r="B3445" s="47" t="s">
        <v>7091</v>
      </c>
      <c r="C3445" s="47">
        <v>352.0</v>
      </c>
      <c r="D3445" s="47">
        <v>328.0</v>
      </c>
      <c r="E3445" s="47">
        <v>26420.0</v>
      </c>
      <c r="F3445" s="47" t="s">
        <v>11</v>
      </c>
    </row>
    <row r="3446" ht="15.75" customHeight="1">
      <c r="A3446" s="46" t="s">
        <v>7092</v>
      </c>
      <c r="B3446" s="47" t="s">
        <v>7093</v>
      </c>
      <c r="C3446" s="47">
        <v>703.0</v>
      </c>
      <c r="D3446" s="47">
        <v>725.0</v>
      </c>
      <c r="E3446" s="47">
        <v>26500.0</v>
      </c>
      <c r="F3446" s="47" t="s">
        <v>11</v>
      </c>
    </row>
    <row r="3447" ht="15.75" customHeight="1">
      <c r="A3447" s="46" t="s">
        <v>7094</v>
      </c>
      <c r="B3447" s="47" t="s">
        <v>7095</v>
      </c>
      <c r="C3447" s="47">
        <v>915.0</v>
      </c>
      <c r="D3447" s="47">
        <v>859.0</v>
      </c>
      <c r="E3447" s="47">
        <v>23950.0</v>
      </c>
      <c r="F3447" s="47" t="s">
        <v>11</v>
      </c>
    </row>
    <row r="3448" ht="15.75" customHeight="1">
      <c r="A3448" s="46" t="s">
        <v>7096</v>
      </c>
      <c r="B3448" s="47" t="s">
        <v>7097</v>
      </c>
      <c r="C3448" s="47">
        <v>195.0</v>
      </c>
      <c r="D3448" s="47">
        <v>192.0</v>
      </c>
      <c r="E3448" s="47">
        <v>24400.0</v>
      </c>
      <c r="F3448" s="47" t="s">
        <v>11</v>
      </c>
    </row>
    <row r="3449" ht="15.75" customHeight="1">
      <c r="A3449" s="46" t="s">
        <v>7098</v>
      </c>
      <c r="B3449" s="47" t="s">
        <v>7099</v>
      </c>
      <c r="C3449" s="47">
        <v>131.0</v>
      </c>
      <c r="D3449" s="47">
        <v>133.0</v>
      </c>
      <c r="E3449" s="47">
        <v>22840.0</v>
      </c>
      <c r="F3449" s="47" t="s">
        <v>11</v>
      </c>
    </row>
    <row r="3450" ht="15.75" customHeight="1">
      <c r="A3450" s="46" t="s">
        <v>7100</v>
      </c>
      <c r="B3450" s="47" t="s">
        <v>7101</v>
      </c>
      <c r="C3450" s="47">
        <v>203.0</v>
      </c>
      <c r="D3450" s="47">
        <v>183.0</v>
      </c>
      <c r="E3450" s="47">
        <v>24030.0</v>
      </c>
      <c r="F3450" s="47" t="s">
        <v>11</v>
      </c>
    </row>
    <row r="3451" ht="15.75" customHeight="1">
      <c r="A3451" s="46" t="s">
        <v>7102</v>
      </c>
      <c r="B3451" s="47" t="s">
        <v>7103</v>
      </c>
      <c r="C3451" s="47">
        <v>171.0</v>
      </c>
      <c r="D3451" s="47">
        <v>170.0</v>
      </c>
      <c r="E3451" s="47">
        <v>25910.0</v>
      </c>
      <c r="F3451" s="47" t="s">
        <v>11</v>
      </c>
    </row>
    <row r="3452" ht="15.75" customHeight="1">
      <c r="A3452" s="46" t="s">
        <v>7104</v>
      </c>
      <c r="B3452" s="47" t="s">
        <v>7105</v>
      </c>
      <c r="C3452" s="47">
        <v>173.0</v>
      </c>
      <c r="D3452" s="47">
        <v>154.0</v>
      </c>
      <c r="E3452" s="47">
        <v>28200.0</v>
      </c>
      <c r="F3452" s="47" t="s">
        <v>11</v>
      </c>
    </row>
    <row r="3453" ht="15.75" customHeight="1">
      <c r="A3453" s="46" t="s">
        <v>7106</v>
      </c>
      <c r="B3453" s="47" t="s">
        <v>7107</v>
      </c>
      <c r="C3453" s="47">
        <v>167.0</v>
      </c>
      <c r="D3453" s="47">
        <v>156.0</v>
      </c>
      <c r="E3453" s="47">
        <v>25830.0</v>
      </c>
      <c r="F3453" s="47" t="s">
        <v>11</v>
      </c>
    </row>
    <row r="3454" ht="15.75" customHeight="1">
      <c r="A3454" s="46" t="s">
        <v>7108</v>
      </c>
      <c r="B3454" s="47" t="s">
        <v>7109</v>
      </c>
      <c r="C3454" s="47">
        <v>182.0</v>
      </c>
      <c r="D3454" s="47">
        <v>166.0</v>
      </c>
      <c r="E3454" s="47">
        <v>24620.0</v>
      </c>
      <c r="F3454" s="47" t="s">
        <v>11</v>
      </c>
    </row>
    <row r="3455" ht="15.75" customHeight="1">
      <c r="A3455" s="46" t="s">
        <v>7110</v>
      </c>
      <c r="B3455" s="47" t="s">
        <v>7111</v>
      </c>
      <c r="C3455" s="47">
        <v>301.0</v>
      </c>
      <c r="D3455" s="47">
        <v>292.0</v>
      </c>
      <c r="E3455" s="47">
        <v>24550.0</v>
      </c>
      <c r="F3455" s="47" t="s">
        <v>11</v>
      </c>
    </row>
    <row r="3456" ht="15.75" customHeight="1">
      <c r="A3456" s="46" t="s">
        <v>7112</v>
      </c>
      <c r="B3456" s="47" t="s">
        <v>7113</v>
      </c>
      <c r="C3456" s="47">
        <v>400.0</v>
      </c>
      <c r="D3456" s="47">
        <v>395.0</v>
      </c>
      <c r="E3456" s="47">
        <v>24850.0</v>
      </c>
      <c r="F3456" s="47" t="s">
        <v>11</v>
      </c>
    </row>
    <row r="3457" ht="15.75" customHeight="1">
      <c r="A3457" s="46" t="s">
        <v>7114</v>
      </c>
      <c r="B3457" s="47" t="s">
        <v>7115</v>
      </c>
      <c r="C3457" s="47">
        <v>227.0</v>
      </c>
      <c r="D3457" s="47">
        <v>217.0</v>
      </c>
      <c r="E3457" s="47">
        <v>24520.0</v>
      </c>
      <c r="F3457" s="47" t="s">
        <v>11</v>
      </c>
    </row>
    <row r="3458" ht="15.75" customHeight="1">
      <c r="A3458" s="46" t="s">
        <v>7116</v>
      </c>
      <c r="B3458" s="47" t="s">
        <v>7117</v>
      </c>
      <c r="C3458" s="47">
        <v>359.0</v>
      </c>
      <c r="D3458" s="47">
        <v>327.0</v>
      </c>
      <c r="E3458" s="47">
        <v>22960.0</v>
      </c>
      <c r="F3458" s="47" t="s">
        <v>11</v>
      </c>
    </row>
    <row r="3459" ht="15.75" customHeight="1">
      <c r="A3459" s="46" t="s">
        <v>7118</v>
      </c>
      <c r="B3459" s="47" t="s">
        <v>7119</v>
      </c>
      <c r="C3459" s="47">
        <v>219.0</v>
      </c>
      <c r="D3459" s="47">
        <v>223.0</v>
      </c>
      <c r="E3459" s="47">
        <v>22530.0</v>
      </c>
      <c r="F3459" s="47" t="s">
        <v>11</v>
      </c>
    </row>
    <row r="3460" ht="15.75" customHeight="1">
      <c r="A3460" s="46" t="s">
        <v>7120</v>
      </c>
      <c r="B3460" s="47" t="s">
        <v>7121</v>
      </c>
      <c r="C3460" s="47">
        <v>137.0</v>
      </c>
      <c r="D3460" s="47">
        <v>142.0</v>
      </c>
      <c r="E3460" s="47">
        <v>24410.0</v>
      </c>
      <c r="F3460" s="47" t="s">
        <v>11</v>
      </c>
    </row>
    <row r="3461" ht="15.75" customHeight="1">
      <c r="A3461" s="46" t="s">
        <v>7122</v>
      </c>
      <c r="B3461" s="47" t="s">
        <v>7123</v>
      </c>
      <c r="C3461" s="47">
        <v>385.0</v>
      </c>
      <c r="D3461" s="47">
        <v>346.0</v>
      </c>
      <c r="E3461" s="47">
        <v>24200.0</v>
      </c>
      <c r="F3461" s="47" t="s">
        <v>11</v>
      </c>
    </row>
    <row r="3462" ht="15.75" customHeight="1">
      <c r="A3462" s="46" t="s">
        <v>7124</v>
      </c>
      <c r="B3462" s="47" t="s">
        <v>7125</v>
      </c>
      <c r="C3462" s="47">
        <v>111.0</v>
      </c>
      <c r="D3462" s="47">
        <v>108.0</v>
      </c>
      <c r="E3462" s="47" t="s">
        <v>11</v>
      </c>
      <c r="F3462" s="47" t="s">
        <v>11</v>
      </c>
    </row>
    <row r="3463" ht="15.75" customHeight="1">
      <c r="A3463" s="46" t="s">
        <v>7126</v>
      </c>
      <c r="B3463" s="47" t="s">
        <v>7127</v>
      </c>
      <c r="C3463" s="47">
        <v>442.0</v>
      </c>
      <c r="D3463" s="47">
        <v>463.0</v>
      </c>
      <c r="E3463" s="47">
        <v>22070.0</v>
      </c>
      <c r="F3463" s="47" t="s">
        <v>11</v>
      </c>
    </row>
    <row r="3464" ht="15.75" customHeight="1">
      <c r="A3464" s="46" t="s">
        <v>7128</v>
      </c>
      <c r="B3464" s="47" t="s">
        <v>7129</v>
      </c>
      <c r="C3464" s="47">
        <v>141.0</v>
      </c>
      <c r="D3464" s="47">
        <v>142.0</v>
      </c>
      <c r="E3464" s="47">
        <v>25250.0</v>
      </c>
      <c r="F3464" s="47" t="s">
        <v>11</v>
      </c>
    </row>
    <row r="3465" ht="15.75" customHeight="1">
      <c r="A3465" s="46" t="s">
        <v>7130</v>
      </c>
      <c r="B3465" s="47" t="s">
        <v>7131</v>
      </c>
      <c r="C3465" s="47">
        <v>397.0</v>
      </c>
      <c r="D3465" s="47">
        <v>374.0</v>
      </c>
      <c r="E3465" s="47">
        <v>21620.0</v>
      </c>
      <c r="F3465" s="47" t="s">
        <v>11</v>
      </c>
    </row>
    <row r="3466" ht="15.75" customHeight="1">
      <c r="A3466" s="46" t="s">
        <v>7132</v>
      </c>
      <c r="B3466" s="47" t="s">
        <v>7133</v>
      </c>
      <c r="C3466" s="47">
        <v>1205.0</v>
      </c>
      <c r="D3466" s="47">
        <v>1148.0</v>
      </c>
      <c r="E3466" s="47">
        <v>27800.0</v>
      </c>
      <c r="F3466" s="47" t="s">
        <v>11</v>
      </c>
    </row>
    <row r="3467" ht="15.75" customHeight="1">
      <c r="A3467" s="46" t="s">
        <v>7134</v>
      </c>
      <c r="B3467" s="47" t="s">
        <v>7135</v>
      </c>
      <c r="C3467" s="47">
        <v>621.0</v>
      </c>
      <c r="D3467" s="47">
        <v>590.0</v>
      </c>
      <c r="E3467" s="47">
        <v>22630.0</v>
      </c>
      <c r="F3467" s="47" t="s">
        <v>11</v>
      </c>
    </row>
    <row r="3468" ht="15.75" customHeight="1">
      <c r="A3468" s="46" t="s">
        <v>7136</v>
      </c>
      <c r="B3468" s="47" t="s">
        <v>7137</v>
      </c>
      <c r="C3468" s="47">
        <v>86.0</v>
      </c>
      <c r="D3468" s="47">
        <v>77.0</v>
      </c>
      <c r="E3468" s="47">
        <v>22220.0</v>
      </c>
      <c r="F3468" s="47" t="s">
        <v>11</v>
      </c>
    </row>
    <row r="3469" ht="15.75" customHeight="1">
      <c r="A3469" s="46" t="s">
        <v>7138</v>
      </c>
      <c r="B3469" s="47" t="s">
        <v>7139</v>
      </c>
      <c r="C3469" s="47">
        <v>1660.0</v>
      </c>
      <c r="D3469" s="47">
        <v>1500.0</v>
      </c>
      <c r="E3469" s="47">
        <v>23350.0</v>
      </c>
      <c r="F3469" s="47" t="s">
        <v>11</v>
      </c>
    </row>
    <row r="3470" ht="15.75" customHeight="1">
      <c r="A3470" s="46" t="s">
        <v>7140</v>
      </c>
      <c r="B3470" s="47" t="s">
        <v>7141</v>
      </c>
      <c r="C3470" s="47">
        <v>5621.0</v>
      </c>
      <c r="D3470" s="47">
        <v>5680.0</v>
      </c>
      <c r="E3470" s="47">
        <v>24150.0</v>
      </c>
      <c r="F3470" s="47">
        <v>15.0</v>
      </c>
    </row>
    <row r="3471" ht="15.75" customHeight="1">
      <c r="A3471" s="46" t="s">
        <v>7142</v>
      </c>
      <c r="B3471" s="47" t="s">
        <v>7143</v>
      </c>
      <c r="C3471" s="47">
        <v>271.0</v>
      </c>
      <c r="D3471" s="47">
        <v>292.0</v>
      </c>
      <c r="E3471" s="47">
        <v>24660.0</v>
      </c>
      <c r="F3471" s="47" t="s">
        <v>11</v>
      </c>
    </row>
    <row r="3472" ht="15.75" customHeight="1">
      <c r="A3472" s="46" t="s">
        <v>7144</v>
      </c>
      <c r="B3472" s="47" t="s">
        <v>7145</v>
      </c>
      <c r="C3472" s="47">
        <v>77.0</v>
      </c>
      <c r="D3472" s="47">
        <v>67.0</v>
      </c>
      <c r="E3472" s="47" t="s">
        <v>11</v>
      </c>
      <c r="F3472" s="47" t="s">
        <v>11</v>
      </c>
    </row>
    <row r="3473" ht="15.75" customHeight="1">
      <c r="A3473" s="46" t="s">
        <v>7146</v>
      </c>
      <c r="B3473" s="47" t="s">
        <v>7147</v>
      </c>
      <c r="C3473" s="47">
        <v>281.0</v>
      </c>
      <c r="D3473" s="47">
        <v>289.0</v>
      </c>
      <c r="E3473" s="47">
        <v>22690.0</v>
      </c>
      <c r="F3473" s="47" t="s">
        <v>11</v>
      </c>
    </row>
    <row r="3474" ht="15.75" customHeight="1">
      <c r="A3474" s="46" t="s">
        <v>7148</v>
      </c>
      <c r="B3474" s="47" t="s">
        <v>7149</v>
      </c>
      <c r="C3474" s="47">
        <v>200.0</v>
      </c>
      <c r="D3474" s="47">
        <v>197.0</v>
      </c>
      <c r="E3474" s="47">
        <v>25230.0</v>
      </c>
      <c r="F3474" s="47" t="s">
        <v>11</v>
      </c>
    </row>
    <row r="3475" ht="15.75" customHeight="1">
      <c r="A3475" s="46" t="s">
        <v>7150</v>
      </c>
      <c r="B3475" s="47" t="s">
        <v>7151</v>
      </c>
      <c r="C3475" s="47">
        <v>534.0</v>
      </c>
      <c r="D3475" s="47">
        <v>521.0</v>
      </c>
      <c r="E3475" s="47">
        <v>22150.0</v>
      </c>
      <c r="F3475" s="47" t="s">
        <v>11</v>
      </c>
    </row>
    <row r="3476" ht="15.75" customHeight="1">
      <c r="A3476" s="46" t="s">
        <v>7152</v>
      </c>
      <c r="B3476" s="47" t="s">
        <v>7153</v>
      </c>
      <c r="C3476" s="47">
        <v>156.0</v>
      </c>
      <c r="D3476" s="47">
        <v>151.0</v>
      </c>
      <c r="E3476" s="47">
        <v>25080.0</v>
      </c>
      <c r="F3476" s="47" t="s">
        <v>11</v>
      </c>
    </row>
    <row r="3477" ht="15.75" customHeight="1">
      <c r="A3477" s="46" t="s">
        <v>7154</v>
      </c>
      <c r="B3477" s="47" t="s">
        <v>7155</v>
      </c>
      <c r="C3477" s="47">
        <v>127.0</v>
      </c>
      <c r="D3477" s="47">
        <v>117.0</v>
      </c>
      <c r="E3477" s="47">
        <v>26530.0</v>
      </c>
      <c r="F3477" s="47" t="s">
        <v>11</v>
      </c>
    </row>
    <row r="3478" ht="15.75" customHeight="1">
      <c r="A3478" s="46" t="s">
        <v>7156</v>
      </c>
      <c r="B3478" s="47" t="s">
        <v>7157</v>
      </c>
      <c r="C3478" s="47">
        <v>624.0</v>
      </c>
      <c r="D3478" s="47">
        <v>628.0</v>
      </c>
      <c r="E3478" s="47">
        <v>24430.0</v>
      </c>
      <c r="F3478" s="47" t="s">
        <v>11</v>
      </c>
    </row>
    <row r="3479" ht="15.75" customHeight="1">
      <c r="A3479" s="46" t="s">
        <v>7158</v>
      </c>
      <c r="B3479" s="47" t="s">
        <v>7159</v>
      </c>
      <c r="C3479" s="47">
        <v>299.0</v>
      </c>
      <c r="D3479" s="47">
        <v>290.0</v>
      </c>
      <c r="E3479" s="47">
        <v>28070.0</v>
      </c>
      <c r="F3479" s="47" t="s">
        <v>11</v>
      </c>
    </row>
    <row r="3480" ht="15.75" customHeight="1">
      <c r="A3480" s="46" t="s">
        <v>7160</v>
      </c>
      <c r="B3480" s="47" t="s">
        <v>7161</v>
      </c>
      <c r="C3480" s="47">
        <v>516.0</v>
      </c>
      <c r="D3480" s="47">
        <v>472.0</v>
      </c>
      <c r="E3480" s="47">
        <v>23110.0</v>
      </c>
      <c r="F3480" s="47" t="s">
        <v>11</v>
      </c>
    </row>
    <row r="3481" ht="15.75" customHeight="1">
      <c r="A3481" s="46" t="s">
        <v>7162</v>
      </c>
      <c r="B3481" s="47" t="s">
        <v>7163</v>
      </c>
      <c r="C3481" s="47">
        <v>274.0</v>
      </c>
      <c r="D3481" s="47">
        <v>280.0</v>
      </c>
      <c r="E3481" s="47">
        <v>19300.0</v>
      </c>
      <c r="F3481" s="47" t="s">
        <v>11</v>
      </c>
    </row>
    <row r="3482" ht="15.75" customHeight="1">
      <c r="A3482" s="46" t="s">
        <v>7164</v>
      </c>
      <c r="B3482" s="47" t="s">
        <v>7165</v>
      </c>
      <c r="C3482" s="47">
        <v>106.0</v>
      </c>
      <c r="D3482" s="47">
        <v>97.0</v>
      </c>
      <c r="E3482" s="47" t="s">
        <v>11</v>
      </c>
      <c r="F3482" s="47" t="s">
        <v>11</v>
      </c>
    </row>
    <row r="3483" ht="15.75" customHeight="1">
      <c r="A3483" s="46" t="s">
        <v>7166</v>
      </c>
      <c r="B3483" s="47" t="s">
        <v>7167</v>
      </c>
      <c r="C3483" s="47">
        <v>192.0</v>
      </c>
      <c r="D3483" s="47">
        <v>182.0</v>
      </c>
      <c r="E3483" s="47">
        <v>26150.0</v>
      </c>
      <c r="F3483" s="47" t="s">
        <v>11</v>
      </c>
    </row>
    <row r="3484" ht="15.75" customHeight="1">
      <c r="A3484" s="46" t="s">
        <v>7168</v>
      </c>
      <c r="B3484" s="47" t="s">
        <v>7169</v>
      </c>
      <c r="C3484" s="47">
        <v>78.0</v>
      </c>
      <c r="D3484" s="47">
        <v>70.0</v>
      </c>
      <c r="E3484" s="47" t="s">
        <v>11</v>
      </c>
      <c r="F3484" s="47" t="s">
        <v>11</v>
      </c>
    </row>
    <row r="3485" ht="15.75" customHeight="1">
      <c r="A3485" s="46" t="s">
        <v>7170</v>
      </c>
      <c r="B3485" s="47" t="s">
        <v>7171</v>
      </c>
      <c r="C3485" s="47">
        <v>285.0</v>
      </c>
      <c r="D3485" s="47">
        <v>255.0</v>
      </c>
      <c r="E3485" s="47">
        <v>27440.0</v>
      </c>
      <c r="F3485" s="47" t="s">
        <v>11</v>
      </c>
    </row>
    <row r="3486" ht="15.75" customHeight="1">
      <c r="A3486" s="46" t="s">
        <v>7172</v>
      </c>
      <c r="B3486" s="47" t="s">
        <v>7173</v>
      </c>
      <c r="C3486" s="47">
        <v>1239.0</v>
      </c>
      <c r="D3486" s="47">
        <v>1302.0</v>
      </c>
      <c r="E3486" s="47">
        <v>26680.0</v>
      </c>
      <c r="F3486" s="47" t="s">
        <v>11</v>
      </c>
    </row>
    <row r="3487" ht="15.75" customHeight="1">
      <c r="A3487" s="46" t="s">
        <v>7174</v>
      </c>
      <c r="B3487" s="47" t="s">
        <v>7175</v>
      </c>
      <c r="C3487" s="47">
        <v>53.0</v>
      </c>
      <c r="D3487" s="47">
        <v>51.0</v>
      </c>
      <c r="E3487" s="47" t="s">
        <v>11</v>
      </c>
      <c r="F3487" s="47" t="s">
        <v>11</v>
      </c>
    </row>
    <row r="3488" ht="15.75" customHeight="1">
      <c r="A3488" s="46" t="s">
        <v>7176</v>
      </c>
      <c r="B3488" s="47" t="s">
        <v>7177</v>
      </c>
      <c r="C3488" s="47">
        <v>599.0</v>
      </c>
      <c r="D3488" s="47">
        <v>575.0</v>
      </c>
      <c r="E3488" s="47">
        <v>23290.0</v>
      </c>
      <c r="F3488" s="47" t="s">
        <v>11</v>
      </c>
    </row>
    <row r="3489" ht="15.75" customHeight="1">
      <c r="A3489" s="46" t="s">
        <v>7178</v>
      </c>
      <c r="B3489" s="47" t="s">
        <v>7179</v>
      </c>
      <c r="C3489" s="47">
        <v>113.0</v>
      </c>
      <c r="D3489" s="47">
        <v>120.0</v>
      </c>
      <c r="E3489" s="47">
        <v>27630.0</v>
      </c>
      <c r="F3489" s="47" t="s">
        <v>11</v>
      </c>
    </row>
    <row r="3490" ht="15.75" customHeight="1">
      <c r="A3490" s="46" t="s">
        <v>7180</v>
      </c>
      <c r="B3490" s="47" t="s">
        <v>7181</v>
      </c>
      <c r="C3490" s="47">
        <v>825.0</v>
      </c>
      <c r="D3490" s="47">
        <v>840.0</v>
      </c>
      <c r="E3490" s="47">
        <v>23920.0</v>
      </c>
      <c r="F3490" s="47" t="s">
        <v>11</v>
      </c>
    </row>
    <row r="3491" ht="15.75" customHeight="1">
      <c r="A3491" s="46" t="s">
        <v>7182</v>
      </c>
      <c r="B3491" s="47" t="s">
        <v>7183</v>
      </c>
      <c r="C3491" s="47">
        <v>178.0</v>
      </c>
      <c r="D3491" s="47">
        <v>184.0</v>
      </c>
      <c r="E3491" s="47">
        <v>26270.0</v>
      </c>
      <c r="F3491" s="47" t="s">
        <v>11</v>
      </c>
    </row>
    <row r="3492" ht="15.75" customHeight="1">
      <c r="A3492" s="46" t="s">
        <v>7184</v>
      </c>
      <c r="B3492" s="47" t="s">
        <v>7185</v>
      </c>
      <c r="C3492" s="47">
        <v>122.0</v>
      </c>
      <c r="D3492" s="47">
        <v>128.0</v>
      </c>
      <c r="E3492" s="47">
        <v>25470.0</v>
      </c>
      <c r="F3492" s="47" t="s">
        <v>11</v>
      </c>
    </row>
    <row r="3493" ht="15.75" customHeight="1">
      <c r="A3493" s="46" t="s">
        <v>7186</v>
      </c>
      <c r="B3493" s="47" t="s">
        <v>7187</v>
      </c>
      <c r="C3493" s="47">
        <v>141.0</v>
      </c>
      <c r="D3493" s="47">
        <v>149.0</v>
      </c>
      <c r="E3493" s="47">
        <v>27780.0</v>
      </c>
      <c r="F3493" s="47" t="s">
        <v>11</v>
      </c>
    </row>
    <row r="3494" ht="15.75" customHeight="1">
      <c r="A3494" s="46" t="s">
        <v>7188</v>
      </c>
      <c r="B3494" s="47" t="s">
        <v>7189</v>
      </c>
      <c r="C3494" s="47">
        <v>200.0</v>
      </c>
      <c r="D3494" s="47">
        <v>190.0</v>
      </c>
      <c r="E3494" s="47">
        <v>25590.0</v>
      </c>
      <c r="F3494" s="47" t="s">
        <v>11</v>
      </c>
    </row>
    <row r="3495" ht="15.75" customHeight="1">
      <c r="A3495" s="46" t="s">
        <v>7190</v>
      </c>
      <c r="B3495" s="47" t="s">
        <v>7191</v>
      </c>
      <c r="C3495" s="47">
        <v>188.0</v>
      </c>
      <c r="D3495" s="47">
        <v>189.0</v>
      </c>
      <c r="E3495" s="47">
        <v>24510.0</v>
      </c>
      <c r="F3495" s="47" t="s">
        <v>11</v>
      </c>
    </row>
    <row r="3496" ht="15.75" customHeight="1">
      <c r="A3496" s="46" t="s">
        <v>7192</v>
      </c>
      <c r="B3496" s="47" t="s">
        <v>7193</v>
      </c>
      <c r="C3496" s="47">
        <v>422.0</v>
      </c>
      <c r="D3496" s="47">
        <v>410.0</v>
      </c>
      <c r="E3496" s="47">
        <v>23600.0</v>
      </c>
      <c r="F3496" s="47" t="s">
        <v>11</v>
      </c>
    </row>
    <row r="3497" ht="15.75" customHeight="1">
      <c r="A3497" s="46" t="s">
        <v>7194</v>
      </c>
      <c r="B3497" s="47" t="s">
        <v>7195</v>
      </c>
      <c r="C3497" s="47">
        <v>503.0</v>
      </c>
      <c r="D3497" s="47">
        <v>505.0</v>
      </c>
      <c r="E3497" s="47">
        <v>23290.0</v>
      </c>
      <c r="F3497" s="47" t="s">
        <v>11</v>
      </c>
    </row>
    <row r="3498" ht="15.75" customHeight="1">
      <c r="A3498" s="46" t="s">
        <v>7196</v>
      </c>
      <c r="B3498" s="47" t="s">
        <v>3886</v>
      </c>
      <c r="C3498" s="47">
        <v>180.0</v>
      </c>
      <c r="D3498" s="47">
        <v>205.0</v>
      </c>
      <c r="E3498" s="47">
        <v>24050.0</v>
      </c>
      <c r="F3498" s="47" t="s">
        <v>11</v>
      </c>
    </row>
    <row r="3499" ht="15.75" customHeight="1">
      <c r="A3499" s="46" t="s">
        <v>7197</v>
      </c>
      <c r="B3499" s="47" t="s">
        <v>7198</v>
      </c>
      <c r="C3499" s="47">
        <v>197.0</v>
      </c>
      <c r="D3499" s="47">
        <v>216.0</v>
      </c>
      <c r="E3499" s="47">
        <v>24570.0</v>
      </c>
      <c r="F3499" s="47" t="s">
        <v>11</v>
      </c>
    </row>
    <row r="3500" ht="15.75" customHeight="1">
      <c r="A3500" s="46" t="s">
        <v>7199</v>
      </c>
      <c r="B3500" s="47" t="s">
        <v>7200</v>
      </c>
      <c r="C3500" s="47">
        <v>106.0</v>
      </c>
      <c r="D3500" s="47">
        <v>107.0</v>
      </c>
      <c r="E3500" s="47" t="s">
        <v>11</v>
      </c>
      <c r="F3500" s="47" t="s">
        <v>11</v>
      </c>
    </row>
    <row r="3501" ht="15.75" customHeight="1">
      <c r="A3501" s="46" t="s">
        <v>7201</v>
      </c>
      <c r="B3501" s="47" t="s">
        <v>7202</v>
      </c>
      <c r="C3501" s="47">
        <v>1254.0</v>
      </c>
      <c r="D3501" s="47">
        <v>1285.0</v>
      </c>
      <c r="E3501" s="47">
        <v>26520.0</v>
      </c>
      <c r="F3501" s="47" t="s">
        <v>11</v>
      </c>
    </row>
    <row r="3502" ht="15.75" customHeight="1">
      <c r="A3502" s="46" t="s">
        <v>7203</v>
      </c>
      <c r="B3502" s="47" t="s">
        <v>7204</v>
      </c>
      <c r="C3502" s="47">
        <v>589.0</v>
      </c>
      <c r="D3502" s="47">
        <v>546.0</v>
      </c>
      <c r="E3502" s="47">
        <v>23430.0</v>
      </c>
      <c r="F3502" s="47" t="s">
        <v>11</v>
      </c>
    </row>
    <row r="3503" ht="15.75" customHeight="1">
      <c r="A3503" s="46" t="s">
        <v>7205</v>
      </c>
      <c r="B3503" s="47" t="s">
        <v>7206</v>
      </c>
      <c r="C3503" s="47">
        <v>175.0</v>
      </c>
      <c r="D3503" s="47">
        <v>183.0</v>
      </c>
      <c r="E3503" s="47">
        <v>26500.0</v>
      </c>
      <c r="F3503" s="47" t="s">
        <v>11</v>
      </c>
    </row>
    <row r="3504" ht="15.75" customHeight="1">
      <c r="A3504" s="46" t="s">
        <v>7207</v>
      </c>
      <c r="B3504" s="47" t="s">
        <v>7208</v>
      </c>
      <c r="C3504" s="47">
        <v>154.0</v>
      </c>
      <c r="D3504" s="47">
        <v>154.0</v>
      </c>
      <c r="E3504" s="47">
        <v>26330.0</v>
      </c>
      <c r="F3504" s="47" t="s">
        <v>11</v>
      </c>
    </row>
    <row r="3505" ht="15.75" customHeight="1">
      <c r="A3505" s="46" t="s">
        <v>7209</v>
      </c>
      <c r="B3505" s="47" t="s">
        <v>7210</v>
      </c>
      <c r="C3505" s="47">
        <v>310.0</v>
      </c>
      <c r="D3505" s="47">
        <v>298.0</v>
      </c>
      <c r="E3505" s="47">
        <v>25570.0</v>
      </c>
      <c r="F3505" s="47" t="s">
        <v>11</v>
      </c>
    </row>
    <row r="3506" ht="15.75" customHeight="1">
      <c r="A3506" s="46" t="s">
        <v>7211</v>
      </c>
      <c r="B3506" s="47" t="s">
        <v>7212</v>
      </c>
      <c r="C3506" s="47">
        <v>6.0</v>
      </c>
      <c r="D3506" s="47">
        <v>9.0</v>
      </c>
      <c r="E3506" s="47" t="s">
        <v>11</v>
      </c>
      <c r="F3506" s="47" t="s">
        <v>11</v>
      </c>
    </row>
    <row r="3507" ht="15.75" customHeight="1">
      <c r="A3507" s="46" t="s">
        <v>7213</v>
      </c>
      <c r="B3507" s="47" t="s">
        <v>7214</v>
      </c>
      <c r="C3507" s="47">
        <v>197.0</v>
      </c>
      <c r="D3507" s="47">
        <v>183.0</v>
      </c>
      <c r="E3507" s="47">
        <v>23900.0</v>
      </c>
      <c r="F3507" s="47" t="s">
        <v>11</v>
      </c>
    </row>
    <row r="3508" ht="15.75" customHeight="1">
      <c r="A3508" s="46" t="s">
        <v>7215</v>
      </c>
      <c r="B3508" s="47" t="s">
        <v>7216</v>
      </c>
      <c r="C3508" s="47">
        <v>604.0</v>
      </c>
      <c r="D3508" s="47">
        <v>587.0</v>
      </c>
      <c r="E3508" s="47">
        <v>25310.0</v>
      </c>
      <c r="F3508" s="47" t="s">
        <v>11</v>
      </c>
    </row>
    <row r="3509" ht="15.75" customHeight="1">
      <c r="A3509" s="46" t="s">
        <v>7217</v>
      </c>
      <c r="B3509" s="47" t="s">
        <v>7218</v>
      </c>
      <c r="C3509" s="47">
        <v>103.0</v>
      </c>
      <c r="D3509" s="47">
        <v>106.0</v>
      </c>
      <c r="E3509" s="47">
        <v>24240.0</v>
      </c>
      <c r="F3509" s="47" t="s">
        <v>11</v>
      </c>
    </row>
    <row r="3510" ht="15.75" customHeight="1">
      <c r="A3510" s="46" t="s">
        <v>7219</v>
      </c>
      <c r="B3510" s="47" t="s">
        <v>7220</v>
      </c>
      <c r="C3510" s="47">
        <v>2825.0</v>
      </c>
      <c r="D3510" s="47">
        <v>2540.0</v>
      </c>
      <c r="E3510" s="47">
        <v>22890.0</v>
      </c>
      <c r="F3510" s="47">
        <v>22.0</v>
      </c>
    </row>
    <row r="3511" ht="15.75" customHeight="1">
      <c r="A3511" s="46" t="s">
        <v>7221</v>
      </c>
      <c r="B3511" s="47" t="s">
        <v>7222</v>
      </c>
      <c r="C3511" s="47">
        <v>176.0</v>
      </c>
      <c r="D3511" s="47">
        <v>144.0</v>
      </c>
      <c r="E3511" s="47">
        <v>24370.0</v>
      </c>
      <c r="F3511" s="47" t="s">
        <v>11</v>
      </c>
    </row>
    <row r="3512" ht="15.75" customHeight="1">
      <c r="A3512" s="46" t="s">
        <v>7223</v>
      </c>
      <c r="B3512" s="47" t="s">
        <v>7224</v>
      </c>
      <c r="C3512" s="47">
        <v>288.0</v>
      </c>
      <c r="D3512" s="47">
        <v>290.0</v>
      </c>
      <c r="E3512" s="47">
        <v>25260.0</v>
      </c>
      <c r="F3512" s="47" t="s">
        <v>11</v>
      </c>
    </row>
    <row r="3513" ht="15.75" customHeight="1">
      <c r="A3513" s="46" t="s">
        <v>7225</v>
      </c>
      <c r="B3513" s="47" t="s">
        <v>7226</v>
      </c>
      <c r="C3513" s="47">
        <v>88.0</v>
      </c>
      <c r="D3513" s="47">
        <v>88.0</v>
      </c>
      <c r="E3513" s="47" t="s">
        <v>11</v>
      </c>
      <c r="F3513" s="47" t="s">
        <v>11</v>
      </c>
    </row>
    <row r="3514" ht="15.75" customHeight="1">
      <c r="A3514" s="46" t="s">
        <v>7227</v>
      </c>
      <c r="B3514" s="47" t="s">
        <v>7228</v>
      </c>
      <c r="C3514" s="47">
        <v>126.0</v>
      </c>
      <c r="D3514" s="47">
        <v>105.0</v>
      </c>
      <c r="E3514" s="47" t="s">
        <v>11</v>
      </c>
      <c r="F3514" s="47" t="s">
        <v>11</v>
      </c>
    </row>
    <row r="3515" ht="15.75" customHeight="1">
      <c r="A3515" s="46" t="s">
        <v>7229</v>
      </c>
      <c r="B3515" s="47" t="s">
        <v>7230</v>
      </c>
      <c r="C3515" s="47">
        <v>238.0</v>
      </c>
      <c r="D3515" s="47">
        <v>237.0</v>
      </c>
      <c r="E3515" s="47">
        <v>25900.0</v>
      </c>
      <c r="F3515" s="47" t="s">
        <v>11</v>
      </c>
    </row>
    <row r="3516" ht="15.75" customHeight="1">
      <c r="A3516" s="46" t="s">
        <v>7231</v>
      </c>
      <c r="B3516" s="47" t="s">
        <v>7232</v>
      </c>
      <c r="C3516" s="47">
        <v>188.0</v>
      </c>
      <c r="D3516" s="47">
        <v>217.0</v>
      </c>
      <c r="E3516" s="47">
        <v>24870.0</v>
      </c>
      <c r="F3516" s="47" t="s">
        <v>11</v>
      </c>
    </row>
    <row r="3517" ht="15.75" customHeight="1">
      <c r="A3517" s="46" t="s">
        <v>7233</v>
      </c>
      <c r="B3517" s="47" t="s">
        <v>7234</v>
      </c>
      <c r="C3517" s="47">
        <v>561.0</v>
      </c>
      <c r="D3517" s="47">
        <v>569.0</v>
      </c>
      <c r="E3517" s="47">
        <v>24580.0</v>
      </c>
      <c r="F3517" s="47" t="s">
        <v>11</v>
      </c>
    </row>
    <row r="3518" ht="15.75" customHeight="1">
      <c r="A3518" s="46" t="s">
        <v>7235</v>
      </c>
      <c r="B3518" s="47" t="s">
        <v>7236</v>
      </c>
      <c r="C3518" s="47">
        <v>118.0</v>
      </c>
      <c r="D3518" s="47">
        <v>122.0</v>
      </c>
      <c r="E3518" s="47">
        <v>25440.0</v>
      </c>
      <c r="F3518" s="47" t="s">
        <v>11</v>
      </c>
    </row>
    <row r="3519" ht="15.75" customHeight="1">
      <c r="A3519" s="46" t="s">
        <v>7237</v>
      </c>
      <c r="B3519" s="47" t="s">
        <v>7238</v>
      </c>
      <c r="C3519" s="47">
        <v>188.0</v>
      </c>
      <c r="D3519" s="47">
        <v>184.0</v>
      </c>
      <c r="E3519" s="47">
        <v>23090.0</v>
      </c>
      <c r="F3519" s="47" t="s">
        <v>11</v>
      </c>
    </row>
    <row r="3520" ht="15.75" customHeight="1">
      <c r="A3520" s="46" t="s">
        <v>7239</v>
      </c>
      <c r="B3520" s="47" t="s">
        <v>7240</v>
      </c>
      <c r="C3520" s="47">
        <v>589.0</v>
      </c>
      <c r="D3520" s="47">
        <v>521.0</v>
      </c>
      <c r="E3520" s="47">
        <v>27330.0</v>
      </c>
      <c r="F3520" s="47" t="s">
        <v>11</v>
      </c>
    </row>
    <row r="3521" ht="15.75" customHeight="1">
      <c r="A3521" s="46" t="s">
        <v>7241</v>
      </c>
      <c r="B3521" s="47" t="s">
        <v>7242</v>
      </c>
      <c r="C3521" s="47">
        <v>564.0</v>
      </c>
      <c r="D3521" s="47">
        <v>604.0</v>
      </c>
      <c r="E3521" s="47">
        <v>27120.0</v>
      </c>
      <c r="F3521" s="47" t="s">
        <v>11</v>
      </c>
    </row>
    <row r="3522" ht="15.75" customHeight="1">
      <c r="A3522" s="46" t="s">
        <v>7243</v>
      </c>
      <c r="B3522" s="47" t="s">
        <v>7244</v>
      </c>
      <c r="C3522" s="47">
        <v>211.0</v>
      </c>
      <c r="D3522" s="47">
        <v>202.0</v>
      </c>
      <c r="E3522" s="47">
        <v>25370.0</v>
      </c>
      <c r="F3522" s="47" t="s">
        <v>11</v>
      </c>
    </row>
    <row r="3523" ht="15.75" customHeight="1">
      <c r="A3523" s="46" t="s">
        <v>7245</v>
      </c>
      <c r="B3523" s="47" t="s">
        <v>7246</v>
      </c>
      <c r="C3523" s="47">
        <v>359.0</v>
      </c>
      <c r="D3523" s="47">
        <v>337.0</v>
      </c>
      <c r="E3523" s="47">
        <v>24430.0</v>
      </c>
      <c r="F3523" s="47" t="s">
        <v>11</v>
      </c>
    </row>
    <row r="3524" ht="15.75" customHeight="1">
      <c r="A3524" s="46" t="s">
        <v>7247</v>
      </c>
      <c r="B3524" s="47" t="s">
        <v>7248</v>
      </c>
      <c r="C3524" s="47">
        <v>664.0</v>
      </c>
      <c r="D3524" s="47">
        <v>620.0</v>
      </c>
      <c r="E3524" s="47">
        <v>24410.0</v>
      </c>
      <c r="F3524" s="47" t="s">
        <v>11</v>
      </c>
    </row>
    <row r="3525" ht="15.75" customHeight="1">
      <c r="A3525" s="46" t="s">
        <v>7249</v>
      </c>
      <c r="B3525" s="47" t="s">
        <v>7250</v>
      </c>
      <c r="C3525" s="47">
        <v>144.0</v>
      </c>
      <c r="D3525" s="47">
        <v>121.0</v>
      </c>
      <c r="E3525" s="47">
        <v>27490.0</v>
      </c>
      <c r="F3525" s="47" t="s">
        <v>11</v>
      </c>
    </row>
    <row r="3526" ht="15.75" customHeight="1">
      <c r="A3526" s="46" t="s">
        <v>7251</v>
      </c>
      <c r="B3526" s="47" t="s">
        <v>7252</v>
      </c>
      <c r="C3526" s="47">
        <v>1201.0</v>
      </c>
      <c r="D3526" s="47">
        <v>1109.0</v>
      </c>
      <c r="E3526" s="47">
        <v>22940.0</v>
      </c>
      <c r="F3526" s="47" t="s">
        <v>11</v>
      </c>
    </row>
    <row r="3527" ht="15.75" customHeight="1">
      <c r="A3527" s="46" t="s">
        <v>7253</v>
      </c>
      <c r="B3527" s="47" t="s">
        <v>7254</v>
      </c>
      <c r="C3527" s="47">
        <v>322.0</v>
      </c>
      <c r="D3527" s="47">
        <v>349.0</v>
      </c>
      <c r="E3527" s="47">
        <v>30130.0</v>
      </c>
      <c r="F3527" s="47" t="s">
        <v>11</v>
      </c>
    </row>
    <row r="3528" ht="15.75" customHeight="1">
      <c r="A3528" s="46" t="s">
        <v>7255</v>
      </c>
      <c r="B3528" s="47" t="s">
        <v>7256</v>
      </c>
      <c r="C3528" s="47">
        <v>958.0</v>
      </c>
      <c r="D3528" s="47">
        <v>921.0</v>
      </c>
      <c r="E3528" s="47">
        <v>25280.0</v>
      </c>
      <c r="F3528" s="47" t="s">
        <v>11</v>
      </c>
    </row>
    <row r="3529" ht="15.75" customHeight="1">
      <c r="A3529" s="46" t="s">
        <v>7257</v>
      </c>
      <c r="B3529" s="47" t="s">
        <v>7258</v>
      </c>
      <c r="C3529" s="47">
        <v>643.0</v>
      </c>
      <c r="D3529" s="47">
        <v>593.0</v>
      </c>
      <c r="E3529" s="47">
        <v>24880.0</v>
      </c>
      <c r="F3529" s="47" t="s">
        <v>11</v>
      </c>
    </row>
    <row r="3530" ht="15.75" customHeight="1">
      <c r="A3530" s="46" t="s">
        <v>7259</v>
      </c>
      <c r="B3530" s="47" t="s">
        <v>7260</v>
      </c>
      <c r="C3530" s="47">
        <v>558.0</v>
      </c>
      <c r="D3530" s="47">
        <v>585.0</v>
      </c>
      <c r="E3530" s="47">
        <v>25180.0</v>
      </c>
      <c r="F3530" s="47" t="s">
        <v>11</v>
      </c>
    </row>
    <row r="3531" ht="15.75" customHeight="1">
      <c r="A3531" s="46" t="s">
        <v>7261</v>
      </c>
      <c r="B3531" s="47" t="s">
        <v>7262</v>
      </c>
      <c r="C3531" s="47">
        <v>606.0</v>
      </c>
      <c r="D3531" s="47">
        <v>594.0</v>
      </c>
      <c r="E3531" s="47">
        <v>25010.0</v>
      </c>
      <c r="F3531" s="47" t="s">
        <v>11</v>
      </c>
    </row>
    <row r="3532" ht="15.75" customHeight="1">
      <c r="A3532" s="46" t="s">
        <v>7263</v>
      </c>
      <c r="B3532" s="47" t="s">
        <v>7264</v>
      </c>
      <c r="C3532" s="47">
        <v>227.0</v>
      </c>
      <c r="D3532" s="47">
        <v>216.0</v>
      </c>
      <c r="E3532" s="47">
        <v>26520.0</v>
      </c>
      <c r="F3532" s="47" t="s">
        <v>11</v>
      </c>
    </row>
    <row r="3533" ht="15.75" customHeight="1">
      <c r="A3533" s="46" t="s">
        <v>7265</v>
      </c>
      <c r="B3533" s="47" t="s">
        <v>7266</v>
      </c>
      <c r="C3533" s="47">
        <v>145.0</v>
      </c>
      <c r="D3533" s="47">
        <v>146.0</v>
      </c>
      <c r="E3533" s="47">
        <v>25330.0</v>
      </c>
      <c r="F3533" s="47" t="s">
        <v>11</v>
      </c>
    </row>
    <row r="3534" ht="15.75" customHeight="1">
      <c r="A3534" s="46" t="s">
        <v>7267</v>
      </c>
      <c r="B3534" s="47" t="s">
        <v>7268</v>
      </c>
      <c r="C3534" s="47">
        <v>214.0</v>
      </c>
      <c r="D3534" s="47">
        <v>217.0</v>
      </c>
      <c r="E3534" s="47">
        <v>26770.0</v>
      </c>
      <c r="F3534" s="47" t="s">
        <v>11</v>
      </c>
    </row>
    <row r="3535" ht="15.75" customHeight="1">
      <c r="A3535" s="46" t="s">
        <v>7269</v>
      </c>
      <c r="B3535" s="47" t="s">
        <v>7270</v>
      </c>
      <c r="C3535" s="47">
        <v>6255.0</v>
      </c>
      <c r="D3535" s="47">
        <v>5935.0</v>
      </c>
      <c r="E3535" s="47">
        <v>21880.0</v>
      </c>
      <c r="F3535" s="47">
        <v>23.0</v>
      </c>
    </row>
    <row r="3536" ht="15.75" customHeight="1">
      <c r="A3536" s="46" t="s">
        <v>7271</v>
      </c>
      <c r="B3536" s="47" t="s">
        <v>7272</v>
      </c>
      <c r="C3536" s="47">
        <v>205.0</v>
      </c>
      <c r="D3536" s="47">
        <v>175.0</v>
      </c>
      <c r="E3536" s="47">
        <v>30960.0</v>
      </c>
      <c r="F3536" s="47" t="s">
        <v>11</v>
      </c>
    </row>
    <row r="3537" ht="15.75" customHeight="1">
      <c r="A3537" s="46" t="s">
        <v>7273</v>
      </c>
      <c r="B3537" s="47" t="s">
        <v>7274</v>
      </c>
      <c r="C3537" s="47">
        <v>95.0</v>
      </c>
      <c r="D3537" s="47">
        <v>102.0</v>
      </c>
      <c r="E3537" s="47">
        <v>22060.0</v>
      </c>
      <c r="F3537" s="47" t="s">
        <v>11</v>
      </c>
    </row>
    <row r="3538" ht="15.75" customHeight="1">
      <c r="A3538" s="46" t="s">
        <v>7275</v>
      </c>
      <c r="B3538" s="47" t="s">
        <v>7276</v>
      </c>
      <c r="C3538" s="47">
        <v>82.0</v>
      </c>
      <c r="D3538" s="47">
        <v>93.0</v>
      </c>
      <c r="E3538" s="47" t="s">
        <v>11</v>
      </c>
      <c r="F3538" s="47" t="s">
        <v>11</v>
      </c>
    </row>
    <row r="3539" ht="15.75" customHeight="1">
      <c r="A3539" s="46" t="s">
        <v>7277</v>
      </c>
      <c r="B3539" s="47" t="s">
        <v>7278</v>
      </c>
      <c r="C3539" s="47">
        <v>327.0</v>
      </c>
      <c r="D3539" s="47">
        <v>339.0</v>
      </c>
      <c r="E3539" s="47">
        <v>26160.0</v>
      </c>
      <c r="F3539" s="47" t="s">
        <v>11</v>
      </c>
    </row>
    <row r="3540" ht="15.75" customHeight="1">
      <c r="A3540" s="46" t="s">
        <v>7279</v>
      </c>
      <c r="B3540" s="47" t="s">
        <v>7280</v>
      </c>
      <c r="C3540" s="47">
        <v>352.0</v>
      </c>
      <c r="D3540" s="47">
        <v>362.0</v>
      </c>
      <c r="E3540" s="47">
        <v>23660.0</v>
      </c>
      <c r="F3540" s="47" t="s">
        <v>11</v>
      </c>
    </row>
    <row r="3541" ht="15.75" customHeight="1">
      <c r="A3541" s="46" t="s">
        <v>7281</v>
      </c>
      <c r="B3541" s="47" t="s">
        <v>1251</v>
      </c>
      <c r="C3541" s="47">
        <v>312.0</v>
      </c>
      <c r="D3541" s="47">
        <v>327.0</v>
      </c>
      <c r="E3541" s="47">
        <v>22990.0</v>
      </c>
      <c r="F3541" s="47" t="s">
        <v>11</v>
      </c>
    </row>
    <row r="3542" ht="15.75" customHeight="1">
      <c r="A3542" s="46" t="s">
        <v>7282</v>
      </c>
      <c r="B3542" s="47" t="s">
        <v>7283</v>
      </c>
      <c r="C3542" s="47">
        <v>3980.0</v>
      </c>
      <c r="D3542" s="47">
        <v>3936.0</v>
      </c>
      <c r="E3542" s="47">
        <v>23770.0</v>
      </c>
      <c r="F3542" s="47">
        <v>15.0</v>
      </c>
    </row>
    <row r="3543" ht="15.75" customHeight="1">
      <c r="A3543" s="46" t="s">
        <v>7284</v>
      </c>
      <c r="B3543" s="47" t="s">
        <v>7285</v>
      </c>
      <c r="C3543" s="47">
        <v>518.0</v>
      </c>
      <c r="D3543" s="47">
        <v>469.0</v>
      </c>
      <c r="E3543" s="47">
        <v>24740.0</v>
      </c>
      <c r="F3543" s="47" t="s">
        <v>11</v>
      </c>
    </row>
    <row r="3544" ht="15.75" customHeight="1">
      <c r="A3544" s="46" t="s">
        <v>7286</v>
      </c>
      <c r="B3544" s="47" t="s">
        <v>7287</v>
      </c>
      <c r="C3544" s="47">
        <v>371.0</v>
      </c>
      <c r="D3544" s="47">
        <v>382.0</v>
      </c>
      <c r="E3544" s="47">
        <v>25850.0</v>
      </c>
      <c r="F3544" s="47" t="s">
        <v>11</v>
      </c>
    </row>
    <row r="3545" ht="15.75" customHeight="1">
      <c r="A3545" s="46" t="s">
        <v>7288</v>
      </c>
      <c r="B3545" s="47" t="s">
        <v>7289</v>
      </c>
      <c r="C3545" s="47">
        <v>406.0</v>
      </c>
      <c r="D3545" s="47">
        <v>372.0</v>
      </c>
      <c r="E3545" s="47">
        <v>25320.0</v>
      </c>
      <c r="F3545" s="47" t="s">
        <v>11</v>
      </c>
    </row>
    <row r="3546" ht="15.75" customHeight="1">
      <c r="A3546" s="46" t="s">
        <v>7290</v>
      </c>
      <c r="B3546" s="47" t="s">
        <v>7291</v>
      </c>
      <c r="C3546" s="47">
        <v>93.0</v>
      </c>
      <c r="D3546" s="47">
        <v>96.0</v>
      </c>
      <c r="E3546" s="47" t="s">
        <v>11</v>
      </c>
      <c r="F3546" s="47" t="s">
        <v>11</v>
      </c>
    </row>
    <row r="3547" ht="15.75" customHeight="1">
      <c r="A3547" s="46" t="s">
        <v>7292</v>
      </c>
      <c r="B3547" s="47" t="s">
        <v>7293</v>
      </c>
      <c r="C3547" s="47">
        <v>86.0</v>
      </c>
      <c r="D3547" s="47">
        <v>75.0</v>
      </c>
      <c r="E3547" s="47" t="s">
        <v>11</v>
      </c>
      <c r="F3547" s="47" t="s">
        <v>11</v>
      </c>
    </row>
    <row r="3548" ht="15.75" customHeight="1">
      <c r="A3548" s="46" t="s">
        <v>7294</v>
      </c>
      <c r="B3548" s="47" t="s">
        <v>7295</v>
      </c>
      <c r="C3548" s="47">
        <v>317.0</v>
      </c>
      <c r="D3548" s="47">
        <v>314.0</v>
      </c>
      <c r="E3548" s="47">
        <v>24910.0</v>
      </c>
      <c r="F3548" s="47" t="s">
        <v>11</v>
      </c>
    </row>
    <row r="3549" ht="15.75" customHeight="1">
      <c r="A3549" s="46" t="s">
        <v>7296</v>
      </c>
      <c r="B3549" s="47" t="s">
        <v>7297</v>
      </c>
      <c r="C3549" s="47">
        <v>181.0</v>
      </c>
      <c r="D3549" s="47">
        <v>165.0</v>
      </c>
      <c r="E3549" s="47">
        <v>26190.0</v>
      </c>
      <c r="F3549" s="47" t="s">
        <v>11</v>
      </c>
    </row>
    <row r="3550" ht="15.75" customHeight="1">
      <c r="A3550" s="46" t="s">
        <v>7298</v>
      </c>
      <c r="B3550" s="47" t="s">
        <v>3983</v>
      </c>
      <c r="C3550" s="47">
        <v>716.0</v>
      </c>
      <c r="D3550" s="47">
        <v>693.0</v>
      </c>
      <c r="E3550" s="47">
        <v>25830.0</v>
      </c>
      <c r="F3550" s="47" t="s">
        <v>11</v>
      </c>
    </row>
    <row r="3551" ht="15.75" customHeight="1">
      <c r="A3551" s="46" t="s">
        <v>7299</v>
      </c>
      <c r="B3551" s="47" t="s">
        <v>7300</v>
      </c>
      <c r="C3551" s="47">
        <v>831.0</v>
      </c>
      <c r="D3551" s="47">
        <v>789.0</v>
      </c>
      <c r="E3551" s="47">
        <v>23310.0</v>
      </c>
      <c r="F3551" s="47" t="s">
        <v>11</v>
      </c>
    </row>
    <row r="3552" ht="15.75" customHeight="1">
      <c r="A3552" s="46" t="s">
        <v>7301</v>
      </c>
      <c r="B3552" s="47" t="s">
        <v>7302</v>
      </c>
      <c r="C3552" s="47">
        <v>248.0</v>
      </c>
      <c r="D3552" s="47">
        <v>261.0</v>
      </c>
      <c r="E3552" s="47">
        <v>24860.0</v>
      </c>
      <c r="F3552" s="47" t="s">
        <v>11</v>
      </c>
    </row>
    <row r="3553" ht="15.75" customHeight="1">
      <c r="A3553" s="46" t="s">
        <v>7303</v>
      </c>
      <c r="B3553" s="47" t="s">
        <v>7304</v>
      </c>
      <c r="C3553" s="47">
        <v>987.0</v>
      </c>
      <c r="D3553" s="47">
        <v>1013.0</v>
      </c>
      <c r="E3553" s="47">
        <v>27150.0</v>
      </c>
      <c r="F3553" s="47" t="s">
        <v>11</v>
      </c>
    </row>
    <row r="3554" ht="15.75" customHeight="1">
      <c r="A3554" s="46" t="s">
        <v>7305</v>
      </c>
      <c r="B3554" s="47" t="s">
        <v>7306</v>
      </c>
      <c r="C3554" s="47">
        <v>289.0</v>
      </c>
      <c r="D3554" s="47">
        <v>277.0</v>
      </c>
      <c r="E3554" s="47">
        <v>31160.0</v>
      </c>
      <c r="F3554" s="47" t="s">
        <v>11</v>
      </c>
    </row>
    <row r="3555" ht="15.75" customHeight="1">
      <c r="A3555" s="46" t="s">
        <v>7307</v>
      </c>
      <c r="B3555" s="47" t="s">
        <v>7308</v>
      </c>
      <c r="C3555" s="47">
        <v>1080.0</v>
      </c>
      <c r="D3555" s="47">
        <v>1047.0</v>
      </c>
      <c r="E3555" s="47">
        <v>28690.0</v>
      </c>
      <c r="F3555" s="47" t="s">
        <v>11</v>
      </c>
    </row>
    <row r="3556" ht="15.75" customHeight="1">
      <c r="A3556" s="46" t="s">
        <v>7309</v>
      </c>
      <c r="B3556" s="47" t="s">
        <v>7310</v>
      </c>
      <c r="C3556" s="47">
        <v>2339.0</v>
      </c>
      <c r="D3556" s="47">
        <v>2284.0</v>
      </c>
      <c r="E3556" s="47">
        <v>22030.0</v>
      </c>
      <c r="F3556" s="47">
        <v>21.0</v>
      </c>
    </row>
    <row r="3557" ht="15.75" customHeight="1">
      <c r="A3557" s="46" t="s">
        <v>7311</v>
      </c>
      <c r="B3557" s="47" t="s">
        <v>7312</v>
      </c>
      <c r="C3557" s="47">
        <v>156.0</v>
      </c>
      <c r="D3557" s="47">
        <v>174.0</v>
      </c>
      <c r="E3557" s="47">
        <v>22000.0</v>
      </c>
      <c r="F3557" s="47" t="s">
        <v>11</v>
      </c>
    </row>
    <row r="3558" ht="15.75" customHeight="1">
      <c r="A3558" s="46" t="s">
        <v>7313</v>
      </c>
      <c r="B3558" s="47" t="s">
        <v>7314</v>
      </c>
      <c r="C3558" s="47">
        <v>81.0</v>
      </c>
      <c r="D3558" s="47">
        <v>89.0</v>
      </c>
      <c r="E3558" s="47" t="s">
        <v>11</v>
      </c>
      <c r="F3558" s="47" t="s">
        <v>11</v>
      </c>
    </row>
    <row r="3559" ht="15.75" customHeight="1">
      <c r="A3559" s="46" t="s">
        <v>7315</v>
      </c>
      <c r="B3559" s="47" t="s">
        <v>7316</v>
      </c>
      <c r="C3559" s="47">
        <v>361.0</v>
      </c>
      <c r="D3559" s="47">
        <v>368.0</v>
      </c>
      <c r="E3559" s="47">
        <v>26030.0</v>
      </c>
      <c r="F3559" s="47" t="s">
        <v>11</v>
      </c>
    </row>
    <row r="3560" ht="15.75" customHeight="1">
      <c r="A3560" s="46" t="s">
        <v>7317</v>
      </c>
      <c r="B3560" s="47" t="s">
        <v>7318</v>
      </c>
      <c r="C3560" s="47">
        <v>96.0</v>
      </c>
      <c r="D3560" s="47">
        <v>106.0</v>
      </c>
      <c r="E3560" s="47" t="s">
        <v>11</v>
      </c>
      <c r="F3560" s="47" t="s">
        <v>11</v>
      </c>
    </row>
    <row r="3561" ht="15.75" customHeight="1">
      <c r="A3561" s="46" t="s">
        <v>7319</v>
      </c>
      <c r="B3561" s="47" t="s">
        <v>7320</v>
      </c>
      <c r="C3561" s="47">
        <v>323.0</v>
      </c>
      <c r="D3561" s="47">
        <v>334.0</v>
      </c>
      <c r="E3561" s="47">
        <v>27230.0</v>
      </c>
      <c r="F3561" s="47" t="s">
        <v>11</v>
      </c>
    </row>
    <row r="3562" ht="15.75" customHeight="1">
      <c r="A3562" s="46" t="s">
        <v>7321</v>
      </c>
      <c r="B3562" s="47" t="s">
        <v>7322</v>
      </c>
      <c r="C3562" s="47">
        <v>153.0</v>
      </c>
      <c r="D3562" s="47">
        <v>144.0</v>
      </c>
      <c r="E3562" s="47">
        <v>23110.0</v>
      </c>
      <c r="F3562" s="47" t="s">
        <v>11</v>
      </c>
    </row>
    <row r="3563" ht="15.75" customHeight="1">
      <c r="A3563" s="46" t="s">
        <v>7323</v>
      </c>
      <c r="B3563" s="47" t="s">
        <v>7324</v>
      </c>
      <c r="C3563" s="47">
        <v>521.0</v>
      </c>
      <c r="D3563" s="47">
        <v>509.0</v>
      </c>
      <c r="E3563" s="47">
        <v>22750.0</v>
      </c>
      <c r="F3563" s="47" t="s">
        <v>11</v>
      </c>
    </row>
    <row r="3564" ht="15.75" customHeight="1">
      <c r="A3564" s="46" t="s">
        <v>7325</v>
      </c>
      <c r="B3564" s="47" t="s">
        <v>7326</v>
      </c>
      <c r="C3564" s="47">
        <v>266.0</v>
      </c>
      <c r="D3564" s="47">
        <v>263.0</v>
      </c>
      <c r="E3564" s="47">
        <v>26010.0</v>
      </c>
      <c r="F3564" s="47" t="s">
        <v>11</v>
      </c>
    </row>
    <row r="3565" ht="15.75" customHeight="1">
      <c r="A3565" s="46" t="s">
        <v>7327</v>
      </c>
      <c r="B3565" s="47" t="s">
        <v>7328</v>
      </c>
      <c r="C3565" s="47">
        <v>285.0</v>
      </c>
      <c r="D3565" s="47">
        <v>263.0</v>
      </c>
      <c r="E3565" s="47">
        <v>26100.0</v>
      </c>
      <c r="F3565" s="47" t="s">
        <v>11</v>
      </c>
    </row>
    <row r="3566" ht="15.75" customHeight="1">
      <c r="A3566" s="46" t="s">
        <v>7329</v>
      </c>
      <c r="B3566" s="47" t="s">
        <v>1305</v>
      </c>
      <c r="C3566" s="47">
        <v>222.0</v>
      </c>
      <c r="D3566" s="47">
        <v>212.0</v>
      </c>
      <c r="E3566" s="47">
        <v>23240.0</v>
      </c>
      <c r="F3566" s="47" t="s">
        <v>11</v>
      </c>
    </row>
    <row r="3567" ht="15.75" customHeight="1">
      <c r="A3567" s="46" t="s">
        <v>7330</v>
      </c>
      <c r="B3567" s="47" t="s">
        <v>7331</v>
      </c>
      <c r="C3567" s="47">
        <v>853.0</v>
      </c>
      <c r="D3567" s="47">
        <v>828.0</v>
      </c>
      <c r="E3567" s="47">
        <v>24540.0</v>
      </c>
      <c r="F3567" s="47" t="s">
        <v>11</v>
      </c>
    </row>
    <row r="3568" ht="15.75" customHeight="1">
      <c r="A3568" s="46" t="s">
        <v>7332</v>
      </c>
      <c r="B3568" s="47" t="s">
        <v>7333</v>
      </c>
      <c r="C3568" s="47">
        <v>1316.0</v>
      </c>
      <c r="D3568" s="47">
        <v>1196.0</v>
      </c>
      <c r="E3568" s="47">
        <v>23150.0</v>
      </c>
      <c r="F3568" s="47" t="s">
        <v>11</v>
      </c>
    </row>
    <row r="3569" ht="15.75" customHeight="1">
      <c r="A3569" s="46" t="s">
        <v>7334</v>
      </c>
      <c r="B3569" s="47" t="s">
        <v>7335</v>
      </c>
      <c r="C3569" s="47">
        <v>243.0</v>
      </c>
      <c r="D3569" s="47">
        <v>242.0</v>
      </c>
      <c r="E3569" s="47">
        <v>22800.0</v>
      </c>
      <c r="F3569" s="47" t="s">
        <v>11</v>
      </c>
    </row>
    <row r="3570" ht="15.75" customHeight="1">
      <c r="A3570" s="46" t="s">
        <v>7336</v>
      </c>
      <c r="B3570" s="47" t="s">
        <v>7337</v>
      </c>
      <c r="C3570" s="47">
        <v>730.0</v>
      </c>
      <c r="D3570" s="47">
        <v>636.0</v>
      </c>
      <c r="E3570" s="47">
        <v>24530.0</v>
      </c>
      <c r="F3570" s="47" t="s">
        <v>11</v>
      </c>
    </row>
    <row r="3571" ht="15.75" customHeight="1">
      <c r="A3571" s="46" t="s">
        <v>7338</v>
      </c>
      <c r="B3571" s="47" t="s">
        <v>7339</v>
      </c>
      <c r="C3571" s="47">
        <v>387.0</v>
      </c>
      <c r="D3571" s="47">
        <v>373.0</v>
      </c>
      <c r="E3571" s="47">
        <v>24250.0</v>
      </c>
      <c r="F3571" s="47" t="s">
        <v>11</v>
      </c>
    </row>
    <row r="3572" ht="15.75" customHeight="1">
      <c r="A3572" s="46" t="s">
        <v>7340</v>
      </c>
      <c r="B3572" s="47" t="s">
        <v>7341</v>
      </c>
      <c r="C3572" s="47">
        <v>127.0</v>
      </c>
      <c r="D3572" s="47">
        <v>121.0</v>
      </c>
      <c r="E3572" s="47">
        <v>25940.0</v>
      </c>
      <c r="F3572" s="47" t="s">
        <v>11</v>
      </c>
    </row>
    <row r="3573" ht="15.75" customHeight="1">
      <c r="A3573" s="46" t="s">
        <v>7342</v>
      </c>
      <c r="B3573" s="47" t="s">
        <v>7343</v>
      </c>
      <c r="C3573" s="47">
        <v>317.0</v>
      </c>
      <c r="D3573" s="47">
        <v>322.0</v>
      </c>
      <c r="E3573" s="47">
        <v>25730.0</v>
      </c>
      <c r="F3573" s="47" t="s">
        <v>11</v>
      </c>
    </row>
    <row r="3574" ht="15.75" customHeight="1">
      <c r="A3574" s="46" t="s">
        <v>7344</v>
      </c>
      <c r="B3574" s="47" t="s">
        <v>7345</v>
      </c>
      <c r="C3574" s="47">
        <v>74.0</v>
      </c>
      <c r="D3574" s="47">
        <v>83.0</v>
      </c>
      <c r="E3574" s="47" t="s">
        <v>11</v>
      </c>
      <c r="F3574" s="47" t="s">
        <v>11</v>
      </c>
    </row>
    <row r="3575" ht="15.75" customHeight="1">
      <c r="A3575" s="46" t="s">
        <v>7346</v>
      </c>
      <c r="B3575" s="47" t="s">
        <v>4041</v>
      </c>
      <c r="C3575" s="47">
        <v>217.0</v>
      </c>
      <c r="D3575" s="47">
        <v>196.0</v>
      </c>
      <c r="E3575" s="47">
        <v>25180.0</v>
      </c>
      <c r="F3575" s="47" t="s">
        <v>11</v>
      </c>
    </row>
    <row r="3576" ht="15.75" customHeight="1">
      <c r="A3576" s="46" t="s">
        <v>7347</v>
      </c>
      <c r="B3576" s="47" t="s">
        <v>7348</v>
      </c>
      <c r="C3576" s="47">
        <v>1171.0</v>
      </c>
      <c r="D3576" s="47">
        <v>1127.0</v>
      </c>
      <c r="E3576" s="47">
        <v>23580.0</v>
      </c>
      <c r="F3576" s="47" t="s">
        <v>11</v>
      </c>
    </row>
    <row r="3577" ht="15.75" customHeight="1">
      <c r="A3577" s="46" t="s">
        <v>7349</v>
      </c>
      <c r="B3577" s="47" t="s">
        <v>7350</v>
      </c>
      <c r="C3577" s="47">
        <v>221.0</v>
      </c>
      <c r="D3577" s="47">
        <v>206.0</v>
      </c>
      <c r="E3577" s="47">
        <v>28750.0</v>
      </c>
      <c r="F3577" s="47" t="s">
        <v>11</v>
      </c>
    </row>
    <row r="3578" ht="15.75" customHeight="1">
      <c r="A3578" s="46" t="s">
        <v>7351</v>
      </c>
      <c r="B3578" s="47" t="s">
        <v>7352</v>
      </c>
      <c r="C3578" s="47">
        <v>389.0</v>
      </c>
      <c r="D3578" s="47">
        <v>434.0</v>
      </c>
      <c r="E3578" s="47">
        <v>25800.0</v>
      </c>
      <c r="F3578" s="47" t="s">
        <v>11</v>
      </c>
    </row>
    <row r="3579" ht="15.75" customHeight="1">
      <c r="A3579" s="46" t="s">
        <v>7353</v>
      </c>
      <c r="B3579" s="47" t="s">
        <v>7354</v>
      </c>
      <c r="C3579" s="47">
        <v>930.0</v>
      </c>
      <c r="D3579" s="47">
        <v>998.0</v>
      </c>
      <c r="E3579" s="47">
        <v>27080.0</v>
      </c>
      <c r="F3579" s="47" t="s">
        <v>11</v>
      </c>
    </row>
    <row r="3580" ht="15.75" customHeight="1">
      <c r="A3580" s="46" t="s">
        <v>7355</v>
      </c>
      <c r="B3580" s="47" t="s">
        <v>7356</v>
      </c>
      <c r="C3580" s="47">
        <v>630.0</v>
      </c>
      <c r="D3580" s="47">
        <v>608.0</v>
      </c>
      <c r="E3580" s="47">
        <v>23910.0</v>
      </c>
      <c r="F3580" s="47" t="s">
        <v>11</v>
      </c>
    </row>
    <row r="3581" ht="15.75" customHeight="1">
      <c r="A3581" s="46" t="s">
        <v>7357</v>
      </c>
      <c r="B3581" s="47" t="s">
        <v>7358</v>
      </c>
      <c r="C3581" s="47">
        <v>312.0</v>
      </c>
      <c r="D3581" s="47">
        <v>313.0</v>
      </c>
      <c r="E3581" s="47">
        <v>24090.0</v>
      </c>
      <c r="F3581" s="47" t="s">
        <v>11</v>
      </c>
    </row>
    <row r="3582" ht="15.75" customHeight="1">
      <c r="A3582" s="46" t="s">
        <v>7359</v>
      </c>
      <c r="B3582" s="47" t="s">
        <v>7360</v>
      </c>
      <c r="C3582" s="47">
        <v>446.0</v>
      </c>
      <c r="D3582" s="47">
        <v>431.0</v>
      </c>
      <c r="E3582" s="47">
        <v>27160.0</v>
      </c>
      <c r="F3582" s="47" t="s">
        <v>11</v>
      </c>
    </row>
    <row r="3583" ht="15.75" customHeight="1">
      <c r="A3583" s="46" t="s">
        <v>7361</v>
      </c>
      <c r="B3583" s="47" t="s">
        <v>7362</v>
      </c>
      <c r="C3583" s="47">
        <v>205.0</v>
      </c>
      <c r="D3583" s="47">
        <v>198.0</v>
      </c>
      <c r="E3583" s="47">
        <v>24550.0</v>
      </c>
      <c r="F3583" s="47" t="s">
        <v>11</v>
      </c>
    </row>
    <row r="3584" ht="15.75" customHeight="1">
      <c r="A3584" s="46" t="s">
        <v>7363</v>
      </c>
      <c r="B3584" s="47" t="s">
        <v>7364</v>
      </c>
      <c r="C3584" s="47">
        <v>233.0</v>
      </c>
      <c r="D3584" s="47">
        <v>244.0</v>
      </c>
      <c r="E3584" s="47">
        <v>28880.0</v>
      </c>
      <c r="F3584" s="47" t="s">
        <v>11</v>
      </c>
    </row>
    <row r="3585" ht="15.75" customHeight="1">
      <c r="A3585" s="46" t="s">
        <v>7365</v>
      </c>
      <c r="B3585" s="47" t="s">
        <v>7366</v>
      </c>
      <c r="C3585" s="47">
        <v>1069.0</v>
      </c>
      <c r="D3585" s="47">
        <v>1025.0</v>
      </c>
      <c r="E3585" s="47">
        <v>23780.0</v>
      </c>
      <c r="F3585" s="47" t="s">
        <v>11</v>
      </c>
    </row>
    <row r="3586" ht="15.75" customHeight="1">
      <c r="A3586" s="46" t="s">
        <v>7367</v>
      </c>
      <c r="B3586" s="47" t="s">
        <v>7368</v>
      </c>
      <c r="C3586" s="47">
        <v>735.0</v>
      </c>
      <c r="D3586" s="47">
        <v>686.0</v>
      </c>
      <c r="E3586" s="47">
        <v>26120.0</v>
      </c>
      <c r="F3586" s="47" t="s">
        <v>11</v>
      </c>
    </row>
    <row r="3587" ht="15.75" customHeight="1">
      <c r="A3587" s="46" t="s">
        <v>7369</v>
      </c>
      <c r="B3587" s="47" t="s">
        <v>7370</v>
      </c>
      <c r="C3587" s="47">
        <v>7579.0</v>
      </c>
      <c r="D3587" s="47">
        <v>7090.0</v>
      </c>
      <c r="E3587" s="47">
        <v>21030.0</v>
      </c>
      <c r="F3587" s="47">
        <v>27.0</v>
      </c>
    </row>
    <row r="3588" ht="15.75" customHeight="1">
      <c r="A3588" s="46" t="s">
        <v>7371</v>
      </c>
      <c r="B3588" s="47" t="s">
        <v>7372</v>
      </c>
      <c r="C3588" s="47">
        <v>731.0</v>
      </c>
      <c r="D3588" s="47">
        <v>679.0</v>
      </c>
      <c r="E3588" s="47">
        <v>24840.0</v>
      </c>
      <c r="F3588" s="47" t="s">
        <v>11</v>
      </c>
    </row>
    <row r="3589" ht="15.75" customHeight="1">
      <c r="A3589" s="46" t="s">
        <v>7373</v>
      </c>
      <c r="B3589" s="47" t="s">
        <v>7374</v>
      </c>
      <c r="C3589" s="47">
        <v>1337.0</v>
      </c>
      <c r="D3589" s="47">
        <v>1273.0</v>
      </c>
      <c r="E3589" s="47">
        <v>24160.0</v>
      </c>
      <c r="F3589" s="47" t="s">
        <v>11</v>
      </c>
    </row>
    <row r="3590" ht="15.75" customHeight="1">
      <c r="A3590" s="46" t="s">
        <v>7375</v>
      </c>
      <c r="B3590" s="47" t="s">
        <v>7376</v>
      </c>
      <c r="C3590" s="47">
        <v>363.0</v>
      </c>
      <c r="D3590" s="47">
        <v>391.0</v>
      </c>
      <c r="E3590" s="47">
        <v>24280.0</v>
      </c>
      <c r="F3590" s="47" t="s">
        <v>11</v>
      </c>
    </row>
    <row r="3591" ht="15.75" customHeight="1">
      <c r="A3591" s="46" t="s">
        <v>7377</v>
      </c>
      <c r="B3591" s="47" t="s">
        <v>7378</v>
      </c>
      <c r="C3591" s="47">
        <v>280.0</v>
      </c>
      <c r="D3591" s="47">
        <v>280.0</v>
      </c>
      <c r="E3591" s="47">
        <v>28010.0</v>
      </c>
      <c r="F3591" s="47" t="s">
        <v>11</v>
      </c>
    </row>
    <row r="3592" ht="15.75" customHeight="1">
      <c r="A3592" s="46" t="s">
        <v>7379</v>
      </c>
      <c r="B3592" s="47" t="s">
        <v>7380</v>
      </c>
      <c r="C3592" s="47">
        <v>1504.0</v>
      </c>
      <c r="D3592" s="47">
        <v>1482.0</v>
      </c>
      <c r="E3592" s="47">
        <v>25720.0</v>
      </c>
      <c r="F3592" s="47" t="s">
        <v>11</v>
      </c>
    </row>
    <row r="3593" ht="15.75" customHeight="1">
      <c r="A3593" s="46" t="s">
        <v>7381</v>
      </c>
      <c r="B3593" s="47" t="s">
        <v>7382</v>
      </c>
      <c r="C3593" s="47">
        <v>281.0</v>
      </c>
      <c r="D3593" s="47">
        <v>284.0</v>
      </c>
      <c r="E3593" s="47">
        <v>28170.0</v>
      </c>
      <c r="F3593" s="47" t="s">
        <v>11</v>
      </c>
    </row>
    <row r="3594" ht="15.75" customHeight="1">
      <c r="A3594" s="46" t="s">
        <v>7383</v>
      </c>
      <c r="B3594" s="47" t="s">
        <v>7384</v>
      </c>
      <c r="C3594" s="47">
        <v>878.0</v>
      </c>
      <c r="D3594" s="47">
        <v>897.0</v>
      </c>
      <c r="E3594" s="47">
        <v>31330.0</v>
      </c>
      <c r="F3594" s="47" t="s">
        <v>11</v>
      </c>
    </row>
    <row r="3595" ht="15.75" customHeight="1">
      <c r="A3595" s="46" t="s">
        <v>7385</v>
      </c>
      <c r="B3595" s="47" t="s">
        <v>7386</v>
      </c>
      <c r="C3595" s="47">
        <v>755.0</v>
      </c>
      <c r="D3595" s="47">
        <v>753.0</v>
      </c>
      <c r="E3595" s="47">
        <v>24360.0</v>
      </c>
      <c r="F3595" s="47" t="s">
        <v>11</v>
      </c>
    </row>
    <row r="3596" ht="15.75" customHeight="1">
      <c r="A3596" s="46" t="s">
        <v>7387</v>
      </c>
      <c r="B3596" s="47" t="s">
        <v>7388</v>
      </c>
      <c r="C3596" s="47">
        <v>121.0</v>
      </c>
      <c r="D3596" s="47">
        <v>107.0</v>
      </c>
      <c r="E3596" s="47">
        <v>25010.0</v>
      </c>
      <c r="F3596" s="47" t="s">
        <v>11</v>
      </c>
    </row>
    <row r="3597" ht="15.75" customHeight="1">
      <c r="A3597" s="46" t="s">
        <v>7389</v>
      </c>
      <c r="B3597" s="47" t="s">
        <v>7390</v>
      </c>
      <c r="C3597" s="47">
        <v>2408.0</v>
      </c>
      <c r="D3597" s="47">
        <v>2282.0</v>
      </c>
      <c r="E3597" s="47">
        <v>23890.0</v>
      </c>
      <c r="F3597" s="47">
        <v>18.0</v>
      </c>
    </row>
    <row r="3598" ht="15.75" customHeight="1">
      <c r="A3598" s="46" t="s">
        <v>7391</v>
      </c>
      <c r="B3598" s="47" t="s">
        <v>7392</v>
      </c>
      <c r="C3598" s="47">
        <v>101.0</v>
      </c>
      <c r="D3598" s="47">
        <v>127.0</v>
      </c>
      <c r="E3598" s="47">
        <v>21530.0</v>
      </c>
      <c r="F3598" s="47" t="s">
        <v>11</v>
      </c>
    </row>
    <row r="3599" ht="15.75" customHeight="1">
      <c r="A3599" s="46" t="s">
        <v>7393</v>
      </c>
      <c r="B3599" s="47" t="s">
        <v>7394</v>
      </c>
      <c r="C3599" s="47">
        <v>2467.0</v>
      </c>
      <c r="D3599" s="47">
        <v>2425.0</v>
      </c>
      <c r="E3599" s="47">
        <v>28970.0</v>
      </c>
      <c r="F3599" s="47">
        <v>13.0</v>
      </c>
    </row>
    <row r="3600" ht="15.75" customHeight="1">
      <c r="A3600" s="46" t="s">
        <v>7395</v>
      </c>
      <c r="B3600" s="47" t="s">
        <v>7396</v>
      </c>
      <c r="C3600" s="47">
        <v>615.0</v>
      </c>
      <c r="D3600" s="47">
        <v>563.0</v>
      </c>
      <c r="E3600" s="47">
        <v>25290.0</v>
      </c>
      <c r="F3600" s="47" t="s">
        <v>11</v>
      </c>
    </row>
    <row r="3601" ht="15.75" customHeight="1">
      <c r="A3601" s="46" t="s">
        <v>7397</v>
      </c>
      <c r="B3601" s="47" t="s">
        <v>7398</v>
      </c>
      <c r="C3601" s="47">
        <v>840.0</v>
      </c>
      <c r="D3601" s="47">
        <v>826.0</v>
      </c>
      <c r="E3601" s="47">
        <v>28730.0</v>
      </c>
      <c r="F3601" s="47" t="s">
        <v>11</v>
      </c>
    </row>
    <row r="3602" ht="15.75" customHeight="1">
      <c r="A3602" s="46" t="s">
        <v>7399</v>
      </c>
      <c r="B3602" s="47" t="s">
        <v>7400</v>
      </c>
      <c r="C3602" s="47">
        <v>1469.0</v>
      </c>
      <c r="D3602" s="47">
        <v>1438.0</v>
      </c>
      <c r="E3602" s="47">
        <v>21250.0</v>
      </c>
      <c r="F3602" s="47" t="s">
        <v>11</v>
      </c>
    </row>
    <row r="3603" ht="15.75" customHeight="1">
      <c r="A3603" s="46" t="s">
        <v>7401</v>
      </c>
      <c r="B3603" s="47" t="s">
        <v>7402</v>
      </c>
      <c r="C3603" s="47">
        <v>283.0</v>
      </c>
      <c r="D3603" s="47">
        <v>268.0</v>
      </c>
      <c r="E3603" s="47">
        <v>26230.0</v>
      </c>
      <c r="F3603" s="47" t="s">
        <v>11</v>
      </c>
    </row>
    <row r="3604" ht="15.75" customHeight="1">
      <c r="A3604" s="46" t="s">
        <v>7403</v>
      </c>
      <c r="B3604" s="47" t="s">
        <v>7404</v>
      </c>
      <c r="C3604" s="47">
        <v>103.0</v>
      </c>
      <c r="D3604" s="47">
        <v>111.0</v>
      </c>
      <c r="E3604" s="47" t="s">
        <v>11</v>
      </c>
      <c r="F3604" s="47" t="s">
        <v>11</v>
      </c>
    </row>
    <row r="3605" ht="15.75" customHeight="1">
      <c r="A3605" s="46" t="s">
        <v>7405</v>
      </c>
      <c r="B3605" s="47" t="s">
        <v>7406</v>
      </c>
      <c r="C3605" s="47">
        <v>1211.0</v>
      </c>
      <c r="D3605" s="47">
        <v>1335.0</v>
      </c>
      <c r="E3605" s="47">
        <v>27370.0</v>
      </c>
      <c r="F3605" s="47" t="s">
        <v>11</v>
      </c>
    </row>
    <row r="3606" ht="15.75" customHeight="1">
      <c r="A3606" s="46" t="s">
        <v>7407</v>
      </c>
      <c r="B3606" s="47" t="s">
        <v>7408</v>
      </c>
      <c r="C3606" s="47">
        <v>266.0</v>
      </c>
      <c r="D3606" s="47">
        <v>263.0</v>
      </c>
      <c r="E3606" s="47">
        <v>25430.0</v>
      </c>
      <c r="F3606" s="47" t="s">
        <v>11</v>
      </c>
    </row>
    <row r="3607" ht="15.75" customHeight="1">
      <c r="A3607" s="46" t="s">
        <v>7409</v>
      </c>
      <c r="B3607" s="47" t="s">
        <v>7410</v>
      </c>
      <c r="C3607" s="47">
        <v>314.0</v>
      </c>
      <c r="D3607" s="47">
        <v>304.0</v>
      </c>
      <c r="E3607" s="47">
        <v>23290.0</v>
      </c>
      <c r="F3607" s="47" t="s">
        <v>11</v>
      </c>
    </row>
    <row r="3608" ht="15.75" customHeight="1">
      <c r="A3608" s="46" t="s">
        <v>7411</v>
      </c>
      <c r="B3608" s="47" t="s">
        <v>7412</v>
      </c>
      <c r="C3608" s="47">
        <v>552.0</v>
      </c>
      <c r="D3608" s="47">
        <v>572.0</v>
      </c>
      <c r="E3608" s="47">
        <v>30870.0</v>
      </c>
      <c r="F3608" s="47" t="s">
        <v>11</v>
      </c>
    </row>
    <row r="3609" ht="15.75" customHeight="1">
      <c r="A3609" s="46" t="s">
        <v>7413</v>
      </c>
      <c r="B3609" s="47" t="s">
        <v>7414</v>
      </c>
      <c r="C3609" s="47">
        <v>695.0</v>
      </c>
      <c r="D3609" s="47">
        <v>761.0</v>
      </c>
      <c r="E3609" s="47">
        <v>24710.0</v>
      </c>
      <c r="F3609" s="47" t="s">
        <v>11</v>
      </c>
    </row>
    <row r="3610" ht="15.75" customHeight="1">
      <c r="A3610" s="46" t="s">
        <v>7415</v>
      </c>
      <c r="B3610" s="47" t="s">
        <v>7416</v>
      </c>
      <c r="C3610" s="47">
        <v>555.0</v>
      </c>
      <c r="D3610" s="47">
        <v>572.0</v>
      </c>
      <c r="E3610" s="47">
        <v>25200.0</v>
      </c>
      <c r="F3610" s="47" t="s">
        <v>11</v>
      </c>
    </row>
    <row r="3611" ht="15.75" customHeight="1">
      <c r="A3611" s="46" t="s">
        <v>7417</v>
      </c>
      <c r="B3611" s="47" t="s">
        <v>7418</v>
      </c>
      <c r="C3611" s="47">
        <v>87.0</v>
      </c>
      <c r="D3611" s="47">
        <v>79.0</v>
      </c>
      <c r="E3611" s="47" t="s">
        <v>11</v>
      </c>
      <c r="F3611" s="47" t="s">
        <v>11</v>
      </c>
    </row>
    <row r="3612" ht="15.75" customHeight="1">
      <c r="A3612" s="46" t="s">
        <v>7419</v>
      </c>
      <c r="B3612" s="47" t="s">
        <v>7420</v>
      </c>
      <c r="C3612" s="47">
        <v>298.0</v>
      </c>
      <c r="D3612" s="47">
        <v>278.0</v>
      </c>
      <c r="E3612" s="47">
        <v>24560.0</v>
      </c>
      <c r="F3612" s="47" t="s">
        <v>11</v>
      </c>
    </row>
    <row r="3613" ht="15.75" customHeight="1">
      <c r="A3613" s="46" t="s">
        <v>7421</v>
      </c>
      <c r="B3613" s="47" t="s">
        <v>7422</v>
      </c>
      <c r="C3613" s="47">
        <v>120.0</v>
      </c>
      <c r="D3613" s="47">
        <v>125.0</v>
      </c>
      <c r="E3613" s="47">
        <v>20930.0</v>
      </c>
      <c r="F3613" s="47" t="s">
        <v>11</v>
      </c>
    </row>
    <row r="3614" ht="15.75" customHeight="1">
      <c r="A3614" s="46" t="s">
        <v>7423</v>
      </c>
      <c r="B3614" s="47" t="s">
        <v>7424</v>
      </c>
      <c r="C3614" s="47">
        <v>1396.0</v>
      </c>
      <c r="D3614" s="47">
        <v>1280.0</v>
      </c>
      <c r="E3614" s="47">
        <v>25160.0</v>
      </c>
      <c r="F3614" s="47" t="s">
        <v>11</v>
      </c>
    </row>
    <row r="3615" ht="15.75" customHeight="1">
      <c r="A3615" s="46" t="s">
        <v>7425</v>
      </c>
      <c r="B3615" s="47" t="s">
        <v>7426</v>
      </c>
      <c r="C3615" s="47">
        <v>648.0</v>
      </c>
      <c r="D3615" s="47">
        <v>626.0</v>
      </c>
      <c r="E3615" s="47">
        <v>29260.0</v>
      </c>
      <c r="F3615" s="47" t="s">
        <v>11</v>
      </c>
    </row>
    <row r="3616" ht="15.75" customHeight="1">
      <c r="A3616" s="46" t="s">
        <v>7427</v>
      </c>
      <c r="B3616" s="47" t="s">
        <v>7428</v>
      </c>
      <c r="C3616" s="47">
        <v>267.0</v>
      </c>
      <c r="D3616" s="47">
        <v>233.0</v>
      </c>
      <c r="E3616" s="47">
        <v>23000.0</v>
      </c>
      <c r="F3616" s="47" t="s">
        <v>11</v>
      </c>
    </row>
    <row r="3617" ht="15.75" customHeight="1">
      <c r="A3617" s="46" t="s">
        <v>7429</v>
      </c>
      <c r="B3617" s="47" t="s">
        <v>7430</v>
      </c>
      <c r="C3617" s="47">
        <v>792.0</v>
      </c>
      <c r="D3617" s="47">
        <v>764.0</v>
      </c>
      <c r="E3617" s="47">
        <v>25700.0</v>
      </c>
      <c r="F3617" s="47" t="s">
        <v>11</v>
      </c>
    </row>
    <row r="3618" ht="15.75" customHeight="1">
      <c r="A3618" s="46" t="s">
        <v>7431</v>
      </c>
      <c r="B3618" s="47" t="s">
        <v>7432</v>
      </c>
      <c r="C3618" s="47">
        <v>564.0</v>
      </c>
      <c r="D3618" s="47">
        <v>514.0</v>
      </c>
      <c r="E3618" s="47">
        <v>26370.0</v>
      </c>
      <c r="F3618" s="47" t="s">
        <v>11</v>
      </c>
    </row>
    <row r="3619" ht="15.75" customHeight="1">
      <c r="A3619" s="46" t="s">
        <v>7433</v>
      </c>
      <c r="B3619" s="47" t="s">
        <v>7434</v>
      </c>
      <c r="C3619" s="47">
        <v>441.0</v>
      </c>
      <c r="D3619" s="47">
        <v>427.0</v>
      </c>
      <c r="E3619" s="47">
        <v>24800.0</v>
      </c>
      <c r="F3619" s="47" t="s">
        <v>11</v>
      </c>
    </row>
    <row r="3620" ht="15.75" customHeight="1">
      <c r="A3620" s="46" t="s">
        <v>7435</v>
      </c>
      <c r="B3620" s="47" t="s">
        <v>7436</v>
      </c>
      <c r="C3620" s="47">
        <v>1102.0</v>
      </c>
      <c r="D3620" s="47">
        <v>1102.0</v>
      </c>
      <c r="E3620" s="47">
        <v>25980.0</v>
      </c>
      <c r="F3620" s="47" t="s">
        <v>11</v>
      </c>
    </row>
    <row r="3621" ht="15.75" customHeight="1">
      <c r="A3621" s="46" t="s">
        <v>7437</v>
      </c>
      <c r="B3621" s="47" t="s">
        <v>7438</v>
      </c>
      <c r="C3621" s="47">
        <v>325.0</v>
      </c>
      <c r="D3621" s="47">
        <v>311.0</v>
      </c>
      <c r="E3621" s="47">
        <v>25920.0</v>
      </c>
      <c r="F3621" s="47" t="s">
        <v>11</v>
      </c>
    </row>
    <row r="3622" ht="15.75" customHeight="1">
      <c r="A3622" s="46" t="s">
        <v>7439</v>
      </c>
      <c r="B3622" s="47" t="s">
        <v>7440</v>
      </c>
      <c r="C3622" s="47">
        <v>142.0</v>
      </c>
      <c r="D3622" s="47">
        <v>139.0</v>
      </c>
      <c r="E3622" s="47">
        <v>23470.0</v>
      </c>
      <c r="F3622" s="47" t="s">
        <v>11</v>
      </c>
    </row>
    <row r="3623" ht="15.75" customHeight="1">
      <c r="A3623" s="46" t="s">
        <v>7441</v>
      </c>
      <c r="B3623" s="47" t="s">
        <v>7442</v>
      </c>
      <c r="C3623" s="47">
        <v>282.0</v>
      </c>
      <c r="D3623" s="47">
        <v>269.0</v>
      </c>
      <c r="E3623" s="47">
        <v>26500.0</v>
      </c>
      <c r="F3623" s="47" t="s">
        <v>11</v>
      </c>
    </row>
    <row r="3624" ht="15.75" customHeight="1">
      <c r="A3624" s="46" t="s">
        <v>7443</v>
      </c>
      <c r="B3624" s="47" t="s">
        <v>7444</v>
      </c>
      <c r="C3624" s="47">
        <v>997.0</v>
      </c>
      <c r="D3624" s="47">
        <v>1123.0</v>
      </c>
      <c r="E3624" s="47">
        <v>28130.0</v>
      </c>
      <c r="F3624" s="47" t="s">
        <v>11</v>
      </c>
    </row>
    <row r="3625" ht="15.75" customHeight="1">
      <c r="A3625" s="46" t="s">
        <v>7445</v>
      </c>
      <c r="B3625" s="47" t="s">
        <v>7446</v>
      </c>
      <c r="C3625" s="47">
        <v>280.0</v>
      </c>
      <c r="D3625" s="47">
        <v>262.0</v>
      </c>
      <c r="E3625" s="47">
        <v>24460.0</v>
      </c>
      <c r="F3625" s="47" t="s">
        <v>11</v>
      </c>
    </row>
    <row r="3626" ht="15.75" customHeight="1">
      <c r="A3626" s="46" t="s">
        <v>7447</v>
      </c>
      <c r="B3626" s="47" t="s">
        <v>7448</v>
      </c>
      <c r="C3626" s="47">
        <v>343.0</v>
      </c>
      <c r="D3626" s="47">
        <v>379.0</v>
      </c>
      <c r="E3626" s="47">
        <v>23220.0</v>
      </c>
      <c r="F3626" s="47" t="s">
        <v>11</v>
      </c>
    </row>
    <row r="3627" ht="15.75" customHeight="1">
      <c r="A3627" s="46" t="s">
        <v>7449</v>
      </c>
      <c r="B3627" s="47" t="s">
        <v>7450</v>
      </c>
      <c r="C3627" s="47">
        <v>198.0</v>
      </c>
      <c r="D3627" s="47">
        <v>188.0</v>
      </c>
      <c r="E3627" s="47">
        <v>25730.0</v>
      </c>
      <c r="F3627" s="47" t="s">
        <v>11</v>
      </c>
    </row>
    <row r="3628" ht="15.75" customHeight="1">
      <c r="A3628" s="46" t="s">
        <v>7451</v>
      </c>
      <c r="B3628" s="47" t="s">
        <v>7452</v>
      </c>
      <c r="C3628" s="47">
        <v>126.0</v>
      </c>
      <c r="D3628" s="47">
        <v>139.0</v>
      </c>
      <c r="E3628" s="47">
        <v>23340.0</v>
      </c>
      <c r="F3628" s="47" t="s">
        <v>11</v>
      </c>
    </row>
    <row r="3629" ht="15.75" customHeight="1">
      <c r="A3629" s="46" t="s">
        <v>7453</v>
      </c>
      <c r="B3629" s="47" t="s">
        <v>7454</v>
      </c>
      <c r="C3629" s="47">
        <v>29.0</v>
      </c>
      <c r="D3629" s="47">
        <v>28.0</v>
      </c>
      <c r="E3629" s="47" t="s">
        <v>11</v>
      </c>
      <c r="F3629" s="47" t="s">
        <v>11</v>
      </c>
    </row>
    <row r="3630" ht="15.75" customHeight="1">
      <c r="A3630" s="46" t="s">
        <v>7455</v>
      </c>
      <c r="B3630" s="47" t="s">
        <v>7456</v>
      </c>
      <c r="C3630" s="47">
        <v>132.0</v>
      </c>
      <c r="D3630" s="47">
        <v>137.0</v>
      </c>
      <c r="E3630" s="47">
        <v>24120.0</v>
      </c>
      <c r="F3630" s="47" t="s">
        <v>11</v>
      </c>
    </row>
    <row r="3631" ht="15.75" customHeight="1">
      <c r="A3631" s="46" t="s">
        <v>7457</v>
      </c>
      <c r="B3631" s="47" t="s">
        <v>7458</v>
      </c>
      <c r="C3631" s="47">
        <v>175.0</v>
      </c>
      <c r="D3631" s="47">
        <v>164.0</v>
      </c>
      <c r="E3631" s="47">
        <v>24500.0</v>
      </c>
      <c r="F3631" s="47" t="s">
        <v>11</v>
      </c>
    </row>
    <row r="3632" ht="15.75" customHeight="1">
      <c r="A3632" s="46" t="s">
        <v>7459</v>
      </c>
      <c r="B3632" s="47" t="s">
        <v>7460</v>
      </c>
      <c r="C3632" s="47">
        <v>366.0</v>
      </c>
      <c r="D3632" s="47">
        <v>346.0</v>
      </c>
      <c r="E3632" s="47">
        <v>25990.0</v>
      </c>
      <c r="F3632" s="47" t="s">
        <v>11</v>
      </c>
    </row>
    <row r="3633" ht="15.75" customHeight="1">
      <c r="A3633" s="46" t="s">
        <v>7461</v>
      </c>
      <c r="B3633" s="47" t="s">
        <v>7462</v>
      </c>
      <c r="C3633" s="47">
        <v>515.0</v>
      </c>
      <c r="D3633" s="47">
        <v>530.0</v>
      </c>
      <c r="E3633" s="47">
        <v>29190.0</v>
      </c>
      <c r="F3633" s="47" t="s">
        <v>11</v>
      </c>
    </row>
    <row r="3634" ht="15.75" customHeight="1">
      <c r="A3634" s="46" t="s">
        <v>7464</v>
      </c>
      <c r="B3634" s="47" t="s">
        <v>7465</v>
      </c>
      <c r="C3634" s="47">
        <v>250.0</v>
      </c>
      <c r="D3634" s="47">
        <v>223.0</v>
      </c>
      <c r="E3634" s="47">
        <v>23320.0</v>
      </c>
      <c r="F3634" s="47" t="s">
        <v>11</v>
      </c>
    </row>
    <row r="3635" ht="15.75" customHeight="1">
      <c r="A3635" s="46" t="s">
        <v>7466</v>
      </c>
      <c r="B3635" s="47" t="s">
        <v>7467</v>
      </c>
      <c r="C3635" s="47">
        <v>679.0</v>
      </c>
      <c r="D3635" s="47">
        <v>609.0</v>
      </c>
      <c r="E3635" s="47">
        <v>25210.0</v>
      </c>
      <c r="F3635" s="47" t="s">
        <v>11</v>
      </c>
    </row>
    <row r="3636" ht="15.75" customHeight="1">
      <c r="A3636" s="46" t="s">
        <v>7468</v>
      </c>
      <c r="B3636" s="47" t="s">
        <v>7469</v>
      </c>
      <c r="C3636" s="47">
        <v>178.0</v>
      </c>
      <c r="D3636" s="47">
        <v>181.0</v>
      </c>
      <c r="E3636" s="47">
        <v>25670.0</v>
      </c>
      <c r="F3636" s="47" t="s">
        <v>11</v>
      </c>
    </row>
    <row r="3637" ht="15.75" customHeight="1">
      <c r="A3637" s="46" t="s">
        <v>7470</v>
      </c>
      <c r="B3637" s="47" t="s">
        <v>7471</v>
      </c>
      <c r="C3637" s="47">
        <v>3552.0</v>
      </c>
      <c r="D3637" s="47">
        <v>3636.0</v>
      </c>
      <c r="E3637" s="47">
        <v>26090.0</v>
      </c>
      <c r="F3637" s="47">
        <v>15.0</v>
      </c>
    </row>
    <row r="3638" ht="15.75" customHeight="1">
      <c r="A3638" s="46" t="s">
        <v>7472</v>
      </c>
      <c r="B3638" s="47" t="s">
        <v>7473</v>
      </c>
      <c r="C3638" s="47">
        <v>126.0</v>
      </c>
      <c r="D3638" s="47">
        <v>149.0</v>
      </c>
      <c r="E3638" s="47">
        <v>25590.0</v>
      </c>
      <c r="F3638" s="47" t="s">
        <v>11</v>
      </c>
    </row>
    <row r="3639" ht="15.75" customHeight="1">
      <c r="A3639" s="46" t="s">
        <v>7474</v>
      </c>
      <c r="B3639" s="47" t="s">
        <v>7475</v>
      </c>
      <c r="C3639" s="47">
        <v>155.0</v>
      </c>
      <c r="D3639" s="47">
        <v>152.0</v>
      </c>
      <c r="E3639" s="47">
        <v>24220.0</v>
      </c>
      <c r="F3639" s="47" t="s">
        <v>11</v>
      </c>
    </row>
    <row r="3640" ht="15.75" customHeight="1">
      <c r="A3640" s="46" t="s">
        <v>7476</v>
      </c>
      <c r="B3640" s="47" t="s">
        <v>7477</v>
      </c>
      <c r="C3640" s="47">
        <v>1613.0</v>
      </c>
      <c r="D3640" s="47">
        <v>1626.0</v>
      </c>
      <c r="E3640" s="47">
        <v>22930.0</v>
      </c>
      <c r="F3640" s="47" t="s">
        <v>11</v>
      </c>
    </row>
    <row r="3641" ht="15.75" customHeight="1">
      <c r="A3641" s="46" t="s">
        <v>7478</v>
      </c>
      <c r="B3641" s="47" t="s">
        <v>7479</v>
      </c>
      <c r="C3641" s="47">
        <v>751.0</v>
      </c>
      <c r="D3641" s="47">
        <v>755.0</v>
      </c>
      <c r="E3641" s="47">
        <v>24770.0</v>
      </c>
      <c r="F3641" s="47" t="s">
        <v>11</v>
      </c>
    </row>
    <row r="3642" ht="15.75" customHeight="1">
      <c r="A3642" s="46" t="s">
        <v>7480</v>
      </c>
      <c r="B3642" s="47" t="s">
        <v>7481</v>
      </c>
      <c r="C3642" s="47">
        <v>587.0</v>
      </c>
      <c r="D3642" s="47">
        <v>577.0</v>
      </c>
      <c r="E3642" s="47">
        <v>24540.0</v>
      </c>
      <c r="F3642" s="47" t="s">
        <v>11</v>
      </c>
    </row>
    <row r="3643" ht="15.75" customHeight="1">
      <c r="A3643" s="46" t="s">
        <v>7482</v>
      </c>
      <c r="B3643" s="47" t="s">
        <v>7483</v>
      </c>
      <c r="C3643" s="47">
        <v>3008.0</v>
      </c>
      <c r="D3643" s="47">
        <v>2894.0</v>
      </c>
      <c r="E3643" s="47">
        <v>22780.0</v>
      </c>
      <c r="F3643" s="47">
        <v>21.0</v>
      </c>
    </row>
    <row r="3644" ht="15.75" customHeight="1">
      <c r="A3644" s="46" t="s">
        <v>7484</v>
      </c>
      <c r="B3644" s="47" t="s">
        <v>7485</v>
      </c>
      <c r="C3644" s="47">
        <v>306.0</v>
      </c>
      <c r="D3644" s="47">
        <v>304.0</v>
      </c>
      <c r="E3644" s="47">
        <v>26430.0</v>
      </c>
      <c r="F3644" s="47" t="s">
        <v>11</v>
      </c>
    </row>
    <row r="3645" ht="15.75" customHeight="1">
      <c r="A3645" s="46" t="s">
        <v>7486</v>
      </c>
      <c r="B3645" s="47" t="s">
        <v>7487</v>
      </c>
      <c r="C3645" s="47">
        <v>212.0</v>
      </c>
      <c r="D3645" s="47">
        <v>209.0</v>
      </c>
      <c r="E3645" s="47">
        <v>26600.0</v>
      </c>
      <c r="F3645" s="47" t="s">
        <v>11</v>
      </c>
    </row>
    <row r="3646" ht="15.75" customHeight="1">
      <c r="A3646" s="46" t="s">
        <v>7488</v>
      </c>
      <c r="B3646" s="47" t="s">
        <v>7489</v>
      </c>
      <c r="C3646" s="47">
        <v>107.0</v>
      </c>
      <c r="D3646" s="47">
        <v>100.0</v>
      </c>
      <c r="E3646" s="47" t="s">
        <v>11</v>
      </c>
      <c r="F3646" s="47" t="s">
        <v>11</v>
      </c>
    </row>
    <row r="3647" ht="15.75" customHeight="1">
      <c r="A3647" s="46" t="s">
        <v>7490</v>
      </c>
      <c r="B3647" s="47" t="s">
        <v>7491</v>
      </c>
      <c r="C3647" s="47">
        <v>112.0</v>
      </c>
      <c r="D3647" s="47">
        <v>101.0</v>
      </c>
      <c r="E3647" s="47">
        <v>24890.0</v>
      </c>
      <c r="F3647" s="47" t="s">
        <v>11</v>
      </c>
    </row>
    <row r="3648" ht="15.75" customHeight="1">
      <c r="A3648" s="46" t="s">
        <v>7492</v>
      </c>
      <c r="B3648" s="47" t="s">
        <v>7493</v>
      </c>
      <c r="C3648" s="47">
        <v>5786.0</v>
      </c>
      <c r="D3648" s="47">
        <v>5833.0</v>
      </c>
      <c r="E3648" s="47">
        <v>20760.0</v>
      </c>
      <c r="F3648" s="47">
        <v>27.0</v>
      </c>
    </row>
    <row r="3649" ht="15.75" customHeight="1">
      <c r="A3649" s="46" t="s">
        <v>7494</v>
      </c>
      <c r="B3649" s="47" t="s">
        <v>7495</v>
      </c>
      <c r="C3649" s="47">
        <v>726.0</v>
      </c>
      <c r="D3649" s="47">
        <v>720.0</v>
      </c>
      <c r="E3649" s="47">
        <v>27560.0</v>
      </c>
      <c r="F3649" s="47" t="s">
        <v>11</v>
      </c>
    </row>
    <row r="3650" ht="15.75" customHeight="1">
      <c r="A3650" s="46" t="s">
        <v>7496</v>
      </c>
      <c r="B3650" s="47" t="s">
        <v>7497</v>
      </c>
      <c r="C3650" s="47">
        <v>134.0</v>
      </c>
      <c r="D3650" s="47">
        <v>129.0</v>
      </c>
      <c r="E3650" s="47">
        <v>25950.0</v>
      </c>
      <c r="F3650" s="47" t="s">
        <v>11</v>
      </c>
    </row>
    <row r="3651" ht="15.75" customHeight="1">
      <c r="A3651" s="46" t="s">
        <v>7498</v>
      </c>
      <c r="B3651" s="47" t="s">
        <v>7499</v>
      </c>
      <c r="C3651" s="47">
        <v>3101.0</v>
      </c>
      <c r="D3651" s="47">
        <v>2987.0</v>
      </c>
      <c r="E3651" s="47">
        <v>22740.0</v>
      </c>
      <c r="F3651" s="47">
        <v>17.0</v>
      </c>
    </row>
    <row r="3652" ht="15.75" customHeight="1">
      <c r="A3652" s="46" t="s">
        <v>7500</v>
      </c>
      <c r="B3652" s="47" t="s">
        <v>7501</v>
      </c>
      <c r="C3652" s="47">
        <v>611.0</v>
      </c>
      <c r="D3652" s="47">
        <v>613.0</v>
      </c>
      <c r="E3652" s="47">
        <v>31620.0</v>
      </c>
      <c r="F3652" s="47" t="s">
        <v>11</v>
      </c>
    </row>
    <row r="3653" ht="15.75" customHeight="1">
      <c r="A3653" s="46" t="s">
        <v>7502</v>
      </c>
      <c r="B3653" s="47" t="s">
        <v>7503</v>
      </c>
      <c r="C3653" s="47">
        <v>393.0</v>
      </c>
      <c r="D3653" s="47">
        <v>344.0</v>
      </c>
      <c r="E3653" s="47">
        <v>24820.0</v>
      </c>
      <c r="F3653" s="47" t="s">
        <v>11</v>
      </c>
    </row>
    <row r="3654" ht="15.75" customHeight="1">
      <c r="A3654" s="46" t="s">
        <v>7504</v>
      </c>
      <c r="B3654" s="47" t="s">
        <v>7505</v>
      </c>
      <c r="C3654" s="47">
        <v>1037.0</v>
      </c>
      <c r="D3654" s="47">
        <v>991.0</v>
      </c>
      <c r="E3654" s="47">
        <v>24100.0</v>
      </c>
      <c r="F3654" s="47" t="s">
        <v>11</v>
      </c>
    </row>
    <row r="3655" ht="15.75" customHeight="1">
      <c r="A3655" s="46" t="s">
        <v>7506</v>
      </c>
      <c r="B3655" s="47" t="s">
        <v>7507</v>
      </c>
      <c r="C3655" s="47">
        <v>314.0</v>
      </c>
      <c r="D3655" s="47">
        <v>333.0</v>
      </c>
      <c r="E3655" s="47">
        <v>25380.0</v>
      </c>
      <c r="F3655" s="47" t="s">
        <v>11</v>
      </c>
    </row>
    <row r="3656" ht="15.75" customHeight="1">
      <c r="A3656" s="46" t="s">
        <v>7508</v>
      </c>
      <c r="B3656" s="47" t="s">
        <v>7509</v>
      </c>
      <c r="C3656" s="47">
        <v>352.0</v>
      </c>
      <c r="D3656" s="47">
        <v>351.0</v>
      </c>
      <c r="E3656" s="47">
        <v>26450.0</v>
      </c>
      <c r="F3656" s="47" t="s">
        <v>11</v>
      </c>
    </row>
    <row r="3657" ht="15.75" customHeight="1">
      <c r="A3657" s="46" t="s">
        <v>7510</v>
      </c>
      <c r="B3657" s="47" t="s">
        <v>7511</v>
      </c>
      <c r="C3657" s="47">
        <v>477.0</v>
      </c>
      <c r="D3657" s="47">
        <v>469.0</v>
      </c>
      <c r="E3657" s="47">
        <v>20550.0</v>
      </c>
      <c r="F3657" s="47" t="s">
        <v>11</v>
      </c>
    </row>
    <row r="3658" ht="15.75" customHeight="1">
      <c r="A3658" s="46" t="s">
        <v>7512</v>
      </c>
      <c r="B3658" s="47" t="s">
        <v>7513</v>
      </c>
      <c r="C3658" s="47">
        <v>1205.0</v>
      </c>
      <c r="D3658" s="47">
        <v>1187.0</v>
      </c>
      <c r="E3658" s="47">
        <v>35360.0</v>
      </c>
      <c r="F3658" s="47" t="s">
        <v>11</v>
      </c>
    </row>
    <row r="3659" ht="15.75" customHeight="1">
      <c r="A3659" s="46" t="s">
        <v>7514</v>
      </c>
      <c r="B3659" s="47" t="s">
        <v>7515</v>
      </c>
      <c r="C3659" s="47">
        <v>27.0</v>
      </c>
      <c r="D3659" s="47">
        <v>36.0</v>
      </c>
      <c r="E3659" s="47" t="s">
        <v>11</v>
      </c>
      <c r="F3659" s="47" t="s">
        <v>11</v>
      </c>
    </row>
    <row r="3660" ht="15.75" customHeight="1">
      <c r="A3660" s="46" t="s">
        <v>7516</v>
      </c>
      <c r="B3660" s="47" t="s">
        <v>7517</v>
      </c>
      <c r="C3660" s="47">
        <v>225.0</v>
      </c>
      <c r="D3660" s="47">
        <v>218.0</v>
      </c>
      <c r="E3660" s="47">
        <v>27430.0</v>
      </c>
      <c r="F3660" s="47" t="s">
        <v>11</v>
      </c>
    </row>
    <row r="3661" ht="15.75" customHeight="1">
      <c r="A3661" s="46" t="s">
        <v>7518</v>
      </c>
      <c r="B3661" s="47" t="s">
        <v>7519</v>
      </c>
      <c r="C3661" s="47">
        <v>111.0</v>
      </c>
      <c r="D3661" s="47">
        <v>116.0</v>
      </c>
      <c r="E3661" s="47">
        <v>25890.0</v>
      </c>
      <c r="F3661" s="47" t="s">
        <v>11</v>
      </c>
    </row>
    <row r="3662" ht="15.75" customHeight="1">
      <c r="A3662" s="46" t="s">
        <v>7520</v>
      </c>
      <c r="B3662" s="47" t="s">
        <v>7521</v>
      </c>
      <c r="C3662" s="47">
        <v>878.0</v>
      </c>
      <c r="D3662" s="47">
        <v>883.0</v>
      </c>
      <c r="E3662" s="47">
        <v>24170.0</v>
      </c>
      <c r="F3662" s="47" t="s">
        <v>11</v>
      </c>
    </row>
    <row r="3663" ht="15.75" customHeight="1">
      <c r="A3663" s="46" t="s">
        <v>7522</v>
      </c>
      <c r="B3663" s="47" t="s">
        <v>7523</v>
      </c>
      <c r="C3663" s="47">
        <v>437.0</v>
      </c>
      <c r="D3663" s="47">
        <v>425.0</v>
      </c>
      <c r="E3663" s="47">
        <v>25790.0</v>
      </c>
      <c r="F3663" s="47" t="s">
        <v>11</v>
      </c>
    </row>
    <row r="3664" ht="15.75" customHeight="1">
      <c r="A3664" s="46" t="s">
        <v>7524</v>
      </c>
      <c r="B3664" s="47" t="s">
        <v>7525</v>
      </c>
      <c r="C3664" s="47">
        <v>1170.0</v>
      </c>
      <c r="D3664" s="47">
        <v>1409.0</v>
      </c>
      <c r="E3664" s="47">
        <v>39460.0</v>
      </c>
      <c r="F3664" s="47" t="s">
        <v>11</v>
      </c>
    </row>
    <row r="3665" ht="15.75" customHeight="1">
      <c r="A3665" s="46" t="s">
        <v>7526</v>
      </c>
      <c r="B3665" s="47" t="s">
        <v>7527</v>
      </c>
      <c r="C3665" s="47">
        <v>206.0</v>
      </c>
      <c r="D3665" s="47">
        <v>224.0</v>
      </c>
      <c r="E3665" s="47">
        <v>25300.0</v>
      </c>
      <c r="F3665" s="47" t="s">
        <v>11</v>
      </c>
    </row>
    <row r="3666" ht="15.75" customHeight="1">
      <c r="A3666" s="46" t="s">
        <v>7528</v>
      </c>
      <c r="B3666" s="47" t="s">
        <v>7529</v>
      </c>
      <c r="C3666" s="47">
        <v>377.0</v>
      </c>
      <c r="D3666" s="47">
        <v>383.0</v>
      </c>
      <c r="E3666" s="47">
        <v>27700.0</v>
      </c>
      <c r="F3666" s="47" t="s">
        <v>11</v>
      </c>
    </row>
    <row r="3667" ht="15.75" customHeight="1">
      <c r="A3667" s="46" t="s">
        <v>7530</v>
      </c>
      <c r="B3667" s="47" t="s">
        <v>7531</v>
      </c>
      <c r="C3667" s="47">
        <v>89.0</v>
      </c>
      <c r="D3667" s="47">
        <v>79.0</v>
      </c>
      <c r="E3667" s="47" t="s">
        <v>11</v>
      </c>
      <c r="F3667" s="47" t="s">
        <v>11</v>
      </c>
    </row>
    <row r="3668" ht="15.75" customHeight="1">
      <c r="A3668" s="46" t="s">
        <v>7532</v>
      </c>
      <c r="B3668" s="47" t="s">
        <v>7533</v>
      </c>
      <c r="C3668" s="47">
        <v>1855.0</v>
      </c>
      <c r="D3668" s="47">
        <v>1809.0</v>
      </c>
      <c r="E3668" s="47">
        <v>22500.0</v>
      </c>
      <c r="F3668" s="47" t="s">
        <v>11</v>
      </c>
    </row>
    <row r="3669" ht="15.75" customHeight="1">
      <c r="A3669" s="46" t="s">
        <v>7534</v>
      </c>
      <c r="B3669" s="47" t="s">
        <v>7535</v>
      </c>
      <c r="C3669" s="47">
        <v>81.0</v>
      </c>
      <c r="D3669" s="47">
        <v>80.0</v>
      </c>
      <c r="E3669" s="47" t="s">
        <v>11</v>
      </c>
      <c r="F3669" s="47" t="s">
        <v>11</v>
      </c>
    </row>
    <row r="3670" ht="15.75" customHeight="1">
      <c r="A3670" s="46" t="s">
        <v>7536</v>
      </c>
      <c r="B3670" s="47" t="s">
        <v>1553</v>
      </c>
      <c r="C3670" s="47">
        <v>165.0</v>
      </c>
      <c r="D3670" s="47">
        <v>155.0</v>
      </c>
      <c r="E3670" s="47">
        <v>24990.0</v>
      </c>
      <c r="F3670" s="47" t="s">
        <v>11</v>
      </c>
    </row>
    <row r="3671" ht="15.75" customHeight="1">
      <c r="A3671" s="46" t="s">
        <v>7537</v>
      </c>
      <c r="B3671" s="47" t="s">
        <v>7538</v>
      </c>
      <c r="C3671" s="47">
        <v>267.0</v>
      </c>
      <c r="D3671" s="47">
        <v>279.0</v>
      </c>
      <c r="E3671" s="47">
        <v>23120.0</v>
      </c>
      <c r="F3671" s="47" t="s">
        <v>11</v>
      </c>
    </row>
    <row r="3672" ht="15.75" customHeight="1">
      <c r="A3672" s="46" t="s">
        <v>7539</v>
      </c>
      <c r="B3672" s="47" t="s">
        <v>7540</v>
      </c>
      <c r="C3672" s="47">
        <v>392.0</v>
      </c>
      <c r="D3672" s="47">
        <v>390.0</v>
      </c>
      <c r="E3672" s="47">
        <v>24850.0</v>
      </c>
      <c r="F3672" s="47" t="s">
        <v>11</v>
      </c>
    </row>
    <row r="3673" ht="15.75" customHeight="1">
      <c r="A3673" s="46" t="s">
        <v>7541</v>
      </c>
      <c r="B3673" s="47" t="s">
        <v>7542</v>
      </c>
      <c r="C3673" s="47">
        <v>1907.0</v>
      </c>
      <c r="D3673" s="47">
        <v>1772.0</v>
      </c>
      <c r="E3673" s="47">
        <v>20700.0</v>
      </c>
      <c r="F3673" s="47" t="s">
        <v>11</v>
      </c>
    </row>
    <row r="3674" ht="15.75" customHeight="1">
      <c r="A3674" s="46" t="s">
        <v>7543</v>
      </c>
      <c r="B3674" s="47" t="s">
        <v>7544</v>
      </c>
      <c r="C3674" s="47">
        <v>282.0</v>
      </c>
      <c r="D3674" s="47">
        <v>302.0</v>
      </c>
      <c r="E3674" s="47">
        <v>24040.0</v>
      </c>
      <c r="F3674" s="47" t="s">
        <v>11</v>
      </c>
    </row>
    <row r="3675" ht="15.75" customHeight="1">
      <c r="A3675" s="46" t="s">
        <v>7545</v>
      </c>
      <c r="B3675" s="47" t="s">
        <v>7546</v>
      </c>
      <c r="C3675" s="47">
        <v>1291.0</v>
      </c>
      <c r="D3675" s="47">
        <v>1252.0</v>
      </c>
      <c r="E3675" s="47">
        <v>25500.0</v>
      </c>
      <c r="F3675" s="47" t="s">
        <v>11</v>
      </c>
    </row>
    <row r="3676" ht="15.75" customHeight="1">
      <c r="A3676" s="46" t="s">
        <v>7547</v>
      </c>
      <c r="B3676" s="47" t="s">
        <v>7548</v>
      </c>
      <c r="C3676" s="47">
        <v>1258.0</v>
      </c>
      <c r="D3676" s="47">
        <v>1279.0</v>
      </c>
      <c r="E3676" s="47">
        <v>25970.0</v>
      </c>
      <c r="F3676" s="47" t="s">
        <v>11</v>
      </c>
    </row>
    <row r="3677" ht="15.75" customHeight="1">
      <c r="A3677" s="46" t="s">
        <v>7549</v>
      </c>
      <c r="B3677" s="47" t="s">
        <v>7550</v>
      </c>
      <c r="C3677" s="47">
        <v>995.0</v>
      </c>
      <c r="D3677" s="47">
        <v>976.0</v>
      </c>
      <c r="E3677" s="47">
        <v>29770.0</v>
      </c>
      <c r="F3677" s="47" t="s">
        <v>11</v>
      </c>
    </row>
    <row r="3678" ht="15.75" customHeight="1">
      <c r="A3678" s="46" t="s">
        <v>7551</v>
      </c>
      <c r="B3678" s="47" t="s">
        <v>4283</v>
      </c>
      <c r="C3678" s="47">
        <v>1376.0</v>
      </c>
      <c r="D3678" s="47">
        <v>1344.0</v>
      </c>
      <c r="E3678" s="47">
        <v>26500.0</v>
      </c>
      <c r="F3678" s="47" t="s">
        <v>11</v>
      </c>
    </row>
    <row r="3679" ht="15.75" customHeight="1">
      <c r="A3679" s="46" t="s">
        <v>7552</v>
      </c>
      <c r="B3679" s="47" t="s">
        <v>7553</v>
      </c>
      <c r="C3679" s="47">
        <v>57.0</v>
      </c>
      <c r="D3679" s="47">
        <v>47.0</v>
      </c>
      <c r="E3679" s="47" t="s">
        <v>11</v>
      </c>
      <c r="F3679" s="47" t="s">
        <v>11</v>
      </c>
    </row>
    <row r="3680" ht="15.75" customHeight="1">
      <c r="A3680" s="46" t="s">
        <v>7554</v>
      </c>
      <c r="B3680" s="47" t="s">
        <v>7555</v>
      </c>
      <c r="C3680" s="47">
        <v>2510.0</v>
      </c>
      <c r="D3680" s="47">
        <v>2306.0</v>
      </c>
      <c r="E3680" s="47">
        <v>25760.0</v>
      </c>
      <c r="F3680" s="47" t="s">
        <v>11</v>
      </c>
    </row>
    <row r="3681" ht="15.75" customHeight="1">
      <c r="A3681" s="46" t="s">
        <v>7556</v>
      </c>
      <c r="B3681" s="47" t="s">
        <v>7557</v>
      </c>
      <c r="C3681" s="47">
        <v>495.0</v>
      </c>
      <c r="D3681" s="47">
        <v>504.0</v>
      </c>
      <c r="E3681" s="47">
        <v>27920.0</v>
      </c>
      <c r="F3681" s="47" t="s">
        <v>11</v>
      </c>
    </row>
    <row r="3682" ht="15.75" customHeight="1">
      <c r="A3682" s="46" t="s">
        <v>7558</v>
      </c>
      <c r="B3682" s="47" t="s">
        <v>7559</v>
      </c>
      <c r="C3682" s="47">
        <v>239.0</v>
      </c>
      <c r="D3682" s="47">
        <v>263.0</v>
      </c>
      <c r="E3682" s="47">
        <v>30830.0</v>
      </c>
      <c r="F3682" s="47" t="s">
        <v>11</v>
      </c>
    </row>
    <row r="3683" ht="15.75" customHeight="1">
      <c r="A3683" s="46" t="s">
        <v>7560</v>
      </c>
      <c r="B3683" s="47" t="s">
        <v>7561</v>
      </c>
      <c r="C3683" s="47">
        <v>2846.0</v>
      </c>
      <c r="D3683" s="47">
        <v>2739.0</v>
      </c>
      <c r="E3683" s="47">
        <v>27190.0</v>
      </c>
      <c r="F3683" s="47">
        <v>11.0</v>
      </c>
    </row>
    <row r="3684" ht="15.75" customHeight="1">
      <c r="A3684" s="46" t="s">
        <v>7562</v>
      </c>
      <c r="B3684" s="47" t="s">
        <v>7563</v>
      </c>
      <c r="C3684" s="47">
        <v>3979.0</v>
      </c>
      <c r="D3684" s="47">
        <v>4179.0</v>
      </c>
      <c r="E3684" s="47">
        <v>28780.0</v>
      </c>
      <c r="F3684" s="47">
        <v>9.0</v>
      </c>
    </row>
    <row r="3685" ht="15.75" customHeight="1">
      <c r="A3685" s="46" t="s">
        <v>7564</v>
      </c>
      <c r="B3685" s="47" t="s">
        <v>2901</v>
      </c>
      <c r="C3685" s="47">
        <v>267.0</v>
      </c>
      <c r="D3685" s="47">
        <v>269.0</v>
      </c>
      <c r="E3685" s="47">
        <v>27240.0</v>
      </c>
      <c r="F3685" s="47" t="s">
        <v>11</v>
      </c>
    </row>
    <row r="3686" ht="15.75" customHeight="1">
      <c r="A3686" s="46" t="s">
        <v>7565</v>
      </c>
      <c r="B3686" s="47" t="s">
        <v>7566</v>
      </c>
      <c r="C3686" s="47">
        <v>71.0</v>
      </c>
      <c r="D3686" s="47">
        <v>74.0</v>
      </c>
      <c r="E3686" s="47" t="s">
        <v>11</v>
      </c>
      <c r="F3686" s="47" t="s">
        <v>11</v>
      </c>
    </row>
    <row r="3687" ht="15.75" customHeight="1">
      <c r="A3687" s="46" t="s">
        <v>7567</v>
      </c>
      <c r="B3687" s="47" t="s">
        <v>7568</v>
      </c>
      <c r="C3687" s="47">
        <v>175.0</v>
      </c>
      <c r="D3687" s="47">
        <v>178.0</v>
      </c>
      <c r="E3687" s="47">
        <v>26230.0</v>
      </c>
      <c r="F3687" s="47" t="s">
        <v>11</v>
      </c>
    </row>
    <row r="3688" ht="15.75" customHeight="1">
      <c r="A3688" s="46" t="s">
        <v>7569</v>
      </c>
      <c r="B3688" s="47" t="s">
        <v>7570</v>
      </c>
      <c r="C3688" s="47">
        <v>932.0</v>
      </c>
      <c r="D3688" s="47">
        <v>1096.0</v>
      </c>
      <c r="E3688" s="47">
        <v>30760.0</v>
      </c>
      <c r="F3688" s="47" t="s">
        <v>11</v>
      </c>
    </row>
    <row r="3689" ht="15.75" customHeight="1">
      <c r="A3689" s="46" t="s">
        <v>7571</v>
      </c>
      <c r="B3689" s="47" t="s">
        <v>7572</v>
      </c>
      <c r="C3689" s="47">
        <v>647.0</v>
      </c>
      <c r="D3689" s="47">
        <v>623.0</v>
      </c>
      <c r="E3689" s="47">
        <v>23750.0</v>
      </c>
      <c r="F3689" s="47" t="s">
        <v>11</v>
      </c>
    </row>
    <row r="3690" ht="15.75" customHeight="1">
      <c r="A3690" s="46" t="s">
        <v>7573</v>
      </c>
      <c r="B3690" s="47" t="s">
        <v>7574</v>
      </c>
      <c r="C3690" s="47">
        <v>294.0</v>
      </c>
      <c r="D3690" s="47">
        <v>324.0</v>
      </c>
      <c r="E3690" s="47">
        <v>25040.0</v>
      </c>
      <c r="F3690" s="47" t="s">
        <v>11</v>
      </c>
    </row>
    <row r="3691" ht="15.75" customHeight="1">
      <c r="A3691" s="46" t="s">
        <v>7575</v>
      </c>
      <c r="B3691" s="47" t="s">
        <v>7576</v>
      </c>
      <c r="C3691" s="47">
        <v>208.0</v>
      </c>
      <c r="D3691" s="47">
        <v>217.0</v>
      </c>
      <c r="E3691" s="47">
        <v>23950.0</v>
      </c>
      <c r="F3691" s="47" t="s">
        <v>11</v>
      </c>
    </row>
    <row r="3692" ht="15.75" customHeight="1">
      <c r="A3692" s="46" t="s">
        <v>7577</v>
      </c>
      <c r="B3692" s="47" t="s">
        <v>7578</v>
      </c>
      <c r="C3692" s="47">
        <v>168.0</v>
      </c>
      <c r="D3692" s="47">
        <v>162.0</v>
      </c>
      <c r="E3692" s="47">
        <v>27540.0</v>
      </c>
      <c r="F3692" s="47" t="s">
        <v>11</v>
      </c>
    </row>
    <row r="3693" ht="15.75" customHeight="1">
      <c r="A3693" s="46" t="s">
        <v>7579</v>
      </c>
      <c r="B3693" s="47" t="s">
        <v>7580</v>
      </c>
      <c r="C3693" s="47">
        <v>213.0</v>
      </c>
      <c r="D3693" s="47">
        <v>235.0</v>
      </c>
      <c r="E3693" s="47">
        <v>25330.0</v>
      </c>
      <c r="F3693" s="47" t="s">
        <v>11</v>
      </c>
    </row>
    <row r="3694" ht="15.75" customHeight="1">
      <c r="A3694" s="46" t="s">
        <v>7581</v>
      </c>
      <c r="B3694" s="47" t="s">
        <v>7582</v>
      </c>
      <c r="C3694" s="47">
        <v>162.0</v>
      </c>
      <c r="D3694" s="47">
        <v>162.0</v>
      </c>
      <c r="E3694" s="47">
        <v>21050.0</v>
      </c>
      <c r="F3694" s="47" t="s">
        <v>11</v>
      </c>
    </row>
    <row r="3695" ht="15.75" customHeight="1">
      <c r="A3695" s="46" t="s">
        <v>7583</v>
      </c>
      <c r="B3695" s="47" t="s">
        <v>7584</v>
      </c>
      <c r="C3695" s="47">
        <v>125.0</v>
      </c>
      <c r="D3695" s="47">
        <v>124.0</v>
      </c>
      <c r="E3695" s="47">
        <v>29620.0</v>
      </c>
      <c r="F3695" s="47" t="s">
        <v>11</v>
      </c>
    </row>
    <row r="3696" ht="15.75" customHeight="1">
      <c r="A3696" s="46" t="s">
        <v>7585</v>
      </c>
      <c r="B3696" s="47" t="s">
        <v>7586</v>
      </c>
      <c r="C3696" s="47">
        <v>325.0</v>
      </c>
      <c r="D3696" s="47">
        <v>288.0</v>
      </c>
      <c r="E3696" s="47">
        <v>27840.0</v>
      </c>
      <c r="F3696" s="47" t="s">
        <v>11</v>
      </c>
    </row>
    <row r="3697" ht="15.75" customHeight="1">
      <c r="A3697" s="46" t="s">
        <v>7587</v>
      </c>
      <c r="B3697" s="47" t="s">
        <v>7588</v>
      </c>
      <c r="C3697" s="47">
        <v>182.0</v>
      </c>
      <c r="D3697" s="47">
        <v>186.0</v>
      </c>
      <c r="E3697" s="47">
        <v>25710.0</v>
      </c>
      <c r="F3697" s="47" t="s">
        <v>11</v>
      </c>
    </row>
    <row r="3698" ht="15.75" customHeight="1">
      <c r="A3698" s="46" t="s">
        <v>7589</v>
      </c>
      <c r="B3698" s="47" t="s">
        <v>7590</v>
      </c>
      <c r="C3698" s="47">
        <v>64.0</v>
      </c>
      <c r="D3698" s="47">
        <v>84.0</v>
      </c>
      <c r="E3698" s="47" t="s">
        <v>11</v>
      </c>
      <c r="F3698" s="47" t="s">
        <v>11</v>
      </c>
    </row>
    <row r="3699" ht="15.75" customHeight="1">
      <c r="A3699" s="46" t="s">
        <v>7591</v>
      </c>
      <c r="B3699" s="47" t="s">
        <v>7592</v>
      </c>
      <c r="C3699" s="47">
        <v>186.0</v>
      </c>
      <c r="D3699" s="47">
        <v>190.0</v>
      </c>
      <c r="E3699" s="47">
        <v>25990.0</v>
      </c>
      <c r="F3699" s="47" t="s">
        <v>11</v>
      </c>
    </row>
    <row r="3700" ht="15.75" customHeight="1">
      <c r="A3700" s="46" t="s">
        <v>7593</v>
      </c>
      <c r="B3700" s="47" t="s">
        <v>7594</v>
      </c>
      <c r="C3700" s="47">
        <v>59.0</v>
      </c>
      <c r="D3700" s="47">
        <v>58.0</v>
      </c>
      <c r="E3700" s="47" t="s">
        <v>11</v>
      </c>
      <c r="F3700" s="47" t="s">
        <v>11</v>
      </c>
    </row>
    <row r="3701" ht="15.75" customHeight="1">
      <c r="A3701" s="46" t="s">
        <v>7595</v>
      </c>
      <c r="B3701" s="47" t="s">
        <v>7596</v>
      </c>
      <c r="C3701" s="47">
        <v>1067.0</v>
      </c>
      <c r="D3701" s="47">
        <v>1085.0</v>
      </c>
      <c r="E3701" s="47">
        <v>29210.0</v>
      </c>
      <c r="F3701" s="47" t="s">
        <v>11</v>
      </c>
    </row>
    <row r="3702" ht="15.75" customHeight="1">
      <c r="A3702" s="46" t="s">
        <v>7597</v>
      </c>
      <c r="B3702" s="47" t="s">
        <v>7598</v>
      </c>
      <c r="C3702" s="47">
        <v>140.0</v>
      </c>
      <c r="D3702" s="47">
        <v>139.0</v>
      </c>
      <c r="E3702" s="47">
        <v>22400.0</v>
      </c>
      <c r="F3702" s="47" t="s">
        <v>11</v>
      </c>
    </row>
    <row r="3703" ht="15.75" customHeight="1">
      <c r="A3703" s="46" t="s">
        <v>7599</v>
      </c>
      <c r="B3703" s="47" t="s">
        <v>7600</v>
      </c>
      <c r="C3703" s="47">
        <v>172.0</v>
      </c>
      <c r="D3703" s="47">
        <v>198.0</v>
      </c>
      <c r="E3703" s="47">
        <v>21120.0</v>
      </c>
      <c r="F3703" s="47" t="s">
        <v>11</v>
      </c>
    </row>
    <row r="3704" ht="15.75" customHeight="1">
      <c r="A3704" s="46" t="s">
        <v>7601</v>
      </c>
      <c r="B3704" s="47" t="s">
        <v>7602</v>
      </c>
      <c r="C3704" s="47">
        <v>310.0</v>
      </c>
      <c r="D3704" s="47">
        <v>323.0</v>
      </c>
      <c r="E3704" s="47">
        <v>24110.0</v>
      </c>
      <c r="F3704" s="47" t="s">
        <v>11</v>
      </c>
    </row>
    <row r="3705" ht="15.75" customHeight="1">
      <c r="A3705" s="46" t="s">
        <v>7603</v>
      </c>
      <c r="B3705" s="47" t="s">
        <v>7604</v>
      </c>
      <c r="C3705" s="47">
        <v>156.0</v>
      </c>
      <c r="D3705" s="47">
        <v>145.0</v>
      </c>
      <c r="E3705" s="47">
        <v>24280.0</v>
      </c>
      <c r="F3705" s="47" t="s">
        <v>11</v>
      </c>
    </row>
    <row r="3706" ht="15.75" customHeight="1">
      <c r="A3706" s="46" t="s">
        <v>7605</v>
      </c>
      <c r="B3706" s="47" t="s">
        <v>7606</v>
      </c>
      <c r="C3706" s="47">
        <v>563.0</v>
      </c>
      <c r="D3706" s="47">
        <v>552.0</v>
      </c>
      <c r="E3706" s="47">
        <v>28060.0</v>
      </c>
      <c r="F3706" s="47" t="s">
        <v>11</v>
      </c>
    </row>
    <row r="3707" ht="15.75" customHeight="1">
      <c r="A3707" s="46" t="s">
        <v>7607</v>
      </c>
      <c r="B3707" s="47" t="s">
        <v>7608</v>
      </c>
      <c r="C3707" s="47">
        <v>662.0</v>
      </c>
      <c r="D3707" s="47">
        <v>661.0</v>
      </c>
      <c r="E3707" s="47">
        <v>30690.0</v>
      </c>
      <c r="F3707" s="47" t="s">
        <v>11</v>
      </c>
    </row>
    <row r="3708" ht="15.75" customHeight="1">
      <c r="A3708" s="46" t="s">
        <v>7609</v>
      </c>
      <c r="B3708" s="47" t="s">
        <v>7610</v>
      </c>
      <c r="C3708" s="47">
        <v>129.0</v>
      </c>
      <c r="D3708" s="47">
        <v>124.0</v>
      </c>
      <c r="E3708" s="47">
        <v>22400.0</v>
      </c>
      <c r="F3708" s="47" t="s">
        <v>11</v>
      </c>
    </row>
    <row r="3709" ht="15.75" customHeight="1">
      <c r="A3709" s="46" t="s">
        <v>7611</v>
      </c>
      <c r="B3709" s="47" t="s">
        <v>7612</v>
      </c>
      <c r="C3709" s="47">
        <v>372.0</v>
      </c>
      <c r="D3709" s="47">
        <v>380.0</v>
      </c>
      <c r="E3709" s="47">
        <v>26890.0</v>
      </c>
      <c r="F3709" s="47" t="s">
        <v>11</v>
      </c>
    </row>
    <row r="3710" ht="15.75" customHeight="1">
      <c r="A3710" s="46" t="s">
        <v>7613</v>
      </c>
      <c r="B3710" s="47" t="s">
        <v>7614</v>
      </c>
      <c r="C3710" s="47">
        <v>144.0</v>
      </c>
      <c r="D3710" s="47">
        <v>141.0</v>
      </c>
      <c r="E3710" s="47">
        <v>23020.0</v>
      </c>
      <c r="F3710" s="47" t="s">
        <v>11</v>
      </c>
    </row>
    <row r="3711" ht="15.75" customHeight="1">
      <c r="A3711" s="46" t="s">
        <v>7615</v>
      </c>
      <c r="B3711" s="47" t="s">
        <v>6057</v>
      </c>
      <c r="C3711" s="47">
        <v>62.0</v>
      </c>
      <c r="D3711" s="47">
        <v>54.0</v>
      </c>
      <c r="E3711" s="47" t="s">
        <v>11</v>
      </c>
      <c r="F3711" s="47" t="s">
        <v>11</v>
      </c>
    </row>
    <row r="3712" ht="15.75" customHeight="1">
      <c r="A3712" s="46" t="s">
        <v>7616</v>
      </c>
      <c r="B3712" s="47" t="s">
        <v>7617</v>
      </c>
      <c r="C3712" s="47">
        <v>144.0</v>
      </c>
      <c r="D3712" s="47">
        <v>147.0</v>
      </c>
      <c r="E3712" s="47">
        <v>27710.0</v>
      </c>
      <c r="F3712" s="47" t="s">
        <v>11</v>
      </c>
    </row>
    <row r="3713" ht="15.75" customHeight="1">
      <c r="A3713" s="46" t="s">
        <v>7618</v>
      </c>
      <c r="B3713" s="47" t="s">
        <v>7619</v>
      </c>
      <c r="C3713" s="47">
        <v>195.0</v>
      </c>
      <c r="D3713" s="47">
        <v>207.0</v>
      </c>
      <c r="E3713" s="47">
        <v>26940.0</v>
      </c>
      <c r="F3713" s="47" t="s">
        <v>11</v>
      </c>
    </row>
    <row r="3714" ht="15.75" customHeight="1">
      <c r="A3714" s="46" t="s">
        <v>7620</v>
      </c>
      <c r="B3714" s="47" t="s">
        <v>7621</v>
      </c>
      <c r="C3714" s="47">
        <v>353.0</v>
      </c>
      <c r="D3714" s="47">
        <v>318.0</v>
      </c>
      <c r="E3714" s="47">
        <v>26540.0</v>
      </c>
      <c r="F3714" s="47" t="s">
        <v>11</v>
      </c>
    </row>
    <row r="3715" ht="15.75" customHeight="1">
      <c r="A3715" s="46" t="s">
        <v>7622</v>
      </c>
      <c r="B3715" s="47" t="s">
        <v>7623</v>
      </c>
      <c r="C3715" s="47">
        <v>393.0</v>
      </c>
      <c r="D3715" s="47">
        <v>353.0</v>
      </c>
      <c r="E3715" s="47">
        <v>24800.0</v>
      </c>
      <c r="F3715" s="47" t="s">
        <v>11</v>
      </c>
    </row>
    <row r="3716" ht="15.75" customHeight="1">
      <c r="A3716" s="46" t="s">
        <v>7624</v>
      </c>
      <c r="B3716" s="47" t="s">
        <v>7625</v>
      </c>
      <c r="C3716" s="47">
        <v>356.0</v>
      </c>
      <c r="D3716" s="47">
        <v>334.0</v>
      </c>
      <c r="E3716" s="47">
        <v>24140.0</v>
      </c>
      <c r="F3716" s="47" t="s">
        <v>11</v>
      </c>
    </row>
    <row r="3717" ht="15.75" customHeight="1">
      <c r="A3717" s="46" t="s">
        <v>7626</v>
      </c>
      <c r="B3717" s="47" t="s">
        <v>7627</v>
      </c>
      <c r="C3717" s="47">
        <v>358.0</v>
      </c>
      <c r="D3717" s="47">
        <v>332.0</v>
      </c>
      <c r="E3717" s="47">
        <v>25080.0</v>
      </c>
      <c r="F3717" s="47" t="s">
        <v>11</v>
      </c>
    </row>
    <row r="3718" ht="15.75" customHeight="1">
      <c r="A3718" s="46" t="s">
        <v>7628</v>
      </c>
      <c r="B3718" s="47" t="s">
        <v>7629</v>
      </c>
      <c r="C3718" s="47">
        <v>299.0</v>
      </c>
      <c r="D3718" s="47">
        <v>308.0</v>
      </c>
      <c r="E3718" s="47">
        <v>23890.0</v>
      </c>
      <c r="F3718" s="47" t="s">
        <v>11</v>
      </c>
    </row>
    <row r="3719" ht="15.75" customHeight="1">
      <c r="A3719" s="46" t="s">
        <v>7630</v>
      </c>
      <c r="B3719" s="47" t="s">
        <v>7631</v>
      </c>
      <c r="C3719" s="47">
        <v>818.0</v>
      </c>
      <c r="D3719" s="47">
        <v>805.0</v>
      </c>
      <c r="E3719" s="47">
        <v>24630.0</v>
      </c>
      <c r="F3719" s="47" t="s">
        <v>11</v>
      </c>
    </row>
    <row r="3720" ht="15.75" customHeight="1">
      <c r="A3720" s="46" t="s">
        <v>7632</v>
      </c>
      <c r="B3720" s="47" t="s">
        <v>7633</v>
      </c>
      <c r="C3720" s="47">
        <v>461.0</v>
      </c>
      <c r="D3720" s="47">
        <v>435.0</v>
      </c>
      <c r="E3720" s="47">
        <v>25990.0</v>
      </c>
      <c r="F3720" s="47" t="s">
        <v>11</v>
      </c>
    </row>
    <row r="3721" ht="15.75" customHeight="1">
      <c r="A3721" s="46" t="s">
        <v>7634</v>
      </c>
      <c r="B3721" s="47" t="s">
        <v>7635</v>
      </c>
      <c r="C3721" s="47">
        <v>248.0</v>
      </c>
      <c r="D3721" s="47">
        <v>234.0</v>
      </c>
      <c r="E3721" s="47">
        <v>23610.0</v>
      </c>
      <c r="F3721" s="47" t="s">
        <v>11</v>
      </c>
    </row>
    <row r="3722" ht="15.75" customHeight="1">
      <c r="A3722" s="46" t="s">
        <v>7636</v>
      </c>
      <c r="B3722" s="47" t="s">
        <v>7637</v>
      </c>
      <c r="C3722" s="47">
        <v>249.0</v>
      </c>
      <c r="D3722" s="47">
        <v>220.0</v>
      </c>
      <c r="E3722" s="47">
        <v>25190.0</v>
      </c>
      <c r="F3722" s="47" t="s">
        <v>11</v>
      </c>
    </row>
    <row r="3723" ht="15.75" customHeight="1">
      <c r="A3723" s="46" t="s">
        <v>7638</v>
      </c>
      <c r="B3723" s="47" t="s">
        <v>7639</v>
      </c>
      <c r="C3723" s="47">
        <v>548.0</v>
      </c>
      <c r="D3723" s="47">
        <v>549.0</v>
      </c>
      <c r="E3723" s="47">
        <v>22290.0</v>
      </c>
      <c r="F3723" s="47" t="s">
        <v>11</v>
      </c>
    </row>
    <row r="3724" ht="15.75" customHeight="1">
      <c r="A3724" s="46" t="s">
        <v>7640</v>
      </c>
      <c r="B3724" s="47" t="s">
        <v>7641</v>
      </c>
      <c r="C3724" s="47">
        <v>40.0</v>
      </c>
      <c r="D3724" s="47">
        <v>29.0</v>
      </c>
      <c r="E3724" s="47" t="s">
        <v>11</v>
      </c>
      <c r="F3724" s="47" t="s">
        <v>11</v>
      </c>
    </row>
    <row r="3725" ht="15.75" customHeight="1">
      <c r="A3725" s="46" t="s">
        <v>7642</v>
      </c>
      <c r="B3725" s="47" t="s">
        <v>1695</v>
      </c>
      <c r="C3725" s="47">
        <v>100.0</v>
      </c>
      <c r="D3725" s="47">
        <v>98.0</v>
      </c>
      <c r="E3725" s="47" t="s">
        <v>11</v>
      </c>
      <c r="F3725" s="47" t="s">
        <v>11</v>
      </c>
    </row>
    <row r="3726" ht="15.75" customHeight="1">
      <c r="A3726" s="46" t="s">
        <v>7643</v>
      </c>
      <c r="B3726" s="47" t="s">
        <v>7644</v>
      </c>
      <c r="C3726" s="47">
        <v>288.0</v>
      </c>
      <c r="D3726" s="47">
        <v>288.0</v>
      </c>
      <c r="E3726" s="47">
        <v>27150.0</v>
      </c>
      <c r="F3726" s="47" t="s">
        <v>11</v>
      </c>
    </row>
    <row r="3727" ht="15.75" customHeight="1">
      <c r="A3727" s="46" t="s">
        <v>7645</v>
      </c>
      <c r="B3727" s="47" t="s">
        <v>7646</v>
      </c>
      <c r="C3727" s="47">
        <v>636.0</v>
      </c>
      <c r="D3727" s="47">
        <v>655.0</v>
      </c>
      <c r="E3727" s="47">
        <v>24460.0</v>
      </c>
      <c r="F3727" s="47" t="s">
        <v>11</v>
      </c>
    </row>
    <row r="3728" ht="15.75" customHeight="1">
      <c r="A3728" s="46" t="s">
        <v>7647</v>
      </c>
      <c r="B3728" s="47" t="s">
        <v>7648</v>
      </c>
      <c r="C3728" s="47">
        <v>220.0</v>
      </c>
      <c r="D3728" s="47">
        <v>222.0</v>
      </c>
      <c r="E3728" s="47">
        <v>25660.0</v>
      </c>
      <c r="F3728" s="47" t="s">
        <v>11</v>
      </c>
    </row>
    <row r="3729" ht="15.75" customHeight="1">
      <c r="A3729" s="46" t="s">
        <v>7649</v>
      </c>
      <c r="B3729" s="47" t="s">
        <v>7650</v>
      </c>
      <c r="C3729" s="47">
        <v>151.0</v>
      </c>
      <c r="D3729" s="47">
        <v>132.0</v>
      </c>
      <c r="E3729" s="47">
        <v>24500.0</v>
      </c>
      <c r="F3729" s="47" t="s">
        <v>11</v>
      </c>
    </row>
    <row r="3730" ht="15.75" customHeight="1">
      <c r="A3730" s="46" t="s">
        <v>7651</v>
      </c>
      <c r="B3730" s="47" t="s">
        <v>7652</v>
      </c>
      <c r="C3730" s="47">
        <v>125.0</v>
      </c>
      <c r="D3730" s="47">
        <v>120.0</v>
      </c>
      <c r="E3730" s="47">
        <v>27260.0</v>
      </c>
      <c r="F3730" s="47" t="s">
        <v>11</v>
      </c>
    </row>
    <row r="3731" ht="15.75" customHeight="1">
      <c r="A3731" s="46" t="s">
        <v>7653</v>
      </c>
      <c r="B3731" s="47" t="s">
        <v>7654</v>
      </c>
      <c r="C3731" s="47">
        <v>851.0</v>
      </c>
      <c r="D3731" s="47">
        <v>815.0</v>
      </c>
      <c r="E3731" s="47">
        <v>25570.0</v>
      </c>
      <c r="F3731" s="47" t="s">
        <v>11</v>
      </c>
    </row>
    <row r="3732" ht="15.75" customHeight="1">
      <c r="A3732" s="46" t="s">
        <v>7655</v>
      </c>
      <c r="B3732" s="47" t="s">
        <v>6101</v>
      </c>
      <c r="C3732" s="47">
        <v>395.0</v>
      </c>
      <c r="D3732" s="47">
        <v>414.0</v>
      </c>
      <c r="E3732" s="47">
        <v>24760.0</v>
      </c>
      <c r="F3732" s="47" t="s">
        <v>11</v>
      </c>
    </row>
    <row r="3733" ht="15.75" customHeight="1">
      <c r="A3733" s="46" t="s">
        <v>7656</v>
      </c>
      <c r="B3733" s="47" t="s">
        <v>7657</v>
      </c>
      <c r="C3733" s="47">
        <v>246.0</v>
      </c>
      <c r="D3733" s="47">
        <v>233.0</v>
      </c>
      <c r="E3733" s="47">
        <v>26690.0</v>
      </c>
      <c r="F3733" s="47" t="s">
        <v>11</v>
      </c>
    </row>
    <row r="3734" ht="15.75" customHeight="1">
      <c r="A3734" s="46" t="s">
        <v>7658</v>
      </c>
      <c r="B3734" s="47" t="s">
        <v>7659</v>
      </c>
      <c r="C3734" s="47">
        <v>406.0</v>
      </c>
      <c r="D3734" s="47">
        <v>444.0</v>
      </c>
      <c r="E3734" s="47">
        <v>28020.0</v>
      </c>
      <c r="F3734" s="47" t="s">
        <v>11</v>
      </c>
    </row>
    <row r="3735" ht="15.75" customHeight="1">
      <c r="A3735" s="46" t="s">
        <v>7660</v>
      </c>
      <c r="B3735" s="47" t="s">
        <v>7661</v>
      </c>
      <c r="C3735" s="47">
        <v>87.0</v>
      </c>
      <c r="D3735" s="47">
        <v>79.0</v>
      </c>
      <c r="E3735" s="47" t="s">
        <v>11</v>
      </c>
      <c r="F3735" s="47" t="s">
        <v>11</v>
      </c>
    </row>
    <row r="3736" ht="15.75" customHeight="1">
      <c r="A3736" s="46" t="s">
        <v>7662</v>
      </c>
      <c r="B3736" s="47" t="s">
        <v>7663</v>
      </c>
      <c r="C3736" s="47">
        <v>308.0</v>
      </c>
      <c r="D3736" s="47">
        <v>268.0</v>
      </c>
      <c r="E3736" s="47">
        <v>28110.0</v>
      </c>
      <c r="F3736" s="47" t="s">
        <v>11</v>
      </c>
    </row>
    <row r="3737" ht="15.75" customHeight="1">
      <c r="A3737" s="46" t="s">
        <v>7664</v>
      </c>
      <c r="B3737" s="47" t="s">
        <v>7665</v>
      </c>
      <c r="C3737" s="47">
        <v>540.0</v>
      </c>
      <c r="D3737" s="47">
        <v>531.0</v>
      </c>
      <c r="E3737" s="47">
        <v>27980.0</v>
      </c>
      <c r="F3737" s="47" t="s">
        <v>11</v>
      </c>
    </row>
    <row r="3738" ht="15.75" customHeight="1">
      <c r="A3738" s="46" t="s">
        <v>7666</v>
      </c>
      <c r="B3738" s="47" t="s">
        <v>4409</v>
      </c>
      <c r="C3738" s="47">
        <v>149.0</v>
      </c>
      <c r="D3738" s="47">
        <v>141.0</v>
      </c>
      <c r="E3738" s="47">
        <v>23190.0</v>
      </c>
      <c r="F3738" s="47" t="s">
        <v>11</v>
      </c>
    </row>
    <row r="3739" ht="15.75" customHeight="1">
      <c r="A3739" s="46" t="s">
        <v>7667</v>
      </c>
      <c r="B3739" s="47" t="s">
        <v>7668</v>
      </c>
      <c r="C3739" s="47">
        <v>93.0</v>
      </c>
      <c r="D3739" s="47">
        <v>97.0</v>
      </c>
      <c r="E3739" s="47" t="s">
        <v>11</v>
      </c>
      <c r="F3739" s="47" t="s">
        <v>11</v>
      </c>
    </row>
    <row r="3740" ht="15.75" customHeight="1">
      <c r="A3740" s="46" t="s">
        <v>7669</v>
      </c>
      <c r="B3740" s="47" t="s">
        <v>7670</v>
      </c>
      <c r="C3740" s="47">
        <v>163.0</v>
      </c>
      <c r="D3740" s="47">
        <v>174.0</v>
      </c>
      <c r="E3740" s="47">
        <v>24690.0</v>
      </c>
      <c r="F3740" s="47" t="s">
        <v>11</v>
      </c>
    </row>
    <row r="3741" ht="15.75" customHeight="1">
      <c r="A3741" s="46" t="s">
        <v>7671</v>
      </c>
      <c r="B3741" s="47" t="s">
        <v>7672</v>
      </c>
      <c r="C3741" s="47">
        <v>150.0</v>
      </c>
      <c r="D3741" s="47">
        <v>147.0</v>
      </c>
      <c r="E3741" s="47">
        <v>24060.0</v>
      </c>
      <c r="F3741" s="47" t="s">
        <v>11</v>
      </c>
    </row>
    <row r="3742" ht="15.75" customHeight="1">
      <c r="A3742" s="46" t="s">
        <v>7673</v>
      </c>
      <c r="B3742" s="47" t="s">
        <v>7674</v>
      </c>
      <c r="C3742" s="47">
        <v>165.0</v>
      </c>
      <c r="D3742" s="47">
        <v>168.0</v>
      </c>
      <c r="E3742" s="47">
        <v>25830.0</v>
      </c>
      <c r="F3742" s="47" t="s">
        <v>11</v>
      </c>
    </row>
    <row r="3743" ht="15.75" customHeight="1">
      <c r="A3743" s="46" t="s">
        <v>7675</v>
      </c>
      <c r="B3743" s="47" t="s">
        <v>7676</v>
      </c>
      <c r="C3743" s="47">
        <v>735.0</v>
      </c>
      <c r="D3743" s="47">
        <v>929.0</v>
      </c>
      <c r="E3743" s="47">
        <v>30270.0</v>
      </c>
      <c r="F3743" s="47" t="s">
        <v>11</v>
      </c>
    </row>
    <row r="3744" ht="15.75" customHeight="1">
      <c r="A3744" s="46" t="s">
        <v>7677</v>
      </c>
      <c r="B3744" s="47" t="s">
        <v>7678</v>
      </c>
      <c r="C3744" s="47">
        <v>252.0</v>
      </c>
      <c r="D3744" s="47">
        <v>241.0</v>
      </c>
      <c r="E3744" s="47">
        <v>28660.0</v>
      </c>
      <c r="F3744" s="47" t="s">
        <v>11</v>
      </c>
    </row>
    <row r="3745" ht="15.75" customHeight="1">
      <c r="A3745" s="46" t="s">
        <v>7679</v>
      </c>
      <c r="B3745" s="47" t="s">
        <v>7680</v>
      </c>
      <c r="C3745" s="47">
        <v>2368.0</v>
      </c>
      <c r="D3745" s="47">
        <v>2263.0</v>
      </c>
      <c r="E3745" s="47">
        <v>26490.0</v>
      </c>
      <c r="F3745" s="47">
        <v>8.0</v>
      </c>
    </row>
    <row r="3746" ht="15.75" customHeight="1">
      <c r="A3746" s="46" t="s">
        <v>7681</v>
      </c>
      <c r="B3746" s="47" t="s">
        <v>7682</v>
      </c>
      <c r="C3746" s="47">
        <v>58.0</v>
      </c>
      <c r="D3746" s="47">
        <v>46.0</v>
      </c>
      <c r="E3746" s="47" t="s">
        <v>11</v>
      </c>
      <c r="F3746" s="47" t="s">
        <v>11</v>
      </c>
    </row>
    <row r="3747" ht="15.75" customHeight="1">
      <c r="A3747" s="46" t="s">
        <v>7683</v>
      </c>
      <c r="B3747" s="47" t="s">
        <v>7684</v>
      </c>
      <c r="C3747" s="47">
        <v>473.0</v>
      </c>
      <c r="D3747" s="47">
        <v>461.0</v>
      </c>
      <c r="E3747" s="47">
        <v>24640.0</v>
      </c>
      <c r="F3747" s="47" t="s">
        <v>11</v>
      </c>
    </row>
    <row r="3748" ht="15.75" customHeight="1">
      <c r="A3748" s="46" t="s">
        <v>7685</v>
      </c>
      <c r="B3748" s="47" t="s">
        <v>7686</v>
      </c>
      <c r="C3748" s="47">
        <v>190.0</v>
      </c>
      <c r="D3748" s="47">
        <v>177.0</v>
      </c>
      <c r="E3748" s="47">
        <v>23670.0</v>
      </c>
      <c r="F3748" s="47" t="s">
        <v>11</v>
      </c>
    </row>
    <row r="3749" ht="15.75" customHeight="1">
      <c r="A3749" s="46" t="s">
        <v>7687</v>
      </c>
      <c r="B3749" s="47" t="s">
        <v>7688</v>
      </c>
      <c r="C3749" s="47">
        <v>127.0</v>
      </c>
      <c r="D3749" s="47">
        <v>137.0</v>
      </c>
      <c r="E3749" s="47">
        <v>26870.0</v>
      </c>
      <c r="F3749" s="47" t="s">
        <v>11</v>
      </c>
    </row>
    <row r="3750" ht="15.75" customHeight="1">
      <c r="A3750" s="46" t="s">
        <v>7689</v>
      </c>
      <c r="B3750" s="47" t="s">
        <v>7690</v>
      </c>
      <c r="C3750" s="47">
        <v>1422.0</v>
      </c>
      <c r="D3750" s="47">
        <v>1545.0</v>
      </c>
      <c r="E3750" s="47">
        <v>29640.0</v>
      </c>
      <c r="F3750" s="47" t="s">
        <v>11</v>
      </c>
    </row>
    <row r="3751" ht="15.75" customHeight="1">
      <c r="A3751" s="46" t="s">
        <v>7691</v>
      </c>
      <c r="B3751" s="47" t="s">
        <v>7692</v>
      </c>
      <c r="C3751" s="47">
        <v>4464.0</v>
      </c>
      <c r="D3751" s="47">
        <v>4647.0</v>
      </c>
      <c r="E3751" s="47">
        <v>26170.0</v>
      </c>
      <c r="F3751" s="47">
        <v>8.0</v>
      </c>
    </row>
    <row r="3752" ht="15.75" customHeight="1">
      <c r="A3752" s="46" t="s">
        <v>7693</v>
      </c>
      <c r="B3752" s="47" t="s">
        <v>7694</v>
      </c>
      <c r="C3752" s="47">
        <v>152.0</v>
      </c>
      <c r="D3752" s="47">
        <v>138.0</v>
      </c>
      <c r="E3752" s="47">
        <v>26000.0</v>
      </c>
      <c r="F3752" s="47" t="s">
        <v>11</v>
      </c>
    </row>
    <row r="3753" ht="15.75" customHeight="1">
      <c r="A3753" s="46" t="s">
        <v>7695</v>
      </c>
      <c r="B3753" s="47" t="s">
        <v>7696</v>
      </c>
      <c r="C3753" s="47">
        <v>366.0</v>
      </c>
      <c r="D3753" s="47">
        <v>294.0</v>
      </c>
      <c r="E3753" s="47">
        <v>24360.0</v>
      </c>
      <c r="F3753" s="47" t="s">
        <v>11</v>
      </c>
    </row>
    <row r="3754" ht="15.75" customHeight="1">
      <c r="A3754" s="46" t="s">
        <v>7697</v>
      </c>
      <c r="B3754" s="47" t="s">
        <v>7698</v>
      </c>
      <c r="C3754" s="47">
        <v>588.0</v>
      </c>
      <c r="D3754" s="47">
        <v>530.0</v>
      </c>
      <c r="E3754" s="47">
        <v>24650.0</v>
      </c>
      <c r="F3754" s="47" t="s">
        <v>11</v>
      </c>
    </row>
    <row r="3755" ht="15.75" customHeight="1">
      <c r="A3755" s="46" t="s">
        <v>7699</v>
      </c>
      <c r="B3755" s="47" t="s">
        <v>7700</v>
      </c>
      <c r="C3755" s="47">
        <v>274.0</v>
      </c>
      <c r="D3755" s="47">
        <v>288.0</v>
      </c>
      <c r="E3755" s="47">
        <v>27290.0</v>
      </c>
      <c r="F3755" s="47" t="s">
        <v>11</v>
      </c>
    </row>
    <row r="3756" ht="15.75" customHeight="1">
      <c r="A3756" s="46" t="s">
        <v>7701</v>
      </c>
      <c r="B3756" s="47" t="s">
        <v>7702</v>
      </c>
      <c r="C3756" s="47">
        <v>181.0</v>
      </c>
      <c r="D3756" s="47">
        <v>167.0</v>
      </c>
      <c r="E3756" s="47">
        <v>25280.0</v>
      </c>
      <c r="F3756" s="47" t="s">
        <v>11</v>
      </c>
    </row>
    <row r="3757" ht="15.75" customHeight="1">
      <c r="A3757" s="46" t="s">
        <v>7703</v>
      </c>
      <c r="B3757" s="47" t="s">
        <v>7704</v>
      </c>
      <c r="C3757" s="47">
        <v>155.0</v>
      </c>
      <c r="D3757" s="47">
        <v>160.0</v>
      </c>
      <c r="E3757" s="47">
        <v>27080.0</v>
      </c>
      <c r="F3757" s="47" t="s">
        <v>11</v>
      </c>
    </row>
    <row r="3758" ht="15.75" customHeight="1">
      <c r="A3758" s="46" t="s">
        <v>7705</v>
      </c>
      <c r="B3758" s="47" t="s">
        <v>7706</v>
      </c>
      <c r="C3758" s="47">
        <v>474.0</v>
      </c>
      <c r="D3758" s="47">
        <v>468.0</v>
      </c>
      <c r="E3758" s="47">
        <v>24100.0</v>
      </c>
      <c r="F3758" s="47" t="s">
        <v>11</v>
      </c>
    </row>
    <row r="3759" ht="15.75" customHeight="1">
      <c r="A3759" s="46" t="s">
        <v>7707</v>
      </c>
      <c r="B3759" s="47" t="s">
        <v>7708</v>
      </c>
      <c r="C3759" s="47">
        <v>271.0</v>
      </c>
      <c r="D3759" s="47">
        <v>281.0</v>
      </c>
      <c r="E3759" s="47">
        <v>24370.0</v>
      </c>
      <c r="F3759" s="47" t="s">
        <v>11</v>
      </c>
    </row>
    <row r="3760" ht="15.75" customHeight="1">
      <c r="A3760" s="46" t="s">
        <v>7709</v>
      </c>
      <c r="B3760" s="47" t="s">
        <v>7710</v>
      </c>
      <c r="C3760" s="47">
        <v>491.0</v>
      </c>
      <c r="D3760" s="47">
        <v>503.0</v>
      </c>
      <c r="E3760" s="47">
        <v>22400.0</v>
      </c>
      <c r="F3760" s="47" t="s">
        <v>11</v>
      </c>
    </row>
    <row r="3761" ht="15.75" customHeight="1">
      <c r="A3761" s="46" t="s">
        <v>7711</v>
      </c>
      <c r="B3761" s="47" t="s">
        <v>7712</v>
      </c>
      <c r="C3761" s="47">
        <v>483.0</v>
      </c>
      <c r="D3761" s="47">
        <v>474.0</v>
      </c>
      <c r="E3761" s="47">
        <v>23720.0</v>
      </c>
      <c r="F3761" s="47" t="s">
        <v>11</v>
      </c>
    </row>
    <row r="3762" ht="15.75" customHeight="1">
      <c r="A3762" s="46" t="s">
        <v>7713</v>
      </c>
      <c r="B3762" s="47" t="s">
        <v>7714</v>
      </c>
      <c r="C3762" s="47">
        <v>127.0</v>
      </c>
      <c r="D3762" s="47">
        <v>136.0</v>
      </c>
      <c r="E3762" s="47">
        <v>22410.0</v>
      </c>
      <c r="F3762" s="47" t="s">
        <v>11</v>
      </c>
    </row>
    <row r="3763" ht="15.75" customHeight="1">
      <c r="A3763" s="46" t="s">
        <v>7715</v>
      </c>
      <c r="B3763" s="47" t="s">
        <v>7716</v>
      </c>
      <c r="C3763" s="47">
        <v>603.0</v>
      </c>
      <c r="D3763" s="47">
        <v>595.0</v>
      </c>
      <c r="E3763" s="47">
        <v>24940.0</v>
      </c>
      <c r="F3763" s="47" t="s">
        <v>11</v>
      </c>
    </row>
    <row r="3764" ht="15.75" customHeight="1">
      <c r="A3764" s="46" t="s">
        <v>7717</v>
      </c>
      <c r="B3764" s="47" t="s">
        <v>7718</v>
      </c>
      <c r="C3764" s="47">
        <v>142.0</v>
      </c>
      <c r="D3764" s="47">
        <v>130.0</v>
      </c>
      <c r="E3764" s="47">
        <v>27460.0</v>
      </c>
      <c r="F3764" s="47" t="s">
        <v>11</v>
      </c>
    </row>
    <row r="3765" ht="15.75" customHeight="1">
      <c r="A3765" s="46" t="s">
        <v>7719</v>
      </c>
      <c r="B3765" s="47" t="s">
        <v>7720</v>
      </c>
      <c r="C3765" s="47">
        <v>96.0</v>
      </c>
      <c r="D3765" s="47">
        <v>96.0</v>
      </c>
      <c r="E3765" s="47" t="s">
        <v>11</v>
      </c>
      <c r="F3765" s="47" t="s">
        <v>11</v>
      </c>
    </row>
    <row r="3766" ht="15.75" customHeight="1">
      <c r="A3766" s="46" t="s">
        <v>7721</v>
      </c>
      <c r="B3766" s="47" t="s">
        <v>7722</v>
      </c>
      <c r="C3766" s="47">
        <v>437.0</v>
      </c>
      <c r="D3766" s="47">
        <v>459.0</v>
      </c>
      <c r="E3766" s="47">
        <v>24710.0</v>
      </c>
      <c r="F3766" s="47" t="s">
        <v>11</v>
      </c>
    </row>
    <row r="3767" ht="15.75" customHeight="1">
      <c r="A3767" s="46" t="s">
        <v>7723</v>
      </c>
      <c r="B3767" s="47" t="s">
        <v>7724</v>
      </c>
      <c r="C3767" s="47">
        <v>837.0</v>
      </c>
      <c r="D3767" s="47">
        <v>839.0</v>
      </c>
      <c r="E3767" s="47">
        <v>24630.0</v>
      </c>
      <c r="F3767" s="47" t="s">
        <v>11</v>
      </c>
    </row>
    <row r="3768" ht="15.75" customHeight="1">
      <c r="A3768" s="46" t="s">
        <v>7725</v>
      </c>
      <c r="B3768" s="47" t="s">
        <v>7726</v>
      </c>
      <c r="C3768" s="47">
        <v>89.0</v>
      </c>
      <c r="D3768" s="47">
        <v>78.0</v>
      </c>
      <c r="E3768" s="47" t="s">
        <v>11</v>
      </c>
      <c r="F3768" s="47" t="s">
        <v>11</v>
      </c>
    </row>
    <row r="3769" ht="15.75" customHeight="1">
      <c r="A3769" s="46" t="s">
        <v>7727</v>
      </c>
      <c r="B3769" s="47" t="s">
        <v>7728</v>
      </c>
      <c r="C3769" s="47">
        <v>758.0</v>
      </c>
      <c r="D3769" s="47">
        <v>743.0</v>
      </c>
      <c r="E3769" s="47">
        <v>25230.0</v>
      </c>
      <c r="F3769" s="47" t="s">
        <v>11</v>
      </c>
    </row>
    <row r="3770" ht="15.75" customHeight="1">
      <c r="A3770" s="46" t="s">
        <v>7729</v>
      </c>
      <c r="B3770" s="47" t="s">
        <v>6185</v>
      </c>
      <c r="C3770" s="47">
        <v>222.0</v>
      </c>
      <c r="D3770" s="47">
        <v>230.0</v>
      </c>
      <c r="E3770" s="47">
        <v>23530.0</v>
      </c>
      <c r="F3770" s="47" t="s">
        <v>11</v>
      </c>
    </row>
    <row r="3771" ht="15.75" customHeight="1">
      <c r="A3771" s="46" t="s">
        <v>7730</v>
      </c>
      <c r="B3771" s="47" t="s">
        <v>7731</v>
      </c>
      <c r="C3771" s="47">
        <v>143.0</v>
      </c>
      <c r="D3771" s="47">
        <v>139.0</v>
      </c>
      <c r="E3771" s="47">
        <v>23190.0</v>
      </c>
      <c r="F3771" s="47" t="s">
        <v>11</v>
      </c>
    </row>
    <row r="3772" ht="15.75" customHeight="1">
      <c r="A3772" s="46" t="s">
        <v>7732</v>
      </c>
      <c r="B3772" s="47" t="s">
        <v>7733</v>
      </c>
      <c r="C3772" s="47">
        <v>150.0</v>
      </c>
      <c r="D3772" s="47">
        <v>121.0</v>
      </c>
      <c r="E3772" s="47">
        <v>27770.0</v>
      </c>
      <c r="F3772" s="47" t="s">
        <v>11</v>
      </c>
    </row>
    <row r="3773" ht="15.75" customHeight="1">
      <c r="A3773" s="46" t="s">
        <v>7734</v>
      </c>
      <c r="B3773" s="47" t="s">
        <v>7735</v>
      </c>
      <c r="C3773" s="47">
        <v>263.0</v>
      </c>
      <c r="D3773" s="47">
        <v>249.0</v>
      </c>
      <c r="E3773" s="47">
        <v>27710.0</v>
      </c>
      <c r="F3773" s="47" t="s">
        <v>11</v>
      </c>
    </row>
    <row r="3774" ht="15.75" customHeight="1">
      <c r="A3774" s="46" t="s">
        <v>7736</v>
      </c>
      <c r="B3774" s="47" t="s">
        <v>7737</v>
      </c>
      <c r="C3774" s="47">
        <v>121.0</v>
      </c>
      <c r="D3774" s="47">
        <v>103.0</v>
      </c>
      <c r="E3774" s="47">
        <v>22760.0</v>
      </c>
      <c r="F3774" s="47" t="s">
        <v>11</v>
      </c>
    </row>
    <row r="3775" ht="15.75" customHeight="1">
      <c r="A3775" s="46" t="s">
        <v>7738</v>
      </c>
      <c r="B3775" s="47" t="s">
        <v>7739</v>
      </c>
      <c r="C3775" s="47">
        <v>816.0</v>
      </c>
      <c r="D3775" s="47">
        <v>732.0</v>
      </c>
      <c r="E3775" s="47">
        <v>24360.0</v>
      </c>
      <c r="F3775" s="47" t="s">
        <v>11</v>
      </c>
    </row>
    <row r="3776" ht="15.75" customHeight="1">
      <c r="A3776" s="46" t="s">
        <v>7740</v>
      </c>
      <c r="B3776" s="47" t="s">
        <v>7741</v>
      </c>
      <c r="C3776" s="47">
        <v>1268.0</v>
      </c>
      <c r="D3776" s="47">
        <v>1302.0</v>
      </c>
      <c r="E3776" s="47">
        <v>21750.0</v>
      </c>
      <c r="F3776" s="47" t="s">
        <v>11</v>
      </c>
    </row>
    <row r="3777" ht="15.75" customHeight="1">
      <c r="A3777" s="46" t="s">
        <v>7742</v>
      </c>
      <c r="B3777" s="47" t="s">
        <v>7743</v>
      </c>
      <c r="C3777" s="47">
        <v>60.0</v>
      </c>
      <c r="D3777" s="47">
        <v>46.0</v>
      </c>
      <c r="E3777" s="47" t="s">
        <v>11</v>
      </c>
      <c r="F3777" s="47" t="s">
        <v>11</v>
      </c>
    </row>
    <row r="3778" ht="15.75" customHeight="1">
      <c r="A3778" s="46" t="s">
        <v>7744</v>
      </c>
      <c r="B3778" s="47" t="s">
        <v>7745</v>
      </c>
      <c r="C3778" s="47">
        <v>92.0</v>
      </c>
      <c r="D3778" s="47">
        <v>87.0</v>
      </c>
      <c r="E3778" s="47" t="s">
        <v>11</v>
      </c>
      <c r="F3778" s="47" t="s">
        <v>11</v>
      </c>
    </row>
    <row r="3779" ht="15.75" customHeight="1">
      <c r="A3779" s="46" t="s">
        <v>7746</v>
      </c>
      <c r="B3779" s="47" t="s">
        <v>7747</v>
      </c>
      <c r="C3779" s="47">
        <v>304.0</v>
      </c>
      <c r="D3779" s="47">
        <v>296.0</v>
      </c>
      <c r="E3779" s="47">
        <v>22430.0</v>
      </c>
      <c r="F3779" s="47" t="s">
        <v>11</v>
      </c>
    </row>
    <row r="3780" ht="15.75" customHeight="1">
      <c r="A3780" s="46" t="s">
        <v>7748</v>
      </c>
      <c r="B3780" s="47" t="s">
        <v>7749</v>
      </c>
      <c r="C3780" s="47">
        <v>127.0</v>
      </c>
      <c r="D3780" s="47">
        <v>130.0</v>
      </c>
      <c r="E3780" s="47">
        <v>25680.0</v>
      </c>
      <c r="F3780" s="47" t="s">
        <v>11</v>
      </c>
    </row>
    <row r="3781" ht="15.75" customHeight="1">
      <c r="A3781" s="46" t="s">
        <v>7750</v>
      </c>
      <c r="B3781" s="47" t="s">
        <v>7751</v>
      </c>
      <c r="C3781" s="47">
        <v>514.0</v>
      </c>
      <c r="D3781" s="47">
        <v>490.0</v>
      </c>
      <c r="E3781" s="47">
        <v>24910.0</v>
      </c>
      <c r="F3781" s="47" t="s">
        <v>11</v>
      </c>
    </row>
    <row r="3782" ht="15.75" customHeight="1">
      <c r="A3782" s="46" t="s">
        <v>7752</v>
      </c>
      <c r="B3782" s="47" t="s">
        <v>7753</v>
      </c>
      <c r="C3782" s="47">
        <v>267.0</v>
      </c>
      <c r="D3782" s="47">
        <v>264.0</v>
      </c>
      <c r="E3782" s="47">
        <v>31250.0</v>
      </c>
      <c r="F3782" s="47" t="s">
        <v>11</v>
      </c>
    </row>
    <row r="3783" ht="15.75" customHeight="1">
      <c r="A3783" s="46" t="s">
        <v>7754</v>
      </c>
      <c r="B3783" s="47" t="s">
        <v>7755</v>
      </c>
      <c r="C3783" s="47">
        <v>227.0</v>
      </c>
      <c r="D3783" s="47">
        <v>243.0</v>
      </c>
      <c r="E3783" s="47">
        <v>29150.0</v>
      </c>
      <c r="F3783" s="47" t="s">
        <v>11</v>
      </c>
    </row>
    <row r="3784" ht="15.75" customHeight="1">
      <c r="A3784" s="46"/>
      <c r="B3784" s="47"/>
      <c r="C3784" s="47"/>
      <c r="D3784" s="47"/>
      <c r="E3784" s="47"/>
      <c r="F3784" s="47"/>
    </row>
    <row r="3785" ht="15.75" customHeight="1">
      <c r="A3785" s="46"/>
      <c r="B3785" s="47"/>
      <c r="C3785" s="47"/>
      <c r="D3785" s="47"/>
      <c r="E3785" s="47"/>
      <c r="F3785" s="47"/>
    </row>
    <row r="3786" ht="15.75" customHeight="1">
      <c r="A3786" s="46"/>
      <c r="B3786" s="47"/>
      <c r="C3786" s="47"/>
      <c r="D3786" s="47"/>
      <c r="E3786" s="47"/>
      <c r="F3786" s="47"/>
    </row>
    <row r="3787" ht="15.75" customHeight="1">
      <c r="A3787" s="46"/>
      <c r="B3787" s="47"/>
      <c r="C3787" s="47"/>
      <c r="D3787" s="47"/>
      <c r="E3787" s="47"/>
      <c r="F3787" s="47"/>
    </row>
    <row r="3788" ht="15.75" customHeight="1">
      <c r="A3788" s="46"/>
      <c r="B3788" s="47"/>
      <c r="C3788" s="47"/>
      <c r="D3788" s="47"/>
      <c r="E3788" s="47"/>
      <c r="F3788" s="47"/>
    </row>
    <row r="3789" ht="15.75" customHeight="1">
      <c r="A3789" s="46"/>
      <c r="B3789" s="47"/>
      <c r="C3789" s="47"/>
      <c r="D3789" s="47"/>
      <c r="E3789" s="47"/>
      <c r="F3789" s="47"/>
    </row>
    <row r="3790" ht="15.75" customHeight="1">
      <c r="A3790" s="46"/>
      <c r="B3790" s="47"/>
      <c r="C3790" s="47"/>
      <c r="D3790" s="47"/>
      <c r="E3790" s="47"/>
      <c r="F3790" s="47"/>
    </row>
    <row r="3791" ht="15.75" customHeight="1">
      <c r="A3791" s="46"/>
      <c r="B3791" s="47"/>
      <c r="C3791" s="47"/>
      <c r="D3791" s="47"/>
      <c r="E3791" s="47"/>
      <c r="F3791" s="47"/>
    </row>
    <row r="3792" ht="15.75" customHeight="1">
      <c r="A3792" s="46"/>
      <c r="B3792" s="47"/>
      <c r="C3792" s="47"/>
      <c r="D3792" s="47"/>
      <c r="E3792" s="47"/>
      <c r="F3792" s="47"/>
    </row>
    <row r="3793" ht="15.75" customHeight="1">
      <c r="A3793" s="46"/>
      <c r="B3793" s="47"/>
      <c r="C3793" s="47"/>
      <c r="D3793" s="47"/>
      <c r="E3793" s="47"/>
      <c r="F3793" s="47"/>
    </row>
    <row r="3794" ht="15.75" customHeight="1">
      <c r="A3794" s="46"/>
      <c r="B3794" s="47"/>
      <c r="C3794" s="47"/>
      <c r="D3794" s="47"/>
      <c r="E3794" s="47"/>
      <c r="F3794" s="47"/>
    </row>
    <row r="3795" ht="15.75" customHeight="1">
      <c r="A3795" s="46"/>
      <c r="B3795" s="47"/>
      <c r="C3795" s="47"/>
      <c r="D3795" s="47"/>
      <c r="E3795" s="47"/>
      <c r="F3795" s="47"/>
    </row>
    <row r="3796" ht="15.75" customHeight="1">
      <c r="A3796" s="46"/>
      <c r="B3796" s="47"/>
      <c r="C3796" s="47"/>
      <c r="D3796" s="47"/>
      <c r="E3796" s="47"/>
      <c r="F3796" s="47"/>
    </row>
    <row r="3797" ht="15.75" customHeight="1">
      <c r="A3797" s="46"/>
      <c r="B3797" s="47"/>
      <c r="C3797" s="47"/>
      <c r="D3797" s="47"/>
      <c r="E3797" s="47"/>
      <c r="F3797" s="47"/>
    </row>
    <row r="3798" ht="15.75" customHeight="1">
      <c r="A3798" s="46"/>
      <c r="B3798" s="47"/>
      <c r="C3798" s="47"/>
      <c r="D3798" s="47"/>
      <c r="E3798" s="47"/>
      <c r="F3798" s="47"/>
    </row>
    <row r="3799" ht="15.75" customHeight="1">
      <c r="A3799" s="46"/>
      <c r="B3799" s="47"/>
      <c r="C3799" s="47"/>
      <c r="D3799" s="47"/>
      <c r="E3799" s="47"/>
      <c r="F3799" s="47"/>
    </row>
    <row r="3800" ht="15.75" customHeight="1">
      <c r="A3800" s="46"/>
      <c r="B3800" s="47"/>
      <c r="C3800" s="47"/>
      <c r="D3800" s="47"/>
      <c r="E3800" s="47"/>
      <c r="F3800" s="47"/>
    </row>
    <row r="3801" ht="15.75" customHeight="1">
      <c r="A3801" s="46"/>
      <c r="B3801" s="47"/>
      <c r="C3801" s="47"/>
      <c r="D3801" s="47"/>
      <c r="E3801" s="47"/>
      <c r="F3801" s="47"/>
    </row>
    <row r="3802" ht="15.75" customHeight="1">
      <c r="A3802" s="46"/>
      <c r="B3802" s="47"/>
      <c r="C3802" s="47"/>
      <c r="D3802" s="47"/>
      <c r="E3802" s="47"/>
      <c r="F3802" s="47"/>
    </row>
    <row r="3803" ht="15.75" customHeight="1">
      <c r="A3803" s="46"/>
      <c r="B3803" s="47"/>
      <c r="C3803" s="47"/>
      <c r="D3803" s="47"/>
      <c r="E3803" s="47"/>
      <c r="F3803" s="47"/>
    </row>
    <row r="3804" ht="15.75" customHeight="1">
      <c r="A3804" s="46"/>
      <c r="B3804" s="47"/>
      <c r="C3804" s="47"/>
      <c r="D3804" s="47"/>
      <c r="E3804" s="47"/>
      <c r="F3804" s="47"/>
    </row>
    <row r="3805" ht="15.75" customHeight="1">
      <c r="A3805" s="46"/>
      <c r="B3805" s="47"/>
      <c r="C3805" s="47"/>
      <c r="D3805" s="47"/>
      <c r="E3805" s="47"/>
      <c r="F3805" s="47"/>
    </row>
    <row r="3806" ht="15.75" customHeight="1">
      <c r="A3806" s="46"/>
      <c r="B3806" s="47"/>
      <c r="C3806" s="47"/>
      <c r="D3806" s="47"/>
      <c r="E3806" s="47"/>
      <c r="F3806" s="47"/>
    </row>
    <row r="3807" ht="15.75" customHeight="1">
      <c r="A3807" s="46"/>
      <c r="B3807" s="47"/>
      <c r="C3807" s="47"/>
      <c r="D3807" s="47"/>
      <c r="E3807" s="47"/>
      <c r="F3807" s="47"/>
    </row>
    <row r="3808" ht="15.75" customHeight="1">
      <c r="A3808" s="46"/>
      <c r="B3808" s="47"/>
      <c r="C3808" s="47"/>
      <c r="D3808" s="47"/>
      <c r="E3808" s="47"/>
      <c r="F3808" s="47"/>
    </row>
    <row r="3809" ht="15.75" customHeight="1">
      <c r="A3809" s="46"/>
      <c r="B3809" s="47"/>
      <c r="C3809" s="47"/>
      <c r="D3809" s="47"/>
      <c r="E3809" s="47"/>
      <c r="F3809" s="47"/>
    </row>
    <row r="3810" ht="15.75" customHeight="1">
      <c r="A3810" s="46"/>
      <c r="B3810" s="47"/>
      <c r="C3810" s="47"/>
      <c r="D3810" s="47"/>
      <c r="E3810" s="47"/>
      <c r="F3810" s="47"/>
    </row>
    <row r="3811" ht="15.75" customHeight="1">
      <c r="A3811" s="46"/>
      <c r="B3811" s="47"/>
      <c r="C3811" s="47"/>
      <c r="D3811" s="47"/>
      <c r="E3811" s="47"/>
      <c r="F3811" s="47"/>
    </row>
    <row r="3812" ht="15.75" customHeight="1">
      <c r="A3812" s="46"/>
      <c r="B3812" s="47"/>
      <c r="C3812" s="47"/>
      <c r="D3812" s="47"/>
      <c r="E3812" s="47"/>
      <c r="F3812" s="47"/>
    </row>
    <row r="3813" ht="15.75" customHeight="1">
      <c r="A3813" s="46"/>
      <c r="B3813" s="47"/>
      <c r="C3813" s="47"/>
      <c r="D3813" s="47"/>
      <c r="E3813" s="47"/>
      <c r="F3813" s="47"/>
    </row>
    <row r="3814" ht="15.75" customHeight="1">
      <c r="A3814" s="46"/>
      <c r="B3814" s="47"/>
      <c r="C3814" s="47"/>
      <c r="D3814" s="47"/>
      <c r="E3814" s="47"/>
      <c r="F3814" s="47"/>
    </row>
    <row r="3815" ht="15.75" customHeight="1">
      <c r="A3815" s="46"/>
      <c r="B3815" s="47"/>
      <c r="C3815" s="47"/>
      <c r="D3815" s="47"/>
      <c r="E3815" s="47"/>
      <c r="F3815" s="47"/>
    </row>
    <row r="3816" ht="15.75" customHeight="1">
      <c r="A3816" s="46"/>
      <c r="B3816" s="47"/>
      <c r="C3816" s="47"/>
      <c r="D3816" s="47"/>
      <c r="E3816" s="47"/>
      <c r="F3816" s="47"/>
    </row>
    <row r="3817" ht="15.75" customHeight="1">
      <c r="A3817" s="46"/>
      <c r="B3817" s="47"/>
      <c r="C3817" s="47"/>
      <c r="D3817" s="47"/>
      <c r="E3817" s="47"/>
      <c r="F3817" s="47"/>
    </row>
    <row r="3818" ht="15.75" customHeight="1">
      <c r="A3818" s="46"/>
      <c r="B3818" s="47"/>
      <c r="C3818" s="47"/>
      <c r="D3818" s="47"/>
      <c r="E3818" s="47"/>
      <c r="F3818" s="47"/>
    </row>
    <row r="3819" ht="15.75" customHeight="1">
      <c r="A3819" s="46"/>
      <c r="B3819" s="47"/>
      <c r="C3819" s="47"/>
      <c r="D3819" s="47"/>
      <c r="E3819" s="47"/>
      <c r="F3819" s="47"/>
    </row>
    <row r="3820" ht="15.75" customHeight="1">
      <c r="A3820" s="46"/>
      <c r="B3820" s="47"/>
      <c r="C3820" s="47"/>
      <c r="D3820" s="47"/>
      <c r="E3820" s="47"/>
      <c r="F3820" s="47"/>
    </row>
    <row r="3821" ht="15.75" customHeight="1">
      <c r="A3821" s="46"/>
      <c r="B3821" s="47"/>
      <c r="C3821" s="47"/>
      <c r="D3821" s="47"/>
      <c r="E3821" s="47"/>
      <c r="F3821" s="47"/>
    </row>
    <row r="3822" ht="15.75" customHeight="1">
      <c r="A3822" s="46"/>
      <c r="B3822" s="47"/>
      <c r="C3822" s="47"/>
      <c r="D3822" s="47"/>
      <c r="E3822" s="47"/>
      <c r="F3822" s="47"/>
    </row>
    <row r="3823" ht="15.75" customHeight="1">
      <c r="A3823" s="46"/>
      <c r="B3823" s="47"/>
      <c r="C3823" s="47"/>
      <c r="D3823" s="47"/>
      <c r="E3823" s="47"/>
      <c r="F3823" s="47"/>
    </row>
    <row r="3824" ht="15.75" customHeight="1">
      <c r="A3824" s="46"/>
      <c r="B3824" s="47"/>
      <c r="C3824" s="47"/>
      <c r="D3824" s="47"/>
      <c r="E3824" s="47"/>
      <c r="F3824" s="47"/>
    </row>
    <row r="3825" ht="15.75" customHeight="1">
      <c r="A3825" s="46"/>
      <c r="B3825" s="47"/>
      <c r="C3825" s="47"/>
      <c r="D3825" s="47"/>
      <c r="E3825" s="47"/>
      <c r="F3825" s="47"/>
    </row>
    <row r="3826" ht="15.75" customHeight="1">
      <c r="A3826" s="46"/>
      <c r="B3826" s="47"/>
      <c r="C3826" s="47"/>
      <c r="D3826" s="47"/>
      <c r="E3826" s="47"/>
      <c r="F3826" s="47"/>
    </row>
    <row r="3827" ht="15.75" customHeight="1">
      <c r="A3827" s="46"/>
      <c r="B3827" s="47"/>
      <c r="C3827" s="47"/>
      <c r="D3827" s="47"/>
      <c r="E3827" s="47"/>
      <c r="F3827" s="47"/>
    </row>
    <row r="3828" ht="15.75" customHeight="1">
      <c r="A3828" s="46"/>
      <c r="B3828" s="47"/>
      <c r="C3828" s="47"/>
      <c r="D3828" s="47"/>
      <c r="E3828" s="47"/>
      <c r="F3828" s="47"/>
    </row>
    <row r="3829" ht="15.75" customHeight="1">
      <c r="A3829" s="46"/>
      <c r="B3829" s="47"/>
      <c r="C3829" s="47"/>
      <c r="D3829" s="47"/>
      <c r="E3829" s="47"/>
      <c r="F3829" s="47"/>
    </row>
    <row r="3830" ht="15.75" customHeight="1">
      <c r="A3830" s="46"/>
      <c r="B3830" s="47"/>
      <c r="C3830" s="47"/>
      <c r="D3830" s="47"/>
      <c r="E3830" s="47"/>
      <c r="F3830" s="47"/>
    </row>
    <row r="3831" ht="15.75" customHeight="1">
      <c r="A3831" s="46"/>
      <c r="B3831" s="47"/>
      <c r="C3831" s="47"/>
      <c r="D3831" s="47"/>
      <c r="E3831" s="47"/>
      <c r="F3831" s="47"/>
    </row>
    <row r="3832" ht="15.75" customHeight="1">
      <c r="A3832" s="46"/>
      <c r="B3832" s="47"/>
      <c r="C3832" s="47"/>
      <c r="D3832" s="47"/>
      <c r="E3832" s="47"/>
      <c r="F3832" s="47"/>
    </row>
    <row r="3833" ht="15.75" customHeight="1">
      <c r="A3833" s="46"/>
      <c r="B3833" s="47"/>
      <c r="C3833" s="47"/>
      <c r="D3833" s="47"/>
      <c r="E3833" s="47"/>
      <c r="F3833" s="47"/>
    </row>
    <row r="3834" ht="15.75" customHeight="1">
      <c r="A3834" s="46"/>
      <c r="B3834" s="47"/>
      <c r="C3834" s="47"/>
      <c r="D3834" s="47"/>
      <c r="E3834" s="47"/>
      <c r="F3834" s="47"/>
    </row>
    <row r="3835" ht="15.75" customHeight="1">
      <c r="A3835" s="46"/>
      <c r="B3835" s="47"/>
      <c r="C3835" s="47"/>
      <c r="D3835" s="47"/>
      <c r="E3835" s="47"/>
      <c r="F3835" s="47"/>
    </row>
    <row r="3836" ht="15.75" customHeight="1">
      <c r="A3836" s="46"/>
      <c r="B3836" s="47"/>
      <c r="C3836" s="47"/>
      <c r="D3836" s="47"/>
      <c r="E3836" s="47"/>
      <c r="F3836" s="47"/>
    </row>
    <row r="3837" ht="15.75" customHeight="1">
      <c r="A3837" s="46"/>
      <c r="B3837" s="47"/>
      <c r="C3837" s="47"/>
      <c r="D3837" s="47"/>
      <c r="E3837" s="47"/>
      <c r="F3837" s="47"/>
    </row>
    <row r="3838" ht="15.75" customHeight="1">
      <c r="A3838" s="46"/>
      <c r="B3838" s="47"/>
      <c r="C3838" s="47"/>
      <c r="D3838" s="47"/>
      <c r="E3838" s="47"/>
      <c r="F3838" s="47"/>
    </row>
    <row r="3839" ht="15.75" customHeight="1">
      <c r="A3839" s="46"/>
      <c r="B3839" s="47"/>
      <c r="C3839" s="47"/>
      <c r="D3839" s="47"/>
      <c r="E3839" s="47"/>
      <c r="F3839" s="47"/>
    </row>
    <row r="3840" ht="15.75" customHeight="1">
      <c r="A3840" s="46"/>
      <c r="B3840" s="47"/>
      <c r="C3840" s="47"/>
      <c r="D3840" s="47"/>
      <c r="E3840" s="47"/>
      <c r="F3840" s="47"/>
    </row>
    <row r="3841" ht="15.75" customHeight="1">
      <c r="A3841" s="46"/>
      <c r="B3841" s="47"/>
      <c r="C3841" s="47"/>
      <c r="D3841" s="47"/>
      <c r="E3841" s="47"/>
      <c r="F3841" s="47"/>
    </row>
    <row r="3842" ht="15.75" customHeight="1">
      <c r="A3842" s="46"/>
      <c r="B3842" s="47"/>
      <c r="C3842" s="47"/>
      <c r="D3842" s="47"/>
      <c r="E3842" s="47"/>
      <c r="F3842" s="47"/>
    </row>
    <row r="3843" ht="15.75" customHeight="1">
      <c r="A3843" s="46"/>
      <c r="B3843" s="47"/>
      <c r="C3843" s="47"/>
      <c r="D3843" s="47"/>
      <c r="E3843" s="47"/>
      <c r="F3843" s="47"/>
    </row>
    <row r="3844" ht="15.75" customHeight="1">
      <c r="A3844" s="46"/>
      <c r="B3844" s="47"/>
      <c r="C3844" s="47"/>
      <c r="D3844" s="47"/>
      <c r="E3844" s="47"/>
      <c r="F3844" s="47"/>
    </row>
    <row r="3845" ht="15.75" customHeight="1">
      <c r="A3845" s="46"/>
      <c r="B3845" s="47"/>
      <c r="C3845" s="47"/>
      <c r="D3845" s="47"/>
      <c r="E3845" s="47"/>
      <c r="F3845" s="47"/>
    </row>
    <row r="3846" ht="15.75" customHeight="1">
      <c r="A3846" s="46"/>
      <c r="B3846" s="47"/>
      <c r="C3846" s="47"/>
      <c r="D3846" s="47"/>
      <c r="E3846" s="47"/>
      <c r="F3846" s="47"/>
    </row>
    <row r="3847" ht="15.75" customHeight="1">
      <c r="A3847" s="46"/>
      <c r="B3847" s="47"/>
      <c r="C3847" s="47"/>
      <c r="D3847" s="47"/>
      <c r="E3847" s="47"/>
      <c r="F3847" s="47"/>
    </row>
    <row r="3848" ht="15.75" customHeight="1">
      <c r="A3848" s="46"/>
      <c r="B3848" s="47"/>
      <c r="C3848" s="47"/>
      <c r="D3848" s="47"/>
      <c r="E3848" s="47"/>
      <c r="F3848" s="47"/>
    </row>
    <row r="3849" ht="15.75" customHeight="1">
      <c r="A3849" s="46"/>
      <c r="B3849" s="47"/>
      <c r="C3849" s="47"/>
      <c r="D3849" s="47"/>
      <c r="E3849" s="47"/>
      <c r="F3849" s="47"/>
    </row>
    <row r="3850" ht="15.75" customHeight="1">
      <c r="A3850" s="46"/>
      <c r="B3850" s="47"/>
      <c r="C3850" s="47"/>
      <c r="D3850" s="47"/>
      <c r="E3850" s="47"/>
      <c r="F3850" s="47"/>
    </row>
    <row r="3851" ht="15.75" customHeight="1">
      <c r="A3851" s="46"/>
      <c r="B3851" s="47"/>
      <c r="C3851" s="47"/>
      <c r="D3851" s="47"/>
      <c r="E3851" s="47"/>
      <c r="F3851" s="47"/>
    </row>
    <row r="3852" ht="15.75" customHeight="1">
      <c r="A3852" s="46"/>
      <c r="B3852" s="47"/>
      <c r="C3852" s="47"/>
      <c r="D3852" s="47"/>
      <c r="E3852" s="47"/>
      <c r="F3852" s="47"/>
    </row>
    <row r="3853" ht="15.75" customHeight="1">
      <c r="A3853" s="46"/>
      <c r="B3853" s="47"/>
      <c r="C3853" s="47"/>
      <c r="D3853" s="47"/>
      <c r="E3853" s="47"/>
      <c r="F3853" s="47"/>
    </row>
    <row r="3854" ht="15.75" customHeight="1">
      <c r="A3854" s="46"/>
      <c r="B3854" s="47"/>
      <c r="C3854" s="47"/>
      <c r="D3854" s="47"/>
      <c r="E3854" s="47"/>
      <c r="F3854" s="47"/>
    </row>
    <row r="3855" ht="15.75" customHeight="1">
      <c r="A3855" s="46"/>
      <c r="B3855" s="47"/>
      <c r="C3855" s="47"/>
      <c r="D3855" s="47"/>
      <c r="E3855" s="47"/>
      <c r="F3855" s="47"/>
    </row>
    <row r="3856" ht="15.75" customHeight="1">
      <c r="A3856" s="46"/>
      <c r="B3856" s="47"/>
      <c r="C3856" s="47"/>
      <c r="D3856" s="47"/>
      <c r="E3856" s="47"/>
      <c r="F3856" s="47"/>
    </row>
    <row r="3857" ht="15.75" customHeight="1">
      <c r="A3857" s="46"/>
      <c r="B3857" s="47"/>
      <c r="C3857" s="47"/>
      <c r="D3857" s="47"/>
      <c r="E3857" s="47"/>
      <c r="F3857" s="47"/>
    </row>
    <row r="3858" ht="15.75" customHeight="1">
      <c r="A3858" s="46"/>
      <c r="B3858" s="47"/>
      <c r="C3858" s="47"/>
      <c r="D3858" s="47"/>
      <c r="E3858" s="47"/>
      <c r="F3858" s="47"/>
    </row>
    <row r="3859" ht="15.75" customHeight="1">
      <c r="A3859" s="46"/>
      <c r="B3859" s="47"/>
      <c r="C3859" s="47"/>
      <c r="D3859" s="47"/>
      <c r="E3859" s="47"/>
      <c r="F3859" s="47"/>
    </row>
    <row r="3860" ht="15.75" customHeight="1">
      <c r="A3860" s="46"/>
      <c r="B3860" s="47"/>
      <c r="C3860" s="47"/>
      <c r="D3860" s="47"/>
      <c r="E3860" s="47"/>
      <c r="F3860" s="47"/>
    </row>
    <row r="3861" ht="15.75" customHeight="1">
      <c r="A3861" s="46"/>
      <c r="B3861" s="47"/>
      <c r="C3861" s="47"/>
      <c r="D3861" s="47"/>
      <c r="E3861" s="47"/>
      <c r="F3861" s="47"/>
    </row>
    <row r="3862" ht="15.75" customHeight="1">
      <c r="A3862" s="46"/>
      <c r="B3862" s="47"/>
      <c r="C3862" s="47"/>
      <c r="D3862" s="47"/>
      <c r="E3862" s="47"/>
      <c r="F3862" s="47"/>
    </row>
    <row r="3863" ht="15.75" customHeight="1">
      <c r="A3863" s="46"/>
      <c r="B3863" s="47"/>
      <c r="C3863" s="47"/>
      <c r="D3863" s="47"/>
      <c r="E3863" s="47"/>
      <c r="F3863" s="47"/>
    </row>
    <row r="3864" ht="15.75" customHeight="1">
      <c r="A3864" s="46"/>
      <c r="B3864" s="47"/>
      <c r="C3864" s="47"/>
      <c r="D3864" s="47"/>
      <c r="E3864" s="47"/>
      <c r="F3864" s="47"/>
    </row>
    <row r="3865" ht="15.75" customHeight="1">
      <c r="A3865" s="46"/>
      <c r="B3865" s="47"/>
      <c r="C3865" s="47"/>
      <c r="D3865" s="47"/>
      <c r="E3865" s="47"/>
      <c r="F3865" s="47"/>
    </row>
    <row r="3866" ht="15.75" customHeight="1">
      <c r="A3866" s="46"/>
      <c r="B3866" s="47"/>
      <c r="C3866" s="47"/>
      <c r="D3866" s="47"/>
      <c r="E3866" s="47"/>
      <c r="F3866" s="47"/>
    </row>
    <row r="3867" ht="15.75" customHeight="1">
      <c r="A3867" s="46"/>
      <c r="B3867" s="47"/>
      <c r="C3867" s="47"/>
      <c r="D3867" s="47"/>
      <c r="E3867" s="47"/>
      <c r="F3867" s="47"/>
    </row>
    <row r="3868" ht="15.75" customHeight="1">
      <c r="A3868" s="46"/>
      <c r="B3868" s="47"/>
      <c r="C3868" s="47"/>
      <c r="D3868" s="47"/>
      <c r="E3868" s="47"/>
      <c r="F3868" s="47"/>
    </row>
    <row r="3869" ht="15.75" customHeight="1">
      <c r="A3869" s="46"/>
      <c r="B3869" s="47"/>
      <c r="C3869" s="47"/>
      <c r="D3869" s="47"/>
      <c r="E3869" s="47"/>
      <c r="F3869" s="47"/>
    </row>
    <row r="3870" ht="15.75" customHeight="1">
      <c r="A3870" s="46"/>
      <c r="B3870" s="47"/>
      <c r="C3870" s="47"/>
      <c r="D3870" s="47"/>
      <c r="E3870" s="47"/>
      <c r="F3870" s="47"/>
    </row>
    <row r="3871" ht="15.75" customHeight="1">
      <c r="A3871" s="46"/>
      <c r="B3871" s="47"/>
      <c r="C3871" s="47"/>
      <c r="D3871" s="47"/>
      <c r="E3871" s="47"/>
      <c r="F3871" s="47"/>
    </row>
    <row r="3872" ht="15.75" customHeight="1">
      <c r="A3872" s="46"/>
      <c r="B3872" s="47"/>
      <c r="C3872" s="47"/>
      <c r="D3872" s="47"/>
      <c r="E3872" s="47"/>
      <c r="F3872" s="47"/>
    </row>
    <row r="3873" ht="15.75" customHeight="1">
      <c r="A3873" s="46"/>
      <c r="B3873" s="47"/>
      <c r="C3873" s="47"/>
      <c r="D3873" s="47"/>
      <c r="E3873" s="47"/>
      <c r="F3873" s="47"/>
    </row>
    <row r="3874" ht="15.75" customHeight="1">
      <c r="A3874" s="46"/>
      <c r="B3874" s="47"/>
      <c r="C3874" s="47"/>
      <c r="D3874" s="47"/>
      <c r="E3874" s="47"/>
      <c r="F3874" s="47"/>
    </row>
    <row r="3875" ht="15.75" customHeight="1">
      <c r="A3875" s="46"/>
      <c r="B3875" s="47"/>
      <c r="C3875" s="47"/>
      <c r="D3875" s="47"/>
      <c r="E3875" s="47"/>
      <c r="F3875" s="47"/>
    </row>
    <row r="3876" ht="15.75" customHeight="1">
      <c r="A3876" s="46"/>
      <c r="B3876" s="47"/>
      <c r="C3876" s="47"/>
      <c r="D3876" s="47"/>
      <c r="E3876" s="47"/>
      <c r="F3876" s="47"/>
    </row>
    <row r="3877" ht="15.75" customHeight="1">
      <c r="A3877" s="46"/>
      <c r="B3877" s="47"/>
      <c r="C3877" s="47"/>
      <c r="D3877" s="47"/>
      <c r="E3877" s="47"/>
      <c r="F3877" s="47"/>
    </row>
    <row r="3878" ht="15.75" customHeight="1">
      <c r="A3878" s="46"/>
      <c r="B3878" s="47"/>
      <c r="C3878" s="47"/>
      <c r="D3878" s="47"/>
      <c r="E3878" s="47"/>
      <c r="F3878" s="47"/>
    </row>
    <row r="3879" ht="15.75" customHeight="1">
      <c r="A3879" s="46"/>
      <c r="B3879" s="47"/>
      <c r="C3879" s="47"/>
      <c r="D3879" s="47"/>
      <c r="E3879" s="47"/>
      <c r="F3879" s="47"/>
    </row>
    <row r="3880" ht="15.75" customHeight="1">
      <c r="A3880" s="46"/>
      <c r="B3880" s="47"/>
      <c r="C3880" s="47"/>
      <c r="D3880" s="47"/>
      <c r="E3880" s="47"/>
      <c r="F3880" s="47"/>
    </row>
    <row r="3881" ht="15.75" customHeight="1">
      <c r="A3881" s="46"/>
      <c r="B3881" s="47"/>
      <c r="C3881" s="47"/>
      <c r="D3881" s="47"/>
      <c r="E3881" s="47"/>
      <c r="F3881" s="47"/>
    </row>
    <row r="3882" ht="15.75" customHeight="1">
      <c r="A3882" s="46"/>
      <c r="B3882" s="47"/>
      <c r="C3882" s="47"/>
      <c r="D3882" s="47"/>
      <c r="E3882" s="47"/>
      <c r="F3882" s="47"/>
    </row>
    <row r="3883" ht="15.75" customHeight="1">
      <c r="A3883" s="46"/>
      <c r="B3883" s="47"/>
      <c r="C3883" s="47"/>
      <c r="D3883" s="47"/>
      <c r="E3883" s="47"/>
      <c r="F3883" s="47"/>
    </row>
    <row r="3884" ht="15.75" customHeight="1">
      <c r="A3884" s="46"/>
      <c r="B3884" s="47"/>
      <c r="C3884" s="47"/>
      <c r="D3884" s="47"/>
      <c r="E3884" s="47"/>
      <c r="F3884" s="47"/>
    </row>
    <row r="3885" ht="15.75" customHeight="1">
      <c r="A3885" s="46"/>
      <c r="B3885" s="47"/>
      <c r="C3885" s="47"/>
      <c r="D3885" s="47"/>
      <c r="E3885" s="47"/>
      <c r="F3885" s="47"/>
    </row>
    <row r="3886" ht="15.75" customHeight="1">
      <c r="A3886" s="46"/>
      <c r="B3886" s="47"/>
      <c r="C3886" s="47"/>
      <c r="D3886" s="47"/>
      <c r="E3886" s="47"/>
      <c r="F3886" s="47"/>
    </row>
    <row r="3887" ht="15.75" customHeight="1">
      <c r="A3887" s="46"/>
      <c r="B3887" s="47"/>
      <c r="C3887" s="47"/>
      <c r="D3887" s="47"/>
      <c r="E3887" s="47"/>
      <c r="F3887" s="47"/>
    </row>
    <row r="3888" ht="15.75" customHeight="1">
      <c r="A3888" s="46"/>
      <c r="B3888" s="47"/>
      <c r="C3888" s="47"/>
      <c r="D3888" s="47"/>
      <c r="E3888" s="47"/>
      <c r="F3888" s="47"/>
    </row>
    <row r="3889" ht="15.75" customHeight="1">
      <c r="A3889" s="46"/>
      <c r="B3889" s="47"/>
      <c r="C3889" s="47"/>
      <c r="D3889" s="47"/>
      <c r="E3889" s="47"/>
      <c r="F3889" s="47"/>
    </row>
    <row r="3890" ht="15.75" customHeight="1">
      <c r="A3890" s="46"/>
      <c r="B3890" s="47"/>
      <c r="C3890" s="47"/>
      <c r="D3890" s="47"/>
      <c r="E3890" s="47"/>
      <c r="F3890" s="47"/>
    </row>
    <row r="3891" ht="15.75" customHeight="1">
      <c r="A3891" s="46"/>
      <c r="B3891" s="47"/>
      <c r="C3891" s="47"/>
      <c r="D3891" s="47"/>
      <c r="E3891" s="47"/>
      <c r="F3891" s="47"/>
    </row>
    <row r="3892" ht="15.75" customHeight="1">
      <c r="A3892" s="46"/>
      <c r="B3892" s="47"/>
      <c r="C3892" s="47"/>
      <c r="D3892" s="47"/>
      <c r="E3892" s="47"/>
      <c r="F3892" s="47"/>
    </row>
    <row r="3893" ht="15.75" customHeight="1">
      <c r="A3893" s="46"/>
      <c r="B3893" s="47"/>
      <c r="C3893" s="47"/>
      <c r="D3893" s="47"/>
      <c r="E3893" s="47"/>
      <c r="F3893" s="47"/>
    </row>
    <row r="3894" ht="15.75" customHeight="1">
      <c r="A3894" s="46"/>
      <c r="B3894" s="47"/>
      <c r="C3894" s="47"/>
      <c r="D3894" s="47"/>
      <c r="E3894" s="47"/>
      <c r="F3894" s="47"/>
    </row>
    <row r="3895" ht="15.75" customHeight="1">
      <c r="A3895" s="46"/>
      <c r="B3895" s="47"/>
      <c r="C3895" s="47"/>
      <c r="D3895" s="47"/>
      <c r="E3895" s="47"/>
      <c r="F3895" s="47"/>
    </row>
    <row r="3896" ht="15.75" customHeight="1">
      <c r="A3896" s="46"/>
      <c r="B3896" s="47"/>
      <c r="C3896" s="47"/>
      <c r="D3896" s="47"/>
      <c r="E3896" s="47"/>
      <c r="F3896" s="47"/>
    </row>
    <row r="3897" ht="15.75" customHeight="1">
      <c r="A3897" s="46"/>
      <c r="B3897" s="47"/>
      <c r="C3897" s="47"/>
      <c r="D3897" s="47"/>
      <c r="E3897" s="47"/>
      <c r="F3897" s="47"/>
    </row>
    <row r="3898" ht="15.75" customHeight="1">
      <c r="A3898" s="46"/>
      <c r="B3898" s="47"/>
      <c r="C3898" s="47"/>
      <c r="D3898" s="47"/>
      <c r="E3898" s="47"/>
      <c r="F3898" s="47"/>
    </row>
    <row r="3899" ht="15.75" customHeight="1">
      <c r="A3899" s="46"/>
      <c r="B3899" s="47"/>
      <c r="C3899" s="47"/>
      <c r="D3899" s="47"/>
      <c r="E3899" s="47"/>
      <c r="F3899" s="47"/>
    </row>
    <row r="3900" ht="15.75" customHeight="1">
      <c r="A3900" s="46"/>
      <c r="B3900" s="47"/>
      <c r="C3900" s="47"/>
      <c r="D3900" s="47"/>
      <c r="E3900" s="47"/>
      <c r="F3900" s="47"/>
    </row>
    <row r="3901" ht="15.75" customHeight="1">
      <c r="A3901" s="46"/>
      <c r="B3901" s="47"/>
      <c r="C3901" s="47"/>
      <c r="D3901" s="47"/>
      <c r="E3901" s="47"/>
      <c r="F3901" s="47"/>
    </row>
    <row r="3902" ht="15.75" customHeight="1">
      <c r="A3902" s="46"/>
      <c r="B3902" s="47"/>
      <c r="C3902" s="47"/>
      <c r="D3902" s="47"/>
      <c r="E3902" s="47"/>
      <c r="F3902" s="47"/>
    </row>
    <row r="3903" ht="15.75" customHeight="1">
      <c r="A3903" s="46"/>
      <c r="B3903" s="47"/>
      <c r="C3903" s="47"/>
      <c r="D3903" s="47"/>
      <c r="E3903" s="47"/>
      <c r="F3903" s="47"/>
    </row>
    <row r="3904" ht="15.75" customHeight="1">
      <c r="A3904" s="46"/>
      <c r="B3904" s="47"/>
      <c r="C3904" s="47"/>
      <c r="D3904" s="47"/>
      <c r="E3904" s="47"/>
      <c r="F3904" s="47"/>
    </row>
    <row r="3905" ht="15.75" customHeight="1">
      <c r="A3905" s="46"/>
      <c r="B3905" s="47"/>
      <c r="C3905" s="47"/>
      <c r="D3905" s="47"/>
      <c r="E3905" s="47"/>
      <c r="F3905" s="47"/>
    </row>
    <row r="3906" ht="15.75" customHeight="1">
      <c r="A3906" s="46"/>
      <c r="B3906" s="47"/>
      <c r="C3906" s="47"/>
      <c r="D3906" s="47"/>
      <c r="E3906" s="47"/>
      <c r="F3906" s="47"/>
    </row>
    <row r="3907" ht="15.75" customHeight="1">
      <c r="A3907" s="46"/>
      <c r="B3907" s="47"/>
      <c r="C3907" s="47"/>
      <c r="D3907" s="47"/>
      <c r="E3907" s="47"/>
      <c r="F3907" s="47"/>
    </row>
    <row r="3908" ht="15.75" customHeight="1">
      <c r="A3908" s="46"/>
      <c r="B3908" s="47"/>
      <c r="C3908" s="47"/>
      <c r="D3908" s="47"/>
      <c r="E3908" s="47"/>
      <c r="F3908" s="47"/>
    </row>
    <row r="3909" ht="15.75" customHeight="1">
      <c r="A3909" s="46"/>
      <c r="B3909" s="47"/>
      <c r="C3909" s="47"/>
      <c r="D3909" s="47"/>
      <c r="E3909" s="47"/>
      <c r="F3909" s="47"/>
    </row>
    <row r="3910" ht="15.75" customHeight="1">
      <c r="A3910" s="46"/>
      <c r="B3910" s="47"/>
      <c r="C3910" s="47"/>
      <c r="D3910" s="47"/>
      <c r="E3910" s="47"/>
      <c r="F3910" s="47"/>
    </row>
    <row r="3911" ht="15.75" customHeight="1">
      <c r="A3911" s="46"/>
      <c r="B3911" s="47"/>
      <c r="C3911" s="47"/>
      <c r="D3911" s="47"/>
      <c r="E3911" s="47"/>
      <c r="F3911" s="47"/>
    </row>
    <row r="3912" ht="15.75" customHeight="1">
      <c r="A3912" s="46"/>
      <c r="B3912" s="47"/>
      <c r="C3912" s="47"/>
      <c r="D3912" s="47"/>
      <c r="E3912" s="47"/>
      <c r="F3912" s="47"/>
    </row>
    <row r="3913" ht="15.75" customHeight="1">
      <c r="A3913" s="46"/>
      <c r="B3913" s="47"/>
      <c r="C3913" s="47"/>
      <c r="D3913" s="47"/>
      <c r="E3913" s="47"/>
      <c r="F3913" s="47"/>
    </row>
    <row r="3914" ht="15.75" customHeight="1">
      <c r="A3914" s="46"/>
      <c r="B3914" s="47"/>
      <c r="C3914" s="47"/>
      <c r="D3914" s="47"/>
      <c r="E3914" s="47"/>
      <c r="F3914" s="47"/>
    </row>
    <row r="3915" ht="15.75" customHeight="1">
      <c r="A3915" s="46"/>
      <c r="B3915" s="47"/>
      <c r="C3915" s="47"/>
      <c r="D3915" s="47"/>
      <c r="E3915" s="47"/>
      <c r="F3915" s="47"/>
    </row>
    <row r="3916" ht="15.75" customHeight="1">
      <c r="A3916" s="46"/>
      <c r="B3916" s="47"/>
      <c r="C3916" s="47"/>
      <c r="D3916" s="47"/>
      <c r="E3916" s="47"/>
      <c r="F3916" s="47"/>
    </row>
    <row r="3917" ht="15.75" customHeight="1">
      <c r="A3917" s="46"/>
      <c r="B3917" s="47"/>
      <c r="C3917" s="47"/>
      <c r="D3917" s="47"/>
      <c r="E3917" s="47"/>
      <c r="F3917" s="47"/>
    </row>
    <row r="3918" ht="15.75" customHeight="1">
      <c r="A3918" s="46"/>
      <c r="B3918" s="47"/>
      <c r="C3918" s="47"/>
      <c r="D3918" s="47"/>
      <c r="E3918" s="47"/>
      <c r="F3918" s="47"/>
    </row>
    <row r="3919" ht="15.75" customHeight="1">
      <c r="A3919" s="46"/>
      <c r="B3919" s="47"/>
      <c r="C3919" s="47"/>
      <c r="D3919" s="47"/>
      <c r="E3919" s="47"/>
      <c r="F3919" s="47"/>
    </row>
    <row r="3920" ht="15.75" customHeight="1">
      <c r="A3920" s="46"/>
      <c r="B3920" s="47"/>
      <c r="C3920" s="47"/>
      <c r="D3920" s="47"/>
      <c r="E3920" s="47"/>
      <c r="F3920" s="47"/>
    </row>
    <row r="3921" ht="15.75" customHeight="1">
      <c r="A3921" s="46"/>
      <c r="B3921" s="47"/>
      <c r="C3921" s="47"/>
      <c r="D3921" s="47"/>
      <c r="E3921" s="47"/>
      <c r="F3921" s="47"/>
    </row>
    <row r="3922" ht="15.75" customHeight="1">
      <c r="A3922" s="46"/>
      <c r="B3922" s="47"/>
      <c r="C3922" s="47"/>
      <c r="D3922" s="47"/>
      <c r="E3922" s="47"/>
      <c r="F3922" s="47"/>
    </row>
    <row r="3923" ht="15.75" customHeight="1">
      <c r="A3923" s="46"/>
      <c r="B3923" s="47"/>
      <c r="C3923" s="47"/>
      <c r="D3923" s="47"/>
      <c r="E3923" s="47"/>
      <c r="F3923" s="47"/>
    </row>
    <row r="3924" ht="15.75" customHeight="1">
      <c r="A3924" s="46"/>
      <c r="B3924" s="47"/>
      <c r="C3924" s="47"/>
      <c r="D3924" s="47"/>
      <c r="E3924" s="47"/>
      <c r="F3924" s="47"/>
    </row>
    <row r="3925" ht="15.75" customHeight="1">
      <c r="A3925" s="46"/>
      <c r="B3925" s="47"/>
      <c r="C3925" s="47"/>
      <c r="D3925" s="47"/>
      <c r="E3925" s="47"/>
      <c r="F3925" s="47"/>
    </row>
    <row r="3926" ht="15.75" customHeight="1">
      <c r="A3926" s="46"/>
      <c r="B3926" s="47"/>
      <c r="C3926" s="47"/>
      <c r="D3926" s="47"/>
      <c r="E3926" s="47"/>
      <c r="F3926" s="47"/>
    </row>
    <row r="3927" ht="15.75" customHeight="1">
      <c r="A3927" s="46"/>
      <c r="B3927" s="47"/>
      <c r="C3927" s="47"/>
      <c r="D3927" s="47"/>
      <c r="E3927" s="47"/>
      <c r="F3927" s="47"/>
    </row>
    <row r="3928" ht="15.75" customHeight="1">
      <c r="A3928" s="46"/>
      <c r="B3928" s="47"/>
      <c r="C3928" s="47"/>
      <c r="D3928" s="47"/>
      <c r="E3928" s="47"/>
      <c r="F3928" s="47"/>
    </row>
    <row r="3929" ht="15.75" customHeight="1">
      <c r="A3929" s="46"/>
      <c r="B3929" s="47"/>
      <c r="C3929" s="47"/>
      <c r="D3929" s="47"/>
      <c r="E3929" s="47"/>
      <c r="F3929" s="47"/>
    </row>
    <row r="3930" ht="15.75" customHeight="1">
      <c r="A3930" s="46"/>
      <c r="B3930" s="47"/>
      <c r="C3930" s="47"/>
      <c r="D3930" s="47"/>
      <c r="E3930" s="47"/>
      <c r="F3930" s="47"/>
    </row>
    <row r="3931" ht="15.75" customHeight="1">
      <c r="A3931" s="46"/>
      <c r="B3931" s="47"/>
      <c r="C3931" s="47"/>
      <c r="D3931" s="47"/>
      <c r="E3931" s="47"/>
      <c r="F3931" s="47"/>
    </row>
    <row r="3932" ht="15.75" customHeight="1">
      <c r="A3932" s="46"/>
      <c r="B3932" s="47"/>
      <c r="C3932" s="47"/>
      <c r="D3932" s="47"/>
      <c r="E3932" s="47"/>
      <c r="F3932" s="47"/>
    </row>
    <row r="3933" ht="15.75" customHeight="1">
      <c r="A3933" s="46"/>
      <c r="B3933" s="47"/>
      <c r="C3933" s="47"/>
      <c r="D3933" s="47"/>
      <c r="E3933" s="47"/>
      <c r="F3933" s="47"/>
    </row>
    <row r="3934" ht="15.75" customHeight="1">
      <c r="A3934" s="46"/>
      <c r="B3934" s="47"/>
      <c r="C3934" s="47"/>
      <c r="D3934" s="47"/>
      <c r="E3934" s="47"/>
      <c r="F3934" s="47"/>
    </row>
    <row r="3935" ht="15.75" customHeight="1">
      <c r="A3935" s="46"/>
      <c r="B3935" s="47"/>
      <c r="C3935" s="47"/>
      <c r="D3935" s="47"/>
      <c r="E3935" s="47"/>
      <c r="F3935" s="47"/>
    </row>
    <row r="3936" ht="15.75" customHeight="1">
      <c r="A3936" s="46"/>
      <c r="B3936" s="47"/>
      <c r="C3936" s="47"/>
      <c r="D3936" s="47"/>
      <c r="E3936" s="47"/>
      <c r="F3936" s="47"/>
    </row>
    <row r="3937" ht="15.75" customHeight="1">
      <c r="A3937" s="46"/>
      <c r="B3937" s="47"/>
      <c r="C3937" s="47"/>
      <c r="D3937" s="47"/>
      <c r="E3937" s="47"/>
      <c r="F3937" s="47"/>
    </row>
    <row r="3938" ht="15.75" customHeight="1">
      <c r="A3938" s="46"/>
      <c r="B3938" s="47"/>
      <c r="C3938" s="47"/>
      <c r="D3938" s="47"/>
      <c r="E3938" s="47"/>
      <c r="F3938" s="47"/>
    </row>
    <row r="3939" ht="15.75" customHeight="1">
      <c r="A3939" s="46"/>
      <c r="B3939" s="47"/>
      <c r="C3939" s="47"/>
      <c r="D3939" s="47"/>
      <c r="E3939" s="47"/>
      <c r="F3939" s="47"/>
    </row>
    <row r="3940" ht="15.75" customHeight="1">
      <c r="A3940" s="46"/>
      <c r="B3940" s="47"/>
      <c r="C3940" s="47"/>
      <c r="D3940" s="47"/>
      <c r="E3940" s="47"/>
      <c r="F3940" s="47"/>
    </row>
    <row r="3941" ht="15.75" customHeight="1">
      <c r="A3941" s="46"/>
      <c r="B3941" s="47"/>
      <c r="C3941" s="47"/>
      <c r="D3941" s="47"/>
      <c r="E3941" s="47"/>
      <c r="F3941" s="47"/>
    </row>
    <row r="3942" ht="15.75" customHeight="1">
      <c r="A3942" s="46"/>
      <c r="B3942" s="47"/>
      <c r="C3942" s="47"/>
      <c r="D3942" s="47"/>
      <c r="E3942" s="47"/>
      <c r="F3942" s="47"/>
    </row>
    <row r="3943" ht="15.75" customHeight="1">
      <c r="A3943" s="46"/>
      <c r="B3943" s="47"/>
      <c r="C3943" s="47"/>
      <c r="D3943" s="47"/>
      <c r="E3943" s="47"/>
      <c r="F3943" s="47"/>
    </row>
    <row r="3944" ht="15.75" customHeight="1">
      <c r="A3944" s="46"/>
      <c r="B3944" s="47"/>
      <c r="C3944" s="47"/>
      <c r="D3944" s="47"/>
      <c r="E3944" s="47"/>
      <c r="F3944" s="47"/>
    </row>
    <row r="3945" ht="15.75" customHeight="1">
      <c r="A3945" s="46"/>
      <c r="B3945" s="47"/>
      <c r="C3945" s="47"/>
      <c r="D3945" s="47"/>
      <c r="E3945" s="47"/>
      <c r="F3945" s="47"/>
    </row>
    <row r="3946" ht="15.75" customHeight="1">
      <c r="A3946" s="46"/>
      <c r="B3946" s="47"/>
      <c r="C3946" s="47"/>
      <c r="D3946" s="47"/>
      <c r="E3946" s="47"/>
      <c r="F3946" s="47"/>
    </row>
    <row r="3947" ht="15.75" customHeight="1">
      <c r="A3947" s="46"/>
      <c r="B3947" s="47"/>
      <c r="C3947" s="47"/>
      <c r="D3947" s="47"/>
      <c r="E3947" s="47"/>
      <c r="F3947" s="47"/>
    </row>
    <row r="3948" ht="15.75" customHeight="1">
      <c r="A3948" s="46"/>
      <c r="B3948" s="47"/>
      <c r="C3948" s="47"/>
      <c r="D3948" s="47"/>
      <c r="E3948" s="47"/>
      <c r="F3948" s="47"/>
    </row>
    <row r="3949" ht="15.75" customHeight="1">
      <c r="A3949" s="46"/>
      <c r="B3949" s="47"/>
      <c r="C3949" s="47"/>
      <c r="D3949" s="47"/>
      <c r="E3949" s="47"/>
      <c r="F3949" s="47"/>
    </row>
    <row r="3950" ht="15.75" customHeight="1">
      <c r="A3950" s="46"/>
      <c r="B3950" s="47"/>
      <c r="C3950" s="47"/>
      <c r="D3950" s="47"/>
      <c r="E3950" s="47"/>
      <c r="F3950" s="47"/>
    </row>
    <row r="3951" ht="15.75" customHeight="1">
      <c r="A3951" s="46"/>
      <c r="B3951" s="47"/>
      <c r="C3951" s="47"/>
      <c r="D3951" s="47"/>
      <c r="E3951" s="47"/>
      <c r="F3951" s="47"/>
    </row>
    <row r="3952" ht="15.75" customHeight="1">
      <c r="A3952" s="46"/>
      <c r="B3952" s="47"/>
      <c r="C3952" s="47"/>
      <c r="D3952" s="47"/>
      <c r="E3952" s="47"/>
      <c r="F3952" s="47"/>
    </row>
    <row r="3953" ht="15.75" customHeight="1">
      <c r="A3953" s="46"/>
      <c r="B3953" s="47"/>
      <c r="C3953" s="47"/>
      <c r="D3953" s="47"/>
      <c r="E3953" s="47"/>
      <c r="F3953" s="47"/>
    </row>
    <row r="3954" ht="15.75" customHeight="1">
      <c r="A3954" s="46"/>
      <c r="B3954" s="47"/>
      <c r="C3954" s="47"/>
      <c r="D3954" s="47"/>
      <c r="E3954" s="47"/>
      <c r="F3954" s="47"/>
    </row>
    <row r="3955" ht="15.75" customHeight="1">
      <c r="A3955" s="46"/>
      <c r="B3955" s="47"/>
      <c r="C3955" s="47"/>
      <c r="D3955" s="47"/>
      <c r="E3955" s="47"/>
      <c r="F3955" s="47"/>
    </row>
    <row r="3956" ht="15.75" customHeight="1">
      <c r="A3956" s="46"/>
      <c r="B3956" s="47"/>
      <c r="C3956" s="47"/>
      <c r="D3956" s="47"/>
      <c r="E3956" s="47"/>
      <c r="F3956" s="47"/>
    </row>
    <row r="3957" ht="15.75" customHeight="1">
      <c r="A3957" s="46"/>
      <c r="B3957" s="47"/>
      <c r="C3957" s="47"/>
      <c r="D3957" s="47"/>
      <c r="E3957" s="47"/>
      <c r="F3957" s="47"/>
    </row>
    <row r="3958" ht="15.75" customHeight="1">
      <c r="A3958" s="46"/>
      <c r="B3958" s="47"/>
      <c r="C3958" s="47"/>
      <c r="D3958" s="47"/>
      <c r="E3958" s="47"/>
      <c r="F3958" s="47"/>
    </row>
    <row r="3959" ht="15.75" customHeight="1">
      <c r="A3959" s="46"/>
      <c r="B3959" s="47"/>
      <c r="C3959" s="47"/>
      <c r="D3959" s="47"/>
      <c r="E3959" s="47"/>
      <c r="F3959" s="47"/>
    </row>
    <row r="3960" ht="15.75" customHeight="1">
      <c r="A3960" s="46"/>
      <c r="B3960" s="47"/>
      <c r="C3960" s="47"/>
      <c r="D3960" s="47"/>
      <c r="E3960" s="47"/>
      <c r="F3960" s="47"/>
    </row>
    <row r="3961" ht="15.75" customHeight="1">
      <c r="A3961" s="46"/>
      <c r="B3961" s="47"/>
      <c r="C3961" s="47"/>
      <c r="D3961" s="47"/>
      <c r="E3961" s="47"/>
      <c r="F3961" s="47"/>
    </row>
    <row r="3962" ht="15.75" customHeight="1">
      <c r="A3962" s="46"/>
      <c r="B3962" s="47"/>
      <c r="C3962" s="47"/>
      <c r="D3962" s="47"/>
      <c r="E3962" s="47"/>
      <c r="F3962" s="47"/>
    </row>
    <row r="3963" ht="15.75" customHeight="1">
      <c r="A3963" s="46"/>
      <c r="B3963" s="47"/>
      <c r="C3963" s="47"/>
      <c r="D3963" s="47"/>
      <c r="E3963" s="47"/>
      <c r="F3963" s="47"/>
    </row>
    <row r="3964" ht="15.75" customHeight="1">
      <c r="A3964" s="46"/>
      <c r="B3964" s="47"/>
      <c r="C3964" s="47"/>
      <c r="D3964" s="47"/>
      <c r="E3964" s="47"/>
      <c r="F3964" s="47"/>
    </row>
    <row r="3965" ht="15.75" customHeight="1">
      <c r="A3965" s="46"/>
      <c r="B3965" s="47"/>
      <c r="C3965" s="47"/>
      <c r="D3965" s="47"/>
      <c r="E3965" s="47"/>
      <c r="F3965" s="47"/>
    </row>
    <row r="3966" ht="15.75" customHeight="1">
      <c r="A3966" s="46"/>
      <c r="B3966" s="47"/>
      <c r="C3966" s="47"/>
      <c r="D3966" s="47"/>
      <c r="E3966" s="47"/>
      <c r="F3966" s="47"/>
    </row>
    <row r="3967" ht="15.75" customHeight="1">
      <c r="A3967" s="46"/>
      <c r="B3967" s="47"/>
      <c r="C3967" s="47"/>
      <c r="D3967" s="47"/>
      <c r="E3967" s="47"/>
      <c r="F3967" s="47"/>
    </row>
    <row r="3968" ht="15.75" customHeight="1">
      <c r="A3968" s="46"/>
      <c r="B3968" s="47"/>
      <c r="C3968" s="47"/>
      <c r="D3968" s="47"/>
      <c r="E3968" s="47"/>
      <c r="F3968" s="47"/>
    </row>
    <row r="3969" ht="15.75" customHeight="1">
      <c r="A3969" s="46"/>
      <c r="B3969" s="47"/>
      <c r="C3969" s="47"/>
      <c r="D3969" s="47"/>
      <c r="E3969" s="47"/>
      <c r="F3969" s="47"/>
    </row>
    <row r="3970" ht="15.75" customHeight="1">
      <c r="A3970" s="46"/>
      <c r="B3970" s="47"/>
      <c r="C3970" s="47"/>
      <c r="D3970" s="47"/>
      <c r="E3970" s="47"/>
      <c r="F3970" s="47"/>
    </row>
    <row r="3971" ht="15.75" customHeight="1">
      <c r="A3971" s="46"/>
      <c r="B3971" s="47"/>
      <c r="C3971" s="47"/>
      <c r="D3971" s="47"/>
      <c r="E3971" s="47"/>
      <c r="F3971" s="47"/>
    </row>
    <row r="3972" ht="15.75" customHeight="1">
      <c r="A3972" s="46"/>
      <c r="B3972" s="47"/>
      <c r="C3972" s="47"/>
      <c r="D3972" s="47"/>
      <c r="E3972" s="47"/>
      <c r="F3972" s="47"/>
    </row>
    <row r="3973" ht="15.75" customHeight="1">
      <c r="A3973" s="46"/>
      <c r="B3973" s="47"/>
      <c r="C3973" s="47"/>
      <c r="D3973" s="47"/>
      <c r="E3973" s="47"/>
      <c r="F3973" s="47"/>
    </row>
    <row r="3974" ht="15.75" customHeight="1">
      <c r="A3974" s="46"/>
      <c r="B3974" s="47"/>
      <c r="C3974" s="47"/>
      <c r="D3974" s="47"/>
      <c r="E3974" s="47"/>
      <c r="F3974" s="47"/>
    </row>
    <row r="3975" ht="15.75" customHeight="1">
      <c r="A3975" s="46"/>
      <c r="B3975" s="47"/>
      <c r="C3975" s="47"/>
      <c r="D3975" s="47"/>
      <c r="E3975" s="47"/>
      <c r="F3975" s="47"/>
    </row>
    <row r="3976" ht="15.75" customHeight="1">
      <c r="A3976" s="46"/>
      <c r="B3976" s="47"/>
      <c r="C3976" s="47"/>
      <c r="D3976" s="47"/>
      <c r="E3976" s="47"/>
      <c r="F3976" s="47"/>
    </row>
    <row r="3977" ht="15.75" customHeight="1">
      <c r="A3977" s="46"/>
      <c r="B3977" s="47"/>
      <c r="C3977" s="47"/>
      <c r="D3977" s="47"/>
      <c r="E3977" s="47"/>
      <c r="F3977" s="47"/>
    </row>
    <row r="3978" ht="15.75" customHeight="1">
      <c r="A3978" s="46"/>
      <c r="B3978" s="47"/>
      <c r="C3978" s="47"/>
      <c r="D3978" s="47"/>
      <c r="E3978" s="47"/>
      <c r="F3978" s="47"/>
    </row>
    <row r="3979" ht="15.75" customHeight="1">
      <c r="A3979" s="46"/>
      <c r="B3979" s="47"/>
      <c r="C3979" s="47"/>
      <c r="D3979" s="47"/>
      <c r="E3979" s="47"/>
      <c r="F3979" s="47"/>
    </row>
    <row r="3980" ht="15.75" customHeight="1">
      <c r="A3980" s="46"/>
      <c r="B3980" s="47"/>
      <c r="C3980" s="47"/>
      <c r="D3980" s="47"/>
      <c r="E3980" s="47"/>
      <c r="F3980" s="47"/>
    </row>
    <row r="3981" ht="15.75" customHeight="1">
      <c r="A3981" s="46"/>
      <c r="B3981" s="47"/>
      <c r="C3981" s="47"/>
      <c r="D3981" s="47"/>
      <c r="E3981" s="47"/>
      <c r="F3981" s="47"/>
    </row>
    <row r="3982" ht="15.75" customHeight="1">
      <c r="A3982" s="46"/>
      <c r="B3982" s="47"/>
      <c r="C3982" s="47"/>
      <c r="D3982" s="47"/>
      <c r="E3982" s="47"/>
      <c r="F3982" s="47"/>
    </row>
    <row r="3983" ht="15.75" customHeight="1">
      <c r="A3983" s="46"/>
      <c r="B3983" s="47"/>
      <c r="C3983" s="47"/>
      <c r="D3983" s="47"/>
      <c r="E3983" s="47"/>
      <c r="F3983" s="47"/>
    </row>
    <row r="3984" ht="15.75" customHeight="1">
      <c r="A3984" s="46"/>
      <c r="B3984" s="47"/>
      <c r="C3984" s="47"/>
      <c r="D3984" s="47"/>
      <c r="E3984" s="47"/>
      <c r="F3984" s="47"/>
    </row>
    <row r="3985" ht="15.75" customHeight="1">
      <c r="A3985" s="46"/>
      <c r="B3985" s="47"/>
      <c r="C3985" s="47"/>
      <c r="D3985" s="47"/>
      <c r="E3985" s="47"/>
      <c r="F3985" s="47"/>
    </row>
    <row r="3986" ht="15.75" customHeight="1">
      <c r="A3986" s="46"/>
      <c r="B3986" s="47"/>
      <c r="C3986" s="47"/>
      <c r="D3986" s="47"/>
      <c r="E3986" s="47"/>
      <c r="F3986" s="47"/>
    </row>
    <row r="3987" ht="15.75" customHeight="1">
      <c r="A3987" s="46"/>
      <c r="B3987" s="47"/>
      <c r="C3987" s="47"/>
      <c r="D3987" s="47"/>
      <c r="E3987" s="47"/>
      <c r="F3987" s="47"/>
    </row>
    <row r="3988" ht="15.75" customHeight="1">
      <c r="A3988" s="46"/>
      <c r="B3988" s="47"/>
      <c r="C3988" s="47"/>
      <c r="D3988" s="47"/>
      <c r="E3988" s="47"/>
      <c r="F3988" s="47"/>
    </row>
    <row r="3989" ht="15.75" customHeight="1">
      <c r="A3989" s="46"/>
      <c r="B3989" s="47"/>
      <c r="C3989" s="47"/>
      <c r="D3989" s="47"/>
      <c r="E3989" s="47"/>
      <c r="F3989" s="47"/>
    </row>
    <row r="3990" ht="15.75" customHeight="1">
      <c r="A3990" s="46"/>
      <c r="B3990" s="47"/>
      <c r="C3990" s="47"/>
      <c r="D3990" s="47"/>
      <c r="E3990" s="47"/>
      <c r="F3990" s="47"/>
    </row>
    <row r="3991" ht="15.75" customHeight="1">
      <c r="A3991" s="46"/>
      <c r="B3991" s="47"/>
      <c r="C3991" s="47"/>
      <c r="D3991" s="47"/>
      <c r="E3991" s="47"/>
      <c r="F3991" s="47"/>
    </row>
    <row r="3992" ht="15.75" customHeight="1">
      <c r="A3992" s="46"/>
      <c r="B3992" s="47"/>
      <c r="C3992" s="47"/>
      <c r="D3992" s="47"/>
      <c r="E3992" s="47"/>
      <c r="F3992" s="47"/>
    </row>
    <row r="3993" ht="15.75" customHeight="1">
      <c r="A3993" s="46"/>
      <c r="B3993" s="47"/>
      <c r="C3993" s="47"/>
      <c r="D3993" s="47"/>
      <c r="E3993" s="47"/>
      <c r="F3993" s="47"/>
    </row>
    <row r="3994" ht="15.75" customHeight="1">
      <c r="A3994" s="46"/>
      <c r="B3994" s="47"/>
      <c r="C3994" s="47"/>
      <c r="D3994" s="47"/>
      <c r="E3994" s="47"/>
      <c r="F3994" s="47"/>
    </row>
    <row r="3995" ht="15.75" customHeight="1">
      <c r="A3995" s="46"/>
      <c r="B3995" s="47"/>
      <c r="C3995" s="47"/>
      <c r="D3995" s="47"/>
      <c r="E3995" s="47"/>
      <c r="F3995" s="47"/>
    </row>
    <row r="3996" ht="15.75" customHeight="1">
      <c r="A3996" s="46"/>
      <c r="B3996" s="47"/>
      <c r="C3996" s="47"/>
      <c r="D3996" s="47"/>
      <c r="E3996" s="47"/>
      <c r="F3996" s="47"/>
    </row>
    <row r="3997" ht="15.75" customHeight="1">
      <c r="A3997" s="46"/>
      <c r="B3997" s="47"/>
      <c r="C3997" s="47"/>
      <c r="D3997" s="47"/>
      <c r="E3997" s="47"/>
      <c r="F3997" s="47"/>
    </row>
    <row r="3998" ht="15.75" customHeight="1">
      <c r="A3998" s="46"/>
      <c r="B3998" s="47"/>
      <c r="C3998" s="47"/>
      <c r="D3998" s="47"/>
      <c r="E3998" s="47"/>
      <c r="F3998" s="47"/>
    </row>
    <row r="3999" ht="15.75" customHeight="1">
      <c r="A3999" s="46"/>
      <c r="B3999" s="47"/>
      <c r="C3999" s="47"/>
      <c r="D3999" s="47"/>
      <c r="E3999" s="47"/>
      <c r="F3999" s="47"/>
    </row>
    <row r="4000" ht="15.75" customHeight="1">
      <c r="A4000" s="46"/>
      <c r="B4000" s="47"/>
      <c r="C4000" s="47"/>
      <c r="D4000" s="47"/>
      <c r="E4000" s="47"/>
      <c r="F4000" s="47"/>
    </row>
    <row r="4001" ht="15.75" customHeight="1">
      <c r="A4001" s="46"/>
      <c r="B4001" s="47"/>
      <c r="C4001" s="47"/>
      <c r="D4001" s="47"/>
      <c r="E4001" s="47"/>
      <c r="F4001" s="47"/>
    </row>
    <row r="4002" ht="15.75" customHeight="1">
      <c r="A4002" s="46"/>
      <c r="B4002" s="47"/>
      <c r="C4002" s="47"/>
      <c r="D4002" s="47"/>
      <c r="E4002" s="47"/>
      <c r="F4002" s="47"/>
    </row>
    <row r="4003" ht="15.75" customHeight="1">
      <c r="A4003" s="46"/>
      <c r="B4003" s="47"/>
      <c r="C4003" s="47"/>
      <c r="D4003" s="47"/>
      <c r="E4003" s="47"/>
      <c r="F4003" s="47"/>
    </row>
    <row r="4004" ht="15.75" customHeight="1">
      <c r="A4004" s="46"/>
      <c r="B4004" s="47"/>
      <c r="C4004" s="47"/>
      <c r="D4004" s="47"/>
      <c r="E4004" s="47"/>
      <c r="F4004" s="47"/>
    </row>
    <row r="4005" ht="15.75" customHeight="1">
      <c r="A4005" s="46"/>
      <c r="B4005" s="47"/>
      <c r="C4005" s="47"/>
      <c r="D4005" s="47"/>
      <c r="E4005" s="47"/>
      <c r="F4005" s="47"/>
    </row>
    <row r="4006" ht="15.75" customHeight="1">
      <c r="A4006" s="46"/>
      <c r="B4006" s="47"/>
      <c r="C4006" s="47"/>
      <c r="D4006" s="47"/>
      <c r="E4006" s="47"/>
      <c r="F4006" s="47"/>
    </row>
    <row r="4007" ht="15.75" customHeight="1">
      <c r="A4007" s="46"/>
      <c r="B4007" s="47"/>
      <c r="C4007" s="47"/>
      <c r="D4007" s="47"/>
      <c r="E4007" s="47"/>
      <c r="F4007" s="47"/>
    </row>
    <row r="4008" ht="15.75" customHeight="1">
      <c r="A4008" s="46"/>
      <c r="B4008" s="47"/>
      <c r="C4008" s="47"/>
      <c r="D4008" s="47"/>
      <c r="E4008" s="47"/>
      <c r="F4008" s="47"/>
    </row>
    <row r="4009" ht="15.75" customHeight="1">
      <c r="A4009" s="46"/>
      <c r="B4009" s="47"/>
      <c r="C4009" s="47"/>
      <c r="D4009" s="47"/>
      <c r="E4009" s="47"/>
      <c r="F4009" s="47"/>
    </row>
    <row r="4010" ht="15.75" customHeight="1">
      <c r="A4010" s="46"/>
      <c r="B4010" s="47"/>
      <c r="C4010" s="47"/>
      <c r="D4010" s="47"/>
      <c r="E4010" s="47"/>
      <c r="F4010" s="47"/>
    </row>
    <row r="4011" ht="15.75" customHeight="1">
      <c r="A4011" s="46"/>
      <c r="B4011" s="47"/>
      <c r="C4011" s="47"/>
      <c r="D4011" s="47"/>
      <c r="E4011" s="47"/>
      <c r="F4011" s="47"/>
    </row>
    <row r="4012" ht="15.75" customHeight="1">
      <c r="A4012" s="46"/>
      <c r="B4012" s="47"/>
      <c r="C4012" s="47"/>
      <c r="D4012" s="47"/>
      <c r="E4012" s="47"/>
      <c r="F4012" s="47"/>
    </row>
    <row r="4013" ht="15.75" customHeight="1">
      <c r="A4013" s="46"/>
      <c r="B4013" s="47"/>
      <c r="C4013" s="47"/>
      <c r="D4013" s="47"/>
      <c r="E4013" s="47"/>
      <c r="F4013" s="47"/>
    </row>
    <row r="4014" ht="15.75" customHeight="1">
      <c r="A4014" s="46"/>
      <c r="B4014" s="47"/>
      <c r="C4014" s="47"/>
      <c r="D4014" s="47"/>
      <c r="E4014" s="47"/>
      <c r="F4014" s="47"/>
    </row>
    <row r="4015" ht="15.75" customHeight="1">
      <c r="A4015" s="46"/>
      <c r="B4015" s="47"/>
      <c r="C4015" s="47"/>
      <c r="D4015" s="47"/>
      <c r="E4015" s="47"/>
      <c r="F4015" s="47"/>
    </row>
    <row r="4016" ht="15.75" customHeight="1">
      <c r="A4016" s="46"/>
      <c r="B4016" s="47"/>
      <c r="C4016" s="47"/>
      <c r="D4016" s="47"/>
      <c r="E4016" s="47"/>
      <c r="F4016" s="47"/>
    </row>
    <row r="4017" ht="15.75" customHeight="1">
      <c r="A4017" s="46"/>
      <c r="B4017" s="47"/>
      <c r="C4017" s="47"/>
      <c r="D4017" s="47"/>
      <c r="E4017" s="47"/>
      <c r="F4017" s="47"/>
    </row>
    <row r="4018" ht="15.75" customHeight="1">
      <c r="A4018" s="46"/>
      <c r="B4018" s="47"/>
      <c r="C4018" s="47"/>
      <c r="D4018" s="47"/>
      <c r="E4018" s="47"/>
      <c r="F4018" s="47"/>
    </row>
    <row r="4019" ht="15.75" customHeight="1">
      <c r="A4019" s="46"/>
      <c r="B4019" s="47"/>
      <c r="C4019" s="47"/>
      <c r="D4019" s="47"/>
      <c r="E4019" s="47"/>
      <c r="F4019" s="47"/>
    </row>
    <row r="4020" ht="15.75" customHeight="1">
      <c r="A4020" s="46"/>
      <c r="B4020" s="47"/>
      <c r="C4020" s="47"/>
      <c r="D4020" s="47"/>
      <c r="E4020" s="47"/>
      <c r="F4020" s="47"/>
    </row>
    <row r="4021" ht="15.75" customHeight="1">
      <c r="A4021" s="46"/>
      <c r="B4021" s="47"/>
      <c r="C4021" s="47"/>
      <c r="D4021" s="47"/>
      <c r="E4021" s="47"/>
      <c r="F4021" s="47"/>
    </row>
    <row r="4022" ht="15.75" customHeight="1">
      <c r="A4022" s="46"/>
      <c r="B4022" s="47"/>
      <c r="C4022" s="47"/>
      <c r="D4022" s="47"/>
      <c r="E4022" s="47"/>
      <c r="F4022" s="47"/>
    </row>
    <row r="4023" ht="15.75" customHeight="1">
      <c r="A4023" s="46"/>
      <c r="B4023" s="47"/>
      <c r="C4023" s="47"/>
      <c r="D4023" s="47"/>
      <c r="E4023" s="47"/>
      <c r="F4023" s="47"/>
    </row>
    <row r="4024" ht="15.75" customHeight="1">
      <c r="A4024" s="46"/>
      <c r="B4024" s="47"/>
      <c r="C4024" s="47"/>
      <c r="D4024" s="47"/>
      <c r="E4024" s="47"/>
      <c r="F4024" s="47"/>
    </row>
    <row r="4025" ht="15.75" customHeight="1">
      <c r="A4025" s="46"/>
      <c r="B4025" s="47"/>
      <c r="C4025" s="47"/>
      <c r="D4025" s="47"/>
      <c r="E4025" s="47"/>
      <c r="F4025" s="47"/>
    </row>
    <row r="4026" ht="15.75" customHeight="1">
      <c r="A4026" s="46"/>
      <c r="B4026" s="47"/>
      <c r="C4026" s="47"/>
      <c r="D4026" s="47"/>
      <c r="E4026" s="47"/>
      <c r="F4026" s="47"/>
    </row>
    <row r="4027" ht="15.75" customHeight="1">
      <c r="A4027" s="46"/>
      <c r="B4027" s="47"/>
      <c r="C4027" s="47"/>
      <c r="D4027" s="47"/>
      <c r="E4027" s="47"/>
      <c r="F4027" s="47"/>
    </row>
    <row r="4028" ht="15.75" customHeight="1">
      <c r="A4028" s="46"/>
      <c r="B4028" s="47"/>
      <c r="C4028" s="47"/>
      <c r="D4028" s="47"/>
      <c r="E4028" s="47"/>
      <c r="F4028" s="47"/>
    </row>
    <row r="4029" ht="15.75" customHeight="1">
      <c r="A4029" s="46"/>
      <c r="B4029" s="47"/>
      <c r="C4029" s="47"/>
      <c r="D4029" s="47"/>
      <c r="E4029" s="47"/>
      <c r="F4029" s="47"/>
    </row>
    <row r="4030" ht="15.75" customHeight="1">
      <c r="A4030" s="46"/>
      <c r="B4030" s="47"/>
      <c r="C4030" s="47"/>
      <c r="D4030" s="47"/>
      <c r="E4030" s="47"/>
      <c r="F4030" s="47"/>
    </row>
    <row r="4031" ht="15.75" customHeight="1">
      <c r="A4031" s="46"/>
      <c r="B4031" s="47"/>
      <c r="C4031" s="47"/>
      <c r="D4031" s="47"/>
      <c r="E4031" s="47"/>
      <c r="F4031" s="47"/>
    </row>
    <row r="4032" ht="15.75" customHeight="1">
      <c r="A4032" s="46"/>
      <c r="B4032" s="47"/>
      <c r="C4032" s="47"/>
      <c r="D4032" s="47"/>
      <c r="E4032" s="47"/>
      <c r="F4032" s="47"/>
    </row>
    <row r="4033" ht="15.75" customHeight="1">
      <c r="A4033" s="46"/>
      <c r="B4033" s="47"/>
      <c r="C4033" s="47"/>
      <c r="D4033" s="47"/>
      <c r="E4033" s="47"/>
      <c r="F4033" s="47"/>
    </row>
    <row r="4034" ht="15.75" customHeight="1">
      <c r="A4034" s="46"/>
      <c r="B4034" s="47"/>
      <c r="C4034" s="47"/>
      <c r="D4034" s="47"/>
      <c r="E4034" s="47"/>
      <c r="F4034" s="47"/>
    </row>
    <row r="4035" ht="15.75" customHeight="1">
      <c r="A4035" s="46"/>
      <c r="B4035" s="47"/>
      <c r="C4035" s="47"/>
      <c r="D4035" s="47"/>
      <c r="E4035" s="47"/>
      <c r="F4035" s="47"/>
    </row>
    <row r="4036" ht="15.75" customHeight="1">
      <c r="A4036" s="46"/>
      <c r="B4036" s="47"/>
      <c r="C4036" s="47"/>
      <c r="D4036" s="47"/>
      <c r="E4036" s="47"/>
      <c r="F4036" s="47"/>
    </row>
    <row r="4037" ht="15.75" customHeight="1">
      <c r="A4037" s="46"/>
      <c r="B4037" s="47"/>
      <c r="C4037" s="47"/>
      <c r="D4037" s="47"/>
      <c r="E4037" s="47"/>
      <c r="F4037" s="47"/>
    </row>
    <row r="4038" ht="15.75" customHeight="1">
      <c r="A4038" s="46"/>
      <c r="B4038" s="47"/>
      <c r="C4038" s="47"/>
      <c r="D4038" s="47"/>
      <c r="E4038" s="47"/>
      <c r="F4038" s="47"/>
    </row>
    <row r="4039" ht="15.75" customHeight="1">
      <c r="A4039" s="46"/>
      <c r="B4039" s="47"/>
      <c r="C4039" s="47"/>
      <c r="D4039" s="47"/>
      <c r="E4039" s="47"/>
      <c r="F4039" s="47"/>
    </row>
    <row r="4040" ht="15.75" customHeight="1">
      <c r="A4040" s="46"/>
      <c r="B4040" s="47"/>
      <c r="C4040" s="47"/>
      <c r="D4040" s="47"/>
      <c r="E4040" s="47"/>
      <c r="F4040" s="47"/>
    </row>
    <row r="4041" ht="15.75" customHeight="1">
      <c r="A4041" s="46"/>
      <c r="B4041" s="47"/>
      <c r="C4041" s="47"/>
      <c r="D4041" s="47"/>
      <c r="E4041" s="47"/>
      <c r="F4041" s="47"/>
    </row>
    <row r="4042" ht="15.75" customHeight="1">
      <c r="A4042" s="46"/>
      <c r="B4042" s="47"/>
      <c r="C4042" s="47"/>
      <c r="D4042" s="47"/>
      <c r="E4042" s="47"/>
      <c r="F4042" s="47"/>
    </row>
    <row r="4043" ht="15.75" customHeight="1">
      <c r="A4043" s="46"/>
      <c r="B4043" s="47"/>
      <c r="C4043" s="47"/>
      <c r="D4043" s="47"/>
      <c r="E4043" s="47"/>
      <c r="F4043" s="47"/>
    </row>
    <row r="4044" ht="15.75" customHeight="1">
      <c r="A4044" s="46"/>
      <c r="B4044" s="47"/>
      <c r="C4044" s="47"/>
      <c r="D4044" s="47"/>
      <c r="E4044" s="47"/>
      <c r="F4044" s="47"/>
    </row>
    <row r="4045" ht="15.75" customHeight="1">
      <c r="A4045" s="46"/>
      <c r="B4045" s="47"/>
      <c r="C4045" s="47"/>
      <c r="D4045" s="47"/>
      <c r="E4045" s="47"/>
      <c r="F4045" s="47"/>
    </row>
    <row r="4046" ht="15.75" customHeight="1">
      <c r="A4046" s="46"/>
      <c r="B4046" s="47"/>
      <c r="C4046" s="47"/>
      <c r="D4046" s="47"/>
      <c r="E4046" s="47"/>
      <c r="F4046" s="47"/>
    </row>
    <row r="4047" ht="15.75" customHeight="1">
      <c r="A4047" s="46"/>
      <c r="B4047" s="47"/>
      <c r="C4047" s="47"/>
      <c r="D4047" s="47"/>
      <c r="E4047" s="47"/>
      <c r="F4047" s="47"/>
    </row>
    <row r="4048" ht="15.75" customHeight="1">
      <c r="A4048" s="46"/>
      <c r="B4048" s="47"/>
      <c r="C4048" s="47"/>
      <c r="D4048" s="47"/>
      <c r="E4048" s="47"/>
      <c r="F4048" s="47"/>
    </row>
    <row r="4049" ht="15.75" customHeight="1">
      <c r="A4049" s="46"/>
      <c r="B4049" s="47"/>
      <c r="C4049" s="47"/>
      <c r="D4049" s="47"/>
      <c r="E4049" s="47"/>
      <c r="F4049" s="47"/>
    </row>
    <row r="4050" ht="15.75" customHeight="1">
      <c r="A4050" s="46"/>
      <c r="B4050" s="47"/>
      <c r="C4050" s="47"/>
      <c r="D4050" s="47"/>
      <c r="E4050" s="47"/>
      <c r="F4050" s="47"/>
    </row>
    <row r="4051" ht="15.75" customHeight="1">
      <c r="A4051" s="46"/>
      <c r="B4051" s="47"/>
      <c r="C4051" s="47"/>
      <c r="D4051" s="47"/>
      <c r="E4051" s="47"/>
      <c r="F4051" s="47"/>
    </row>
    <row r="4052" ht="15.75" customHeight="1">
      <c r="A4052" s="46"/>
      <c r="B4052" s="47"/>
      <c r="C4052" s="47"/>
      <c r="D4052" s="47"/>
      <c r="E4052" s="47"/>
      <c r="F4052" s="47"/>
    </row>
    <row r="4053" ht="15.75" customHeight="1">
      <c r="A4053" s="46"/>
      <c r="B4053" s="47"/>
      <c r="C4053" s="47"/>
      <c r="D4053" s="47"/>
      <c r="E4053" s="47"/>
      <c r="F4053" s="47"/>
    </row>
    <row r="4054" ht="15.75" customHeight="1">
      <c r="A4054" s="46"/>
      <c r="B4054" s="47"/>
      <c r="C4054" s="47"/>
      <c r="D4054" s="47"/>
      <c r="E4054" s="47"/>
      <c r="F4054" s="47"/>
    </row>
    <row r="4055" ht="15.75" customHeight="1">
      <c r="A4055" s="46"/>
      <c r="B4055" s="47"/>
      <c r="C4055" s="47"/>
      <c r="D4055" s="47"/>
      <c r="E4055" s="47"/>
      <c r="F4055" s="47"/>
    </row>
    <row r="4056" ht="15.75" customHeight="1">
      <c r="A4056" s="46"/>
      <c r="B4056" s="47"/>
      <c r="C4056" s="47"/>
      <c r="D4056" s="47"/>
      <c r="E4056" s="47"/>
      <c r="F4056" s="47"/>
    </row>
    <row r="4057" ht="15.75" customHeight="1">
      <c r="A4057" s="46"/>
      <c r="B4057" s="47"/>
      <c r="C4057" s="47"/>
      <c r="D4057" s="47"/>
      <c r="E4057" s="47"/>
      <c r="F4057" s="47"/>
    </row>
    <row r="4058" ht="15.75" customHeight="1">
      <c r="A4058" s="46"/>
      <c r="B4058" s="47"/>
      <c r="C4058" s="47"/>
      <c r="D4058" s="47"/>
      <c r="E4058" s="47"/>
      <c r="F4058" s="47"/>
    </row>
    <row r="4059" ht="15.75" customHeight="1">
      <c r="A4059" s="46"/>
      <c r="B4059" s="47"/>
      <c r="C4059" s="47"/>
      <c r="D4059" s="47"/>
      <c r="E4059" s="47"/>
      <c r="F4059" s="47"/>
    </row>
    <row r="4060" ht="15.75" customHeight="1">
      <c r="A4060" s="46"/>
      <c r="B4060" s="47"/>
      <c r="C4060" s="47"/>
      <c r="D4060" s="47"/>
      <c r="E4060" s="47"/>
      <c r="F4060" s="47"/>
    </row>
    <row r="4061" ht="15.75" customHeight="1">
      <c r="A4061" s="46"/>
      <c r="B4061" s="47"/>
      <c r="C4061" s="47"/>
      <c r="D4061" s="47"/>
      <c r="E4061" s="47"/>
      <c r="F4061" s="47"/>
    </row>
    <row r="4062" ht="15.75" customHeight="1">
      <c r="A4062" s="46"/>
      <c r="B4062" s="47"/>
      <c r="C4062" s="47"/>
      <c r="D4062" s="47"/>
      <c r="E4062" s="47"/>
      <c r="F4062" s="47"/>
    </row>
    <row r="4063" ht="15.75" customHeight="1">
      <c r="A4063" s="46"/>
      <c r="B4063" s="47"/>
      <c r="C4063" s="47"/>
      <c r="D4063" s="47"/>
      <c r="E4063" s="47"/>
      <c r="F4063" s="47"/>
    </row>
    <row r="4064" ht="15.75" customHeight="1">
      <c r="A4064" s="46"/>
      <c r="B4064" s="47"/>
      <c r="C4064" s="47"/>
      <c r="D4064" s="47"/>
      <c r="E4064" s="47"/>
      <c r="F4064" s="47"/>
    </row>
    <row r="4065" ht="15.75" customHeight="1">
      <c r="A4065" s="46"/>
      <c r="B4065" s="47"/>
      <c r="C4065" s="47"/>
      <c r="D4065" s="47"/>
      <c r="E4065" s="47"/>
      <c r="F4065" s="47"/>
    </row>
    <row r="4066" ht="15.75" customHeight="1">
      <c r="A4066" s="46"/>
      <c r="B4066" s="47"/>
      <c r="C4066" s="47"/>
      <c r="D4066" s="47"/>
      <c r="E4066" s="47"/>
      <c r="F4066" s="47"/>
    </row>
    <row r="4067" ht="15.75" customHeight="1">
      <c r="A4067" s="46"/>
      <c r="B4067" s="47"/>
      <c r="C4067" s="47"/>
      <c r="D4067" s="47"/>
      <c r="E4067" s="47"/>
      <c r="F4067" s="47"/>
    </row>
    <row r="4068" ht="15.75" customHeight="1">
      <c r="A4068" s="46"/>
      <c r="B4068" s="47"/>
      <c r="C4068" s="47"/>
      <c r="D4068" s="47"/>
      <c r="E4068" s="47"/>
      <c r="F4068" s="47"/>
    </row>
    <row r="4069" ht="15.75" customHeight="1">
      <c r="A4069" s="46"/>
      <c r="B4069" s="47"/>
      <c r="C4069" s="47"/>
      <c r="D4069" s="47"/>
      <c r="E4069" s="47"/>
      <c r="F4069" s="47"/>
    </row>
    <row r="4070" ht="15.75" customHeight="1">
      <c r="A4070" s="46"/>
      <c r="B4070" s="47"/>
      <c r="C4070" s="47"/>
      <c r="D4070" s="47"/>
      <c r="E4070" s="47"/>
      <c r="F4070" s="47"/>
    </row>
    <row r="4071" ht="15.75" customHeight="1">
      <c r="A4071" s="46"/>
      <c r="B4071" s="47"/>
      <c r="C4071" s="47"/>
      <c r="D4071" s="47"/>
      <c r="E4071" s="47"/>
      <c r="F4071" s="47"/>
    </row>
    <row r="4072" ht="15.75" customHeight="1">
      <c r="A4072" s="46"/>
      <c r="B4072" s="47"/>
      <c r="C4072" s="47"/>
      <c r="D4072" s="47"/>
      <c r="E4072" s="47"/>
      <c r="F4072" s="47"/>
    </row>
    <row r="4073" ht="15.75" customHeight="1">
      <c r="A4073" s="46"/>
      <c r="B4073" s="47"/>
      <c r="C4073" s="47"/>
      <c r="D4073" s="47"/>
      <c r="E4073" s="47"/>
      <c r="F4073" s="47"/>
    </row>
    <row r="4074" ht="15.75" customHeight="1">
      <c r="A4074" s="46"/>
      <c r="B4074" s="47"/>
      <c r="C4074" s="47"/>
      <c r="D4074" s="47"/>
      <c r="E4074" s="47"/>
      <c r="F4074" s="47"/>
    </row>
    <row r="4075" ht="15.75" customHeight="1">
      <c r="A4075" s="46"/>
      <c r="B4075" s="47"/>
      <c r="C4075" s="47"/>
      <c r="D4075" s="47"/>
      <c r="E4075" s="47"/>
      <c r="F4075" s="47"/>
    </row>
    <row r="4076" ht="15.75" customHeight="1">
      <c r="A4076" s="46"/>
      <c r="B4076" s="47"/>
      <c r="C4076" s="47"/>
      <c r="D4076" s="47"/>
      <c r="E4076" s="47"/>
      <c r="F4076" s="47"/>
    </row>
    <row r="4077" ht="15.75" customHeight="1">
      <c r="A4077" s="46"/>
      <c r="B4077" s="47"/>
      <c r="C4077" s="47"/>
      <c r="D4077" s="47"/>
      <c r="E4077" s="47"/>
      <c r="F4077" s="47"/>
    </row>
    <row r="4078" ht="15.75" customHeight="1">
      <c r="A4078" s="46"/>
      <c r="B4078" s="47"/>
      <c r="C4078" s="47"/>
      <c r="D4078" s="47"/>
      <c r="E4078" s="47"/>
      <c r="F4078" s="47"/>
    </row>
    <row r="4079" ht="15.75" customHeight="1">
      <c r="A4079" s="46"/>
      <c r="B4079" s="47"/>
      <c r="C4079" s="47"/>
      <c r="D4079" s="47"/>
      <c r="E4079" s="47"/>
      <c r="F4079" s="47"/>
    </row>
    <row r="4080" ht="15.75" customHeight="1">
      <c r="A4080" s="46"/>
      <c r="B4080" s="47"/>
      <c r="C4080" s="47"/>
      <c r="D4080" s="47"/>
      <c r="E4080" s="47"/>
      <c r="F4080" s="47"/>
    </row>
    <row r="4081" ht="15.75" customHeight="1">
      <c r="A4081" s="46"/>
      <c r="B4081" s="47"/>
      <c r="C4081" s="47"/>
      <c r="D4081" s="47"/>
      <c r="E4081" s="47"/>
      <c r="F4081" s="47"/>
    </row>
    <row r="4082" ht="15.75" customHeight="1">
      <c r="A4082" s="46"/>
      <c r="B4082" s="47"/>
      <c r="C4082" s="47"/>
      <c r="D4082" s="47"/>
      <c r="E4082" s="47"/>
      <c r="F4082" s="47"/>
    </row>
    <row r="4083" ht="15.75" customHeight="1">
      <c r="A4083" s="46"/>
      <c r="B4083" s="47"/>
      <c r="C4083" s="47"/>
      <c r="D4083" s="47"/>
      <c r="E4083" s="47"/>
      <c r="F4083" s="47"/>
    </row>
    <row r="4084" ht="15.75" customHeight="1">
      <c r="A4084" s="46"/>
      <c r="B4084" s="47"/>
      <c r="C4084" s="47"/>
      <c r="D4084" s="47"/>
      <c r="E4084" s="47"/>
      <c r="F4084" s="47"/>
    </row>
    <row r="4085" ht="15.75" customHeight="1">
      <c r="A4085" s="46"/>
      <c r="B4085" s="47"/>
      <c r="C4085" s="47"/>
      <c r="D4085" s="47"/>
      <c r="E4085" s="47"/>
      <c r="F4085" s="47"/>
    </row>
    <row r="4086" ht="15.75" customHeight="1">
      <c r="A4086" s="46"/>
      <c r="B4086" s="47"/>
      <c r="C4086" s="47"/>
      <c r="D4086" s="47"/>
      <c r="E4086" s="47"/>
      <c r="F4086" s="47"/>
    </row>
    <row r="4087" ht="15.75" customHeight="1">
      <c r="A4087" s="46"/>
      <c r="B4087" s="47"/>
      <c r="C4087" s="47"/>
      <c r="D4087" s="47"/>
      <c r="E4087" s="47"/>
      <c r="F4087" s="47"/>
    </row>
    <row r="4088" ht="15.75" customHeight="1">
      <c r="A4088" s="46"/>
      <c r="B4088" s="47"/>
      <c r="C4088" s="47"/>
      <c r="D4088" s="47"/>
      <c r="E4088" s="47"/>
      <c r="F4088" s="47"/>
    </row>
    <row r="4089" ht="15.75" customHeight="1">
      <c r="A4089" s="46"/>
      <c r="B4089" s="47"/>
      <c r="C4089" s="47"/>
      <c r="D4089" s="47"/>
      <c r="E4089" s="47"/>
      <c r="F4089" s="47"/>
    </row>
    <row r="4090" ht="15.75" customHeight="1">
      <c r="A4090" s="46"/>
      <c r="B4090" s="47"/>
      <c r="C4090" s="47"/>
      <c r="D4090" s="47"/>
      <c r="E4090" s="47"/>
      <c r="F4090" s="47"/>
    </row>
    <row r="4091" ht="15.75" customHeight="1">
      <c r="A4091" s="46"/>
      <c r="B4091" s="47"/>
      <c r="C4091" s="47"/>
      <c r="D4091" s="47"/>
      <c r="E4091" s="47"/>
      <c r="F4091" s="47"/>
    </row>
    <row r="4092" ht="15.75" customHeight="1">
      <c r="A4092" s="46"/>
      <c r="B4092" s="47"/>
      <c r="C4092" s="47"/>
      <c r="D4092" s="47"/>
      <c r="E4092" s="47"/>
      <c r="F4092" s="47"/>
    </row>
    <row r="4093" ht="15.75" customHeight="1">
      <c r="A4093" s="46"/>
      <c r="B4093" s="47"/>
      <c r="C4093" s="47"/>
      <c r="D4093" s="47"/>
      <c r="E4093" s="47"/>
      <c r="F4093" s="47"/>
    </row>
    <row r="4094" ht="15.75" customHeight="1">
      <c r="A4094" s="46"/>
      <c r="B4094" s="47"/>
      <c r="C4094" s="47"/>
      <c r="D4094" s="47"/>
      <c r="E4094" s="47"/>
      <c r="F4094" s="47"/>
    </row>
    <row r="4095" ht="15.75" customHeight="1">
      <c r="A4095" s="46"/>
      <c r="B4095" s="47"/>
      <c r="C4095" s="47"/>
      <c r="D4095" s="47"/>
      <c r="E4095" s="47"/>
      <c r="F4095" s="47"/>
    </row>
    <row r="4096" ht="15.75" customHeight="1">
      <c r="A4096" s="46"/>
      <c r="B4096" s="47"/>
      <c r="C4096" s="47"/>
      <c r="D4096" s="47"/>
      <c r="E4096" s="47"/>
      <c r="F4096" s="47"/>
    </row>
    <row r="4097" ht="15.75" customHeight="1">
      <c r="A4097" s="46"/>
      <c r="B4097" s="47"/>
      <c r="C4097" s="47"/>
      <c r="D4097" s="47"/>
      <c r="E4097" s="47"/>
      <c r="F4097" s="47"/>
    </row>
    <row r="4098" ht="15.75" customHeight="1">
      <c r="A4098" s="46"/>
      <c r="B4098" s="47"/>
      <c r="C4098" s="47"/>
      <c r="D4098" s="47"/>
      <c r="E4098" s="47"/>
      <c r="F4098" s="47"/>
    </row>
    <row r="4099" ht="15.75" customHeight="1">
      <c r="A4099" s="46"/>
      <c r="B4099" s="47"/>
      <c r="C4099" s="47"/>
      <c r="D4099" s="47"/>
      <c r="E4099" s="47"/>
      <c r="F4099" s="47"/>
    </row>
    <row r="4100" ht="15.75" customHeight="1">
      <c r="A4100" s="46"/>
      <c r="B4100" s="47"/>
      <c r="C4100" s="47"/>
      <c r="D4100" s="47"/>
      <c r="E4100" s="47"/>
      <c r="F4100" s="47"/>
    </row>
    <row r="4101" ht="15.75" customHeight="1">
      <c r="A4101" s="46"/>
      <c r="B4101" s="47"/>
      <c r="C4101" s="47"/>
      <c r="D4101" s="47"/>
      <c r="E4101" s="47"/>
      <c r="F4101" s="47"/>
    </row>
    <row r="4102" ht="15.75" customHeight="1">
      <c r="A4102" s="46"/>
      <c r="B4102" s="47"/>
      <c r="C4102" s="47"/>
      <c r="D4102" s="47"/>
      <c r="E4102" s="47"/>
      <c r="F4102" s="47"/>
    </row>
    <row r="4103" ht="15.75" customHeight="1">
      <c r="A4103" s="46"/>
      <c r="B4103" s="47"/>
      <c r="C4103" s="47"/>
      <c r="D4103" s="47"/>
      <c r="E4103" s="47"/>
      <c r="F4103" s="47"/>
    </row>
    <row r="4104" ht="15.75" customHeight="1">
      <c r="A4104" s="46"/>
      <c r="B4104" s="47"/>
      <c r="C4104" s="47"/>
      <c r="D4104" s="47"/>
      <c r="E4104" s="47"/>
      <c r="F4104" s="47"/>
    </row>
    <row r="4105" ht="15.75" customHeight="1">
      <c r="A4105" s="46"/>
      <c r="B4105" s="47"/>
      <c r="C4105" s="47"/>
      <c r="D4105" s="47"/>
      <c r="E4105" s="47"/>
      <c r="F4105" s="47"/>
    </row>
    <row r="4106" ht="15.75" customHeight="1">
      <c r="A4106" s="46"/>
      <c r="B4106" s="47"/>
      <c r="C4106" s="47"/>
      <c r="D4106" s="47"/>
      <c r="E4106" s="47"/>
      <c r="F4106" s="47"/>
    </row>
    <row r="4107" ht="15.75" customHeight="1">
      <c r="A4107" s="46"/>
      <c r="B4107" s="47"/>
      <c r="C4107" s="47"/>
      <c r="D4107" s="47"/>
      <c r="E4107" s="47"/>
      <c r="F4107" s="47"/>
    </row>
    <row r="4108" ht="15.75" customHeight="1">
      <c r="A4108" s="46"/>
      <c r="B4108" s="47"/>
      <c r="C4108" s="47"/>
      <c r="D4108" s="47"/>
      <c r="E4108" s="47"/>
      <c r="F4108" s="47"/>
    </row>
    <row r="4109" ht="15.75" customHeight="1">
      <c r="A4109" s="46"/>
      <c r="B4109" s="47"/>
      <c r="C4109" s="47"/>
      <c r="D4109" s="47"/>
      <c r="E4109" s="47"/>
      <c r="F4109" s="47"/>
    </row>
    <row r="4110" ht="15.75" customHeight="1">
      <c r="A4110" s="46"/>
      <c r="B4110" s="47"/>
      <c r="C4110" s="47"/>
      <c r="D4110" s="47"/>
      <c r="E4110" s="47"/>
      <c r="F4110" s="47"/>
    </row>
    <row r="4111" ht="15.75" customHeight="1">
      <c r="A4111" s="46"/>
      <c r="B4111" s="47"/>
      <c r="C4111" s="47"/>
      <c r="D4111" s="47"/>
      <c r="E4111" s="47"/>
      <c r="F4111" s="47"/>
    </row>
    <row r="4112" ht="15.75" customHeight="1">
      <c r="A4112" s="46"/>
      <c r="B4112" s="47"/>
      <c r="C4112" s="47"/>
      <c r="D4112" s="47"/>
      <c r="E4112" s="47"/>
      <c r="F4112" s="47"/>
    </row>
    <row r="4113" ht="15.75" customHeight="1">
      <c r="A4113" s="46"/>
      <c r="B4113" s="47"/>
      <c r="C4113" s="47"/>
      <c r="D4113" s="47"/>
      <c r="E4113" s="47"/>
      <c r="F4113" s="47"/>
    </row>
    <row r="4114" ht="15.75" customHeight="1">
      <c r="A4114" s="46"/>
      <c r="B4114" s="47"/>
      <c r="C4114" s="47"/>
      <c r="D4114" s="47"/>
      <c r="E4114" s="47"/>
      <c r="F4114" s="47"/>
    </row>
    <row r="4115" ht="15.75" customHeight="1">
      <c r="A4115" s="46"/>
      <c r="B4115" s="47"/>
      <c r="C4115" s="47"/>
      <c r="D4115" s="47"/>
      <c r="E4115" s="47"/>
      <c r="F4115" s="47"/>
    </row>
    <row r="4116" ht="15.75" customHeight="1">
      <c r="A4116" s="46"/>
      <c r="B4116" s="47"/>
      <c r="C4116" s="47"/>
      <c r="D4116" s="47"/>
      <c r="E4116" s="47"/>
      <c r="F4116" s="47"/>
    </row>
    <row r="4117" ht="15.75" customHeight="1">
      <c r="A4117" s="46"/>
      <c r="B4117" s="47"/>
      <c r="C4117" s="47"/>
      <c r="D4117" s="47"/>
      <c r="E4117" s="47"/>
      <c r="F4117" s="47"/>
    </row>
    <row r="4118" ht="15.75" customHeight="1">
      <c r="A4118" s="46"/>
      <c r="B4118" s="47"/>
      <c r="C4118" s="47"/>
      <c r="D4118" s="47"/>
      <c r="E4118" s="47"/>
      <c r="F4118" s="47"/>
    </row>
    <row r="4119" ht="15.75" customHeight="1">
      <c r="A4119" s="46"/>
      <c r="B4119" s="47"/>
      <c r="C4119" s="47"/>
      <c r="D4119" s="47"/>
      <c r="E4119" s="47"/>
      <c r="F4119" s="47"/>
    </row>
    <row r="4120" ht="15.75" customHeight="1">
      <c r="A4120" s="46"/>
      <c r="B4120" s="47"/>
      <c r="C4120" s="47"/>
      <c r="D4120" s="47"/>
      <c r="E4120" s="47"/>
      <c r="F4120" s="47"/>
    </row>
    <row r="4121" ht="15.75" customHeight="1">
      <c r="A4121" s="46"/>
      <c r="B4121" s="47"/>
      <c r="C4121" s="47"/>
      <c r="D4121" s="47"/>
      <c r="E4121" s="47"/>
      <c r="F4121" s="47"/>
    </row>
    <row r="4122" ht="15.75" customHeight="1">
      <c r="A4122" s="46"/>
      <c r="B4122" s="47"/>
      <c r="C4122" s="47"/>
      <c r="D4122" s="47"/>
      <c r="E4122" s="47"/>
      <c r="F4122" s="47"/>
    </row>
    <row r="4123" ht="15.75" customHeight="1">
      <c r="A4123" s="46"/>
      <c r="B4123" s="47"/>
      <c r="C4123" s="47"/>
      <c r="D4123" s="47"/>
      <c r="E4123" s="47"/>
      <c r="F4123" s="47"/>
    </row>
    <row r="4124" ht="15.75" customHeight="1">
      <c r="A4124" s="46"/>
      <c r="B4124" s="47"/>
      <c r="C4124" s="47"/>
      <c r="D4124" s="47"/>
      <c r="E4124" s="47"/>
      <c r="F4124" s="47"/>
    </row>
    <row r="4125" ht="15.75" customHeight="1">
      <c r="A4125" s="46"/>
      <c r="B4125" s="47"/>
      <c r="C4125" s="47"/>
      <c r="D4125" s="47"/>
      <c r="E4125" s="47"/>
      <c r="F4125" s="47"/>
    </row>
    <row r="4126" ht="15.75" customHeight="1">
      <c r="A4126" s="46"/>
      <c r="B4126" s="47"/>
      <c r="C4126" s="47"/>
      <c r="D4126" s="47"/>
      <c r="E4126" s="47"/>
      <c r="F4126" s="47"/>
    </row>
    <row r="4127" ht="15.75" customHeight="1">
      <c r="A4127" s="46"/>
      <c r="B4127" s="47"/>
      <c r="C4127" s="47"/>
      <c r="D4127" s="47"/>
      <c r="E4127" s="47"/>
      <c r="F4127" s="47"/>
    </row>
    <row r="4128" ht="15.75" customHeight="1">
      <c r="A4128" s="46"/>
      <c r="B4128" s="47"/>
      <c r="C4128" s="47"/>
      <c r="D4128" s="47"/>
      <c r="E4128" s="47"/>
      <c r="F4128" s="47"/>
    </row>
    <row r="4129" ht="15.75" customHeight="1">
      <c r="A4129" s="46"/>
      <c r="B4129" s="47"/>
      <c r="C4129" s="47"/>
      <c r="D4129" s="47"/>
      <c r="E4129" s="47"/>
      <c r="F4129" s="47"/>
    </row>
    <row r="4130" ht="15.75" customHeight="1">
      <c r="A4130" s="46"/>
      <c r="B4130" s="47"/>
      <c r="C4130" s="47"/>
      <c r="D4130" s="47"/>
      <c r="E4130" s="47"/>
      <c r="F4130" s="47"/>
    </row>
    <row r="4131" ht="15.75" customHeight="1">
      <c r="A4131" s="46"/>
      <c r="B4131" s="47"/>
      <c r="C4131" s="47"/>
      <c r="D4131" s="47"/>
      <c r="E4131" s="47"/>
      <c r="F4131" s="47"/>
    </row>
    <row r="4132" ht="15.75" customHeight="1">
      <c r="A4132" s="46"/>
      <c r="B4132" s="47"/>
      <c r="C4132" s="47"/>
      <c r="D4132" s="47"/>
      <c r="E4132" s="47"/>
      <c r="F4132" s="47"/>
    </row>
    <row r="4133" ht="15.75" customHeight="1">
      <c r="A4133" s="46"/>
      <c r="B4133" s="47"/>
      <c r="C4133" s="47"/>
      <c r="D4133" s="47"/>
      <c r="E4133" s="47"/>
      <c r="F4133" s="47"/>
    </row>
    <row r="4134" ht="15.75" customHeight="1">
      <c r="A4134" s="46"/>
      <c r="B4134" s="47"/>
      <c r="C4134" s="47"/>
      <c r="D4134" s="47"/>
      <c r="E4134" s="47"/>
      <c r="F4134" s="47"/>
    </row>
    <row r="4135" ht="15.75" customHeight="1">
      <c r="A4135" s="46"/>
      <c r="B4135" s="47"/>
      <c r="C4135" s="47"/>
      <c r="D4135" s="47"/>
      <c r="E4135" s="47"/>
      <c r="F4135" s="47"/>
    </row>
    <row r="4136" ht="15.75" customHeight="1">
      <c r="A4136" s="46"/>
      <c r="B4136" s="47"/>
      <c r="C4136" s="47"/>
      <c r="D4136" s="47"/>
      <c r="E4136" s="47"/>
      <c r="F4136" s="47"/>
    </row>
    <row r="4137" ht="15.75" customHeight="1">
      <c r="A4137" s="46"/>
      <c r="B4137" s="47"/>
      <c r="C4137" s="47"/>
      <c r="D4137" s="47"/>
      <c r="E4137" s="47"/>
      <c r="F4137" s="47"/>
    </row>
    <row r="4138" ht="15.75" customHeight="1">
      <c r="A4138" s="46"/>
      <c r="B4138" s="47"/>
      <c r="C4138" s="47"/>
      <c r="D4138" s="47"/>
      <c r="E4138" s="47"/>
      <c r="F4138" s="47"/>
    </row>
    <row r="4139" ht="15.75" customHeight="1">
      <c r="A4139" s="46"/>
      <c r="B4139" s="47"/>
      <c r="C4139" s="47"/>
      <c r="D4139" s="47"/>
      <c r="E4139" s="47"/>
      <c r="F4139" s="47"/>
    </row>
    <row r="4140" ht="15.75" customHeight="1">
      <c r="A4140" s="46"/>
      <c r="B4140" s="47"/>
      <c r="C4140" s="47"/>
      <c r="D4140" s="47"/>
      <c r="E4140" s="47"/>
      <c r="F4140" s="47"/>
    </row>
    <row r="4141" ht="15.75" customHeight="1">
      <c r="A4141" s="46"/>
      <c r="B4141" s="47"/>
      <c r="C4141" s="47"/>
      <c r="D4141" s="47"/>
      <c r="E4141" s="47"/>
      <c r="F4141" s="47"/>
    </row>
    <row r="4142" ht="15.75" customHeight="1">
      <c r="A4142" s="46"/>
      <c r="B4142" s="47"/>
      <c r="C4142" s="47"/>
      <c r="D4142" s="47"/>
      <c r="E4142" s="47"/>
      <c r="F4142" s="47"/>
    </row>
    <row r="4143" ht="15.75" customHeight="1">
      <c r="A4143" s="46"/>
      <c r="B4143" s="47"/>
      <c r="C4143" s="47"/>
      <c r="D4143" s="47"/>
      <c r="E4143" s="47"/>
      <c r="F4143" s="47"/>
    </row>
    <row r="4144" ht="15.75" customHeight="1">
      <c r="A4144" s="46"/>
      <c r="B4144" s="47"/>
      <c r="C4144" s="47"/>
      <c r="D4144" s="47"/>
      <c r="E4144" s="47"/>
      <c r="F4144" s="47"/>
    </row>
    <row r="4145" ht="15.75" customHeight="1">
      <c r="A4145" s="46"/>
      <c r="B4145" s="47"/>
      <c r="C4145" s="47"/>
      <c r="D4145" s="47"/>
      <c r="E4145" s="47"/>
      <c r="F4145" s="47"/>
    </row>
    <row r="4146" ht="15.75" customHeight="1">
      <c r="A4146" s="46"/>
      <c r="B4146" s="47"/>
      <c r="C4146" s="47"/>
      <c r="D4146" s="47"/>
      <c r="E4146" s="47"/>
      <c r="F4146" s="47"/>
    </row>
    <row r="4147" ht="15.75" customHeight="1">
      <c r="A4147" s="46"/>
      <c r="B4147" s="47"/>
      <c r="C4147" s="47"/>
      <c r="D4147" s="47"/>
      <c r="E4147" s="47"/>
      <c r="F4147" s="47"/>
    </row>
    <row r="4148" ht="15.75" customHeight="1">
      <c r="A4148" s="46"/>
      <c r="B4148" s="47"/>
      <c r="C4148" s="47"/>
      <c r="D4148" s="47"/>
      <c r="E4148" s="47"/>
      <c r="F4148" s="47"/>
    </row>
    <row r="4149" ht="15.75" customHeight="1">
      <c r="A4149" s="46"/>
      <c r="B4149" s="47"/>
      <c r="C4149" s="47"/>
      <c r="D4149" s="47"/>
      <c r="E4149" s="47"/>
      <c r="F4149" s="47"/>
    </row>
    <row r="4150" ht="15.75" customHeight="1">
      <c r="A4150" s="46"/>
      <c r="B4150" s="47"/>
      <c r="C4150" s="47"/>
      <c r="D4150" s="47"/>
      <c r="E4150" s="47"/>
      <c r="F4150" s="47"/>
    </row>
    <row r="4151" ht="15.75" customHeight="1">
      <c r="A4151" s="46"/>
      <c r="B4151" s="47"/>
      <c r="C4151" s="47"/>
      <c r="D4151" s="47"/>
      <c r="E4151" s="47"/>
      <c r="F4151" s="47"/>
    </row>
    <row r="4152" ht="15.75" customHeight="1">
      <c r="A4152" s="46"/>
      <c r="B4152" s="47"/>
      <c r="C4152" s="47"/>
      <c r="D4152" s="47"/>
      <c r="E4152" s="47"/>
      <c r="F4152" s="47"/>
    </row>
    <row r="4153" ht="15.75" customHeight="1">
      <c r="A4153" s="46"/>
      <c r="B4153" s="47"/>
      <c r="C4153" s="47"/>
      <c r="D4153" s="47"/>
      <c r="E4153" s="47"/>
      <c r="F4153" s="47"/>
    </row>
    <row r="4154" ht="15.75" customHeight="1">
      <c r="A4154" s="46"/>
      <c r="B4154" s="47"/>
      <c r="C4154" s="47"/>
      <c r="D4154" s="47"/>
      <c r="E4154" s="47"/>
      <c r="F4154" s="47"/>
    </row>
    <row r="4155" ht="15.75" customHeight="1">
      <c r="A4155" s="46"/>
      <c r="B4155" s="47"/>
      <c r="C4155" s="47"/>
      <c r="D4155" s="47"/>
      <c r="E4155" s="47"/>
      <c r="F4155" s="47"/>
    </row>
    <row r="4156" ht="15.75" customHeight="1">
      <c r="A4156" s="46"/>
      <c r="B4156" s="47"/>
      <c r="C4156" s="47"/>
      <c r="D4156" s="47"/>
      <c r="E4156" s="47"/>
      <c r="F4156" s="47"/>
    </row>
    <row r="4157" ht="15.75" customHeight="1">
      <c r="A4157" s="46"/>
      <c r="B4157" s="47"/>
      <c r="C4157" s="47"/>
      <c r="D4157" s="47"/>
      <c r="E4157" s="47"/>
      <c r="F4157" s="47"/>
    </row>
    <row r="4158" ht="15.75" customHeight="1">
      <c r="A4158" s="46"/>
      <c r="B4158" s="47"/>
      <c r="C4158" s="47"/>
      <c r="D4158" s="47"/>
      <c r="E4158" s="47"/>
      <c r="F4158" s="47"/>
    </row>
    <row r="4159" ht="15.75" customHeight="1">
      <c r="A4159" s="46"/>
      <c r="B4159" s="47"/>
      <c r="C4159" s="47"/>
      <c r="D4159" s="47"/>
      <c r="E4159" s="47"/>
      <c r="F4159" s="47"/>
    </row>
    <row r="4160" ht="15.75" customHeight="1">
      <c r="A4160" s="46"/>
      <c r="B4160" s="47"/>
      <c r="C4160" s="47"/>
      <c r="D4160" s="47"/>
      <c r="E4160" s="47"/>
      <c r="F4160" s="47"/>
    </row>
    <row r="4161" ht="15.75" customHeight="1">
      <c r="A4161" s="46"/>
      <c r="B4161" s="47"/>
      <c r="C4161" s="47"/>
      <c r="D4161" s="47"/>
      <c r="E4161" s="47"/>
      <c r="F4161" s="47"/>
    </row>
    <row r="4162" ht="15.75" customHeight="1">
      <c r="A4162" s="46"/>
      <c r="B4162" s="47"/>
      <c r="C4162" s="47"/>
      <c r="D4162" s="47"/>
      <c r="E4162" s="47"/>
      <c r="F4162" s="47"/>
    </row>
    <row r="4163" ht="15.75" customHeight="1">
      <c r="A4163" s="46"/>
      <c r="B4163" s="47"/>
      <c r="C4163" s="47"/>
      <c r="D4163" s="47"/>
      <c r="E4163" s="47"/>
      <c r="F4163" s="47"/>
    </row>
    <row r="4164" ht="15.75" customHeight="1">
      <c r="A4164" s="46"/>
      <c r="B4164" s="47"/>
      <c r="C4164" s="47"/>
      <c r="D4164" s="47"/>
      <c r="E4164" s="47"/>
      <c r="F4164" s="47"/>
    </row>
    <row r="4165" ht="15.75" customHeight="1">
      <c r="A4165" s="46"/>
      <c r="B4165" s="47"/>
      <c r="C4165" s="47"/>
      <c r="D4165" s="47"/>
      <c r="E4165" s="47"/>
      <c r="F4165" s="47"/>
    </row>
    <row r="4166" ht="15.75" customHeight="1">
      <c r="A4166" s="46"/>
      <c r="B4166" s="47"/>
      <c r="C4166" s="47"/>
      <c r="D4166" s="47"/>
      <c r="E4166" s="47"/>
      <c r="F4166" s="47"/>
    </row>
    <row r="4167" ht="15.75" customHeight="1">
      <c r="A4167" s="46"/>
      <c r="B4167" s="47"/>
      <c r="C4167" s="47"/>
      <c r="D4167" s="47"/>
      <c r="E4167" s="47"/>
      <c r="F4167" s="47"/>
    </row>
    <row r="4168" ht="15.75" customHeight="1">
      <c r="A4168" s="46"/>
      <c r="B4168" s="47"/>
      <c r="C4168" s="47"/>
      <c r="D4168" s="47"/>
      <c r="E4168" s="47"/>
      <c r="F4168" s="47"/>
    </row>
    <row r="4169" ht="15.75" customHeight="1">
      <c r="A4169" s="46"/>
      <c r="B4169" s="47"/>
      <c r="C4169" s="47"/>
      <c r="D4169" s="47"/>
      <c r="E4169" s="47"/>
      <c r="F4169" s="47"/>
    </row>
    <row r="4170" ht="15.75" customHeight="1">
      <c r="A4170" s="46"/>
      <c r="B4170" s="47"/>
      <c r="C4170" s="47"/>
      <c r="D4170" s="47"/>
      <c r="E4170" s="47"/>
      <c r="F4170" s="47"/>
    </row>
    <row r="4171" ht="15.75" customHeight="1">
      <c r="A4171" s="46"/>
      <c r="B4171" s="47"/>
      <c r="C4171" s="47"/>
      <c r="D4171" s="47"/>
      <c r="E4171" s="47"/>
      <c r="F4171" s="47"/>
    </row>
    <row r="4172" ht="15.75" customHeight="1">
      <c r="A4172" s="46"/>
      <c r="B4172" s="47"/>
      <c r="C4172" s="47"/>
      <c r="D4172" s="47"/>
      <c r="E4172" s="47"/>
      <c r="F4172" s="47"/>
    </row>
    <row r="4173" ht="15.75" customHeight="1">
      <c r="A4173" s="46"/>
      <c r="B4173" s="47"/>
      <c r="C4173" s="47"/>
      <c r="D4173" s="47"/>
      <c r="E4173" s="47"/>
      <c r="F4173" s="47"/>
    </row>
    <row r="4174" ht="15.75" customHeight="1">
      <c r="A4174" s="46"/>
      <c r="B4174" s="47"/>
      <c r="C4174" s="47"/>
      <c r="D4174" s="47"/>
      <c r="E4174" s="47"/>
      <c r="F4174" s="47"/>
    </row>
    <row r="4175" ht="15.75" customHeight="1">
      <c r="A4175" s="46"/>
      <c r="B4175" s="47"/>
      <c r="C4175" s="47"/>
      <c r="D4175" s="47"/>
      <c r="E4175" s="47"/>
      <c r="F4175" s="47"/>
    </row>
    <row r="4176" ht="15.75" customHeight="1">
      <c r="A4176" s="46"/>
      <c r="B4176" s="47"/>
      <c r="C4176" s="47"/>
      <c r="D4176" s="47"/>
      <c r="E4176" s="47"/>
      <c r="F4176" s="47"/>
    </row>
    <row r="4177" ht="15.75" customHeight="1">
      <c r="A4177" s="46"/>
      <c r="B4177" s="47"/>
      <c r="C4177" s="47"/>
      <c r="D4177" s="47"/>
      <c r="E4177" s="47"/>
      <c r="F4177" s="47"/>
    </row>
    <row r="4178" ht="15.75" customHeight="1">
      <c r="A4178" s="46"/>
      <c r="B4178" s="47"/>
      <c r="C4178" s="47"/>
      <c r="D4178" s="47"/>
      <c r="E4178" s="47"/>
      <c r="F4178" s="47"/>
    </row>
    <row r="4179" ht="15.75" customHeight="1">
      <c r="A4179" s="46"/>
      <c r="B4179" s="47"/>
      <c r="C4179" s="47"/>
      <c r="D4179" s="47"/>
      <c r="E4179" s="47"/>
      <c r="F4179" s="47"/>
    </row>
    <row r="4180" ht="15.75" customHeight="1">
      <c r="A4180" s="46"/>
      <c r="B4180" s="47"/>
      <c r="C4180" s="47"/>
      <c r="D4180" s="47"/>
      <c r="E4180" s="47"/>
      <c r="F4180" s="47"/>
    </row>
    <row r="4181" ht="15.75" customHeight="1">
      <c r="A4181" s="46"/>
      <c r="B4181" s="47"/>
      <c r="C4181" s="47"/>
      <c r="D4181" s="47"/>
      <c r="E4181" s="47"/>
      <c r="F4181" s="47"/>
    </row>
    <row r="4182" ht="15.75" customHeight="1">
      <c r="A4182" s="46"/>
      <c r="B4182" s="47"/>
      <c r="C4182" s="47"/>
      <c r="D4182" s="47"/>
      <c r="E4182" s="47"/>
      <c r="F4182" s="47"/>
    </row>
    <row r="4183" ht="15.75" customHeight="1">
      <c r="A4183" s="46"/>
      <c r="B4183" s="47"/>
      <c r="C4183" s="47"/>
      <c r="D4183" s="47"/>
      <c r="E4183" s="47"/>
      <c r="F4183" s="47"/>
    </row>
    <row r="4184" ht="15.75" customHeight="1">
      <c r="A4184" s="46"/>
      <c r="B4184" s="47"/>
      <c r="C4184" s="47"/>
      <c r="D4184" s="47"/>
      <c r="E4184" s="47"/>
      <c r="F4184" s="47"/>
    </row>
    <row r="4185" ht="15.75" customHeight="1">
      <c r="A4185" s="46"/>
      <c r="B4185" s="47"/>
      <c r="C4185" s="47"/>
      <c r="D4185" s="47"/>
      <c r="E4185" s="47"/>
      <c r="F4185" s="47"/>
    </row>
    <row r="4186" ht="15.75" customHeight="1">
      <c r="A4186" s="46"/>
      <c r="B4186" s="47"/>
      <c r="C4186" s="47"/>
      <c r="D4186" s="47"/>
      <c r="E4186" s="47"/>
      <c r="F4186" s="47"/>
    </row>
    <row r="4187" ht="15.75" customHeight="1">
      <c r="A4187" s="46"/>
      <c r="B4187" s="47"/>
      <c r="C4187" s="47"/>
      <c r="D4187" s="47"/>
      <c r="E4187" s="47"/>
      <c r="F4187" s="47"/>
    </row>
    <row r="4188" ht="15.75" customHeight="1">
      <c r="A4188" s="46"/>
      <c r="B4188" s="47"/>
      <c r="C4188" s="47"/>
      <c r="D4188" s="47"/>
      <c r="E4188" s="47"/>
      <c r="F4188" s="47"/>
    </row>
    <row r="4189" ht="15.75" customHeight="1">
      <c r="A4189" s="46"/>
      <c r="B4189" s="47"/>
      <c r="C4189" s="47"/>
      <c r="D4189" s="47"/>
      <c r="E4189" s="47"/>
      <c r="F4189" s="47"/>
    </row>
    <row r="4190" ht="15.75" customHeight="1">
      <c r="A4190" s="46"/>
      <c r="B4190" s="47"/>
      <c r="C4190" s="47"/>
      <c r="D4190" s="47"/>
      <c r="E4190" s="47"/>
      <c r="F4190" s="47"/>
    </row>
    <row r="4191" ht="15.75" customHeight="1">
      <c r="A4191" s="46"/>
      <c r="B4191" s="47"/>
      <c r="C4191" s="47"/>
      <c r="D4191" s="47"/>
      <c r="E4191" s="47"/>
      <c r="F4191" s="47"/>
    </row>
    <row r="4192" ht="15.75" customHeight="1">
      <c r="A4192" s="46"/>
      <c r="B4192" s="47"/>
      <c r="C4192" s="47"/>
      <c r="D4192" s="47"/>
      <c r="E4192" s="47"/>
      <c r="F4192" s="47"/>
    </row>
    <row r="4193" ht="15.75" customHeight="1">
      <c r="A4193" s="46"/>
      <c r="B4193" s="47"/>
      <c r="C4193" s="47"/>
      <c r="D4193" s="47"/>
      <c r="E4193" s="47"/>
      <c r="F4193" s="47"/>
    </row>
    <row r="4194" ht="15.75" customHeight="1">
      <c r="A4194" s="46"/>
      <c r="B4194" s="47"/>
      <c r="C4194" s="47"/>
      <c r="D4194" s="47"/>
      <c r="E4194" s="47"/>
      <c r="F4194" s="47"/>
    </row>
    <row r="4195" ht="15.75" customHeight="1">
      <c r="A4195" s="46"/>
      <c r="B4195" s="47"/>
      <c r="C4195" s="47"/>
      <c r="D4195" s="47"/>
      <c r="E4195" s="47"/>
      <c r="F4195" s="47"/>
    </row>
    <row r="4196" ht="15.75" customHeight="1">
      <c r="A4196" s="46"/>
      <c r="B4196" s="47"/>
      <c r="C4196" s="47"/>
      <c r="D4196" s="47"/>
      <c r="E4196" s="47"/>
      <c r="F4196" s="47"/>
    </row>
    <row r="4197" ht="15.75" customHeight="1">
      <c r="A4197" s="46"/>
      <c r="B4197" s="47"/>
      <c r="C4197" s="47"/>
      <c r="D4197" s="47"/>
      <c r="E4197" s="47"/>
      <c r="F4197" s="47"/>
    </row>
    <row r="4198" ht="15.75" customHeight="1">
      <c r="A4198" s="46"/>
      <c r="B4198" s="47"/>
      <c r="C4198" s="47"/>
      <c r="D4198" s="47"/>
      <c r="E4198" s="47"/>
      <c r="F4198" s="47"/>
    </row>
    <row r="4199" ht="15.75" customHeight="1">
      <c r="A4199" s="46"/>
      <c r="B4199" s="47"/>
      <c r="C4199" s="47"/>
      <c r="D4199" s="47"/>
      <c r="E4199" s="47"/>
      <c r="F4199" s="47"/>
    </row>
    <row r="4200" ht="15.75" customHeight="1">
      <c r="A4200" s="46"/>
      <c r="B4200" s="47"/>
      <c r="C4200" s="47"/>
      <c r="D4200" s="47"/>
      <c r="E4200" s="47"/>
      <c r="F4200" s="47"/>
    </row>
    <row r="4201" ht="15.75" customHeight="1">
      <c r="A4201" s="46"/>
      <c r="B4201" s="47"/>
      <c r="C4201" s="47"/>
      <c r="D4201" s="47"/>
      <c r="E4201" s="47"/>
      <c r="F4201" s="47"/>
    </row>
    <row r="4202" ht="15.75" customHeight="1">
      <c r="A4202" s="46"/>
      <c r="B4202" s="47"/>
      <c r="C4202" s="47"/>
      <c r="D4202" s="47"/>
      <c r="E4202" s="47"/>
      <c r="F4202" s="47"/>
    </row>
    <row r="4203" ht="15.75" customHeight="1">
      <c r="A4203" s="46"/>
      <c r="B4203" s="47"/>
      <c r="C4203" s="47"/>
      <c r="D4203" s="47"/>
      <c r="E4203" s="47"/>
      <c r="F4203" s="47"/>
    </row>
    <row r="4204" ht="15.75" customHeight="1">
      <c r="A4204" s="46"/>
      <c r="B4204" s="47"/>
      <c r="C4204" s="47"/>
      <c r="D4204" s="47"/>
      <c r="E4204" s="47"/>
      <c r="F4204" s="47"/>
    </row>
    <row r="4205" ht="15.75" customHeight="1">
      <c r="A4205" s="46"/>
      <c r="B4205" s="47"/>
      <c r="C4205" s="47"/>
      <c r="D4205" s="47"/>
      <c r="E4205" s="47"/>
      <c r="F4205" s="47"/>
    </row>
    <row r="4206" ht="15.75" customHeight="1">
      <c r="A4206" s="46"/>
      <c r="B4206" s="47"/>
      <c r="C4206" s="47"/>
      <c r="D4206" s="47"/>
      <c r="E4206" s="47"/>
      <c r="F4206" s="47"/>
    </row>
    <row r="4207" ht="15.75" customHeight="1">
      <c r="A4207" s="46"/>
      <c r="B4207" s="47"/>
      <c r="C4207" s="47"/>
      <c r="D4207" s="47"/>
      <c r="E4207" s="47"/>
      <c r="F4207" s="47"/>
    </row>
    <row r="4208" ht="15.75" customHeight="1">
      <c r="A4208" s="46"/>
      <c r="B4208" s="47"/>
      <c r="C4208" s="47"/>
      <c r="D4208" s="47"/>
      <c r="E4208" s="47"/>
      <c r="F4208" s="47"/>
    </row>
    <row r="4209" ht="15.75" customHeight="1">
      <c r="A4209" s="46"/>
      <c r="B4209" s="47"/>
      <c r="C4209" s="47"/>
      <c r="D4209" s="47"/>
      <c r="E4209" s="47"/>
      <c r="F4209" s="47"/>
    </row>
    <row r="4210" ht="15.75" customHeight="1">
      <c r="A4210" s="46"/>
      <c r="B4210" s="47"/>
      <c r="C4210" s="47"/>
      <c r="D4210" s="47"/>
      <c r="E4210" s="47"/>
      <c r="F4210" s="47"/>
    </row>
    <row r="4211" ht="15.75" customHeight="1">
      <c r="A4211" s="46"/>
      <c r="B4211" s="47"/>
      <c r="C4211" s="47"/>
      <c r="D4211" s="47"/>
      <c r="E4211" s="47"/>
      <c r="F4211" s="47"/>
    </row>
    <row r="4212" ht="15.75" customHeight="1">
      <c r="A4212" s="46"/>
      <c r="B4212" s="47"/>
      <c r="C4212" s="47"/>
      <c r="D4212" s="47"/>
      <c r="E4212" s="47"/>
      <c r="F4212" s="47"/>
    </row>
    <row r="4213" ht="15.75" customHeight="1">
      <c r="A4213" s="46"/>
      <c r="B4213" s="47"/>
      <c r="C4213" s="47"/>
      <c r="D4213" s="47"/>
      <c r="E4213" s="47"/>
      <c r="F4213" s="47"/>
    </row>
    <row r="4214" ht="15.75" customHeight="1">
      <c r="A4214" s="46"/>
      <c r="B4214" s="47"/>
      <c r="C4214" s="47"/>
      <c r="D4214" s="47"/>
      <c r="E4214" s="47"/>
      <c r="F4214" s="47"/>
    </row>
    <row r="4215" ht="15.75" customHeight="1">
      <c r="A4215" s="46"/>
      <c r="B4215" s="47"/>
      <c r="C4215" s="47"/>
      <c r="D4215" s="47"/>
      <c r="E4215" s="47"/>
      <c r="F4215" s="47"/>
    </row>
    <row r="4216" ht="15.75" customHeight="1">
      <c r="A4216" s="46"/>
      <c r="B4216" s="47"/>
      <c r="C4216" s="47"/>
      <c r="D4216" s="47"/>
      <c r="E4216" s="47"/>
      <c r="F4216" s="47"/>
    </row>
    <row r="4217" ht="15.75" customHeight="1">
      <c r="A4217" s="46"/>
      <c r="B4217" s="47"/>
      <c r="C4217" s="47"/>
      <c r="D4217" s="47"/>
      <c r="E4217" s="47"/>
      <c r="F4217" s="47"/>
    </row>
    <row r="4218" ht="15.75" customHeight="1">
      <c r="A4218" s="46"/>
      <c r="B4218" s="47"/>
      <c r="C4218" s="47"/>
      <c r="D4218" s="47"/>
      <c r="E4218" s="47"/>
      <c r="F4218" s="47"/>
    </row>
    <row r="4219" ht="15.75" customHeight="1">
      <c r="A4219" s="46"/>
      <c r="B4219" s="47"/>
      <c r="C4219" s="47"/>
      <c r="D4219" s="47"/>
      <c r="E4219" s="47"/>
      <c r="F4219" s="47"/>
    </row>
    <row r="4220" ht="15.75" customHeight="1">
      <c r="A4220" s="46"/>
      <c r="B4220" s="47"/>
      <c r="C4220" s="47"/>
      <c r="D4220" s="47"/>
      <c r="E4220" s="47"/>
      <c r="F4220" s="47"/>
    </row>
    <row r="4221" ht="15.75" customHeight="1">
      <c r="A4221" s="46"/>
      <c r="B4221" s="47"/>
      <c r="C4221" s="47"/>
      <c r="D4221" s="47"/>
      <c r="E4221" s="47"/>
      <c r="F4221" s="47"/>
    </row>
    <row r="4222" ht="15.75" customHeight="1">
      <c r="A4222" s="46"/>
      <c r="B4222" s="47"/>
      <c r="C4222" s="47"/>
      <c r="D4222" s="47"/>
      <c r="E4222" s="47"/>
      <c r="F4222" s="47"/>
    </row>
    <row r="4223" ht="15.75" customHeight="1">
      <c r="A4223" s="46"/>
      <c r="B4223" s="47"/>
      <c r="C4223" s="47"/>
      <c r="D4223" s="47"/>
      <c r="E4223" s="47"/>
      <c r="F4223" s="47"/>
    </row>
    <row r="4224" ht="15.75" customHeight="1">
      <c r="A4224" s="46"/>
      <c r="B4224" s="47"/>
      <c r="C4224" s="47"/>
      <c r="D4224" s="47"/>
      <c r="E4224" s="47"/>
      <c r="F4224" s="47"/>
    </row>
    <row r="4225" ht="15.75" customHeight="1">
      <c r="A4225" s="46"/>
      <c r="B4225" s="47"/>
      <c r="C4225" s="47"/>
      <c r="D4225" s="47"/>
      <c r="E4225" s="47"/>
      <c r="F4225" s="47"/>
    </row>
    <row r="4226" ht="15.75" customHeight="1">
      <c r="A4226" s="46"/>
      <c r="B4226" s="47"/>
      <c r="C4226" s="47"/>
      <c r="D4226" s="47"/>
      <c r="E4226" s="47"/>
      <c r="F4226" s="47"/>
    </row>
    <row r="4227" ht="15.75" customHeight="1">
      <c r="A4227" s="46"/>
      <c r="B4227" s="47"/>
      <c r="C4227" s="47"/>
      <c r="D4227" s="47"/>
      <c r="E4227" s="47"/>
      <c r="F4227" s="47"/>
    </row>
    <row r="4228" ht="15.75" customHeight="1">
      <c r="A4228" s="46"/>
      <c r="B4228" s="47"/>
      <c r="C4228" s="47"/>
      <c r="D4228" s="47"/>
      <c r="E4228" s="47"/>
      <c r="F4228" s="47"/>
    </row>
    <row r="4229" ht="15.75" customHeight="1">
      <c r="A4229" s="46"/>
      <c r="B4229" s="47"/>
      <c r="C4229" s="47"/>
      <c r="D4229" s="47"/>
      <c r="E4229" s="47"/>
      <c r="F4229" s="47"/>
    </row>
    <row r="4230" ht="15.75" customHeight="1">
      <c r="A4230" s="46"/>
      <c r="B4230" s="47"/>
      <c r="C4230" s="47"/>
      <c r="D4230" s="47"/>
      <c r="E4230" s="47"/>
      <c r="F4230" s="47"/>
    </row>
    <row r="4231" ht="15.75" customHeight="1">
      <c r="A4231" s="46"/>
      <c r="B4231" s="47"/>
      <c r="C4231" s="47"/>
      <c r="D4231" s="47"/>
      <c r="E4231" s="47"/>
      <c r="F4231" s="47"/>
    </row>
    <row r="4232" ht="15.75" customHeight="1">
      <c r="A4232" s="46"/>
      <c r="B4232" s="47"/>
      <c r="C4232" s="47"/>
      <c r="D4232" s="47"/>
      <c r="E4232" s="47"/>
      <c r="F4232" s="47"/>
    </row>
    <row r="4233" ht="15.75" customHeight="1">
      <c r="A4233" s="46"/>
      <c r="B4233" s="47"/>
      <c r="C4233" s="47"/>
      <c r="D4233" s="47"/>
      <c r="E4233" s="47"/>
      <c r="F4233" s="47"/>
    </row>
    <row r="4234" ht="15.75" customHeight="1">
      <c r="A4234" s="46"/>
      <c r="B4234" s="47"/>
      <c r="C4234" s="47"/>
      <c r="D4234" s="47"/>
      <c r="E4234" s="47"/>
      <c r="F4234" s="47"/>
    </row>
    <row r="4235" ht="15.75" customHeight="1">
      <c r="A4235" s="46"/>
      <c r="B4235" s="47"/>
      <c r="C4235" s="47"/>
      <c r="D4235" s="47"/>
      <c r="E4235" s="47"/>
      <c r="F4235" s="47"/>
    </row>
    <row r="4236" ht="15.75" customHeight="1">
      <c r="A4236" s="46"/>
      <c r="B4236" s="47"/>
      <c r="C4236" s="47"/>
      <c r="D4236" s="47"/>
      <c r="E4236" s="47"/>
      <c r="F4236" s="47"/>
    </row>
    <row r="4237" ht="15.75" customHeight="1">
      <c r="A4237" s="46"/>
      <c r="B4237" s="47"/>
      <c r="C4237" s="47"/>
      <c r="D4237" s="47"/>
      <c r="E4237" s="47"/>
      <c r="F4237" s="47"/>
    </row>
    <row r="4238" ht="15.75" customHeight="1">
      <c r="A4238" s="46"/>
      <c r="B4238" s="47"/>
      <c r="C4238" s="47"/>
      <c r="D4238" s="47"/>
      <c r="E4238" s="47"/>
      <c r="F4238" s="47"/>
    </row>
    <row r="4239" ht="15.75" customHeight="1">
      <c r="A4239" s="46"/>
      <c r="B4239" s="47"/>
      <c r="C4239" s="47"/>
      <c r="D4239" s="47"/>
      <c r="E4239" s="47"/>
      <c r="F4239" s="47"/>
    </row>
    <row r="4240" ht="15.75" customHeight="1">
      <c r="A4240" s="46"/>
      <c r="B4240" s="47"/>
      <c r="C4240" s="47"/>
      <c r="D4240" s="47"/>
      <c r="E4240" s="47"/>
      <c r="F4240" s="47"/>
    </row>
    <row r="4241" ht="15.75" customHeight="1">
      <c r="A4241" s="46"/>
      <c r="B4241" s="47"/>
      <c r="C4241" s="47"/>
      <c r="D4241" s="47"/>
      <c r="E4241" s="47"/>
      <c r="F4241" s="47"/>
    </row>
    <row r="4242" ht="15.75" customHeight="1">
      <c r="A4242" s="46"/>
      <c r="B4242" s="47"/>
      <c r="C4242" s="47"/>
      <c r="D4242" s="47"/>
      <c r="E4242" s="47"/>
      <c r="F4242" s="47"/>
    </row>
    <row r="4243" ht="15.75" customHeight="1">
      <c r="A4243" s="46"/>
      <c r="B4243" s="47"/>
      <c r="C4243" s="47"/>
      <c r="D4243" s="47"/>
      <c r="E4243" s="47"/>
      <c r="F4243" s="47"/>
    </row>
    <row r="4244" ht="15.75" customHeight="1">
      <c r="A4244" s="46"/>
      <c r="B4244" s="47"/>
      <c r="C4244" s="47"/>
      <c r="D4244" s="47"/>
      <c r="E4244" s="47"/>
      <c r="F4244" s="47"/>
    </row>
    <row r="4245" ht="15.75" customHeight="1">
      <c r="A4245" s="46"/>
      <c r="B4245" s="47"/>
      <c r="C4245" s="47"/>
      <c r="D4245" s="47"/>
      <c r="E4245" s="47"/>
      <c r="F4245" s="47"/>
    </row>
    <row r="4246" ht="15.75" customHeight="1">
      <c r="A4246" s="46"/>
      <c r="B4246" s="47"/>
      <c r="C4246" s="47"/>
      <c r="D4246" s="47"/>
      <c r="E4246" s="47"/>
      <c r="F4246" s="47"/>
    </row>
    <row r="4247" ht="15.75" customHeight="1">
      <c r="A4247" s="46"/>
      <c r="B4247" s="47"/>
      <c r="C4247" s="47"/>
      <c r="D4247" s="47"/>
      <c r="E4247" s="47"/>
      <c r="F4247" s="47"/>
    </row>
    <row r="4248" ht="15.75" customHeight="1">
      <c r="A4248" s="46"/>
      <c r="B4248" s="47"/>
      <c r="C4248" s="47"/>
      <c r="D4248" s="47"/>
      <c r="E4248" s="47"/>
      <c r="F4248" s="47"/>
    </row>
    <row r="4249" ht="15.75" customHeight="1">
      <c r="A4249" s="46"/>
      <c r="B4249" s="47"/>
      <c r="C4249" s="47"/>
      <c r="D4249" s="47"/>
      <c r="E4249" s="47"/>
      <c r="F4249" s="47"/>
    </row>
    <row r="4250" ht="15.75" customHeight="1">
      <c r="A4250" s="46"/>
      <c r="B4250" s="47"/>
      <c r="C4250" s="47"/>
      <c r="D4250" s="47"/>
      <c r="E4250" s="47"/>
      <c r="F4250" s="47"/>
    </row>
    <row r="4251" ht="15.75" customHeight="1">
      <c r="A4251" s="46"/>
      <c r="B4251" s="47"/>
      <c r="C4251" s="47"/>
      <c r="D4251" s="47"/>
      <c r="E4251" s="47"/>
      <c r="F4251" s="47"/>
    </row>
    <row r="4252" ht="15.75" customHeight="1">
      <c r="A4252" s="46"/>
      <c r="B4252" s="47"/>
      <c r="C4252" s="47"/>
      <c r="D4252" s="47"/>
      <c r="E4252" s="47"/>
      <c r="F4252" s="47"/>
    </row>
    <row r="4253" ht="15.75" customHeight="1">
      <c r="A4253" s="46"/>
      <c r="B4253" s="47"/>
      <c r="C4253" s="47"/>
      <c r="D4253" s="47"/>
      <c r="E4253" s="47"/>
      <c r="F4253" s="47"/>
    </row>
    <row r="4254" ht="15.75" customHeight="1">
      <c r="A4254" s="46"/>
      <c r="B4254" s="47"/>
      <c r="C4254" s="47"/>
      <c r="D4254" s="47"/>
      <c r="E4254" s="47"/>
      <c r="F4254" s="47"/>
    </row>
    <row r="4255" ht="15.75" customHeight="1">
      <c r="A4255" s="46"/>
      <c r="B4255" s="47"/>
      <c r="C4255" s="47"/>
      <c r="D4255" s="47"/>
      <c r="E4255" s="47"/>
      <c r="F4255" s="47"/>
    </row>
    <row r="4256" ht="15.75" customHeight="1">
      <c r="A4256" s="46"/>
      <c r="B4256" s="47"/>
      <c r="C4256" s="47"/>
      <c r="D4256" s="47"/>
      <c r="E4256" s="47"/>
      <c r="F4256" s="47"/>
    </row>
    <row r="4257" ht="15.75" customHeight="1">
      <c r="A4257" s="46"/>
      <c r="B4257" s="47"/>
      <c r="C4257" s="47"/>
      <c r="D4257" s="47"/>
      <c r="E4257" s="47"/>
      <c r="F4257" s="47"/>
    </row>
    <row r="4258" ht="15.75" customHeight="1">
      <c r="A4258" s="46"/>
      <c r="B4258" s="47"/>
      <c r="C4258" s="47"/>
      <c r="D4258" s="47"/>
      <c r="E4258" s="47"/>
      <c r="F4258" s="47"/>
    </row>
    <row r="4259" ht="15.75" customHeight="1">
      <c r="A4259" s="46"/>
      <c r="B4259" s="47"/>
      <c r="C4259" s="47"/>
      <c r="D4259" s="47"/>
      <c r="E4259" s="47"/>
      <c r="F4259" s="47"/>
    </row>
    <row r="4260" ht="15.75" customHeight="1">
      <c r="A4260" s="46"/>
      <c r="B4260" s="47"/>
      <c r="C4260" s="47"/>
      <c r="D4260" s="47"/>
      <c r="E4260" s="47"/>
      <c r="F4260" s="47"/>
    </row>
    <row r="4261" ht="15.75" customHeight="1">
      <c r="A4261" s="46"/>
      <c r="B4261" s="47"/>
      <c r="C4261" s="47"/>
      <c r="D4261" s="47"/>
      <c r="E4261" s="47"/>
      <c r="F4261" s="47"/>
    </row>
    <row r="4262" ht="15.75" customHeight="1">
      <c r="A4262" s="46"/>
      <c r="B4262" s="47"/>
      <c r="C4262" s="47"/>
      <c r="D4262" s="47"/>
      <c r="E4262" s="47"/>
      <c r="F4262" s="47"/>
    </row>
    <row r="4263" ht="15.75" customHeight="1">
      <c r="A4263" s="46"/>
      <c r="B4263" s="47"/>
      <c r="C4263" s="47"/>
      <c r="D4263" s="47"/>
      <c r="E4263" s="47"/>
      <c r="F4263" s="47"/>
    </row>
    <row r="4264" ht="15.75" customHeight="1">
      <c r="A4264" s="46"/>
      <c r="B4264" s="47"/>
      <c r="C4264" s="47"/>
      <c r="D4264" s="47"/>
      <c r="E4264" s="47"/>
      <c r="F4264" s="47"/>
    </row>
    <row r="4265" ht="15.75" customHeight="1">
      <c r="A4265" s="46"/>
      <c r="B4265" s="47"/>
      <c r="C4265" s="47"/>
      <c r="D4265" s="47"/>
      <c r="E4265" s="47"/>
      <c r="F4265" s="47"/>
    </row>
    <row r="4266" ht="15.75" customHeight="1">
      <c r="A4266" s="46"/>
      <c r="B4266" s="47"/>
      <c r="C4266" s="47"/>
      <c r="D4266" s="47"/>
      <c r="E4266" s="47"/>
      <c r="F4266" s="47"/>
    </row>
    <row r="4267" ht="15.75" customHeight="1">
      <c r="A4267" s="46"/>
      <c r="B4267" s="47"/>
      <c r="C4267" s="47"/>
      <c r="D4267" s="47"/>
      <c r="E4267" s="47"/>
      <c r="F4267" s="47"/>
    </row>
    <row r="4268" ht="15.75" customHeight="1">
      <c r="A4268" s="46"/>
      <c r="B4268" s="47"/>
      <c r="C4268" s="47"/>
      <c r="D4268" s="47"/>
      <c r="E4268" s="47"/>
      <c r="F4268" s="47"/>
    </row>
    <row r="4269" ht="15.75" customHeight="1">
      <c r="A4269" s="46"/>
      <c r="B4269" s="47"/>
      <c r="C4269" s="47"/>
      <c r="D4269" s="47"/>
      <c r="E4269" s="47"/>
      <c r="F4269" s="47"/>
    </row>
    <row r="4270" ht="15.75" customHeight="1">
      <c r="A4270" s="46"/>
      <c r="B4270" s="47"/>
      <c r="C4270" s="47"/>
      <c r="D4270" s="47"/>
      <c r="E4270" s="47"/>
      <c r="F4270" s="47"/>
    </row>
    <row r="4271" ht="15.75" customHeight="1">
      <c r="A4271" s="46"/>
      <c r="B4271" s="47"/>
      <c r="C4271" s="47"/>
      <c r="D4271" s="47"/>
      <c r="E4271" s="47"/>
      <c r="F4271" s="47"/>
    </row>
    <row r="4272" ht="15.75" customHeight="1">
      <c r="A4272" s="46"/>
      <c r="B4272" s="47"/>
      <c r="C4272" s="47"/>
      <c r="D4272" s="47"/>
      <c r="E4272" s="47"/>
      <c r="F4272" s="47"/>
    </row>
    <row r="4273" ht="15.75" customHeight="1">
      <c r="A4273" s="46"/>
      <c r="B4273" s="47"/>
      <c r="C4273" s="47"/>
      <c r="D4273" s="47"/>
      <c r="E4273" s="47"/>
      <c r="F4273" s="47"/>
    </row>
    <row r="4274" ht="15.75" customHeight="1">
      <c r="A4274" s="46"/>
      <c r="B4274" s="47"/>
      <c r="C4274" s="47"/>
      <c r="D4274" s="47"/>
      <c r="E4274" s="47"/>
      <c r="F4274" s="47"/>
    </row>
    <row r="4275" ht="15.75" customHeight="1">
      <c r="A4275" s="46"/>
      <c r="B4275" s="47"/>
      <c r="C4275" s="47"/>
      <c r="D4275" s="47"/>
      <c r="E4275" s="47"/>
      <c r="F4275" s="47"/>
    </row>
    <row r="4276" ht="15.75" customHeight="1">
      <c r="A4276" s="46"/>
      <c r="B4276" s="47"/>
      <c r="C4276" s="47"/>
      <c r="D4276" s="47"/>
      <c r="E4276" s="47"/>
      <c r="F4276" s="47"/>
    </row>
    <row r="4277" ht="15.75" customHeight="1">
      <c r="A4277" s="46"/>
      <c r="B4277" s="47"/>
      <c r="C4277" s="47"/>
      <c r="D4277" s="47"/>
      <c r="E4277" s="47"/>
      <c r="F4277" s="47"/>
    </row>
    <row r="4278" ht="15.75" customHeight="1">
      <c r="A4278" s="46"/>
      <c r="B4278" s="47"/>
      <c r="C4278" s="47"/>
      <c r="D4278" s="47"/>
      <c r="E4278" s="47"/>
      <c r="F4278" s="47"/>
    </row>
    <row r="4279" ht="15.75" customHeight="1">
      <c r="A4279" s="46"/>
      <c r="B4279" s="47"/>
      <c r="C4279" s="47"/>
      <c r="D4279" s="47"/>
      <c r="E4279" s="47"/>
      <c r="F4279" s="47"/>
    </row>
    <row r="4280" ht="15.75" customHeight="1">
      <c r="A4280" s="46"/>
      <c r="B4280" s="47"/>
      <c r="C4280" s="47"/>
      <c r="D4280" s="47"/>
      <c r="E4280" s="47"/>
      <c r="F4280" s="47"/>
    </row>
    <row r="4281" ht="15.75" customHeight="1">
      <c r="A4281" s="46"/>
      <c r="B4281" s="47"/>
      <c r="C4281" s="47"/>
      <c r="D4281" s="47"/>
      <c r="E4281" s="47"/>
      <c r="F4281" s="47"/>
    </row>
    <row r="4282" ht="15.75" customHeight="1">
      <c r="A4282" s="46"/>
      <c r="B4282" s="47"/>
      <c r="C4282" s="47"/>
      <c r="D4282" s="47"/>
      <c r="E4282" s="47"/>
      <c r="F4282" s="47"/>
    </row>
    <row r="4283" ht="15.75" customHeight="1">
      <c r="A4283" s="46"/>
      <c r="B4283" s="47"/>
      <c r="C4283" s="47"/>
      <c r="D4283" s="47"/>
      <c r="E4283" s="47"/>
      <c r="F4283" s="47"/>
    </row>
    <row r="4284" ht="15.75" customHeight="1">
      <c r="A4284" s="46"/>
      <c r="B4284" s="47"/>
      <c r="C4284" s="47"/>
      <c r="D4284" s="47"/>
      <c r="E4284" s="47"/>
      <c r="F4284" s="47"/>
    </row>
    <row r="4285" ht="15.75" customHeight="1">
      <c r="A4285" s="46"/>
      <c r="B4285" s="47"/>
      <c r="C4285" s="47"/>
      <c r="D4285" s="47"/>
      <c r="E4285" s="47"/>
      <c r="F4285" s="47"/>
    </row>
    <row r="4286" ht="15.75" customHeight="1">
      <c r="A4286" s="46"/>
      <c r="B4286" s="47"/>
      <c r="C4286" s="47"/>
      <c r="D4286" s="47"/>
      <c r="E4286" s="47"/>
      <c r="F4286" s="47"/>
    </row>
    <row r="4287" ht="15.75" customHeight="1">
      <c r="A4287" s="46"/>
      <c r="B4287" s="47"/>
      <c r="C4287" s="47"/>
      <c r="D4287" s="47"/>
      <c r="E4287" s="47"/>
      <c r="F4287" s="47"/>
    </row>
    <row r="4288" ht="15.75" customHeight="1">
      <c r="A4288" s="46"/>
      <c r="B4288" s="47"/>
      <c r="C4288" s="47"/>
      <c r="D4288" s="47"/>
      <c r="E4288" s="47"/>
      <c r="F4288" s="47"/>
    </row>
    <row r="4289" ht="15.75" customHeight="1">
      <c r="A4289" s="46"/>
      <c r="B4289" s="47"/>
      <c r="C4289" s="47"/>
      <c r="D4289" s="47"/>
      <c r="E4289" s="47"/>
      <c r="F4289" s="47"/>
    </row>
    <row r="4290" ht="15.75" customHeight="1">
      <c r="A4290" s="46"/>
      <c r="B4290" s="47"/>
      <c r="C4290" s="47"/>
      <c r="D4290" s="47"/>
      <c r="E4290" s="47"/>
      <c r="F4290" s="47"/>
    </row>
    <row r="4291" ht="15.75" customHeight="1">
      <c r="A4291" s="46"/>
      <c r="B4291" s="47"/>
      <c r="C4291" s="47"/>
      <c r="D4291" s="47"/>
      <c r="E4291" s="47"/>
      <c r="F4291" s="47"/>
    </row>
    <row r="4292" ht="15.75" customHeight="1">
      <c r="A4292" s="46"/>
      <c r="B4292" s="47"/>
      <c r="C4292" s="47"/>
      <c r="D4292" s="47"/>
      <c r="E4292" s="47"/>
      <c r="F4292" s="47"/>
    </row>
    <row r="4293" ht="15.75" customHeight="1">
      <c r="A4293" s="46"/>
      <c r="B4293" s="47"/>
      <c r="C4293" s="47"/>
      <c r="D4293" s="47"/>
      <c r="E4293" s="47"/>
      <c r="F4293" s="47"/>
    </row>
    <row r="4294" ht="15.75" customHeight="1">
      <c r="A4294" s="46"/>
      <c r="B4294" s="47"/>
      <c r="C4294" s="47"/>
      <c r="D4294" s="47"/>
      <c r="E4294" s="47"/>
      <c r="F4294" s="47"/>
    </row>
    <row r="4295" ht="15.75" customHeight="1">
      <c r="A4295" s="46"/>
      <c r="B4295" s="47"/>
      <c r="C4295" s="47"/>
      <c r="D4295" s="47"/>
      <c r="E4295" s="47"/>
      <c r="F4295" s="47"/>
    </row>
    <row r="4296" ht="15.75" customHeight="1">
      <c r="A4296" s="46"/>
      <c r="B4296" s="47"/>
      <c r="C4296" s="47"/>
      <c r="D4296" s="47"/>
      <c r="E4296" s="47"/>
      <c r="F4296" s="47"/>
    </row>
    <row r="4297" ht="15.75" customHeight="1">
      <c r="A4297" s="46"/>
      <c r="B4297" s="47"/>
      <c r="C4297" s="47"/>
      <c r="D4297" s="47"/>
      <c r="E4297" s="47"/>
      <c r="F4297" s="47"/>
    </row>
    <row r="4298" ht="15.75" customHeight="1">
      <c r="A4298" s="46"/>
      <c r="B4298" s="47"/>
      <c r="C4298" s="47"/>
      <c r="D4298" s="47"/>
      <c r="E4298" s="47"/>
      <c r="F4298" s="47"/>
    </row>
    <row r="4299" ht="15.75" customHeight="1">
      <c r="A4299" s="46"/>
      <c r="B4299" s="47"/>
      <c r="C4299" s="47"/>
      <c r="D4299" s="47"/>
      <c r="E4299" s="47"/>
      <c r="F4299" s="47"/>
    </row>
    <row r="4300" ht="15.75" customHeight="1">
      <c r="A4300" s="46"/>
      <c r="B4300" s="47"/>
      <c r="C4300" s="47"/>
      <c r="D4300" s="47"/>
      <c r="E4300" s="47"/>
      <c r="F4300" s="47"/>
    </row>
    <row r="4301" ht="15.75" customHeight="1">
      <c r="A4301" s="46"/>
      <c r="B4301" s="47"/>
      <c r="C4301" s="47"/>
      <c r="D4301" s="47"/>
      <c r="E4301" s="47"/>
      <c r="F4301" s="47"/>
    </row>
    <row r="4302" ht="15.75" customHeight="1">
      <c r="A4302" s="46"/>
      <c r="B4302" s="47"/>
      <c r="C4302" s="47"/>
      <c r="D4302" s="47"/>
      <c r="E4302" s="47"/>
      <c r="F4302" s="47"/>
    </row>
    <row r="4303" ht="15.75" customHeight="1">
      <c r="A4303" s="46"/>
      <c r="B4303" s="47"/>
      <c r="C4303" s="47"/>
      <c r="D4303" s="47"/>
      <c r="E4303" s="47"/>
      <c r="F4303" s="47"/>
    </row>
    <row r="4304" ht="15.75" customHeight="1">
      <c r="A4304" s="46"/>
      <c r="B4304" s="47"/>
      <c r="C4304" s="47"/>
      <c r="D4304" s="47"/>
      <c r="E4304" s="47"/>
      <c r="F4304" s="47"/>
    </row>
    <row r="4305" ht="15.75" customHeight="1">
      <c r="A4305" s="46"/>
      <c r="B4305" s="47"/>
      <c r="C4305" s="47"/>
      <c r="D4305" s="47"/>
      <c r="E4305" s="47"/>
      <c r="F4305" s="47"/>
    </row>
    <row r="4306" ht="15.75" customHeight="1">
      <c r="A4306" s="46"/>
      <c r="B4306" s="47"/>
      <c r="C4306" s="47"/>
      <c r="D4306" s="47"/>
      <c r="E4306" s="47"/>
      <c r="F4306" s="47"/>
    </row>
    <row r="4307" ht="15.75" customHeight="1">
      <c r="A4307" s="46"/>
      <c r="B4307" s="47"/>
      <c r="C4307" s="47"/>
      <c r="D4307" s="47"/>
      <c r="E4307" s="47"/>
      <c r="F4307" s="47"/>
    </row>
    <row r="4308" ht="15.75" customHeight="1">
      <c r="A4308" s="46"/>
      <c r="B4308" s="47"/>
      <c r="C4308" s="47"/>
      <c r="D4308" s="47"/>
      <c r="E4308" s="47"/>
      <c r="F4308" s="47"/>
    </row>
    <row r="4309" ht="15.75" customHeight="1">
      <c r="A4309" s="46"/>
      <c r="B4309" s="47"/>
      <c r="C4309" s="47"/>
      <c r="D4309" s="47"/>
      <c r="E4309" s="47"/>
      <c r="F4309" s="47"/>
    </row>
    <row r="4310" ht="15.75" customHeight="1">
      <c r="A4310" s="46"/>
      <c r="B4310" s="47"/>
      <c r="C4310" s="47"/>
      <c r="D4310" s="47"/>
      <c r="E4310" s="47"/>
      <c r="F4310" s="47"/>
    </row>
    <row r="4311" ht="15.75" customHeight="1">
      <c r="A4311" s="46"/>
      <c r="B4311" s="47"/>
      <c r="C4311" s="47"/>
      <c r="D4311" s="47"/>
      <c r="E4311" s="47"/>
      <c r="F4311" s="47"/>
    </row>
    <row r="4312" ht="15.75" customHeight="1">
      <c r="A4312" s="46"/>
      <c r="B4312" s="47"/>
      <c r="C4312" s="47"/>
      <c r="D4312" s="47"/>
      <c r="E4312" s="47"/>
      <c r="F4312" s="47"/>
    </row>
    <row r="4313" ht="15.75" customHeight="1">
      <c r="A4313" s="46"/>
      <c r="B4313" s="47"/>
      <c r="C4313" s="47"/>
      <c r="D4313" s="47"/>
      <c r="E4313" s="47"/>
      <c r="F4313" s="47"/>
    </row>
    <row r="4314" ht="15.75" customHeight="1">
      <c r="A4314" s="46"/>
      <c r="B4314" s="47"/>
      <c r="C4314" s="47"/>
      <c r="D4314" s="47"/>
      <c r="E4314" s="47"/>
      <c r="F4314" s="47"/>
    </row>
    <row r="4315" ht="15.75" customHeight="1">
      <c r="A4315" s="46"/>
      <c r="B4315" s="47"/>
      <c r="C4315" s="47"/>
      <c r="D4315" s="47"/>
      <c r="E4315" s="47"/>
      <c r="F4315" s="47"/>
    </row>
    <row r="4316" ht="15.75" customHeight="1">
      <c r="A4316" s="46"/>
      <c r="B4316" s="47"/>
      <c r="C4316" s="47"/>
      <c r="D4316" s="47"/>
      <c r="E4316" s="47"/>
      <c r="F4316" s="47"/>
    </row>
    <row r="4317" ht="15.75" customHeight="1">
      <c r="A4317" s="46"/>
      <c r="B4317" s="47"/>
      <c r="C4317" s="47"/>
      <c r="D4317" s="47"/>
      <c r="E4317" s="47"/>
      <c r="F4317" s="47"/>
    </row>
    <row r="4318" ht="15.75" customHeight="1">
      <c r="A4318" s="46"/>
      <c r="B4318" s="47"/>
      <c r="C4318" s="47"/>
      <c r="D4318" s="47"/>
      <c r="E4318" s="47"/>
      <c r="F4318" s="47"/>
    </row>
    <row r="4319" ht="15.75" customHeight="1">
      <c r="A4319" s="46"/>
      <c r="B4319" s="47"/>
      <c r="C4319" s="47"/>
      <c r="D4319" s="47"/>
      <c r="E4319" s="47"/>
      <c r="F4319" s="47"/>
    </row>
    <row r="4320" ht="15.75" customHeight="1">
      <c r="A4320" s="46"/>
      <c r="B4320" s="47"/>
      <c r="C4320" s="47"/>
      <c r="D4320" s="47"/>
      <c r="E4320" s="47"/>
      <c r="F4320" s="47"/>
    </row>
    <row r="4321" ht="15.75" customHeight="1">
      <c r="A4321" s="46"/>
      <c r="B4321" s="47"/>
      <c r="C4321" s="47"/>
      <c r="D4321" s="47"/>
      <c r="E4321" s="47"/>
      <c r="F4321" s="47"/>
    </row>
    <row r="4322" ht="15.75" customHeight="1">
      <c r="A4322" s="46"/>
      <c r="B4322" s="47"/>
      <c r="C4322" s="47"/>
      <c r="D4322" s="47"/>
      <c r="E4322" s="47"/>
      <c r="F4322" s="47"/>
    </row>
    <row r="4323" ht="15.75" customHeight="1">
      <c r="A4323" s="46"/>
      <c r="B4323" s="47"/>
      <c r="C4323" s="47"/>
      <c r="D4323" s="47"/>
      <c r="E4323" s="47"/>
      <c r="F4323" s="47"/>
    </row>
    <row r="4324" ht="15.75" customHeight="1">
      <c r="A4324" s="46"/>
      <c r="B4324" s="47"/>
      <c r="C4324" s="47"/>
      <c r="D4324" s="47"/>
      <c r="E4324" s="47"/>
      <c r="F4324" s="47"/>
    </row>
    <row r="4325" ht="15.75" customHeight="1">
      <c r="A4325" s="46"/>
      <c r="B4325" s="47"/>
      <c r="C4325" s="47"/>
      <c r="D4325" s="47"/>
      <c r="E4325" s="47"/>
      <c r="F4325" s="47"/>
    </row>
    <row r="4326" ht="15.75" customHeight="1">
      <c r="A4326" s="46"/>
      <c r="B4326" s="47"/>
      <c r="C4326" s="47"/>
      <c r="D4326" s="47"/>
      <c r="E4326" s="47"/>
      <c r="F4326" s="47"/>
    </row>
    <row r="4327" ht="15.75" customHeight="1">
      <c r="A4327" s="46"/>
      <c r="B4327" s="47"/>
      <c r="C4327" s="47"/>
      <c r="D4327" s="47"/>
      <c r="E4327" s="47"/>
      <c r="F4327" s="47"/>
    </row>
    <row r="4328" ht="15.75" customHeight="1">
      <c r="A4328" s="46"/>
      <c r="B4328" s="47"/>
      <c r="C4328" s="47"/>
      <c r="D4328" s="47"/>
      <c r="E4328" s="47"/>
      <c r="F4328" s="47"/>
    </row>
    <row r="4329" ht="15.75" customHeight="1">
      <c r="A4329" s="46"/>
      <c r="B4329" s="47"/>
      <c r="C4329" s="47"/>
      <c r="D4329" s="47"/>
      <c r="E4329" s="47"/>
      <c r="F4329" s="47"/>
    </row>
    <row r="4330" ht="15.75" customHeight="1">
      <c r="A4330" s="46"/>
      <c r="B4330" s="47"/>
      <c r="C4330" s="47"/>
      <c r="D4330" s="47"/>
      <c r="E4330" s="47"/>
      <c r="F4330" s="47"/>
    </row>
    <row r="4331" ht="15.75" customHeight="1">
      <c r="A4331" s="46"/>
      <c r="B4331" s="47"/>
      <c r="C4331" s="47"/>
      <c r="D4331" s="47"/>
      <c r="E4331" s="47"/>
      <c r="F4331" s="47"/>
    </row>
    <row r="4332" ht="15.75" customHeight="1">
      <c r="A4332" s="46"/>
      <c r="B4332" s="47"/>
      <c r="C4332" s="47"/>
      <c r="D4332" s="47"/>
      <c r="E4332" s="47"/>
      <c r="F4332" s="47"/>
    </row>
    <row r="4333" ht="15.75" customHeight="1">
      <c r="A4333" s="46"/>
      <c r="B4333" s="47"/>
      <c r="C4333" s="47"/>
      <c r="D4333" s="47"/>
      <c r="E4333" s="47"/>
      <c r="F4333" s="47"/>
    </row>
    <row r="4334" ht="15.75" customHeight="1">
      <c r="A4334" s="46"/>
      <c r="B4334" s="47"/>
      <c r="C4334" s="47"/>
      <c r="D4334" s="47"/>
      <c r="E4334" s="47"/>
      <c r="F4334" s="47"/>
    </row>
    <row r="4335" ht="15.75" customHeight="1">
      <c r="A4335" s="46"/>
      <c r="B4335" s="47"/>
      <c r="C4335" s="47"/>
      <c r="D4335" s="47"/>
      <c r="E4335" s="47"/>
      <c r="F4335" s="47"/>
    </row>
    <row r="4336" ht="15.75" customHeight="1">
      <c r="A4336" s="46"/>
      <c r="B4336" s="47"/>
      <c r="C4336" s="47"/>
      <c r="D4336" s="47"/>
      <c r="E4336" s="47"/>
      <c r="F4336" s="47"/>
    </row>
    <row r="4337" ht="15.75" customHeight="1">
      <c r="A4337" s="46"/>
      <c r="B4337" s="47"/>
      <c r="C4337" s="47"/>
      <c r="D4337" s="47"/>
      <c r="E4337" s="47"/>
      <c r="F4337" s="47"/>
    </row>
    <row r="4338" ht="15.75" customHeight="1">
      <c r="A4338" s="46"/>
      <c r="B4338" s="47"/>
      <c r="C4338" s="47"/>
      <c r="D4338" s="47"/>
      <c r="E4338" s="47"/>
      <c r="F4338" s="47"/>
    </row>
    <row r="4339" ht="15.75" customHeight="1">
      <c r="A4339" s="46"/>
      <c r="B4339" s="47"/>
      <c r="C4339" s="47"/>
      <c r="D4339" s="47"/>
      <c r="E4339" s="47"/>
      <c r="F4339" s="47"/>
    </row>
    <row r="4340" ht="15.75" customHeight="1">
      <c r="A4340" s="46"/>
      <c r="B4340" s="47"/>
      <c r="C4340" s="47"/>
      <c r="D4340" s="47"/>
      <c r="E4340" s="47"/>
      <c r="F4340" s="47"/>
    </row>
    <row r="4341" ht="15.75" customHeight="1">
      <c r="A4341" s="46"/>
      <c r="B4341" s="47"/>
      <c r="C4341" s="47"/>
      <c r="D4341" s="47"/>
      <c r="E4341" s="47"/>
      <c r="F4341" s="47"/>
    </row>
    <row r="4342" ht="15.75" customHeight="1">
      <c r="A4342" s="46"/>
      <c r="B4342" s="47"/>
      <c r="C4342" s="47"/>
      <c r="D4342" s="47"/>
      <c r="E4342" s="47"/>
      <c r="F4342" s="47"/>
    </row>
    <row r="4343" ht="15.75" customHeight="1">
      <c r="A4343" s="46"/>
      <c r="B4343" s="47"/>
      <c r="C4343" s="47"/>
      <c r="D4343" s="47"/>
      <c r="E4343" s="47"/>
      <c r="F4343" s="47"/>
    </row>
    <row r="4344" ht="15.75" customHeight="1">
      <c r="A4344" s="46"/>
      <c r="B4344" s="47"/>
      <c r="C4344" s="47"/>
      <c r="D4344" s="47"/>
      <c r="E4344" s="47"/>
      <c r="F4344" s="47"/>
    </row>
    <row r="4345" ht="15.75" customHeight="1">
      <c r="A4345" s="46"/>
      <c r="B4345" s="47"/>
      <c r="C4345" s="47"/>
      <c r="D4345" s="47"/>
      <c r="E4345" s="47"/>
      <c r="F4345" s="47"/>
    </row>
    <row r="4346" ht="15.75" customHeight="1">
      <c r="A4346" s="46"/>
      <c r="B4346" s="47"/>
      <c r="C4346" s="47"/>
      <c r="D4346" s="47"/>
      <c r="E4346" s="47"/>
      <c r="F4346" s="47"/>
    </row>
    <row r="4347" ht="15.75" customHeight="1">
      <c r="A4347" s="46"/>
      <c r="B4347" s="47"/>
      <c r="C4347" s="47"/>
      <c r="D4347" s="47"/>
      <c r="E4347" s="47"/>
      <c r="F4347" s="47"/>
    </row>
    <row r="4348" ht="15.75" customHeight="1">
      <c r="A4348" s="46"/>
      <c r="B4348" s="47"/>
      <c r="C4348" s="47"/>
      <c r="D4348" s="47"/>
      <c r="E4348" s="47"/>
      <c r="F4348" s="47"/>
    </row>
    <row r="4349" ht="15.75" customHeight="1">
      <c r="A4349" s="46"/>
      <c r="B4349" s="47"/>
      <c r="C4349" s="47"/>
      <c r="D4349" s="47"/>
      <c r="E4349" s="47"/>
      <c r="F4349" s="47"/>
    </row>
    <row r="4350" ht="15.75" customHeight="1">
      <c r="A4350" s="46"/>
      <c r="B4350" s="47"/>
      <c r="C4350" s="47"/>
      <c r="D4350" s="47"/>
      <c r="E4350" s="47"/>
      <c r="F4350" s="47"/>
    </row>
    <row r="4351" ht="15.75" customHeight="1">
      <c r="A4351" s="46"/>
      <c r="B4351" s="47"/>
      <c r="C4351" s="47"/>
      <c r="D4351" s="47"/>
      <c r="E4351" s="47"/>
      <c r="F4351" s="47"/>
    </row>
    <row r="4352" ht="15.75" customHeight="1">
      <c r="A4352" s="46"/>
      <c r="B4352" s="47"/>
      <c r="C4352" s="47"/>
      <c r="D4352" s="47"/>
      <c r="E4352" s="47"/>
      <c r="F4352" s="47"/>
    </row>
    <row r="4353" ht="15.75" customHeight="1">
      <c r="A4353" s="46"/>
      <c r="B4353" s="47"/>
      <c r="C4353" s="47"/>
      <c r="D4353" s="47"/>
      <c r="E4353" s="47"/>
      <c r="F4353" s="47"/>
    </row>
    <row r="4354" ht="15.75" customHeight="1">
      <c r="A4354" s="46"/>
      <c r="B4354" s="47"/>
      <c r="C4354" s="47"/>
      <c r="D4354" s="47"/>
      <c r="E4354" s="47"/>
      <c r="F4354" s="47"/>
    </row>
    <row r="4355" ht="15.75" customHeight="1">
      <c r="A4355" s="46"/>
      <c r="B4355" s="47"/>
      <c r="C4355" s="47"/>
      <c r="D4355" s="47"/>
      <c r="E4355" s="47"/>
      <c r="F4355" s="47"/>
    </row>
    <row r="4356" ht="15.75" customHeight="1">
      <c r="A4356" s="46"/>
      <c r="B4356" s="47"/>
      <c r="C4356" s="47"/>
      <c r="D4356" s="47"/>
      <c r="E4356" s="47"/>
      <c r="F4356" s="47"/>
    </row>
    <row r="4357" ht="15.75" customHeight="1">
      <c r="A4357" s="46"/>
      <c r="B4357" s="47"/>
      <c r="C4357" s="47"/>
      <c r="D4357" s="47"/>
      <c r="E4357" s="47"/>
      <c r="F4357" s="47"/>
    </row>
    <row r="4358" ht="15.75" customHeight="1">
      <c r="A4358" s="46"/>
      <c r="B4358" s="47"/>
      <c r="C4358" s="47"/>
      <c r="D4358" s="47"/>
      <c r="E4358" s="47"/>
      <c r="F4358" s="47"/>
    </row>
    <row r="4359" ht="15.75" customHeight="1">
      <c r="A4359" s="46"/>
      <c r="B4359" s="47"/>
      <c r="C4359" s="47"/>
      <c r="D4359" s="47"/>
      <c r="E4359" s="47"/>
      <c r="F4359" s="47"/>
    </row>
    <row r="4360" ht="15.75" customHeight="1">
      <c r="A4360" s="46"/>
      <c r="B4360" s="47"/>
      <c r="C4360" s="47"/>
      <c r="D4360" s="47"/>
      <c r="E4360" s="47"/>
      <c r="F4360" s="47"/>
    </row>
    <row r="4361" ht="15.75" customHeight="1">
      <c r="A4361" s="46"/>
      <c r="B4361" s="47"/>
      <c r="C4361" s="47"/>
      <c r="D4361" s="47"/>
      <c r="E4361" s="47"/>
      <c r="F4361" s="47"/>
    </row>
    <row r="4362" ht="15.75" customHeight="1">
      <c r="A4362" s="46"/>
      <c r="B4362" s="47"/>
      <c r="C4362" s="47"/>
      <c r="D4362" s="47"/>
      <c r="E4362" s="47"/>
      <c r="F4362" s="47"/>
    </row>
    <row r="4363" ht="15.75" customHeight="1">
      <c r="A4363" s="46"/>
      <c r="B4363" s="47"/>
      <c r="C4363" s="47"/>
      <c r="D4363" s="47"/>
      <c r="E4363" s="47"/>
      <c r="F4363" s="47"/>
    </row>
    <row r="4364" ht="15.75" customHeight="1">
      <c r="A4364" s="46"/>
      <c r="B4364" s="47"/>
      <c r="C4364" s="47"/>
      <c r="D4364" s="47"/>
      <c r="E4364" s="47"/>
      <c r="F4364" s="47"/>
    </row>
    <row r="4365" ht="15.75" customHeight="1">
      <c r="A4365" s="46"/>
      <c r="B4365" s="47"/>
      <c r="C4365" s="47"/>
      <c r="D4365" s="47"/>
      <c r="E4365" s="47"/>
      <c r="F4365" s="47"/>
    </row>
    <row r="4366" ht="15.75" customHeight="1">
      <c r="A4366" s="46"/>
      <c r="B4366" s="47"/>
      <c r="C4366" s="47"/>
      <c r="D4366" s="47"/>
      <c r="E4366" s="47"/>
      <c r="F4366" s="47"/>
    </row>
    <row r="4367" ht="15.75" customHeight="1">
      <c r="A4367" s="46"/>
      <c r="B4367" s="47"/>
      <c r="C4367" s="47"/>
      <c r="D4367" s="47"/>
      <c r="E4367" s="47"/>
      <c r="F4367" s="47"/>
    </row>
    <row r="4368" ht="15.75" customHeight="1">
      <c r="A4368" s="46"/>
      <c r="B4368" s="47"/>
      <c r="C4368" s="47"/>
      <c r="D4368" s="47"/>
      <c r="E4368" s="47"/>
      <c r="F4368" s="47"/>
    </row>
    <row r="4369" ht="15.75" customHeight="1">
      <c r="A4369" s="46"/>
      <c r="B4369" s="47"/>
      <c r="C4369" s="47"/>
      <c r="D4369" s="47"/>
      <c r="E4369" s="47"/>
      <c r="F4369" s="47"/>
    </row>
    <row r="4370" ht="15.75" customHeight="1">
      <c r="A4370" s="46"/>
      <c r="B4370" s="47"/>
      <c r="C4370" s="47"/>
      <c r="D4370" s="47"/>
      <c r="E4370" s="47"/>
      <c r="F4370" s="47"/>
    </row>
    <row r="4371" ht="15.75" customHeight="1">
      <c r="A4371" s="46"/>
      <c r="B4371" s="47"/>
      <c r="C4371" s="47"/>
      <c r="D4371" s="47"/>
      <c r="E4371" s="47"/>
      <c r="F4371" s="47"/>
    </row>
    <row r="4372" ht="15.75" customHeight="1">
      <c r="A4372" s="46"/>
      <c r="B4372" s="47"/>
      <c r="C4372" s="47"/>
      <c r="D4372" s="47"/>
      <c r="E4372" s="47"/>
      <c r="F4372" s="47"/>
    </row>
    <row r="4373" ht="15.75" customHeight="1">
      <c r="A4373" s="46"/>
      <c r="B4373" s="47"/>
      <c r="C4373" s="47"/>
      <c r="D4373" s="47"/>
      <c r="E4373" s="47"/>
      <c r="F4373" s="47"/>
    </row>
    <row r="4374" ht="15.75" customHeight="1">
      <c r="A4374" s="46"/>
      <c r="B4374" s="47"/>
      <c r="C4374" s="47"/>
      <c r="D4374" s="47"/>
      <c r="E4374" s="47"/>
      <c r="F4374" s="47"/>
    </row>
    <row r="4375" ht="15.75" customHeight="1">
      <c r="A4375" s="46"/>
      <c r="B4375" s="47"/>
      <c r="C4375" s="47"/>
      <c r="D4375" s="47"/>
      <c r="E4375" s="47"/>
      <c r="F4375" s="47"/>
    </row>
    <row r="4376" ht="15.75" customHeight="1">
      <c r="A4376" s="46"/>
      <c r="B4376" s="47"/>
      <c r="C4376" s="47"/>
      <c r="D4376" s="47"/>
      <c r="E4376" s="47"/>
      <c r="F4376" s="47"/>
    </row>
    <row r="4377" ht="15.75" customHeight="1">
      <c r="A4377" s="46"/>
      <c r="B4377" s="47"/>
      <c r="C4377" s="47"/>
      <c r="D4377" s="47"/>
      <c r="E4377" s="47"/>
      <c r="F4377" s="47"/>
    </row>
    <row r="4378" ht="15.75" customHeight="1">
      <c r="A4378" s="46"/>
      <c r="B4378" s="47"/>
      <c r="C4378" s="47"/>
      <c r="D4378" s="47"/>
      <c r="E4378" s="47"/>
      <c r="F4378" s="47"/>
    </row>
    <row r="4379" ht="15.75" customHeight="1">
      <c r="A4379" s="46"/>
      <c r="B4379" s="47"/>
      <c r="C4379" s="47"/>
      <c r="D4379" s="47"/>
      <c r="E4379" s="47"/>
      <c r="F4379" s="47"/>
    </row>
    <row r="4380" ht="15.75" customHeight="1">
      <c r="A4380" s="46"/>
      <c r="B4380" s="47"/>
      <c r="C4380" s="47"/>
      <c r="D4380" s="47"/>
      <c r="E4380" s="47"/>
      <c r="F4380" s="47"/>
    </row>
    <row r="4381" ht="15.75" customHeight="1">
      <c r="A4381" s="46"/>
      <c r="B4381" s="47"/>
      <c r="C4381" s="47"/>
      <c r="D4381" s="47"/>
      <c r="E4381" s="47"/>
      <c r="F4381" s="47"/>
    </row>
    <row r="4382" ht="15.75" customHeight="1">
      <c r="A4382" s="46"/>
      <c r="B4382" s="47"/>
      <c r="C4382" s="47"/>
      <c r="D4382" s="47"/>
      <c r="E4382" s="47"/>
      <c r="F4382" s="47"/>
    </row>
    <row r="4383" ht="15.75" customHeight="1">
      <c r="A4383" s="46"/>
      <c r="B4383" s="47"/>
      <c r="C4383" s="47"/>
      <c r="D4383" s="47"/>
      <c r="E4383" s="47"/>
      <c r="F4383" s="47"/>
    </row>
    <row r="4384" ht="15.75" customHeight="1">
      <c r="A4384" s="46"/>
      <c r="B4384" s="47"/>
      <c r="C4384" s="47"/>
      <c r="D4384" s="47"/>
      <c r="E4384" s="47"/>
      <c r="F4384" s="47"/>
    </row>
    <row r="4385" ht="15.75" customHeight="1">
      <c r="A4385" s="46"/>
      <c r="B4385" s="47"/>
      <c r="C4385" s="47"/>
      <c r="D4385" s="47"/>
      <c r="E4385" s="47"/>
      <c r="F4385" s="47"/>
    </row>
    <row r="4386" ht="15.75" customHeight="1">
      <c r="A4386" s="46"/>
      <c r="B4386" s="47"/>
      <c r="C4386" s="47"/>
      <c r="D4386" s="47"/>
      <c r="E4386" s="47"/>
      <c r="F4386" s="47"/>
    </row>
    <row r="4387" ht="15.75" customHeight="1">
      <c r="A4387" s="46"/>
      <c r="B4387" s="47"/>
      <c r="C4387" s="47"/>
      <c r="D4387" s="47"/>
      <c r="E4387" s="47"/>
      <c r="F4387" s="47"/>
    </row>
    <row r="4388" ht="15.75" customHeight="1">
      <c r="A4388" s="46"/>
      <c r="B4388" s="47"/>
      <c r="C4388" s="47"/>
      <c r="D4388" s="47"/>
      <c r="E4388" s="47"/>
      <c r="F4388" s="47"/>
    </row>
    <row r="4389" ht="15.75" customHeight="1">
      <c r="A4389" s="46"/>
      <c r="B4389" s="47"/>
      <c r="C4389" s="47"/>
      <c r="D4389" s="47"/>
      <c r="E4389" s="47"/>
      <c r="F4389" s="47"/>
    </row>
    <row r="4390" ht="15.75" customHeight="1">
      <c r="A4390" s="46"/>
      <c r="B4390" s="47"/>
      <c r="C4390" s="47"/>
      <c r="D4390" s="47"/>
      <c r="E4390" s="47"/>
      <c r="F4390" s="47"/>
    </row>
    <row r="4391" ht="15.75" customHeight="1">
      <c r="A4391" s="46"/>
      <c r="B4391" s="47"/>
      <c r="C4391" s="47"/>
      <c r="D4391" s="47"/>
      <c r="E4391" s="47"/>
      <c r="F4391" s="47"/>
    </row>
    <row r="4392" ht="15.75" customHeight="1">
      <c r="A4392" s="46"/>
      <c r="B4392" s="47"/>
      <c r="C4392" s="47"/>
      <c r="D4392" s="47"/>
      <c r="E4392" s="47"/>
      <c r="F4392" s="47"/>
    </row>
    <row r="4393" ht="15.75" customHeight="1">
      <c r="A4393" s="46"/>
      <c r="B4393" s="47"/>
      <c r="C4393" s="47"/>
      <c r="D4393" s="47"/>
      <c r="E4393" s="47"/>
      <c r="F4393" s="47"/>
    </row>
    <row r="4394" ht="15.75" customHeight="1">
      <c r="A4394" s="46"/>
      <c r="B4394" s="47"/>
      <c r="C4394" s="47"/>
      <c r="D4394" s="47"/>
      <c r="E4394" s="47"/>
      <c r="F4394" s="47"/>
    </row>
    <row r="4395" ht="15.75" customHeight="1">
      <c r="A4395" s="46"/>
      <c r="B4395" s="47"/>
      <c r="C4395" s="47"/>
      <c r="D4395" s="47"/>
      <c r="E4395" s="47"/>
      <c r="F4395" s="47"/>
    </row>
    <row r="4396" ht="15.75" customHeight="1">
      <c r="A4396" s="46"/>
      <c r="B4396" s="47"/>
      <c r="C4396" s="47"/>
      <c r="D4396" s="47"/>
      <c r="E4396" s="47"/>
      <c r="F4396" s="47"/>
    </row>
    <row r="4397" ht="15.75" customHeight="1">
      <c r="A4397" s="46"/>
      <c r="B4397" s="47"/>
      <c r="C4397" s="47"/>
      <c r="D4397" s="47"/>
      <c r="E4397" s="47"/>
      <c r="F4397" s="47"/>
    </row>
    <row r="4398" ht="15.75" customHeight="1">
      <c r="A4398" s="46"/>
      <c r="B4398" s="47"/>
      <c r="C4398" s="47"/>
      <c r="D4398" s="47"/>
      <c r="E4398" s="47"/>
      <c r="F4398" s="47"/>
    </row>
    <row r="4399" ht="15.75" customHeight="1">
      <c r="A4399" s="46"/>
      <c r="B4399" s="47"/>
      <c r="C4399" s="47"/>
      <c r="D4399" s="47"/>
      <c r="E4399" s="47"/>
      <c r="F4399" s="47"/>
    </row>
    <row r="4400" ht="15.75" customHeight="1">
      <c r="A4400" s="46"/>
      <c r="B4400" s="47"/>
      <c r="C4400" s="47"/>
      <c r="D4400" s="47"/>
      <c r="E4400" s="47"/>
      <c r="F4400" s="47"/>
    </row>
    <row r="4401" ht="15.75" customHeight="1">
      <c r="A4401" s="46"/>
      <c r="B4401" s="47"/>
      <c r="C4401" s="47"/>
      <c r="D4401" s="47"/>
      <c r="E4401" s="47"/>
      <c r="F4401" s="47"/>
    </row>
    <row r="4402" ht="15.75" customHeight="1">
      <c r="A4402" s="46"/>
      <c r="B4402" s="47"/>
      <c r="C4402" s="47"/>
      <c r="D4402" s="47"/>
      <c r="E4402" s="47"/>
      <c r="F4402" s="47"/>
    </row>
    <row r="4403" ht="15.75" customHeight="1">
      <c r="A4403" s="46"/>
      <c r="B4403" s="47"/>
      <c r="C4403" s="47"/>
      <c r="D4403" s="47"/>
      <c r="E4403" s="47"/>
      <c r="F4403" s="47"/>
    </row>
    <row r="4404" ht="15.75" customHeight="1">
      <c r="A4404" s="46"/>
      <c r="B4404" s="47"/>
      <c r="C4404" s="47"/>
      <c r="D4404" s="47"/>
      <c r="E4404" s="47"/>
      <c r="F4404" s="47"/>
    </row>
    <row r="4405" ht="15.75" customHeight="1">
      <c r="A4405" s="46"/>
      <c r="B4405" s="47"/>
      <c r="C4405" s="47"/>
      <c r="D4405" s="47"/>
      <c r="E4405" s="47"/>
      <c r="F4405" s="47"/>
    </row>
    <row r="4406" ht="15.75" customHeight="1">
      <c r="A4406" s="46"/>
      <c r="B4406" s="47"/>
      <c r="C4406" s="47"/>
      <c r="D4406" s="47"/>
      <c r="E4406" s="47"/>
      <c r="F4406" s="47"/>
    </row>
    <row r="4407" ht="15.75" customHeight="1">
      <c r="A4407" s="46"/>
      <c r="B4407" s="47"/>
      <c r="C4407" s="47"/>
      <c r="D4407" s="47"/>
      <c r="E4407" s="47"/>
      <c r="F4407" s="47"/>
    </row>
    <row r="4408" ht="15.75" customHeight="1">
      <c r="A4408" s="46"/>
      <c r="B4408" s="47"/>
      <c r="C4408" s="47"/>
      <c r="D4408" s="47"/>
      <c r="E4408" s="47"/>
      <c r="F4408" s="47"/>
    </row>
    <row r="4409" ht="15.75" customHeight="1">
      <c r="A4409" s="46"/>
      <c r="B4409" s="47"/>
      <c r="C4409" s="47"/>
      <c r="D4409" s="47"/>
      <c r="E4409" s="47"/>
      <c r="F4409" s="47"/>
    </row>
    <row r="4410" ht="15.75" customHeight="1">
      <c r="A4410" s="46"/>
      <c r="B4410" s="47"/>
      <c r="C4410" s="47"/>
      <c r="D4410" s="47"/>
      <c r="E4410" s="47"/>
      <c r="F4410" s="47"/>
    </row>
    <row r="4411" ht="15.75" customHeight="1">
      <c r="A4411" s="46"/>
      <c r="B4411" s="47"/>
      <c r="C4411" s="47"/>
      <c r="D4411" s="47"/>
      <c r="E4411" s="47"/>
      <c r="F4411" s="47"/>
    </row>
    <row r="4412" ht="15.75" customHeight="1">
      <c r="A4412" s="46"/>
      <c r="B4412" s="47"/>
      <c r="C4412" s="47"/>
      <c r="D4412" s="47"/>
      <c r="E4412" s="47"/>
      <c r="F4412" s="47"/>
    </row>
    <row r="4413" ht="15.75" customHeight="1">
      <c r="A4413" s="46"/>
      <c r="B4413" s="47"/>
      <c r="C4413" s="47"/>
      <c r="D4413" s="47"/>
      <c r="E4413" s="47"/>
      <c r="F4413" s="47"/>
    </row>
    <row r="4414" ht="15.75" customHeight="1">
      <c r="A4414" s="46"/>
      <c r="B4414" s="47"/>
      <c r="C4414" s="47"/>
      <c r="D4414" s="47"/>
      <c r="E4414" s="47"/>
      <c r="F4414" s="47"/>
    </row>
    <row r="4415" ht="15.75" customHeight="1">
      <c r="A4415" s="46"/>
      <c r="B4415" s="47"/>
      <c r="C4415" s="47"/>
      <c r="D4415" s="47"/>
      <c r="E4415" s="47"/>
      <c r="F4415" s="47"/>
    </row>
    <row r="4416" ht="15.75" customHeight="1">
      <c r="A4416" s="46"/>
      <c r="B4416" s="47"/>
      <c r="C4416" s="47"/>
      <c r="D4416" s="47"/>
      <c r="E4416" s="47"/>
      <c r="F4416" s="47"/>
    </row>
    <row r="4417" ht="15.75" customHeight="1">
      <c r="A4417" s="46"/>
      <c r="B4417" s="47"/>
      <c r="C4417" s="47"/>
      <c r="D4417" s="47"/>
      <c r="E4417" s="47"/>
      <c r="F4417" s="47"/>
    </row>
    <row r="4418" ht="15.75" customHeight="1">
      <c r="A4418" s="46"/>
      <c r="B4418" s="47"/>
      <c r="C4418" s="47"/>
      <c r="D4418" s="47"/>
      <c r="E4418" s="47"/>
      <c r="F4418" s="47"/>
    </row>
    <row r="4419" ht="15.75" customHeight="1">
      <c r="A4419" s="46"/>
      <c r="B4419" s="47"/>
      <c r="C4419" s="47"/>
      <c r="D4419" s="47"/>
      <c r="E4419" s="47"/>
      <c r="F4419" s="47"/>
    </row>
    <row r="4420" ht="15.75" customHeight="1">
      <c r="A4420" s="46"/>
      <c r="B4420" s="47"/>
      <c r="C4420" s="47"/>
      <c r="D4420" s="47"/>
      <c r="E4420" s="47"/>
      <c r="F4420" s="47"/>
    </row>
    <row r="4421" ht="15.75" customHeight="1">
      <c r="A4421" s="46"/>
      <c r="B4421" s="47"/>
      <c r="C4421" s="47"/>
      <c r="D4421" s="47"/>
      <c r="E4421" s="47"/>
      <c r="F4421" s="47"/>
    </row>
    <row r="4422" ht="15.75" customHeight="1">
      <c r="A4422" s="46"/>
      <c r="B4422" s="47"/>
      <c r="C4422" s="47"/>
      <c r="D4422" s="47"/>
      <c r="E4422" s="47"/>
      <c r="F4422" s="47"/>
    </row>
    <row r="4423" ht="15.75" customHeight="1">
      <c r="A4423" s="46"/>
      <c r="B4423" s="47"/>
      <c r="C4423" s="47"/>
      <c r="D4423" s="47"/>
      <c r="E4423" s="47"/>
      <c r="F4423" s="47"/>
    </row>
    <row r="4424" ht="15.75" customHeight="1">
      <c r="A4424" s="46"/>
      <c r="B4424" s="47"/>
      <c r="C4424" s="47"/>
      <c r="D4424" s="47"/>
      <c r="E4424" s="47"/>
      <c r="F4424" s="47"/>
    </row>
    <row r="4425" ht="15.75" customHeight="1">
      <c r="A4425" s="46"/>
      <c r="B4425" s="47"/>
      <c r="C4425" s="47"/>
      <c r="D4425" s="47"/>
      <c r="E4425" s="47"/>
      <c r="F4425" s="47"/>
    </row>
    <row r="4426" ht="15.75" customHeight="1">
      <c r="A4426" s="46"/>
      <c r="B4426" s="47"/>
      <c r="C4426" s="47"/>
      <c r="D4426" s="47"/>
      <c r="E4426" s="47"/>
      <c r="F4426" s="47"/>
    </row>
    <row r="4427" ht="15.75" customHeight="1">
      <c r="A4427" s="46"/>
      <c r="B4427" s="47"/>
      <c r="C4427" s="47"/>
      <c r="D4427" s="47"/>
      <c r="E4427" s="47"/>
      <c r="F4427" s="47"/>
    </row>
    <row r="4428" ht="15.75" customHeight="1">
      <c r="A4428" s="46"/>
      <c r="B4428" s="47"/>
      <c r="C4428" s="47"/>
      <c r="D4428" s="47"/>
      <c r="E4428" s="47"/>
      <c r="F4428" s="47"/>
    </row>
    <row r="4429" ht="15.75" customHeight="1">
      <c r="A4429" s="46"/>
      <c r="B4429" s="47"/>
      <c r="C4429" s="47"/>
      <c r="D4429" s="47"/>
      <c r="E4429" s="47"/>
      <c r="F4429" s="47"/>
    </row>
    <row r="4430" ht="15.75" customHeight="1">
      <c r="A4430" s="46"/>
      <c r="B4430" s="47"/>
      <c r="C4430" s="47"/>
      <c r="D4430" s="47"/>
      <c r="E4430" s="47"/>
      <c r="F4430" s="47"/>
    </row>
    <row r="4431" ht="15.75" customHeight="1">
      <c r="A4431" s="46"/>
      <c r="B4431" s="47"/>
      <c r="C4431" s="47"/>
      <c r="D4431" s="47"/>
      <c r="E4431" s="47"/>
      <c r="F4431" s="47"/>
    </row>
    <row r="4432" ht="15.75" customHeight="1">
      <c r="A4432" s="46"/>
      <c r="B4432" s="47"/>
      <c r="C4432" s="47"/>
      <c r="D4432" s="47"/>
      <c r="E4432" s="47"/>
      <c r="F4432" s="47"/>
    </row>
    <row r="4433" ht="15.75" customHeight="1">
      <c r="A4433" s="46"/>
      <c r="B4433" s="47"/>
      <c r="C4433" s="47"/>
      <c r="D4433" s="47"/>
      <c r="E4433" s="47"/>
      <c r="F4433" s="47"/>
    </row>
    <row r="4434" ht="15.75" customHeight="1">
      <c r="A4434" s="46"/>
      <c r="B4434" s="47"/>
      <c r="C4434" s="47"/>
      <c r="D4434" s="47"/>
      <c r="E4434" s="47"/>
      <c r="F4434" s="47"/>
    </row>
    <row r="4435" ht="15.75" customHeight="1">
      <c r="A4435" s="46"/>
      <c r="B4435" s="47"/>
      <c r="C4435" s="47"/>
      <c r="D4435" s="47"/>
      <c r="E4435" s="47"/>
      <c r="F4435" s="47"/>
    </row>
    <row r="4436" ht="15.75" customHeight="1">
      <c r="A4436" s="46"/>
      <c r="B4436" s="47"/>
      <c r="C4436" s="47"/>
      <c r="D4436" s="47"/>
      <c r="E4436" s="47"/>
      <c r="F4436" s="47"/>
    </row>
    <row r="4437" ht="15.75" customHeight="1">
      <c r="A4437" s="46"/>
      <c r="B4437" s="47"/>
      <c r="C4437" s="47"/>
      <c r="D4437" s="47"/>
      <c r="E4437" s="47"/>
      <c r="F4437" s="47"/>
    </row>
    <row r="4438" ht="15.75" customHeight="1">
      <c r="A4438" s="46"/>
      <c r="B4438" s="47"/>
      <c r="C4438" s="47"/>
      <c r="D4438" s="47"/>
      <c r="E4438" s="47"/>
      <c r="F4438" s="47"/>
    </row>
    <row r="4439" ht="15.75" customHeight="1">
      <c r="A4439" s="46"/>
      <c r="B4439" s="47"/>
      <c r="C4439" s="47"/>
      <c r="D4439" s="47"/>
      <c r="E4439" s="47"/>
      <c r="F4439" s="47"/>
    </row>
    <row r="4440" ht="15.75" customHeight="1">
      <c r="A4440" s="46"/>
      <c r="B4440" s="47"/>
      <c r="C4440" s="47"/>
      <c r="D4440" s="47"/>
      <c r="E4440" s="47"/>
      <c r="F4440" s="47"/>
    </row>
    <row r="4441" ht="15.75" customHeight="1">
      <c r="A4441" s="46"/>
      <c r="B4441" s="47"/>
      <c r="C4441" s="47"/>
      <c r="D4441" s="47"/>
      <c r="E4441" s="47"/>
      <c r="F4441" s="47"/>
    </row>
    <row r="4442" ht="15.75" customHeight="1">
      <c r="A4442" s="46"/>
      <c r="B4442" s="47"/>
      <c r="C4442" s="47"/>
      <c r="D4442" s="47"/>
      <c r="E4442" s="47"/>
      <c r="F4442" s="47"/>
    </row>
    <row r="4443" ht="15.75" customHeight="1">
      <c r="A4443" s="46"/>
      <c r="B4443" s="47"/>
      <c r="C4443" s="47"/>
      <c r="D4443" s="47"/>
      <c r="E4443" s="47"/>
      <c r="F4443" s="47"/>
    </row>
    <row r="4444" ht="15.75" customHeight="1">
      <c r="A4444" s="46"/>
      <c r="B4444" s="47"/>
      <c r="C4444" s="47"/>
      <c r="D4444" s="47"/>
      <c r="E4444" s="47"/>
      <c r="F4444" s="47"/>
    </row>
    <row r="4445" ht="15.75" customHeight="1">
      <c r="A4445" s="46"/>
      <c r="B4445" s="47"/>
      <c r="C4445" s="47"/>
      <c r="D4445" s="47"/>
      <c r="E4445" s="47"/>
      <c r="F4445" s="47"/>
    </row>
    <row r="4446" ht="15.75" customHeight="1">
      <c r="A4446" s="46"/>
      <c r="B4446" s="47"/>
      <c r="C4446" s="47"/>
      <c r="D4446" s="47"/>
      <c r="E4446" s="47"/>
      <c r="F4446" s="47"/>
    </row>
    <row r="4447" ht="15.75" customHeight="1">
      <c r="A4447" s="46"/>
      <c r="B4447" s="47"/>
      <c r="C4447" s="47"/>
      <c r="D4447" s="47"/>
      <c r="E4447" s="47"/>
      <c r="F4447" s="47"/>
    </row>
    <row r="4448" ht="15.75" customHeight="1">
      <c r="A4448" s="46"/>
      <c r="B4448" s="47"/>
      <c r="C4448" s="47"/>
      <c r="D4448" s="47"/>
      <c r="E4448" s="47"/>
      <c r="F4448" s="47"/>
    </row>
    <row r="4449" ht="15.75" customHeight="1">
      <c r="A4449" s="46"/>
      <c r="B4449" s="47"/>
      <c r="C4449" s="47"/>
      <c r="D4449" s="47"/>
      <c r="E4449" s="47"/>
      <c r="F4449" s="47"/>
    </row>
    <row r="4450" ht="15.75" customHeight="1">
      <c r="A4450" s="46"/>
      <c r="B4450" s="47"/>
      <c r="C4450" s="47"/>
      <c r="D4450" s="47"/>
      <c r="E4450" s="47"/>
      <c r="F4450" s="47"/>
    </row>
    <row r="4451" ht="15.75" customHeight="1">
      <c r="A4451" s="46"/>
      <c r="B4451" s="47"/>
      <c r="C4451" s="47"/>
      <c r="D4451" s="47"/>
      <c r="E4451" s="47"/>
      <c r="F4451" s="47"/>
    </row>
    <row r="4452" ht="15.75" customHeight="1">
      <c r="A4452" s="46"/>
      <c r="B4452" s="47"/>
      <c r="C4452" s="47"/>
      <c r="D4452" s="47"/>
      <c r="E4452" s="47"/>
      <c r="F4452" s="47"/>
    </row>
    <row r="4453" ht="15.75" customHeight="1">
      <c r="A4453" s="46"/>
      <c r="B4453" s="47"/>
      <c r="C4453" s="47"/>
      <c r="D4453" s="47"/>
      <c r="E4453" s="47"/>
      <c r="F4453" s="47"/>
    </row>
    <row r="4454" ht="15.75" customHeight="1">
      <c r="A4454" s="46"/>
      <c r="B4454" s="47"/>
      <c r="C4454" s="47"/>
      <c r="D4454" s="47"/>
      <c r="E4454" s="47"/>
      <c r="F4454" s="47"/>
    </row>
    <row r="4455" ht="15.75" customHeight="1">
      <c r="A4455" s="46"/>
      <c r="B4455" s="47"/>
      <c r="C4455" s="47"/>
      <c r="D4455" s="47"/>
      <c r="E4455" s="47"/>
      <c r="F4455" s="47"/>
    </row>
    <row r="4456" ht="15.75" customHeight="1">
      <c r="A4456" s="46"/>
      <c r="B4456" s="47"/>
      <c r="C4456" s="47"/>
      <c r="D4456" s="47"/>
      <c r="E4456" s="47"/>
      <c r="F4456" s="47"/>
    </row>
    <row r="4457" ht="15.75" customHeight="1">
      <c r="A4457" s="46"/>
      <c r="B4457" s="47"/>
      <c r="C4457" s="47"/>
      <c r="D4457" s="47"/>
      <c r="E4457" s="47"/>
      <c r="F4457" s="47"/>
    </row>
    <row r="4458" ht="15.75" customHeight="1">
      <c r="A4458" s="46"/>
      <c r="B4458" s="47"/>
      <c r="C4458" s="47"/>
      <c r="D4458" s="47"/>
      <c r="E4458" s="47"/>
      <c r="F4458" s="47"/>
    </row>
    <row r="4459" ht="15.75" customHeight="1">
      <c r="A4459" s="46"/>
      <c r="B4459" s="47"/>
      <c r="C4459" s="47"/>
      <c r="D4459" s="47"/>
      <c r="E4459" s="47"/>
      <c r="F4459" s="47"/>
    </row>
    <row r="4460" ht="15.75" customHeight="1">
      <c r="A4460" s="46"/>
      <c r="B4460" s="47"/>
      <c r="C4460" s="47"/>
      <c r="D4460" s="47"/>
      <c r="E4460" s="47"/>
      <c r="F4460" s="47"/>
    </row>
    <row r="4461" ht="15.75" customHeight="1">
      <c r="A4461" s="46"/>
      <c r="B4461" s="47"/>
      <c r="C4461" s="47"/>
      <c r="D4461" s="47"/>
      <c r="E4461" s="47"/>
      <c r="F4461" s="47"/>
    </row>
    <row r="4462" ht="15.75" customHeight="1">
      <c r="A4462" s="46"/>
      <c r="B4462" s="47"/>
      <c r="C4462" s="47"/>
      <c r="D4462" s="47"/>
      <c r="E4462" s="47"/>
      <c r="F4462" s="47"/>
    </row>
    <row r="4463" ht="15.75" customHeight="1">
      <c r="A4463" s="46"/>
      <c r="B4463" s="47"/>
      <c r="C4463" s="47"/>
      <c r="D4463" s="47"/>
      <c r="E4463" s="47"/>
      <c r="F4463" s="47"/>
    </row>
    <row r="4464" ht="15.75" customHeight="1">
      <c r="A4464" s="46"/>
      <c r="B4464" s="47"/>
      <c r="C4464" s="47"/>
      <c r="D4464" s="47"/>
      <c r="E4464" s="47"/>
      <c r="F4464" s="47"/>
    </row>
    <row r="4465" ht="15.75" customHeight="1">
      <c r="A4465" s="46"/>
      <c r="B4465" s="47"/>
      <c r="C4465" s="47"/>
      <c r="D4465" s="47"/>
      <c r="E4465" s="47"/>
      <c r="F4465" s="47"/>
    </row>
    <row r="4466" ht="15.75" customHeight="1">
      <c r="A4466" s="46"/>
      <c r="B4466" s="47"/>
      <c r="C4466" s="47"/>
      <c r="D4466" s="47"/>
      <c r="E4466" s="47"/>
      <c r="F4466" s="47"/>
    </row>
    <row r="4467" ht="15.75" customHeight="1">
      <c r="A4467" s="46"/>
      <c r="B4467" s="47"/>
      <c r="C4467" s="47"/>
      <c r="D4467" s="47"/>
      <c r="E4467" s="47"/>
      <c r="F4467" s="47"/>
    </row>
    <row r="4468" ht="15.75" customHeight="1">
      <c r="A4468" s="46"/>
      <c r="B4468" s="47"/>
      <c r="C4468" s="47"/>
      <c r="D4468" s="47"/>
      <c r="E4468" s="47"/>
      <c r="F4468" s="47"/>
    </row>
    <row r="4469" ht="15.75" customHeight="1">
      <c r="A4469" s="46"/>
      <c r="B4469" s="47"/>
      <c r="C4469" s="47"/>
      <c r="D4469" s="47"/>
      <c r="E4469" s="47"/>
      <c r="F4469" s="47"/>
    </row>
    <row r="4470" ht="15.75" customHeight="1">
      <c r="A4470" s="46"/>
      <c r="B4470" s="47"/>
      <c r="C4470" s="47"/>
      <c r="D4470" s="47"/>
      <c r="E4470" s="47"/>
      <c r="F4470" s="47"/>
    </row>
    <row r="4471" ht="15.75" customHeight="1">
      <c r="A4471" s="46"/>
      <c r="B4471" s="47"/>
      <c r="C4471" s="47"/>
      <c r="D4471" s="47"/>
      <c r="E4471" s="47"/>
      <c r="F4471" s="47"/>
    </row>
    <row r="4472" ht="15.75" customHeight="1">
      <c r="A4472" s="46"/>
      <c r="B4472" s="47"/>
      <c r="C4472" s="47"/>
      <c r="D4472" s="47"/>
      <c r="E4472" s="47"/>
      <c r="F4472" s="47"/>
    </row>
    <row r="4473" ht="15.75" customHeight="1">
      <c r="A4473" s="46"/>
      <c r="B4473" s="47"/>
      <c r="C4473" s="47"/>
      <c r="D4473" s="47"/>
      <c r="E4473" s="47"/>
      <c r="F4473" s="47"/>
    </row>
    <row r="4474" ht="15.75" customHeight="1">
      <c r="A4474" s="46"/>
      <c r="B4474" s="47"/>
      <c r="C4474" s="47"/>
      <c r="D4474" s="47"/>
      <c r="E4474" s="47"/>
      <c r="F4474" s="47"/>
    </row>
    <row r="4475" ht="15.75" customHeight="1">
      <c r="A4475" s="46"/>
      <c r="B4475" s="47"/>
      <c r="C4475" s="47"/>
      <c r="D4475" s="47"/>
      <c r="E4475" s="47"/>
      <c r="F4475" s="47"/>
    </row>
    <row r="4476" ht="15.75" customHeight="1">
      <c r="A4476" s="46"/>
      <c r="B4476" s="47"/>
      <c r="C4476" s="47"/>
      <c r="D4476" s="47"/>
      <c r="E4476" s="47"/>
      <c r="F4476" s="47"/>
    </row>
    <row r="4477" ht="15.75" customHeight="1">
      <c r="A4477" s="46"/>
      <c r="B4477" s="47"/>
      <c r="C4477" s="47"/>
      <c r="D4477" s="47"/>
      <c r="E4477" s="47"/>
      <c r="F4477" s="47"/>
    </row>
    <row r="4478" ht="15.75" customHeight="1">
      <c r="A4478" s="46"/>
      <c r="B4478" s="47"/>
      <c r="C4478" s="47"/>
      <c r="D4478" s="47"/>
      <c r="E4478" s="47"/>
      <c r="F4478" s="47"/>
    </row>
    <row r="4479" ht="15.75" customHeight="1">
      <c r="A4479" s="46"/>
      <c r="B4479" s="47"/>
      <c r="C4479" s="47"/>
      <c r="D4479" s="47"/>
      <c r="E4479" s="47"/>
      <c r="F4479" s="47"/>
    </row>
    <row r="4480" ht="15.75" customHeight="1">
      <c r="A4480" s="46"/>
      <c r="B4480" s="47"/>
      <c r="C4480" s="47"/>
      <c r="D4480" s="47"/>
      <c r="E4480" s="47"/>
      <c r="F4480" s="47"/>
    </row>
    <row r="4481" ht="15.75" customHeight="1">
      <c r="A4481" s="46"/>
      <c r="B4481" s="47"/>
      <c r="C4481" s="47"/>
      <c r="D4481" s="47"/>
      <c r="E4481" s="47"/>
      <c r="F4481" s="47"/>
    </row>
    <row r="4482" ht="15.75" customHeight="1">
      <c r="A4482" s="46"/>
      <c r="B4482" s="47"/>
      <c r="C4482" s="47"/>
      <c r="D4482" s="47"/>
      <c r="E4482" s="47"/>
      <c r="F4482" s="47"/>
    </row>
    <row r="4483" ht="15.75" customHeight="1">
      <c r="A4483" s="46"/>
      <c r="B4483" s="47"/>
      <c r="C4483" s="47"/>
      <c r="D4483" s="47"/>
      <c r="E4483" s="47"/>
      <c r="F4483" s="47"/>
    </row>
    <row r="4484" ht="15.75" customHeight="1">
      <c r="A4484" s="46"/>
      <c r="B4484" s="47"/>
      <c r="C4484" s="47"/>
      <c r="D4484" s="47"/>
      <c r="E4484" s="47"/>
      <c r="F4484" s="47"/>
    </row>
    <row r="4485" ht="15.75" customHeight="1">
      <c r="A4485" s="46"/>
      <c r="B4485" s="47"/>
      <c r="C4485" s="47"/>
      <c r="D4485" s="47"/>
      <c r="E4485" s="47"/>
      <c r="F4485" s="47"/>
    </row>
    <row r="4486" ht="15.75" customHeight="1">
      <c r="A4486" s="46"/>
      <c r="B4486" s="47"/>
      <c r="C4486" s="47"/>
      <c r="D4486" s="47"/>
      <c r="E4486" s="47"/>
      <c r="F4486" s="47"/>
    </row>
    <row r="4487" ht="15.75" customHeight="1">
      <c r="A4487" s="46"/>
      <c r="B4487" s="47"/>
      <c r="C4487" s="47"/>
      <c r="D4487" s="47"/>
      <c r="E4487" s="47"/>
      <c r="F4487" s="47"/>
    </row>
    <row r="4488" ht="15.75" customHeight="1">
      <c r="A4488" s="46"/>
      <c r="B4488" s="47"/>
      <c r="C4488" s="47"/>
      <c r="D4488" s="47"/>
      <c r="E4488" s="47"/>
      <c r="F4488" s="47"/>
    </row>
    <row r="4489" ht="15.75" customHeight="1">
      <c r="A4489" s="46"/>
      <c r="B4489" s="47"/>
      <c r="C4489" s="47"/>
      <c r="D4489" s="47"/>
      <c r="E4489" s="47"/>
      <c r="F4489" s="47"/>
    </row>
    <row r="4490" ht="15.75" customHeight="1">
      <c r="A4490" s="46"/>
      <c r="B4490" s="47"/>
      <c r="C4490" s="47"/>
      <c r="D4490" s="47"/>
      <c r="E4490" s="47"/>
      <c r="F4490" s="47"/>
    </row>
    <row r="4491" ht="15.75" customHeight="1">
      <c r="A4491" s="46"/>
      <c r="B4491" s="47"/>
      <c r="C4491" s="47"/>
      <c r="D4491" s="47"/>
      <c r="E4491" s="47"/>
      <c r="F4491" s="47"/>
    </row>
    <row r="4492" ht="15.75" customHeight="1">
      <c r="A4492" s="46"/>
      <c r="B4492" s="47"/>
      <c r="C4492" s="47"/>
      <c r="D4492" s="47"/>
      <c r="E4492" s="47"/>
      <c r="F4492" s="47"/>
    </row>
    <row r="4493" ht="15.75" customHeight="1">
      <c r="A4493" s="46"/>
      <c r="B4493" s="47"/>
      <c r="C4493" s="47"/>
      <c r="D4493" s="47"/>
      <c r="E4493" s="47"/>
      <c r="F4493" s="47"/>
    </row>
    <row r="4494" ht="15.75" customHeight="1">
      <c r="A4494" s="46"/>
      <c r="B4494" s="47"/>
      <c r="C4494" s="47"/>
      <c r="D4494" s="47"/>
      <c r="E4494" s="47"/>
      <c r="F4494" s="47"/>
    </row>
    <row r="4495" ht="15.75" customHeight="1">
      <c r="A4495" s="46"/>
      <c r="B4495" s="47"/>
      <c r="C4495" s="47"/>
      <c r="D4495" s="47"/>
      <c r="E4495" s="47"/>
      <c r="F4495" s="47"/>
    </row>
    <row r="4496" ht="15.75" customHeight="1">
      <c r="A4496" s="46"/>
      <c r="B4496" s="47"/>
      <c r="C4496" s="47"/>
      <c r="D4496" s="47"/>
      <c r="E4496" s="47"/>
      <c r="F4496" s="47"/>
    </row>
    <row r="4497" ht="15.75" customHeight="1">
      <c r="A4497" s="46"/>
      <c r="B4497" s="47"/>
      <c r="C4497" s="47"/>
      <c r="D4497" s="47"/>
      <c r="E4497" s="47"/>
      <c r="F4497" s="47"/>
    </row>
    <row r="4498" ht="15.75" customHeight="1">
      <c r="A4498" s="46"/>
      <c r="B4498" s="47"/>
      <c r="C4498" s="47"/>
      <c r="D4498" s="47"/>
      <c r="E4498" s="47"/>
      <c r="F4498" s="47"/>
    </row>
    <row r="4499" ht="15.75" customHeight="1">
      <c r="A4499" s="46"/>
      <c r="B4499" s="47"/>
      <c r="C4499" s="47"/>
      <c r="D4499" s="47"/>
      <c r="E4499" s="47"/>
      <c r="F4499" s="47"/>
    </row>
    <row r="4500" ht="15.75" customHeight="1">
      <c r="A4500" s="46"/>
      <c r="B4500" s="47"/>
      <c r="C4500" s="47"/>
      <c r="D4500" s="47"/>
      <c r="E4500" s="47"/>
      <c r="F4500" s="47"/>
    </row>
    <row r="4501" ht="15.75" customHeight="1">
      <c r="A4501" s="46"/>
      <c r="B4501" s="47"/>
      <c r="C4501" s="47"/>
      <c r="D4501" s="47"/>
      <c r="E4501" s="47"/>
      <c r="F4501" s="47"/>
    </row>
    <row r="4502" ht="15.75" customHeight="1">
      <c r="A4502" s="46"/>
      <c r="B4502" s="47"/>
      <c r="C4502" s="47"/>
      <c r="D4502" s="47"/>
      <c r="E4502" s="47"/>
      <c r="F4502" s="47"/>
    </row>
    <row r="4503" ht="15.75" customHeight="1">
      <c r="A4503" s="46"/>
      <c r="B4503" s="47"/>
      <c r="C4503" s="47"/>
      <c r="D4503" s="47"/>
      <c r="E4503" s="47"/>
      <c r="F4503" s="47"/>
    </row>
    <row r="4504" ht="15.75" customHeight="1">
      <c r="A4504" s="46"/>
      <c r="B4504" s="47"/>
      <c r="C4504" s="47"/>
      <c r="D4504" s="47"/>
      <c r="E4504" s="47"/>
      <c r="F4504" s="47"/>
    </row>
    <row r="4505" ht="15.75" customHeight="1">
      <c r="A4505" s="46"/>
      <c r="B4505" s="47"/>
      <c r="C4505" s="47"/>
      <c r="D4505" s="47"/>
      <c r="E4505" s="47"/>
      <c r="F4505" s="47"/>
    </row>
    <row r="4506" ht="15.75" customHeight="1">
      <c r="A4506" s="46"/>
      <c r="B4506" s="47"/>
      <c r="C4506" s="47"/>
      <c r="D4506" s="47"/>
      <c r="E4506" s="47"/>
      <c r="F4506" s="47"/>
    </row>
    <row r="4507" ht="15.75" customHeight="1">
      <c r="A4507" s="46"/>
      <c r="B4507" s="47"/>
      <c r="C4507" s="47"/>
      <c r="D4507" s="47"/>
      <c r="E4507" s="47"/>
      <c r="F4507" s="47"/>
    </row>
    <row r="4508" ht="15.75" customHeight="1">
      <c r="A4508" s="46"/>
      <c r="B4508" s="47"/>
      <c r="C4508" s="47"/>
      <c r="D4508" s="47"/>
      <c r="E4508" s="47"/>
      <c r="F4508" s="47"/>
    </row>
    <row r="4509" ht="15.75" customHeight="1">
      <c r="A4509" s="46"/>
      <c r="B4509" s="47"/>
      <c r="C4509" s="47"/>
      <c r="D4509" s="47"/>
      <c r="E4509" s="47"/>
      <c r="F4509" s="47"/>
    </row>
    <row r="4510" ht="15.75" customHeight="1">
      <c r="A4510" s="46"/>
      <c r="B4510" s="47"/>
      <c r="C4510" s="47"/>
      <c r="D4510" s="47"/>
      <c r="E4510" s="47"/>
      <c r="F4510" s="47"/>
    </row>
    <row r="4511" ht="15.75" customHeight="1">
      <c r="A4511" s="46"/>
      <c r="B4511" s="47"/>
      <c r="C4511" s="47"/>
      <c r="D4511" s="47"/>
      <c r="E4511" s="47"/>
      <c r="F4511" s="47"/>
    </row>
    <row r="4512" ht="15.75" customHeight="1">
      <c r="A4512" s="46"/>
      <c r="B4512" s="47"/>
      <c r="C4512" s="47"/>
      <c r="D4512" s="47"/>
      <c r="E4512" s="47"/>
      <c r="F4512" s="47"/>
    </row>
    <row r="4513" ht="15.75" customHeight="1">
      <c r="A4513" s="46"/>
      <c r="B4513" s="47"/>
      <c r="C4513" s="47"/>
      <c r="D4513" s="47"/>
      <c r="E4513" s="47"/>
      <c r="F4513" s="47"/>
    </row>
    <row r="4514" ht="15.75" customHeight="1">
      <c r="A4514" s="46"/>
      <c r="B4514" s="47"/>
      <c r="C4514" s="47"/>
      <c r="D4514" s="47"/>
      <c r="E4514" s="47"/>
      <c r="F4514" s="47"/>
    </row>
    <row r="4515" ht="15.75" customHeight="1">
      <c r="A4515" s="46"/>
      <c r="B4515" s="47"/>
      <c r="C4515" s="47"/>
      <c r="D4515" s="47"/>
      <c r="E4515" s="47"/>
      <c r="F4515" s="47"/>
    </row>
    <row r="4516" ht="15.75" customHeight="1">
      <c r="A4516" s="46"/>
      <c r="B4516" s="47"/>
      <c r="C4516" s="47"/>
      <c r="D4516" s="47"/>
      <c r="E4516" s="47"/>
      <c r="F4516" s="47"/>
    </row>
    <row r="4517" ht="15.75" customHeight="1">
      <c r="A4517" s="46"/>
      <c r="B4517" s="47"/>
      <c r="C4517" s="47"/>
      <c r="D4517" s="47"/>
      <c r="E4517" s="47"/>
      <c r="F4517" s="47"/>
    </row>
    <row r="4518" ht="15.75" customHeight="1">
      <c r="A4518" s="46"/>
      <c r="B4518" s="47"/>
      <c r="C4518" s="47"/>
      <c r="D4518" s="47"/>
      <c r="E4518" s="47"/>
      <c r="F4518" s="47"/>
    </row>
    <row r="4519" ht="15.75" customHeight="1">
      <c r="A4519" s="46"/>
      <c r="B4519" s="47"/>
      <c r="C4519" s="47"/>
      <c r="D4519" s="47"/>
      <c r="E4519" s="47"/>
      <c r="F4519" s="47"/>
    </row>
    <row r="4520" ht="15.75" customHeight="1">
      <c r="A4520" s="46"/>
      <c r="B4520" s="47"/>
      <c r="C4520" s="47"/>
      <c r="D4520" s="47"/>
      <c r="E4520" s="47"/>
      <c r="F4520" s="47"/>
    </row>
    <row r="4521" ht="15.75" customHeight="1">
      <c r="A4521" s="46"/>
      <c r="B4521" s="47"/>
      <c r="C4521" s="47"/>
      <c r="D4521" s="47"/>
      <c r="E4521" s="47"/>
      <c r="F4521" s="47"/>
    </row>
    <row r="4522" ht="15.75" customHeight="1">
      <c r="A4522" s="46"/>
      <c r="B4522" s="47"/>
      <c r="C4522" s="47"/>
      <c r="D4522" s="47"/>
      <c r="E4522" s="47"/>
      <c r="F4522" s="47"/>
    </row>
    <row r="4523" ht="15.75" customHeight="1">
      <c r="A4523" s="46"/>
      <c r="B4523" s="47"/>
      <c r="C4523" s="47"/>
      <c r="D4523" s="47"/>
      <c r="E4523" s="47"/>
      <c r="F4523" s="47"/>
    </row>
    <row r="4524" ht="15.75" customHeight="1">
      <c r="A4524" s="46"/>
      <c r="B4524" s="47"/>
      <c r="C4524" s="47"/>
      <c r="D4524" s="47"/>
      <c r="E4524" s="47"/>
      <c r="F4524" s="47"/>
    </row>
    <row r="4525" ht="15.75" customHeight="1">
      <c r="A4525" s="46"/>
      <c r="B4525" s="47"/>
      <c r="C4525" s="47"/>
      <c r="D4525" s="47"/>
      <c r="E4525" s="47"/>
      <c r="F4525" s="47"/>
    </row>
    <row r="4526" ht="15.75" customHeight="1">
      <c r="A4526" s="46"/>
      <c r="B4526" s="47"/>
      <c r="C4526" s="47"/>
      <c r="D4526" s="47"/>
      <c r="E4526" s="47"/>
      <c r="F4526" s="47"/>
    </row>
    <row r="4527" ht="15.75" customHeight="1">
      <c r="A4527" s="46"/>
      <c r="B4527" s="47"/>
      <c r="C4527" s="47"/>
      <c r="D4527" s="47"/>
      <c r="E4527" s="47"/>
      <c r="F4527" s="47"/>
    </row>
    <row r="4528" ht="15.75" customHeight="1">
      <c r="A4528" s="46"/>
      <c r="B4528" s="47"/>
      <c r="C4528" s="47"/>
      <c r="D4528" s="47"/>
      <c r="E4528" s="47"/>
      <c r="F4528" s="47"/>
    </row>
    <row r="4529" ht="15.75" customHeight="1">
      <c r="A4529" s="46"/>
      <c r="B4529" s="47"/>
      <c r="C4529" s="47"/>
      <c r="D4529" s="47"/>
      <c r="E4529" s="47"/>
      <c r="F4529" s="47"/>
    </row>
    <row r="4530" ht="15.75" customHeight="1">
      <c r="A4530" s="46"/>
      <c r="B4530" s="47"/>
      <c r="C4530" s="47"/>
      <c r="D4530" s="47"/>
      <c r="E4530" s="47"/>
      <c r="F4530" s="47"/>
    </row>
    <row r="4531" ht="15.75" customHeight="1">
      <c r="A4531" s="46"/>
      <c r="B4531" s="47"/>
      <c r="C4531" s="47"/>
      <c r="D4531" s="47"/>
      <c r="E4531" s="47"/>
      <c r="F4531" s="47"/>
    </row>
    <row r="4532" ht="15.75" customHeight="1">
      <c r="A4532" s="46"/>
      <c r="B4532" s="47"/>
      <c r="C4532" s="47"/>
      <c r="D4532" s="47"/>
      <c r="E4532" s="47"/>
      <c r="F4532" s="47"/>
    </row>
    <row r="4533" ht="15.75" customHeight="1">
      <c r="A4533" s="46"/>
      <c r="B4533" s="47"/>
      <c r="C4533" s="47"/>
      <c r="D4533" s="47"/>
      <c r="E4533" s="47"/>
      <c r="F4533" s="47"/>
    </row>
    <row r="4534" ht="15.75" customHeight="1">
      <c r="A4534" s="46"/>
      <c r="B4534" s="47"/>
      <c r="C4534" s="47"/>
      <c r="D4534" s="47"/>
      <c r="E4534" s="47"/>
      <c r="F4534" s="47"/>
    </row>
    <row r="4535" ht="15.75" customHeight="1">
      <c r="A4535" s="46"/>
      <c r="B4535" s="47"/>
      <c r="C4535" s="47"/>
      <c r="D4535" s="47"/>
      <c r="E4535" s="47"/>
      <c r="F4535" s="47"/>
    </row>
    <row r="4536" ht="15.75" customHeight="1">
      <c r="A4536" s="46"/>
      <c r="B4536" s="47"/>
      <c r="C4536" s="47"/>
      <c r="D4536" s="47"/>
      <c r="E4536" s="47"/>
      <c r="F4536" s="47"/>
    </row>
    <row r="4537" ht="15.75" customHeight="1">
      <c r="A4537" s="46"/>
      <c r="B4537" s="47"/>
      <c r="C4537" s="47"/>
      <c r="D4537" s="47"/>
      <c r="E4537" s="47"/>
      <c r="F4537" s="47"/>
    </row>
    <row r="4538" ht="15.75" customHeight="1">
      <c r="A4538" s="46"/>
      <c r="B4538" s="47"/>
      <c r="C4538" s="47"/>
      <c r="D4538" s="47"/>
      <c r="E4538" s="47"/>
      <c r="F4538" s="47"/>
    </row>
    <row r="4539" ht="15.75" customHeight="1">
      <c r="A4539" s="46"/>
      <c r="B4539" s="47"/>
      <c r="C4539" s="47"/>
      <c r="D4539" s="47"/>
      <c r="E4539" s="47"/>
      <c r="F4539" s="47"/>
    </row>
    <row r="4540" ht="15.75" customHeight="1">
      <c r="A4540" s="46"/>
      <c r="B4540" s="47"/>
      <c r="C4540" s="47"/>
      <c r="D4540" s="47"/>
      <c r="E4540" s="47"/>
      <c r="F4540" s="47"/>
    </row>
    <row r="4541" ht="15.75" customHeight="1">
      <c r="A4541" s="46"/>
      <c r="B4541" s="47"/>
      <c r="C4541" s="47"/>
      <c r="D4541" s="47"/>
      <c r="E4541" s="47"/>
      <c r="F4541" s="47"/>
    </row>
    <row r="4542" ht="15.75" customHeight="1">
      <c r="A4542" s="46"/>
      <c r="B4542" s="47"/>
      <c r="C4542" s="47"/>
      <c r="D4542" s="47"/>
      <c r="E4542" s="47"/>
      <c r="F4542" s="47"/>
    </row>
    <row r="4543" ht="15.75" customHeight="1">
      <c r="A4543" s="46"/>
      <c r="B4543" s="47"/>
      <c r="C4543" s="47"/>
      <c r="D4543" s="47"/>
      <c r="E4543" s="47"/>
      <c r="F4543" s="47"/>
    </row>
    <row r="4544" ht="15.75" customHeight="1">
      <c r="A4544" s="46"/>
      <c r="B4544" s="47"/>
      <c r="C4544" s="47"/>
      <c r="D4544" s="47"/>
      <c r="E4544" s="47"/>
      <c r="F4544" s="47"/>
    </row>
    <row r="4545" ht="15.75" customHeight="1">
      <c r="A4545" s="46"/>
      <c r="B4545" s="47"/>
      <c r="C4545" s="47"/>
      <c r="D4545" s="47"/>
      <c r="E4545" s="47"/>
      <c r="F4545" s="47"/>
    </row>
    <row r="4546" ht="15.75" customHeight="1">
      <c r="A4546" s="46"/>
      <c r="B4546" s="47"/>
      <c r="C4546" s="47"/>
      <c r="D4546" s="47"/>
      <c r="E4546" s="47"/>
      <c r="F4546" s="47"/>
    </row>
    <row r="4547" ht="15.75" customHeight="1">
      <c r="A4547" s="46"/>
      <c r="B4547" s="47"/>
      <c r="C4547" s="47"/>
      <c r="D4547" s="47"/>
      <c r="E4547" s="47"/>
      <c r="F4547" s="47"/>
    </row>
    <row r="4548" ht="15.75" customHeight="1">
      <c r="A4548" s="46"/>
      <c r="B4548" s="47"/>
      <c r="C4548" s="47"/>
      <c r="D4548" s="47"/>
      <c r="E4548" s="47"/>
      <c r="F4548" s="47"/>
    </row>
    <row r="4549" ht="15.75" customHeight="1">
      <c r="A4549" s="46"/>
      <c r="B4549" s="47"/>
      <c r="C4549" s="47"/>
      <c r="D4549" s="47"/>
      <c r="E4549" s="47"/>
      <c r="F4549" s="47"/>
    </row>
    <row r="4550" ht="15.75" customHeight="1">
      <c r="A4550" s="46"/>
      <c r="B4550" s="47"/>
      <c r="C4550" s="47"/>
      <c r="D4550" s="47"/>
      <c r="E4550" s="47"/>
      <c r="F4550" s="47"/>
    </row>
    <row r="4551" ht="15.75" customHeight="1">
      <c r="A4551" s="46"/>
      <c r="B4551" s="47"/>
      <c r="C4551" s="47"/>
      <c r="D4551" s="47"/>
      <c r="E4551" s="47"/>
      <c r="F4551" s="47"/>
    </row>
    <row r="4552" ht="15.75" customHeight="1">
      <c r="A4552" s="46"/>
      <c r="B4552" s="47"/>
      <c r="C4552" s="47"/>
      <c r="D4552" s="47"/>
      <c r="E4552" s="47"/>
      <c r="F4552" s="47"/>
    </row>
    <row r="4553" ht="15.75" customHeight="1">
      <c r="A4553" s="46"/>
      <c r="B4553" s="47"/>
      <c r="C4553" s="47"/>
      <c r="D4553" s="47"/>
      <c r="E4553" s="47"/>
      <c r="F4553" s="47"/>
    </row>
    <row r="4554" ht="15.75" customHeight="1">
      <c r="A4554" s="46"/>
      <c r="B4554" s="47"/>
      <c r="C4554" s="47"/>
      <c r="D4554" s="47"/>
      <c r="E4554" s="47"/>
      <c r="F4554" s="47"/>
    </row>
    <row r="4555" ht="15.75" customHeight="1">
      <c r="A4555" s="46"/>
      <c r="B4555" s="47"/>
      <c r="C4555" s="47"/>
      <c r="D4555" s="47"/>
      <c r="E4555" s="47"/>
      <c r="F4555" s="47"/>
    </row>
    <row r="4556" ht="15.75" customHeight="1">
      <c r="A4556" s="46"/>
      <c r="B4556" s="47"/>
      <c r="C4556" s="47"/>
      <c r="D4556" s="47"/>
      <c r="E4556" s="47"/>
      <c r="F4556" s="47"/>
    </row>
    <row r="4557" ht="15.75" customHeight="1">
      <c r="A4557" s="46"/>
      <c r="B4557" s="47"/>
      <c r="C4557" s="47"/>
      <c r="D4557" s="47"/>
      <c r="E4557" s="47"/>
      <c r="F4557" s="47"/>
    </row>
    <row r="4558" ht="15.75" customHeight="1">
      <c r="A4558" s="46"/>
      <c r="B4558" s="47"/>
      <c r="C4558" s="47"/>
      <c r="D4558" s="47"/>
      <c r="E4558" s="47"/>
      <c r="F4558" s="47"/>
    </row>
    <row r="4559" ht="15.75" customHeight="1">
      <c r="A4559" s="46"/>
      <c r="B4559" s="47"/>
      <c r="C4559" s="47"/>
      <c r="D4559" s="47"/>
      <c r="E4559" s="47"/>
      <c r="F4559" s="47"/>
    </row>
    <row r="4560" ht="15.75" customHeight="1">
      <c r="A4560" s="46"/>
      <c r="B4560" s="47"/>
      <c r="C4560" s="47"/>
      <c r="D4560" s="47"/>
      <c r="E4560" s="47"/>
      <c r="F4560" s="47"/>
    </row>
    <row r="4561" ht="15.75" customHeight="1">
      <c r="A4561" s="46"/>
      <c r="B4561" s="47"/>
      <c r="C4561" s="47"/>
      <c r="D4561" s="47"/>
      <c r="E4561" s="47"/>
      <c r="F4561" s="47"/>
    </row>
    <row r="4562" ht="15.75" customHeight="1">
      <c r="A4562" s="46"/>
      <c r="B4562" s="47"/>
      <c r="C4562" s="47"/>
      <c r="D4562" s="47"/>
      <c r="E4562" s="47"/>
      <c r="F4562" s="47"/>
    </row>
    <row r="4563" ht="15.75" customHeight="1">
      <c r="A4563" s="46"/>
      <c r="B4563" s="47"/>
      <c r="C4563" s="47"/>
      <c r="D4563" s="47"/>
      <c r="E4563" s="47"/>
      <c r="F4563" s="47"/>
    </row>
    <row r="4564" ht="15.75" customHeight="1">
      <c r="A4564" s="46"/>
      <c r="B4564" s="47"/>
      <c r="C4564" s="47"/>
      <c r="D4564" s="47"/>
      <c r="E4564" s="47"/>
      <c r="F4564" s="47"/>
    </row>
    <row r="4565" ht="15.75" customHeight="1">
      <c r="A4565" s="46"/>
      <c r="B4565" s="47"/>
      <c r="C4565" s="47"/>
      <c r="D4565" s="47"/>
      <c r="E4565" s="47"/>
      <c r="F4565" s="47"/>
    </row>
    <row r="4566" ht="15.75" customHeight="1">
      <c r="A4566" s="46"/>
      <c r="B4566" s="47"/>
      <c r="C4566" s="47"/>
      <c r="D4566" s="47"/>
      <c r="E4566" s="47"/>
      <c r="F4566" s="47"/>
    </row>
    <row r="4567" ht="15.75" customHeight="1">
      <c r="A4567" s="46"/>
      <c r="B4567" s="47"/>
      <c r="C4567" s="47"/>
      <c r="D4567" s="47"/>
      <c r="E4567" s="47"/>
      <c r="F4567" s="47"/>
    </row>
    <row r="4568" ht="15.75" customHeight="1">
      <c r="A4568" s="46"/>
      <c r="B4568" s="47"/>
      <c r="C4568" s="47"/>
      <c r="D4568" s="47"/>
      <c r="E4568" s="47"/>
      <c r="F4568" s="47"/>
    </row>
    <row r="4569" ht="15.75" customHeight="1">
      <c r="A4569" s="46"/>
      <c r="B4569" s="47"/>
      <c r="C4569" s="47"/>
      <c r="D4569" s="47"/>
      <c r="E4569" s="47"/>
      <c r="F4569" s="47"/>
    </row>
    <row r="4570" ht="15.75" customHeight="1">
      <c r="A4570" s="46"/>
      <c r="B4570" s="47"/>
      <c r="C4570" s="47"/>
      <c r="D4570" s="47"/>
      <c r="E4570" s="47"/>
      <c r="F4570" s="47"/>
    </row>
    <row r="4571" ht="15.75" customHeight="1">
      <c r="A4571" s="46"/>
      <c r="B4571" s="47"/>
      <c r="C4571" s="47"/>
      <c r="D4571" s="47"/>
      <c r="E4571" s="47"/>
      <c r="F4571" s="47"/>
    </row>
    <row r="4572" ht="15.75" customHeight="1">
      <c r="A4572" s="46"/>
      <c r="B4572" s="47"/>
      <c r="C4572" s="47"/>
      <c r="D4572" s="47"/>
      <c r="E4572" s="47"/>
      <c r="F4572" s="47"/>
    </row>
    <row r="4573" ht="15.75" customHeight="1">
      <c r="A4573" s="46"/>
      <c r="B4573" s="47"/>
      <c r="C4573" s="47"/>
      <c r="D4573" s="47"/>
      <c r="E4573" s="47"/>
      <c r="F4573" s="47"/>
    </row>
    <row r="4574" ht="15.75" customHeight="1">
      <c r="A4574" s="46"/>
      <c r="B4574" s="47"/>
      <c r="C4574" s="47"/>
      <c r="D4574" s="47"/>
      <c r="E4574" s="47"/>
      <c r="F4574" s="47"/>
    </row>
    <row r="4575" ht="15.75" customHeight="1">
      <c r="A4575" s="46"/>
      <c r="B4575" s="47"/>
      <c r="C4575" s="47"/>
      <c r="D4575" s="47"/>
      <c r="E4575" s="47"/>
      <c r="F4575" s="47"/>
    </row>
    <row r="4576" ht="15.75" customHeight="1">
      <c r="A4576" s="46"/>
      <c r="B4576" s="47"/>
      <c r="C4576" s="47"/>
      <c r="D4576" s="47"/>
      <c r="E4576" s="47"/>
      <c r="F4576" s="47"/>
    </row>
    <row r="4577" ht="15.75" customHeight="1">
      <c r="A4577" s="46"/>
      <c r="B4577" s="47"/>
      <c r="C4577" s="47"/>
      <c r="D4577" s="47"/>
      <c r="E4577" s="47"/>
      <c r="F4577" s="47"/>
    </row>
    <row r="4578" ht="15.75" customHeight="1">
      <c r="A4578" s="46"/>
      <c r="B4578" s="47"/>
      <c r="C4578" s="47"/>
      <c r="D4578" s="47"/>
      <c r="E4578" s="47"/>
      <c r="F4578" s="47"/>
    </row>
    <row r="4579" ht="15.75" customHeight="1">
      <c r="A4579" s="46"/>
      <c r="B4579" s="47"/>
      <c r="C4579" s="47"/>
      <c r="D4579" s="47"/>
      <c r="E4579" s="47"/>
      <c r="F4579" s="47"/>
    </row>
    <row r="4580" ht="15.75" customHeight="1">
      <c r="A4580" s="46"/>
      <c r="B4580" s="47"/>
      <c r="C4580" s="47"/>
      <c r="D4580" s="47"/>
      <c r="E4580" s="47"/>
      <c r="F4580" s="47"/>
    </row>
    <row r="4581" ht="15.75" customHeight="1">
      <c r="A4581" s="46"/>
      <c r="B4581" s="47"/>
      <c r="C4581" s="47"/>
      <c r="D4581" s="47"/>
      <c r="E4581" s="47"/>
      <c r="F4581" s="47"/>
    </row>
    <row r="4582" ht="15.75" customHeight="1">
      <c r="A4582" s="46"/>
      <c r="B4582" s="47"/>
      <c r="C4582" s="47"/>
      <c r="D4582" s="47"/>
      <c r="E4582" s="47"/>
      <c r="F4582" s="47"/>
    </row>
    <row r="4583" ht="15.75" customHeight="1">
      <c r="A4583" s="46"/>
      <c r="B4583" s="47"/>
      <c r="C4583" s="47"/>
      <c r="D4583" s="47"/>
      <c r="E4583" s="47"/>
      <c r="F4583" s="47"/>
    </row>
    <row r="4584" ht="15.75" customHeight="1">
      <c r="A4584" s="46"/>
      <c r="B4584" s="47"/>
      <c r="C4584" s="47"/>
      <c r="D4584" s="47"/>
      <c r="E4584" s="47"/>
      <c r="F4584" s="47"/>
    </row>
    <row r="4585" ht="15.75" customHeight="1">
      <c r="A4585" s="46"/>
      <c r="B4585" s="47"/>
      <c r="C4585" s="47"/>
      <c r="D4585" s="47"/>
      <c r="E4585" s="47"/>
      <c r="F4585" s="47"/>
    </row>
    <row r="4586" ht="15.75" customHeight="1">
      <c r="A4586" s="46"/>
      <c r="B4586" s="47"/>
      <c r="C4586" s="47"/>
      <c r="D4586" s="47"/>
      <c r="E4586" s="47"/>
      <c r="F4586" s="47"/>
    </row>
    <row r="4587" ht="15.75" customHeight="1">
      <c r="A4587" s="46"/>
      <c r="B4587" s="47"/>
      <c r="C4587" s="47"/>
      <c r="D4587" s="47"/>
      <c r="E4587" s="47"/>
      <c r="F4587" s="47"/>
    </row>
    <row r="4588" ht="15.75" customHeight="1">
      <c r="A4588" s="46"/>
      <c r="B4588" s="47"/>
      <c r="C4588" s="47"/>
      <c r="D4588" s="47"/>
      <c r="E4588" s="47"/>
      <c r="F4588" s="47"/>
    </row>
    <row r="4589" ht="15.75" customHeight="1">
      <c r="A4589" s="46"/>
      <c r="B4589" s="47"/>
      <c r="C4589" s="47"/>
      <c r="D4589" s="47"/>
      <c r="E4589" s="47"/>
      <c r="F4589" s="47"/>
    </row>
    <row r="4590" ht="15.75" customHeight="1">
      <c r="A4590" s="46"/>
      <c r="B4590" s="47"/>
      <c r="C4590" s="47"/>
      <c r="D4590" s="47"/>
      <c r="E4590" s="47"/>
      <c r="F4590" s="47"/>
    </row>
    <row r="4591" ht="15.75" customHeight="1">
      <c r="A4591" s="46"/>
      <c r="B4591" s="47"/>
      <c r="C4591" s="47"/>
      <c r="D4591" s="47"/>
      <c r="E4591" s="47"/>
      <c r="F4591" s="47"/>
    </row>
    <row r="4592" ht="15.75" customHeight="1">
      <c r="A4592" s="46"/>
      <c r="B4592" s="47"/>
      <c r="C4592" s="47"/>
      <c r="D4592" s="47"/>
      <c r="E4592" s="47"/>
      <c r="F4592" s="47"/>
    </row>
    <row r="4593" ht="15.75" customHeight="1">
      <c r="A4593" s="46"/>
      <c r="B4593" s="47"/>
      <c r="C4593" s="47"/>
      <c r="D4593" s="47"/>
      <c r="E4593" s="47"/>
      <c r="F4593" s="47"/>
    </row>
    <row r="4594" ht="15.75" customHeight="1">
      <c r="A4594" s="46"/>
      <c r="B4594" s="47"/>
      <c r="C4594" s="47"/>
      <c r="D4594" s="47"/>
      <c r="E4594" s="47"/>
      <c r="F4594" s="47"/>
    </row>
    <row r="4595" ht="15.75" customHeight="1">
      <c r="A4595" s="46"/>
      <c r="B4595" s="47"/>
      <c r="C4595" s="47"/>
      <c r="D4595" s="47"/>
      <c r="E4595" s="47"/>
      <c r="F4595" s="47"/>
    </row>
    <row r="4596" ht="15.75" customHeight="1">
      <c r="A4596" s="46"/>
      <c r="B4596" s="47"/>
      <c r="C4596" s="47"/>
      <c r="D4596" s="47"/>
      <c r="E4596" s="47"/>
      <c r="F4596" s="47"/>
    </row>
    <row r="4597" ht="15.75" customHeight="1">
      <c r="A4597" s="46"/>
      <c r="B4597" s="47"/>
      <c r="C4597" s="47"/>
      <c r="D4597" s="47"/>
      <c r="E4597" s="47"/>
      <c r="F4597" s="47"/>
    </row>
    <row r="4598" ht="15.75" customHeight="1">
      <c r="A4598" s="46"/>
      <c r="B4598" s="47"/>
      <c r="C4598" s="47"/>
      <c r="D4598" s="47"/>
      <c r="E4598" s="47"/>
      <c r="F4598" s="47"/>
    </row>
    <row r="4599" ht="15.75" customHeight="1">
      <c r="A4599" s="46"/>
      <c r="B4599" s="47"/>
      <c r="C4599" s="47"/>
      <c r="D4599" s="47"/>
      <c r="E4599" s="47"/>
      <c r="F4599" s="47"/>
    </row>
    <row r="4600" ht="15.75" customHeight="1">
      <c r="A4600" s="46"/>
      <c r="B4600" s="47"/>
      <c r="C4600" s="47"/>
      <c r="D4600" s="47"/>
      <c r="E4600" s="47"/>
      <c r="F4600" s="47"/>
    </row>
    <row r="4601" ht="15.75" customHeight="1">
      <c r="A4601" s="46"/>
      <c r="B4601" s="47"/>
      <c r="C4601" s="47"/>
      <c r="D4601" s="47"/>
      <c r="E4601" s="47"/>
      <c r="F4601" s="47"/>
    </row>
    <row r="4602" ht="15.75" customHeight="1">
      <c r="A4602" s="46"/>
      <c r="B4602" s="47"/>
      <c r="C4602" s="47"/>
      <c r="D4602" s="47"/>
      <c r="E4602" s="47"/>
      <c r="F4602" s="47"/>
    </row>
    <row r="4603" ht="15.75" customHeight="1">
      <c r="A4603" s="46"/>
      <c r="B4603" s="47"/>
      <c r="C4603" s="47"/>
      <c r="D4603" s="47"/>
      <c r="E4603" s="47"/>
      <c r="F4603" s="47"/>
    </row>
    <row r="4604" ht="15.75" customHeight="1">
      <c r="A4604" s="46"/>
      <c r="B4604" s="47"/>
      <c r="C4604" s="47"/>
      <c r="D4604" s="47"/>
      <c r="E4604" s="47"/>
      <c r="F4604" s="47"/>
    </row>
    <row r="4605" ht="15.75" customHeight="1">
      <c r="A4605" s="46"/>
      <c r="B4605" s="47"/>
      <c r="C4605" s="47"/>
      <c r="D4605" s="47"/>
      <c r="E4605" s="47"/>
      <c r="F4605" s="47"/>
    </row>
    <row r="4606" ht="15.75" customHeight="1">
      <c r="A4606" s="46"/>
      <c r="B4606" s="47"/>
      <c r="C4606" s="47"/>
      <c r="D4606" s="47"/>
      <c r="E4606" s="47"/>
      <c r="F4606" s="47"/>
    </row>
    <row r="4607" ht="15.75" customHeight="1">
      <c r="A4607" s="46"/>
      <c r="B4607" s="47"/>
      <c r="C4607" s="47"/>
      <c r="D4607" s="47"/>
      <c r="E4607" s="47"/>
      <c r="F4607" s="47"/>
    </row>
    <row r="4608" ht="15.75" customHeight="1">
      <c r="A4608" s="46"/>
      <c r="B4608" s="47"/>
      <c r="C4608" s="47"/>
      <c r="D4608" s="47"/>
      <c r="E4608" s="47"/>
      <c r="F4608" s="47"/>
    </row>
    <row r="4609" ht="15.75" customHeight="1">
      <c r="A4609" s="46"/>
      <c r="B4609" s="47"/>
      <c r="C4609" s="47"/>
      <c r="D4609" s="47"/>
      <c r="E4609" s="47"/>
      <c r="F4609" s="47"/>
    </row>
    <row r="4610" ht="15.75" customHeight="1">
      <c r="A4610" s="46"/>
      <c r="B4610" s="47"/>
      <c r="C4610" s="47"/>
      <c r="D4610" s="47"/>
      <c r="E4610" s="47"/>
      <c r="F4610" s="47"/>
    </row>
    <row r="4611" ht="15.75" customHeight="1">
      <c r="A4611" s="46"/>
      <c r="B4611" s="47"/>
      <c r="C4611" s="47"/>
      <c r="D4611" s="47"/>
      <c r="E4611" s="47"/>
      <c r="F4611" s="47"/>
    </row>
    <row r="4612" ht="15.75" customHeight="1">
      <c r="A4612" s="46"/>
      <c r="B4612" s="47"/>
      <c r="C4612" s="47"/>
      <c r="D4612" s="47"/>
      <c r="E4612" s="47"/>
      <c r="F4612" s="47"/>
    </row>
    <row r="4613" ht="15.75" customHeight="1">
      <c r="A4613" s="46"/>
      <c r="B4613" s="47"/>
      <c r="C4613" s="47"/>
      <c r="D4613" s="47"/>
      <c r="E4613" s="47"/>
      <c r="F4613" s="47"/>
    </row>
    <row r="4614" ht="15.75" customHeight="1">
      <c r="A4614" s="46"/>
      <c r="B4614" s="47"/>
      <c r="C4614" s="47"/>
      <c r="D4614" s="47"/>
      <c r="E4614" s="47"/>
      <c r="F4614" s="47"/>
    </row>
    <row r="4615" ht="15.75" customHeight="1">
      <c r="A4615" s="46"/>
      <c r="B4615" s="47"/>
      <c r="C4615" s="47"/>
      <c r="D4615" s="47"/>
      <c r="E4615" s="47"/>
      <c r="F4615" s="47"/>
    </row>
    <row r="4616" ht="15.75" customHeight="1">
      <c r="A4616" s="46"/>
      <c r="B4616" s="47"/>
      <c r="C4616" s="47"/>
      <c r="D4616" s="47"/>
      <c r="E4616" s="47"/>
      <c r="F4616" s="47"/>
    </row>
    <row r="4617" ht="15.75" customHeight="1">
      <c r="A4617" s="46"/>
      <c r="B4617" s="47"/>
      <c r="C4617" s="47"/>
      <c r="D4617" s="47"/>
      <c r="E4617" s="47"/>
      <c r="F4617" s="47"/>
    </row>
    <row r="4618" ht="15.75" customHeight="1">
      <c r="A4618" s="46"/>
      <c r="B4618" s="47"/>
      <c r="C4618" s="47"/>
      <c r="D4618" s="47"/>
      <c r="E4618" s="47"/>
      <c r="F4618" s="47"/>
    </row>
    <row r="4619" ht="15.75" customHeight="1">
      <c r="A4619" s="46"/>
      <c r="B4619" s="47"/>
      <c r="C4619" s="47"/>
      <c r="D4619" s="47"/>
      <c r="E4619" s="47"/>
      <c r="F4619" s="47"/>
    </row>
    <row r="4620" ht="15.75" customHeight="1">
      <c r="A4620" s="46"/>
      <c r="B4620" s="47"/>
      <c r="C4620" s="47"/>
      <c r="D4620" s="47"/>
      <c r="E4620" s="47"/>
      <c r="F4620" s="47"/>
    </row>
    <row r="4621" ht="15.75" customHeight="1">
      <c r="A4621" s="46"/>
      <c r="B4621" s="47"/>
      <c r="C4621" s="47"/>
      <c r="D4621" s="47"/>
      <c r="E4621" s="47"/>
      <c r="F4621" s="47"/>
    </row>
    <row r="4622" ht="15.75" customHeight="1">
      <c r="A4622" s="46"/>
      <c r="B4622" s="47"/>
      <c r="C4622" s="47"/>
      <c r="D4622" s="47"/>
      <c r="E4622" s="47"/>
      <c r="F4622" s="47"/>
    </row>
    <row r="4623" ht="15.75" customHeight="1">
      <c r="A4623" s="46"/>
      <c r="B4623" s="47"/>
      <c r="C4623" s="47"/>
      <c r="D4623" s="47"/>
      <c r="E4623" s="47"/>
      <c r="F4623" s="47"/>
    </row>
    <row r="4624" ht="15.75" customHeight="1">
      <c r="A4624" s="46"/>
      <c r="B4624" s="47"/>
      <c r="C4624" s="47"/>
      <c r="D4624" s="47"/>
      <c r="E4624" s="47"/>
      <c r="F4624" s="47"/>
    </row>
    <row r="4625" ht="15.75" customHeight="1">
      <c r="A4625" s="46"/>
      <c r="B4625" s="47"/>
      <c r="C4625" s="47"/>
      <c r="D4625" s="47"/>
      <c r="E4625" s="47"/>
      <c r="F4625" s="47"/>
    </row>
    <row r="4626" ht="15.75" customHeight="1">
      <c r="A4626" s="46"/>
      <c r="B4626" s="47"/>
      <c r="C4626" s="47"/>
      <c r="D4626" s="47"/>
      <c r="E4626" s="47"/>
      <c r="F4626" s="47"/>
    </row>
    <row r="4627" ht="15.75" customHeight="1">
      <c r="A4627" s="46"/>
      <c r="B4627" s="47"/>
      <c r="C4627" s="47"/>
      <c r="D4627" s="47"/>
      <c r="E4627" s="47"/>
      <c r="F4627" s="47"/>
    </row>
    <row r="4628" ht="15.75" customHeight="1">
      <c r="A4628" s="46"/>
      <c r="B4628" s="47"/>
      <c r="C4628" s="47"/>
      <c r="D4628" s="47"/>
      <c r="E4628" s="47"/>
      <c r="F4628" s="47"/>
    </row>
    <row r="4629" ht="15.75" customHeight="1">
      <c r="A4629" s="46"/>
      <c r="B4629" s="47"/>
      <c r="C4629" s="47"/>
      <c r="D4629" s="47"/>
      <c r="E4629" s="47"/>
      <c r="F4629" s="47"/>
    </row>
    <row r="4630" ht="15.75" customHeight="1">
      <c r="A4630" s="46"/>
      <c r="B4630" s="47"/>
      <c r="C4630" s="47"/>
      <c r="D4630" s="47"/>
      <c r="E4630" s="47"/>
      <c r="F4630" s="47"/>
    </row>
    <row r="4631" ht="15.75" customHeight="1">
      <c r="A4631" s="46"/>
      <c r="B4631" s="47"/>
      <c r="C4631" s="47"/>
      <c r="D4631" s="47"/>
      <c r="E4631" s="47"/>
      <c r="F4631" s="47"/>
    </row>
    <row r="4632" ht="15.75" customHeight="1">
      <c r="A4632" s="46"/>
      <c r="B4632" s="47"/>
      <c r="C4632" s="47"/>
      <c r="D4632" s="47"/>
      <c r="E4632" s="47"/>
      <c r="F4632" s="47"/>
    </row>
    <row r="4633" ht="15.75" customHeight="1">
      <c r="A4633" s="46"/>
      <c r="B4633" s="47"/>
      <c r="C4633" s="47"/>
      <c r="D4633" s="47"/>
      <c r="E4633" s="47"/>
      <c r="F4633" s="47"/>
    </row>
    <row r="4634" ht="15.75" customHeight="1">
      <c r="A4634" s="46"/>
      <c r="B4634" s="47"/>
      <c r="C4634" s="47"/>
      <c r="D4634" s="47"/>
      <c r="E4634" s="47"/>
      <c r="F4634" s="47"/>
    </row>
    <row r="4635" ht="15.75" customHeight="1">
      <c r="A4635" s="46"/>
      <c r="B4635" s="47"/>
      <c r="C4635" s="47"/>
      <c r="D4635" s="47"/>
      <c r="E4635" s="47"/>
      <c r="F4635" s="47"/>
    </row>
    <row r="4636" ht="15.75" customHeight="1">
      <c r="A4636" s="46"/>
      <c r="B4636" s="47"/>
      <c r="C4636" s="47"/>
      <c r="D4636" s="47"/>
      <c r="E4636" s="47"/>
      <c r="F4636" s="47"/>
    </row>
    <row r="4637" ht="15.75" customHeight="1">
      <c r="A4637" s="46"/>
      <c r="B4637" s="47"/>
      <c r="C4637" s="47"/>
      <c r="D4637" s="47"/>
      <c r="E4637" s="47"/>
      <c r="F4637" s="47"/>
    </row>
    <row r="4638" ht="15.75" customHeight="1">
      <c r="A4638" s="46"/>
      <c r="B4638" s="47"/>
      <c r="C4638" s="47"/>
      <c r="D4638" s="47"/>
      <c r="E4638" s="47"/>
      <c r="F4638" s="47"/>
    </row>
    <row r="4639" ht="15.75" customHeight="1">
      <c r="A4639" s="46"/>
      <c r="B4639" s="47"/>
      <c r="C4639" s="47"/>
      <c r="D4639" s="47"/>
      <c r="E4639" s="47"/>
      <c r="F4639" s="47"/>
    </row>
    <row r="4640" ht="15.75" customHeight="1">
      <c r="A4640" s="46"/>
      <c r="B4640" s="47"/>
      <c r="C4640" s="47"/>
      <c r="D4640" s="47"/>
      <c r="E4640" s="47"/>
      <c r="F4640" s="47"/>
    </row>
    <row r="4641" ht="15.75" customHeight="1">
      <c r="A4641" s="46"/>
      <c r="B4641" s="47"/>
      <c r="C4641" s="47"/>
      <c r="D4641" s="47"/>
      <c r="E4641" s="47"/>
      <c r="F4641" s="47"/>
    </row>
    <row r="4642" ht="15.75" customHeight="1">
      <c r="A4642" s="46"/>
      <c r="B4642" s="47"/>
      <c r="C4642" s="47"/>
      <c r="D4642" s="47"/>
      <c r="E4642" s="47"/>
      <c r="F4642" s="47"/>
    </row>
    <row r="4643" ht="15.75" customHeight="1">
      <c r="A4643" s="46"/>
      <c r="B4643" s="47"/>
      <c r="C4643" s="47"/>
      <c r="D4643" s="47"/>
      <c r="E4643" s="47"/>
      <c r="F4643" s="47"/>
    </row>
    <row r="4644" ht="15.75" customHeight="1">
      <c r="A4644" s="46"/>
      <c r="B4644" s="47"/>
      <c r="C4644" s="47"/>
      <c r="D4644" s="47"/>
      <c r="E4644" s="47"/>
      <c r="F4644" s="47"/>
    </row>
    <row r="4645" ht="15.75" customHeight="1">
      <c r="A4645" s="46"/>
      <c r="B4645" s="47"/>
      <c r="C4645" s="47"/>
      <c r="D4645" s="47"/>
      <c r="E4645" s="47"/>
      <c r="F4645" s="47"/>
    </row>
    <row r="4646" ht="15.75" customHeight="1">
      <c r="A4646" s="46"/>
      <c r="B4646" s="47"/>
      <c r="C4646" s="47"/>
      <c r="D4646" s="47"/>
      <c r="E4646" s="47"/>
      <c r="F4646" s="47"/>
    </row>
    <row r="4647" ht="15.75" customHeight="1">
      <c r="A4647" s="46"/>
      <c r="B4647" s="47"/>
      <c r="C4647" s="47"/>
      <c r="D4647" s="47"/>
      <c r="E4647" s="47"/>
      <c r="F4647" s="47"/>
    </row>
    <row r="4648" ht="15.75" customHeight="1">
      <c r="A4648" s="46"/>
      <c r="B4648" s="47"/>
      <c r="C4648" s="47"/>
      <c r="D4648" s="47"/>
      <c r="E4648" s="47"/>
      <c r="F4648" s="47"/>
    </row>
    <row r="4649" ht="15.75" customHeight="1">
      <c r="A4649" s="46"/>
      <c r="B4649" s="47"/>
      <c r="C4649" s="47"/>
      <c r="D4649" s="47"/>
      <c r="E4649" s="47"/>
      <c r="F4649" s="47"/>
    </row>
    <row r="4650" ht="15.75" customHeight="1">
      <c r="A4650" s="46"/>
      <c r="B4650" s="47"/>
      <c r="C4650" s="47"/>
      <c r="D4650" s="47"/>
      <c r="E4650" s="47"/>
      <c r="F4650" s="47"/>
    </row>
    <row r="4651" ht="15.75" customHeight="1">
      <c r="A4651" s="46"/>
      <c r="B4651" s="47"/>
      <c r="C4651" s="47"/>
      <c r="D4651" s="47"/>
      <c r="E4651" s="47"/>
      <c r="F4651" s="47"/>
    </row>
    <row r="4652" ht="15.75" customHeight="1">
      <c r="A4652" s="46"/>
      <c r="B4652" s="47"/>
      <c r="C4652" s="47"/>
      <c r="D4652" s="47"/>
      <c r="E4652" s="47"/>
      <c r="F4652" s="47"/>
    </row>
    <row r="4653" ht="15.75" customHeight="1">
      <c r="A4653" s="46"/>
      <c r="B4653" s="47"/>
      <c r="C4653" s="47"/>
      <c r="D4653" s="47"/>
      <c r="E4653" s="47"/>
      <c r="F4653" s="47"/>
    </row>
    <row r="4654" ht="15.75" customHeight="1">
      <c r="A4654" s="46"/>
      <c r="B4654" s="47"/>
      <c r="C4654" s="47"/>
      <c r="D4654" s="47"/>
      <c r="E4654" s="47"/>
      <c r="F4654" s="47"/>
    </row>
    <row r="4655" ht="15.75" customHeight="1">
      <c r="A4655" s="46"/>
      <c r="B4655" s="47"/>
      <c r="C4655" s="47"/>
      <c r="D4655" s="47"/>
      <c r="E4655" s="47"/>
      <c r="F4655" s="47"/>
    </row>
    <row r="4656" ht="15.75" customHeight="1">
      <c r="A4656" s="46"/>
      <c r="B4656" s="47"/>
      <c r="C4656" s="47"/>
      <c r="D4656" s="47"/>
      <c r="E4656" s="47"/>
      <c r="F4656" s="47"/>
    </row>
    <row r="4657" ht="15.75" customHeight="1">
      <c r="A4657" s="46"/>
      <c r="B4657" s="47"/>
      <c r="C4657" s="47"/>
      <c r="D4657" s="47"/>
      <c r="E4657" s="47"/>
      <c r="F4657" s="47"/>
    </row>
    <row r="4658" ht="15.75" customHeight="1">
      <c r="A4658" s="46"/>
      <c r="B4658" s="47"/>
      <c r="C4658" s="47"/>
      <c r="D4658" s="47"/>
      <c r="E4658" s="47"/>
      <c r="F4658" s="47"/>
    </row>
    <row r="4659" ht="15.75" customHeight="1">
      <c r="A4659" s="46"/>
      <c r="B4659" s="47"/>
      <c r="C4659" s="47"/>
      <c r="D4659" s="47"/>
      <c r="E4659" s="47"/>
      <c r="F4659" s="47"/>
    </row>
    <row r="4660" ht="15.75" customHeight="1">
      <c r="A4660" s="46"/>
      <c r="B4660" s="47"/>
      <c r="C4660" s="47"/>
      <c r="D4660" s="47"/>
      <c r="E4660" s="47"/>
      <c r="F4660" s="47"/>
    </row>
    <row r="4661" ht="15.75" customHeight="1">
      <c r="A4661" s="46"/>
      <c r="B4661" s="47"/>
      <c r="C4661" s="47"/>
      <c r="D4661" s="47"/>
      <c r="E4661" s="47"/>
      <c r="F4661" s="47"/>
    </row>
    <row r="4662" ht="15.75" customHeight="1">
      <c r="A4662" s="46"/>
      <c r="B4662" s="47"/>
      <c r="C4662" s="47"/>
      <c r="D4662" s="47"/>
      <c r="E4662" s="47"/>
      <c r="F4662" s="47"/>
    </row>
    <row r="4663" ht="15.75" customHeight="1">
      <c r="A4663" s="46"/>
      <c r="B4663" s="47"/>
      <c r="C4663" s="47"/>
      <c r="D4663" s="47"/>
      <c r="E4663" s="47"/>
      <c r="F4663" s="47"/>
    </row>
    <row r="4664" ht="15.75" customHeight="1">
      <c r="A4664" s="46"/>
      <c r="B4664" s="47"/>
      <c r="C4664" s="47"/>
      <c r="D4664" s="47"/>
      <c r="E4664" s="47"/>
      <c r="F4664" s="47"/>
    </row>
    <row r="4665" ht="15.75" customHeight="1">
      <c r="A4665" s="46"/>
      <c r="B4665" s="47"/>
      <c r="C4665" s="47"/>
      <c r="D4665" s="47"/>
      <c r="E4665" s="47"/>
      <c r="F4665" s="47"/>
    </row>
    <row r="4666" ht="15.75" customHeight="1">
      <c r="A4666" s="46"/>
      <c r="B4666" s="47"/>
      <c r="C4666" s="47"/>
      <c r="D4666" s="47"/>
      <c r="E4666" s="47"/>
      <c r="F4666" s="47"/>
    </row>
    <row r="4667" ht="15.75" customHeight="1">
      <c r="A4667" s="46"/>
      <c r="B4667" s="47"/>
      <c r="C4667" s="47"/>
      <c r="D4667" s="47"/>
      <c r="E4667" s="47"/>
      <c r="F4667" s="47"/>
    </row>
    <row r="4668" ht="15.75" customHeight="1">
      <c r="A4668" s="46"/>
      <c r="B4668" s="47"/>
      <c r="C4668" s="47"/>
      <c r="D4668" s="47"/>
      <c r="E4668" s="47"/>
      <c r="F4668" s="47"/>
    </row>
    <row r="4669" ht="15.75" customHeight="1">
      <c r="A4669" s="46"/>
      <c r="B4669" s="47"/>
      <c r="C4669" s="47"/>
      <c r="D4669" s="47"/>
      <c r="E4669" s="47"/>
      <c r="F4669" s="47"/>
    </row>
    <row r="4670" ht="15.75" customHeight="1">
      <c r="A4670" s="46"/>
      <c r="B4670" s="47"/>
      <c r="C4670" s="47"/>
      <c r="D4670" s="47"/>
      <c r="E4670" s="47"/>
      <c r="F4670" s="47"/>
    </row>
    <row r="4671" ht="15.75" customHeight="1">
      <c r="A4671" s="46"/>
      <c r="B4671" s="47"/>
      <c r="C4671" s="47"/>
      <c r="D4671" s="47"/>
      <c r="E4671" s="47"/>
      <c r="F4671" s="47"/>
    </row>
    <row r="4672" ht="15.75" customHeight="1">
      <c r="A4672" s="46"/>
      <c r="B4672" s="47"/>
      <c r="C4672" s="47"/>
      <c r="D4672" s="47"/>
      <c r="E4672" s="47"/>
      <c r="F4672" s="47"/>
    </row>
    <row r="4673" ht="15.75" customHeight="1">
      <c r="A4673" s="46"/>
      <c r="B4673" s="47"/>
      <c r="C4673" s="47"/>
      <c r="D4673" s="47"/>
      <c r="E4673" s="47"/>
      <c r="F4673" s="47"/>
    </row>
    <row r="4674" ht="15.75" customHeight="1">
      <c r="A4674" s="46"/>
      <c r="B4674" s="47"/>
      <c r="C4674" s="47"/>
      <c r="D4674" s="47"/>
      <c r="E4674" s="47"/>
      <c r="F4674" s="47"/>
    </row>
    <row r="4675" ht="15.75" customHeight="1">
      <c r="A4675" s="46"/>
      <c r="B4675" s="47"/>
      <c r="C4675" s="47"/>
      <c r="D4675" s="47"/>
      <c r="E4675" s="47"/>
      <c r="F4675" s="47"/>
    </row>
    <row r="4676" ht="15.75" customHeight="1">
      <c r="A4676" s="46"/>
      <c r="B4676" s="47"/>
      <c r="C4676" s="47"/>
      <c r="D4676" s="47"/>
      <c r="E4676" s="47"/>
      <c r="F4676" s="47"/>
    </row>
    <row r="4677" ht="15.75" customHeight="1">
      <c r="A4677" s="46"/>
      <c r="B4677" s="47"/>
      <c r="C4677" s="47"/>
      <c r="D4677" s="47"/>
      <c r="E4677" s="47"/>
      <c r="F4677" s="47"/>
    </row>
    <row r="4678" ht="15.75" customHeight="1">
      <c r="A4678" s="46"/>
      <c r="B4678" s="47"/>
      <c r="C4678" s="47"/>
      <c r="D4678" s="47"/>
      <c r="E4678" s="47"/>
      <c r="F4678" s="47"/>
    </row>
    <row r="4679" ht="15.75" customHeight="1">
      <c r="A4679" s="46"/>
      <c r="B4679" s="47"/>
      <c r="C4679" s="47"/>
      <c r="D4679" s="47"/>
      <c r="E4679" s="47"/>
      <c r="F4679" s="47"/>
    </row>
    <row r="4680" ht="15.75" customHeight="1">
      <c r="A4680" s="46"/>
      <c r="B4680" s="47"/>
      <c r="C4680" s="47"/>
      <c r="D4680" s="47"/>
      <c r="E4680" s="47"/>
      <c r="F4680" s="47"/>
    </row>
    <row r="4681" ht="15.75" customHeight="1">
      <c r="A4681" s="46"/>
      <c r="B4681" s="47"/>
      <c r="C4681" s="47"/>
      <c r="D4681" s="47"/>
      <c r="E4681" s="47"/>
      <c r="F4681" s="47"/>
    </row>
    <row r="4682" ht="15.75" customHeight="1">
      <c r="A4682" s="46"/>
      <c r="B4682" s="47"/>
      <c r="C4682" s="47"/>
      <c r="D4682" s="47"/>
      <c r="E4682" s="47"/>
      <c r="F4682" s="47"/>
    </row>
    <row r="4683" ht="15.75" customHeight="1">
      <c r="A4683" s="46"/>
      <c r="B4683" s="47"/>
      <c r="C4683" s="47"/>
      <c r="D4683" s="47"/>
      <c r="E4683" s="47"/>
      <c r="F4683" s="47"/>
    </row>
    <row r="4684" ht="15.75" customHeight="1">
      <c r="A4684" s="46"/>
      <c r="B4684" s="47"/>
      <c r="C4684" s="47"/>
      <c r="D4684" s="47"/>
      <c r="E4684" s="47"/>
      <c r="F4684" s="47"/>
    </row>
    <row r="4685" ht="15.75" customHeight="1">
      <c r="A4685" s="46"/>
      <c r="B4685" s="47"/>
      <c r="C4685" s="47"/>
      <c r="D4685" s="47"/>
      <c r="E4685" s="47"/>
      <c r="F4685" s="47"/>
    </row>
    <row r="4686" ht="15.75" customHeight="1">
      <c r="A4686" s="46"/>
      <c r="B4686" s="47"/>
      <c r="C4686" s="47"/>
      <c r="D4686" s="47"/>
      <c r="E4686" s="47"/>
      <c r="F4686" s="47"/>
    </row>
    <row r="4687" ht="15.75" customHeight="1">
      <c r="A4687" s="46"/>
      <c r="B4687" s="47"/>
      <c r="C4687" s="47"/>
      <c r="D4687" s="47"/>
      <c r="E4687" s="47"/>
      <c r="F4687" s="47"/>
    </row>
    <row r="4688" ht="15.75" customHeight="1">
      <c r="A4688" s="46"/>
      <c r="B4688" s="47"/>
      <c r="C4688" s="47"/>
      <c r="D4688" s="47"/>
      <c r="E4688" s="47"/>
      <c r="F4688" s="47"/>
    </row>
    <row r="4689" ht="15.75" customHeight="1">
      <c r="A4689" s="46"/>
      <c r="B4689" s="47"/>
      <c r="C4689" s="47"/>
      <c r="D4689" s="47"/>
      <c r="E4689" s="47"/>
      <c r="F4689" s="47"/>
    </row>
    <row r="4690" ht="15.75" customHeight="1">
      <c r="A4690" s="46"/>
      <c r="B4690" s="47"/>
      <c r="C4690" s="47"/>
      <c r="D4690" s="47"/>
      <c r="E4690" s="47"/>
      <c r="F4690" s="47"/>
    </row>
    <row r="4691" ht="15.75" customHeight="1">
      <c r="A4691" s="46"/>
      <c r="B4691" s="47"/>
      <c r="C4691" s="47"/>
      <c r="D4691" s="47"/>
      <c r="E4691" s="47"/>
      <c r="F4691" s="47"/>
    </row>
    <row r="4692" ht="15.75" customHeight="1">
      <c r="A4692" s="46"/>
      <c r="B4692" s="47"/>
      <c r="C4692" s="47"/>
      <c r="D4692" s="47"/>
      <c r="E4692" s="47"/>
      <c r="F4692" s="47"/>
    </row>
    <row r="4693" ht="15.75" customHeight="1">
      <c r="A4693" s="46"/>
      <c r="B4693" s="47"/>
      <c r="C4693" s="47"/>
      <c r="D4693" s="47"/>
      <c r="E4693" s="47"/>
      <c r="F4693" s="47"/>
    </row>
    <row r="4694" ht="15.75" customHeight="1">
      <c r="A4694" s="46"/>
      <c r="B4694" s="47"/>
      <c r="C4694" s="47"/>
      <c r="D4694" s="47"/>
      <c r="E4694" s="47"/>
      <c r="F4694" s="47"/>
    </row>
    <row r="4695" ht="15.75" customHeight="1">
      <c r="A4695" s="46"/>
      <c r="B4695" s="47"/>
      <c r="C4695" s="47"/>
      <c r="D4695" s="47"/>
      <c r="E4695" s="47"/>
      <c r="F4695" s="47"/>
    </row>
    <row r="4696" ht="15.75" customHeight="1">
      <c r="A4696" s="46"/>
      <c r="B4696" s="47"/>
      <c r="C4696" s="47"/>
      <c r="D4696" s="47"/>
      <c r="E4696" s="47"/>
      <c r="F4696" s="47"/>
    </row>
    <row r="4697" ht="15.75" customHeight="1">
      <c r="A4697" s="46"/>
      <c r="B4697" s="47"/>
      <c r="C4697" s="47"/>
      <c r="D4697" s="47"/>
      <c r="E4697" s="47"/>
      <c r="F4697" s="47"/>
    </row>
    <row r="4698" ht="15.75" customHeight="1">
      <c r="A4698" s="46"/>
      <c r="B4698" s="47"/>
      <c r="C4698" s="47"/>
      <c r="D4698" s="47"/>
      <c r="E4698" s="47"/>
      <c r="F4698" s="47"/>
    </row>
    <row r="4699" ht="15.75" customHeight="1">
      <c r="A4699" s="46"/>
      <c r="B4699" s="47"/>
      <c r="C4699" s="47"/>
      <c r="D4699" s="47"/>
      <c r="E4699" s="47"/>
      <c r="F4699" s="47"/>
    </row>
    <row r="4700" ht="15.75" customHeight="1">
      <c r="A4700" s="46"/>
      <c r="B4700" s="47"/>
      <c r="C4700" s="47"/>
      <c r="D4700" s="47"/>
      <c r="E4700" s="47"/>
      <c r="F4700" s="47"/>
    </row>
    <row r="4701" ht="15.75" customHeight="1">
      <c r="A4701" s="46"/>
      <c r="B4701" s="47"/>
      <c r="C4701" s="47"/>
      <c r="D4701" s="47"/>
      <c r="E4701" s="47"/>
      <c r="F4701" s="47"/>
    </row>
    <row r="4702" ht="15.75" customHeight="1">
      <c r="A4702" s="46"/>
      <c r="B4702" s="47"/>
      <c r="C4702" s="47"/>
      <c r="D4702" s="47"/>
      <c r="E4702" s="47"/>
      <c r="F4702" s="47"/>
    </row>
    <row r="4703" ht="15.75" customHeight="1">
      <c r="A4703" s="46"/>
      <c r="B4703" s="47"/>
      <c r="C4703" s="47"/>
      <c r="D4703" s="47"/>
      <c r="E4703" s="47"/>
      <c r="F4703" s="47"/>
    </row>
    <row r="4704" ht="15.75" customHeight="1">
      <c r="A4704" s="46"/>
      <c r="B4704" s="47"/>
      <c r="C4704" s="47"/>
      <c r="D4704" s="47"/>
      <c r="E4704" s="47"/>
      <c r="F4704" s="47"/>
    </row>
    <row r="4705" ht="15.75" customHeight="1">
      <c r="A4705" s="46"/>
      <c r="B4705" s="47"/>
      <c r="C4705" s="47"/>
      <c r="D4705" s="47"/>
      <c r="E4705" s="47"/>
      <c r="F4705" s="47"/>
    </row>
    <row r="4706" ht="15.75" customHeight="1">
      <c r="A4706" s="46"/>
      <c r="B4706" s="47"/>
      <c r="C4706" s="47"/>
      <c r="D4706" s="47"/>
      <c r="E4706" s="47"/>
      <c r="F4706" s="47"/>
    </row>
    <row r="4707" ht="15.75" customHeight="1">
      <c r="A4707" s="46"/>
      <c r="B4707" s="47"/>
      <c r="C4707" s="47"/>
      <c r="D4707" s="47"/>
      <c r="E4707" s="47"/>
      <c r="F4707" s="47"/>
    </row>
    <row r="4708" ht="15.75" customHeight="1">
      <c r="A4708" s="46"/>
      <c r="B4708" s="47"/>
      <c r="C4708" s="47"/>
      <c r="D4708" s="47"/>
      <c r="E4708" s="47"/>
      <c r="F4708" s="47"/>
    </row>
    <row r="4709" ht="15.75" customHeight="1">
      <c r="A4709" s="46"/>
      <c r="B4709" s="47"/>
      <c r="C4709" s="47"/>
      <c r="D4709" s="47"/>
      <c r="E4709" s="47"/>
      <c r="F4709" s="47"/>
    </row>
    <row r="4710" ht="15.75" customHeight="1">
      <c r="A4710" s="46"/>
      <c r="B4710" s="47"/>
      <c r="C4710" s="47"/>
      <c r="D4710" s="47"/>
      <c r="E4710" s="47"/>
      <c r="F4710" s="47"/>
    </row>
    <row r="4711" ht="15.75" customHeight="1">
      <c r="A4711" s="46"/>
      <c r="B4711" s="47"/>
      <c r="C4711" s="47"/>
      <c r="D4711" s="47"/>
      <c r="E4711" s="47"/>
      <c r="F4711" s="47"/>
    </row>
    <row r="4712" ht="15.75" customHeight="1">
      <c r="A4712" s="46"/>
      <c r="B4712" s="47"/>
      <c r="C4712" s="47"/>
      <c r="D4712" s="47"/>
      <c r="E4712" s="47"/>
      <c r="F4712" s="47"/>
    </row>
    <row r="4713" ht="15.75" customHeight="1">
      <c r="A4713" s="46"/>
      <c r="B4713" s="47"/>
      <c r="C4713" s="47"/>
      <c r="D4713" s="47"/>
      <c r="E4713" s="47"/>
      <c r="F4713" s="47"/>
    </row>
    <row r="4714" ht="15.75" customHeight="1">
      <c r="A4714" s="46"/>
      <c r="B4714" s="47"/>
      <c r="C4714" s="47"/>
      <c r="D4714" s="47"/>
      <c r="E4714" s="47"/>
      <c r="F4714" s="47"/>
    </row>
    <row r="4715" ht="15.75" customHeight="1">
      <c r="A4715" s="46"/>
      <c r="B4715" s="47"/>
      <c r="C4715" s="47"/>
      <c r="D4715" s="47"/>
      <c r="E4715" s="47"/>
      <c r="F4715" s="47"/>
    </row>
    <row r="4716" ht="15.75" customHeight="1">
      <c r="A4716" s="46"/>
      <c r="B4716" s="47"/>
      <c r="C4716" s="47"/>
      <c r="D4716" s="47"/>
      <c r="E4716" s="47"/>
      <c r="F4716" s="47"/>
    </row>
    <row r="4717" ht="15.75" customHeight="1">
      <c r="A4717" s="46"/>
      <c r="B4717" s="47"/>
      <c r="C4717" s="47"/>
      <c r="D4717" s="47"/>
      <c r="E4717" s="47"/>
      <c r="F4717" s="47"/>
    </row>
    <row r="4718" ht="15.75" customHeight="1">
      <c r="A4718" s="46"/>
      <c r="B4718" s="47"/>
      <c r="C4718" s="47"/>
      <c r="D4718" s="47"/>
      <c r="E4718" s="47"/>
      <c r="F4718" s="47"/>
    </row>
    <row r="4719" ht="15.75" customHeight="1">
      <c r="A4719" s="46"/>
      <c r="B4719" s="47"/>
      <c r="C4719" s="47"/>
      <c r="D4719" s="47"/>
      <c r="E4719" s="47"/>
      <c r="F4719" s="47"/>
    </row>
    <row r="4720" ht="15.75" customHeight="1">
      <c r="A4720" s="46"/>
      <c r="B4720" s="47"/>
      <c r="C4720" s="47"/>
      <c r="D4720" s="47"/>
      <c r="E4720" s="47"/>
      <c r="F4720" s="47"/>
    </row>
    <row r="4721" ht="15.75" customHeight="1">
      <c r="A4721" s="46"/>
      <c r="B4721" s="47"/>
      <c r="C4721" s="47"/>
      <c r="D4721" s="47"/>
      <c r="E4721" s="47"/>
      <c r="F4721" s="47"/>
    </row>
    <row r="4722" ht="15.75" customHeight="1">
      <c r="A4722" s="46"/>
      <c r="B4722" s="47"/>
      <c r="C4722" s="47"/>
      <c r="D4722" s="47"/>
      <c r="E4722" s="47"/>
      <c r="F4722" s="47"/>
    </row>
    <row r="4723" ht="15.75" customHeight="1">
      <c r="A4723" s="46"/>
      <c r="B4723" s="47"/>
      <c r="C4723" s="47"/>
      <c r="D4723" s="47"/>
      <c r="E4723" s="47"/>
      <c r="F4723" s="47"/>
    </row>
    <row r="4724" ht="15.75" customHeight="1">
      <c r="A4724" s="46"/>
      <c r="B4724" s="47"/>
      <c r="C4724" s="47"/>
      <c r="D4724" s="47"/>
      <c r="E4724" s="47"/>
      <c r="F4724" s="47"/>
    </row>
    <row r="4725" ht="15.75" customHeight="1">
      <c r="A4725" s="46"/>
      <c r="B4725" s="47"/>
      <c r="C4725" s="47"/>
      <c r="D4725" s="47"/>
      <c r="E4725" s="47"/>
      <c r="F4725" s="47"/>
    </row>
    <row r="4726" ht="15.75" customHeight="1">
      <c r="A4726" s="46"/>
      <c r="B4726" s="47"/>
      <c r="C4726" s="47"/>
      <c r="D4726" s="47"/>
      <c r="E4726" s="47"/>
      <c r="F4726" s="47"/>
    </row>
    <row r="4727" ht="15.75" customHeight="1">
      <c r="A4727" s="46"/>
      <c r="B4727" s="47"/>
      <c r="C4727" s="47"/>
      <c r="D4727" s="47"/>
      <c r="E4727" s="47"/>
      <c r="F4727" s="47"/>
    </row>
    <row r="4728" ht="15.75" customHeight="1">
      <c r="A4728" s="46"/>
      <c r="B4728" s="47"/>
      <c r="C4728" s="47"/>
      <c r="D4728" s="47"/>
      <c r="E4728" s="47"/>
      <c r="F4728" s="47"/>
    </row>
    <row r="4729" ht="15.75" customHeight="1">
      <c r="A4729" s="46"/>
      <c r="B4729" s="47"/>
      <c r="C4729" s="47"/>
      <c r="D4729" s="47"/>
      <c r="E4729" s="47"/>
      <c r="F4729" s="47"/>
    </row>
    <row r="4730" ht="15.75" customHeight="1">
      <c r="A4730" s="46"/>
      <c r="B4730" s="47"/>
      <c r="C4730" s="47"/>
      <c r="D4730" s="47"/>
      <c r="E4730" s="47"/>
      <c r="F4730" s="47"/>
    </row>
    <row r="4731" ht="15.75" customHeight="1">
      <c r="A4731" s="46"/>
      <c r="B4731" s="47"/>
      <c r="C4731" s="47"/>
      <c r="D4731" s="47"/>
      <c r="E4731" s="47"/>
      <c r="F4731" s="47"/>
    </row>
    <row r="4732" ht="15.75" customHeight="1">
      <c r="A4732" s="46"/>
      <c r="B4732" s="47"/>
      <c r="C4732" s="47"/>
      <c r="D4732" s="47"/>
      <c r="E4732" s="47"/>
      <c r="F4732" s="47"/>
    </row>
    <row r="4733" ht="15.75" customHeight="1">
      <c r="A4733" s="46"/>
      <c r="B4733" s="47"/>
      <c r="C4733" s="47"/>
      <c r="D4733" s="47"/>
      <c r="E4733" s="47"/>
      <c r="F4733" s="47"/>
    </row>
    <row r="4734" ht="15.75" customHeight="1">
      <c r="A4734" s="46"/>
      <c r="B4734" s="47"/>
      <c r="C4734" s="47"/>
      <c r="D4734" s="47"/>
      <c r="E4734" s="47"/>
      <c r="F4734" s="47"/>
    </row>
    <row r="4735" ht="15.75" customHeight="1">
      <c r="A4735" s="46"/>
      <c r="B4735" s="47"/>
      <c r="C4735" s="47"/>
      <c r="D4735" s="47"/>
      <c r="E4735" s="47"/>
      <c r="F4735" s="47"/>
    </row>
    <row r="4736" ht="15.75" customHeight="1">
      <c r="A4736" s="46"/>
      <c r="B4736" s="47"/>
      <c r="C4736" s="47"/>
      <c r="D4736" s="47"/>
      <c r="E4736" s="47"/>
      <c r="F4736" s="47"/>
    </row>
    <row r="4737" ht="15.75" customHeight="1">
      <c r="A4737" s="46"/>
      <c r="B4737" s="47"/>
      <c r="C4737" s="47"/>
      <c r="D4737" s="47"/>
      <c r="E4737" s="47"/>
      <c r="F4737" s="47"/>
    </row>
    <row r="4738" ht="15.75" customHeight="1">
      <c r="A4738" s="46"/>
      <c r="B4738" s="47"/>
      <c r="C4738" s="47"/>
      <c r="D4738" s="47"/>
      <c r="E4738" s="47"/>
      <c r="F4738" s="47"/>
    </row>
    <row r="4739" ht="15.75" customHeight="1">
      <c r="A4739" s="46"/>
      <c r="B4739" s="47"/>
      <c r="C4739" s="47"/>
      <c r="D4739" s="47"/>
      <c r="E4739" s="47"/>
      <c r="F4739" s="47"/>
    </row>
    <row r="4740" ht="15.75" customHeight="1">
      <c r="A4740" s="46"/>
      <c r="B4740" s="47"/>
      <c r="C4740" s="47"/>
      <c r="D4740" s="47"/>
      <c r="E4740" s="47"/>
      <c r="F4740" s="47"/>
    </row>
    <row r="4741" ht="15.75" customHeight="1">
      <c r="A4741" s="46"/>
      <c r="B4741" s="47"/>
      <c r="C4741" s="47"/>
      <c r="D4741" s="47"/>
      <c r="E4741" s="47"/>
      <c r="F4741" s="47"/>
    </row>
    <row r="4742" ht="15.75" customHeight="1">
      <c r="A4742" s="46"/>
      <c r="B4742" s="47"/>
      <c r="C4742" s="47"/>
      <c r="D4742" s="47"/>
      <c r="E4742" s="47"/>
      <c r="F4742" s="47"/>
    </row>
    <row r="4743" ht="15.75" customHeight="1">
      <c r="A4743" s="46"/>
      <c r="B4743" s="47"/>
      <c r="C4743" s="47"/>
      <c r="D4743" s="47"/>
      <c r="E4743" s="47"/>
      <c r="F4743" s="47"/>
    </row>
    <row r="4744" ht="15.75" customHeight="1">
      <c r="A4744" s="46"/>
      <c r="B4744" s="47"/>
      <c r="C4744" s="47"/>
      <c r="D4744" s="47"/>
      <c r="E4744" s="47"/>
      <c r="F4744" s="47"/>
    </row>
    <row r="4745" ht="15.75" customHeight="1">
      <c r="A4745" s="46"/>
      <c r="B4745" s="47"/>
      <c r="C4745" s="47"/>
      <c r="D4745" s="47"/>
      <c r="E4745" s="47"/>
      <c r="F4745" s="47"/>
    </row>
    <row r="4746" ht="15.75" customHeight="1">
      <c r="A4746" s="46"/>
      <c r="B4746" s="47"/>
      <c r="C4746" s="47"/>
      <c r="D4746" s="47"/>
      <c r="E4746" s="47"/>
      <c r="F4746" s="47"/>
    </row>
    <row r="4747" ht="15.75" customHeight="1">
      <c r="A4747" s="46"/>
      <c r="B4747" s="47"/>
      <c r="C4747" s="47"/>
      <c r="D4747" s="47"/>
      <c r="E4747" s="47"/>
      <c r="F4747" s="47"/>
    </row>
    <row r="4748" ht="15.75" customHeight="1">
      <c r="A4748" s="46"/>
      <c r="B4748" s="47"/>
      <c r="C4748" s="47"/>
      <c r="D4748" s="47"/>
      <c r="E4748" s="47"/>
      <c r="F4748" s="47"/>
    </row>
    <row r="4749" ht="15.75" customHeight="1">
      <c r="A4749" s="46"/>
      <c r="B4749" s="47"/>
      <c r="C4749" s="47"/>
      <c r="D4749" s="47"/>
      <c r="E4749" s="47"/>
      <c r="F4749" s="47"/>
    </row>
    <row r="4750" ht="15.75" customHeight="1">
      <c r="A4750" s="46"/>
      <c r="B4750" s="47"/>
      <c r="C4750" s="47"/>
      <c r="D4750" s="47"/>
      <c r="E4750" s="47"/>
      <c r="F4750" s="47"/>
    </row>
    <row r="4751" ht="15.75" customHeight="1">
      <c r="A4751" s="46"/>
      <c r="B4751" s="47"/>
      <c r="C4751" s="47"/>
      <c r="D4751" s="47"/>
      <c r="E4751" s="47"/>
      <c r="F4751" s="47"/>
    </row>
    <row r="4752" ht="15.75" customHeight="1">
      <c r="A4752" s="46"/>
      <c r="B4752" s="47"/>
      <c r="C4752" s="47"/>
      <c r="D4752" s="47"/>
      <c r="E4752" s="47"/>
      <c r="F4752" s="47"/>
    </row>
    <row r="4753" ht="15.75" customHeight="1">
      <c r="A4753" s="46"/>
      <c r="B4753" s="47"/>
      <c r="C4753" s="47"/>
      <c r="D4753" s="47"/>
      <c r="E4753" s="47"/>
      <c r="F4753" s="47"/>
    </row>
    <row r="4754" ht="15.75" customHeight="1">
      <c r="A4754" s="46"/>
      <c r="B4754" s="47"/>
      <c r="C4754" s="47"/>
      <c r="D4754" s="47"/>
      <c r="E4754" s="47"/>
      <c r="F4754" s="47"/>
    </row>
    <row r="4755" ht="15.75" customHeight="1">
      <c r="A4755" s="46"/>
      <c r="B4755" s="47"/>
      <c r="C4755" s="47"/>
      <c r="D4755" s="47"/>
      <c r="E4755" s="47"/>
      <c r="F4755" s="47"/>
    </row>
    <row r="4756" ht="15.75" customHeight="1">
      <c r="A4756" s="46"/>
      <c r="B4756" s="47"/>
      <c r="C4756" s="47"/>
      <c r="D4756" s="47"/>
      <c r="E4756" s="47"/>
      <c r="F4756" s="47"/>
    </row>
    <row r="4757" ht="15.75" customHeight="1">
      <c r="A4757" s="46"/>
      <c r="B4757" s="47"/>
      <c r="C4757" s="47"/>
      <c r="D4757" s="47"/>
      <c r="E4757" s="47"/>
      <c r="F4757" s="47"/>
    </row>
    <row r="4758" ht="15.75" customHeight="1">
      <c r="A4758" s="46"/>
      <c r="B4758" s="47"/>
      <c r="C4758" s="47"/>
      <c r="D4758" s="47"/>
      <c r="E4758" s="47"/>
      <c r="F4758" s="47"/>
    </row>
    <row r="4759" ht="15.75" customHeight="1">
      <c r="A4759" s="46"/>
      <c r="B4759" s="47"/>
      <c r="C4759" s="47"/>
      <c r="D4759" s="47"/>
      <c r="E4759" s="47"/>
      <c r="F4759" s="47"/>
    </row>
    <row r="4760" ht="15.75" customHeight="1">
      <c r="A4760" s="46"/>
      <c r="B4760" s="47"/>
      <c r="C4760" s="47"/>
      <c r="D4760" s="47"/>
      <c r="E4760" s="47"/>
      <c r="F4760" s="47"/>
    </row>
    <row r="4761" ht="15.75" customHeight="1">
      <c r="A4761" s="46"/>
      <c r="B4761" s="47"/>
      <c r="C4761" s="47"/>
      <c r="D4761" s="47"/>
      <c r="E4761" s="47"/>
      <c r="F4761" s="47"/>
    </row>
    <row r="4762" ht="15.75" customHeight="1">
      <c r="A4762" s="46"/>
      <c r="B4762" s="47"/>
      <c r="C4762" s="47"/>
      <c r="D4762" s="47"/>
      <c r="E4762" s="47"/>
      <c r="F4762" s="47"/>
    </row>
    <row r="4763" ht="15.75" customHeight="1">
      <c r="A4763" s="46"/>
      <c r="B4763" s="47"/>
      <c r="C4763" s="47"/>
      <c r="D4763" s="47"/>
      <c r="E4763" s="47"/>
      <c r="F4763" s="47"/>
    </row>
    <row r="4764" ht="15.75" customHeight="1">
      <c r="A4764" s="46"/>
      <c r="B4764" s="47"/>
      <c r="C4764" s="47"/>
      <c r="D4764" s="47"/>
      <c r="E4764" s="47"/>
      <c r="F4764" s="47"/>
    </row>
    <row r="4765" ht="15.75" customHeight="1">
      <c r="A4765" s="46"/>
      <c r="B4765" s="47"/>
      <c r="C4765" s="47"/>
      <c r="D4765" s="47"/>
      <c r="E4765" s="47"/>
      <c r="F4765" s="47"/>
    </row>
    <row r="4766" ht="15.75" customHeight="1">
      <c r="A4766" s="46"/>
      <c r="B4766" s="47"/>
      <c r="C4766" s="47"/>
      <c r="D4766" s="47"/>
      <c r="E4766" s="47"/>
      <c r="F4766" s="47"/>
    </row>
    <row r="4767" ht="15.75" customHeight="1">
      <c r="A4767" s="46"/>
      <c r="B4767" s="47"/>
      <c r="C4767" s="47"/>
      <c r="D4767" s="47"/>
      <c r="E4767" s="47"/>
      <c r="F4767" s="47"/>
    </row>
    <row r="4768" ht="15.75" customHeight="1">
      <c r="A4768" s="46"/>
      <c r="B4768" s="47"/>
      <c r="C4768" s="47"/>
      <c r="D4768" s="47"/>
      <c r="E4768" s="47"/>
      <c r="F4768" s="47"/>
    </row>
    <row r="4769" ht="15.75" customHeight="1">
      <c r="A4769" s="46"/>
      <c r="B4769" s="47"/>
      <c r="C4769" s="47"/>
      <c r="D4769" s="47"/>
      <c r="E4769" s="47"/>
      <c r="F4769" s="47"/>
    </row>
    <row r="4770" ht="15.75" customHeight="1">
      <c r="A4770" s="46"/>
      <c r="B4770" s="47"/>
      <c r="C4770" s="47"/>
      <c r="D4770" s="47"/>
      <c r="E4770" s="47"/>
      <c r="F4770" s="47"/>
    </row>
    <row r="4771" ht="15.75" customHeight="1">
      <c r="A4771" s="46"/>
      <c r="B4771" s="47"/>
      <c r="C4771" s="47"/>
      <c r="D4771" s="47"/>
      <c r="E4771" s="47"/>
      <c r="F4771" s="47"/>
    </row>
    <row r="4772" ht="15.75" customHeight="1">
      <c r="A4772" s="46"/>
      <c r="B4772" s="47"/>
      <c r="C4772" s="47"/>
      <c r="D4772" s="47"/>
      <c r="E4772" s="47"/>
      <c r="F4772" s="47"/>
    </row>
    <row r="4773" ht="15.75" customHeight="1">
      <c r="A4773" s="46"/>
      <c r="B4773" s="47"/>
      <c r="C4773" s="47"/>
      <c r="D4773" s="47"/>
      <c r="E4773" s="47"/>
      <c r="F4773" s="47"/>
    </row>
    <row r="4774" ht="15.75" customHeight="1">
      <c r="A4774" s="46"/>
      <c r="B4774" s="47"/>
      <c r="C4774" s="47"/>
      <c r="D4774" s="47"/>
      <c r="E4774" s="47"/>
      <c r="F4774" s="47"/>
    </row>
    <row r="4775" ht="15.75" customHeight="1">
      <c r="A4775" s="46"/>
      <c r="B4775" s="47"/>
      <c r="C4775" s="47"/>
      <c r="D4775" s="47"/>
      <c r="E4775" s="47"/>
      <c r="F4775" s="47"/>
    </row>
    <row r="4776" ht="15.75" customHeight="1">
      <c r="A4776" s="46"/>
      <c r="B4776" s="47"/>
      <c r="C4776" s="47"/>
      <c r="D4776" s="47"/>
      <c r="E4776" s="47"/>
      <c r="F4776" s="47"/>
    </row>
    <row r="4777" ht="15.75" customHeight="1">
      <c r="A4777" s="46"/>
      <c r="B4777" s="47"/>
      <c r="C4777" s="47"/>
      <c r="D4777" s="47"/>
      <c r="E4777" s="47"/>
      <c r="F4777" s="47"/>
    </row>
    <row r="4778" ht="15.75" customHeight="1">
      <c r="A4778" s="46"/>
      <c r="B4778" s="47"/>
      <c r="C4778" s="47"/>
      <c r="D4778" s="47"/>
      <c r="E4778" s="47"/>
      <c r="F4778" s="47"/>
    </row>
    <row r="4779" ht="15.75" customHeight="1">
      <c r="A4779" s="46"/>
      <c r="B4779" s="47"/>
      <c r="C4779" s="47"/>
      <c r="D4779" s="47"/>
      <c r="E4779" s="47"/>
      <c r="F4779" s="47"/>
    </row>
    <row r="4780" ht="15.75" customHeight="1">
      <c r="A4780" s="46"/>
      <c r="B4780" s="47"/>
      <c r="C4780" s="47"/>
      <c r="D4780" s="47"/>
      <c r="E4780" s="47"/>
      <c r="F4780" s="47"/>
    </row>
    <row r="4781" ht="15.75" customHeight="1">
      <c r="A4781" s="46"/>
      <c r="B4781" s="47"/>
      <c r="C4781" s="47"/>
      <c r="D4781" s="47"/>
      <c r="E4781" s="47"/>
      <c r="F4781" s="47"/>
    </row>
    <row r="4782" ht="15.75" customHeight="1">
      <c r="A4782" s="46"/>
      <c r="B4782" s="47"/>
      <c r="C4782" s="47"/>
      <c r="D4782" s="47"/>
      <c r="E4782" s="47"/>
      <c r="F4782" s="47"/>
    </row>
    <row r="4783" ht="15.75" customHeight="1">
      <c r="A4783" s="46"/>
      <c r="B4783" s="47"/>
      <c r="C4783" s="47"/>
      <c r="D4783" s="47"/>
      <c r="E4783" s="47"/>
      <c r="F4783" s="47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24.5"/>
    <col customWidth="1" min="3" max="3" width="12.25"/>
    <col customWidth="1" min="4" max="4" width="32.38"/>
    <col customWidth="1" min="5" max="5" width="10.5"/>
    <col customWidth="1" min="6" max="6" width="11.38"/>
    <col customWidth="1" min="7" max="7" width="14.88"/>
    <col customWidth="1" min="8" max="8" width="15.75"/>
    <col customWidth="1" min="9" max="10" width="14.88"/>
  </cols>
  <sheetData>
    <row r="1" ht="15.75" customHeight="1">
      <c r="A1" s="49" t="s">
        <v>51</v>
      </c>
      <c r="B1" s="49" t="s">
        <v>52</v>
      </c>
      <c r="C1" s="49" t="s">
        <v>53</v>
      </c>
      <c r="D1" s="49" t="s">
        <v>54</v>
      </c>
      <c r="E1" s="49" t="s">
        <v>22</v>
      </c>
      <c r="F1" s="49" t="s">
        <v>55</v>
      </c>
      <c r="G1" s="49" t="s">
        <v>56</v>
      </c>
      <c r="H1" s="49" t="s">
        <v>57</v>
      </c>
      <c r="I1" s="49" t="s">
        <v>58</v>
      </c>
      <c r="J1" s="50"/>
    </row>
    <row r="2" ht="15.75" customHeight="1">
      <c r="A2" s="47" t="s">
        <v>59</v>
      </c>
      <c r="B2" s="47" t="s">
        <v>60</v>
      </c>
      <c r="C2" s="47" t="s">
        <v>61</v>
      </c>
      <c r="D2" s="47" t="s">
        <v>50</v>
      </c>
      <c r="E2" s="47" t="s">
        <v>49</v>
      </c>
      <c r="F2" s="47">
        <v>518.0</v>
      </c>
      <c r="G2" s="47">
        <v>5.98</v>
      </c>
      <c r="H2" s="47">
        <v>86.6</v>
      </c>
      <c r="I2" s="47" t="s">
        <v>62</v>
      </c>
    </row>
    <row r="3" ht="15.75" customHeight="1">
      <c r="A3" s="47" t="s">
        <v>63</v>
      </c>
      <c r="B3" s="47" t="s">
        <v>64</v>
      </c>
      <c r="C3" s="47" t="s">
        <v>61</v>
      </c>
      <c r="D3" s="47" t="s">
        <v>50</v>
      </c>
      <c r="E3" s="47" t="s">
        <v>49</v>
      </c>
      <c r="F3" s="47">
        <v>584.0</v>
      </c>
      <c r="G3" s="47">
        <v>6.95</v>
      </c>
      <c r="H3" s="47">
        <v>84.0</v>
      </c>
      <c r="I3" s="47" t="s">
        <v>62</v>
      </c>
    </row>
    <row r="4" ht="15.75" customHeight="1">
      <c r="A4" s="47" t="s">
        <v>65</v>
      </c>
      <c r="B4" s="47" t="s">
        <v>66</v>
      </c>
      <c r="C4" s="47" t="s">
        <v>61</v>
      </c>
      <c r="D4" s="47" t="s">
        <v>67</v>
      </c>
      <c r="E4" s="47" t="s">
        <v>68</v>
      </c>
      <c r="F4" s="47">
        <v>1004.0</v>
      </c>
      <c r="G4" s="47">
        <v>11.55</v>
      </c>
      <c r="H4" s="47">
        <v>86.9</v>
      </c>
      <c r="I4" s="47" t="s">
        <v>62</v>
      </c>
    </row>
    <row r="5" ht="15.75" customHeight="1">
      <c r="A5" s="47" t="s">
        <v>69</v>
      </c>
      <c r="B5" s="47" t="s">
        <v>70</v>
      </c>
      <c r="C5" s="47" t="s">
        <v>61</v>
      </c>
      <c r="D5" s="47" t="s">
        <v>73</v>
      </c>
      <c r="E5" s="47" t="s">
        <v>74</v>
      </c>
      <c r="F5" s="47">
        <v>189.0</v>
      </c>
      <c r="G5" s="47">
        <v>10.72</v>
      </c>
      <c r="H5" s="47">
        <v>17.6</v>
      </c>
      <c r="I5" s="47" t="s">
        <v>75</v>
      </c>
    </row>
    <row r="6" ht="15.75" customHeight="1">
      <c r="A6" s="47" t="s">
        <v>76</v>
      </c>
      <c r="B6" s="47" t="s">
        <v>77</v>
      </c>
      <c r="C6" s="47" t="s">
        <v>61</v>
      </c>
      <c r="D6" s="47" t="s">
        <v>78</v>
      </c>
      <c r="E6" s="47" t="s">
        <v>79</v>
      </c>
      <c r="F6" s="47">
        <v>417.0</v>
      </c>
      <c r="G6" s="47">
        <v>10.61</v>
      </c>
      <c r="H6" s="47">
        <v>39.3</v>
      </c>
      <c r="I6" s="47" t="s">
        <v>75</v>
      </c>
    </row>
    <row r="7" ht="15.75" customHeight="1">
      <c r="A7" s="47" t="s">
        <v>80</v>
      </c>
      <c r="B7" s="47" t="s">
        <v>81</v>
      </c>
      <c r="C7" s="47" t="s">
        <v>61</v>
      </c>
      <c r="D7" s="47" t="s">
        <v>82</v>
      </c>
      <c r="E7" s="47" t="s">
        <v>83</v>
      </c>
      <c r="F7" s="47">
        <v>259.0</v>
      </c>
      <c r="G7" s="47">
        <v>8.71</v>
      </c>
      <c r="H7" s="47">
        <v>29.7</v>
      </c>
      <c r="I7" s="47" t="s">
        <v>75</v>
      </c>
    </row>
    <row r="8" ht="15.75" customHeight="1">
      <c r="A8" s="47" t="s">
        <v>84</v>
      </c>
      <c r="B8" s="47" t="s">
        <v>85</v>
      </c>
      <c r="C8" s="47" t="s">
        <v>61</v>
      </c>
      <c r="D8" s="47" t="s">
        <v>86</v>
      </c>
      <c r="E8" s="47" t="s">
        <v>87</v>
      </c>
      <c r="F8" s="47">
        <v>118.0</v>
      </c>
      <c r="G8" s="47">
        <v>4.88</v>
      </c>
      <c r="H8" s="47">
        <v>24.2</v>
      </c>
      <c r="I8" s="47" t="s">
        <v>75</v>
      </c>
    </row>
    <row r="9" ht="15.75" customHeight="1">
      <c r="A9" s="47" t="s">
        <v>88</v>
      </c>
      <c r="B9" s="47" t="s">
        <v>89</v>
      </c>
      <c r="C9" s="47" t="s">
        <v>61</v>
      </c>
      <c r="D9" s="47" t="s">
        <v>90</v>
      </c>
      <c r="E9" s="47" t="s">
        <v>91</v>
      </c>
      <c r="F9" s="47">
        <v>306.0</v>
      </c>
      <c r="G9" s="47">
        <v>14.72</v>
      </c>
      <c r="H9" s="47">
        <v>20.8</v>
      </c>
      <c r="I9" s="47" t="s">
        <v>75</v>
      </c>
    </row>
    <row r="10" ht="15.75" customHeight="1">
      <c r="A10" s="47" t="s">
        <v>92</v>
      </c>
      <c r="B10" s="47" t="s">
        <v>93</v>
      </c>
      <c r="C10" s="47" t="s">
        <v>61</v>
      </c>
      <c r="D10" s="47" t="s">
        <v>94</v>
      </c>
      <c r="E10" s="47" t="s">
        <v>95</v>
      </c>
      <c r="F10" s="47">
        <v>517.0</v>
      </c>
      <c r="G10" s="47">
        <v>5.99</v>
      </c>
      <c r="H10" s="47">
        <v>86.3</v>
      </c>
      <c r="I10" s="47" t="s">
        <v>62</v>
      </c>
    </row>
    <row r="11" ht="15.75" customHeight="1">
      <c r="A11" s="47" t="s">
        <v>96</v>
      </c>
      <c r="B11" s="47" t="s">
        <v>97</v>
      </c>
      <c r="C11" s="47" t="s">
        <v>61</v>
      </c>
      <c r="D11" s="47" t="s">
        <v>90</v>
      </c>
      <c r="E11" s="47" t="s">
        <v>91</v>
      </c>
      <c r="F11" s="47">
        <v>163.0</v>
      </c>
      <c r="G11" s="47">
        <v>5.16</v>
      </c>
      <c r="H11" s="47">
        <v>31.6</v>
      </c>
      <c r="I11" s="47" t="s">
        <v>75</v>
      </c>
    </row>
    <row r="12" ht="15.75" customHeight="1">
      <c r="A12" s="47" t="s">
        <v>100</v>
      </c>
      <c r="B12" s="47" t="s">
        <v>101</v>
      </c>
      <c r="C12" s="47" t="s">
        <v>61</v>
      </c>
      <c r="D12" s="47" t="s">
        <v>102</v>
      </c>
      <c r="E12" s="47" t="s">
        <v>103</v>
      </c>
      <c r="F12" s="47">
        <v>1205.0</v>
      </c>
      <c r="G12" s="47">
        <v>17.24</v>
      </c>
      <c r="H12" s="47">
        <v>69.9</v>
      </c>
      <c r="I12" s="47" t="s">
        <v>62</v>
      </c>
    </row>
    <row r="13" ht="15.75" customHeight="1">
      <c r="A13" s="47" t="s">
        <v>104</v>
      </c>
      <c r="B13" s="47" t="s">
        <v>105</v>
      </c>
      <c r="C13" s="47" t="s">
        <v>61</v>
      </c>
      <c r="D13" s="47" t="s">
        <v>106</v>
      </c>
      <c r="E13" s="47" t="s">
        <v>107</v>
      </c>
      <c r="F13" s="47">
        <v>79.0</v>
      </c>
      <c r="G13" s="47">
        <v>4.48</v>
      </c>
      <c r="H13" s="47">
        <v>17.6</v>
      </c>
      <c r="I13" s="47" t="s">
        <v>75</v>
      </c>
    </row>
    <row r="14" ht="15.75" customHeight="1">
      <c r="A14" s="47" t="s">
        <v>108</v>
      </c>
      <c r="B14" s="47" t="s">
        <v>109</v>
      </c>
      <c r="C14" s="47" t="s">
        <v>61</v>
      </c>
      <c r="D14" s="47" t="s">
        <v>78</v>
      </c>
      <c r="E14" s="47" t="s">
        <v>79</v>
      </c>
      <c r="F14" s="47">
        <v>391.0</v>
      </c>
      <c r="G14" s="47">
        <v>28.04</v>
      </c>
      <c r="H14" s="47">
        <v>13.9</v>
      </c>
      <c r="I14" s="47" t="s">
        <v>75</v>
      </c>
    </row>
    <row r="15" ht="15.75" customHeight="1">
      <c r="A15" s="47" t="s">
        <v>111</v>
      </c>
      <c r="B15" s="47" t="s">
        <v>112</v>
      </c>
      <c r="C15" s="47" t="s">
        <v>61</v>
      </c>
      <c r="D15" s="47" t="s">
        <v>50</v>
      </c>
      <c r="E15" s="47" t="s">
        <v>49</v>
      </c>
      <c r="F15" s="47">
        <v>707.0</v>
      </c>
      <c r="G15" s="47">
        <v>13.12</v>
      </c>
      <c r="H15" s="47">
        <v>53.9</v>
      </c>
      <c r="I15" s="47" t="s">
        <v>62</v>
      </c>
    </row>
    <row r="16" ht="15.75" customHeight="1">
      <c r="A16" s="47" t="s">
        <v>113</v>
      </c>
      <c r="B16" s="47" t="s">
        <v>114</v>
      </c>
      <c r="C16" s="47" t="s">
        <v>61</v>
      </c>
      <c r="D16" s="47" t="s">
        <v>102</v>
      </c>
      <c r="E16" s="47" t="s">
        <v>103</v>
      </c>
      <c r="F16" s="47">
        <v>78.0</v>
      </c>
      <c r="G16" s="47">
        <v>3.86</v>
      </c>
      <c r="H16" s="47">
        <v>20.2</v>
      </c>
      <c r="I16" s="47" t="s">
        <v>75</v>
      </c>
    </row>
    <row r="17" ht="15.75" customHeight="1">
      <c r="A17" s="47" t="s">
        <v>117</v>
      </c>
      <c r="B17" s="47" t="s">
        <v>119</v>
      </c>
      <c r="C17" s="47" t="s">
        <v>61</v>
      </c>
      <c r="D17" s="47" t="s">
        <v>50</v>
      </c>
      <c r="E17" s="47" t="s">
        <v>49</v>
      </c>
      <c r="F17" s="47">
        <v>212.0</v>
      </c>
      <c r="G17" s="47">
        <v>2.86</v>
      </c>
      <c r="H17" s="47">
        <v>74.1</v>
      </c>
      <c r="I17" s="47" t="s">
        <v>75</v>
      </c>
    </row>
    <row r="18" ht="15.75" customHeight="1">
      <c r="A18" s="47" t="s">
        <v>125</v>
      </c>
      <c r="B18" s="47" t="s">
        <v>126</v>
      </c>
      <c r="C18" s="47" t="s">
        <v>61</v>
      </c>
      <c r="D18" s="47" t="s">
        <v>50</v>
      </c>
      <c r="E18" s="47" t="s">
        <v>49</v>
      </c>
      <c r="F18" s="47">
        <v>274.0</v>
      </c>
      <c r="G18" s="47">
        <v>9.18</v>
      </c>
      <c r="H18" s="47">
        <v>29.8</v>
      </c>
      <c r="I18" s="47" t="s">
        <v>75</v>
      </c>
    </row>
    <row r="19" ht="15.75" customHeight="1">
      <c r="A19" s="47" t="s">
        <v>133</v>
      </c>
      <c r="B19" s="47" t="s">
        <v>134</v>
      </c>
      <c r="C19" s="47" t="s">
        <v>61</v>
      </c>
      <c r="D19" s="47" t="s">
        <v>137</v>
      </c>
      <c r="E19" s="47" t="s">
        <v>138</v>
      </c>
      <c r="F19" s="47">
        <v>2472.0</v>
      </c>
      <c r="G19" s="47">
        <v>20.9</v>
      </c>
      <c r="H19" s="47">
        <v>118.3</v>
      </c>
      <c r="I19" s="47" t="s">
        <v>142</v>
      </c>
    </row>
    <row r="20" ht="15.75" customHeight="1">
      <c r="A20" s="47" t="s">
        <v>143</v>
      </c>
      <c r="B20" s="47" t="s">
        <v>144</v>
      </c>
      <c r="C20" s="47" t="s">
        <v>61</v>
      </c>
      <c r="D20" s="47" t="s">
        <v>140</v>
      </c>
      <c r="E20" s="47" t="s">
        <v>147</v>
      </c>
      <c r="F20" s="47">
        <v>349.0</v>
      </c>
      <c r="G20" s="47">
        <v>5.96</v>
      </c>
      <c r="H20" s="47">
        <v>58.6</v>
      </c>
      <c r="I20" s="47" t="s">
        <v>75</v>
      </c>
    </row>
    <row r="21" ht="15.75" customHeight="1">
      <c r="A21" s="47" t="s">
        <v>153</v>
      </c>
      <c r="B21" s="47" t="s">
        <v>154</v>
      </c>
      <c r="C21" s="47" t="s">
        <v>61</v>
      </c>
      <c r="D21" s="47" t="s">
        <v>156</v>
      </c>
      <c r="E21" s="47" t="s">
        <v>157</v>
      </c>
      <c r="F21" s="47">
        <v>456.0</v>
      </c>
      <c r="G21" s="47">
        <v>17.78</v>
      </c>
      <c r="H21" s="47">
        <v>25.6</v>
      </c>
      <c r="I21" s="47" t="s">
        <v>75</v>
      </c>
    </row>
    <row r="22" ht="15.75" customHeight="1">
      <c r="A22" s="47" t="s">
        <v>162</v>
      </c>
      <c r="B22" s="47" t="s">
        <v>164</v>
      </c>
      <c r="C22" s="47" t="s">
        <v>61</v>
      </c>
      <c r="D22" s="47" t="s">
        <v>166</v>
      </c>
      <c r="E22" s="47" t="s">
        <v>168</v>
      </c>
      <c r="F22" s="47">
        <v>76.0</v>
      </c>
      <c r="G22" s="47">
        <v>6.41</v>
      </c>
      <c r="H22" s="47">
        <v>11.9</v>
      </c>
      <c r="I22" s="47" t="s">
        <v>75</v>
      </c>
    </row>
    <row r="23" ht="15.75" customHeight="1">
      <c r="A23" s="47" t="s">
        <v>172</v>
      </c>
      <c r="B23" s="47" t="s">
        <v>174</v>
      </c>
      <c r="C23" s="47" t="s">
        <v>61</v>
      </c>
      <c r="D23" s="47" t="s">
        <v>106</v>
      </c>
      <c r="E23" s="47" t="s">
        <v>107</v>
      </c>
      <c r="F23" s="47">
        <v>396.0</v>
      </c>
      <c r="G23" s="47">
        <v>26.37</v>
      </c>
      <c r="H23" s="47">
        <v>15.0</v>
      </c>
      <c r="I23" s="47" t="s">
        <v>75</v>
      </c>
    </row>
    <row r="24" ht="15.75" customHeight="1">
      <c r="A24" s="47" t="s">
        <v>177</v>
      </c>
      <c r="B24" s="47" t="s">
        <v>179</v>
      </c>
      <c r="C24" s="47" t="s">
        <v>61</v>
      </c>
      <c r="D24" s="47" t="s">
        <v>123</v>
      </c>
      <c r="E24" s="47" t="s">
        <v>181</v>
      </c>
      <c r="F24" s="47">
        <v>96.0</v>
      </c>
      <c r="G24" s="47">
        <v>6.83</v>
      </c>
      <c r="H24" s="47">
        <v>14.1</v>
      </c>
      <c r="I24" s="47" t="s">
        <v>75</v>
      </c>
    </row>
    <row r="25" ht="15.75" customHeight="1">
      <c r="A25" s="47" t="s">
        <v>184</v>
      </c>
      <c r="B25" s="47" t="s">
        <v>186</v>
      </c>
      <c r="C25" s="47" t="s">
        <v>61</v>
      </c>
      <c r="D25" s="47" t="s">
        <v>136</v>
      </c>
      <c r="E25" s="47" t="s">
        <v>189</v>
      </c>
      <c r="F25" s="47">
        <v>45.0</v>
      </c>
      <c r="G25" s="47">
        <v>5.58</v>
      </c>
      <c r="H25" s="47">
        <v>8.1</v>
      </c>
      <c r="I25" s="47" t="s">
        <v>75</v>
      </c>
    </row>
    <row r="26" ht="15.75" customHeight="1">
      <c r="A26" s="47" t="s">
        <v>193</v>
      </c>
      <c r="B26" s="47" t="s">
        <v>194</v>
      </c>
      <c r="C26" s="47" t="s">
        <v>61</v>
      </c>
      <c r="D26" s="47" t="s">
        <v>140</v>
      </c>
      <c r="E26" s="47" t="s">
        <v>147</v>
      </c>
      <c r="F26" s="47">
        <v>361.0</v>
      </c>
      <c r="G26" s="47">
        <v>6.32</v>
      </c>
      <c r="H26" s="47">
        <v>57.1</v>
      </c>
      <c r="I26" s="47" t="s">
        <v>75</v>
      </c>
    </row>
    <row r="27" ht="15.75" customHeight="1">
      <c r="A27" s="47" t="s">
        <v>199</v>
      </c>
      <c r="B27" s="47" t="s">
        <v>201</v>
      </c>
      <c r="C27" s="47" t="s">
        <v>61</v>
      </c>
      <c r="D27" s="47" t="s">
        <v>73</v>
      </c>
      <c r="E27" s="47" t="s">
        <v>74</v>
      </c>
      <c r="F27" s="47">
        <v>209.0</v>
      </c>
      <c r="G27" s="47">
        <v>8.05</v>
      </c>
      <c r="H27" s="47">
        <v>26.0</v>
      </c>
      <c r="I27" s="47" t="s">
        <v>75</v>
      </c>
    </row>
    <row r="28" ht="15.75" customHeight="1">
      <c r="A28" s="47" t="s">
        <v>208</v>
      </c>
      <c r="B28" s="47" t="s">
        <v>209</v>
      </c>
      <c r="C28" s="47" t="s">
        <v>61</v>
      </c>
      <c r="D28" s="47" t="s">
        <v>136</v>
      </c>
      <c r="E28" s="47" t="s">
        <v>189</v>
      </c>
      <c r="F28" s="47">
        <v>2578.0</v>
      </c>
      <c r="G28" s="47">
        <v>15.48</v>
      </c>
      <c r="H28" s="47">
        <v>166.5</v>
      </c>
      <c r="I28" s="47" t="s">
        <v>142</v>
      </c>
    </row>
    <row r="29" ht="15.75" customHeight="1">
      <c r="A29" s="47" t="s">
        <v>213</v>
      </c>
      <c r="B29" s="47" t="s">
        <v>215</v>
      </c>
      <c r="C29" s="47" t="s">
        <v>61</v>
      </c>
      <c r="D29" s="47" t="s">
        <v>198</v>
      </c>
      <c r="E29" s="47" t="s">
        <v>217</v>
      </c>
      <c r="F29" s="47">
        <v>337.0</v>
      </c>
      <c r="G29" s="47">
        <v>11.83</v>
      </c>
      <c r="H29" s="47">
        <v>28.5</v>
      </c>
      <c r="I29" s="47" t="s">
        <v>75</v>
      </c>
    </row>
    <row r="30" ht="15.75" customHeight="1">
      <c r="A30" s="47" t="s">
        <v>221</v>
      </c>
      <c r="B30" s="47" t="s">
        <v>222</v>
      </c>
      <c r="C30" s="47" t="s">
        <v>61</v>
      </c>
      <c r="D30" s="47" t="s">
        <v>198</v>
      </c>
      <c r="E30" s="47" t="s">
        <v>217</v>
      </c>
      <c r="F30" s="47">
        <v>238.0</v>
      </c>
      <c r="G30" s="47">
        <v>2.11</v>
      </c>
      <c r="H30" s="47">
        <v>112.8</v>
      </c>
      <c r="I30" s="47" t="s">
        <v>75</v>
      </c>
    </row>
    <row r="31" ht="15.75" customHeight="1">
      <c r="A31" s="47" t="s">
        <v>226</v>
      </c>
      <c r="B31" s="47" t="s">
        <v>227</v>
      </c>
      <c r="C31" s="47" t="s">
        <v>61</v>
      </c>
      <c r="D31" s="47" t="s">
        <v>156</v>
      </c>
      <c r="E31" s="47" t="s">
        <v>157</v>
      </c>
      <c r="F31" s="47">
        <v>658.0</v>
      </c>
      <c r="G31" s="47">
        <v>23.7</v>
      </c>
      <c r="H31" s="47">
        <v>27.8</v>
      </c>
      <c r="I31" s="47" t="s">
        <v>62</v>
      </c>
    </row>
    <row r="32" ht="15.75" customHeight="1">
      <c r="A32" s="47" t="s">
        <v>232</v>
      </c>
      <c r="B32" s="47" t="s">
        <v>233</v>
      </c>
      <c r="C32" s="47" t="s">
        <v>61</v>
      </c>
      <c r="D32" s="47" t="s">
        <v>140</v>
      </c>
      <c r="E32" s="47" t="s">
        <v>147</v>
      </c>
      <c r="F32" s="47">
        <v>231.0</v>
      </c>
      <c r="G32" s="47">
        <v>3.74</v>
      </c>
      <c r="H32" s="47">
        <v>61.8</v>
      </c>
      <c r="I32" s="47" t="s">
        <v>75</v>
      </c>
    </row>
    <row r="33" ht="15.75" customHeight="1">
      <c r="A33" s="47" t="s">
        <v>238</v>
      </c>
      <c r="B33" s="47" t="s">
        <v>239</v>
      </c>
      <c r="C33" s="47" t="s">
        <v>61</v>
      </c>
      <c r="D33" s="47" t="s">
        <v>86</v>
      </c>
      <c r="E33" s="47" t="s">
        <v>87</v>
      </c>
      <c r="F33" s="47">
        <v>102.0</v>
      </c>
      <c r="G33" s="47">
        <v>4.44</v>
      </c>
      <c r="H33" s="47">
        <v>23.0</v>
      </c>
      <c r="I33" s="47" t="s">
        <v>75</v>
      </c>
    </row>
    <row r="34" ht="15.75" customHeight="1">
      <c r="A34" s="47" t="s">
        <v>240</v>
      </c>
      <c r="B34" s="47" t="s">
        <v>241</v>
      </c>
      <c r="C34" s="47" t="s">
        <v>61</v>
      </c>
      <c r="D34" s="47" t="s">
        <v>102</v>
      </c>
      <c r="E34" s="47" t="s">
        <v>103</v>
      </c>
      <c r="F34" s="47">
        <v>104.0</v>
      </c>
      <c r="G34" s="47">
        <v>5.71</v>
      </c>
      <c r="H34" s="47">
        <v>18.2</v>
      </c>
      <c r="I34" s="47" t="s">
        <v>75</v>
      </c>
    </row>
    <row r="35" ht="15.75" customHeight="1">
      <c r="A35" s="47" t="s">
        <v>242</v>
      </c>
      <c r="B35" s="47" t="s">
        <v>243</v>
      </c>
      <c r="C35" s="47" t="s">
        <v>61</v>
      </c>
      <c r="D35" s="47" t="s">
        <v>82</v>
      </c>
      <c r="E35" s="47" t="s">
        <v>83</v>
      </c>
      <c r="F35" s="47">
        <v>273.0</v>
      </c>
      <c r="G35" s="47">
        <v>10.73</v>
      </c>
      <c r="H35" s="47">
        <v>25.4</v>
      </c>
      <c r="I35" s="47" t="s">
        <v>75</v>
      </c>
    </row>
    <row r="36" ht="15.75" customHeight="1">
      <c r="A36" s="47" t="s">
        <v>244</v>
      </c>
      <c r="B36" s="47" t="s">
        <v>245</v>
      </c>
      <c r="C36" s="47" t="s">
        <v>61</v>
      </c>
      <c r="D36" s="47" t="s">
        <v>90</v>
      </c>
      <c r="E36" s="47" t="s">
        <v>91</v>
      </c>
      <c r="F36" s="47">
        <v>72.0</v>
      </c>
      <c r="G36" s="47">
        <v>2.64</v>
      </c>
      <c r="H36" s="47">
        <v>27.3</v>
      </c>
      <c r="I36" s="47" t="s">
        <v>75</v>
      </c>
    </row>
    <row r="37" ht="15.75" customHeight="1">
      <c r="A37" s="47" t="s">
        <v>246</v>
      </c>
      <c r="B37" s="47" t="s">
        <v>247</v>
      </c>
      <c r="C37" s="47" t="s">
        <v>61</v>
      </c>
      <c r="D37" s="47" t="s">
        <v>136</v>
      </c>
      <c r="E37" s="47" t="s">
        <v>189</v>
      </c>
      <c r="F37" s="47">
        <v>1348.0</v>
      </c>
      <c r="G37" s="47">
        <v>9.73</v>
      </c>
      <c r="H37" s="47">
        <v>138.5</v>
      </c>
      <c r="I37" s="47" t="s">
        <v>62</v>
      </c>
    </row>
    <row r="38" ht="15.75" customHeight="1">
      <c r="A38" s="47" t="s">
        <v>248</v>
      </c>
      <c r="B38" s="47" t="s">
        <v>249</v>
      </c>
      <c r="C38" s="47" t="s">
        <v>61</v>
      </c>
      <c r="D38" s="47" t="s">
        <v>166</v>
      </c>
      <c r="E38" s="47" t="s">
        <v>168</v>
      </c>
      <c r="F38" s="47">
        <v>62.0</v>
      </c>
      <c r="G38" s="47">
        <v>6.04</v>
      </c>
      <c r="H38" s="47">
        <v>10.3</v>
      </c>
      <c r="I38" s="47" t="s">
        <v>75</v>
      </c>
    </row>
    <row r="39" ht="15.75" customHeight="1">
      <c r="A39" s="47" t="s">
        <v>250</v>
      </c>
      <c r="B39" s="47" t="s">
        <v>251</v>
      </c>
      <c r="C39" s="47" t="s">
        <v>61</v>
      </c>
      <c r="D39" s="47" t="s">
        <v>73</v>
      </c>
      <c r="E39" s="47" t="s">
        <v>74</v>
      </c>
      <c r="F39" s="47">
        <v>176.0</v>
      </c>
      <c r="G39" s="47">
        <v>9.27</v>
      </c>
      <c r="H39" s="47">
        <v>19.0</v>
      </c>
      <c r="I39" s="47" t="s">
        <v>75</v>
      </c>
    </row>
    <row r="40" ht="15.75" customHeight="1">
      <c r="A40" s="47" t="s">
        <v>252</v>
      </c>
      <c r="B40" s="47" t="s">
        <v>253</v>
      </c>
      <c r="C40" s="47" t="s">
        <v>61</v>
      </c>
      <c r="D40" s="47" t="s">
        <v>165</v>
      </c>
      <c r="E40" s="47" t="s">
        <v>254</v>
      </c>
      <c r="F40" s="47">
        <v>175.0</v>
      </c>
      <c r="G40" s="47">
        <v>6.85</v>
      </c>
      <c r="H40" s="47">
        <v>25.5</v>
      </c>
      <c r="I40" s="47" t="s">
        <v>75</v>
      </c>
    </row>
    <row r="41" ht="15.75" customHeight="1">
      <c r="A41" s="47" t="s">
        <v>256</v>
      </c>
      <c r="B41" s="47" t="s">
        <v>257</v>
      </c>
      <c r="C41" s="47" t="s">
        <v>61</v>
      </c>
      <c r="D41" s="47" t="s">
        <v>50</v>
      </c>
      <c r="E41" s="47" t="s">
        <v>49</v>
      </c>
      <c r="F41" s="47">
        <v>777.0</v>
      </c>
      <c r="G41" s="47">
        <v>3.63</v>
      </c>
      <c r="H41" s="47">
        <v>214.0</v>
      </c>
      <c r="I41" s="47" t="s">
        <v>62</v>
      </c>
    </row>
    <row r="42" ht="15.75" customHeight="1">
      <c r="A42" s="47" t="s">
        <v>258</v>
      </c>
      <c r="B42" s="47" t="s">
        <v>259</v>
      </c>
      <c r="C42" s="47" t="s">
        <v>61</v>
      </c>
      <c r="D42" s="47" t="s">
        <v>123</v>
      </c>
      <c r="E42" s="47" t="s">
        <v>181</v>
      </c>
      <c r="F42" s="47">
        <v>369.0</v>
      </c>
      <c r="G42" s="47">
        <v>2.77</v>
      </c>
      <c r="H42" s="47">
        <v>133.2</v>
      </c>
      <c r="I42" s="47" t="s">
        <v>75</v>
      </c>
    </row>
    <row r="43" ht="15.75" customHeight="1">
      <c r="A43" s="47" t="s">
        <v>260</v>
      </c>
      <c r="B43" s="47" t="s">
        <v>261</v>
      </c>
      <c r="C43" s="47" t="s">
        <v>61</v>
      </c>
      <c r="D43" s="47" t="s">
        <v>67</v>
      </c>
      <c r="E43" s="47" t="s">
        <v>68</v>
      </c>
      <c r="F43" s="47">
        <v>62.0</v>
      </c>
      <c r="G43" s="47">
        <v>2.17</v>
      </c>
      <c r="H43" s="47">
        <v>28.6</v>
      </c>
      <c r="I43" s="47" t="s">
        <v>75</v>
      </c>
    </row>
    <row r="44" ht="15.75" customHeight="1">
      <c r="A44" s="47" t="s">
        <v>262</v>
      </c>
      <c r="B44" s="47" t="s">
        <v>263</v>
      </c>
      <c r="C44" s="47" t="s">
        <v>61</v>
      </c>
      <c r="D44" s="47" t="s">
        <v>165</v>
      </c>
      <c r="E44" s="47" t="s">
        <v>254</v>
      </c>
      <c r="F44" s="47">
        <v>26.0</v>
      </c>
      <c r="G44" s="47">
        <v>3.33</v>
      </c>
      <c r="H44" s="47">
        <v>7.8</v>
      </c>
      <c r="I44" s="47" t="s">
        <v>75</v>
      </c>
    </row>
    <row r="45" ht="15.75" customHeight="1">
      <c r="A45" s="47" t="s">
        <v>264</v>
      </c>
      <c r="B45" s="47" t="s">
        <v>265</v>
      </c>
      <c r="C45" s="47" t="s">
        <v>61</v>
      </c>
      <c r="D45" s="47" t="s">
        <v>73</v>
      </c>
      <c r="E45" s="47" t="s">
        <v>74</v>
      </c>
      <c r="F45" s="47">
        <v>555.0</v>
      </c>
      <c r="G45" s="47">
        <v>11.49</v>
      </c>
      <c r="H45" s="47">
        <v>48.3</v>
      </c>
      <c r="I45" s="47" t="s">
        <v>62</v>
      </c>
    </row>
    <row r="46" ht="15.75" customHeight="1">
      <c r="A46" s="47" t="s">
        <v>266</v>
      </c>
      <c r="B46" s="47" t="s">
        <v>267</v>
      </c>
      <c r="C46" s="47" t="s">
        <v>61</v>
      </c>
      <c r="D46" s="47" t="s">
        <v>73</v>
      </c>
      <c r="E46" s="47" t="s">
        <v>74</v>
      </c>
      <c r="F46" s="47">
        <v>108.0</v>
      </c>
      <c r="G46" s="47">
        <v>6.7</v>
      </c>
      <c r="H46" s="47">
        <v>16.1</v>
      </c>
      <c r="I46" s="47" t="s">
        <v>75</v>
      </c>
    </row>
    <row r="47" ht="15.75" customHeight="1">
      <c r="A47" s="47" t="s">
        <v>269</v>
      </c>
      <c r="B47" s="47" t="s">
        <v>270</v>
      </c>
      <c r="C47" s="47" t="s">
        <v>61</v>
      </c>
      <c r="D47" s="47" t="s">
        <v>73</v>
      </c>
      <c r="E47" s="47" t="s">
        <v>74</v>
      </c>
      <c r="F47" s="47">
        <v>130.0</v>
      </c>
      <c r="G47" s="47">
        <v>7.99</v>
      </c>
      <c r="H47" s="47">
        <v>16.3</v>
      </c>
      <c r="I47" s="47" t="s">
        <v>75</v>
      </c>
    </row>
    <row r="48" ht="15.75" customHeight="1">
      <c r="A48" s="47" t="s">
        <v>271</v>
      </c>
      <c r="B48" s="47" t="s">
        <v>272</v>
      </c>
      <c r="C48" s="47" t="s">
        <v>61</v>
      </c>
      <c r="D48" s="47" t="s">
        <v>137</v>
      </c>
      <c r="E48" s="47" t="s">
        <v>138</v>
      </c>
      <c r="F48" s="47">
        <v>752.0</v>
      </c>
      <c r="G48" s="47">
        <v>14.91</v>
      </c>
      <c r="H48" s="47">
        <v>50.4</v>
      </c>
      <c r="I48" s="47" t="s">
        <v>62</v>
      </c>
    </row>
    <row r="49" ht="15.75" customHeight="1">
      <c r="A49" s="47" t="s">
        <v>274</v>
      </c>
      <c r="B49" s="47" t="s">
        <v>275</v>
      </c>
      <c r="C49" s="47" t="s">
        <v>61</v>
      </c>
      <c r="D49" s="47" t="s">
        <v>165</v>
      </c>
      <c r="E49" s="47" t="s">
        <v>254</v>
      </c>
      <c r="F49" s="47">
        <v>316.0</v>
      </c>
      <c r="G49" s="47">
        <v>7.69</v>
      </c>
      <c r="H49" s="47">
        <v>41.1</v>
      </c>
      <c r="I49" s="47" t="s">
        <v>75</v>
      </c>
    </row>
    <row r="50" ht="15.75" customHeight="1">
      <c r="A50" s="47" t="s">
        <v>279</v>
      </c>
      <c r="B50" s="47" t="s">
        <v>280</v>
      </c>
      <c r="C50" s="47" t="s">
        <v>61</v>
      </c>
      <c r="D50" s="47" t="s">
        <v>123</v>
      </c>
      <c r="E50" s="47" t="s">
        <v>181</v>
      </c>
      <c r="F50" s="47">
        <v>380.0</v>
      </c>
      <c r="G50" s="47">
        <v>7.6</v>
      </c>
      <c r="H50" s="47">
        <v>50.0</v>
      </c>
      <c r="I50" s="47" t="s">
        <v>75</v>
      </c>
    </row>
    <row r="51" ht="15.75" customHeight="1">
      <c r="A51" s="47" t="s">
        <v>281</v>
      </c>
      <c r="B51" s="47" t="s">
        <v>282</v>
      </c>
      <c r="C51" s="47" t="s">
        <v>61</v>
      </c>
      <c r="D51" s="47" t="s">
        <v>137</v>
      </c>
      <c r="E51" s="47" t="s">
        <v>138</v>
      </c>
      <c r="F51" s="47">
        <v>131.0</v>
      </c>
      <c r="G51" s="47">
        <v>7.08</v>
      </c>
      <c r="H51" s="47">
        <v>18.5</v>
      </c>
      <c r="I51" s="47" t="s">
        <v>75</v>
      </c>
    </row>
    <row r="52" ht="15.75" customHeight="1">
      <c r="A52" s="47" t="s">
        <v>283</v>
      </c>
      <c r="B52" s="47" t="s">
        <v>284</v>
      </c>
      <c r="C52" s="47" t="s">
        <v>61</v>
      </c>
      <c r="D52" s="47" t="s">
        <v>123</v>
      </c>
      <c r="E52" s="47" t="s">
        <v>181</v>
      </c>
      <c r="F52" s="47">
        <v>599.0</v>
      </c>
      <c r="G52" s="47">
        <v>41.57</v>
      </c>
      <c r="H52" s="47">
        <v>14.4</v>
      </c>
      <c r="I52" s="47" t="s">
        <v>62</v>
      </c>
    </row>
    <row r="53" ht="15.75" customHeight="1">
      <c r="A53" s="47" t="s">
        <v>286</v>
      </c>
      <c r="B53" s="47" t="s">
        <v>287</v>
      </c>
      <c r="C53" s="47" t="s">
        <v>61</v>
      </c>
      <c r="D53" s="47" t="s">
        <v>90</v>
      </c>
      <c r="E53" s="47" t="s">
        <v>91</v>
      </c>
      <c r="F53" s="47">
        <v>516.0</v>
      </c>
      <c r="G53" s="47">
        <v>13.65</v>
      </c>
      <c r="H53" s="47">
        <v>37.8</v>
      </c>
      <c r="I53" s="47" t="s">
        <v>62</v>
      </c>
    </row>
    <row r="54" ht="15.75" customHeight="1">
      <c r="A54" s="47" t="s">
        <v>288</v>
      </c>
      <c r="B54" s="47" t="s">
        <v>289</v>
      </c>
      <c r="C54" s="47" t="s">
        <v>61</v>
      </c>
      <c r="D54" s="47" t="s">
        <v>156</v>
      </c>
      <c r="E54" s="47" t="s">
        <v>157</v>
      </c>
      <c r="F54" s="47">
        <v>82.0</v>
      </c>
      <c r="G54" s="47">
        <v>9.2</v>
      </c>
      <c r="H54" s="47">
        <v>8.9</v>
      </c>
      <c r="I54" s="47" t="s">
        <v>75</v>
      </c>
    </row>
    <row r="55" ht="15.75" customHeight="1">
      <c r="A55" s="47" t="s">
        <v>290</v>
      </c>
      <c r="B55" s="47" t="s">
        <v>291</v>
      </c>
      <c r="C55" s="47" t="s">
        <v>61</v>
      </c>
      <c r="D55" s="47" t="s">
        <v>50</v>
      </c>
      <c r="E55" s="47" t="s">
        <v>49</v>
      </c>
      <c r="F55" s="47">
        <v>168.0</v>
      </c>
      <c r="G55" s="47">
        <v>5.44</v>
      </c>
      <c r="H55" s="47">
        <v>30.9</v>
      </c>
      <c r="I55" s="47" t="s">
        <v>75</v>
      </c>
    </row>
    <row r="56" ht="15.75" customHeight="1">
      <c r="A56" s="47" t="s">
        <v>292</v>
      </c>
      <c r="B56" s="47" t="s">
        <v>293</v>
      </c>
      <c r="C56" s="47" t="s">
        <v>61</v>
      </c>
      <c r="D56" s="47" t="s">
        <v>198</v>
      </c>
      <c r="E56" s="47" t="s">
        <v>217</v>
      </c>
      <c r="F56" s="47">
        <v>1281.0</v>
      </c>
      <c r="G56" s="47">
        <v>21.75</v>
      </c>
      <c r="H56" s="47">
        <v>58.9</v>
      </c>
      <c r="I56" s="47" t="s">
        <v>62</v>
      </c>
    </row>
    <row r="57" ht="15.75" customHeight="1">
      <c r="A57" s="47" t="s">
        <v>294</v>
      </c>
      <c r="B57" s="47" t="s">
        <v>295</v>
      </c>
      <c r="C57" s="47" t="s">
        <v>61</v>
      </c>
      <c r="D57" s="47" t="s">
        <v>86</v>
      </c>
      <c r="E57" s="47" t="s">
        <v>87</v>
      </c>
      <c r="F57" s="47">
        <v>794.0</v>
      </c>
      <c r="G57" s="47">
        <v>9.68</v>
      </c>
      <c r="H57" s="47">
        <v>82.0</v>
      </c>
      <c r="I57" s="47" t="s">
        <v>62</v>
      </c>
    </row>
    <row r="58" ht="15.75" customHeight="1">
      <c r="A58" s="47" t="s">
        <v>296</v>
      </c>
      <c r="B58" s="47" t="s">
        <v>297</v>
      </c>
      <c r="C58" s="47" t="s">
        <v>61</v>
      </c>
      <c r="D58" s="47" t="s">
        <v>50</v>
      </c>
      <c r="E58" s="47" t="s">
        <v>49</v>
      </c>
      <c r="F58" s="47">
        <v>2579.0</v>
      </c>
      <c r="G58" s="47">
        <v>7.53</v>
      </c>
      <c r="H58" s="47">
        <v>342.5</v>
      </c>
      <c r="I58" s="47" t="s">
        <v>142</v>
      </c>
    </row>
    <row r="59" ht="15.75" customHeight="1">
      <c r="A59" s="47" t="s">
        <v>298</v>
      </c>
      <c r="B59" s="47" t="s">
        <v>299</v>
      </c>
      <c r="C59" s="47" t="s">
        <v>61</v>
      </c>
      <c r="D59" s="47" t="s">
        <v>198</v>
      </c>
      <c r="E59" s="47" t="s">
        <v>217</v>
      </c>
      <c r="F59" s="47">
        <v>263.0</v>
      </c>
      <c r="G59" s="47">
        <v>7.5</v>
      </c>
      <c r="H59" s="47">
        <v>35.1</v>
      </c>
      <c r="I59" s="47" t="s">
        <v>75</v>
      </c>
    </row>
    <row r="60" ht="15.75" customHeight="1">
      <c r="A60" s="47" t="s">
        <v>301</v>
      </c>
      <c r="B60" s="47" t="s">
        <v>302</v>
      </c>
      <c r="C60" s="47" t="s">
        <v>61</v>
      </c>
      <c r="D60" s="47" t="s">
        <v>198</v>
      </c>
      <c r="E60" s="47" t="s">
        <v>217</v>
      </c>
      <c r="F60" s="47">
        <v>268.0</v>
      </c>
      <c r="G60" s="47">
        <v>4.72</v>
      </c>
      <c r="H60" s="47">
        <v>56.8</v>
      </c>
      <c r="I60" s="47" t="s">
        <v>75</v>
      </c>
    </row>
    <row r="61" ht="15.75" customHeight="1">
      <c r="A61" s="47" t="s">
        <v>303</v>
      </c>
      <c r="B61" s="47" t="s">
        <v>304</v>
      </c>
      <c r="C61" s="47" t="s">
        <v>61</v>
      </c>
      <c r="D61" s="47" t="s">
        <v>123</v>
      </c>
      <c r="E61" s="47" t="s">
        <v>181</v>
      </c>
      <c r="F61" s="47">
        <v>131.0</v>
      </c>
      <c r="G61" s="47">
        <v>6.75</v>
      </c>
      <c r="H61" s="47">
        <v>19.4</v>
      </c>
      <c r="I61" s="47" t="s">
        <v>75</v>
      </c>
    </row>
    <row r="62" ht="15.75" customHeight="1">
      <c r="A62" s="47" t="s">
        <v>305</v>
      </c>
      <c r="B62" s="47" t="s">
        <v>306</v>
      </c>
      <c r="C62" s="47" t="s">
        <v>61</v>
      </c>
      <c r="D62" s="47" t="s">
        <v>198</v>
      </c>
      <c r="E62" s="47" t="s">
        <v>217</v>
      </c>
      <c r="F62" s="47">
        <v>378.0</v>
      </c>
      <c r="G62" s="47">
        <v>6.44</v>
      </c>
      <c r="H62" s="47">
        <v>58.7</v>
      </c>
      <c r="I62" s="47" t="s">
        <v>75</v>
      </c>
    </row>
    <row r="63" ht="15.75" customHeight="1">
      <c r="A63" s="47" t="s">
        <v>307</v>
      </c>
      <c r="B63" s="47" t="s">
        <v>308</v>
      </c>
      <c r="C63" s="47" t="s">
        <v>61</v>
      </c>
      <c r="D63" s="47" t="s">
        <v>67</v>
      </c>
      <c r="E63" s="47" t="s">
        <v>68</v>
      </c>
      <c r="F63" s="47">
        <v>3659.0</v>
      </c>
      <c r="G63" s="47">
        <v>4.49</v>
      </c>
      <c r="H63" s="47">
        <v>814.9</v>
      </c>
      <c r="I63" s="47" t="s">
        <v>142</v>
      </c>
    </row>
    <row r="64" ht="15.75" customHeight="1">
      <c r="A64" s="47" t="s">
        <v>309</v>
      </c>
      <c r="B64" s="47" t="s">
        <v>310</v>
      </c>
      <c r="C64" s="47" t="s">
        <v>61</v>
      </c>
      <c r="D64" s="47" t="s">
        <v>198</v>
      </c>
      <c r="E64" s="47" t="s">
        <v>217</v>
      </c>
      <c r="F64" s="47">
        <v>560.0</v>
      </c>
      <c r="G64" s="47">
        <v>9.78</v>
      </c>
      <c r="H64" s="47">
        <v>57.3</v>
      </c>
      <c r="I64" s="47" t="s">
        <v>62</v>
      </c>
    </row>
    <row r="65" ht="15.75" customHeight="1">
      <c r="A65" s="47" t="s">
        <v>311</v>
      </c>
      <c r="B65" s="47" t="s">
        <v>313</v>
      </c>
      <c r="C65" s="47" t="s">
        <v>61</v>
      </c>
      <c r="D65" s="47" t="s">
        <v>94</v>
      </c>
      <c r="E65" s="47" t="s">
        <v>95</v>
      </c>
      <c r="F65" s="47">
        <v>191.0</v>
      </c>
      <c r="G65" s="47">
        <v>6.8</v>
      </c>
      <c r="H65" s="47">
        <v>28.1</v>
      </c>
      <c r="I65" s="47" t="s">
        <v>75</v>
      </c>
    </row>
    <row r="66" ht="15.75" customHeight="1">
      <c r="A66" s="47" t="s">
        <v>314</v>
      </c>
      <c r="B66" s="47" t="s">
        <v>315</v>
      </c>
      <c r="C66" s="47" t="s">
        <v>61</v>
      </c>
      <c r="D66" s="47" t="s">
        <v>165</v>
      </c>
      <c r="E66" s="47" t="s">
        <v>254</v>
      </c>
      <c r="F66" s="47">
        <v>205.0</v>
      </c>
      <c r="G66" s="47">
        <v>4.47</v>
      </c>
      <c r="H66" s="47">
        <v>45.9</v>
      </c>
      <c r="I66" s="47" t="s">
        <v>75</v>
      </c>
    </row>
    <row r="67" ht="15.75" customHeight="1">
      <c r="A67" s="47" t="s">
        <v>316</v>
      </c>
      <c r="B67" s="47" t="s">
        <v>317</v>
      </c>
      <c r="C67" s="47" t="s">
        <v>61</v>
      </c>
      <c r="D67" s="47" t="s">
        <v>165</v>
      </c>
      <c r="E67" s="47" t="s">
        <v>254</v>
      </c>
      <c r="F67" s="47">
        <v>85.0</v>
      </c>
      <c r="G67" s="47">
        <v>5.22</v>
      </c>
      <c r="H67" s="47">
        <v>16.3</v>
      </c>
      <c r="I67" s="47" t="s">
        <v>75</v>
      </c>
    </row>
    <row r="68" ht="15.75" customHeight="1">
      <c r="A68" s="47" t="s">
        <v>318</v>
      </c>
      <c r="B68" s="47" t="s">
        <v>319</v>
      </c>
      <c r="C68" s="47" t="s">
        <v>61</v>
      </c>
      <c r="D68" s="47" t="s">
        <v>166</v>
      </c>
      <c r="E68" s="47" t="s">
        <v>168</v>
      </c>
      <c r="F68" s="47">
        <v>104.0</v>
      </c>
      <c r="G68" s="47">
        <v>6.68</v>
      </c>
      <c r="H68" s="47">
        <v>15.6</v>
      </c>
      <c r="I68" s="47" t="s">
        <v>75</v>
      </c>
    </row>
    <row r="69" ht="15.75" customHeight="1">
      <c r="A69" s="47" t="s">
        <v>320</v>
      </c>
      <c r="B69" s="47" t="s">
        <v>321</v>
      </c>
      <c r="C69" s="47" t="s">
        <v>61</v>
      </c>
      <c r="D69" s="47" t="s">
        <v>82</v>
      </c>
      <c r="E69" s="47" t="s">
        <v>83</v>
      </c>
      <c r="F69" s="47">
        <v>431.0</v>
      </c>
      <c r="G69" s="47">
        <v>16.74</v>
      </c>
      <c r="H69" s="47">
        <v>25.7</v>
      </c>
      <c r="I69" s="47" t="s">
        <v>75</v>
      </c>
    </row>
    <row r="70" ht="15.75" customHeight="1">
      <c r="A70" s="47" t="s">
        <v>322</v>
      </c>
      <c r="B70" s="47" t="s">
        <v>324</v>
      </c>
      <c r="C70" s="47" t="s">
        <v>61</v>
      </c>
      <c r="D70" s="47" t="s">
        <v>102</v>
      </c>
      <c r="E70" s="47" t="s">
        <v>103</v>
      </c>
      <c r="F70" s="47">
        <v>631.0</v>
      </c>
      <c r="G70" s="47">
        <v>7.94</v>
      </c>
      <c r="H70" s="47">
        <v>79.5</v>
      </c>
      <c r="I70" s="47" t="s">
        <v>62</v>
      </c>
    </row>
    <row r="71" ht="15.75" customHeight="1">
      <c r="A71" s="47" t="s">
        <v>326</v>
      </c>
      <c r="B71" s="47" t="s">
        <v>327</v>
      </c>
      <c r="C71" s="47" t="s">
        <v>61</v>
      </c>
      <c r="D71" s="47" t="s">
        <v>86</v>
      </c>
      <c r="E71" s="47" t="s">
        <v>87</v>
      </c>
      <c r="F71" s="47">
        <v>178.0</v>
      </c>
      <c r="G71" s="47">
        <v>4.98</v>
      </c>
      <c r="H71" s="47">
        <v>35.7</v>
      </c>
      <c r="I71" s="47" t="s">
        <v>75</v>
      </c>
    </row>
    <row r="72" ht="15.75" customHeight="1">
      <c r="A72" s="47" t="s">
        <v>329</v>
      </c>
      <c r="B72" s="47" t="s">
        <v>330</v>
      </c>
      <c r="C72" s="47" t="s">
        <v>61</v>
      </c>
      <c r="D72" s="47" t="s">
        <v>78</v>
      </c>
      <c r="E72" s="47" t="s">
        <v>79</v>
      </c>
      <c r="F72" s="47">
        <v>722.0</v>
      </c>
      <c r="G72" s="47">
        <v>8.15</v>
      </c>
      <c r="H72" s="47">
        <v>88.6</v>
      </c>
      <c r="I72" s="47" t="s">
        <v>62</v>
      </c>
    </row>
    <row r="73" ht="15.75" customHeight="1">
      <c r="A73" s="47" t="s">
        <v>331</v>
      </c>
      <c r="B73" s="47" t="s">
        <v>332</v>
      </c>
      <c r="C73" s="47" t="s">
        <v>61</v>
      </c>
      <c r="D73" s="47" t="s">
        <v>50</v>
      </c>
      <c r="E73" s="47" t="s">
        <v>49</v>
      </c>
      <c r="F73" s="47">
        <v>601.0</v>
      </c>
      <c r="G73" s="47">
        <v>7.56</v>
      </c>
      <c r="H73" s="47">
        <v>79.5</v>
      </c>
      <c r="I73" s="47" t="s">
        <v>62</v>
      </c>
    </row>
    <row r="74" ht="15.75" customHeight="1">
      <c r="A74" s="47" t="s">
        <v>334</v>
      </c>
      <c r="B74" s="47" t="s">
        <v>335</v>
      </c>
      <c r="C74" s="47" t="s">
        <v>61</v>
      </c>
      <c r="D74" s="47" t="s">
        <v>94</v>
      </c>
      <c r="E74" s="47" t="s">
        <v>95</v>
      </c>
      <c r="F74" s="47">
        <v>203.0</v>
      </c>
      <c r="G74" s="47">
        <v>3.13</v>
      </c>
      <c r="H74" s="47">
        <v>64.9</v>
      </c>
      <c r="I74" s="47" t="s">
        <v>75</v>
      </c>
    </row>
    <row r="75" ht="15.75" customHeight="1">
      <c r="A75" s="47" t="s">
        <v>336</v>
      </c>
      <c r="B75" s="47" t="s">
        <v>337</v>
      </c>
      <c r="C75" s="47" t="s">
        <v>61</v>
      </c>
      <c r="D75" s="47" t="s">
        <v>78</v>
      </c>
      <c r="E75" s="47" t="s">
        <v>79</v>
      </c>
      <c r="F75" s="47">
        <v>159.0</v>
      </c>
      <c r="G75" s="47">
        <v>4.52</v>
      </c>
      <c r="H75" s="47">
        <v>35.2</v>
      </c>
      <c r="I75" s="47" t="s">
        <v>75</v>
      </c>
    </row>
    <row r="76" ht="15.75" customHeight="1">
      <c r="A76" s="47" t="s">
        <v>339</v>
      </c>
      <c r="B76" s="47" t="s">
        <v>340</v>
      </c>
      <c r="C76" s="47" t="s">
        <v>61</v>
      </c>
      <c r="D76" s="47" t="s">
        <v>137</v>
      </c>
      <c r="E76" s="47" t="s">
        <v>138</v>
      </c>
      <c r="F76" s="47">
        <v>166.0</v>
      </c>
      <c r="G76" s="47">
        <v>2.7</v>
      </c>
      <c r="H76" s="47">
        <v>61.5</v>
      </c>
      <c r="I76" s="47" t="s">
        <v>75</v>
      </c>
    </row>
    <row r="77" ht="15.75" customHeight="1">
      <c r="A77" s="47" t="s">
        <v>342</v>
      </c>
      <c r="B77" s="47" t="s">
        <v>343</v>
      </c>
      <c r="C77" s="47" t="s">
        <v>61</v>
      </c>
      <c r="D77" s="47" t="s">
        <v>156</v>
      </c>
      <c r="E77" s="47" t="s">
        <v>157</v>
      </c>
      <c r="F77" s="47">
        <v>132.0</v>
      </c>
      <c r="G77" s="47">
        <v>15.84</v>
      </c>
      <c r="H77" s="47">
        <v>8.3</v>
      </c>
      <c r="I77" s="47" t="s">
        <v>75</v>
      </c>
    </row>
    <row r="78" ht="15.75" customHeight="1">
      <c r="A78" s="47" t="s">
        <v>344</v>
      </c>
      <c r="B78" s="47" t="s">
        <v>345</v>
      </c>
      <c r="C78" s="47" t="s">
        <v>61</v>
      </c>
      <c r="D78" s="47" t="s">
        <v>136</v>
      </c>
      <c r="E78" s="47" t="s">
        <v>189</v>
      </c>
      <c r="F78" s="47">
        <v>309.0</v>
      </c>
      <c r="G78" s="47">
        <v>9.64</v>
      </c>
      <c r="H78" s="47">
        <v>32.1</v>
      </c>
      <c r="I78" s="47" t="s">
        <v>75</v>
      </c>
    </row>
    <row r="79" ht="15.75" customHeight="1">
      <c r="A79" s="47" t="s">
        <v>347</v>
      </c>
      <c r="B79" s="47" t="s">
        <v>348</v>
      </c>
      <c r="C79" s="47" t="s">
        <v>61</v>
      </c>
      <c r="D79" s="47" t="s">
        <v>50</v>
      </c>
      <c r="E79" s="47" t="s">
        <v>49</v>
      </c>
      <c r="F79" s="47">
        <v>421.0</v>
      </c>
      <c r="G79" s="47">
        <v>4.3</v>
      </c>
      <c r="H79" s="47">
        <v>97.9</v>
      </c>
      <c r="I79" s="47" t="s">
        <v>75</v>
      </c>
    </row>
    <row r="80" ht="15.75" customHeight="1">
      <c r="A80" s="47" t="s">
        <v>350</v>
      </c>
      <c r="B80" s="47" t="s">
        <v>351</v>
      </c>
      <c r="C80" s="47" t="s">
        <v>61</v>
      </c>
      <c r="D80" s="47" t="s">
        <v>106</v>
      </c>
      <c r="E80" s="47" t="s">
        <v>107</v>
      </c>
      <c r="F80" s="47">
        <v>120.0</v>
      </c>
      <c r="G80" s="47">
        <v>7.68</v>
      </c>
      <c r="H80" s="47">
        <v>15.6</v>
      </c>
      <c r="I80" s="47" t="s">
        <v>75</v>
      </c>
    </row>
    <row r="81" ht="15.75" customHeight="1">
      <c r="A81" s="47" t="s">
        <v>352</v>
      </c>
      <c r="B81" s="47" t="s">
        <v>353</v>
      </c>
      <c r="C81" s="47" t="s">
        <v>61</v>
      </c>
      <c r="D81" s="47" t="s">
        <v>123</v>
      </c>
      <c r="E81" s="47" t="s">
        <v>181</v>
      </c>
      <c r="F81" s="47">
        <v>736.0</v>
      </c>
      <c r="G81" s="47">
        <v>15.63</v>
      </c>
      <c r="H81" s="47">
        <v>47.1</v>
      </c>
      <c r="I81" s="47" t="s">
        <v>62</v>
      </c>
    </row>
    <row r="82" ht="15.75" customHeight="1">
      <c r="A82" s="47" t="s">
        <v>355</v>
      </c>
      <c r="B82" s="47" t="s">
        <v>356</v>
      </c>
      <c r="C82" s="47" t="s">
        <v>61</v>
      </c>
      <c r="D82" s="47" t="s">
        <v>182</v>
      </c>
      <c r="E82" s="47" t="s">
        <v>357</v>
      </c>
      <c r="F82" s="47">
        <v>248.0</v>
      </c>
      <c r="G82" s="47">
        <v>11.2</v>
      </c>
      <c r="H82" s="47">
        <v>22.1</v>
      </c>
      <c r="I82" s="47" t="s">
        <v>75</v>
      </c>
    </row>
    <row r="83" ht="15.75" customHeight="1">
      <c r="A83" s="47" t="s">
        <v>358</v>
      </c>
      <c r="B83" s="47" t="s">
        <v>359</v>
      </c>
      <c r="C83" s="47" t="s">
        <v>61</v>
      </c>
      <c r="D83" s="47" t="s">
        <v>123</v>
      </c>
      <c r="E83" s="47" t="s">
        <v>181</v>
      </c>
      <c r="F83" s="47">
        <v>991.0</v>
      </c>
      <c r="G83" s="47">
        <v>11.04</v>
      </c>
      <c r="H83" s="47">
        <v>89.8</v>
      </c>
      <c r="I83" s="47" t="s">
        <v>62</v>
      </c>
    </row>
    <row r="84" ht="15.75" customHeight="1">
      <c r="A84" s="47" t="s">
        <v>361</v>
      </c>
      <c r="B84" s="47" t="s">
        <v>362</v>
      </c>
      <c r="C84" s="47" t="s">
        <v>61</v>
      </c>
      <c r="D84" s="47" t="s">
        <v>50</v>
      </c>
      <c r="E84" s="47" t="s">
        <v>49</v>
      </c>
      <c r="F84" s="47">
        <v>979.0</v>
      </c>
      <c r="G84" s="47">
        <v>7.78</v>
      </c>
      <c r="H84" s="47">
        <v>125.8</v>
      </c>
      <c r="I84" s="47" t="s">
        <v>62</v>
      </c>
    </row>
    <row r="85" ht="15.75" customHeight="1">
      <c r="A85" s="47" t="s">
        <v>364</v>
      </c>
      <c r="B85" s="47" t="s">
        <v>365</v>
      </c>
      <c r="C85" s="47" t="s">
        <v>61</v>
      </c>
      <c r="D85" s="47" t="s">
        <v>102</v>
      </c>
      <c r="E85" s="47" t="s">
        <v>103</v>
      </c>
      <c r="F85" s="47">
        <v>31.0</v>
      </c>
      <c r="G85" s="47">
        <v>4.52</v>
      </c>
      <c r="H85" s="47">
        <v>6.9</v>
      </c>
      <c r="I85" s="47" t="s">
        <v>75</v>
      </c>
    </row>
    <row r="86" ht="15.75" customHeight="1">
      <c r="A86" s="47" t="s">
        <v>367</v>
      </c>
      <c r="B86" s="47" t="s">
        <v>368</v>
      </c>
      <c r="C86" s="47" t="s">
        <v>61</v>
      </c>
      <c r="D86" s="47" t="s">
        <v>136</v>
      </c>
      <c r="E86" s="47" t="s">
        <v>189</v>
      </c>
      <c r="F86" s="47">
        <v>80.0</v>
      </c>
      <c r="G86" s="47">
        <v>2.68</v>
      </c>
      <c r="H86" s="47">
        <v>29.9</v>
      </c>
      <c r="I86" s="47" t="s">
        <v>75</v>
      </c>
    </row>
    <row r="87" ht="15.75" customHeight="1">
      <c r="A87" s="47" t="s">
        <v>369</v>
      </c>
      <c r="B87" s="47" t="s">
        <v>370</v>
      </c>
      <c r="C87" s="47" t="s">
        <v>61</v>
      </c>
      <c r="D87" s="47" t="s">
        <v>67</v>
      </c>
      <c r="E87" s="47" t="s">
        <v>68</v>
      </c>
      <c r="F87" s="47">
        <v>1130.0</v>
      </c>
      <c r="G87" s="47">
        <v>7.54</v>
      </c>
      <c r="H87" s="47">
        <v>149.9</v>
      </c>
      <c r="I87" s="47" t="s">
        <v>62</v>
      </c>
    </row>
    <row r="88" ht="15.75" customHeight="1">
      <c r="A88" s="47" t="s">
        <v>372</v>
      </c>
      <c r="B88" s="47" t="s">
        <v>373</v>
      </c>
      <c r="C88" s="47" t="s">
        <v>61</v>
      </c>
      <c r="D88" s="47" t="s">
        <v>106</v>
      </c>
      <c r="E88" s="47" t="s">
        <v>107</v>
      </c>
      <c r="F88" s="47">
        <v>194.0</v>
      </c>
      <c r="G88" s="47">
        <v>10.18</v>
      </c>
      <c r="H88" s="47">
        <v>19.1</v>
      </c>
      <c r="I88" s="47" t="s">
        <v>75</v>
      </c>
    </row>
    <row r="89" ht="15.75" customHeight="1">
      <c r="A89" s="47" t="s">
        <v>375</v>
      </c>
      <c r="B89" s="47" t="s">
        <v>376</v>
      </c>
      <c r="C89" s="47" t="s">
        <v>61</v>
      </c>
      <c r="D89" s="47" t="s">
        <v>90</v>
      </c>
      <c r="E89" s="47" t="s">
        <v>91</v>
      </c>
      <c r="F89" s="47">
        <v>98.0</v>
      </c>
      <c r="G89" s="47">
        <v>5.27</v>
      </c>
      <c r="H89" s="47">
        <v>18.6</v>
      </c>
      <c r="I89" s="47" t="s">
        <v>75</v>
      </c>
    </row>
    <row r="90" ht="15.75" customHeight="1">
      <c r="A90" s="47" t="s">
        <v>378</v>
      </c>
      <c r="B90" s="47" t="s">
        <v>379</v>
      </c>
      <c r="C90" s="47" t="s">
        <v>61</v>
      </c>
      <c r="D90" s="47" t="s">
        <v>137</v>
      </c>
      <c r="E90" s="47" t="s">
        <v>138</v>
      </c>
      <c r="F90" s="47">
        <v>1162.0</v>
      </c>
      <c r="G90" s="47">
        <v>10.81</v>
      </c>
      <c r="H90" s="47">
        <v>107.5</v>
      </c>
      <c r="I90" s="47" t="s">
        <v>62</v>
      </c>
    </row>
    <row r="91" ht="15.75" customHeight="1">
      <c r="A91" s="47" t="s">
        <v>381</v>
      </c>
      <c r="B91" s="47" t="s">
        <v>382</v>
      </c>
      <c r="C91" s="47" t="s">
        <v>61</v>
      </c>
      <c r="D91" s="47" t="s">
        <v>123</v>
      </c>
      <c r="E91" s="47" t="s">
        <v>181</v>
      </c>
      <c r="F91" s="47">
        <v>474.0</v>
      </c>
      <c r="G91" s="47">
        <v>9.83</v>
      </c>
      <c r="H91" s="47">
        <v>48.2</v>
      </c>
      <c r="I91" s="47" t="s">
        <v>75</v>
      </c>
    </row>
    <row r="92" ht="15.75" customHeight="1">
      <c r="A92" s="47" t="s">
        <v>383</v>
      </c>
      <c r="B92" s="47" t="s">
        <v>384</v>
      </c>
      <c r="C92" s="47" t="s">
        <v>61</v>
      </c>
      <c r="D92" s="47" t="s">
        <v>198</v>
      </c>
      <c r="E92" s="47" t="s">
        <v>217</v>
      </c>
      <c r="F92" s="47">
        <v>5605.0</v>
      </c>
      <c r="G92" s="47">
        <v>31.78</v>
      </c>
      <c r="H92" s="47">
        <v>176.4</v>
      </c>
      <c r="I92" s="47" t="s">
        <v>142</v>
      </c>
    </row>
    <row r="93" ht="15.75" customHeight="1">
      <c r="A93" s="47" t="s">
        <v>385</v>
      </c>
      <c r="B93" s="47" t="s">
        <v>386</v>
      </c>
      <c r="C93" s="47" t="s">
        <v>61</v>
      </c>
      <c r="D93" s="47" t="s">
        <v>73</v>
      </c>
      <c r="E93" s="47" t="s">
        <v>74</v>
      </c>
      <c r="F93" s="47">
        <v>187.0</v>
      </c>
      <c r="G93" s="47">
        <v>10.45</v>
      </c>
      <c r="H93" s="47">
        <v>17.9</v>
      </c>
      <c r="I93" s="47" t="s">
        <v>75</v>
      </c>
    </row>
    <row r="94" ht="15.75" customHeight="1">
      <c r="A94" s="47" t="s">
        <v>388</v>
      </c>
      <c r="B94" s="47" t="s">
        <v>389</v>
      </c>
      <c r="C94" s="47" t="s">
        <v>61</v>
      </c>
      <c r="D94" s="47" t="s">
        <v>78</v>
      </c>
      <c r="E94" s="47" t="s">
        <v>79</v>
      </c>
      <c r="F94" s="47">
        <v>272.0</v>
      </c>
      <c r="G94" s="47">
        <v>13.42</v>
      </c>
      <c r="H94" s="47">
        <v>20.3</v>
      </c>
      <c r="I94" s="47" t="s">
        <v>75</v>
      </c>
    </row>
    <row r="95" ht="15.75" customHeight="1">
      <c r="A95" s="47" t="s">
        <v>391</v>
      </c>
      <c r="B95" s="47" t="s">
        <v>392</v>
      </c>
      <c r="C95" s="47" t="s">
        <v>61</v>
      </c>
      <c r="D95" s="47" t="s">
        <v>123</v>
      </c>
      <c r="E95" s="47" t="s">
        <v>181</v>
      </c>
      <c r="F95" s="47">
        <v>375.0</v>
      </c>
      <c r="G95" s="47">
        <v>2.15</v>
      </c>
      <c r="H95" s="47">
        <v>174.4</v>
      </c>
      <c r="I95" s="47" t="s">
        <v>75</v>
      </c>
    </row>
    <row r="96" ht="15.75" customHeight="1">
      <c r="A96" s="47" t="s">
        <v>393</v>
      </c>
      <c r="B96" s="47" t="s">
        <v>394</v>
      </c>
      <c r="C96" s="47" t="s">
        <v>61</v>
      </c>
      <c r="D96" s="47" t="s">
        <v>123</v>
      </c>
      <c r="E96" s="47" t="s">
        <v>181</v>
      </c>
      <c r="F96" s="47">
        <v>212.0</v>
      </c>
      <c r="G96" s="47">
        <v>6.34</v>
      </c>
      <c r="H96" s="47">
        <v>33.4</v>
      </c>
      <c r="I96" s="47" t="s">
        <v>75</v>
      </c>
    </row>
    <row r="97" ht="15.75" customHeight="1">
      <c r="A97" s="47" t="s">
        <v>395</v>
      </c>
      <c r="B97" s="47" t="s">
        <v>397</v>
      </c>
      <c r="C97" s="47" t="s">
        <v>61</v>
      </c>
      <c r="D97" s="47" t="s">
        <v>198</v>
      </c>
      <c r="E97" s="47" t="s">
        <v>217</v>
      </c>
      <c r="F97" s="47">
        <v>137.0</v>
      </c>
      <c r="G97" s="47">
        <v>8.01</v>
      </c>
      <c r="H97" s="47">
        <v>17.1</v>
      </c>
      <c r="I97" s="47" t="s">
        <v>75</v>
      </c>
    </row>
    <row r="98" ht="15.75" customHeight="1">
      <c r="A98" s="47" t="s">
        <v>398</v>
      </c>
      <c r="B98" s="47" t="s">
        <v>399</v>
      </c>
      <c r="C98" s="47" t="s">
        <v>61</v>
      </c>
      <c r="D98" s="47" t="s">
        <v>73</v>
      </c>
      <c r="E98" s="47" t="s">
        <v>74</v>
      </c>
      <c r="F98" s="47">
        <v>170.0</v>
      </c>
      <c r="G98" s="47">
        <v>9.75</v>
      </c>
      <c r="H98" s="47">
        <v>17.4</v>
      </c>
      <c r="I98" s="47" t="s">
        <v>75</v>
      </c>
    </row>
    <row r="99" ht="15.75" customHeight="1">
      <c r="A99" s="47" t="s">
        <v>401</v>
      </c>
      <c r="B99" s="47" t="s">
        <v>403</v>
      </c>
      <c r="C99" s="47" t="s">
        <v>61</v>
      </c>
      <c r="D99" s="47" t="s">
        <v>86</v>
      </c>
      <c r="E99" s="47" t="s">
        <v>87</v>
      </c>
      <c r="F99" s="47">
        <v>181.0</v>
      </c>
      <c r="G99" s="47">
        <v>13.08</v>
      </c>
      <c r="H99" s="47">
        <v>13.8</v>
      </c>
      <c r="I99" s="47" t="s">
        <v>75</v>
      </c>
    </row>
    <row r="100" ht="15.75" customHeight="1">
      <c r="A100" s="47" t="s">
        <v>404</v>
      </c>
      <c r="B100" s="47" t="s">
        <v>405</v>
      </c>
      <c r="C100" s="47" t="s">
        <v>61</v>
      </c>
      <c r="D100" s="47" t="s">
        <v>165</v>
      </c>
      <c r="E100" s="47" t="s">
        <v>254</v>
      </c>
      <c r="F100" s="47">
        <v>1315.0</v>
      </c>
      <c r="G100" s="47">
        <v>10.69</v>
      </c>
      <c r="H100" s="47">
        <v>123.0</v>
      </c>
      <c r="I100" s="47" t="s">
        <v>62</v>
      </c>
    </row>
    <row r="101" ht="15.75" customHeight="1">
      <c r="A101" s="47" t="s">
        <v>407</v>
      </c>
      <c r="B101" s="47" t="s">
        <v>408</v>
      </c>
      <c r="C101" s="47" t="s">
        <v>61</v>
      </c>
      <c r="D101" s="47" t="s">
        <v>78</v>
      </c>
      <c r="E101" s="47" t="s">
        <v>79</v>
      </c>
      <c r="F101" s="47">
        <v>96.0</v>
      </c>
      <c r="G101" s="47">
        <v>4.39</v>
      </c>
      <c r="H101" s="47">
        <v>21.9</v>
      </c>
      <c r="I101" s="47" t="s">
        <v>75</v>
      </c>
    </row>
    <row r="102" ht="15.75" customHeight="1">
      <c r="A102" s="47" t="s">
        <v>409</v>
      </c>
      <c r="B102" s="47" t="s">
        <v>410</v>
      </c>
      <c r="C102" s="47" t="s">
        <v>61</v>
      </c>
      <c r="D102" s="47" t="s">
        <v>123</v>
      </c>
      <c r="E102" s="47" t="s">
        <v>181</v>
      </c>
      <c r="F102" s="47">
        <v>183.0</v>
      </c>
      <c r="G102" s="47">
        <v>7.61</v>
      </c>
      <c r="H102" s="47">
        <v>24.0</v>
      </c>
      <c r="I102" s="47" t="s">
        <v>75</v>
      </c>
    </row>
    <row r="103" ht="15.75" customHeight="1">
      <c r="A103" s="47" t="s">
        <v>412</v>
      </c>
      <c r="B103" s="47" t="s">
        <v>413</v>
      </c>
      <c r="C103" s="47" t="s">
        <v>61</v>
      </c>
      <c r="D103" s="47" t="s">
        <v>86</v>
      </c>
      <c r="E103" s="47" t="s">
        <v>87</v>
      </c>
      <c r="F103" s="47">
        <v>809.0</v>
      </c>
      <c r="G103" s="47">
        <v>5.13</v>
      </c>
      <c r="H103" s="47">
        <v>157.7</v>
      </c>
      <c r="I103" s="47" t="s">
        <v>62</v>
      </c>
    </row>
    <row r="104" ht="15.75" customHeight="1">
      <c r="A104" s="47" t="s">
        <v>415</v>
      </c>
      <c r="B104" s="47" t="s">
        <v>416</v>
      </c>
      <c r="C104" s="47" t="s">
        <v>61</v>
      </c>
      <c r="D104" s="47" t="s">
        <v>137</v>
      </c>
      <c r="E104" s="47" t="s">
        <v>138</v>
      </c>
      <c r="F104" s="47">
        <v>104.0</v>
      </c>
      <c r="G104" s="47">
        <v>2.81</v>
      </c>
      <c r="H104" s="47">
        <v>37.0</v>
      </c>
      <c r="I104" s="47" t="s">
        <v>75</v>
      </c>
    </row>
    <row r="105" ht="15.75" customHeight="1">
      <c r="A105" s="47" t="s">
        <v>418</v>
      </c>
      <c r="B105" s="47" t="s">
        <v>419</v>
      </c>
      <c r="C105" s="47" t="s">
        <v>61</v>
      </c>
      <c r="D105" s="47" t="s">
        <v>137</v>
      </c>
      <c r="E105" s="47" t="s">
        <v>138</v>
      </c>
      <c r="F105" s="47">
        <v>140.0</v>
      </c>
      <c r="G105" s="47">
        <v>1.94</v>
      </c>
      <c r="H105" s="47">
        <v>72.2</v>
      </c>
      <c r="I105" s="47" t="s">
        <v>75</v>
      </c>
    </row>
    <row r="106" ht="15.75" customHeight="1">
      <c r="A106" s="47" t="s">
        <v>421</v>
      </c>
      <c r="B106" s="47" t="s">
        <v>422</v>
      </c>
      <c r="C106" s="47" t="s">
        <v>61</v>
      </c>
      <c r="D106" s="47" t="s">
        <v>165</v>
      </c>
      <c r="E106" s="47" t="s">
        <v>254</v>
      </c>
      <c r="F106" s="47">
        <v>464.0</v>
      </c>
      <c r="G106" s="47">
        <v>19.37</v>
      </c>
      <c r="H106" s="47">
        <v>24.0</v>
      </c>
      <c r="I106" s="47" t="s">
        <v>75</v>
      </c>
    </row>
    <row r="107" ht="15.75" customHeight="1">
      <c r="A107" s="47" t="s">
        <v>423</v>
      </c>
      <c r="B107" s="47" t="s">
        <v>424</v>
      </c>
      <c r="C107" s="47" t="s">
        <v>61</v>
      </c>
      <c r="D107" s="47" t="s">
        <v>90</v>
      </c>
      <c r="E107" s="47" t="s">
        <v>91</v>
      </c>
      <c r="F107" s="47">
        <v>2248.0</v>
      </c>
      <c r="G107" s="47">
        <v>11.59</v>
      </c>
      <c r="H107" s="47">
        <v>194.0</v>
      </c>
      <c r="I107" s="47" t="s">
        <v>142</v>
      </c>
    </row>
    <row r="108" ht="15.75" customHeight="1">
      <c r="A108" s="47" t="s">
        <v>425</v>
      </c>
      <c r="B108" s="47" t="s">
        <v>426</v>
      </c>
      <c r="C108" s="47" t="s">
        <v>61</v>
      </c>
      <c r="D108" s="47" t="s">
        <v>137</v>
      </c>
      <c r="E108" s="47" t="s">
        <v>138</v>
      </c>
      <c r="F108" s="47">
        <v>702.0</v>
      </c>
      <c r="G108" s="47">
        <v>6.71</v>
      </c>
      <c r="H108" s="47">
        <v>104.6</v>
      </c>
      <c r="I108" s="47" t="s">
        <v>62</v>
      </c>
    </row>
    <row r="109" ht="15.75" customHeight="1">
      <c r="A109" s="47" t="s">
        <v>428</v>
      </c>
      <c r="B109" s="47" t="s">
        <v>429</v>
      </c>
      <c r="C109" s="47" t="s">
        <v>61</v>
      </c>
      <c r="D109" s="47" t="s">
        <v>198</v>
      </c>
      <c r="E109" s="47" t="s">
        <v>217</v>
      </c>
      <c r="F109" s="47">
        <v>554.0</v>
      </c>
      <c r="G109" s="47">
        <v>13.35</v>
      </c>
      <c r="H109" s="47">
        <v>41.5</v>
      </c>
      <c r="I109" s="47" t="s">
        <v>62</v>
      </c>
    </row>
    <row r="110" ht="15.75" customHeight="1">
      <c r="A110" s="47" t="s">
        <v>431</v>
      </c>
      <c r="B110" s="47" t="s">
        <v>432</v>
      </c>
      <c r="C110" s="47" t="s">
        <v>61</v>
      </c>
      <c r="D110" s="47" t="s">
        <v>123</v>
      </c>
      <c r="E110" s="47" t="s">
        <v>181</v>
      </c>
      <c r="F110" s="47">
        <v>1788.0</v>
      </c>
      <c r="G110" s="47">
        <v>7.34</v>
      </c>
      <c r="H110" s="47">
        <v>243.6</v>
      </c>
      <c r="I110" s="47" t="s">
        <v>62</v>
      </c>
    </row>
    <row r="111" ht="15.75" customHeight="1">
      <c r="A111" s="47" t="s">
        <v>433</v>
      </c>
      <c r="B111" s="47" t="s">
        <v>434</v>
      </c>
      <c r="C111" s="47" t="s">
        <v>61</v>
      </c>
      <c r="D111" s="47" t="s">
        <v>86</v>
      </c>
      <c r="E111" s="47" t="s">
        <v>87</v>
      </c>
      <c r="F111" s="47">
        <v>195.0</v>
      </c>
      <c r="G111" s="47">
        <v>8.2</v>
      </c>
      <c r="H111" s="47">
        <v>23.8</v>
      </c>
      <c r="I111" s="47" t="s">
        <v>75</v>
      </c>
    </row>
    <row r="112" ht="15.75" customHeight="1">
      <c r="A112" s="47" t="s">
        <v>436</v>
      </c>
      <c r="B112" s="47" t="s">
        <v>437</v>
      </c>
      <c r="C112" s="47" t="s">
        <v>61</v>
      </c>
      <c r="D112" s="47" t="s">
        <v>165</v>
      </c>
      <c r="E112" s="47" t="s">
        <v>254</v>
      </c>
      <c r="F112" s="47">
        <v>131.0</v>
      </c>
      <c r="G112" s="47">
        <v>9.25</v>
      </c>
      <c r="H112" s="47">
        <v>14.2</v>
      </c>
      <c r="I112" s="47" t="s">
        <v>75</v>
      </c>
    </row>
    <row r="113" ht="15.75" customHeight="1">
      <c r="A113" s="47" t="s">
        <v>439</v>
      </c>
      <c r="B113" s="47" t="s">
        <v>440</v>
      </c>
      <c r="C113" s="47" t="s">
        <v>61</v>
      </c>
      <c r="D113" s="47" t="s">
        <v>140</v>
      </c>
      <c r="E113" s="47" t="s">
        <v>147</v>
      </c>
      <c r="F113" s="47">
        <v>64.0</v>
      </c>
      <c r="G113" s="47">
        <v>2.92</v>
      </c>
      <c r="H113" s="47">
        <v>21.9</v>
      </c>
      <c r="I113" s="47" t="s">
        <v>75</v>
      </c>
    </row>
    <row r="114" ht="15.75" customHeight="1">
      <c r="A114" s="47" t="s">
        <v>442</v>
      </c>
      <c r="B114" s="47" t="s">
        <v>443</v>
      </c>
      <c r="C114" s="47" t="s">
        <v>61</v>
      </c>
      <c r="D114" s="47" t="s">
        <v>90</v>
      </c>
      <c r="E114" s="47" t="s">
        <v>91</v>
      </c>
      <c r="F114" s="47">
        <v>129.0</v>
      </c>
      <c r="G114" s="47">
        <v>1.35</v>
      </c>
      <c r="H114" s="47">
        <v>95.6</v>
      </c>
      <c r="I114" s="47" t="s">
        <v>75</v>
      </c>
    </row>
    <row r="115" ht="15.75" customHeight="1">
      <c r="A115" s="47" t="s">
        <v>444</v>
      </c>
      <c r="B115" s="47" t="s">
        <v>445</v>
      </c>
      <c r="C115" s="47" t="s">
        <v>61</v>
      </c>
      <c r="D115" s="47" t="s">
        <v>123</v>
      </c>
      <c r="E115" s="47" t="s">
        <v>181</v>
      </c>
      <c r="F115" s="47">
        <v>317.0</v>
      </c>
      <c r="G115" s="47">
        <v>10.45</v>
      </c>
      <c r="H115" s="47">
        <v>30.3</v>
      </c>
      <c r="I115" s="47" t="s">
        <v>75</v>
      </c>
    </row>
    <row r="116" ht="15.75" customHeight="1">
      <c r="A116" s="47" t="s">
        <v>446</v>
      </c>
      <c r="B116" s="47" t="s">
        <v>448</v>
      </c>
      <c r="C116" s="47" t="s">
        <v>61</v>
      </c>
      <c r="D116" s="47" t="s">
        <v>90</v>
      </c>
      <c r="E116" s="47" t="s">
        <v>91</v>
      </c>
      <c r="F116" s="47">
        <v>193.0</v>
      </c>
      <c r="G116" s="47">
        <v>4.38</v>
      </c>
      <c r="H116" s="47">
        <v>44.1</v>
      </c>
      <c r="I116" s="47" t="s">
        <v>75</v>
      </c>
    </row>
    <row r="117" ht="15.75" customHeight="1">
      <c r="A117" s="47" t="s">
        <v>450</v>
      </c>
      <c r="B117" s="47" t="s">
        <v>451</v>
      </c>
      <c r="C117" s="47" t="s">
        <v>61</v>
      </c>
      <c r="D117" s="47" t="s">
        <v>106</v>
      </c>
      <c r="E117" s="47" t="s">
        <v>107</v>
      </c>
      <c r="F117" s="47">
        <v>210.0</v>
      </c>
      <c r="G117" s="47">
        <v>4.54</v>
      </c>
      <c r="H117" s="47">
        <v>46.3</v>
      </c>
      <c r="I117" s="47" t="s">
        <v>75</v>
      </c>
    </row>
    <row r="118" ht="15.75" customHeight="1">
      <c r="A118" s="47" t="s">
        <v>453</v>
      </c>
      <c r="B118" s="47" t="s">
        <v>454</v>
      </c>
      <c r="C118" s="47" t="s">
        <v>61</v>
      </c>
      <c r="D118" s="47" t="s">
        <v>50</v>
      </c>
      <c r="E118" s="47" t="s">
        <v>49</v>
      </c>
      <c r="F118" s="47">
        <v>55.0</v>
      </c>
      <c r="G118" s="47">
        <v>2.86</v>
      </c>
      <c r="H118" s="47">
        <v>19.2</v>
      </c>
      <c r="I118" s="47" t="s">
        <v>75</v>
      </c>
    </row>
    <row r="119" ht="15.75" customHeight="1">
      <c r="A119" s="47" t="s">
        <v>455</v>
      </c>
      <c r="B119" s="47" t="s">
        <v>456</v>
      </c>
      <c r="C119" s="47" t="s">
        <v>61</v>
      </c>
      <c r="D119" s="47" t="s">
        <v>94</v>
      </c>
      <c r="E119" s="47" t="s">
        <v>95</v>
      </c>
      <c r="F119" s="47">
        <v>296.0</v>
      </c>
      <c r="G119" s="47">
        <v>8.79</v>
      </c>
      <c r="H119" s="47">
        <v>33.7</v>
      </c>
      <c r="I119" s="47" t="s">
        <v>75</v>
      </c>
    </row>
    <row r="120" ht="15.75" customHeight="1">
      <c r="A120" s="47" t="s">
        <v>458</v>
      </c>
      <c r="B120" s="47" t="s">
        <v>459</v>
      </c>
      <c r="C120" s="47" t="s">
        <v>61</v>
      </c>
      <c r="D120" s="47" t="s">
        <v>94</v>
      </c>
      <c r="E120" s="47" t="s">
        <v>95</v>
      </c>
      <c r="F120" s="47">
        <v>653.0</v>
      </c>
      <c r="G120" s="47">
        <v>12.24</v>
      </c>
      <c r="H120" s="47">
        <v>53.3</v>
      </c>
      <c r="I120" s="47" t="s">
        <v>62</v>
      </c>
    </row>
    <row r="121" ht="15.75" customHeight="1">
      <c r="A121" s="47" t="s">
        <v>461</v>
      </c>
      <c r="B121" s="47" t="s">
        <v>462</v>
      </c>
      <c r="C121" s="47" t="s">
        <v>61</v>
      </c>
      <c r="D121" s="47" t="s">
        <v>123</v>
      </c>
      <c r="E121" s="47" t="s">
        <v>181</v>
      </c>
      <c r="F121" s="47">
        <v>175.0</v>
      </c>
      <c r="G121" s="47">
        <v>7.24</v>
      </c>
      <c r="H121" s="47">
        <v>24.2</v>
      </c>
      <c r="I121" s="47" t="s">
        <v>75</v>
      </c>
    </row>
    <row r="122" ht="15.75" customHeight="1">
      <c r="A122" s="47" t="s">
        <v>464</v>
      </c>
      <c r="B122" s="47" t="s">
        <v>465</v>
      </c>
      <c r="C122" s="47" t="s">
        <v>61</v>
      </c>
      <c r="D122" s="47" t="s">
        <v>166</v>
      </c>
      <c r="E122" s="47" t="s">
        <v>168</v>
      </c>
      <c r="F122" s="47">
        <v>463.0</v>
      </c>
      <c r="G122" s="47">
        <v>8.88</v>
      </c>
      <c r="H122" s="47">
        <v>52.1</v>
      </c>
      <c r="I122" s="47" t="s">
        <v>75</v>
      </c>
    </row>
    <row r="123" ht="15.75" customHeight="1">
      <c r="A123" s="47" t="s">
        <v>466</v>
      </c>
      <c r="B123" s="47" t="s">
        <v>467</v>
      </c>
      <c r="C123" s="47" t="s">
        <v>61</v>
      </c>
      <c r="D123" s="47" t="s">
        <v>123</v>
      </c>
      <c r="E123" s="47" t="s">
        <v>181</v>
      </c>
      <c r="F123" s="47">
        <v>199.0</v>
      </c>
      <c r="G123" s="47">
        <v>9.01</v>
      </c>
      <c r="H123" s="47">
        <v>22.1</v>
      </c>
      <c r="I123" s="47" t="s">
        <v>75</v>
      </c>
    </row>
    <row r="124" ht="15.75" customHeight="1">
      <c r="A124" s="47" t="s">
        <v>468</v>
      </c>
      <c r="B124" s="47" t="s">
        <v>469</v>
      </c>
      <c r="C124" s="47" t="s">
        <v>61</v>
      </c>
      <c r="D124" s="47" t="s">
        <v>136</v>
      </c>
      <c r="E124" s="47" t="s">
        <v>189</v>
      </c>
      <c r="F124" s="47">
        <v>1411.0</v>
      </c>
      <c r="G124" s="47">
        <v>11.58</v>
      </c>
      <c r="H124" s="47">
        <v>121.8</v>
      </c>
      <c r="I124" s="47" t="s">
        <v>62</v>
      </c>
    </row>
    <row r="125" ht="15.75" customHeight="1">
      <c r="A125" s="47" t="s">
        <v>471</v>
      </c>
      <c r="B125" s="47" t="s">
        <v>472</v>
      </c>
      <c r="C125" s="47" t="s">
        <v>61</v>
      </c>
      <c r="D125" s="47" t="s">
        <v>90</v>
      </c>
      <c r="E125" s="47" t="s">
        <v>91</v>
      </c>
      <c r="F125" s="47">
        <v>20.0</v>
      </c>
      <c r="G125" s="47">
        <v>5.6</v>
      </c>
      <c r="H125" s="47">
        <v>3.6</v>
      </c>
      <c r="I125" s="47" t="s">
        <v>75</v>
      </c>
    </row>
    <row r="126" ht="15.75" customHeight="1">
      <c r="A126" s="47" t="s">
        <v>473</v>
      </c>
      <c r="B126" s="47" t="s">
        <v>474</v>
      </c>
      <c r="C126" s="47" t="s">
        <v>61</v>
      </c>
      <c r="D126" s="47" t="s">
        <v>156</v>
      </c>
      <c r="E126" s="47" t="s">
        <v>157</v>
      </c>
      <c r="F126" s="47">
        <v>204.0</v>
      </c>
      <c r="G126" s="47">
        <v>12.9</v>
      </c>
      <c r="H126" s="47">
        <v>15.8</v>
      </c>
      <c r="I126" s="47" t="s">
        <v>75</v>
      </c>
    </row>
    <row r="127" ht="15.75" customHeight="1">
      <c r="A127" s="47" t="s">
        <v>476</v>
      </c>
      <c r="B127" s="47" t="s">
        <v>477</v>
      </c>
      <c r="C127" s="47" t="s">
        <v>61</v>
      </c>
      <c r="D127" s="47" t="s">
        <v>90</v>
      </c>
      <c r="E127" s="47" t="s">
        <v>91</v>
      </c>
      <c r="F127" s="47">
        <v>1947.0</v>
      </c>
      <c r="G127" s="47">
        <v>12.89</v>
      </c>
      <c r="H127" s="47">
        <v>151.0</v>
      </c>
      <c r="I127" s="47" t="s">
        <v>62</v>
      </c>
    </row>
    <row r="128" ht="15.75" customHeight="1">
      <c r="A128" s="47" t="s">
        <v>478</v>
      </c>
      <c r="B128" s="47" t="s">
        <v>479</v>
      </c>
      <c r="C128" s="47" t="s">
        <v>61</v>
      </c>
      <c r="D128" s="47" t="s">
        <v>136</v>
      </c>
      <c r="E128" s="47" t="s">
        <v>189</v>
      </c>
      <c r="F128" s="47">
        <v>188.0</v>
      </c>
      <c r="G128" s="47">
        <v>8.74</v>
      </c>
      <c r="H128" s="47">
        <v>21.5</v>
      </c>
      <c r="I128" s="47" t="s">
        <v>75</v>
      </c>
    </row>
    <row r="129" ht="15.75" customHeight="1">
      <c r="A129" s="47" t="s">
        <v>480</v>
      </c>
      <c r="B129" s="47" t="s">
        <v>481</v>
      </c>
      <c r="C129" s="47" t="s">
        <v>61</v>
      </c>
      <c r="D129" s="47" t="s">
        <v>78</v>
      </c>
      <c r="E129" s="47" t="s">
        <v>79</v>
      </c>
      <c r="F129" s="47">
        <v>410.0</v>
      </c>
      <c r="G129" s="47">
        <v>14.57</v>
      </c>
      <c r="H129" s="47">
        <v>28.1</v>
      </c>
      <c r="I129" s="47" t="s">
        <v>75</v>
      </c>
    </row>
    <row r="130" ht="15.75" customHeight="1">
      <c r="A130" s="47" t="s">
        <v>483</v>
      </c>
      <c r="B130" s="47" t="s">
        <v>484</v>
      </c>
      <c r="C130" s="47" t="s">
        <v>61</v>
      </c>
      <c r="D130" s="47" t="s">
        <v>156</v>
      </c>
      <c r="E130" s="47" t="s">
        <v>157</v>
      </c>
      <c r="F130" s="47">
        <v>795.0</v>
      </c>
      <c r="G130" s="47">
        <v>4.14</v>
      </c>
      <c r="H130" s="47">
        <v>192.0</v>
      </c>
      <c r="I130" s="47" t="s">
        <v>62</v>
      </c>
    </row>
    <row r="131" ht="15.75" customHeight="1">
      <c r="A131" s="47" t="s">
        <v>486</v>
      </c>
      <c r="B131" s="47" t="s">
        <v>487</v>
      </c>
      <c r="C131" s="47" t="s">
        <v>61</v>
      </c>
      <c r="D131" s="47" t="s">
        <v>165</v>
      </c>
      <c r="E131" s="47" t="s">
        <v>254</v>
      </c>
      <c r="F131" s="47">
        <v>1122.0</v>
      </c>
      <c r="G131" s="47">
        <v>17.65</v>
      </c>
      <c r="H131" s="47">
        <v>63.6</v>
      </c>
      <c r="I131" s="47" t="s">
        <v>62</v>
      </c>
    </row>
    <row r="132" ht="15.75" customHeight="1">
      <c r="A132" s="47" t="s">
        <v>489</v>
      </c>
      <c r="B132" s="47" t="s">
        <v>490</v>
      </c>
      <c r="C132" s="47" t="s">
        <v>61</v>
      </c>
      <c r="D132" s="47" t="s">
        <v>165</v>
      </c>
      <c r="E132" s="47" t="s">
        <v>254</v>
      </c>
      <c r="F132" s="47">
        <v>123.0</v>
      </c>
      <c r="G132" s="47">
        <v>13.96</v>
      </c>
      <c r="H132" s="47">
        <v>8.8</v>
      </c>
      <c r="I132" s="47" t="s">
        <v>75</v>
      </c>
    </row>
    <row r="133" ht="15.75" customHeight="1">
      <c r="A133" s="47" t="s">
        <v>492</v>
      </c>
      <c r="B133" s="47" t="s">
        <v>493</v>
      </c>
      <c r="C133" s="47" t="s">
        <v>61</v>
      </c>
      <c r="D133" s="47" t="s">
        <v>123</v>
      </c>
      <c r="E133" s="47" t="s">
        <v>181</v>
      </c>
      <c r="F133" s="47">
        <v>126.0</v>
      </c>
      <c r="G133" s="47">
        <v>7.68</v>
      </c>
      <c r="H133" s="47">
        <v>16.4</v>
      </c>
      <c r="I133" s="47" t="s">
        <v>75</v>
      </c>
    </row>
    <row r="134" ht="15.75" customHeight="1">
      <c r="A134" s="47" t="s">
        <v>495</v>
      </c>
      <c r="B134" s="47" t="s">
        <v>496</v>
      </c>
      <c r="C134" s="47" t="s">
        <v>61</v>
      </c>
      <c r="D134" s="47" t="s">
        <v>106</v>
      </c>
      <c r="E134" s="47" t="s">
        <v>107</v>
      </c>
      <c r="F134" s="47">
        <v>175.0</v>
      </c>
      <c r="G134" s="47">
        <v>4.85</v>
      </c>
      <c r="H134" s="47">
        <v>36.1</v>
      </c>
      <c r="I134" s="47" t="s">
        <v>75</v>
      </c>
    </row>
    <row r="135" ht="15.75" customHeight="1">
      <c r="A135" s="47" t="s">
        <v>497</v>
      </c>
      <c r="B135" s="47" t="s">
        <v>498</v>
      </c>
      <c r="C135" s="47" t="s">
        <v>61</v>
      </c>
      <c r="D135" s="47" t="s">
        <v>50</v>
      </c>
      <c r="E135" s="47" t="s">
        <v>49</v>
      </c>
      <c r="F135" s="47">
        <v>459.0</v>
      </c>
      <c r="G135" s="47">
        <v>6.72</v>
      </c>
      <c r="H135" s="47">
        <v>68.3</v>
      </c>
      <c r="I135" s="47" t="s">
        <v>75</v>
      </c>
    </row>
    <row r="136" ht="15.75" customHeight="1">
      <c r="A136" s="47" t="s">
        <v>500</v>
      </c>
      <c r="B136" s="47" t="s">
        <v>502</v>
      </c>
      <c r="C136" s="47" t="s">
        <v>61</v>
      </c>
      <c r="D136" s="47" t="s">
        <v>137</v>
      </c>
      <c r="E136" s="47" t="s">
        <v>138</v>
      </c>
      <c r="F136" s="47">
        <v>426.0</v>
      </c>
      <c r="G136" s="47">
        <v>9.18</v>
      </c>
      <c r="H136" s="47">
        <v>46.4</v>
      </c>
      <c r="I136" s="47" t="s">
        <v>75</v>
      </c>
    </row>
    <row r="137" ht="15.75" customHeight="1">
      <c r="A137" s="47" t="s">
        <v>503</v>
      </c>
      <c r="B137" s="47" t="s">
        <v>505</v>
      </c>
      <c r="C137" s="47" t="s">
        <v>61</v>
      </c>
      <c r="D137" s="47" t="s">
        <v>165</v>
      </c>
      <c r="E137" s="47" t="s">
        <v>254</v>
      </c>
      <c r="F137" s="47">
        <v>1745.0</v>
      </c>
      <c r="G137" s="47">
        <v>12.27</v>
      </c>
      <c r="H137" s="47">
        <v>142.2</v>
      </c>
      <c r="I137" s="47" t="s">
        <v>62</v>
      </c>
    </row>
    <row r="138" ht="15.75" customHeight="1">
      <c r="A138" s="47" t="s">
        <v>506</v>
      </c>
      <c r="B138" s="47" t="s">
        <v>507</v>
      </c>
      <c r="C138" s="47" t="s">
        <v>61</v>
      </c>
      <c r="D138" s="47" t="s">
        <v>140</v>
      </c>
      <c r="E138" s="47" t="s">
        <v>147</v>
      </c>
      <c r="F138" s="47">
        <v>246.0</v>
      </c>
      <c r="G138" s="47">
        <v>5.77</v>
      </c>
      <c r="H138" s="47">
        <v>42.6</v>
      </c>
      <c r="I138" s="47" t="s">
        <v>75</v>
      </c>
    </row>
    <row r="139" ht="15.75" customHeight="1">
      <c r="A139" s="47" t="s">
        <v>510</v>
      </c>
      <c r="B139" s="47" t="s">
        <v>511</v>
      </c>
      <c r="C139" s="47" t="s">
        <v>61</v>
      </c>
      <c r="D139" s="47" t="s">
        <v>198</v>
      </c>
      <c r="E139" s="47" t="s">
        <v>217</v>
      </c>
      <c r="F139" s="47">
        <v>186.0</v>
      </c>
      <c r="G139" s="47">
        <v>0.41</v>
      </c>
      <c r="H139" s="47">
        <v>453.7</v>
      </c>
      <c r="I139" s="47" t="s">
        <v>75</v>
      </c>
    </row>
    <row r="140" ht="15.75" customHeight="1">
      <c r="A140" s="47" t="s">
        <v>512</v>
      </c>
      <c r="B140" s="47" t="s">
        <v>513</v>
      </c>
      <c r="C140" s="47" t="s">
        <v>61</v>
      </c>
      <c r="D140" s="47" t="s">
        <v>198</v>
      </c>
      <c r="E140" s="47" t="s">
        <v>217</v>
      </c>
      <c r="F140" s="47">
        <v>143.0</v>
      </c>
      <c r="G140" s="47">
        <v>5.98</v>
      </c>
      <c r="H140" s="47">
        <v>23.9</v>
      </c>
      <c r="I140" s="47" t="s">
        <v>75</v>
      </c>
    </row>
    <row r="141" ht="15.75" customHeight="1">
      <c r="A141" s="47" t="s">
        <v>515</v>
      </c>
      <c r="B141" s="47" t="s">
        <v>516</v>
      </c>
      <c r="C141" s="47" t="s">
        <v>61</v>
      </c>
      <c r="D141" s="47" t="s">
        <v>50</v>
      </c>
      <c r="E141" s="47" t="s">
        <v>49</v>
      </c>
      <c r="F141" s="47">
        <v>547.0</v>
      </c>
      <c r="G141" s="47">
        <v>5.76</v>
      </c>
      <c r="H141" s="47">
        <v>95.0</v>
      </c>
      <c r="I141" s="47" t="s">
        <v>62</v>
      </c>
    </row>
    <row r="142" ht="15.75" customHeight="1">
      <c r="A142" s="47" t="s">
        <v>518</v>
      </c>
      <c r="B142" s="47" t="s">
        <v>519</v>
      </c>
      <c r="C142" s="47" t="s">
        <v>61</v>
      </c>
      <c r="D142" s="47" t="s">
        <v>123</v>
      </c>
      <c r="E142" s="47" t="s">
        <v>181</v>
      </c>
      <c r="F142" s="47">
        <v>88.0</v>
      </c>
      <c r="G142" s="47">
        <v>3.91</v>
      </c>
      <c r="H142" s="47">
        <v>22.5</v>
      </c>
      <c r="I142" s="47" t="s">
        <v>75</v>
      </c>
    </row>
    <row r="143" ht="15.75" customHeight="1">
      <c r="A143" s="47" t="s">
        <v>520</v>
      </c>
      <c r="B143" s="47" t="s">
        <v>521</v>
      </c>
      <c r="C143" s="47" t="s">
        <v>61</v>
      </c>
      <c r="D143" s="47" t="s">
        <v>90</v>
      </c>
      <c r="E143" s="47" t="s">
        <v>91</v>
      </c>
      <c r="F143" s="47">
        <v>248.0</v>
      </c>
      <c r="G143" s="47">
        <v>6.07</v>
      </c>
      <c r="H143" s="47">
        <v>40.9</v>
      </c>
      <c r="I143" s="47" t="s">
        <v>75</v>
      </c>
    </row>
    <row r="144" ht="15.75" customHeight="1">
      <c r="A144" s="47" t="s">
        <v>522</v>
      </c>
      <c r="B144" s="47" t="s">
        <v>523</v>
      </c>
      <c r="C144" s="47" t="s">
        <v>61</v>
      </c>
      <c r="D144" s="47" t="s">
        <v>94</v>
      </c>
      <c r="E144" s="47" t="s">
        <v>95</v>
      </c>
      <c r="F144" s="47">
        <v>58.0</v>
      </c>
      <c r="G144" s="47">
        <v>4.02</v>
      </c>
      <c r="H144" s="47">
        <v>14.4</v>
      </c>
      <c r="I144" s="47" t="s">
        <v>75</v>
      </c>
    </row>
    <row r="145" ht="15.75" customHeight="1">
      <c r="A145" s="47" t="s">
        <v>525</v>
      </c>
      <c r="B145" s="47" t="s">
        <v>526</v>
      </c>
      <c r="C145" s="47" t="s">
        <v>61</v>
      </c>
      <c r="D145" s="47" t="s">
        <v>136</v>
      </c>
      <c r="E145" s="47" t="s">
        <v>189</v>
      </c>
      <c r="F145" s="47">
        <v>63.0</v>
      </c>
      <c r="G145" s="47">
        <v>7.3</v>
      </c>
      <c r="H145" s="47">
        <v>8.6</v>
      </c>
      <c r="I145" s="47" t="s">
        <v>75</v>
      </c>
    </row>
    <row r="146" ht="15.75" customHeight="1">
      <c r="A146" s="47" t="s">
        <v>528</v>
      </c>
      <c r="B146" s="47" t="s">
        <v>529</v>
      </c>
      <c r="C146" s="47" t="s">
        <v>61</v>
      </c>
      <c r="D146" s="47" t="s">
        <v>136</v>
      </c>
      <c r="E146" s="47" t="s">
        <v>189</v>
      </c>
      <c r="F146" s="47">
        <v>111.0</v>
      </c>
      <c r="G146" s="47">
        <v>3.16</v>
      </c>
      <c r="H146" s="47">
        <v>35.1</v>
      </c>
      <c r="I146" s="47" t="s">
        <v>75</v>
      </c>
    </row>
    <row r="147" ht="15.75" customHeight="1">
      <c r="A147" s="47" t="s">
        <v>531</v>
      </c>
      <c r="B147" s="47" t="s">
        <v>532</v>
      </c>
      <c r="C147" s="47" t="s">
        <v>61</v>
      </c>
      <c r="D147" s="47" t="s">
        <v>90</v>
      </c>
      <c r="E147" s="47" t="s">
        <v>91</v>
      </c>
      <c r="F147" s="47">
        <v>87.0</v>
      </c>
      <c r="G147" s="47">
        <v>4.6</v>
      </c>
      <c r="H147" s="47">
        <v>18.9</v>
      </c>
      <c r="I147" s="47" t="s">
        <v>75</v>
      </c>
    </row>
    <row r="148" ht="15.75" customHeight="1">
      <c r="A148" s="47" t="s">
        <v>535</v>
      </c>
      <c r="B148" s="47" t="s">
        <v>536</v>
      </c>
      <c r="C148" s="47" t="s">
        <v>61</v>
      </c>
      <c r="D148" s="47" t="s">
        <v>136</v>
      </c>
      <c r="E148" s="47" t="s">
        <v>189</v>
      </c>
      <c r="F148" s="47">
        <v>801.0</v>
      </c>
      <c r="G148" s="47">
        <v>19.86</v>
      </c>
      <c r="H148" s="47">
        <v>40.3</v>
      </c>
      <c r="I148" s="47" t="s">
        <v>62</v>
      </c>
    </row>
    <row r="149" ht="15.75" customHeight="1">
      <c r="A149" s="47" t="s">
        <v>538</v>
      </c>
      <c r="B149" s="47" t="s">
        <v>539</v>
      </c>
      <c r="C149" s="47" t="s">
        <v>61</v>
      </c>
      <c r="D149" s="47" t="s">
        <v>106</v>
      </c>
      <c r="E149" s="47" t="s">
        <v>107</v>
      </c>
      <c r="F149" s="47">
        <v>375.0</v>
      </c>
      <c r="G149" s="47">
        <v>12.75</v>
      </c>
      <c r="H149" s="47">
        <v>29.4</v>
      </c>
      <c r="I149" s="47" t="s">
        <v>75</v>
      </c>
    </row>
    <row r="150" ht="15.75" customHeight="1">
      <c r="A150" s="47" t="s">
        <v>540</v>
      </c>
      <c r="B150" s="47" t="s">
        <v>541</v>
      </c>
      <c r="C150" s="47" t="s">
        <v>61</v>
      </c>
      <c r="D150" s="47" t="s">
        <v>137</v>
      </c>
      <c r="E150" s="47" t="s">
        <v>138</v>
      </c>
      <c r="F150" s="47">
        <v>201.0</v>
      </c>
      <c r="G150" s="47">
        <v>2.22</v>
      </c>
      <c r="H150" s="47">
        <v>90.5</v>
      </c>
      <c r="I150" s="47" t="s">
        <v>75</v>
      </c>
    </row>
    <row r="151" ht="15.75" customHeight="1">
      <c r="A151" s="47" t="s">
        <v>542</v>
      </c>
      <c r="B151" s="47" t="s">
        <v>543</v>
      </c>
      <c r="C151" s="47" t="s">
        <v>61</v>
      </c>
      <c r="D151" s="47" t="s">
        <v>73</v>
      </c>
      <c r="E151" s="47" t="s">
        <v>74</v>
      </c>
      <c r="F151" s="47">
        <v>234.0</v>
      </c>
      <c r="G151" s="47">
        <v>7.74</v>
      </c>
      <c r="H151" s="47">
        <v>30.2</v>
      </c>
      <c r="I151" s="47" t="s">
        <v>75</v>
      </c>
    </row>
    <row r="152" ht="15.75" customHeight="1">
      <c r="A152" s="47" t="s">
        <v>545</v>
      </c>
      <c r="B152" s="47" t="s">
        <v>546</v>
      </c>
      <c r="C152" s="47" t="s">
        <v>61</v>
      </c>
      <c r="D152" s="47" t="s">
        <v>136</v>
      </c>
      <c r="E152" s="47" t="s">
        <v>189</v>
      </c>
      <c r="F152" s="47">
        <v>827.0</v>
      </c>
      <c r="G152" s="47">
        <v>8.93</v>
      </c>
      <c r="H152" s="47">
        <v>92.6</v>
      </c>
      <c r="I152" s="47" t="s">
        <v>62</v>
      </c>
    </row>
    <row r="153" ht="15.75" customHeight="1">
      <c r="A153" s="47" t="s">
        <v>547</v>
      </c>
      <c r="B153" s="47" t="s">
        <v>548</v>
      </c>
      <c r="C153" s="47" t="s">
        <v>61</v>
      </c>
      <c r="D153" s="47" t="s">
        <v>136</v>
      </c>
      <c r="E153" s="47" t="s">
        <v>189</v>
      </c>
      <c r="F153" s="47">
        <v>272.0</v>
      </c>
      <c r="G153" s="47">
        <v>3.31</v>
      </c>
      <c r="H153" s="47">
        <v>82.2</v>
      </c>
      <c r="I153" s="47" t="s">
        <v>75</v>
      </c>
    </row>
    <row r="154" ht="15.75" customHeight="1">
      <c r="A154" s="47" t="s">
        <v>550</v>
      </c>
      <c r="B154" s="47" t="s">
        <v>551</v>
      </c>
      <c r="C154" s="47" t="s">
        <v>61</v>
      </c>
      <c r="D154" s="47" t="s">
        <v>137</v>
      </c>
      <c r="E154" s="47" t="s">
        <v>138</v>
      </c>
      <c r="F154" s="47">
        <v>313.0</v>
      </c>
      <c r="G154" s="47">
        <v>9.23</v>
      </c>
      <c r="H154" s="47">
        <v>33.9</v>
      </c>
      <c r="I154" s="47" t="s">
        <v>75</v>
      </c>
    </row>
    <row r="155" ht="15.75" customHeight="1">
      <c r="A155" s="47" t="s">
        <v>553</v>
      </c>
      <c r="B155" s="47" t="s">
        <v>554</v>
      </c>
      <c r="C155" s="47" t="s">
        <v>61</v>
      </c>
      <c r="D155" s="47" t="s">
        <v>166</v>
      </c>
      <c r="E155" s="47" t="s">
        <v>168</v>
      </c>
      <c r="F155" s="47">
        <v>495.0</v>
      </c>
      <c r="G155" s="47">
        <v>18.58</v>
      </c>
      <c r="H155" s="47">
        <v>26.6</v>
      </c>
      <c r="I155" s="47" t="s">
        <v>75</v>
      </c>
    </row>
    <row r="156" ht="15.75" customHeight="1">
      <c r="A156" s="47" t="s">
        <v>556</v>
      </c>
      <c r="B156" s="47" t="s">
        <v>557</v>
      </c>
      <c r="C156" s="47" t="s">
        <v>61</v>
      </c>
      <c r="D156" s="47" t="s">
        <v>182</v>
      </c>
      <c r="E156" s="47" t="s">
        <v>357</v>
      </c>
      <c r="F156" s="47">
        <v>301.0</v>
      </c>
      <c r="G156" s="47">
        <v>8.09</v>
      </c>
      <c r="H156" s="47">
        <v>37.2</v>
      </c>
      <c r="I156" s="47" t="s">
        <v>75</v>
      </c>
    </row>
    <row r="157" ht="15.75" customHeight="1">
      <c r="A157" s="47" t="s">
        <v>559</v>
      </c>
      <c r="B157" s="47" t="s">
        <v>560</v>
      </c>
      <c r="C157" s="47" t="s">
        <v>61</v>
      </c>
      <c r="D157" s="47" t="s">
        <v>182</v>
      </c>
      <c r="E157" s="47" t="s">
        <v>357</v>
      </c>
      <c r="F157" s="47">
        <v>2594.0</v>
      </c>
      <c r="G157" s="47">
        <v>20.64</v>
      </c>
      <c r="H157" s="47">
        <v>125.7</v>
      </c>
      <c r="I157" s="47" t="s">
        <v>142</v>
      </c>
    </row>
    <row r="158" ht="15.75" customHeight="1">
      <c r="A158" s="47" t="s">
        <v>561</v>
      </c>
      <c r="B158" s="47" t="s">
        <v>562</v>
      </c>
      <c r="C158" s="47" t="s">
        <v>61</v>
      </c>
      <c r="D158" s="47" t="s">
        <v>123</v>
      </c>
      <c r="E158" s="47" t="s">
        <v>181</v>
      </c>
      <c r="F158" s="47">
        <v>323.0</v>
      </c>
      <c r="G158" s="47">
        <v>9.77</v>
      </c>
      <c r="H158" s="47">
        <v>33.1</v>
      </c>
      <c r="I158" s="47" t="s">
        <v>75</v>
      </c>
    </row>
    <row r="159" ht="15.75" customHeight="1">
      <c r="A159" s="47" t="s">
        <v>563</v>
      </c>
      <c r="B159" s="47" t="s">
        <v>564</v>
      </c>
      <c r="C159" s="47" t="s">
        <v>61</v>
      </c>
      <c r="D159" s="47" t="s">
        <v>50</v>
      </c>
      <c r="E159" s="47" t="s">
        <v>49</v>
      </c>
      <c r="F159" s="47">
        <v>1568.0</v>
      </c>
      <c r="G159" s="47">
        <v>3.67</v>
      </c>
      <c r="H159" s="47">
        <v>427.2</v>
      </c>
      <c r="I159" s="47" t="s">
        <v>62</v>
      </c>
    </row>
    <row r="160" ht="15.75" customHeight="1">
      <c r="A160" s="47" t="s">
        <v>565</v>
      </c>
      <c r="B160" s="47" t="s">
        <v>566</v>
      </c>
      <c r="C160" s="47" t="s">
        <v>61</v>
      </c>
      <c r="D160" s="47" t="s">
        <v>123</v>
      </c>
      <c r="E160" s="47" t="s">
        <v>181</v>
      </c>
      <c r="F160" s="47">
        <v>361.0</v>
      </c>
      <c r="G160" s="47">
        <v>8.87</v>
      </c>
      <c r="H160" s="47">
        <v>40.7</v>
      </c>
      <c r="I160" s="47" t="s">
        <v>75</v>
      </c>
    </row>
    <row r="161" ht="15.75" customHeight="1">
      <c r="A161" s="47" t="s">
        <v>567</v>
      </c>
      <c r="B161" s="47" t="s">
        <v>568</v>
      </c>
      <c r="C161" s="47" t="s">
        <v>61</v>
      </c>
      <c r="D161" s="47" t="s">
        <v>90</v>
      </c>
      <c r="E161" s="47" t="s">
        <v>91</v>
      </c>
      <c r="F161" s="47">
        <v>895.0</v>
      </c>
      <c r="G161" s="47">
        <v>10.96</v>
      </c>
      <c r="H161" s="47">
        <v>81.7</v>
      </c>
      <c r="I161" s="47" t="s">
        <v>62</v>
      </c>
    </row>
    <row r="162" ht="15.75" customHeight="1">
      <c r="A162" s="47" t="s">
        <v>569</v>
      </c>
      <c r="B162" s="47" t="s">
        <v>570</v>
      </c>
      <c r="C162" s="47" t="s">
        <v>61</v>
      </c>
      <c r="D162" s="47" t="s">
        <v>123</v>
      </c>
      <c r="E162" s="47" t="s">
        <v>181</v>
      </c>
      <c r="F162" s="47">
        <v>15097.0</v>
      </c>
      <c r="G162" s="47">
        <v>16.98</v>
      </c>
      <c r="H162" s="47">
        <v>889.1</v>
      </c>
      <c r="I162" s="47" t="s">
        <v>571</v>
      </c>
    </row>
    <row r="163" ht="15.75" customHeight="1">
      <c r="A163" s="47" t="s">
        <v>572</v>
      </c>
      <c r="B163" s="47" t="s">
        <v>573</v>
      </c>
      <c r="C163" s="47" t="s">
        <v>61</v>
      </c>
      <c r="D163" s="47" t="s">
        <v>73</v>
      </c>
      <c r="E163" s="47" t="s">
        <v>74</v>
      </c>
      <c r="F163" s="47">
        <v>83.0</v>
      </c>
      <c r="G163" s="47">
        <v>10.64</v>
      </c>
      <c r="H163" s="47">
        <v>7.8</v>
      </c>
      <c r="I163" s="47" t="s">
        <v>75</v>
      </c>
    </row>
    <row r="164" ht="15.75" customHeight="1">
      <c r="A164" s="47" t="s">
        <v>574</v>
      </c>
      <c r="B164" s="47" t="s">
        <v>575</v>
      </c>
      <c r="C164" s="47" t="s">
        <v>61</v>
      </c>
      <c r="D164" s="47" t="s">
        <v>94</v>
      </c>
      <c r="E164" s="47" t="s">
        <v>95</v>
      </c>
      <c r="F164" s="47">
        <v>125.0</v>
      </c>
      <c r="G164" s="47">
        <v>2.63</v>
      </c>
      <c r="H164" s="47">
        <v>47.5</v>
      </c>
      <c r="I164" s="47" t="s">
        <v>75</v>
      </c>
    </row>
    <row r="165" ht="15.75" customHeight="1">
      <c r="A165" s="47" t="s">
        <v>576</v>
      </c>
      <c r="B165" s="47" t="s">
        <v>577</v>
      </c>
      <c r="C165" s="47" t="s">
        <v>61</v>
      </c>
      <c r="D165" s="47" t="s">
        <v>78</v>
      </c>
      <c r="E165" s="47" t="s">
        <v>79</v>
      </c>
      <c r="F165" s="47">
        <v>91.0</v>
      </c>
      <c r="G165" s="47">
        <v>4.68</v>
      </c>
      <c r="H165" s="47">
        <v>19.4</v>
      </c>
      <c r="I165" s="47" t="s">
        <v>75</v>
      </c>
    </row>
    <row r="166" ht="15.75" customHeight="1">
      <c r="A166" s="47" t="s">
        <v>578</v>
      </c>
      <c r="B166" s="47" t="s">
        <v>579</v>
      </c>
      <c r="C166" s="47" t="s">
        <v>61</v>
      </c>
      <c r="D166" s="47" t="s">
        <v>106</v>
      </c>
      <c r="E166" s="47" t="s">
        <v>107</v>
      </c>
      <c r="F166" s="47">
        <v>238.0</v>
      </c>
      <c r="G166" s="47">
        <v>8.55</v>
      </c>
      <c r="H166" s="47">
        <v>27.8</v>
      </c>
      <c r="I166" s="47" t="s">
        <v>75</v>
      </c>
    </row>
    <row r="167" ht="15.75" customHeight="1">
      <c r="A167" s="47" t="s">
        <v>580</v>
      </c>
      <c r="B167" s="47" t="s">
        <v>581</v>
      </c>
      <c r="C167" s="47" t="s">
        <v>61</v>
      </c>
      <c r="D167" s="47" t="s">
        <v>50</v>
      </c>
      <c r="E167" s="47" t="s">
        <v>49</v>
      </c>
      <c r="F167" s="47">
        <v>11596.0</v>
      </c>
      <c r="G167" s="47">
        <v>13.31</v>
      </c>
      <c r="H167" s="47">
        <v>871.2</v>
      </c>
      <c r="I167" s="47" t="s">
        <v>571</v>
      </c>
    </row>
    <row r="168" ht="15.75" customHeight="1">
      <c r="A168" s="47" t="s">
        <v>582</v>
      </c>
      <c r="B168" s="47" t="s">
        <v>583</v>
      </c>
      <c r="C168" s="47" t="s">
        <v>61</v>
      </c>
      <c r="D168" s="47" t="s">
        <v>90</v>
      </c>
      <c r="E168" s="47" t="s">
        <v>91</v>
      </c>
      <c r="F168" s="47">
        <v>859.0</v>
      </c>
      <c r="G168" s="47">
        <v>11.6</v>
      </c>
      <c r="H168" s="47">
        <v>74.1</v>
      </c>
      <c r="I168" s="47" t="s">
        <v>62</v>
      </c>
    </row>
    <row r="169" ht="15.75" customHeight="1">
      <c r="A169" s="47" t="s">
        <v>584</v>
      </c>
      <c r="B169" s="47" t="s">
        <v>585</v>
      </c>
      <c r="C169" s="47" t="s">
        <v>61</v>
      </c>
      <c r="D169" s="47" t="s">
        <v>67</v>
      </c>
      <c r="E169" s="47" t="s">
        <v>68</v>
      </c>
      <c r="F169" s="47">
        <v>153.0</v>
      </c>
      <c r="G169" s="47">
        <v>5.24</v>
      </c>
      <c r="H169" s="47">
        <v>29.2</v>
      </c>
      <c r="I169" s="47" t="s">
        <v>75</v>
      </c>
    </row>
    <row r="170" ht="15.75" customHeight="1">
      <c r="A170" s="47" t="s">
        <v>586</v>
      </c>
      <c r="B170" s="47" t="s">
        <v>587</v>
      </c>
      <c r="C170" s="47" t="s">
        <v>61</v>
      </c>
      <c r="D170" s="47" t="s">
        <v>90</v>
      </c>
      <c r="E170" s="47" t="s">
        <v>91</v>
      </c>
      <c r="F170" s="47">
        <v>214.0</v>
      </c>
      <c r="G170" s="47">
        <v>3.65</v>
      </c>
      <c r="H170" s="47">
        <v>58.6</v>
      </c>
      <c r="I170" s="47" t="s">
        <v>75</v>
      </c>
    </row>
    <row r="171" ht="15.75" customHeight="1">
      <c r="A171" s="47" t="s">
        <v>588</v>
      </c>
      <c r="B171" s="47" t="s">
        <v>589</v>
      </c>
      <c r="C171" s="47" t="s">
        <v>61</v>
      </c>
      <c r="D171" s="47" t="s">
        <v>136</v>
      </c>
      <c r="E171" s="47" t="s">
        <v>189</v>
      </c>
      <c r="F171" s="47">
        <v>147.0</v>
      </c>
      <c r="G171" s="47">
        <v>3.69</v>
      </c>
      <c r="H171" s="47">
        <v>39.8</v>
      </c>
      <c r="I171" s="47" t="s">
        <v>75</v>
      </c>
    </row>
    <row r="172" ht="15.75" customHeight="1">
      <c r="A172" s="47" t="s">
        <v>590</v>
      </c>
      <c r="B172" s="47" t="s">
        <v>591</v>
      </c>
      <c r="C172" s="47" t="s">
        <v>61</v>
      </c>
      <c r="D172" s="47" t="s">
        <v>86</v>
      </c>
      <c r="E172" s="47" t="s">
        <v>87</v>
      </c>
      <c r="F172" s="47">
        <v>127.0</v>
      </c>
      <c r="G172" s="47">
        <v>10.91</v>
      </c>
      <c r="H172" s="47">
        <v>11.6</v>
      </c>
      <c r="I172" s="47" t="s">
        <v>75</v>
      </c>
    </row>
    <row r="173" ht="15.75" customHeight="1">
      <c r="A173" s="47" t="s">
        <v>592</v>
      </c>
      <c r="B173" s="47" t="s">
        <v>593</v>
      </c>
      <c r="C173" s="47" t="s">
        <v>61</v>
      </c>
      <c r="D173" s="47" t="s">
        <v>90</v>
      </c>
      <c r="E173" s="47" t="s">
        <v>91</v>
      </c>
      <c r="F173" s="47">
        <v>378.0</v>
      </c>
      <c r="G173" s="47">
        <v>13.81</v>
      </c>
      <c r="H173" s="47">
        <v>27.4</v>
      </c>
      <c r="I173" s="47" t="s">
        <v>75</v>
      </c>
    </row>
    <row r="174" ht="15.75" customHeight="1">
      <c r="A174" s="47" t="s">
        <v>594</v>
      </c>
      <c r="B174" s="47" t="s">
        <v>595</v>
      </c>
      <c r="C174" s="47" t="s">
        <v>61</v>
      </c>
      <c r="D174" s="47" t="s">
        <v>73</v>
      </c>
      <c r="E174" s="47" t="s">
        <v>74</v>
      </c>
      <c r="F174" s="47">
        <v>742.0</v>
      </c>
      <c r="G174" s="47">
        <v>17.43</v>
      </c>
      <c r="H174" s="47">
        <v>42.6</v>
      </c>
      <c r="I174" s="47" t="s">
        <v>62</v>
      </c>
    </row>
    <row r="175" ht="15.75" customHeight="1">
      <c r="A175" s="47" t="s">
        <v>596</v>
      </c>
      <c r="B175" s="47" t="s">
        <v>597</v>
      </c>
      <c r="C175" s="47" t="s">
        <v>61</v>
      </c>
      <c r="D175" s="47" t="s">
        <v>166</v>
      </c>
      <c r="E175" s="47" t="s">
        <v>168</v>
      </c>
      <c r="F175" s="47">
        <v>98.0</v>
      </c>
      <c r="G175" s="47">
        <v>5.02</v>
      </c>
      <c r="H175" s="47">
        <v>19.5</v>
      </c>
      <c r="I175" s="47" t="s">
        <v>75</v>
      </c>
    </row>
    <row r="176" ht="15.75" customHeight="1">
      <c r="A176" s="47" t="s">
        <v>598</v>
      </c>
      <c r="B176" s="47" t="s">
        <v>599</v>
      </c>
      <c r="C176" s="47" t="s">
        <v>61</v>
      </c>
      <c r="D176" s="47" t="s">
        <v>165</v>
      </c>
      <c r="E176" s="47" t="s">
        <v>254</v>
      </c>
      <c r="F176" s="47">
        <v>136.0</v>
      </c>
      <c r="G176" s="47">
        <v>5.95</v>
      </c>
      <c r="H176" s="47">
        <v>22.9</v>
      </c>
      <c r="I176" s="47" t="s">
        <v>75</v>
      </c>
    </row>
    <row r="177" ht="15.75" customHeight="1">
      <c r="A177" s="47" t="s">
        <v>600</v>
      </c>
      <c r="B177" s="47" t="s">
        <v>601</v>
      </c>
      <c r="C177" s="47" t="s">
        <v>61</v>
      </c>
      <c r="D177" s="47" t="s">
        <v>86</v>
      </c>
      <c r="E177" s="47" t="s">
        <v>87</v>
      </c>
      <c r="F177" s="47">
        <v>197.0</v>
      </c>
      <c r="G177" s="47">
        <v>8.76</v>
      </c>
      <c r="H177" s="47">
        <v>22.5</v>
      </c>
      <c r="I177" s="47" t="s">
        <v>75</v>
      </c>
    </row>
    <row r="178" ht="15.75" customHeight="1">
      <c r="A178" s="47" t="s">
        <v>602</v>
      </c>
      <c r="B178" s="47" t="s">
        <v>603</v>
      </c>
      <c r="C178" s="47" t="s">
        <v>61</v>
      </c>
      <c r="D178" s="47" t="s">
        <v>94</v>
      </c>
      <c r="E178" s="47" t="s">
        <v>95</v>
      </c>
      <c r="F178" s="47">
        <v>329.0</v>
      </c>
      <c r="G178" s="47">
        <v>17.14</v>
      </c>
      <c r="H178" s="47">
        <v>19.2</v>
      </c>
      <c r="I178" s="47" t="s">
        <v>75</v>
      </c>
    </row>
    <row r="179" ht="15.75" customHeight="1">
      <c r="A179" s="47" t="s">
        <v>604</v>
      </c>
      <c r="B179" s="47" t="s">
        <v>605</v>
      </c>
      <c r="C179" s="47" t="s">
        <v>61</v>
      </c>
      <c r="D179" s="47" t="s">
        <v>123</v>
      </c>
      <c r="E179" s="47" t="s">
        <v>181</v>
      </c>
      <c r="F179" s="47">
        <v>389.0</v>
      </c>
      <c r="G179" s="47">
        <v>16.49</v>
      </c>
      <c r="H179" s="47">
        <v>23.6</v>
      </c>
      <c r="I179" s="47" t="s">
        <v>75</v>
      </c>
    </row>
    <row r="180" ht="15.75" customHeight="1">
      <c r="A180" s="47" t="s">
        <v>606</v>
      </c>
      <c r="B180" s="47" t="s">
        <v>607</v>
      </c>
      <c r="C180" s="47" t="s">
        <v>61</v>
      </c>
      <c r="D180" s="47" t="s">
        <v>182</v>
      </c>
      <c r="E180" s="47" t="s">
        <v>357</v>
      </c>
      <c r="F180" s="47">
        <v>1296.0</v>
      </c>
      <c r="G180" s="47">
        <v>22.59</v>
      </c>
      <c r="H180" s="47">
        <v>57.4</v>
      </c>
      <c r="I180" s="47" t="s">
        <v>62</v>
      </c>
    </row>
    <row r="181" ht="15.75" customHeight="1">
      <c r="A181" s="47" t="s">
        <v>608</v>
      </c>
      <c r="B181" s="47" t="s">
        <v>609</v>
      </c>
      <c r="C181" s="47" t="s">
        <v>61</v>
      </c>
      <c r="D181" s="47" t="s">
        <v>123</v>
      </c>
      <c r="E181" s="47" t="s">
        <v>181</v>
      </c>
      <c r="F181" s="47">
        <v>1195.0</v>
      </c>
      <c r="G181" s="47">
        <v>2.85</v>
      </c>
      <c r="H181" s="47">
        <v>419.3</v>
      </c>
      <c r="I181" s="47" t="s">
        <v>62</v>
      </c>
    </row>
    <row r="182" ht="15.75" customHeight="1">
      <c r="A182" s="47" t="s">
        <v>610</v>
      </c>
      <c r="B182" s="47" t="s">
        <v>611</v>
      </c>
      <c r="C182" s="47" t="s">
        <v>61</v>
      </c>
      <c r="D182" s="47" t="s">
        <v>82</v>
      </c>
      <c r="E182" s="47" t="s">
        <v>83</v>
      </c>
      <c r="F182" s="47">
        <v>140.0</v>
      </c>
      <c r="G182" s="47">
        <v>10.59</v>
      </c>
      <c r="H182" s="47">
        <v>13.2</v>
      </c>
      <c r="I182" s="47" t="s">
        <v>75</v>
      </c>
    </row>
    <row r="183" ht="15.75" customHeight="1">
      <c r="A183" s="47" t="s">
        <v>612</v>
      </c>
      <c r="B183" s="47" t="s">
        <v>613</v>
      </c>
      <c r="C183" s="47" t="s">
        <v>61</v>
      </c>
      <c r="D183" s="47" t="s">
        <v>78</v>
      </c>
      <c r="E183" s="47" t="s">
        <v>79</v>
      </c>
      <c r="F183" s="47">
        <v>359.0</v>
      </c>
      <c r="G183" s="47">
        <v>13.73</v>
      </c>
      <c r="H183" s="47">
        <v>26.1</v>
      </c>
      <c r="I183" s="47" t="s">
        <v>75</v>
      </c>
    </row>
    <row r="184" ht="15.75" customHeight="1">
      <c r="A184" s="47" t="s">
        <v>614</v>
      </c>
      <c r="B184" s="47" t="s">
        <v>615</v>
      </c>
      <c r="C184" s="47" t="s">
        <v>61</v>
      </c>
      <c r="D184" s="47" t="s">
        <v>90</v>
      </c>
      <c r="E184" s="47" t="s">
        <v>91</v>
      </c>
      <c r="F184" s="47">
        <v>526.0</v>
      </c>
      <c r="G184" s="47">
        <v>5.58</v>
      </c>
      <c r="H184" s="47">
        <v>94.3</v>
      </c>
      <c r="I184" s="47" t="s">
        <v>62</v>
      </c>
    </row>
    <row r="185" ht="15.75" customHeight="1">
      <c r="A185" s="47" t="s">
        <v>616</v>
      </c>
      <c r="B185" s="47" t="s">
        <v>617</v>
      </c>
      <c r="C185" s="47" t="s">
        <v>61</v>
      </c>
      <c r="D185" s="47" t="s">
        <v>136</v>
      </c>
      <c r="E185" s="47" t="s">
        <v>189</v>
      </c>
      <c r="F185" s="47">
        <v>484.0</v>
      </c>
      <c r="G185" s="47">
        <v>3.53</v>
      </c>
      <c r="H185" s="47">
        <v>137.1</v>
      </c>
      <c r="I185" s="47" t="s">
        <v>75</v>
      </c>
    </row>
    <row r="186" ht="15.75" customHeight="1">
      <c r="A186" s="47" t="s">
        <v>618</v>
      </c>
      <c r="B186" s="47" t="s">
        <v>619</v>
      </c>
      <c r="C186" s="47" t="s">
        <v>61</v>
      </c>
      <c r="D186" s="47" t="s">
        <v>102</v>
      </c>
      <c r="E186" s="47" t="s">
        <v>103</v>
      </c>
      <c r="F186" s="47">
        <v>364.0</v>
      </c>
      <c r="G186" s="47">
        <v>20.41</v>
      </c>
      <c r="H186" s="47">
        <v>17.8</v>
      </c>
      <c r="I186" s="47" t="s">
        <v>75</v>
      </c>
    </row>
    <row r="187" ht="15.75" customHeight="1">
      <c r="A187" s="47" t="s">
        <v>620</v>
      </c>
      <c r="B187" s="47" t="s">
        <v>621</v>
      </c>
      <c r="C187" s="47" t="s">
        <v>61</v>
      </c>
      <c r="D187" s="47" t="s">
        <v>123</v>
      </c>
      <c r="E187" s="47" t="s">
        <v>181</v>
      </c>
      <c r="F187" s="47">
        <v>62.0</v>
      </c>
      <c r="G187" s="47">
        <v>8.17</v>
      </c>
      <c r="H187" s="47">
        <v>7.6</v>
      </c>
      <c r="I187" s="47" t="s">
        <v>75</v>
      </c>
    </row>
    <row r="188" ht="15.75" customHeight="1">
      <c r="A188" s="47" t="s">
        <v>622</v>
      </c>
      <c r="B188" s="47" t="s">
        <v>623</v>
      </c>
      <c r="C188" s="47" t="s">
        <v>61</v>
      </c>
      <c r="D188" s="47" t="s">
        <v>73</v>
      </c>
      <c r="E188" s="47" t="s">
        <v>74</v>
      </c>
      <c r="F188" s="47">
        <v>173.0</v>
      </c>
      <c r="G188" s="47">
        <v>9.33</v>
      </c>
      <c r="H188" s="47">
        <v>18.5</v>
      </c>
      <c r="I188" s="47" t="s">
        <v>75</v>
      </c>
    </row>
    <row r="189" ht="15.75" customHeight="1">
      <c r="A189" s="47" t="s">
        <v>624</v>
      </c>
      <c r="B189" s="47" t="s">
        <v>625</v>
      </c>
      <c r="C189" s="47" t="s">
        <v>61</v>
      </c>
      <c r="D189" s="47" t="s">
        <v>90</v>
      </c>
      <c r="E189" s="47" t="s">
        <v>91</v>
      </c>
      <c r="F189" s="47">
        <v>882.0</v>
      </c>
      <c r="G189" s="47">
        <v>8.96</v>
      </c>
      <c r="H189" s="47">
        <v>98.4</v>
      </c>
      <c r="I189" s="47" t="s">
        <v>62</v>
      </c>
    </row>
    <row r="190" ht="15.75" customHeight="1">
      <c r="A190" s="47" t="s">
        <v>626</v>
      </c>
      <c r="B190" s="47" t="s">
        <v>627</v>
      </c>
      <c r="C190" s="47" t="s">
        <v>61</v>
      </c>
      <c r="D190" s="47" t="s">
        <v>136</v>
      </c>
      <c r="E190" s="47" t="s">
        <v>189</v>
      </c>
      <c r="F190" s="47">
        <v>289.0</v>
      </c>
      <c r="G190" s="47">
        <v>4.23</v>
      </c>
      <c r="H190" s="47">
        <v>68.3</v>
      </c>
      <c r="I190" s="47" t="s">
        <v>75</v>
      </c>
    </row>
    <row r="191" ht="15.75" customHeight="1">
      <c r="A191" s="47" t="s">
        <v>628</v>
      </c>
      <c r="B191" s="47" t="s">
        <v>629</v>
      </c>
      <c r="C191" s="47" t="s">
        <v>61</v>
      </c>
      <c r="D191" s="47" t="s">
        <v>165</v>
      </c>
      <c r="E191" s="47" t="s">
        <v>254</v>
      </c>
      <c r="F191" s="47">
        <v>509.0</v>
      </c>
      <c r="G191" s="47">
        <v>14.39</v>
      </c>
      <c r="H191" s="47">
        <v>35.4</v>
      </c>
      <c r="I191" s="47" t="s">
        <v>62</v>
      </c>
    </row>
    <row r="192" ht="15.75" customHeight="1">
      <c r="A192" s="47" t="s">
        <v>630</v>
      </c>
      <c r="B192" s="47" t="s">
        <v>631</v>
      </c>
      <c r="C192" s="47" t="s">
        <v>61</v>
      </c>
      <c r="D192" s="47" t="s">
        <v>90</v>
      </c>
      <c r="E192" s="47" t="s">
        <v>91</v>
      </c>
      <c r="F192" s="47">
        <v>243.0</v>
      </c>
      <c r="G192" s="47">
        <v>3.45</v>
      </c>
      <c r="H192" s="47">
        <v>70.4</v>
      </c>
      <c r="I192" s="47" t="s">
        <v>75</v>
      </c>
    </row>
    <row r="193" ht="15.75" customHeight="1">
      <c r="A193" s="47" t="s">
        <v>632</v>
      </c>
      <c r="B193" s="47" t="s">
        <v>633</v>
      </c>
      <c r="C193" s="47" t="s">
        <v>61</v>
      </c>
      <c r="D193" s="47" t="s">
        <v>140</v>
      </c>
      <c r="E193" s="47" t="s">
        <v>147</v>
      </c>
      <c r="F193" s="47">
        <v>589.0</v>
      </c>
      <c r="G193" s="47">
        <v>8.3</v>
      </c>
      <c r="H193" s="47">
        <v>71.0</v>
      </c>
      <c r="I193" s="47" t="s">
        <v>62</v>
      </c>
    </row>
    <row r="194" ht="15.75" customHeight="1">
      <c r="A194" s="47" t="s">
        <v>634</v>
      </c>
      <c r="B194" s="47" t="s">
        <v>635</v>
      </c>
      <c r="C194" s="47" t="s">
        <v>61</v>
      </c>
      <c r="D194" s="47" t="s">
        <v>166</v>
      </c>
      <c r="E194" s="47" t="s">
        <v>168</v>
      </c>
      <c r="F194" s="47">
        <v>97.0</v>
      </c>
      <c r="G194" s="47">
        <v>9.3</v>
      </c>
      <c r="H194" s="47">
        <v>10.4</v>
      </c>
      <c r="I194" s="47" t="s">
        <v>75</v>
      </c>
    </row>
    <row r="195" ht="15.75" customHeight="1">
      <c r="A195" s="47" t="s">
        <v>636</v>
      </c>
      <c r="B195" s="47" t="s">
        <v>637</v>
      </c>
      <c r="C195" s="47" t="s">
        <v>61</v>
      </c>
      <c r="D195" s="47" t="s">
        <v>102</v>
      </c>
      <c r="E195" s="47" t="s">
        <v>103</v>
      </c>
      <c r="F195" s="47">
        <v>467.0</v>
      </c>
      <c r="G195" s="47">
        <v>12.34</v>
      </c>
      <c r="H195" s="47">
        <v>37.8</v>
      </c>
      <c r="I195" s="47" t="s">
        <v>75</v>
      </c>
    </row>
    <row r="196" ht="15.75" customHeight="1">
      <c r="A196" s="47" t="s">
        <v>638</v>
      </c>
      <c r="B196" s="47" t="s">
        <v>639</v>
      </c>
      <c r="C196" s="47" t="s">
        <v>61</v>
      </c>
      <c r="D196" s="47" t="s">
        <v>123</v>
      </c>
      <c r="E196" s="47" t="s">
        <v>181</v>
      </c>
      <c r="F196" s="47">
        <v>1308.0</v>
      </c>
      <c r="G196" s="47">
        <v>17.24</v>
      </c>
      <c r="H196" s="47">
        <v>75.9</v>
      </c>
      <c r="I196" s="47" t="s">
        <v>62</v>
      </c>
    </row>
    <row r="197" ht="15.75" customHeight="1">
      <c r="A197" s="47" t="s">
        <v>640</v>
      </c>
      <c r="B197" s="47" t="s">
        <v>641</v>
      </c>
      <c r="C197" s="47" t="s">
        <v>61</v>
      </c>
      <c r="D197" s="47" t="s">
        <v>156</v>
      </c>
      <c r="E197" s="47" t="s">
        <v>157</v>
      </c>
      <c r="F197" s="47">
        <v>61.0</v>
      </c>
      <c r="G197" s="47">
        <v>7.39</v>
      </c>
      <c r="H197" s="47">
        <v>8.3</v>
      </c>
      <c r="I197" s="47" t="s">
        <v>75</v>
      </c>
    </row>
    <row r="198" ht="15.75" customHeight="1">
      <c r="A198" s="47" t="s">
        <v>642</v>
      </c>
      <c r="B198" s="47" t="s">
        <v>643</v>
      </c>
      <c r="C198" s="47" t="s">
        <v>61</v>
      </c>
      <c r="D198" s="47" t="s">
        <v>136</v>
      </c>
      <c r="E198" s="47" t="s">
        <v>189</v>
      </c>
      <c r="F198" s="47">
        <v>207.0</v>
      </c>
      <c r="G198" s="47">
        <v>6.75</v>
      </c>
      <c r="H198" s="47">
        <v>30.7</v>
      </c>
      <c r="I198" s="47" t="s">
        <v>75</v>
      </c>
    </row>
    <row r="199" ht="15.75" customHeight="1">
      <c r="A199" s="47" t="s">
        <v>644</v>
      </c>
      <c r="B199" s="47" t="s">
        <v>645</v>
      </c>
      <c r="C199" s="47" t="s">
        <v>61</v>
      </c>
      <c r="D199" s="47" t="s">
        <v>165</v>
      </c>
      <c r="E199" s="47" t="s">
        <v>254</v>
      </c>
      <c r="F199" s="47">
        <v>71.0</v>
      </c>
      <c r="G199" s="47">
        <v>3.38</v>
      </c>
      <c r="H199" s="47">
        <v>21.0</v>
      </c>
      <c r="I199" s="47" t="s">
        <v>75</v>
      </c>
    </row>
    <row r="200" ht="15.75" customHeight="1">
      <c r="A200" s="47" t="s">
        <v>646</v>
      </c>
      <c r="B200" s="47" t="s">
        <v>647</v>
      </c>
      <c r="C200" s="47" t="s">
        <v>61</v>
      </c>
      <c r="D200" s="47" t="s">
        <v>50</v>
      </c>
      <c r="E200" s="47" t="s">
        <v>49</v>
      </c>
      <c r="F200" s="47">
        <v>224.0</v>
      </c>
      <c r="G200" s="47">
        <v>3.36</v>
      </c>
      <c r="H200" s="47">
        <v>66.7</v>
      </c>
      <c r="I200" s="47" t="s">
        <v>75</v>
      </c>
    </row>
    <row r="201" ht="15.75" customHeight="1">
      <c r="A201" s="47" t="s">
        <v>648</v>
      </c>
      <c r="B201" s="47" t="s">
        <v>649</v>
      </c>
      <c r="C201" s="47" t="s">
        <v>61</v>
      </c>
      <c r="D201" s="47" t="s">
        <v>78</v>
      </c>
      <c r="E201" s="47" t="s">
        <v>79</v>
      </c>
      <c r="F201" s="47">
        <v>256.0</v>
      </c>
      <c r="G201" s="47">
        <v>13.23</v>
      </c>
      <c r="H201" s="47">
        <v>19.3</v>
      </c>
      <c r="I201" s="47" t="s">
        <v>75</v>
      </c>
    </row>
    <row r="202" ht="15.75" customHeight="1">
      <c r="A202" s="47" t="s">
        <v>650</v>
      </c>
      <c r="B202" s="47" t="s">
        <v>651</v>
      </c>
      <c r="C202" s="47" t="s">
        <v>61</v>
      </c>
      <c r="D202" s="47" t="s">
        <v>123</v>
      </c>
      <c r="E202" s="47" t="s">
        <v>181</v>
      </c>
      <c r="F202" s="47">
        <v>654.0</v>
      </c>
      <c r="G202" s="47">
        <v>4.45</v>
      </c>
      <c r="H202" s="47">
        <v>147.0</v>
      </c>
      <c r="I202" s="47" t="s">
        <v>62</v>
      </c>
    </row>
    <row r="203" ht="15.75" customHeight="1">
      <c r="A203" s="47" t="s">
        <v>652</v>
      </c>
      <c r="B203" s="47" t="s">
        <v>653</v>
      </c>
      <c r="C203" s="47" t="s">
        <v>61</v>
      </c>
      <c r="D203" s="47" t="s">
        <v>90</v>
      </c>
      <c r="E203" s="47" t="s">
        <v>91</v>
      </c>
      <c r="F203" s="47">
        <v>352.0</v>
      </c>
      <c r="G203" s="47">
        <v>3.75</v>
      </c>
      <c r="H203" s="47">
        <v>93.9</v>
      </c>
      <c r="I203" s="47" t="s">
        <v>75</v>
      </c>
    </row>
    <row r="204" ht="15.75" customHeight="1">
      <c r="A204" s="47" t="s">
        <v>654</v>
      </c>
      <c r="B204" s="47" t="s">
        <v>655</v>
      </c>
      <c r="C204" s="47" t="s">
        <v>61</v>
      </c>
      <c r="D204" s="47" t="s">
        <v>78</v>
      </c>
      <c r="E204" s="47" t="s">
        <v>79</v>
      </c>
      <c r="F204" s="47">
        <v>357.0</v>
      </c>
      <c r="G204" s="47">
        <v>5.9</v>
      </c>
      <c r="H204" s="47">
        <v>60.5</v>
      </c>
      <c r="I204" s="47" t="s">
        <v>75</v>
      </c>
    </row>
    <row r="205" ht="15.75" customHeight="1">
      <c r="A205" s="47" t="s">
        <v>656</v>
      </c>
      <c r="B205" s="47" t="s">
        <v>657</v>
      </c>
      <c r="C205" s="47" t="s">
        <v>61</v>
      </c>
      <c r="D205" s="47" t="s">
        <v>50</v>
      </c>
      <c r="E205" s="47" t="s">
        <v>49</v>
      </c>
      <c r="F205" s="47">
        <v>674.0</v>
      </c>
      <c r="G205" s="47">
        <v>5.61</v>
      </c>
      <c r="H205" s="47">
        <v>120.1</v>
      </c>
      <c r="I205" s="47" t="s">
        <v>62</v>
      </c>
    </row>
    <row r="206" ht="15.75" customHeight="1">
      <c r="A206" s="47" t="s">
        <v>658</v>
      </c>
      <c r="B206" s="47" t="s">
        <v>659</v>
      </c>
      <c r="C206" s="47" t="s">
        <v>61</v>
      </c>
      <c r="D206" s="47" t="s">
        <v>123</v>
      </c>
      <c r="E206" s="47" t="s">
        <v>181</v>
      </c>
      <c r="F206" s="47">
        <v>306.0</v>
      </c>
      <c r="G206" s="47">
        <v>5.5</v>
      </c>
      <c r="H206" s="47">
        <v>55.6</v>
      </c>
      <c r="I206" s="47" t="s">
        <v>75</v>
      </c>
    </row>
    <row r="207" ht="15.75" customHeight="1">
      <c r="A207" s="47" t="s">
        <v>660</v>
      </c>
      <c r="B207" s="47" t="s">
        <v>661</v>
      </c>
      <c r="C207" s="47" t="s">
        <v>61</v>
      </c>
      <c r="D207" s="47" t="s">
        <v>140</v>
      </c>
      <c r="E207" s="47" t="s">
        <v>147</v>
      </c>
      <c r="F207" s="47">
        <v>61.0</v>
      </c>
      <c r="G207" s="47">
        <v>3.46</v>
      </c>
      <c r="H207" s="47">
        <v>17.6</v>
      </c>
      <c r="I207" s="47" t="s">
        <v>75</v>
      </c>
    </row>
    <row r="208" ht="15.75" customHeight="1">
      <c r="A208" s="47" t="s">
        <v>662</v>
      </c>
      <c r="B208" s="47" t="s">
        <v>663</v>
      </c>
      <c r="C208" s="47" t="s">
        <v>61</v>
      </c>
      <c r="D208" s="47" t="s">
        <v>86</v>
      </c>
      <c r="E208" s="47" t="s">
        <v>87</v>
      </c>
      <c r="F208" s="47">
        <v>851.0</v>
      </c>
      <c r="G208" s="47">
        <v>15.27</v>
      </c>
      <c r="H208" s="47">
        <v>55.7</v>
      </c>
      <c r="I208" s="47" t="s">
        <v>62</v>
      </c>
    </row>
    <row r="209" ht="15.75" customHeight="1">
      <c r="A209" s="47" t="s">
        <v>664</v>
      </c>
      <c r="B209" s="47" t="s">
        <v>665</v>
      </c>
      <c r="C209" s="47" t="s">
        <v>61</v>
      </c>
      <c r="D209" s="47" t="s">
        <v>102</v>
      </c>
      <c r="E209" s="47" t="s">
        <v>103</v>
      </c>
      <c r="F209" s="47">
        <v>332.0</v>
      </c>
      <c r="G209" s="47">
        <v>7.32</v>
      </c>
      <c r="H209" s="47">
        <v>45.4</v>
      </c>
      <c r="I209" s="47" t="s">
        <v>75</v>
      </c>
    </row>
    <row r="210" ht="15.75" customHeight="1">
      <c r="A210" s="47" t="s">
        <v>666</v>
      </c>
      <c r="B210" s="47" t="s">
        <v>667</v>
      </c>
      <c r="C210" s="47" t="s">
        <v>61</v>
      </c>
      <c r="D210" s="47" t="s">
        <v>137</v>
      </c>
      <c r="E210" s="47" t="s">
        <v>138</v>
      </c>
      <c r="F210" s="47">
        <v>990.0</v>
      </c>
      <c r="G210" s="47">
        <v>11.38</v>
      </c>
      <c r="H210" s="47">
        <v>87.0</v>
      </c>
      <c r="I210" s="47" t="s">
        <v>62</v>
      </c>
    </row>
    <row r="211" ht="15.75" customHeight="1">
      <c r="A211" s="47" t="s">
        <v>668</v>
      </c>
      <c r="B211" s="47" t="s">
        <v>669</v>
      </c>
      <c r="C211" s="47" t="s">
        <v>61</v>
      </c>
      <c r="D211" s="47" t="s">
        <v>78</v>
      </c>
      <c r="E211" s="47" t="s">
        <v>79</v>
      </c>
      <c r="F211" s="47">
        <v>649.0</v>
      </c>
      <c r="G211" s="47">
        <v>6.08</v>
      </c>
      <c r="H211" s="47">
        <v>106.7</v>
      </c>
      <c r="I211" s="47" t="s">
        <v>62</v>
      </c>
    </row>
    <row r="212" ht="15.75" customHeight="1">
      <c r="A212" s="47" t="s">
        <v>670</v>
      </c>
      <c r="B212" s="47" t="s">
        <v>671</v>
      </c>
      <c r="C212" s="47" t="s">
        <v>61</v>
      </c>
      <c r="D212" s="47" t="s">
        <v>137</v>
      </c>
      <c r="E212" s="47" t="s">
        <v>138</v>
      </c>
      <c r="F212" s="47">
        <v>194.0</v>
      </c>
      <c r="G212" s="47">
        <v>6.12</v>
      </c>
      <c r="H212" s="47">
        <v>31.7</v>
      </c>
      <c r="I212" s="47" t="s">
        <v>75</v>
      </c>
    </row>
    <row r="213" ht="15.75" customHeight="1">
      <c r="A213" s="47" t="s">
        <v>672</v>
      </c>
      <c r="B213" s="47" t="s">
        <v>673</v>
      </c>
      <c r="C213" s="47" t="s">
        <v>61</v>
      </c>
      <c r="D213" s="47" t="s">
        <v>123</v>
      </c>
      <c r="E213" s="47" t="s">
        <v>181</v>
      </c>
      <c r="F213" s="47">
        <v>443.0</v>
      </c>
      <c r="G213" s="47">
        <v>28.72</v>
      </c>
      <c r="H213" s="47">
        <v>15.4</v>
      </c>
      <c r="I213" s="47" t="s">
        <v>75</v>
      </c>
    </row>
    <row r="214" ht="15.75" customHeight="1">
      <c r="A214" s="47" t="s">
        <v>674</v>
      </c>
      <c r="B214" s="47" t="s">
        <v>675</v>
      </c>
      <c r="C214" s="47" t="s">
        <v>61</v>
      </c>
      <c r="D214" s="47" t="s">
        <v>182</v>
      </c>
      <c r="E214" s="47" t="s">
        <v>357</v>
      </c>
      <c r="F214" s="47">
        <v>161.0</v>
      </c>
      <c r="G214" s="47">
        <v>7.82</v>
      </c>
      <c r="H214" s="47">
        <v>20.6</v>
      </c>
      <c r="I214" s="47" t="s">
        <v>75</v>
      </c>
    </row>
    <row r="215" ht="15.75" customHeight="1">
      <c r="A215" s="47" t="s">
        <v>676</v>
      </c>
      <c r="B215" s="47" t="s">
        <v>677</v>
      </c>
      <c r="C215" s="47" t="s">
        <v>61</v>
      </c>
      <c r="D215" s="47" t="s">
        <v>50</v>
      </c>
      <c r="E215" s="47" t="s">
        <v>49</v>
      </c>
      <c r="F215" s="47">
        <v>39.0</v>
      </c>
      <c r="G215" s="47">
        <v>3.17</v>
      </c>
      <c r="H215" s="47">
        <v>12.3</v>
      </c>
      <c r="I215" s="47" t="s">
        <v>75</v>
      </c>
    </row>
    <row r="216" ht="15.75" customHeight="1">
      <c r="A216" s="47" t="s">
        <v>678</v>
      </c>
      <c r="B216" s="47" t="s">
        <v>679</v>
      </c>
      <c r="C216" s="47" t="s">
        <v>61</v>
      </c>
      <c r="D216" s="47" t="s">
        <v>123</v>
      </c>
      <c r="E216" s="47" t="s">
        <v>181</v>
      </c>
      <c r="F216" s="47">
        <v>304.0</v>
      </c>
      <c r="G216" s="47">
        <v>14.05</v>
      </c>
      <c r="H216" s="47">
        <v>21.6</v>
      </c>
      <c r="I216" s="47" t="s">
        <v>75</v>
      </c>
    </row>
    <row r="217" ht="15.75" customHeight="1">
      <c r="A217" s="47" t="s">
        <v>680</v>
      </c>
      <c r="B217" s="47" t="s">
        <v>681</v>
      </c>
      <c r="C217" s="47" t="s">
        <v>61</v>
      </c>
      <c r="D217" s="47" t="s">
        <v>90</v>
      </c>
      <c r="E217" s="47" t="s">
        <v>91</v>
      </c>
      <c r="F217" s="47">
        <v>352.0</v>
      </c>
      <c r="G217" s="47">
        <v>8.98</v>
      </c>
      <c r="H217" s="47">
        <v>39.2</v>
      </c>
      <c r="I217" s="47" t="s">
        <v>75</v>
      </c>
    </row>
    <row r="218" ht="15.75" customHeight="1">
      <c r="A218" s="47" t="s">
        <v>682</v>
      </c>
      <c r="B218" s="47" t="s">
        <v>683</v>
      </c>
      <c r="C218" s="47" t="s">
        <v>61</v>
      </c>
      <c r="D218" s="47" t="s">
        <v>123</v>
      </c>
      <c r="E218" s="47" t="s">
        <v>181</v>
      </c>
      <c r="F218" s="47">
        <v>82.0</v>
      </c>
      <c r="G218" s="47">
        <v>2.76</v>
      </c>
      <c r="H218" s="47">
        <v>29.7</v>
      </c>
      <c r="I218" s="47" t="s">
        <v>75</v>
      </c>
    </row>
    <row r="219" ht="15.75" customHeight="1">
      <c r="A219" s="47" t="s">
        <v>684</v>
      </c>
      <c r="B219" s="47" t="s">
        <v>685</v>
      </c>
      <c r="C219" s="47" t="s">
        <v>61</v>
      </c>
      <c r="D219" s="47" t="s">
        <v>67</v>
      </c>
      <c r="E219" s="47" t="s">
        <v>68</v>
      </c>
      <c r="F219" s="47">
        <v>1808.0</v>
      </c>
      <c r="G219" s="47">
        <v>6.74</v>
      </c>
      <c r="H219" s="47">
        <v>268.2</v>
      </c>
      <c r="I219" s="47" t="s">
        <v>62</v>
      </c>
    </row>
    <row r="220" ht="15.75" customHeight="1">
      <c r="A220" s="47" t="s">
        <v>686</v>
      </c>
      <c r="B220" s="47" t="s">
        <v>687</v>
      </c>
      <c r="C220" s="47" t="s">
        <v>61</v>
      </c>
      <c r="D220" s="47" t="s">
        <v>123</v>
      </c>
      <c r="E220" s="47" t="s">
        <v>181</v>
      </c>
      <c r="F220" s="47">
        <v>126.0</v>
      </c>
      <c r="G220" s="47">
        <v>10.13</v>
      </c>
      <c r="H220" s="47">
        <v>12.4</v>
      </c>
      <c r="I220" s="47" t="s">
        <v>75</v>
      </c>
    </row>
    <row r="221" ht="15.75" customHeight="1">
      <c r="A221" s="47" t="s">
        <v>688</v>
      </c>
      <c r="B221" s="47" t="s">
        <v>689</v>
      </c>
      <c r="C221" s="47" t="s">
        <v>61</v>
      </c>
      <c r="D221" s="47" t="s">
        <v>123</v>
      </c>
      <c r="E221" s="47" t="s">
        <v>181</v>
      </c>
      <c r="F221" s="47">
        <v>361.0</v>
      </c>
      <c r="G221" s="47">
        <v>5.97</v>
      </c>
      <c r="H221" s="47">
        <v>60.5</v>
      </c>
      <c r="I221" s="47" t="s">
        <v>75</v>
      </c>
    </row>
    <row r="222" ht="15.75" customHeight="1">
      <c r="A222" s="47" t="s">
        <v>690</v>
      </c>
      <c r="B222" s="47" t="s">
        <v>691</v>
      </c>
      <c r="C222" s="47" t="s">
        <v>61</v>
      </c>
      <c r="D222" s="47" t="s">
        <v>78</v>
      </c>
      <c r="E222" s="47" t="s">
        <v>79</v>
      </c>
      <c r="F222" s="47">
        <v>78.0</v>
      </c>
      <c r="G222" s="47">
        <v>4.24</v>
      </c>
      <c r="H222" s="47">
        <v>18.4</v>
      </c>
      <c r="I222" s="47" t="s">
        <v>75</v>
      </c>
    </row>
    <row r="223" ht="15.75" customHeight="1">
      <c r="A223" s="47" t="s">
        <v>692</v>
      </c>
      <c r="B223" s="47" t="s">
        <v>693</v>
      </c>
      <c r="C223" s="47" t="s">
        <v>61</v>
      </c>
      <c r="D223" s="47" t="s">
        <v>90</v>
      </c>
      <c r="E223" s="47" t="s">
        <v>91</v>
      </c>
      <c r="F223" s="47">
        <v>174.0</v>
      </c>
      <c r="G223" s="47">
        <v>7.49</v>
      </c>
      <c r="H223" s="47">
        <v>23.2</v>
      </c>
      <c r="I223" s="47" t="s">
        <v>75</v>
      </c>
    </row>
    <row r="224" ht="15.75" customHeight="1">
      <c r="A224" s="47" t="s">
        <v>694</v>
      </c>
      <c r="B224" s="47" t="s">
        <v>695</v>
      </c>
      <c r="C224" s="47" t="s">
        <v>61</v>
      </c>
      <c r="D224" s="47" t="s">
        <v>73</v>
      </c>
      <c r="E224" s="47" t="s">
        <v>74</v>
      </c>
      <c r="F224" s="47">
        <v>926.0</v>
      </c>
      <c r="G224" s="47">
        <v>13.59</v>
      </c>
      <c r="H224" s="47">
        <v>68.1</v>
      </c>
      <c r="I224" s="47" t="s">
        <v>62</v>
      </c>
    </row>
    <row r="225" ht="15.75" customHeight="1">
      <c r="A225" s="47" t="s">
        <v>696</v>
      </c>
      <c r="B225" s="47" t="s">
        <v>697</v>
      </c>
      <c r="C225" s="47" t="s">
        <v>61</v>
      </c>
      <c r="D225" s="47" t="s">
        <v>102</v>
      </c>
      <c r="E225" s="47" t="s">
        <v>103</v>
      </c>
      <c r="F225" s="47">
        <v>366.0</v>
      </c>
      <c r="G225" s="47">
        <v>24.58</v>
      </c>
      <c r="H225" s="47">
        <v>14.9</v>
      </c>
      <c r="I225" s="47" t="s">
        <v>75</v>
      </c>
    </row>
    <row r="226" ht="15.75" customHeight="1">
      <c r="A226" s="47" t="s">
        <v>698</v>
      </c>
      <c r="B226" s="47" t="s">
        <v>699</v>
      </c>
      <c r="C226" s="47" t="s">
        <v>61</v>
      </c>
      <c r="D226" s="47" t="s">
        <v>106</v>
      </c>
      <c r="E226" s="47" t="s">
        <v>107</v>
      </c>
      <c r="F226" s="47">
        <v>127.0</v>
      </c>
      <c r="G226" s="47">
        <v>8.17</v>
      </c>
      <c r="H226" s="47">
        <v>15.5</v>
      </c>
      <c r="I226" s="47" t="s">
        <v>75</v>
      </c>
    </row>
    <row r="227" ht="15.75" customHeight="1">
      <c r="A227" s="47" t="s">
        <v>700</v>
      </c>
      <c r="B227" s="47" t="s">
        <v>701</v>
      </c>
      <c r="C227" s="47" t="s">
        <v>61</v>
      </c>
      <c r="D227" s="47" t="s">
        <v>86</v>
      </c>
      <c r="E227" s="47" t="s">
        <v>87</v>
      </c>
      <c r="F227" s="47">
        <v>84.0</v>
      </c>
      <c r="G227" s="47">
        <v>8.67</v>
      </c>
      <c r="H227" s="47">
        <v>9.7</v>
      </c>
      <c r="I227" s="47" t="s">
        <v>75</v>
      </c>
    </row>
    <row r="228" ht="15.75" customHeight="1">
      <c r="A228" s="47" t="s">
        <v>702</v>
      </c>
      <c r="B228" s="47" t="s">
        <v>703</v>
      </c>
      <c r="C228" s="47" t="s">
        <v>61</v>
      </c>
      <c r="D228" s="47" t="s">
        <v>86</v>
      </c>
      <c r="E228" s="47" t="s">
        <v>87</v>
      </c>
      <c r="F228" s="47">
        <v>119.0</v>
      </c>
      <c r="G228" s="47">
        <v>5.96</v>
      </c>
      <c r="H228" s="47">
        <v>20.0</v>
      </c>
      <c r="I228" s="47" t="s">
        <v>75</v>
      </c>
    </row>
    <row r="229" ht="15.75" customHeight="1">
      <c r="A229" s="47" t="s">
        <v>704</v>
      </c>
      <c r="B229" s="47" t="s">
        <v>705</v>
      </c>
      <c r="C229" s="47" t="s">
        <v>61</v>
      </c>
      <c r="D229" s="47" t="s">
        <v>137</v>
      </c>
      <c r="E229" s="47" t="s">
        <v>138</v>
      </c>
      <c r="F229" s="47">
        <v>335.0</v>
      </c>
      <c r="G229" s="47">
        <v>11.81</v>
      </c>
      <c r="H229" s="47">
        <v>28.4</v>
      </c>
      <c r="I229" s="47" t="s">
        <v>75</v>
      </c>
    </row>
    <row r="230" ht="15.75" customHeight="1">
      <c r="A230" s="47" t="s">
        <v>706</v>
      </c>
      <c r="B230" s="47" t="s">
        <v>707</v>
      </c>
      <c r="C230" s="47" t="s">
        <v>61</v>
      </c>
      <c r="D230" s="47" t="s">
        <v>73</v>
      </c>
      <c r="E230" s="47" t="s">
        <v>74</v>
      </c>
      <c r="F230" s="47">
        <v>1472.0</v>
      </c>
      <c r="G230" s="47">
        <v>18.08</v>
      </c>
      <c r="H230" s="47">
        <v>81.4</v>
      </c>
      <c r="I230" s="47" t="s">
        <v>62</v>
      </c>
    </row>
    <row r="231" ht="15.75" customHeight="1">
      <c r="A231" s="47" t="s">
        <v>708</v>
      </c>
      <c r="B231" s="47" t="s">
        <v>709</v>
      </c>
      <c r="C231" s="47" t="s">
        <v>61</v>
      </c>
      <c r="D231" s="47" t="s">
        <v>136</v>
      </c>
      <c r="E231" s="47" t="s">
        <v>189</v>
      </c>
      <c r="F231" s="47">
        <v>1812.0</v>
      </c>
      <c r="G231" s="47">
        <v>27.77</v>
      </c>
      <c r="H231" s="47">
        <v>65.3</v>
      </c>
      <c r="I231" s="47" t="s">
        <v>62</v>
      </c>
    </row>
    <row r="232" ht="15.75" customHeight="1">
      <c r="A232" s="47" t="s">
        <v>710</v>
      </c>
      <c r="B232" s="47" t="s">
        <v>711</v>
      </c>
      <c r="C232" s="47" t="s">
        <v>61</v>
      </c>
      <c r="D232" s="47" t="s">
        <v>123</v>
      </c>
      <c r="E232" s="47" t="s">
        <v>181</v>
      </c>
      <c r="F232" s="47">
        <v>1166.0</v>
      </c>
      <c r="G232" s="47">
        <v>7.11</v>
      </c>
      <c r="H232" s="47">
        <v>164.0</v>
      </c>
      <c r="I232" s="47" t="s">
        <v>62</v>
      </c>
    </row>
    <row r="233" ht="15.75" customHeight="1">
      <c r="A233" s="47" t="s">
        <v>712</v>
      </c>
      <c r="B233" s="47" t="s">
        <v>713</v>
      </c>
      <c r="C233" s="47" t="s">
        <v>61</v>
      </c>
      <c r="D233" s="47" t="s">
        <v>198</v>
      </c>
      <c r="E233" s="47" t="s">
        <v>217</v>
      </c>
      <c r="F233" s="47">
        <v>183.0</v>
      </c>
      <c r="G233" s="47">
        <v>9.44</v>
      </c>
      <c r="H233" s="47">
        <v>19.4</v>
      </c>
      <c r="I233" s="47" t="s">
        <v>75</v>
      </c>
    </row>
    <row r="234" ht="15.75" customHeight="1">
      <c r="A234" s="47" t="s">
        <v>714</v>
      </c>
      <c r="B234" s="47" t="s">
        <v>715</v>
      </c>
      <c r="C234" s="47" t="s">
        <v>61</v>
      </c>
      <c r="D234" s="47" t="s">
        <v>123</v>
      </c>
      <c r="E234" s="47" t="s">
        <v>181</v>
      </c>
      <c r="F234" s="47">
        <v>87.0</v>
      </c>
      <c r="G234" s="47">
        <v>10.57</v>
      </c>
      <c r="H234" s="47">
        <v>8.2</v>
      </c>
      <c r="I234" s="47" t="s">
        <v>75</v>
      </c>
    </row>
    <row r="235" ht="15.75" customHeight="1">
      <c r="A235" s="47" t="s">
        <v>716</v>
      </c>
      <c r="B235" s="47" t="s">
        <v>717</v>
      </c>
      <c r="C235" s="47" t="s">
        <v>61</v>
      </c>
      <c r="D235" s="47" t="s">
        <v>182</v>
      </c>
      <c r="E235" s="47" t="s">
        <v>357</v>
      </c>
      <c r="F235" s="47">
        <v>591.0</v>
      </c>
      <c r="G235" s="47">
        <v>4.34</v>
      </c>
      <c r="H235" s="47">
        <v>136.2</v>
      </c>
      <c r="I235" s="47" t="s">
        <v>62</v>
      </c>
    </row>
    <row r="236" ht="15.75" customHeight="1">
      <c r="A236" s="47" t="s">
        <v>718</v>
      </c>
      <c r="B236" s="47" t="s">
        <v>719</v>
      </c>
      <c r="C236" s="47" t="s">
        <v>61</v>
      </c>
      <c r="D236" s="47" t="s">
        <v>67</v>
      </c>
      <c r="E236" s="47" t="s">
        <v>68</v>
      </c>
      <c r="F236" s="47">
        <v>3049.0</v>
      </c>
      <c r="G236" s="47">
        <v>10.37</v>
      </c>
      <c r="H236" s="47">
        <v>294.0</v>
      </c>
      <c r="I236" s="47" t="s">
        <v>142</v>
      </c>
    </row>
    <row r="237" ht="15.75" customHeight="1">
      <c r="A237" s="47" t="s">
        <v>720</v>
      </c>
      <c r="B237" s="47" t="s">
        <v>721</v>
      </c>
      <c r="C237" s="47" t="s">
        <v>61</v>
      </c>
      <c r="D237" s="47" t="s">
        <v>82</v>
      </c>
      <c r="E237" s="47" t="s">
        <v>83</v>
      </c>
      <c r="F237" s="47">
        <v>64.0</v>
      </c>
      <c r="G237" s="47">
        <v>3.49</v>
      </c>
      <c r="H237" s="47">
        <v>18.3</v>
      </c>
      <c r="I237" s="47" t="s">
        <v>75</v>
      </c>
    </row>
    <row r="238" ht="15.75" customHeight="1">
      <c r="A238" s="47" t="s">
        <v>722</v>
      </c>
      <c r="B238" s="47" t="s">
        <v>723</v>
      </c>
      <c r="C238" s="47" t="s">
        <v>61</v>
      </c>
      <c r="D238" s="47" t="s">
        <v>67</v>
      </c>
      <c r="E238" s="47" t="s">
        <v>68</v>
      </c>
      <c r="F238" s="47">
        <v>1733.0</v>
      </c>
      <c r="G238" s="47">
        <v>5.02</v>
      </c>
      <c r="H238" s="47">
        <v>345.2</v>
      </c>
      <c r="I238" s="47" t="s">
        <v>62</v>
      </c>
    </row>
    <row r="239" ht="15.75" customHeight="1">
      <c r="A239" s="47" t="s">
        <v>724</v>
      </c>
      <c r="B239" s="47" t="s">
        <v>725</v>
      </c>
      <c r="C239" s="47" t="s">
        <v>61</v>
      </c>
      <c r="D239" s="47" t="s">
        <v>140</v>
      </c>
      <c r="E239" s="47" t="s">
        <v>147</v>
      </c>
      <c r="F239" s="47">
        <v>607.0</v>
      </c>
      <c r="G239" s="47">
        <v>9.38</v>
      </c>
      <c r="H239" s="47">
        <v>64.7</v>
      </c>
      <c r="I239" s="47" t="s">
        <v>62</v>
      </c>
    </row>
    <row r="240" ht="15.75" customHeight="1">
      <c r="A240" s="47" t="s">
        <v>726</v>
      </c>
      <c r="B240" s="47" t="s">
        <v>727</v>
      </c>
      <c r="C240" s="47" t="s">
        <v>61</v>
      </c>
      <c r="D240" s="47" t="s">
        <v>73</v>
      </c>
      <c r="E240" s="47" t="s">
        <v>74</v>
      </c>
      <c r="F240" s="47">
        <v>152.0</v>
      </c>
      <c r="G240" s="47">
        <v>6.6</v>
      </c>
      <c r="H240" s="47">
        <v>23.0</v>
      </c>
      <c r="I240" s="47" t="s">
        <v>75</v>
      </c>
    </row>
    <row r="241" ht="15.75" customHeight="1">
      <c r="A241" s="47" t="s">
        <v>728</v>
      </c>
      <c r="B241" s="47" t="s">
        <v>729</v>
      </c>
      <c r="C241" s="47" t="s">
        <v>61</v>
      </c>
      <c r="D241" s="47" t="s">
        <v>106</v>
      </c>
      <c r="E241" s="47" t="s">
        <v>107</v>
      </c>
      <c r="F241" s="47">
        <v>102.0</v>
      </c>
      <c r="G241" s="47">
        <v>8.56</v>
      </c>
      <c r="H241" s="47">
        <v>11.9</v>
      </c>
      <c r="I241" s="47" t="s">
        <v>75</v>
      </c>
    </row>
    <row r="242" ht="15.75" customHeight="1">
      <c r="A242" s="47" t="s">
        <v>730</v>
      </c>
      <c r="B242" s="47" t="s">
        <v>731</v>
      </c>
      <c r="C242" s="47" t="s">
        <v>61</v>
      </c>
      <c r="D242" s="47" t="s">
        <v>86</v>
      </c>
      <c r="E242" s="47" t="s">
        <v>87</v>
      </c>
      <c r="F242" s="47">
        <v>84.0</v>
      </c>
      <c r="G242" s="47">
        <v>5.21</v>
      </c>
      <c r="H242" s="47">
        <v>16.1</v>
      </c>
      <c r="I242" s="47" t="s">
        <v>75</v>
      </c>
    </row>
    <row r="243" ht="15.75" customHeight="1">
      <c r="A243" s="47" t="s">
        <v>732</v>
      </c>
      <c r="B243" s="47" t="s">
        <v>733</v>
      </c>
      <c r="C243" s="47" t="s">
        <v>61</v>
      </c>
      <c r="D243" s="47" t="s">
        <v>166</v>
      </c>
      <c r="E243" s="47" t="s">
        <v>168</v>
      </c>
      <c r="F243" s="47">
        <v>28.0</v>
      </c>
      <c r="G243" s="47">
        <v>4.85</v>
      </c>
      <c r="H243" s="47">
        <v>5.8</v>
      </c>
      <c r="I243" s="47" t="s">
        <v>75</v>
      </c>
    </row>
    <row r="244" ht="15.75" customHeight="1">
      <c r="A244" s="47" t="s">
        <v>734</v>
      </c>
      <c r="B244" s="47" t="s">
        <v>735</v>
      </c>
      <c r="C244" s="47" t="s">
        <v>61</v>
      </c>
      <c r="D244" s="47" t="s">
        <v>86</v>
      </c>
      <c r="E244" s="47" t="s">
        <v>87</v>
      </c>
      <c r="F244" s="47">
        <v>72.0</v>
      </c>
      <c r="G244" s="47">
        <v>4.95</v>
      </c>
      <c r="H244" s="47">
        <v>14.5</v>
      </c>
      <c r="I244" s="47" t="s">
        <v>75</v>
      </c>
    </row>
    <row r="245" ht="15.75" customHeight="1">
      <c r="A245" s="47" t="s">
        <v>736</v>
      </c>
      <c r="B245" s="47" t="s">
        <v>737</v>
      </c>
      <c r="C245" s="47" t="s">
        <v>61</v>
      </c>
      <c r="D245" s="47" t="s">
        <v>67</v>
      </c>
      <c r="E245" s="47" t="s">
        <v>68</v>
      </c>
      <c r="F245" s="47">
        <v>361.0</v>
      </c>
      <c r="G245" s="47">
        <v>9.1</v>
      </c>
      <c r="H245" s="47">
        <v>39.7</v>
      </c>
      <c r="I245" s="47" t="s">
        <v>75</v>
      </c>
    </row>
    <row r="246" ht="15.75" customHeight="1">
      <c r="A246" s="47" t="s">
        <v>738</v>
      </c>
      <c r="B246" s="47" t="s">
        <v>739</v>
      </c>
      <c r="C246" s="47" t="s">
        <v>61</v>
      </c>
      <c r="D246" s="47" t="s">
        <v>102</v>
      </c>
      <c r="E246" s="47" t="s">
        <v>103</v>
      </c>
      <c r="F246" s="47">
        <v>126.0</v>
      </c>
      <c r="G246" s="47">
        <v>4.81</v>
      </c>
      <c r="H246" s="47">
        <v>26.2</v>
      </c>
      <c r="I246" s="47" t="s">
        <v>75</v>
      </c>
    </row>
    <row r="247" ht="15.75" customHeight="1">
      <c r="A247" s="47" t="s">
        <v>740</v>
      </c>
      <c r="B247" s="47" t="s">
        <v>741</v>
      </c>
      <c r="C247" s="47" t="s">
        <v>61</v>
      </c>
      <c r="D247" s="47" t="s">
        <v>90</v>
      </c>
      <c r="E247" s="47" t="s">
        <v>91</v>
      </c>
      <c r="F247" s="47">
        <v>161.0</v>
      </c>
      <c r="G247" s="47">
        <v>4.39</v>
      </c>
      <c r="H247" s="47">
        <v>36.7</v>
      </c>
      <c r="I247" s="47" t="s">
        <v>75</v>
      </c>
    </row>
    <row r="248" ht="15.75" customHeight="1">
      <c r="A248" s="47" t="s">
        <v>742</v>
      </c>
      <c r="B248" s="47" t="s">
        <v>743</v>
      </c>
      <c r="C248" s="47" t="s">
        <v>61</v>
      </c>
      <c r="D248" s="47" t="s">
        <v>166</v>
      </c>
      <c r="E248" s="47" t="s">
        <v>168</v>
      </c>
      <c r="F248" s="47">
        <v>123.0</v>
      </c>
      <c r="G248" s="47">
        <v>10.04</v>
      </c>
      <c r="H248" s="47">
        <v>12.3</v>
      </c>
      <c r="I248" s="47" t="s">
        <v>75</v>
      </c>
    </row>
    <row r="249" ht="15.75" customHeight="1">
      <c r="A249" s="47" t="s">
        <v>744</v>
      </c>
      <c r="B249" s="47" t="s">
        <v>745</v>
      </c>
      <c r="C249" s="47" t="s">
        <v>61</v>
      </c>
      <c r="D249" s="47" t="s">
        <v>140</v>
      </c>
      <c r="E249" s="47" t="s">
        <v>147</v>
      </c>
      <c r="F249" s="47">
        <v>424.0</v>
      </c>
      <c r="G249" s="47">
        <v>5.76</v>
      </c>
      <c r="H249" s="47">
        <v>73.6</v>
      </c>
      <c r="I249" s="47" t="s">
        <v>75</v>
      </c>
    </row>
    <row r="250" ht="15.75" customHeight="1">
      <c r="A250" s="47" t="s">
        <v>746</v>
      </c>
      <c r="B250" s="47" t="s">
        <v>747</v>
      </c>
      <c r="C250" s="47" t="s">
        <v>61</v>
      </c>
      <c r="D250" s="47" t="s">
        <v>102</v>
      </c>
      <c r="E250" s="47" t="s">
        <v>103</v>
      </c>
      <c r="F250" s="47">
        <v>378.0</v>
      </c>
      <c r="G250" s="47">
        <v>8.1</v>
      </c>
      <c r="H250" s="47">
        <v>46.7</v>
      </c>
      <c r="I250" s="47" t="s">
        <v>75</v>
      </c>
    </row>
    <row r="251" ht="15.75" customHeight="1">
      <c r="A251" s="47" t="s">
        <v>748</v>
      </c>
      <c r="B251" s="47" t="s">
        <v>749</v>
      </c>
      <c r="C251" s="47" t="s">
        <v>61</v>
      </c>
      <c r="D251" s="47" t="s">
        <v>102</v>
      </c>
      <c r="E251" s="47" t="s">
        <v>103</v>
      </c>
      <c r="F251" s="47">
        <v>370.0</v>
      </c>
      <c r="G251" s="47">
        <v>8.15</v>
      </c>
      <c r="H251" s="47">
        <v>45.4</v>
      </c>
      <c r="I251" s="47" t="s">
        <v>75</v>
      </c>
    </row>
    <row r="252" ht="15.75" customHeight="1">
      <c r="A252" s="47" t="s">
        <v>750</v>
      </c>
      <c r="B252" s="47" t="s">
        <v>751</v>
      </c>
      <c r="C252" s="47" t="s">
        <v>61</v>
      </c>
      <c r="D252" s="47" t="s">
        <v>50</v>
      </c>
      <c r="E252" s="47" t="s">
        <v>49</v>
      </c>
      <c r="F252" s="47">
        <v>609.0</v>
      </c>
      <c r="G252" s="47">
        <v>4.54</v>
      </c>
      <c r="H252" s="47">
        <v>134.1</v>
      </c>
      <c r="I252" s="47" t="s">
        <v>62</v>
      </c>
    </row>
    <row r="253" ht="15.75" customHeight="1">
      <c r="A253" s="47" t="s">
        <v>752</v>
      </c>
      <c r="B253" s="47" t="s">
        <v>753</v>
      </c>
      <c r="C253" s="47" t="s">
        <v>61</v>
      </c>
      <c r="D253" s="47" t="s">
        <v>73</v>
      </c>
      <c r="E253" s="47" t="s">
        <v>74</v>
      </c>
      <c r="F253" s="47">
        <v>392.0</v>
      </c>
      <c r="G253" s="47">
        <v>11.45</v>
      </c>
      <c r="H253" s="47">
        <v>34.2</v>
      </c>
      <c r="I253" s="47" t="s">
        <v>75</v>
      </c>
    </row>
    <row r="254" ht="15.75" customHeight="1">
      <c r="A254" s="47" t="s">
        <v>754</v>
      </c>
      <c r="B254" s="47" t="s">
        <v>755</v>
      </c>
      <c r="C254" s="47" t="s">
        <v>61</v>
      </c>
      <c r="D254" s="47" t="s">
        <v>50</v>
      </c>
      <c r="E254" s="47" t="s">
        <v>49</v>
      </c>
      <c r="F254" s="47">
        <v>208.0</v>
      </c>
      <c r="G254" s="47">
        <v>3.78</v>
      </c>
      <c r="H254" s="47">
        <v>55.0</v>
      </c>
      <c r="I254" s="47" t="s">
        <v>75</v>
      </c>
    </row>
    <row r="255" ht="15.75" customHeight="1">
      <c r="A255" s="47" t="s">
        <v>756</v>
      </c>
      <c r="B255" s="47" t="s">
        <v>757</v>
      </c>
      <c r="C255" s="47" t="s">
        <v>61</v>
      </c>
      <c r="D255" s="47" t="s">
        <v>90</v>
      </c>
      <c r="E255" s="47" t="s">
        <v>91</v>
      </c>
      <c r="F255" s="47">
        <v>114.0</v>
      </c>
      <c r="G255" s="47">
        <v>6.88</v>
      </c>
      <c r="H255" s="47">
        <v>16.6</v>
      </c>
      <c r="I255" s="47" t="s">
        <v>75</v>
      </c>
    </row>
    <row r="256" ht="15.75" customHeight="1">
      <c r="A256" s="47" t="s">
        <v>758</v>
      </c>
      <c r="B256" s="47" t="s">
        <v>759</v>
      </c>
      <c r="C256" s="47" t="s">
        <v>61</v>
      </c>
      <c r="D256" s="47" t="s">
        <v>166</v>
      </c>
      <c r="E256" s="47" t="s">
        <v>168</v>
      </c>
      <c r="F256" s="47">
        <v>717.0</v>
      </c>
      <c r="G256" s="47">
        <v>20.02</v>
      </c>
      <c r="H256" s="47">
        <v>35.8</v>
      </c>
      <c r="I256" s="47" t="s">
        <v>62</v>
      </c>
    </row>
    <row r="257" ht="15.75" customHeight="1">
      <c r="A257" s="47" t="s">
        <v>760</v>
      </c>
      <c r="B257" s="47" t="s">
        <v>761</v>
      </c>
      <c r="C257" s="47" t="s">
        <v>61</v>
      </c>
      <c r="D257" s="47" t="s">
        <v>166</v>
      </c>
      <c r="E257" s="47" t="s">
        <v>168</v>
      </c>
      <c r="F257" s="47">
        <v>84.0</v>
      </c>
      <c r="G257" s="47">
        <v>8.2</v>
      </c>
      <c r="H257" s="47">
        <v>10.2</v>
      </c>
      <c r="I257" s="47" t="s">
        <v>75</v>
      </c>
    </row>
    <row r="258" ht="15.75" customHeight="1">
      <c r="A258" s="47" t="s">
        <v>762</v>
      </c>
      <c r="B258" s="47" t="s">
        <v>763</v>
      </c>
      <c r="C258" s="47" t="s">
        <v>61</v>
      </c>
      <c r="D258" s="47" t="s">
        <v>166</v>
      </c>
      <c r="E258" s="47" t="s">
        <v>168</v>
      </c>
      <c r="F258" s="47">
        <v>30.0</v>
      </c>
      <c r="G258" s="47">
        <v>3.18</v>
      </c>
      <c r="H258" s="47">
        <v>9.4</v>
      </c>
      <c r="I258" s="47" t="s">
        <v>75</v>
      </c>
    </row>
    <row r="259" ht="15.75" customHeight="1">
      <c r="A259" s="47" t="s">
        <v>764</v>
      </c>
      <c r="B259" s="47" t="s">
        <v>765</v>
      </c>
      <c r="C259" s="47" t="s">
        <v>61</v>
      </c>
      <c r="D259" s="47" t="s">
        <v>102</v>
      </c>
      <c r="E259" s="47" t="s">
        <v>103</v>
      </c>
      <c r="F259" s="47">
        <v>287.0</v>
      </c>
      <c r="G259" s="47">
        <v>7.25</v>
      </c>
      <c r="H259" s="47">
        <v>39.6</v>
      </c>
      <c r="I259" s="47" t="s">
        <v>75</v>
      </c>
    </row>
    <row r="260" ht="15.75" customHeight="1">
      <c r="A260" s="47" t="s">
        <v>766</v>
      </c>
      <c r="B260" s="47" t="s">
        <v>767</v>
      </c>
      <c r="C260" s="47" t="s">
        <v>61</v>
      </c>
      <c r="D260" s="47" t="s">
        <v>182</v>
      </c>
      <c r="E260" s="47" t="s">
        <v>357</v>
      </c>
      <c r="F260" s="47">
        <v>654.0</v>
      </c>
      <c r="G260" s="47">
        <v>4.53</v>
      </c>
      <c r="H260" s="47">
        <v>144.4</v>
      </c>
      <c r="I260" s="47" t="s">
        <v>62</v>
      </c>
    </row>
    <row r="261" ht="15.75" customHeight="1">
      <c r="A261" s="47" t="s">
        <v>768</v>
      </c>
      <c r="B261" s="47" t="s">
        <v>769</v>
      </c>
      <c r="C261" s="47" t="s">
        <v>61</v>
      </c>
      <c r="D261" s="47" t="s">
        <v>165</v>
      </c>
      <c r="E261" s="47" t="s">
        <v>254</v>
      </c>
      <c r="F261" s="47">
        <v>148.0</v>
      </c>
      <c r="G261" s="47">
        <v>10.48</v>
      </c>
      <c r="H261" s="47">
        <v>14.1</v>
      </c>
      <c r="I261" s="47" t="s">
        <v>75</v>
      </c>
    </row>
    <row r="262" ht="15.75" customHeight="1">
      <c r="A262" s="47" t="s">
        <v>770</v>
      </c>
      <c r="B262" s="47" t="s">
        <v>771</v>
      </c>
      <c r="C262" s="47" t="s">
        <v>61</v>
      </c>
      <c r="D262" s="47" t="s">
        <v>198</v>
      </c>
      <c r="E262" s="47" t="s">
        <v>217</v>
      </c>
      <c r="F262" s="47">
        <v>153.0</v>
      </c>
      <c r="G262" s="47">
        <v>5.07</v>
      </c>
      <c r="H262" s="47">
        <v>30.2</v>
      </c>
      <c r="I262" s="47" t="s">
        <v>75</v>
      </c>
    </row>
    <row r="263" ht="15.75" customHeight="1">
      <c r="A263" s="47" t="s">
        <v>772</v>
      </c>
      <c r="B263" s="47" t="s">
        <v>773</v>
      </c>
      <c r="C263" s="47" t="s">
        <v>61</v>
      </c>
      <c r="D263" s="47" t="s">
        <v>123</v>
      </c>
      <c r="E263" s="47" t="s">
        <v>181</v>
      </c>
      <c r="F263" s="47">
        <v>134.0</v>
      </c>
      <c r="G263" s="47">
        <v>15.92</v>
      </c>
      <c r="H263" s="47">
        <v>8.4</v>
      </c>
      <c r="I263" s="47" t="s">
        <v>75</v>
      </c>
    </row>
    <row r="264" ht="15.75" customHeight="1">
      <c r="A264" s="47" t="s">
        <v>774</v>
      </c>
      <c r="B264" s="47" t="s">
        <v>775</v>
      </c>
      <c r="C264" s="47" t="s">
        <v>61</v>
      </c>
      <c r="D264" s="47" t="s">
        <v>106</v>
      </c>
      <c r="E264" s="47" t="s">
        <v>107</v>
      </c>
      <c r="F264" s="47">
        <v>75.0</v>
      </c>
      <c r="G264" s="47">
        <v>5.39</v>
      </c>
      <c r="H264" s="47">
        <v>13.9</v>
      </c>
      <c r="I264" s="47" t="s">
        <v>75</v>
      </c>
    </row>
    <row r="265" ht="15.75" customHeight="1">
      <c r="A265" s="47" t="s">
        <v>776</v>
      </c>
      <c r="B265" s="47" t="s">
        <v>777</v>
      </c>
      <c r="C265" s="47" t="s">
        <v>61</v>
      </c>
      <c r="D265" s="47" t="s">
        <v>140</v>
      </c>
      <c r="E265" s="47" t="s">
        <v>147</v>
      </c>
      <c r="F265" s="47">
        <v>191.0</v>
      </c>
      <c r="G265" s="47">
        <v>7.73</v>
      </c>
      <c r="H265" s="47">
        <v>24.7</v>
      </c>
      <c r="I265" s="47" t="s">
        <v>75</v>
      </c>
    </row>
    <row r="266" ht="15.75" customHeight="1">
      <c r="A266" s="47" t="s">
        <v>778</v>
      </c>
      <c r="B266" s="47" t="s">
        <v>779</v>
      </c>
      <c r="C266" s="47" t="s">
        <v>61</v>
      </c>
      <c r="D266" s="47" t="s">
        <v>78</v>
      </c>
      <c r="E266" s="47" t="s">
        <v>79</v>
      </c>
      <c r="F266" s="47">
        <v>164.0</v>
      </c>
      <c r="G266" s="47">
        <v>13.06</v>
      </c>
      <c r="H266" s="47">
        <v>12.6</v>
      </c>
      <c r="I266" s="47" t="s">
        <v>75</v>
      </c>
    </row>
    <row r="267" ht="15.75" customHeight="1">
      <c r="A267" s="47" t="s">
        <v>780</v>
      </c>
      <c r="B267" s="47" t="s">
        <v>781</v>
      </c>
      <c r="C267" s="47" t="s">
        <v>61</v>
      </c>
      <c r="D267" s="47" t="s">
        <v>156</v>
      </c>
      <c r="E267" s="47" t="s">
        <v>157</v>
      </c>
      <c r="F267" s="47">
        <v>307.0</v>
      </c>
      <c r="G267" s="47">
        <v>2.69</v>
      </c>
      <c r="H267" s="47">
        <v>114.1</v>
      </c>
      <c r="I267" s="47" t="s">
        <v>75</v>
      </c>
    </row>
    <row r="268" ht="15.75" customHeight="1">
      <c r="A268" s="47" t="s">
        <v>782</v>
      </c>
      <c r="B268" s="47" t="s">
        <v>783</v>
      </c>
      <c r="C268" s="47" t="s">
        <v>61</v>
      </c>
      <c r="D268" s="47" t="s">
        <v>165</v>
      </c>
      <c r="E268" s="47" t="s">
        <v>254</v>
      </c>
      <c r="F268" s="47">
        <v>122.0</v>
      </c>
      <c r="G268" s="47">
        <v>8.02</v>
      </c>
      <c r="H268" s="47">
        <v>15.2</v>
      </c>
      <c r="I268" s="47" t="s">
        <v>75</v>
      </c>
    </row>
    <row r="269" ht="15.75" customHeight="1">
      <c r="A269" s="47" t="s">
        <v>784</v>
      </c>
      <c r="B269" s="47" t="s">
        <v>785</v>
      </c>
      <c r="C269" s="47" t="s">
        <v>61</v>
      </c>
      <c r="D269" s="47" t="s">
        <v>102</v>
      </c>
      <c r="E269" s="47" t="s">
        <v>103</v>
      </c>
      <c r="F269" s="47">
        <v>337.0</v>
      </c>
      <c r="G269" s="47">
        <v>10.96</v>
      </c>
      <c r="H269" s="47">
        <v>30.7</v>
      </c>
      <c r="I269" s="47" t="s">
        <v>75</v>
      </c>
    </row>
    <row r="270" ht="15.75" customHeight="1">
      <c r="A270" s="47" t="s">
        <v>786</v>
      </c>
      <c r="B270" s="47" t="s">
        <v>787</v>
      </c>
      <c r="C270" s="47" t="s">
        <v>61</v>
      </c>
      <c r="D270" s="47" t="s">
        <v>156</v>
      </c>
      <c r="E270" s="47" t="s">
        <v>157</v>
      </c>
      <c r="F270" s="47">
        <v>38.0</v>
      </c>
      <c r="G270" s="47">
        <v>7.55</v>
      </c>
      <c r="H270" s="47">
        <v>5.0</v>
      </c>
      <c r="I270" s="47" t="s">
        <v>75</v>
      </c>
    </row>
    <row r="271" ht="15.75" customHeight="1">
      <c r="A271" s="47" t="s">
        <v>788</v>
      </c>
      <c r="B271" s="47" t="s">
        <v>789</v>
      </c>
      <c r="C271" s="47" t="s">
        <v>61</v>
      </c>
      <c r="D271" s="47" t="s">
        <v>123</v>
      </c>
      <c r="E271" s="47" t="s">
        <v>181</v>
      </c>
      <c r="F271" s="47">
        <v>534.0</v>
      </c>
      <c r="G271" s="47">
        <v>19.86</v>
      </c>
      <c r="H271" s="47">
        <v>26.9</v>
      </c>
      <c r="I271" s="47" t="s">
        <v>62</v>
      </c>
    </row>
    <row r="272" ht="15.75" customHeight="1">
      <c r="A272" s="47" t="s">
        <v>790</v>
      </c>
      <c r="B272" s="47" t="s">
        <v>791</v>
      </c>
      <c r="C272" s="47" t="s">
        <v>61</v>
      </c>
      <c r="D272" s="47" t="s">
        <v>123</v>
      </c>
      <c r="E272" s="47" t="s">
        <v>181</v>
      </c>
      <c r="F272" s="47">
        <v>395.0</v>
      </c>
      <c r="G272" s="47">
        <v>19.1</v>
      </c>
      <c r="H272" s="47">
        <v>20.7</v>
      </c>
      <c r="I272" s="47" t="s">
        <v>75</v>
      </c>
    </row>
    <row r="273" ht="15.75" customHeight="1">
      <c r="A273" s="47" t="s">
        <v>792</v>
      </c>
      <c r="B273" s="47" t="s">
        <v>793</v>
      </c>
      <c r="C273" s="47" t="s">
        <v>61</v>
      </c>
      <c r="D273" s="47" t="s">
        <v>182</v>
      </c>
      <c r="E273" s="47" t="s">
        <v>357</v>
      </c>
      <c r="F273" s="47">
        <v>241.0</v>
      </c>
      <c r="G273" s="47">
        <v>12.31</v>
      </c>
      <c r="H273" s="47">
        <v>19.6</v>
      </c>
      <c r="I273" s="47" t="s">
        <v>75</v>
      </c>
    </row>
    <row r="274" ht="15.75" customHeight="1">
      <c r="A274" s="47" t="s">
        <v>794</v>
      </c>
      <c r="B274" s="47" t="s">
        <v>795</v>
      </c>
      <c r="C274" s="47" t="s">
        <v>61</v>
      </c>
      <c r="D274" s="47" t="s">
        <v>136</v>
      </c>
      <c r="E274" s="47" t="s">
        <v>189</v>
      </c>
      <c r="F274" s="47">
        <v>438.0</v>
      </c>
      <c r="G274" s="47">
        <v>7.75</v>
      </c>
      <c r="H274" s="47">
        <v>56.5</v>
      </c>
      <c r="I274" s="47" t="s">
        <v>75</v>
      </c>
    </row>
    <row r="275" ht="15.75" customHeight="1">
      <c r="A275" s="47" t="s">
        <v>796</v>
      </c>
      <c r="B275" s="47" t="s">
        <v>797</v>
      </c>
      <c r="C275" s="47" t="s">
        <v>61</v>
      </c>
      <c r="D275" s="47" t="s">
        <v>73</v>
      </c>
      <c r="E275" s="47" t="s">
        <v>74</v>
      </c>
      <c r="F275" s="47">
        <v>278.0</v>
      </c>
      <c r="G275" s="47">
        <v>8.84</v>
      </c>
      <c r="H275" s="47">
        <v>31.4</v>
      </c>
      <c r="I275" s="47" t="s">
        <v>75</v>
      </c>
    </row>
    <row r="276" ht="15.75" customHeight="1">
      <c r="A276" s="47" t="s">
        <v>798</v>
      </c>
      <c r="B276" s="47" t="s">
        <v>799</v>
      </c>
      <c r="C276" s="47" t="s">
        <v>61</v>
      </c>
      <c r="D276" s="47" t="s">
        <v>165</v>
      </c>
      <c r="E276" s="47" t="s">
        <v>254</v>
      </c>
      <c r="F276" s="47">
        <v>98.0</v>
      </c>
      <c r="G276" s="47">
        <v>7.46</v>
      </c>
      <c r="H276" s="47">
        <v>13.1</v>
      </c>
      <c r="I276" s="47" t="s">
        <v>75</v>
      </c>
    </row>
    <row r="277" ht="15.75" customHeight="1">
      <c r="A277" s="47" t="s">
        <v>800</v>
      </c>
      <c r="B277" s="47" t="s">
        <v>801</v>
      </c>
      <c r="C277" s="47" t="s">
        <v>61</v>
      </c>
      <c r="D277" s="47" t="s">
        <v>165</v>
      </c>
      <c r="E277" s="47" t="s">
        <v>254</v>
      </c>
      <c r="F277" s="47">
        <v>847.0</v>
      </c>
      <c r="G277" s="47">
        <v>16.18</v>
      </c>
      <c r="H277" s="47">
        <v>52.3</v>
      </c>
      <c r="I277" s="47" t="s">
        <v>62</v>
      </c>
    </row>
    <row r="278" ht="15.75" customHeight="1">
      <c r="A278" s="47" t="s">
        <v>802</v>
      </c>
      <c r="B278" s="47" t="s">
        <v>803</v>
      </c>
      <c r="C278" s="47" t="s">
        <v>61</v>
      </c>
      <c r="D278" s="47" t="s">
        <v>94</v>
      </c>
      <c r="E278" s="47" t="s">
        <v>95</v>
      </c>
      <c r="F278" s="47">
        <v>1072.0</v>
      </c>
      <c r="G278" s="47">
        <v>13.32</v>
      </c>
      <c r="H278" s="47">
        <v>80.5</v>
      </c>
      <c r="I278" s="47" t="s">
        <v>62</v>
      </c>
    </row>
    <row r="279" ht="15.75" customHeight="1">
      <c r="A279" s="47" t="s">
        <v>804</v>
      </c>
      <c r="B279" s="47" t="s">
        <v>805</v>
      </c>
      <c r="C279" s="47" t="s">
        <v>61</v>
      </c>
      <c r="D279" s="47" t="s">
        <v>140</v>
      </c>
      <c r="E279" s="47" t="s">
        <v>147</v>
      </c>
      <c r="F279" s="47">
        <v>345.0</v>
      </c>
      <c r="G279" s="47">
        <v>4.61</v>
      </c>
      <c r="H279" s="47">
        <v>74.8</v>
      </c>
      <c r="I279" s="47" t="s">
        <v>75</v>
      </c>
    </row>
    <row r="280" ht="15.75" customHeight="1">
      <c r="A280" s="47" t="s">
        <v>806</v>
      </c>
      <c r="B280" s="47" t="s">
        <v>807</v>
      </c>
      <c r="C280" s="47" t="s">
        <v>61</v>
      </c>
      <c r="D280" s="47" t="s">
        <v>182</v>
      </c>
      <c r="E280" s="47" t="s">
        <v>357</v>
      </c>
      <c r="F280" s="47">
        <v>399.0</v>
      </c>
      <c r="G280" s="47">
        <v>7.54</v>
      </c>
      <c r="H280" s="47">
        <v>52.9</v>
      </c>
      <c r="I280" s="47" t="s">
        <v>75</v>
      </c>
    </row>
    <row r="281" ht="15.75" customHeight="1">
      <c r="A281" s="47" t="s">
        <v>808</v>
      </c>
      <c r="B281" s="47" t="s">
        <v>809</v>
      </c>
      <c r="C281" s="47" t="s">
        <v>61</v>
      </c>
      <c r="D281" s="47" t="s">
        <v>123</v>
      </c>
      <c r="E281" s="47" t="s">
        <v>181</v>
      </c>
      <c r="F281" s="47">
        <v>2691.0</v>
      </c>
      <c r="G281" s="47">
        <v>28.64</v>
      </c>
      <c r="H281" s="47">
        <v>94.0</v>
      </c>
      <c r="I281" s="47" t="s">
        <v>142</v>
      </c>
    </row>
    <row r="282" ht="15.75" customHeight="1">
      <c r="A282" s="47" t="s">
        <v>810</v>
      </c>
      <c r="B282" s="47" t="s">
        <v>811</v>
      </c>
      <c r="C282" s="47" t="s">
        <v>61</v>
      </c>
      <c r="D282" s="47" t="s">
        <v>198</v>
      </c>
      <c r="E282" s="47" t="s">
        <v>217</v>
      </c>
      <c r="F282" s="47">
        <v>408.0</v>
      </c>
      <c r="G282" s="47">
        <v>7.04</v>
      </c>
      <c r="H282" s="47">
        <v>58.0</v>
      </c>
      <c r="I282" s="47" t="s">
        <v>75</v>
      </c>
    </row>
    <row r="283" ht="15.75" customHeight="1">
      <c r="A283" s="47" t="s">
        <v>812</v>
      </c>
      <c r="B283" s="47" t="s">
        <v>813</v>
      </c>
      <c r="C283" s="47" t="s">
        <v>61</v>
      </c>
      <c r="D283" s="47" t="s">
        <v>123</v>
      </c>
      <c r="E283" s="47" t="s">
        <v>181</v>
      </c>
      <c r="F283" s="47">
        <v>1329.0</v>
      </c>
      <c r="G283" s="47">
        <v>2.19</v>
      </c>
      <c r="H283" s="47">
        <v>606.8</v>
      </c>
      <c r="I283" s="47" t="s">
        <v>62</v>
      </c>
    </row>
    <row r="284" ht="15.75" customHeight="1">
      <c r="A284" s="47" t="s">
        <v>814</v>
      </c>
      <c r="B284" s="47" t="s">
        <v>815</v>
      </c>
      <c r="C284" s="47" t="s">
        <v>61</v>
      </c>
      <c r="D284" s="47" t="s">
        <v>198</v>
      </c>
      <c r="E284" s="47" t="s">
        <v>217</v>
      </c>
      <c r="F284" s="47">
        <v>543.0</v>
      </c>
      <c r="G284" s="47">
        <v>13.69</v>
      </c>
      <c r="H284" s="47">
        <v>39.7</v>
      </c>
      <c r="I284" s="47" t="s">
        <v>62</v>
      </c>
    </row>
    <row r="285" ht="15.75" customHeight="1">
      <c r="A285" s="47" t="s">
        <v>816</v>
      </c>
      <c r="B285" s="47" t="s">
        <v>817</v>
      </c>
      <c r="C285" s="47" t="s">
        <v>61</v>
      </c>
      <c r="D285" s="47" t="s">
        <v>136</v>
      </c>
      <c r="E285" s="47" t="s">
        <v>189</v>
      </c>
      <c r="F285" s="47">
        <v>208.0</v>
      </c>
      <c r="G285" s="47">
        <v>2.4</v>
      </c>
      <c r="H285" s="47">
        <v>86.7</v>
      </c>
      <c r="I285" s="47" t="s">
        <v>75</v>
      </c>
    </row>
    <row r="286" ht="15.75" customHeight="1">
      <c r="A286" s="47" t="s">
        <v>818</v>
      </c>
      <c r="B286" s="47" t="s">
        <v>819</v>
      </c>
      <c r="C286" s="47" t="s">
        <v>61</v>
      </c>
      <c r="D286" s="47" t="s">
        <v>165</v>
      </c>
      <c r="E286" s="47" t="s">
        <v>254</v>
      </c>
      <c r="F286" s="47">
        <v>839.0</v>
      </c>
      <c r="G286" s="47">
        <v>17.63</v>
      </c>
      <c r="H286" s="47">
        <v>47.6</v>
      </c>
      <c r="I286" s="47" t="s">
        <v>62</v>
      </c>
    </row>
    <row r="287" ht="15.75" customHeight="1">
      <c r="A287" s="47" t="s">
        <v>820</v>
      </c>
      <c r="B287" s="47" t="s">
        <v>821</v>
      </c>
      <c r="C287" s="47" t="s">
        <v>61</v>
      </c>
      <c r="D287" s="47" t="s">
        <v>198</v>
      </c>
      <c r="E287" s="47" t="s">
        <v>217</v>
      </c>
      <c r="F287" s="47">
        <v>1157.0</v>
      </c>
      <c r="G287" s="47">
        <v>8.66</v>
      </c>
      <c r="H287" s="47">
        <v>133.6</v>
      </c>
      <c r="I287" s="47" t="s">
        <v>62</v>
      </c>
    </row>
    <row r="288" ht="15.75" customHeight="1">
      <c r="A288" s="47" t="s">
        <v>822</v>
      </c>
      <c r="B288" s="47" t="s">
        <v>823</v>
      </c>
      <c r="C288" s="47" t="s">
        <v>61</v>
      </c>
      <c r="D288" s="47" t="s">
        <v>123</v>
      </c>
      <c r="E288" s="47" t="s">
        <v>181</v>
      </c>
      <c r="F288" s="47">
        <v>125.0</v>
      </c>
      <c r="G288" s="47">
        <v>5.26</v>
      </c>
      <c r="H288" s="47">
        <v>23.8</v>
      </c>
      <c r="I288" s="47" t="s">
        <v>75</v>
      </c>
    </row>
    <row r="289" ht="15.75" customHeight="1">
      <c r="A289" s="47" t="s">
        <v>824</v>
      </c>
      <c r="B289" s="47" t="s">
        <v>825</v>
      </c>
      <c r="C289" s="47" t="s">
        <v>61</v>
      </c>
      <c r="D289" s="47" t="s">
        <v>82</v>
      </c>
      <c r="E289" s="47" t="s">
        <v>83</v>
      </c>
      <c r="F289" s="47">
        <v>1436.0</v>
      </c>
      <c r="G289" s="47">
        <v>10.33</v>
      </c>
      <c r="H289" s="47">
        <v>139.0</v>
      </c>
      <c r="I289" s="47" t="s">
        <v>62</v>
      </c>
    </row>
    <row r="290" ht="15.75" customHeight="1">
      <c r="A290" s="47" t="s">
        <v>826</v>
      </c>
      <c r="B290" s="47" t="s">
        <v>827</v>
      </c>
      <c r="C290" s="47" t="s">
        <v>61</v>
      </c>
      <c r="D290" s="47" t="s">
        <v>78</v>
      </c>
      <c r="E290" s="47" t="s">
        <v>79</v>
      </c>
      <c r="F290" s="47">
        <v>522.0</v>
      </c>
      <c r="G290" s="47">
        <v>9.17</v>
      </c>
      <c r="H290" s="47">
        <v>56.9</v>
      </c>
      <c r="I290" s="47" t="s">
        <v>62</v>
      </c>
    </row>
    <row r="291" ht="15.75" customHeight="1">
      <c r="A291" s="47" t="s">
        <v>828</v>
      </c>
      <c r="B291" s="47" t="s">
        <v>829</v>
      </c>
      <c r="C291" s="47" t="s">
        <v>61</v>
      </c>
      <c r="D291" s="47" t="s">
        <v>102</v>
      </c>
      <c r="E291" s="47" t="s">
        <v>103</v>
      </c>
      <c r="F291" s="47">
        <v>363.0</v>
      </c>
      <c r="G291" s="47">
        <v>13.69</v>
      </c>
      <c r="H291" s="47">
        <v>26.5</v>
      </c>
      <c r="I291" s="47" t="s">
        <v>75</v>
      </c>
    </row>
    <row r="292" ht="15.75" customHeight="1">
      <c r="A292" s="47" t="s">
        <v>830</v>
      </c>
      <c r="B292" s="47" t="s">
        <v>831</v>
      </c>
      <c r="C292" s="47" t="s">
        <v>61</v>
      </c>
      <c r="D292" s="47" t="s">
        <v>140</v>
      </c>
      <c r="E292" s="47" t="s">
        <v>147</v>
      </c>
      <c r="F292" s="47">
        <v>724.0</v>
      </c>
      <c r="G292" s="47">
        <v>5.92</v>
      </c>
      <c r="H292" s="47">
        <v>122.3</v>
      </c>
      <c r="I292" s="47" t="s">
        <v>62</v>
      </c>
    </row>
    <row r="293" ht="15.75" customHeight="1">
      <c r="A293" s="47" t="s">
        <v>832</v>
      </c>
      <c r="B293" s="47" t="s">
        <v>833</v>
      </c>
      <c r="C293" s="47" t="s">
        <v>61</v>
      </c>
      <c r="D293" s="47" t="s">
        <v>50</v>
      </c>
      <c r="E293" s="47" t="s">
        <v>49</v>
      </c>
      <c r="F293" s="47">
        <v>2796.0</v>
      </c>
      <c r="G293" s="47">
        <v>6.81</v>
      </c>
      <c r="H293" s="47">
        <v>410.6</v>
      </c>
      <c r="I293" s="47" t="s">
        <v>142</v>
      </c>
    </row>
    <row r="294" ht="15.75" customHeight="1">
      <c r="A294" s="47" t="s">
        <v>834</v>
      </c>
      <c r="B294" s="47" t="s">
        <v>835</v>
      </c>
      <c r="C294" s="47" t="s">
        <v>61</v>
      </c>
      <c r="D294" s="47" t="s">
        <v>123</v>
      </c>
      <c r="E294" s="47" t="s">
        <v>181</v>
      </c>
      <c r="F294" s="47">
        <v>2836.0</v>
      </c>
      <c r="G294" s="47">
        <v>20.85</v>
      </c>
      <c r="H294" s="47">
        <v>136.0</v>
      </c>
      <c r="I294" s="47" t="s">
        <v>142</v>
      </c>
    </row>
    <row r="295" ht="15.75" customHeight="1">
      <c r="A295" s="47" t="s">
        <v>836</v>
      </c>
      <c r="B295" s="47" t="s">
        <v>837</v>
      </c>
      <c r="C295" s="47" t="s">
        <v>61</v>
      </c>
      <c r="D295" s="47" t="s">
        <v>94</v>
      </c>
      <c r="E295" s="47" t="s">
        <v>95</v>
      </c>
      <c r="F295" s="47">
        <v>526.0</v>
      </c>
      <c r="G295" s="47">
        <v>24.12</v>
      </c>
      <c r="H295" s="47">
        <v>21.8</v>
      </c>
      <c r="I295" s="47" t="s">
        <v>62</v>
      </c>
    </row>
    <row r="296" ht="15.75" customHeight="1">
      <c r="A296" s="47" t="s">
        <v>838</v>
      </c>
      <c r="B296" s="47" t="s">
        <v>839</v>
      </c>
      <c r="C296" s="47" t="s">
        <v>61</v>
      </c>
      <c r="D296" s="47" t="s">
        <v>102</v>
      </c>
      <c r="E296" s="47" t="s">
        <v>103</v>
      </c>
      <c r="F296" s="47">
        <v>2027.0</v>
      </c>
      <c r="G296" s="47">
        <v>18.95</v>
      </c>
      <c r="H296" s="47">
        <v>107.0</v>
      </c>
      <c r="I296" s="47" t="s">
        <v>142</v>
      </c>
    </row>
    <row r="297" ht="15.75" customHeight="1">
      <c r="A297" s="47" t="s">
        <v>840</v>
      </c>
      <c r="B297" s="47" t="s">
        <v>841</v>
      </c>
      <c r="C297" s="47" t="s">
        <v>61</v>
      </c>
      <c r="D297" s="47" t="s">
        <v>165</v>
      </c>
      <c r="E297" s="47" t="s">
        <v>254</v>
      </c>
      <c r="F297" s="47">
        <v>519.0</v>
      </c>
      <c r="G297" s="47">
        <v>16.19</v>
      </c>
      <c r="H297" s="47">
        <v>32.1</v>
      </c>
      <c r="I297" s="47" t="s">
        <v>62</v>
      </c>
    </row>
    <row r="298" ht="15.75" customHeight="1">
      <c r="A298" s="47" t="s">
        <v>842</v>
      </c>
      <c r="B298" s="47" t="s">
        <v>843</v>
      </c>
      <c r="C298" s="47" t="s">
        <v>61</v>
      </c>
      <c r="D298" s="47" t="s">
        <v>136</v>
      </c>
      <c r="E298" s="47" t="s">
        <v>189</v>
      </c>
      <c r="F298" s="47">
        <v>704.0</v>
      </c>
      <c r="G298" s="47">
        <v>6.68</v>
      </c>
      <c r="H298" s="47">
        <v>105.4</v>
      </c>
      <c r="I298" s="47" t="s">
        <v>62</v>
      </c>
    </row>
    <row r="299" ht="15.75" customHeight="1">
      <c r="A299" s="47" t="s">
        <v>844</v>
      </c>
      <c r="B299" s="47" t="s">
        <v>845</v>
      </c>
      <c r="C299" s="47" t="s">
        <v>61</v>
      </c>
      <c r="D299" s="47" t="s">
        <v>140</v>
      </c>
      <c r="E299" s="47" t="s">
        <v>147</v>
      </c>
      <c r="F299" s="47">
        <v>249.0</v>
      </c>
      <c r="G299" s="47">
        <v>7.79</v>
      </c>
      <c r="H299" s="47">
        <v>32.0</v>
      </c>
      <c r="I299" s="47" t="s">
        <v>75</v>
      </c>
    </row>
    <row r="300" ht="15.75" customHeight="1">
      <c r="A300" s="47" t="s">
        <v>846</v>
      </c>
      <c r="B300" s="47" t="s">
        <v>847</v>
      </c>
      <c r="C300" s="47" t="s">
        <v>61</v>
      </c>
      <c r="D300" s="47" t="s">
        <v>165</v>
      </c>
      <c r="E300" s="47" t="s">
        <v>254</v>
      </c>
      <c r="F300" s="47">
        <v>1103.0</v>
      </c>
      <c r="G300" s="47">
        <v>26.58</v>
      </c>
      <c r="H300" s="47">
        <v>41.5</v>
      </c>
      <c r="I300" s="47" t="s">
        <v>62</v>
      </c>
    </row>
    <row r="301" ht="15.75" customHeight="1">
      <c r="A301" s="47" t="s">
        <v>848</v>
      </c>
      <c r="B301" s="47" t="s">
        <v>849</v>
      </c>
      <c r="C301" s="47" t="s">
        <v>61</v>
      </c>
      <c r="D301" s="47" t="s">
        <v>82</v>
      </c>
      <c r="E301" s="47" t="s">
        <v>83</v>
      </c>
      <c r="F301" s="47">
        <v>420.0</v>
      </c>
      <c r="G301" s="47">
        <v>13.76</v>
      </c>
      <c r="H301" s="47">
        <v>30.5</v>
      </c>
      <c r="I301" s="47" t="s">
        <v>75</v>
      </c>
    </row>
    <row r="302" ht="15.75" customHeight="1">
      <c r="A302" s="47" t="s">
        <v>850</v>
      </c>
      <c r="B302" s="47" t="s">
        <v>851</v>
      </c>
      <c r="C302" s="47" t="s">
        <v>61</v>
      </c>
      <c r="D302" s="47" t="s">
        <v>140</v>
      </c>
      <c r="E302" s="47" t="s">
        <v>147</v>
      </c>
      <c r="F302" s="47">
        <v>1701.0</v>
      </c>
      <c r="G302" s="47">
        <v>12.82</v>
      </c>
      <c r="H302" s="47">
        <v>132.7</v>
      </c>
      <c r="I302" s="47" t="s">
        <v>62</v>
      </c>
    </row>
    <row r="303" ht="15.75" customHeight="1">
      <c r="A303" s="47" t="s">
        <v>852</v>
      </c>
      <c r="B303" s="47" t="s">
        <v>853</v>
      </c>
      <c r="C303" s="47" t="s">
        <v>61</v>
      </c>
      <c r="D303" s="47" t="s">
        <v>102</v>
      </c>
      <c r="E303" s="47" t="s">
        <v>103</v>
      </c>
      <c r="F303" s="47">
        <v>130.0</v>
      </c>
      <c r="G303" s="47">
        <v>6.62</v>
      </c>
      <c r="H303" s="47">
        <v>19.6</v>
      </c>
      <c r="I303" s="47" t="s">
        <v>75</v>
      </c>
    </row>
    <row r="304" ht="15.75" customHeight="1">
      <c r="A304" s="47" t="s">
        <v>854</v>
      </c>
      <c r="B304" s="47" t="s">
        <v>855</v>
      </c>
      <c r="C304" s="47" t="s">
        <v>61</v>
      </c>
      <c r="D304" s="47" t="s">
        <v>198</v>
      </c>
      <c r="E304" s="47" t="s">
        <v>217</v>
      </c>
      <c r="F304" s="47">
        <v>194.0</v>
      </c>
      <c r="G304" s="47">
        <v>5.26</v>
      </c>
      <c r="H304" s="47">
        <v>36.9</v>
      </c>
      <c r="I304" s="47" t="s">
        <v>75</v>
      </c>
    </row>
    <row r="305" ht="15.75" customHeight="1">
      <c r="A305" s="47" t="s">
        <v>856</v>
      </c>
      <c r="B305" s="47" t="s">
        <v>857</v>
      </c>
      <c r="C305" s="47" t="s">
        <v>61</v>
      </c>
      <c r="D305" s="47" t="s">
        <v>137</v>
      </c>
      <c r="E305" s="47" t="s">
        <v>138</v>
      </c>
      <c r="F305" s="47">
        <v>1355.0</v>
      </c>
      <c r="G305" s="47">
        <v>8.93</v>
      </c>
      <c r="H305" s="47">
        <v>151.7</v>
      </c>
      <c r="I305" s="47" t="s">
        <v>62</v>
      </c>
    </row>
    <row r="306" ht="15.75" customHeight="1">
      <c r="A306" s="47" t="s">
        <v>858</v>
      </c>
      <c r="B306" s="47" t="s">
        <v>859</v>
      </c>
      <c r="C306" s="47" t="s">
        <v>61</v>
      </c>
      <c r="D306" s="47" t="s">
        <v>140</v>
      </c>
      <c r="E306" s="47" t="s">
        <v>147</v>
      </c>
      <c r="F306" s="47">
        <v>518.0</v>
      </c>
      <c r="G306" s="47">
        <v>9.62</v>
      </c>
      <c r="H306" s="47">
        <v>53.8</v>
      </c>
      <c r="I306" s="47" t="s">
        <v>62</v>
      </c>
    </row>
    <row r="307" ht="15.75" customHeight="1">
      <c r="A307" s="47" t="s">
        <v>860</v>
      </c>
      <c r="B307" s="47" t="s">
        <v>861</v>
      </c>
      <c r="C307" s="47" t="s">
        <v>61</v>
      </c>
      <c r="D307" s="47" t="s">
        <v>140</v>
      </c>
      <c r="E307" s="47" t="s">
        <v>147</v>
      </c>
      <c r="F307" s="47">
        <v>232.0</v>
      </c>
      <c r="G307" s="47">
        <v>5.33</v>
      </c>
      <c r="H307" s="47">
        <v>43.5</v>
      </c>
      <c r="I307" s="47" t="s">
        <v>75</v>
      </c>
    </row>
    <row r="308" ht="15.75" customHeight="1">
      <c r="A308" s="47" t="s">
        <v>862</v>
      </c>
      <c r="B308" s="47" t="s">
        <v>863</v>
      </c>
      <c r="C308" s="47" t="s">
        <v>61</v>
      </c>
      <c r="D308" s="47" t="s">
        <v>165</v>
      </c>
      <c r="E308" s="47" t="s">
        <v>254</v>
      </c>
      <c r="F308" s="47">
        <v>862.0</v>
      </c>
      <c r="G308" s="47">
        <v>19.86</v>
      </c>
      <c r="H308" s="47">
        <v>43.4</v>
      </c>
      <c r="I308" s="47" t="s">
        <v>62</v>
      </c>
    </row>
    <row r="309" ht="15.75" customHeight="1">
      <c r="A309" s="47" t="s">
        <v>864</v>
      </c>
      <c r="B309" s="47" t="s">
        <v>865</v>
      </c>
      <c r="C309" s="47" t="s">
        <v>61</v>
      </c>
      <c r="D309" s="47" t="s">
        <v>140</v>
      </c>
      <c r="E309" s="47" t="s">
        <v>147</v>
      </c>
      <c r="F309" s="47">
        <v>378.0</v>
      </c>
      <c r="G309" s="47">
        <v>11.99</v>
      </c>
      <c r="H309" s="47">
        <v>31.5</v>
      </c>
      <c r="I309" s="47" t="s">
        <v>75</v>
      </c>
    </row>
    <row r="310" ht="15.75" customHeight="1">
      <c r="A310" s="47" t="s">
        <v>866</v>
      </c>
      <c r="B310" s="47" t="s">
        <v>867</v>
      </c>
      <c r="C310" s="47" t="s">
        <v>61</v>
      </c>
      <c r="D310" s="47" t="s">
        <v>198</v>
      </c>
      <c r="E310" s="47" t="s">
        <v>217</v>
      </c>
      <c r="F310" s="47">
        <v>140.0</v>
      </c>
      <c r="G310" s="47">
        <v>5.8</v>
      </c>
      <c r="H310" s="47">
        <v>24.1</v>
      </c>
      <c r="I310" s="47" t="s">
        <v>75</v>
      </c>
    </row>
    <row r="311" ht="15.75" customHeight="1">
      <c r="A311" s="47" t="s">
        <v>868</v>
      </c>
      <c r="B311" s="47" t="s">
        <v>869</v>
      </c>
      <c r="C311" s="47" t="s">
        <v>61</v>
      </c>
      <c r="D311" s="47" t="s">
        <v>165</v>
      </c>
      <c r="E311" s="47" t="s">
        <v>254</v>
      </c>
      <c r="F311" s="47">
        <v>280.0</v>
      </c>
      <c r="G311" s="47">
        <v>10.37</v>
      </c>
      <c r="H311" s="47">
        <v>27.0</v>
      </c>
      <c r="I311" s="47" t="s">
        <v>75</v>
      </c>
    </row>
    <row r="312" ht="15.75" customHeight="1">
      <c r="A312" s="47" t="s">
        <v>870</v>
      </c>
      <c r="B312" s="47" t="s">
        <v>871</v>
      </c>
      <c r="C312" s="47" t="s">
        <v>61</v>
      </c>
      <c r="D312" s="47" t="s">
        <v>102</v>
      </c>
      <c r="E312" s="47" t="s">
        <v>103</v>
      </c>
      <c r="F312" s="47">
        <v>483.0</v>
      </c>
      <c r="G312" s="47">
        <v>8.99</v>
      </c>
      <c r="H312" s="47">
        <v>53.7</v>
      </c>
      <c r="I312" s="47" t="s">
        <v>75</v>
      </c>
    </row>
    <row r="313" ht="15.75" customHeight="1">
      <c r="A313" s="47" t="s">
        <v>872</v>
      </c>
      <c r="B313" s="47" t="s">
        <v>873</v>
      </c>
      <c r="C313" s="47" t="s">
        <v>61</v>
      </c>
      <c r="D313" s="47" t="s">
        <v>198</v>
      </c>
      <c r="E313" s="47" t="s">
        <v>217</v>
      </c>
      <c r="F313" s="47">
        <v>166.0</v>
      </c>
      <c r="G313" s="47">
        <v>4.95</v>
      </c>
      <c r="H313" s="47">
        <v>33.5</v>
      </c>
      <c r="I313" s="47" t="s">
        <v>75</v>
      </c>
    </row>
    <row r="314" ht="15.75" customHeight="1">
      <c r="A314" s="47" t="s">
        <v>874</v>
      </c>
      <c r="B314" s="47" t="s">
        <v>875</v>
      </c>
      <c r="C314" s="47" t="s">
        <v>61</v>
      </c>
      <c r="D314" s="47" t="s">
        <v>123</v>
      </c>
      <c r="E314" s="47" t="s">
        <v>181</v>
      </c>
      <c r="F314" s="47">
        <v>535.0</v>
      </c>
      <c r="G314" s="47">
        <v>7.5</v>
      </c>
      <c r="H314" s="47">
        <v>71.3</v>
      </c>
      <c r="I314" s="47" t="s">
        <v>62</v>
      </c>
    </row>
    <row r="315" ht="15.75" customHeight="1">
      <c r="A315" s="47" t="s">
        <v>876</v>
      </c>
      <c r="B315" s="47" t="s">
        <v>877</v>
      </c>
      <c r="C315" s="47" t="s">
        <v>61</v>
      </c>
      <c r="D315" s="47" t="s">
        <v>50</v>
      </c>
      <c r="E315" s="47" t="s">
        <v>49</v>
      </c>
      <c r="F315" s="47">
        <v>404.0</v>
      </c>
      <c r="G315" s="47">
        <v>9.5</v>
      </c>
      <c r="H315" s="47">
        <v>42.5</v>
      </c>
      <c r="I315" s="47" t="s">
        <v>75</v>
      </c>
    </row>
    <row r="316" ht="15.75" customHeight="1">
      <c r="A316" s="47" t="s">
        <v>878</v>
      </c>
      <c r="B316" s="47" t="s">
        <v>879</v>
      </c>
      <c r="C316" s="47" t="s">
        <v>61</v>
      </c>
      <c r="D316" s="47" t="s">
        <v>198</v>
      </c>
      <c r="E316" s="47" t="s">
        <v>217</v>
      </c>
      <c r="F316" s="47">
        <v>463.0</v>
      </c>
      <c r="G316" s="47">
        <v>5.46</v>
      </c>
      <c r="H316" s="47">
        <v>84.8</v>
      </c>
      <c r="I316" s="47" t="s">
        <v>75</v>
      </c>
    </row>
    <row r="317" ht="15.75" customHeight="1">
      <c r="A317" s="47" t="s">
        <v>880</v>
      </c>
      <c r="B317" s="47" t="s">
        <v>881</v>
      </c>
      <c r="C317" s="47" t="s">
        <v>61</v>
      </c>
      <c r="D317" s="47" t="s">
        <v>165</v>
      </c>
      <c r="E317" s="47" t="s">
        <v>254</v>
      </c>
      <c r="F317" s="47">
        <v>106.0</v>
      </c>
      <c r="G317" s="47">
        <v>2.91</v>
      </c>
      <c r="H317" s="47">
        <v>36.4</v>
      </c>
      <c r="I317" s="47" t="s">
        <v>75</v>
      </c>
    </row>
    <row r="318" ht="15.75" customHeight="1">
      <c r="A318" s="47" t="s">
        <v>882</v>
      </c>
      <c r="B318" s="47" t="s">
        <v>883</v>
      </c>
      <c r="C318" s="47" t="s">
        <v>61</v>
      </c>
      <c r="D318" s="47" t="s">
        <v>123</v>
      </c>
      <c r="E318" s="47" t="s">
        <v>181</v>
      </c>
      <c r="F318" s="47">
        <v>272.0</v>
      </c>
      <c r="G318" s="47">
        <v>9.03</v>
      </c>
      <c r="H318" s="47">
        <v>30.1</v>
      </c>
      <c r="I318" s="47" t="s">
        <v>75</v>
      </c>
    </row>
    <row r="319" ht="15.75" customHeight="1">
      <c r="A319" s="47" t="s">
        <v>884</v>
      </c>
      <c r="B319" s="47" t="s">
        <v>885</v>
      </c>
      <c r="C319" s="47" t="s">
        <v>61</v>
      </c>
      <c r="D319" s="47" t="s">
        <v>137</v>
      </c>
      <c r="E319" s="47" t="s">
        <v>138</v>
      </c>
      <c r="F319" s="47">
        <v>160.0</v>
      </c>
      <c r="G319" s="47">
        <v>7.22</v>
      </c>
      <c r="H319" s="47">
        <v>22.2</v>
      </c>
      <c r="I319" s="47" t="s">
        <v>75</v>
      </c>
    </row>
    <row r="320" ht="15.75" customHeight="1">
      <c r="A320" s="47" t="s">
        <v>886</v>
      </c>
      <c r="B320" s="47" t="s">
        <v>887</v>
      </c>
      <c r="C320" s="47" t="s">
        <v>61</v>
      </c>
      <c r="D320" s="47" t="s">
        <v>198</v>
      </c>
      <c r="E320" s="47" t="s">
        <v>217</v>
      </c>
      <c r="F320" s="47">
        <v>2890.0</v>
      </c>
      <c r="G320" s="47">
        <v>15.15</v>
      </c>
      <c r="H320" s="47">
        <v>190.8</v>
      </c>
      <c r="I320" s="47" t="s">
        <v>142</v>
      </c>
    </row>
    <row r="321" ht="15.75" customHeight="1">
      <c r="A321" s="47" t="s">
        <v>888</v>
      </c>
      <c r="B321" s="47" t="s">
        <v>889</v>
      </c>
      <c r="C321" s="47" t="s">
        <v>61</v>
      </c>
      <c r="D321" s="47" t="s">
        <v>50</v>
      </c>
      <c r="E321" s="47" t="s">
        <v>49</v>
      </c>
      <c r="F321" s="47">
        <v>166.0</v>
      </c>
      <c r="G321" s="47">
        <v>2.53</v>
      </c>
      <c r="H321" s="47">
        <v>65.6</v>
      </c>
      <c r="I321" s="47" t="s">
        <v>75</v>
      </c>
    </row>
    <row r="322" ht="15.75" customHeight="1">
      <c r="A322" s="47" t="s">
        <v>890</v>
      </c>
      <c r="B322" s="47" t="s">
        <v>891</v>
      </c>
      <c r="C322" s="47" t="s">
        <v>61</v>
      </c>
      <c r="D322" s="47" t="s">
        <v>50</v>
      </c>
      <c r="E322" s="47" t="s">
        <v>49</v>
      </c>
      <c r="F322" s="47">
        <v>971.0</v>
      </c>
      <c r="G322" s="47">
        <v>15.36</v>
      </c>
      <c r="H322" s="47">
        <v>63.2</v>
      </c>
      <c r="I322" s="47" t="s">
        <v>62</v>
      </c>
    </row>
    <row r="323" ht="15.75" customHeight="1">
      <c r="A323" s="47" t="s">
        <v>892</v>
      </c>
      <c r="B323" s="47" t="s">
        <v>893</v>
      </c>
      <c r="C323" s="47" t="s">
        <v>61</v>
      </c>
      <c r="D323" s="47" t="s">
        <v>165</v>
      </c>
      <c r="E323" s="47" t="s">
        <v>254</v>
      </c>
      <c r="F323" s="47">
        <v>198.0</v>
      </c>
      <c r="G323" s="47">
        <v>4.91</v>
      </c>
      <c r="H323" s="47">
        <v>40.3</v>
      </c>
      <c r="I323" s="47" t="s">
        <v>75</v>
      </c>
    </row>
    <row r="324" ht="15.75" customHeight="1">
      <c r="A324" s="47" t="s">
        <v>894</v>
      </c>
      <c r="B324" s="47" t="s">
        <v>895</v>
      </c>
      <c r="C324" s="47" t="s">
        <v>61</v>
      </c>
      <c r="D324" s="47" t="s">
        <v>73</v>
      </c>
      <c r="E324" s="47" t="s">
        <v>74</v>
      </c>
      <c r="F324" s="47">
        <v>236.0</v>
      </c>
      <c r="G324" s="47">
        <v>8.83</v>
      </c>
      <c r="H324" s="47">
        <v>26.7</v>
      </c>
      <c r="I324" s="47" t="s">
        <v>75</v>
      </c>
    </row>
    <row r="325" ht="15.75" customHeight="1">
      <c r="A325" s="47" t="s">
        <v>896</v>
      </c>
      <c r="B325" s="47" t="s">
        <v>897</v>
      </c>
      <c r="C325" s="47" t="s">
        <v>61</v>
      </c>
      <c r="D325" s="47" t="s">
        <v>123</v>
      </c>
      <c r="E325" s="47" t="s">
        <v>181</v>
      </c>
      <c r="F325" s="47">
        <v>683.0</v>
      </c>
      <c r="G325" s="47">
        <v>10.09</v>
      </c>
      <c r="H325" s="47">
        <v>67.7</v>
      </c>
      <c r="I325" s="47" t="s">
        <v>62</v>
      </c>
    </row>
    <row r="326" ht="15.75" customHeight="1">
      <c r="A326" s="47" t="s">
        <v>898</v>
      </c>
      <c r="B326" s="47" t="s">
        <v>899</v>
      </c>
      <c r="C326" s="47" t="s">
        <v>61</v>
      </c>
      <c r="D326" s="47" t="s">
        <v>140</v>
      </c>
      <c r="E326" s="47" t="s">
        <v>147</v>
      </c>
      <c r="F326" s="47">
        <v>5183.0</v>
      </c>
      <c r="G326" s="47">
        <v>6.25</v>
      </c>
      <c r="H326" s="47">
        <v>829.3</v>
      </c>
      <c r="I326" s="47" t="s">
        <v>142</v>
      </c>
    </row>
    <row r="327" ht="15.75" customHeight="1">
      <c r="A327" s="47" t="s">
        <v>900</v>
      </c>
      <c r="B327" s="47" t="s">
        <v>901</v>
      </c>
      <c r="C327" s="47" t="s">
        <v>61</v>
      </c>
      <c r="D327" s="47" t="s">
        <v>165</v>
      </c>
      <c r="E327" s="47" t="s">
        <v>254</v>
      </c>
      <c r="F327" s="47">
        <v>258.0</v>
      </c>
      <c r="G327" s="47">
        <v>6.38</v>
      </c>
      <c r="H327" s="47">
        <v>40.4</v>
      </c>
      <c r="I327" s="47" t="s">
        <v>75</v>
      </c>
    </row>
    <row r="328" ht="15.75" customHeight="1">
      <c r="A328" s="47" t="s">
        <v>902</v>
      </c>
      <c r="B328" s="47" t="s">
        <v>903</v>
      </c>
      <c r="C328" s="47" t="s">
        <v>61</v>
      </c>
      <c r="D328" s="47" t="s">
        <v>165</v>
      </c>
      <c r="E328" s="47" t="s">
        <v>254</v>
      </c>
      <c r="F328" s="47">
        <v>127.0</v>
      </c>
      <c r="G328" s="47">
        <v>5.98</v>
      </c>
      <c r="H328" s="47">
        <v>21.2</v>
      </c>
      <c r="I328" s="47" t="s">
        <v>75</v>
      </c>
    </row>
    <row r="329" ht="15.75" customHeight="1">
      <c r="A329" s="47" t="s">
        <v>904</v>
      </c>
      <c r="B329" s="47" t="s">
        <v>905</v>
      </c>
      <c r="C329" s="47" t="s">
        <v>61</v>
      </c>
      <c r="D329" s="47" t="s">
        <v>198</v>
      </c>
      <c r="E329" s="47" t="s">
        <v>217</v>
      </c>
      <c r="F329" s="47">
        <v>84.0</v>
      </c>
      <c r="G329" s="47">
        <v>4.56</v>
      </c>
      <c r="H329" s="47">
        <v>18.4</v>
      </c>
      <c r="I329" s="47" t="s">
        <v>75</v>
      </c>
    </row>
    <row r="330" ht="15.75" customHeight="1">
      <c r="A330" s="47" t="s">
        <v>906</v>
      </c>
      <c r="B330" s="47" t="s">
        <v>907</v>
      </c>
      <c r="C330" s="47" t="s">
        <v>61</v>
      </c>
      <c r="D330" s="47" t="s">
        <v>94</v>
      </c>
      <c r="E330" s="47" t="s">
        <v>95</v>
      </c>
      <c r="F330" s="47">
        <v>37.0</v>
      </c>
      <c r="G330" s="47">
        <v>2.68</v>
      </c>
      <c r="H330" s="47">
        <v>13.8</v>
      </c>
      <c r="I330" s="47" t="s">
        <v>75</v>
      </c>
    </row>
    <row r="331" ht="15.75" customHeight="1">
      <c r="A331" s="47" t="s">
        <v>908</v>
      </c>
      <c r="B331" s="47" t="s">
        <v>909</v>
      </c>
      <c r="C331" s="47" t="s">
        <v>61</v>
      </c>
      <c r="D331" s="47" t="s">
        <v>78</v>
      </c>
      <c r="E331" s="47" t="s">
        <v>79</v>
      </c>
      <c r="F331" s="47">
        <v>630.0</v>
      </c>
      <c r="G331" s="47">
        <v>10.35</v>
      </c>
      <c r="H331" s="47">
        <v>60.9</v>
      </c>
      <c r="I331" s="47" t="s">
        <v>62</v>
      </c>
    </row>
    <row r="332" ht="15.75" customHeight="1">
      <c r="A332" s="47" t="s">
        <v>910</v>
      </c>
      <c r="B332" s="47" t="s">
        <v>911</v>
      </c>
      <c r="C332" s="47" t="s">
        <v>61</v>
      </c>
      <c r="D332" s="47" t="s">
        <v>123</v>
      </c>
      <c r="E332" s="47" t="s">
        <v>181</v>
      </c>
      <c r="F332" s="47">
        <v>425.0</v>
      </c>
      <c r="G332" s="47">
        <v>5.59</v>
      </c>
      <c r="H332" s="47">
        <v>76.0</v>
      </c>
      <c r="I332" s="47" t="s">
        <v>75</v>
      </c>
    </row>
    <row r="333" ht="15.75" customHeight="1">
      <c r="A333" s="47" t="s">
        <v>912</v>
      </c>
      <c r="B333" s="47" t="s">
        <v>913</v>
      </c>
      <c r="C333" s="47" t="s">
        <v>61</v>
      </c>
      <c r="D333" s="47" t="s">
        <v>86</v>
      </c>
      <c r="E333" s="47" t="s">
        <v>87</v>
      </c>
      <c r="F333" s="47">
        <v>65.0</v>
      </c>
      <c r="G333" s="47">
        <v>5.5</v>
      </c>
      <c r="H333" s="47">
        <v>11.8</v>
      </c>
      <c r="I333" s="47" t="s">
        <v>75</v>
      </c>
    </row>
    <row r="334" ht="15.75" customHeight="1">
      <c r="A334" s="47" t="s">
        <v>914</v>
      </c>
      <c r="B334" s="47" t="s">
        <v>915</v>
      </c>
      <c r="C334" s="47" t="s">
        <v>61</v>
      </c>
      <c r="D334" s="47" t="s">
        <v>78</v>
      </c>
      <c r="E334" s="47" t="s">
        <v>79</v>
      </c>
      <c r="F334" s="47">
        <v>140.0</v>
      </c>
      <c r="G334" s="47">
        <v>8.75</v>
      </c>
      <c r="H334" s="47">
        <v>16.0</v>
      </c>
      <c r="I334" s="47" t="s">
        <v>75</v>
      </c>
    </row>
    <row r="335" ht="15.75" customHeight="1">
      <c r="A335" s="47" t="s">
        <v>916</v>
      </c>
      <c r="B335" s="47" t="s">
        <v>917</v>
      </c>
      <c r="C335" s="47" t="s">
        <v>61</v>
      </c>
      <c r="D335" s="47" t="s">
        <v>123</v>
      </c>
      <c r="E335" s="47" t="s">
        <v>181</v>
      </c>
      <c r="F335" s="47">
        <v>120.0</v>
      </c>
      <c r="G335" s="47">
        <v>8.57</v>
      </c>
      <c r="H335" s="47">
        <v>14.0</v>
      </c>
      <c r="I335" s="47" t="s">
        <v>75</v>
      </c>
    </row>
    <row r="336" ht="15.75" customHeight="1">
      <c r="A336" s="47" t="s">
        <v>918</v>
      </c>
      <c r="B336" s="47" t="s">
        <v>919</v>
      </c>
      <c r="C336" s="47" t="s">
        <v>61</v>
      </c>
      <c r="D336" s="47" t="s">
        <v>198</v>
      </c>
      <c r="E336" s="47" t="s">
        <v>217</v>
      </c>
      <c r="F336" s="47">
        <v>572.0</v>
      </c>
      <c r="G336" s="47">
        <v>17.67</v>
      </c>
      <c r="H336" s="47">
        <v>32.4</v>
      </c>
      <c r="I336" s="47" t="s">
        <v>62</v>
      </c>
    </row>
    <row r="337" ht="15.75" customHeight="1">
      <c r="A337" s="47" t="s">
        <v>920</v>
      </c>
      <c r="B337" s="47" t="s">
        <v>921</v>
      </c>
      <c r="C337" s="47" t="s">
        <v>61</v>
      </c>
      <c r="D337" s="47" t="s">
        <v>73</v>
      </c>
      <c r="E337" s="47" t="s">
        <v>74</v>
      </c>
      <c r="F337" s="47">
        <v>275.0</v>
      </c>
      <c r="G337" s="47">
        <v>20.58</v>
      </c>
      <c r="H337" s="47">
        <v>13.4</v>
      </c>
      <c r="I337" s="47" t="s">
        <v>75</v>
      </c>
    </row>
    <row r="338" ht="15.75" customHeight="1">
      <c r="A338" s="47" t="s">
        <v>922</v>
      </c>
      <c r="B338" s="47" t="s">
        <v>923</v>
      </c>
      <c r="C338" s="47" t="s">
        <v>61</v>
      </c>
      <c r="D338" s="47" t="s">
        <v>166</v>
      </c>
      <c r="E338" s="47" t="s">
        <v>168</v>
      </c>
      <c r="F338" s="47">
        <v>80.0</v>
      </c>
      <c r="G338" s="47">
        <v>4.38</v>
      </c>
      <c r="H338" s="47">
        <v>18.3</v>
      </c>
      <c r="I338" s="47" t="s">
        <v>75</v>
      </c>
    </row>
    <row r="339" ht="15.75" customHeight="1">
      <c r="A339" s="47" t="s">
        <v>924</v>
      </c>
      <c r="B339" s="47" t="s">
        <v>925</v>
      </c>
      <c r="C339" s="47" t="s">
        <v>61</v>
      </c>
      <c r="D339" s="47" t="s">
        <v>198</v>
      </c>
      <c r="E339" s="47" t="s">
        <v>217</v>
      </c>
      <c r="F339" s="47">
        <v>1011.0</v>
      </c>
      <c r="G339" s="47">
        <v>9.98</v>
      </c>
      <c r="H339" s="47">
        <v>101.3</v>
      </c>
      <c r="I339" s="47" t="s">
        <v>62</v>
      </c>
    </row>
    <row r="340" ht="15.75" customHeight="1">
      <c r="A340" s="47" t="s">
        <v>926</v>
      </c>
      <c r="B340" s="47" t="s">
        <v>927</v>
      </c>
      <c r="C340" s="47" t="s">
        <v>61</v>
      </c>
      <c r="D340" s="47" t="s">
        <v>123</v>
      </c>
      <c r="E340" s="47" t="s">
        <v>181</v>
      </c>
      <c r="F340" s="47">
        <v>227.0</v>
      </c>
      <c r="G340" s="47">
        <v>10.86</v>
      </c>
      <c r="H340" s="47">
        <v>20.9</v>
      </c>
      <c r="I340" s="47" t="s">
        <v>75</v>
      </c>
    </row>
    <row r="341" ht="15.75" customHeight="1">
      <c r="A341" s="47" t="s">
        <v>928</v>
      </c>
      <c r="B341" s="47" t="s">
        <v>929</v>
      </c>
      <c r="C341" s="47" t="s">
        <v>61</v>
      </c>
      <c r="D341" s="47" t="s">
        <v>165</v>
      </c>
      <c r="E341" s="47" t="s">
        <v>254</v>
      </c>
      <c r="F341" s="47">
        <v>56.0</v>
      </c>
      <c r="G341" s="47">
        <v>7.16</v>
      </c>
      <c r="H341" s="47">
        <v>7.8</v>
      </c>
      <c r="I341" s="47" t="s">
        <v>75</v>
      </c>
    </row>
    <row r="342" ht="15.75" customHeight="1">
      <c r="A342" s="47" t="s">
        <v>930</v>
      </c>
      <c r="B342" s="47" t="s">
        <v>931</v>
      </c>
      <c r="C342" s="47" t="s">
        <v>61</v>
      </c>
      <c r="D342" s="47" t="s">
        <v>82</v>
      </c>
      <c r="E342" s="47" t="s">
        <v>83</v>
      </c>
      <c r="F342" s="47">
        <v>304.0</v>
      </c>
      <c r="G342" s="47">
        <v>11.39</v>
      </c>
      <c r="H342" s="47">
        <v>26.7</v>
      </c>
      <c r="I342" s="47" t="s">
        <v>75</v>
      </c>
    </row>
    <row r="343" ht="15.75" customHeight="1">
      <c r="A343" s="47" t="s">
        <v>932</v>
      </c>
      <c r="B343" s="47" t="s">
        <v>933</v>
      </c>
      <c r="C343" s="47" t="s">
        <v>61</v>
      </c>
      <c r="D343" s="47" t="s">
        <v>140</v>
      </c>
      <c r="E343" s="47" t="s">
        <v>147</v>
      </c>
      <c r="F343" s="47">
        <v>1280.0</v>
      </c>
      <c r="G343" s="47">
        <v>5.1</v>
      </c>
      <c r="H343" s="47">
        <v>251.0</v>
      </c>
      <c r="I343" s="47" t="s">
        <v>62</v>
      </c>
    </row>
    <row r="344" ht="15.75" customHeight="1">
      <c r="A344" s="47" t="s">
        <v>934</v>
      </c>
      <c r="B344" s="47" t="s">
        <v>935</v>
      </c>
      <c r="C344" s="47" t="s">
        <v>61</v>
      </c>
      <c r="D344" s="47" t="s">
        <v>78</v>
      </c>
      <c r="E344" s="47" t="s">
        <v>79</v>
      </c>
      <c r="F344" s="47">
        <v>2792.0</v>
      </c>
      <c r="G344" s="47">
        <v>25.15</v>
      </c>
      <c r="H344" s="47">
        <v>111.0</v>
      </c>
      <c r="I344" s="47" t="s">
        <v>142</v>
      </c>
    </row>
    <row r="345" ht="15.75" customHeight="1">
      <c r="A345" s="47" t="s">
        <v>936</v>
      </c>
      <c r="B345" s="47" t="s">
        <v>937</v>
      </c>
      <c r="C345" s="47" t="s">
        <v>61</v>
      </c>
      <c r="D345" s="47" t="s">
        <v>82</v>
      </c>
      <c r="E345" s="47" t="s">
        <v>83</v>
      </c>
      <c r="F345" s="47">
        <v>4490.0</v>
      </c>
      <c r="G345" s="47">
        <v>16.22</v>
      </c>
      <c r="H345" s="47">
        <v>276.8</v>
      </c>
      <c r="I345" s="47" t="s">
        <v>142</v>
      </c>
    </row>
    <row r="346" ht="15.75" customHeight="1">
      <c r="A346" s="47" t="s">
        <v>938</v>
      </c>
      <c r="B346" s="47" t="s">
        <v>939</v>
      </c>
      <c r="C346" s="47" t="s">
        <v>61</v>
      </c>
      <c r="D346" s="47" t="s">
        <v>50</v>
      </c>
      <c r="E346" s="47" t="s">
        <v>49</v>
      </c>
      <c r="F346" s="47">
        <v>238.0</v>
      </c>
      <c r="G346" s="47">
        <v>7.21</v>
      </c>
      <c r="H346" s="47">
        <v>33.0</v>
      </c>
      <c r="I346" s="47" t="s">
        <v>75</v>
      </c>
    </row>
    <row r="347" ht="15.75" customHeight="1">
      <c r="A347" s="47" t="s">
        <v>940</v>
      </c>
      <c r="B347" s="47" t="s">
        <v>941</v>
      </c>
      <c r="C347" s="47" t="s">
        <v>61</v>
      </c>
      <c r="D347" s="47" t="s">
        <v>137</v>
      </c>
      <c r="E347" s="47" t="s">
        <v>138</v>
      </c>
      <c r="F347" s="47">
        <v>357.0</v>
      </c>
      <c r="G347" s="47">
        <v>9.42</v>
      </c>
      <c r="H347" s="47">
        <v>37.9</v>
      </c>
      <c r="I347" s="47" t="s">
        <v>75</v>
      </c>
    </row>
    <row r="348" ht="15.75" customHeight="1">
      <c r="A348" s="47" t="s">
        <v>942</v>
      </c>
      <c r="B348" s="47" t="s">
        <v>943</v>
      </c>
      <c r="C348" s="47" t="s">
        <v>61</v>
      </c>
      <c r="D348" s="47" t="s">
        <v>78</v>
      </c>
      <c r="E348" s="47" t="s">
        <v>79</v>
      </c>
      <c r="F348" s="47">
        <v>244.0</v>
      </c>
      <c r="G348" s="47">
        <v>4.23</v>
      </c>
      <c r="H348" s="47">
        <v>57.7</v>
      </c>
      <c r="I348" s="47" t="s">
        <v>75</v>
      </c>
    </row>
    <row r="349" ht="15.75" customHeight="1">
      <c r="A349" s="47" t="s">
        <v>944</v>
      </c>
      <c r="B349" s="47" t="s">
        <v>945</v>
      </c>
      <c r="C349" s="47" t="s">
        <v>61</v>
      </c>
      <c r="D349" s="47" t="s">
        <v>82</v>
      </c>
      <c r="E349" s="47" t="s">
        <v>83</v>
      </c>
      <c r="F349" s="47">
        <v>320.0</v>
      </c>
      <c r="G349" s="47">
        <v>9.27</v>
      </c>
      <c r="H349" s="47">
        <v>34.5</v>
      </c>
      <c r="I349" s="47" t="s">
        <v>75</v>
      </c>
    </row>
    <row r="350" ht="15.75" customHeight="1">
      <c r="A350" s="47" t="s">
        <v>946</v>
      </c>
      <c r="B350" s="47" t="s">
        <v>947</v>
      </c>
      <c r="C350" s="47" t="s">
        <v>61</v>
      </c>
      <c r="D350" s="47" t="s">
        <v>140</v>
      </c>
      <c r="E350" s="47" t="s">
        <v>147</v>
      </c>
      <c r="F350" s="47">
        <v>179.0</v>
      </c>
      <c r="G350" s="47">
        <v>5.2</v>
      </c>
      <c r="H350" s="47">
        <v>34.4</v>
      </c>
      <c r="I350" s="47" t="s">
        <v>75</v>
      </c>
    </row>
    <row r="351" ht="15.75" customHeight="1">
      <c r="A351" s="47" t="s">
        <v>948</v>
      </c>
      <c r="B351" s="47" t="s">
        <v>949</v>
      </c>
      <c r="C351" s="47" t="s">
        <v>61</v>
      </c>
      <c r="D351" s="47" t="s">
        <v>102</v>
      </c>
      <c r="E351" s="47" t="s">
        <v>103</v>
      </c>
      <c r="F351" s="47">
        <v>556.0</v>
      </c>
      <c r="G351" s="47">
        <v>12.24</v>
      </c>
      <c r="H351" s="47">
        <v>45.4</v>
      </c>
      <c r="I351" s="47" t="s">
        <v>62</v>
      </c>
    </row>
    <row r="352" ht="15.75" customHeight="1">
      <c r="A352" s="47" t="s">
        <v>950</v>
      </c>
      <c r="B352" s="47" t="s">
        <v>951</v>
      </c>
      <c r="C352" s="47" t="s">
        <v>61</v>
      </c>
      <c r="D352" s="47" t="s">
        <v>165</v>
      </c>
      <c r="E352" s="47" t="s">
        <v>254</v>
      </c>
      <c r="F352" s="47">
        <v>244.0</v>
      </c>
      <c r="G352" s="47">
        <v>7.56</v>
      </c>
      <c r="H352" s="47">
        <v>32.3</v>
      </c>
      <c r="I352" s="47" t="s">
        <v>75</v>
      </c>
    </row>
    <row r="353" ht="15.75" customHeight="1">
      <c r="A353" s="47" t="s">
        <v>952</v>
      </c>
      <c r="B353" s="47" t="s">
        <v>953</v>
      </c>
      <c r="C353" s="47" t="s">
        <v>61</v>
      </c>
      <c r="D353" s="47" t="s">
        <v>198</v>
      </c>
      <c r="E353" s="47" t="s">
        <v>217</v>
      </c>
      <c r="F353" s="47">
        <v>545.0</v>
      </c>
      <c r="G353" s="47">
        <v>8.15</v>
      </c>
      <c r="H353" s="47">
        <v>66.9</v>
      </c>
      <c r="I353" s="47" t="s">
        <v>62</v>
      </c>
    </row>
    <row r="354" ht="15.75" customHeight="1">
      <c r="A354" s="47" t="s">
        <v>954</v>
      </c>
      <c r="B354" s="47" t="s">
        <v>955</v>
      </c>
      <c r="C354" s="47" t="s">
        <v>61</v>
      </c>
      <c r="D354" s="47" t="s">
        <v>140</v>
      </c>
      <c r="E354" s="47" t="s">
        <v>147</v>
      </c>
      <c r="F354" s="47">
        <v>1569.0</v>
      </c>
      <c r="G354" s="47">
        <v>3.7</v>
      </c>
      <c r="H354" s="47">
        <v>424.1</v>
      </c>
      <c r="I354" s="47" t="s">
        <v>62</v>
      </c>
    </row>
    <row r="355" ht="15.75" customHeight="1">
      <c r="A355" s="47" t="s">
        <v>956</v>
      </c>
      <c r="B355" s="47" t="s">
        <v>957</v>
      </c>
      <c r="C355" s="47" t="s">
        <v>61</v>
      </c>
      <c r="D355" s="47" t="s">
        <v>106</v>
      </c>
      <c r="E355" s="47" t="s">
        <v>107</v>
      </c>
      <c r="F355" s="47">
        <v>343.0</v>
      </c>
      <c r="G355" s="47">
        <v>6.21</v>
      </c>
      <c r="H355" s="47">
        <v>55.2</v>
      </c>
      <c r="I355" s="47" t="s">
        <v>75</v>
      </c>
    </row>
    <row r="356" ht="15.75" customHeight="1">
      <c r="A356" s="47" t="s">
        <v>958</v>
      </c>
      <c r="B356" s="47" t="s">
        <v>959</v>
      </c>
      <c r="C356" s="47" t="s">
        <v>61</v>
      </c>
      <c r="D356" s="47" t="s">
        <v>165</v>
      </c>
      <c r="E356" s="47" t="s">
        <v>254</v>
      </c>
      <c r="F356" s="47">
        <v>203.0</v>
      </c>
      <c r="G356" s="47">
        <v>11.19</v>
      </c>
      <c r="H356" s="47">
        <v>18.1</v>
      </c>
      <c r="I356" s="47" t="s">
        <v>75</v>
      </c>
    </row>
    <row r="357" ht="15.75" customHeight="1">
      <c r="A357" s="47" t="s">
        <v>960</v>
      </c>
      <c r="B357" s="47" t="s">
        <v>961</v>
      </c>
      <c r="C357" s="47" t="s">
        <v>61</v>
      </c>
      <c r="D357" s="47" t="s">
        <v>198</v>
      </c>
      <c r="E357" s="47" t="s">
        <v>217</v>
      </c>
      <c r="F357" s="47">
        <v>822.0</v>
      </c>
      <c r="G357" s="47">
        <v>9.38</v>
      </c>
      <c r="H357" s="47">
        <v>87.6</v>
      </c>
      <c r="I357" s="47" t="s">
        <v>62</v>
      </c>
    </row>
    <row r="358" ht="15.75" customHeight="1">
      <c r="A358" s="47" t="s">
        <v>962</v>
      </c>
      <c r="B358" s="47" t="s">
        <v>963</v>
      </c>
      <c r="C358" s="47" t="s">
        <v>61</v>
      </c>
      <c r="D358" s="47" t="s">
        <v>123</v>
      </c>
      <c r="E358" s="47" t="s">
        <v>181</v>
      </c>
      <c r="F358" s="47">
        <v>165.0</v>
      </c>
      <c r="G358" s="47">
        <v>7.28</v>
      </c>
      <c r="H358" s="47">
        <v>22.7</v>
      </c>
      <c r="I358" s="47" t="s">
        <v>75</v>
      </c>
    </row>
    <row r="359" ht="15.75" customHeight="1">
      <c r="A359" s="47" t="s">
        <v>964</v>
      </c>
      <c r="B359" s="47" t="s">
        <v>965</v>
      </c>
      <c r="C359" s="47" t="s">
        <v>61</v>
      </c>
      <c r="D359" s="47" t="s">
        <v>82</v>
      </c>
      <c r="E359" s="47" t="s">
        <v>83</v>
      </c>
      <c r="F359" s="47">
        <v>189.0</v>
      </c>
      <c r="G359" s="47">
        <v>7.06</v>
      </c>
      <c r="H359" s="47">
        <v>26.8</v>
      </c>
      <c r="I359" s="47" t="s">
        <v>75</v>
      </c>
    </row>
    <row r="360" ht="15.75" customHeight="1">
      <c r="A360" s="47" t="s">
        <v>966</v>
      </c>
      <c r="B360" s="47" t="s">
        <v>967</v>
      </c>
      <c r="C360" s="47" t="s">
        <v>61</v>
      </c>
      <c r="D360" s="47" t="s">
        <v>165</v>
      </c>
      <c r="E360" s="47" t="s">
        <v>254</v>
      </c>
      <c r="F360" s="47">
        <v>131.0</v>
      </c>
      <c r="G360" s="47">
        <v>9.51</v>
      </c>
      <c r="H360" s="47">
        <v>13.8</v>
      </c>
      <c r="I360" s="47" t="s">
        <v>75</v>
      </c>
    </row>
    <row r="361" ht="15.75" customHeight="1">
      <c r="A361" s="47" t="s">
        <v>968</v>
      </c>
      <c r="B361" s="47" t="s">
        <v>969</v>
      </c>
      <c r="C361" s="47" t="s">
        <v>61</v>
      </c>
      <c r="D361" s="47" t="s">
        <v>156</v>
      </c>
      <c r="E361" s="47" t="s">
        <v>157</v>
      </c>
      <c r="F361" s="47">
        <v>125.0</v>
      </c>
      <c r="G361" s="47">
        <v>4.18</v>
      </c>
      <c r="H361" s="47">
        <v>29.9</v>
      </c>
      <c r="I361" s="47" t="s">
        <v>75</v>
      </c>
    </row>
    <row r="362" ht="15.75" customHeight="1">
      <c r="A362" s="47" t="s">
        <v>970</v>
      </c>
      <c r="B362" s="47" t="s">
        <v>971</v>
      </c>
      <c r="C362" s="47" t="s">
        <v>61</v>
      </c>
      <c r="D362" s="47" t="s">
        <v>165</v>
      </c>
      <c r="E362" s="47" t="s">
        <v>254</v>
      </c>
      <c r="F362" s="47">
        <v>192.0</v>
      </c>
      <c r="G362" s="47">
        <v>9.28</v>
      </c>
      <c r="H362" s="47">
        <v>20.7</v>
      </c>
      <c r="I362" s="47" t="s">
        <v>75</v>
      </c>
    </row>
    <row r="363" ht="15.75" customHeight="1">
      <c r="A363" s="47" t="s">
        <v>972</v>
      </c>
      <c r="B363" s="47" t="s">
        <v>973</v>
      </c>
      <c r="C363" s="47" t="s">
        <v>61</v>
      </c>
      <c r="D363" s="47" t="s">
        <v>94</v>
      </c>
      <c r="E363" s="47" t="s">
        <v>95</v>
      </c>
      <c r="F363" s="47">
        <v>28.0</v>
      </c>
      <c r="G363" s="47">
        <v>3.09</v>
      </c>
      <c r="H363" s="47">
        <v>9.1</v>
      </c>
      <c r="I363" s="47" t="s">
        <v>75</v>
      </c>
    </row>
    <row r="364" ht="15.75" customHeight="1">
      <c r="A364" s="47" t="s">
        <v>974</v>
      </c>
      <c r="B364" s="47" t="s">
        <v>975</v>
      </c>
      <c r="C364" s="47" t="s">
        <v>61</v>
      </c>
      <c r="D364" s="47" t="s">
        <v>156</v>
      </c>
      <c r="E364" s="47" t="s">
        <v>157</v>
      </c>
      <c r="F364" s="47">
        <v>8469.0</v>
      </c>
      <c r="G364" s="47">
        <v>33.9</v>
      </c>
      <c r="H364" s="47">
        <v>249.8</v>
      </c>
      <c r="I364" s="47" t="s">
        <v>142</v>
      </c>
    </row>
    <row r="365" ht="15.75" customHeight="1">
      <c r="A365" s="47" t="s">
        <v>976</v>
      </c>
      <c r="B365" s="47" t="s">
        <v>977</v>
      </c>
      <c r="C365" s="47" t="s">
        <v>61</v>
      </c>
      <c r="D365" s="47" t="s">
        <v>198</v>
      </c>
      <c r="E365" s="47" t="s">
        <v>217</v>
      </c>
      <c r="F365" s="47">
        <v>1343.0</v>
      </c>
      <c r="G365" s="47">
        <v>6.39</v>
      </c>
      <c r="H365" s="47">
        <v>210.2</v>
      </c>
      <c r="I365" s="47" t="s">
        <v>62</v>
      </c>
    </row>
    <row r="366" ht="15.75" customHeight="1">
      <c r="A366" s="47" t="s">
        <v>978</v>
      </c>
      <c r="B366" s="47" t="s">
        <v>979</v>
      </c>
      <c r="C366" s="47" t="s">
        <v>61</v>
      </c>
      <c r="D366" s="47" t="s">
        <v>140</v>
      </c>
      <c r="E366" s="47" t="s">
        <v>147</v>
      </c>
      <c r="F366" s="47">
        <v>1412.0</v>
      </c>
      <c r="G366" s="47">
        <v>14.65</v>
      </c>
      <c r="H366" s="47">
        <v>96.4</v>
      </c>
      <c r="I366" s="47" t="s">
        <v>62</v>
      </c>
    </row>
    <row r="367" ht="15.75" customHeight="1">
      <c r="A367" s="47" t="s">
        <v>980</v>
      </c>
      <c r="B367" s="47" t="s">
        <v>981</v>
      </c>
      <c r="C367" s="47" t="s">
        <v>61</v>
      </c>
      <c r="D367" s="47" t="s">
        <v>165</v>
      </c>
      <c r="E367" s="47" t="s">
        <v>254</v>
      </c>
      <c r="F367" s="47">
        <v>57.0</v>
      </c>
      <c r="G367" s="47">
        <v>3.49</v>
      </c>
      <c r="H367" s="47">
        <v>16.3</v>
      </c>
      <c r="I367" s="47" t="s">
        <v>75</v>
      </c>
    </row>
    <row r="368" ht="15.75" customHeight="1">
      <c r="A368" s="47" t="s">
        <v>982</v>
      </c>
      <c r="B368" s="47" t="s">
        <v>983</v>
      </c>
      <c r="C368" s="47" t="s">
        <v>61</v>
      </c>
      <c r="D368" s="47" t="s">
        <v>165</v>
      </c>
      <c r="E368" s="47" t="s">
        <v>254</v>
      </c>
      <c r="F368" s="47">
        <v>170.0</v>
      </c>
      <c r="G368" s="47">
        <v>13.26</v>
      </c>
      <c r="H368" s="47">
        <v>12.8</v>
      </c>
      <c r="I368" s="47" t="s">
        <v>75</v>
      </c>
    </row>
    <row r="369" ht="15.75" customHeight="1">
      <c r="A369" s="47" t="s">
        <v>984</v>
      </c>
      <c r="B369" s="47" t="s">
        <v>985</v>
      </c>
      <c r="C369" s="47" t="s">
        <v>61</v>
      </c>
      <c r="D369" s="47" t="s">
        <v>82</v>
      </c>
      <c r="E369" s="47" t="s">
        <v>83</v>
      </c>
      <c r="F369" s="47">
        <v>224.0</v>
      </c>
      <c r="G369" s="47">
        <v>9.78</v>
      </c>
      <c r="H369" s="47">
        <v>22.9</v>
      </c>
      <c r="I369" s="47" t="s">
        <v>75</v>
      </c>
    </row>
    <row r="370" ht="15.75" customHeight="1">
      <c r="A370" s="47" t="s">
        <v>986</v>
      </c>
      <c r="B370" s="47" t="s">
        <v>987</v>
      </c>
      <c r="C370" s="47" t="s">
        <v>61</v>
      </c>
      <c r="D370" s="47" t="s">
        <v>94</v>
      </c>
      <c r="E370" s="47" t="s">
        <v>95</v>
      </c>
      <c r="F370" s="47">
        <v>999.0</v>
      </c>
      <c r="G370" s="47">
        <v>7.11</v>
      </c>
      <c r="H370" s="47">
        <v>140.5</v>
      </c>
      <c r="I370" s="47" t="s">
        <v>62</v>
      </c>
    </row>
    <row r="371" ht="15.75" customHeight="1">
      <c r="A371" s="47" t="s">
        <v>988</v>
      </c>
      <c r="B371" s="47" t="s">
        <v>989</v>
      </c>
      <c r="C371" s="47" t="s">
        <v>61</v>
      </c>
      <c r="D371" s="47" t="s">
        <v>156</v>
      </c>
      <c r="E371" s="47" t="s">
        <v>157</v>
      </c>
      <c r="F371" s="47">
        <v>218.0</v>
      </c>
      <c r="G371" s="47">
        <v>7.53</v>
      </c>
      <c r="H371" s="47">
        <v>29.0</v>
      </c>
      <c r="I371" s="47" t="s">
        <v>75</v>
      </c>
    </row>
    <row r="372" ht="15.75" customHeight="1">
      <c r="A372" s="47" t="s">
        <v>990</v>
      </c>
      <c r="B372" s="47" t="s">
        <v>991</v>
      </c>
      <c r="C372" s="47" t="s">
        <v>61</v>
      </c>
      <c r="D372" s="47" t="s">
        <v>123</v>
      </c>
      <c r="E372" s="47" t="s">
        <v>181</v>
      </c>
      <c r="F372" s="47">
        <v>672.0</v>
      </c>
      <c r="G372" s="47">
        <v>1.74</v>
      </c>
      <c r="H372" s="47">
        <v>386.2</v>
      </c>
      <c r="I372" s="47" t="s">
        <v>62</v>
      </c>
    </row>
    <row r="373" ht="15.75" customHeight="1">
      <c r="A373" s="47" t="s">
        <v>992</v>
      </c>
      <c r="B373" s="47" t="s">
        <v>993</v>
      </c>
      <c r="C373" s="47" t="s">
        <v>61</v>
      </c>
      <c r="D373" s="47" t="s">
        <v>198</v>
      </c>
      <c r="E373" s="47" t="s">
        <v>217</v>
      </c>
      <c r="F373" s="47">
        <v>251.0</v>
      </c>
      <c r="G373" s="47">
        <v>5.83</v>
      </c>
      <c r="H373" s="47">
        <v>43.1</v>
      </c>
      <c r="I373" s="47" t="s">
        <v>75</v>
      </c>
    </row>
    <row r="374" ht="15.75" customHeight="1">
      <c r="A374" s="47" t="s">
        <v>994</v>
      </c>
      <c r="B374" s="47" t="s">
        <v>995</v>
      </c>
      <c r="C374" s="47" t="s">
        <v>61</v>
      </c>
      <c r="D374" s="47" t="s">
        <v>156</v>
      </c>
      <c r="E374" s="47" t="s">
        <v>157</v>
      </c>
      <c r="F374" s="47">
        <v>229.0</v>
      </c>
      <c r="G374" s="47">
        <v>15.63</v>
      </c>
      <c r="H374" s="47">
        <v>14.7</v>
      </c>
      <c r="I374" s="47" t="s">
        <v>75</v>
      </c>
    </row>
    <row r="375" ht="15.75" customHeight="1">
      <c r="A375" s="47" t="s">
        <v>996</v>
      </c>
      <c r="B375" s="47" t="s">
        <v>997</v>
      </c>
      <c r="C375" s="47" t="s">
        <v>61</v>
      </c>
      <c r="D375" s="47" t="s">
        <v>198</v>
      </c>
      <c r="E375" s="47" t="s">
        <v>217</v>
      </c>
      <c r="F375" s="47">
        <v>328.0</v>
      </c>
      <c r="G375" s="47">
        <v>7.34</v>
      </c>
      <c r="H375" s="47">
        <v>44.7</v>
      </c>
      <c r="I375" s="47" t="s">
        <v>75</v>
      </c>
    </row>
    <row r="376" ht="15.75" customHeight="1">
      <c r="A376" s="47" t="s">
        <v>998</v>
      </c>
      <c r="B376" s="47" t="s">
        <v>999</v>
      </c>
      <c r="C376" s="47" t="s">
        <v>61</v>
      </c>
      <c r="D376" s="47" t="s">
        <v>90</v>
      </c>
      <c r="E376" s="47" t="s">
        <v>91</v>
      </c>
      <c r="F376" s="47">
        <v>141.0</v>
      </c>
      <c r="G376" s="47">
        <v>7.98</v>
      </c>
      <c r="H376" s="47">
        <v>17.7</v>
      </c>
      <c r="I376" s="47" t="s">
        <v>75</v>
      </c>
    </row>
    <row r="377" ht="15.75" customHeight="1">
      <c r="A377" s="47" t="s">
        <v>1000</v>
      </c>
      <c r="B377" s="47" t="s">
        <v>1001</v>
      </c>
      <c r="C377" s="47" t="s">
        <v>61</v>
      </c>
      <c r="D377" s="47" t="s">
        <v>137</v>
      </c>
      <c r="E377" s="47" t="s">
        <v>138</v>
      </c>
      <c r="F377" s="47">
        <v>120.0</v>
      </c>
      <c r="G377" s="47">
        <v>6.18</v>
      </c>
      <c r="H377" s="47">
        <v>19.4</v>
      </c>
      <c r="I377" s="47" t="s">
        <v>75</v>
      </c>
    </row>
    <row r="378" ht="15.75" customHeight="1">
      <c r="A378" s="47" t="s">
        <v>1002</v>
      </c>
      <c r="B378" s="47" t="s">
        <v>1003</v>
      </c>
      <c r="C378" s="47" t="s">
        <v>61</v>
      </c>
      <c r="D378" s="47" t="s">
        <v>86</v>
      </c>
      <c r="E378" s="47" t="s">
        <v>87</v>
      </c>
      <c r="F378" s="47">
        <v>60.0</v>
      </c>
      <c r="G378" s="47">
        <v>2.5</v>
      </c>
      <c r="H378" s="47">
        <v>24.0</v>
      </c>
      <c r="I378" s="47" t="s">
        <v>75</v>
      </c>
    </row>
    <row r="379" ht="15.75" customHeight="1">
      <c r="A379" s="47" t="s">
        <v>1004</v>
      </c>
      <c r="B379" s="47" t="s">
        <v>1005</v>
      </c>
      <c r="C379" s="47" t="s">
        <v>61</v>
      </c>
      <c r="D379" s="47" t="s">
        <v>140</v>
      </c>
      <c r="E379" s="47" t="s">
        <v>147</v>
      </c>
      <c r="F379" s="47">
        <v>1153.0</v>
      </c>
      <c r="G379" s="47">
        <v>13.45</v>
      </c>
      <c r="H379" s="47">
        <v>85.7</v>
      </c>
      <c r="I379" s="47" t="s">
        <v>62</v>
      </c>
    </row>
    <row r="380" ht="15.75" customHeight="1">
      <c r="A380" s="47" t="s">
        <v>1006</v>
      </c>
      <c r="B380" s="47" t="s">
        <v>1007</v>
      </c>
      <c r="C380" s="47" t="s">
        <v>61</v>
      </c>
      <c r="D380" s="47" t="s">
        <v>67</v>
      </c>
      <c r="E380" s="47" t="s">
        <v>68</v>
      </c>
      <c r="F380" s="47">
        <v>288.0</v>
      </c>
      <c r="G380" s="47">
        <v>13.91</v>
      </c>
      <c r="H380" s="47">
        <v>20.7</v>
      </c>
      <c r="I380" s="47" t="s">
        <v>75</v>
      </c>
    </row>
    <row r="381" ht="15.75" customHeight="1">
      <c r="A381" s="47" t="s">
        <v>1008</v>
      </c>
      <c r="B381" s="47" t="s">
        <v>1009</v>
      </c>
      <c r="C381" s="47" t="s">
        <v>61</v>
      </c>
      <c r="D381" s="47" t="s">
        <v>78</v>
      </c>
      <c r="E381" s="47" t="s">
        <v>79</v>
      </c>
      <c r="F381" s="47">
        <v>604.0</v>
      </c>
      <c r="G381" s="47">
        <v>30.09</v>
      </c>
      <c r="H381" s="47">
        <v>20.1</v>
      </c>
      <c r="I381" s="47" t="s">
        <v>62</v>
      </c>
    </row>
    <row r="382" ht="15.75" customHeight="1">
      <c r="A382" s="47" t="s">
        <v>1010</v>
      </c>
      <c r="B382" s="47" t="s">
        <v>1011</v>
      </c>
      <c r="C382" s="47" t="s">
        <v>61</v>
      </c>
      <c r="D382" s="47" t="s">
        <v>90</v>
      </c>
      <c r="E382" s="47" t="s">
        <v>91</v>
      </c>
      <c r="F382" s="47">
        <v>149.0</v>
      </c>
      <c r="G382" s="47">
        <v>6.82</v>
      </c>
      <c r="H382" s="47">
        <v>21.8</v>
      </c>
      <c r="I382" s="47" t="s">
        <v>75</v>
      </c>
    </row>
    <row r="383" ht="15.75" customHeight="1">
      <c r="A383" s="47" t="s">
        <v>1012</v>
      </c>
      <c r="B383" s="47" t="s">
        <v>1013</v>
      </c>
      <c r="C383" s="47" t="s">
        <v>61</v>
      </c>
      <c r="D383" s="47" t="s">
        <v>165</v>
      </c>
      <c r="E383" s="47" t="s">
        <v>254</v>
      </c>
      <c r="F383" s="47">
        <v>189.0</v>
      </c>
      <c r="G383" s="47">
        <v>10.87</v>
      </c>
      <c r="H383" s="47">
        <v>17.4</v>
      </c>
      <c r="I383" s="47" t="s">
        <v>75</v>
      </c>
    </row>
    <row r="384" ht="15.75" customHeight="1">
      <c r="A384" s="47" t="s">
        <v>1014</v>
      </c>
      <c r="B384" s="47" t="s">
        <v>1015</v>
      </c>
      <c r="C384" s="47" t="s">
        <v>61</v>
      </c>
      <c r="D384" s="47" t="s">
        <v>198</v>
      </c>
      <c r="E384" s="47" t="s">
        <v>217</v>
      </c>
      <c r="F384" s="47">
        <v>38.0</v>
      </c>
      <c r="G384" s="47">
        <v>3.71</v>
      </c>
      <c r="H384" s="47">
        <v>10.2</v>
      </c>
      <c r="I384" s="47" t="s">
        <v>75</v>
      </c>
    </row>
    <row r="385" ht="15.75" customHeight="1">
      <c r="A385" s="47" t="s">
        <v>1016</v>
      </c>
      <c r="B385" s="47" t="s">
        <v>1017</v>
      </c>
      <c r="C385" s="47" t="s">
        <v>61</v>
      </c>
      <c r="D385" s="47" t="s">
        <v>165</v>
      </c>
      <c r="E385" s="47" t="s">
        <v>254</v>
      </c>
      <c r="F385" s="47">
        <v>241.0</v>
      </c>
      <c r="G385" s="47">
        <v>19.43</v>
      </c>
      <c r="H385" s="47">
        <v>12.4</v>
      </c>
      <c r="I385" s="47" t="s">
        <v>75</v>
      </c>
    </row>
    <row r="386" ht="15.75" customHeight="1">
      <c r="A386" s="47" t="s">
        <v>1018</v>
      </c>
      <c r="B386" s="47" t="s">
        <v>1019</v>
      </c>
      <c r="C386" s="47" t="s">
        <v>61</v>
      </c>
      <c r="D386" s="47" t="s">
        <v>165</v>
      </c>
      <c r="E386" s="47" t="s">
        <v>254</v>
      </c>
      <c r="F386" s="47">
        <v>167.0</v>
      </c>
      <c r="G386" s="47">
        <v>10.13</v>
      </c>
      <c r="H386" s="47">
        <v>16.5</v>
      </c>
      <c r="I386" s="47" t="s">
        <v>75</v>
      </c>
    </row>
    <row r="387" ht="15.75" customHeight="1">
      <c r="A387" s="47" t="s">
        <v>1020</v>
      </c>
      <c r="B387" s="47" t="s">
        <v>1021</v>
      </c>
      <c r="C387" s="47" t="s">
        <v>61</v>
      </c>
      <c r="D387" s="47" t="s">
        <v>156</v>
      </c>
      <c r="E387" s="47" t="s">
        <v>157</v>
      </c>
      <c r="F387" s="47">
        <v>503.0</v>
      </c>
      <c r="G387" s="47">
        <v>15.85</v>
      </c>
      <c r="H387" s="47">
        <v>31.7</v>
      </c>
      <c r="I387" s="47" t="s">
        <v>62</v>
      </c>
    </row>
    <row r="388" ht="15.75" customHeight="1">
      <c r="A388" s="47" t="s">
        <v>1022</v>
      </c>
      <c r="B388" s="47" t="s">
        <v>1023</v>
      </c>
      <c r="C388" s="47" t="s">
        <v>61</v>
      </c>
      <c r="D388" s="47" t="s">
        <v>137</v>
      </c>
      <c r="E388" s="47" t="s">
        <v>138</v>
      </c>
      <c r="F388" s="47">
        <v>126.0</v>
      </c>
      <c r="G388" s="47">
        <v>5.79</v>
      </c>
      <c r="H388" s="47">
        <v>21.8</v>
      </c>
      <c r="I388" s="47" t="s">
        <v>75</v>
      </c>
    </row>
    <row r="389" ht="15.75" customHeight="1">
      <c r="A389" s="47" t="s">
        <v>1024</v>
      </c>
      <c r="B389" s="47" t="s">
        <v>1025</v>
      </c>
      <c r="C389" s="47" t="s">
        <v>61</v>
      </c>
      <c r="D389" s="47" t="s">
        <v>136</v>
      </c>
      <c r="E389" s="47" t="s">
        <v>189</v>
      </c>
      <c r="F389" s="47">
        <v>216.0</v>
      </c>
      <c r="G389" s="47">
        <v>3.0</v>
      </c>
      <c r="H389" s="47">
        <v>72.0</v>
      </c>
      <c r="I389" s="47" t="s">
        <v>75</v>
      </c>
    </row>
    <row r="390" ht="15.75" customHeight="1">
      <c r="A390" s="47" t="s">
        <v>1026</v>
      </c>
      <c r="B390" s="47" t="s">
        <v>1027</v>
      </c>
      <c r="C390" s="47" t="s">
        <v>61</v>
      </c>
      <c r="D390" s="47" t="s">
        <v>136</v>
      </c>
      <c r="E390" s="47" t="s">
        <v>189</v>
      </c>
      <c r="F390" s="47">
        <v>24220.0</v>
      </c>
      <c r="G390" s="47">
        <v>44.48</v>
      </c>
      <c r="H390" s="47">
        <v>544.5</v>
      </c>
      <c r="I390" s="47" t="s">
        <v>571</v>
      </c>
    </row>
    <row r="391" ht="15.75" customHeight="1">
      <c r="A391" s="47" t="s">
        <v>1028</v>
      </c>
      <c r="B391" s="47" t="s">
        <v>1029</v>
      </c>
      <c r="C391" s="47" t="s">
        <v>61</v>
      </c>
      <c r="D391" s="47" t="s">
        <v>78</v>
      </c>
      <c r="E391" s="47" t="s">
        <v>79</v>
      </c>
      <c r="F391" s="47">
        <v>283.0</v>
      </c>
      <c r="G391" s="47">
        <v>23.63</v>
      </c>
      <c r="H391" s="47">
        <v>12.0</v>
      </c>
      <c r="I391" s="47" t="s">
        <v>75</v>
      </c>
    </row>
    <row r="392" ht="15.75" customHeight="1">
      <c r="A392" s="47" t="s">
        <v>1030</v>
      </c>
      <c r="B392" s="47" t="s">
        <v>1031</v>
      </c>
      <c r="C392" s="47" t="s">
        <v>61</v>
      </c>
      <c r="D392" s="47" t="s">
        <v>102</v>
      </c>
      <c r="E392" s="47" t="s">
        <v>103</v>
      </c>
      <c r="F392" s="47">
        <v>239.0</v>
      </c>
      <c r="G392" s="47">
        <v>9.62</v>
      </c>
      <c r="H392" s="47">
        <v>24.8</v>
      </c>
      <c r="I392" s="47" t="s">
        <v>75</v>
      </c>
    </row>
    <row r="393" ht="15.75" customHeight="1">
      <c r="A393" s="47" t="s">
        <v>1032</v>
      </c>
      <c r="B393" s="47" t="s">
        <v>1033</v>
      </c>
      <c r="C393" s="47" t="s">
        <v>61</v>
      </c>
      <c r="D393" s="47" t="s">
        <v>123</v>
      </c>
      <c r="E393" s="47" t="s">
        <v>181</v>
      </c>
      <c r="F393" s="47">
        <v>198.0</v>
      </c>
      <c r="G393" s="47">
        <v>9.29</v>
      </c>
      <c r="H393" s="47">
        <v>21.3</v>
      </c>
      <c r="I393" s="47" t="s">
        <v>75</v>
      </c>
    </row>
    <row r="394" ht="15.75" customHeight="1">
      <c r="A394" s="47" t="s">
        <v>1034</v>
      </c>
      <c r="B394" s="47" t="s">
        <v>1035</v>
      </c>
      <c r="C394" s="47" t="s">
        <v>61</v>
      </c>
      <c r="D394" s="47" t="s">
        <v>106</v>
      </c>
      <c r="E394" s="47" t="s">
        <v>107</v>
      </c>
      <c r="F394" s="47">
        <v>96.0</v>
      </c>
      <c r="G394" s="47">
        <v>9.17</v>
      </c>
      <c r="H394" s="47">
        <v>10.5</v>
      </c>
      <c r="I394" s="47" t="s">
        <v>75</v>
      </c>
    </row>
    <row r="395" ht="15.75" customHeight="1">
      <c r="A395" s="47" t="s">
        <v>1036</v>
      </c>
      <c r="B395" s="47" t="s">
        <v>1037</v>
      </c>
      <c r="C395" s="47" t="s">
        <v>61</v>
      </c>
      <c r="D395" s="47" t="s">
        <v>136</v>
      </c>
      <c r="E395" s="47" t="s">
        <v>189</v>
      </c>
      <c r="F395" s="47">
        <v>251.0</v>
      </c>
      <c r="G395" s="47">
        <v>4.56</v>
      </c>
      <c r="H395" s="47">
        <v>55.0</v>
      </c>
      <c r="I395" s="47" t="s">
        <v>75</v>
      </c>
    </row>
    <row r="396" ht="15.75" customHeight="1">
      <c r="A396" s="47" t="s">
        <v>1038</v>
      </c>
      <c r="B396" s="47" t="s">
        <v>1039</v>
      </c>
      <c r="C396" s="47" t="s">
        <v>61</v>
      </c>
      <c r="D396" s="47" t="s">
        <v>82</v>
      </c>
      <c r="E396" s="47" t="s">
        <v>83</v>
      </c>
      <c r="F396" s="47">
        <v>203.0</v>
      </c>
      <c r="G396" s="47">
        <v>4.47</v>
      </c>
      <c r="H396" s="47">
        <v>45.4</v>
      </c>
      <c r="I396" s="47" t="s">
        <v>75</v>
      </c>
    </row>
    <row r="397" ht="15.75" customHeight="1">
      <c r="A397" s="47" t="s">
        <v>1040</v>
      </c>
      <c r="B397" s="47" t="s">
        <v>1041</v>
      </c>
      <c r="C397" s="47" t="s">
        <v>61</v>
      </c>
      <c r="D397" s="47" t="s">
        <v>102</v>
      </c>
      <c r="E397" s="47" t="s">
        <v>103</v>
      </c>
      <c r="F397" s="47">
        <v>155.0</v>
      </c>
      <c r="G397" s="47">
        <v>7.2</v>
      </c>
      <c r="H397" s="47">
        <v>21.5</v>
      </c>
      <c r="I397" s="47" t="s">
        <v>75</v>
      </c>
    </row>
    <row r="398" ht="15.75" customHeight="1">
      <c r="A398" s="47" t="s">
        <v>1042</v>
      </c>
      <c r="B398" s="47" t="s">
        <v>1043</v>
      </c>
      <c r="C398" s="47" t="s">
        <v>61</v>
      </c>
      <c r="D398" s="47" t="s">
        <v>165</v>
      </c>
      <c r="E398" s="47" t="s">
        <v>254</v>
      </c>
      <c r="F398" s="47">
        <v>409.0</v>
      </c>
      <c r="G398" s="47">
        <v>11.6</v>
      </c>
      <c r="H398" s="47">
        <v>35.3</v>
      </c>
      <c r="I398" s="47" t="s">
        <v>75</v>
      </c>
    </row>
    <row r="399" ht="15.75" customHeight="1">
      <c r="A399" s="47" t="s">
        <v>1044</v>
      </c>
      <c r="B399" s="47" t="s">
        <v>1045</v>
      </c>
      <c r="C399" s="47" t="s">
        <v>61</v>
      </c>
      <c r="D399" s="47" t="s">
        <v>198</v>
      </c>
      <c r="E399" s="47" t="s">
        <v>217</v>
      </c>
      <c r="F399" s="47">
        <v>125.0</v>
      </c>
      <c r="G399" s="47">
        <v>2.62</v>
      </c>
      <c r="H399" s="47">
        <v>47.7</v>
      </c>
      <c r="I399" s="47" t="s">
        <v>75</v>
      </c>
    </row>
    <row r="400" ht="15.75" customHeight="1">
      <c r="A400" s="47" t="s">
        <v>1046</v>
      </c>
      <c r="B400" s="47" t="s">
        <v>1047</v>
      </c>
      <c r="C400" s="47" t="s">
        <v>61</v>
      </c>
      <c r="D400" s="47" t="s">
        <v>165</v>
      </c>
      <c r="E400" s="47" t="s">
        <v>254</v>
      </c>
      <c r="F400" s="47">
        <v>223.0</v>
      </c>
      <c r="G400" s="47">
        <v>11.56</v>
      </c>
      <c r="H400" s="47">
        <v>19.3</v>
      </c>
      <c r="I400" s="47" t="s">
        <v>75</v>
      </c>
    </row>
    <row r="401" ht="15.75" customHeight="1">
      <c r="A401" s="47" t="s">
        <v>1048</v>
      </c>
      <c r="B401" s="47" t="s">
        <v>1049</v>
      </c>
      <c r="C401" s="47" t="s">
        <v>61</v>
      </c>
      <c r="D401" s="47" t="s">
        <v>165</v>
      </c>
      <c r="E401" s="47" t="s">
        <v>254</v>
      </c>
      <c r="F401" s="47">
        <v>269.0</v>
      </c>
      <c r="G401" s="47">
        <v>14.68</v>
      </c>
      <c r="H401" s="47">
        <v>18.3</v>
      </c>
      <c r="I401" s="47" t="s">
        <v>75</v>
      </c>
    </row>
    <row r="402" ht="15.75" customHeight="1">
      <c r="A402" s="47" t="s">
        <v>1050</v>
      </c>
      <c r="B402" s="47" t="s">
        <v>1051</v>
      </c>
      <c r="C402" s="47" t="s">
        <v>61</v>
      </c>
      <c r="D402" s="47" t="s">
        <v>140</v>
      </c>
      <c r="E402" s="47" t="s">
        <v>147</v>
      </c>
      <c r="F402" s="47">
        <v>790.0</v>
      </c>
      <c r="G402" s="47">
        <v>10.89</v>
      </c>
      <c r="H402" s="47">
        <v>72.5</v>
      </c>
      <c r="I402" s="47" t="s">
        <v>62</v>
      </c>
    </row>
    <row r="403" ht="15.75" customHeight="1">
      <c r="A403" s="47" t="s">
        <v>1052</v>
      </c>
      <c r="B403" s="47" t="s">
        <v>1053</v>
      </c>
      <c r="C403" s="47" t="s">
        <v>61</v>
      </c>
      <c r="D403" s="47" t="s">
        <v>90</v>
      </c>
      <c r="E403" s="47" t="s">
        <v>91</v>
      </c>
      <c r="F403" s="47">
        <v>83.0</v>
      </c>
      <c r="G403" s="47">
        <v>6.65</v>
      </c>
      <c r="H403" s="47">
        <v>12.5</v>
      </c>
      <c r="I403" s="47" t="s">
        <v>75</v>
      </c>
    </row>
    <row r="404" ht="15.75" customHeight="1">
      <c r="A404" s="47" t="s">
        <v>1054</v>
      </c>
      <c r="B404" s="47" t="s">
        <v>1055</v>
      </c>
      <c r="C404" s="47" t="s">
        <v>61</v>
      </c>
      <c r="D404" s="47" t="s">
        <v>82</v>
      </c>
      <c r="E404" s="47" t="s">
        <v>83</v>
      </c>
      <c r="F404" s="47">
        <v>754.0</v>
      </c>
      <c r="G404" s="47">
        <v>16.48</v>
      </c>
      <c r="H404" s="47">
        <v>45.8</v>
      </c>
      <c r="I404" s="47" t="s">
        <v>62</v>
      </c>
    </row>
    <row r="405" ht="15.75" customHeight="1">
      <c r="A405" s="47" t="s">
        <v>1056</v>
      </c>
      <c r="B405" s="47" t="s">
        <v>1057</v>
      </c>
      <c r="C405" s="47" t="s">
        <v>61</v>
      </c>
      <c r="D405" s="47" t="s">
        <v>137</v>
      </c>
      <c r="E405" s="47" t="s">
        <v>138</v>
      </c>
      <c r="F405" s="47">
        <v>455.0</v>
      </c>
      <c r="G405" s="47">
        <v>12.7</v>
      </c>
      <c r="H405" s="47">
        <v>35.8</v>
      </c>
      <c r="I405" s="47" t="s">
        <v>75</v>
      </c>
    </row>
    <row r="406" ht="15.75" customHeight="1">
      <c r="A406" s="47" t="s">
        <v>1058</v>
      </c>
      <c r="B406" s="47" t="s">
        <v>1059</v>
      </c>
      <c r="C406" s="47" t="s">
        <v>61</v>
      </c>
      <c r="D406" s="47" t="s">
        <v>67</v>
      </c>
      <c r="E406" s="47" t="s">
        <v>68</v>
      </c>
      <c r="F406" s="47">
        <v>101.0</v>
      </c>
      <c r="G406" s="47">
        <v>3.68</v>
      </c>
      <c r="H406" s="47">
        <v>27.4</v>
      </c>
      <c r="I406" s="47" t="s">
        <v>75</v>
      </c>
    </row>
    <row r="407" ht="15.75" customHeight="1">
      <c r="A407" s="47" t="s">
        <v>1060</v>
      </c>
      <c r="B407" s="47" t="s">
        <v>1061</v>
      </c>
      <c r="C407" s="47" t="s">
        <v>61</v>
      </c>
      <c r="D407" s="47" t="s">
        <v>156</v>
      </c>
      <c r="E407" s="47" t="s">
        <v>157</v>
      </c>
      <c r="F407" s="47">
        <v>190.0</v>
      </c>
      <c r="G407" s="47">
        <v>10.19</v>
      </c>
      <c r="H407" s="47">
        <v>18.6</v>
      </c>
      <c r="I407" s="47" t="s">
        <v>75</v>
      </c>
    </row>
    <row r="408" ht="15.75" customHeight="1">
      <c r="A408" s="47" t="s">
        <v>1062</v>
      </c>
      <c r="B408" s="47" t="s">
        <v>1063</v>
      </c>
      <c r="C408" s="47" t="s">
        <v>61</v>
      </c>
      <c r="D408" s="47" t="s">
        <v>198</v>
      </c>
      <c r="E408" s="47" t="s">
        <v>217</v>
      </c>
      <c r="F408" s="47">
        <v>543.0</v>
      </c>
      <c r="G408" s="47">
        <v>7.78</v>
      </c>
      <c r="H408" s="47">
        <v>69.8</v>
      </c>
      <c r="I408" s="47" t="s">
        <v>62</v>
      </c>
    </row>
    <row r="409" ht="15.75" customHeight="1">
      <c r="A409" s="47" t="s">
        <v>1064</v>
      </c>
      <c r="B409" s="47" t="s">
        <v>1065</v>
      </c>
      <c r="C409" s="47" t="s">
        <v>61</v>
      </c>
      <c r="D409" s="47" t="s">
        <v>90</v>
      </c>
      <c r="E409" s="47" t="s">
        <v>91</v>
      </c>
      <c r="F409" s="47">
        <v>140.0</v>
      </c>
      <c r="G409" s="47">
        <v>4.92</v>
      </c>
      <c r="H409" s="47">
        <v>28.5</v>
      </c>
      <c r="I409" s="47" t="s">
        <v>75</v>
      </c>
    </row>
    <row r="410" ht="15.75" customHeight="1">
      <c r="A410" s="47" t="s">
        <v>1066</v>
      </c>
      <c r="B410" s="47" t="s">
        <v>1067</v>
      </c>
      <c r="C410" s="47" t="s">
        <v>61</v>
      </c>
      <c r="D410" s="47" t="s">
        <v>123</v>
      </c>
      <c r="E410" s="47" t="s">
        <v>181</v>
      </c>
      <c r="F410" s="47">
        <v>65.0</v>
      </c>
      <c r="G410" s="47">
        <v>4.12</v>
      </c>
      <c r="H410" s="47">
        <v>15.8</v>
      </c>
      <c r="I410" s="47" t="s">
        <v>75</v>
      </c>
    </row>
    <row r="411" ht="15.75" customHeight="1">
      <c r="A411" s="47" t="s">
        <v>1068</v>
      </c>
      <c r="B411" s="47" t="s">
        <v>1069</v>
      </c>
      <c r="C411" s="47" t="s">
        <v>61</v>
      </c>
      <c r="D411" s="47" t="s">
        <v>136</v>
      </c>
      <c r="E411" s="47" t="s">
        <v>189</v>
      </c>
      <c r="F411" s="47">
        <v>117.0</v>
      </c>
      <c r="G411" s="47">
        <v>3.87</v>
      </c>
      <c r="H411" s="47">
        <v>30.2</v>
      </c>
      <c r="I411" s="47" t="s">
        <v>75</v>
      </c>
    </row>
    <row r="412" ht="15.75" customHeight="1">
      <c r="A412" s="47" t="s">
        <v>1070</v>
      </c>
      <c r="B412" s="47" t="s">
        <v>1071</v>
      </c>
      <c r="C412" s="47" t="s">
        <v>61</v>
      </c>
      <c r="D412" s="47" t="s">
        <v>78</v>
      </c>
      <c r="E412" s="47" t="s">
        <v>79</v>
      </c>
      <c r="F412" s="47">
        <v>1264.0</v>
      </c>
      <c r="G412" s="47">
        <v>10.1</v>
      </c>
      <c r="H412" s="47">
        <v>125.1</v>
      </c>
      <c r="I412" s="47" t="s">
        <v>62</v>
      </c>
    </row>
    <row r="413" ht="15.75" customHeight="1">
      <c r="A413" s="47" t="s">
        <v>1072</v>
      </c>
      <c r="B413" s="47" t="s">
        <v>1073</v>
      </c>
      <c r="C413" s="47" t="s">
        <v>61</v>
      </c>
      <c r="D413" s="47" t="s">
        <v>50</v>
      </c>
      <c r="E413" s="47" t="s">
        <v>49</v>
      </c>
      <c r="F413" s="47">
        <v>385.0</v>
      </c>
      <c r="G413" s="47">
        <v>5.5</v>
      </c>
      <c r="H413" s="47">
        <v>70.0</v>
      </c>
      <c r="I413" s="47" t="s">
        <v>75</v>
      </c>
    </row>
    <row r="414" ht="15.75" customHeight="1">
      <c r="A414" s="47" t="s">
        <v>1074</v>
      </c>
      <c r="B414" s="47" t="s">
        <v>1075</v>
      </c>
      <c r="C414" s="47" t="s">
        <v>61</v>
      </c>
      <c r="D414" s="47" t="s">
        <v>90</v>
      </c>
      <c r="E414" s="47" t="s">
        <v>91</v>
      </c>
      <c r="F414" s="47">
        <v>192.0</v>
      </c>
      <c r="G414" s="47">
        <v>5.66</v>
      </c>
      <c r="H414" s="47">
        <v>33.9</v>
      </c>
      <c r="I414" s="47" t="s">
        <v>75</v>
      </c>
    </row>
    <row r="415" ht="15.75" customHeight="1">
      <c r="A415" s="47" t="s">
        <v>1076</v>
      </c>
      <c r="B415" s="47" t="s">
        <v>1077</v>
      </c>
      <c r="C415" s="47" t="s">
        <v>61</v>
      </c>
      <c r="D415" s="47" t="s">
        <v>166</v>
      </c>
      <c r="E415" s="47" t="s">
        <v>168</v>
      </c>
      <c r="F415" s="47">
        <v>220.0</v>
      </c>
      <c r="G415" s="47">
        <v>8.28</v>
      </c>
      <c r="H415" s="47">
        <v>26.6</v>
      </c>
      <c r="I415" s="47" t="s">
        <v>75</v>
      </c>
    </row>
    <row r="416" ht="15.75" customHeight="1">
      <c r="A416" s="47" t="s">
        <v>1078</v>
      </c>
      <c r="B416" s="47" t="s">
        <v>1079</v>
      </c>
      <c r="C416" s="47" t="s">
        <v>61</v>
      </c>
      <c r="D416" s="47" t="s">
        <v>156</v>
      </c>
      <c r="E416" s="47" t="s">
        <v>157</v>
      </c>
      <c r="F416" s="47">
        <v>84.0</v>
      </c>
      <c r="G416" s="47">
        <v>8.22</v>
      </c>
      <c r="H416" s="47">
        <v>10.2</v>
      </c>
      <c r="I416" s="47" t="s">
        <v>75</v>
      </c>
    </row>
    <row r="417" ht="15.75" customHeight="1">
      <c r="A417" s="47" t="s">
        <v>1080</v>
      </c>
      <c r="B417" s="47" t="s">
        <v>1081</v>
      </c>
      <c r="C417" s="47" t="s">
        <v>61</v>
      </c>
      <c r="D417" s="47" t="s">
        <v>102</v>
      </c>
      <c r="E417" s="47" t="s">
        <v>103</v>
      </c>
      <c r="F417" s="47">
        <v>249.0</v>
      </c>
      <c r="G417" s="47">
        <v>10.78</v>
      </c>
      <c r="H417" s="47">
        <v>23.1</v>
      </c>
      <c r="I417" s="47" t="s">
        <v>75</v>
      </c>
    </row>
    <row r="418" ht="15.75" customHeight="1">
      <c r="A418" s="47" t="s">
        <v>1082</v>
      </c>
      <c r="B418" s="47" t="s">
        <v>1083</v>
      </c>
      <c r="C418" s="47" t="s">
        <v>61</v>
      </c>
      <c r="D418" s="47" t="s">
        <v>90</v>
      </c>
      <c r="E418" s="47" t="s">
        <v>91</v>
      </c>
      <c r="F418" s="47">
        <v>1232.0</v>
      </c>
      <c r="G418" s="47">
        <v>38.07</v>
      </c>
      <c r="H418" s="47">
        <v>32.4</v>
      </c>
      <c r="I418" s="47" t="s">
        <v>62</v>
      </c>
    </row>
    <row r="419" ht="15.75" customHeight="1">
      <c r="A419" s="47" t="s">
        <v>1084</v>
      </c>
      <c r="B419" s="47" t="s">
        <v>1085</v>
      </c>
      <c r="C419" s="47" t="s">
        <v>61</v>
      </c>
      <c r="D419" s="47" t="s">
        <v>78</v>
      </c>
      <c r="E419" s="47" t="s">
        <v>79</v>
      </c>
      <c r="F419" s="47">
        <v>141.0</v>
      </c>
      <c r="G419" s="47">
        <v>8.92</v>
      </c>
      <c r="H419" s="47">
        <v>15.8</v>
      </c>
      <c r="I419" s="47" t="s">
        <v>75</v>
      </c>
    </row>
    <row r="420" ht="15.75" customHeight="1">
      <c r="A420" s="47" t="s">
        <v>1086</v>
      </c>
      <c r="B420" s="47" t="s">
        <v>1087</v>
      </c>
      <c r="C420" s="47" t="s">
        <v>61</v>
      </c>
      <c r="D420" s="47" t="s">
        <v>102</v>
      </c>
      <c r="E420" s="47" t="s">
        <v>103</v>
      </c>
      <c r="F420" s="47">
        <v>203.0</v>
      </c>
      <c r="G420" s="47">
        <v>11.12</v>
      </c>
      <c r="H420" s="47">
        <v>18.3</v>
      </c>
      <c r="I420" s="47" t="s">
        <v>75</v>
      </c>
    </row>
    <row r="421" ht="15.75" customHeight="1">
      <c r="A421" s="47" t="s">
        <v>1088</v>
      </c>
      <c r="B421" s="47" t="s">
        <v>1089</v>
      </c>
      <c r="C421" s="47" t="s">
        <v>61</v>
      </c>
      <c r="D421" s="47" t="s">
        <v>123</v>
      </c>
      <c r="E421" s="47" t="s">
        <v>181</v>
      </c>
      <c r="F421" s="47">
        <v>85.0</v>
      </c>
      <c r="G421" s="47">
        <v>7.3</v>
      </c>
      <c r="H421" s="47">
        <v>11.6</v>
      </c>
      <c r="I421" s="47" t="s">
        <v>75</v>
      </c>
    </row>
    <row r="422" ht="15.75" customHeight="1">
      <c r="A422" s="47" t="s">
        <v>1090</v>
      </c>
      <c r="B422" s="47" t="s">
        <v>1091</v>
      </c>
      <c r="C422" s="47" t="s">
        <v>61</v>
      </c>
      <c r="D422" s="47" t="s">
        <v>182</v>
      </c>
      <c r="E422" s="47" t="s">
        <v>357</v>
      </c>
      <c r="F422" s="47">
        <v>202.0</v>
      </c>
      <c r="G422" s="47">
        <v>7.68</v>
      </c>
      <c r="H422" s="47">
        <v>26.3</v>
      </c>
      <c r="I422" s="47" t="s">
        <v>75</v>
      </c>
    </row>
    <row r="423" ht="15.75" customHeight="1">
      <c r="A423" s="47" t="s">
        <v>1092</v>
      </c>
      <c r="B423" s="47" t="s">
        <v>1093</v>
      </c>
      <c r="C423" s="47" t="s">
        <v>61</v>
      </c>
      <c r="D423" s="47" t="s">
        <v>165</v>
      </c>
      <c r="E423" s="47" t="s">
        <v>254</v>
      </c>
      <c r="F423" s="47">
        <v>110.0</v>
      </c>
      <c r="G423" s="47">
        <v>4.78</v>
      </c>
      <c r="H423" s="47">
        <v>23.0</v>
      </c>
      <c r="I423" s="47" t="s">
        <v>75</v>
      </c>
    </row>
    <row r="424" ht="15.75" customHeight="1">
      <c r="A424" s="47" t="s">
        <v>1094</v>
      </c>
      <c r="B424" s="47" t="s">
        <v>1095</v>
      </c>
      <c r="C424" s="47" t="s">
        <v>61</v>
      </c>
      <c r="D424" s="47" t="s">
        <v>165</v>
      </c>
      <c r="E424" s="47" t="s">
        <v>254</v>
      </c>
      <c r="F424" s="47">
        <v>266.0</v>
      </c>
      <c r="G424" s="47">
        <v>11.11</v>
      </c>
      <c r="H424" s="47">
        <v>23.9</v>
      </c>
      <c r="I424" s="47" t="s">
        <v>75</v>
      </c>
    </row>
    <row r="425" ht="15.75" customHeight="1">
      <c r="A425" s="47" t="s">
        <v>1096</v>
      </c>
      <c r="B425" s="47" t="s">
        <v>1097</v>
      </c>
      <c r="C425" s="47" t="s">
        <v>61</v>
      </c>
      <c r="D425" s="47" t="s">
        <v>94</v>
      </c>
      <c r="E425" s="47" t="s">
        <v>95</v>
      </c>
      <c r="F425" s="47">
        <v>118.0</v>
      </c>
      <c r="G425" s="47">
        <v>3.52</v>
      </c>
      <c r="H425" s="47">
        <v>33.5</v>
      </c>
      <c r="I425" s="47" t="s">
        <v>75</v>
      </c>
    </row>
    <row r="426" ht="15.75" customHeight="1">
      <c r="A426" s="47" t="s">
        <v>1098</v>
      </c>
      <c r="B426" s="47" t="s">
        <v>1099</v>
      </c>
      <c r="C426" s="47" t="s">
        <v>61</v>
      </c>
      <c r="D426" s="47" t="s">
        <v>106</v>
      </c>
      <c r="E426" s="47" t="s">
        <v>107</v>
      </c>
      <c r="F426" s="47">
        <v>126.0</v>
      </c>
      <c r="G426" s="47">
        <v>11.05</v>
      </c>
      <c r="H426" s="47">
        <v>11.4</v>
      </c>
      <c r="I426" s="47" t="s">
        <v>75</v>
      </c>
    </row>
    <row r="427" ht="15.75" customHeight="1">
      <c r="A427" s="47" t="s">
        <v>1100</v>
      </c>
      <c r="B427" s="47" t="s">
        <v>1101</v>
      </c>
      <c r="C427" s="47" t="s">
        <v>61</v>
      </c>
      <c r="D427" s="47" t="s">
        <v>78</v>
      </c>
      <c r="E427" s="47" t="s">
        <v>79</v>
      </c>
      <c r="F427" s="47">
        <v>108.0</v>
      </c>
      <c r="G427" s="47">
        <v>10.16</v>
      </c>
      <c r="H427" s="47">
        <v>10.6</v>
      </c>
      <c r="I427" s="47" t="s">
        <v>75</v>
      </c>
    </row>
    <row r="428" ht="15.75" customHeight="1">
      <c r="A428" s="47" t="s">
        <v>1102</v>
      </c>
      <c r="B428" s="47" t="s">
        <v>1103</v>
      </c>
      <c r="C428" s="47" t="s">
        <v>61</v>
      </c>
      <c r="D428" s="47" t="s">
        <v>102</v>
      </c>
      <c r="E428" s="47" t="s">
        <v>103</v>
      </c>
      <c r="F428" s="47">
        <v>64.0</v>
      </c>
      <c r="G428" s="47">
        <v>6.16</v>
      </c>
      <c r="H428" s="47">
        <v>10.4</v>
      </c>
      <c r="I428" s="47" t="s">
        <v>75</v>
      </c>
    </row>
    <row r="429" ht="15.75" customHeight="1">
      <c r="A429" s="47" t="s">
        <v>1104</v>
      </c>
      <c r="B429" s="47" t="s">
        <v>1105</v>
      </c>
      <c r="C429" s="47" t="s">
        <v>61</v>
      </c>
      <c r="D429" s="47" t="s">
        <v>82</v>
      </c>
      <c r="E429" s="47" t="s">
        <v>83</v>
      </c>
      <c r="F429" s="47">
        <v>357.0</v>
      </c>
      <c r="G429" s="47">
        <v>20.28</v>
      </c>
      <c r="H429" s="47">
        <v>17.6</v>
      </c>
      <c r="I429" s="47" t="s">
        <v>75</v>
      </c>
    </row>
    <row r="430" ht="15.75" customHeight="1">
      <c r="A430" s="47" t="s">
        <v>1106</v>
      </c>
      <c r="B430" s="47" t="s">
        <v>1107</v>
      </c>
      <c r="C430" s="47" t="s">
        <v>61</v>
      </c>
      <c r="D430" s="47" t="s">
        <v>198</v>
      </c>
      <c r="E430" s="47" t="s">
        <v>217</v>
      </c>
      <c r="F430" s="47">
        <v>122.0</v>
      </c>
      <c r="G430" s="47">
        <v>3.68</v>
      </c>
      <c r="H430" s="47">
        <v>33.2</v>
      </c>
      <c r="I430" s="47" t="s">
        <v>75</v>
      </c>
    </row>
    <row r="431" ht="15.75" customHeight="1">
      <c r="A431" s="47" t="s">
        <v>1108</v>
      </c>
      <c r="B431" s="47" t="s">
        <v>1109</v>
      </c>
      <c r="C431" s="47" t="s">
        <v>61</v>
      </c>
      <c r="D431" s="47" t="s">
        <v>198</v>
      </c>
      <c r="E431" s="47" t="s">
        <v>217</v>
      </c>
      <c r="F431" s="47">
        <v>232.0</v>
      </c>
      <c r="G431" s="47">
        <v>8.15</v>
      </c>
      <c r="H431" s="47">
        <v>28.5</v>
      </c>
      <c r="I431" s="47" t="s">
        <v>75</v>
      </c>
    </row>
    <row r="432" ht="15.75" customHeight="1">
      <c r="A432" s="47" t="s">
        <v>1110</v>
      </c>
      <c r="B432" s="47" t="s">
        <v>1111</v>
      </c>
      <c r="C432" s="47" t="s">
        <v>61</v>
      </c>
      <c r="D432" s="47" t="s">
        <v>78</v>
      </c>
      <c r="E432" s="47" t="s">
        <v>79</v>
      </c>
      <c r="F432" s="47">
        <v>392.0</v>
      </c>
      <c r="G432" s="47">
        <v>7.25</v>
      </c>
      <c r="H432" s="47">
        <v>54.1</v>
      </c>
      <c r="I432" s="47" t="s">
        <v>75</v>
      </c>
    </row>
    <row r="433" ht="15.75" customHeight="1">
      <c r="A433" s="47" t="s">
        <v>1112</v>
      </c>
      <c r="B433" s="47" t="s">
        <v>1113</v>
      </c>
      <c r="C433" s="47" t="s">
        <v>61</v>
      </c>
      <c r="D433" s="47" t="s">
        <v>78</v>
      </c>
      <c r="E433" s="47" t="s">
        <v>79</v>
      </c>
      <c r="F433" s="47">
        <v>403.0</v>
      </c>
      <c r="G433" s="47">
        <v>25.75</v>
      </c>
      <c r="H433" s="47">
        <v>15.7</v>
      </c>
      <c r="I433" s="47" t="s">
        <v>75</v>
      </c>
    </row>
    <row r="434" ht="15.75" customHeight="1">
      <c r="A434" s="47" t="s">
        <v>1114</v>
      </c>
      <c r="B434" s="47" t="s">
        <v>1115</v>
      </c>
      <c r="C434" s="47" t="s">
        <v>61</v>
      </c>
      <c r="D434" s="47" t="s">
        <v>82</v>
      </c>
      <c r="E434" s="47" t="s">
        <v>83</v>
      </c>
      <c r="F434" s="47">
        <v>178.0</v>
      </c>
      <c r="G434" s="47">
        <v>10.46</v>
      </c>
      <c r="H434" s="47">
        <v>17.0</v>
      </c>
      <c r="I434" s="47" t="s">
        <v>75</v>
      </c>
    </row>
    <row r="435" ht="15.75" customHeight="1">
      <c r="A435" s="47" t="s">
        <v>1116</v>
      </c>
      <c r="B435" s="47" t="s">
        <v>1117</v>
      </c>
      <c r="C435" s="47" t="s">
        <v>61</v>
      </c>
      <c r="D435" s="47" t="s">
        <v>50</v>
      </c>
      <c r="E435" s="47" t="s">
        <v>49</v>
      </c>
      <c r="F435" s="47">
        <v>311.0</v>
      </c>
      <c r="G435" s="47">
        <v>10.3</v>
      </c>
      <c r="H435" s="47">
        <v>30.2</v>
      </c>
      <c r="I435" s="47" t="s">
        <v>75</v>
      </c>
    </row>
    <row r="436" ht="15.75" customHeight="1">
      <c r="A436" s="47" t="s">
        <v>1118</v>
      </c>
      <c r="B436" s="47" t="s">
        <v>1119</v>
      </c>
      <c r="C436" s="47" t="s">
        <v>61</v>
      </c>
      <c r="D436" s="47" t="s">
        <v>78</v>
      </c>
      <c r="E436" s="47" t="s">
        <v>79</v>
      </c>
      <c r="F436" s="47">
        <v>389.0</v>
      </c>
      <c r="G436" s="47">
        <v>15.55</v>
      </c>
      <c r="H436" s="47">
        <v>25.0</v>
      </c>
      <c r="I436" s="47" t="s">
        <v>75</v>
      </c>
    </row>
    <row r="437" ht="15.75" customHeight="1">
      <c r="A437" s="47" t="s">
        <v>1120</v>
      </c>
      <c r="B437" s="47" t="s">
        <v>1121</v>
      </c>
      <c r="C437" s="47" t="s">
        <v>61</v>
      </c>
      <c r="D437" s="47" t="s">
        <v>123</v>
      </c>
      <c r="E437" s="47" t="s">
        <v>181</v>
      </c>
      <c r="F437" s="47">
        <v>821.0</v>
      </c>
      <c r="G437" s="47">
        <v>40.08</v>
      </c>
      <c r="H437" s="47">
        <v>20.5</v>
      </c>
      <c r="I437" s="47" t="s">
        <v>62</v>
      </c>
    </row>
    <row r="438" ht="15.75" customHeight="1">
      <c r="A438" s="47" t="s">
        <v>1122</v>
      </c>
      <c r="B438" s="47" t="s">
        <v>1123</v>
      </c>
      <c r="C438" s="47" t="s">
        <v>61</v>
      </c>
      <c r="D438" s="47" t="s">
        <v>140</v>
      </c>
      <c r="E438" s="47" t="s">
        <v>147</v>
      </c>
      <c r="F438" s="47">
        <v>151.0</v>
      </c>
      <c r="G438" s="47">
        <v>7.43</v>
      </c>
      <c r="H438" s="47">
        <v>20.3</v>
      </c>
      <c r="I438" s="47" t="s">
        <v>75</v>
      </c>
    </row>
    <row r="439" ht="15.75" customHeight="1">
      <c r="A439" s="47" t="s">
        <v>1124</v>
      </c>
      <c r="B439" s="47" t="s">
        <v>1125</v>
      </c>
      <c r="C439" s="47" t="s">
        <v>61</v>
      </c>
      <c r="D439" s="47" t="s">
        <v>73</v>
      </c>
      <c r="E439" s="47" t="s">
        <v>74</v>
      </c>
      <c r="F439" s="47">
        <v>203.0</v>
      </c>
      <c r="G439" s="47">
        <v>4.54</v>
      </c>
      <c r="H439" s="47">
        <v>44.7</v>
      </c>
      <c r="I439" s="47" t="s">
        <v>75</v>
      </c>
    </row>
    <row r="440" ht="15.75" customHeight="1">
      <c r="A440" s="47" t="s">
        <v>1126</v>
      </c>
      <c r="B440" s="47" t="s">
        <v>1127</v>
      </c>
      <c r="C440" s="47" t="s">
        <v>61</v>
      </c>
      <c r="D440" s="47" t="s">
        <v>50</v>
      </c>
      <c r="E440" s="47" t="s">
        <v>49</v>
      </c>
      <c r="F440" s="47">
        <v>341.0</v>
      </c>
      <c r="G440" s="47">
        <v>8.36</v>
      </c>
      <c r="H440" s="47">
        <v>40.8</v>
      </c>
      <c r="I440" s="47" t="s">
        <v>75</v>
      </c>
    </row>
    <row r="441" ht="15.75" customHeight="1">
      <c r="A441" s="47" t="s">
        <v>1128</v>
      </c>
      <c r="B441" s="47" t="s">
        <v>1129</v>
      </c>
      <c r="C441" s="47" t="s">
        <v>61</v>
      </c>
      <c r="D441" s="47" t="s">
        <v>123</v>
      </c>
      <c r="E441" s="47" t="s">
        <v>181</v>
      </c>
      <c r="F441" s="47">
        <v>221.0</v>
      </c>
      <c r="G441" s="47">
        <v>9.14</v>
      </c>
      <c r="H441" s="47">
        <v>24.2</v>
      </c>
      <c r="I441" s="47" t="s">
        <v>75</v>
      </c>
    </row>
    <row r="442" ht="15.75" customHeight="1">
      <c r="A442" s="47" t="s">
        <v>1130</v>
      </c>
      <c r="B442" s="47" t="s">
        <v>1131</v>
      </c>
      <c r="C442" s="47" t="s">
        <v>61</v>
      </c>
      <c r="D442" s="47" t="s">
        <v>165</v>
      </c>
      <c r="E442" s="47" t="s">
        <v>254</v>
      </c>
      <c r="F442" s="47">
        <v>83.0</v>
      </c>
      <c r="G442" s="47">
        <v>9.22</v>
      </c>
      <c r="H442" s="47">
        <v>9.0</v>
      </c>
      <c r="I442" s="47" t="s">
        <v>75</v>
      </c>
    </row>
    <row r="443" ht="15.75" customHeight="1">
      <c r="A443" s="47" t="s">
        <v>1132</v>
      </c>
      <c r="B443" s="47" t="s">
        <v>1133</v>
      </c>
      <c r="C443" s="47" t="s">
        <v>61</v>
      </c>
      <c r="D443" s="47" t="s">
        <v>90</v>
      </c>
      <c r="E443" s="47" t="s">
        <v>91</v>
      </c>
      <c r="F443" s="47">
        <v>377.0</v>
      </c>
      <c r="G443" s="47">
        <v>5.48</v>
      </c>
      <c r="H443" s="47">
        <v>68.8</v>
      </c>
      <c r="I443" s="47" t="s">
        <v>75</v>
      </c>
    </row>
    <row r="444" ht="15.75" customHeight="1">
      <c r="A444" s="47" t="s">
        <v>1134</v>
      </c>
      <c r="B444" s="47" t="s">
        <v>1135</v>
      </c>
      <c r="C444" s="47" t="s">
        <v>61</v>
      </c>
      <c r="D444" s="47" t="s">
        <v>182</v>
      </c>
      <c r="E444" s="47" t="s">
        <v>357</v>
      </c>
      <c r="F444" s="47">
        <v>530.0</v>
      </c>
      <c r="G444" s="47">
        <v>15.54</v>
      </c>
      <c r="H444" s="47">
        <v>34.1</v>
      </c>
      <c r="I444" s="47" t="s">
        <v>62</v>
      </c>
    </row>
    <row r="445" ht="15.75" customHeight="1">
      <c r="A445" s="47" t="s">
        <v>1136</v>
      </c>
      <c r="B445" s="47" t="s">
        <v>1137</v>
      </c>
      <c r="C445" s="47" t="s">
        <v>61</v>
      </c>
      <c r="D445" s="47" t="s">
        <v>102</v>
      </c>
      <c r="E445" s="47" t="s">
        <v>103</v>
      </c>
      <c r="F445" s="47">
        <v>125.0</v>
      </c>
      <c r="G445" s="47">
        <v>7.88</v>
      </c>
      <c r="H445" s="47">
        <v>15.9</v>
      </c>
      <c r="I445" s="47" t="s">
        <v>75</v>
      </c>
    </row>
    <row r="446" ht="15.75" customHeight="1">
      <c r="A446" s="47" t="s">
        <v>1138</v>
      </c>
      <c r="B446" s="47" t="s">
        <v>1139</v>
      </c>
      <c r="C446" s="47" t="s">
        <v>61</v>
      </c>
      <c r="D446" s="47" t="s">
        <v>102</v>
      </c>
      <c r="E446" s="47" t="s">
        <v>103</v>
      </c>
      <c r="F446" s="47">
        <v>47.0</v>
      </c>
      <c r="G446" s="47">
        <v>4.61</v>
      </c>
      <c r="H446" s="47">
        <v>10.2</v>
      </c>
      <c r="I446" s="47" t="s">
        <v>75</v>
      </c>
    </row>
    <row r="447" ht="15.75" customHeight="1">
      <c r="A447" s="47" t="s">
        <v>1140</v>
      </c>
      <c r="B447" s="47" t="s">
        <v>1141</v>
      </c>
      <c r="C447" s="47" t="s">
        <v>61</v>
      </c>
      <c r="D447" s="47" t="s">
        <v>73</v>
      </c>
      <c r="E447" s="47" t="s">
        <v>74</v>
      </c>
      <c r="F447" s="47">
        <v>2229.0</v>
      </c>
      <c r="G447" s="47">
        <v>13.8</v>
      </c>
      <c r="H447" s="47">
        <v>161.5</v>
      </c>
      <c r="I447" s="47" t="s">
        <v>142</v>
      </c>
    </row>
    <row r="448" ht="15.75" customHeight="1">
      <c r="A448" s="47" t="s">
        <v>1142</v>
      </c>
      <c r="B448" s="47" t="s">
        <v>1143</v>
      </c>
      <c r="C448" s="47" t="s">
        <v>61</v>
      </c>
      <c r="D448" s="47" t="s">
        <v>82</v>
      </c>
      <c r="E448" s="47" t="s">
        <v>83</v>
      </c>
      <c r="F448" s="47">
        <v>483.0</v>
      </c>
      <c r="G448" s="47">
        <v>13.05</v>
      </c>
      <c r="H448" s="47">
        <v>37.0</v>
      </c>
      <c r="I448" s="47" t="s">
        <v>75</v>
      </c>
    </row>
    <row r="449" ht="15.75" customHeight="1">
      <c r="A449" s="47" t="s">
        <v>1144</v>
      </c>
      <c r="B449" s="47" t="s">
        <v>1145</v>
      </c>
      <c r="C449" s="47" t="s">
        <v>61</v>
      </c>
      <c r="D449" s="47" t="s">
        <v>156</v>
      </c>
      <c r="E449" s="47" t="s">
        <v>157</v>
      </c>
      <c r="F449" s="47">
        <v>410.0</v>
      </c>
      <c r="G449" s="47">
        <v>16.92</v>
      </c>
      <c r="H449" s="47">
        <v>24.2</v>
      </c>
      <c r="I449" s="47" t="s">
        <v>75</v>
      </c>
    </row>
    <row r="450" ht="15.75" customHeight="1">
      <c r="A450" s="47" t="s">
        <v>1146</v>
      </c>
      <c r="B450" s="47" t="s">
        <v>1147</v>
      </c>
      <c r="C450" s="47" t="s">
        <v>61</v>
      </c>
      <c r="D450" s="47" t="s">
        <v>136</v>
      </c>
      <c r="E450" s="47" t="s">
        <v>189</v>
      </c>
      <c r="F450" s="47">
        <v>130.0</v>
      </c>
      <c r="G450" s="47">
        <v>4.45</v>
      </c>
      <c r="H450" s="47">
        <v>29.2</v>
      </c>
      <c r="I450" s="47" t="s">
        <v>75</v>
      </c>
    </row>
    <row r="451" ht="15.75" customHeight="1">
      <c r="A451" s="47" t="s">
        <v>1148</v>
      </c>
      <c r="B451" s="47" t="s">
        <v>1149</v>
      </c>
      <c r="C451" s="47" t="s">
        <v>61</v>
      </c>
      <c r="D451" s="47" t="s">
        <v>78</v>
      </c>
      <c r="E451" s="47" t="s">
        <v>79</v>
      </c>
      <c r="F451" s="47">
        <v>398.0</v>
      </c>
      <c r="G451" s="47">
        <v>10.57</v>
      </c>
      <c r="H451" s="47">
        <v>37.7</v>
      </c>
      <c r="I451" s="47" t="s">
        <v>75</v>
      </c>
    </row>
    <row r="452" ht="15.75" customHeight="1">
      <c r="A452" s="47" t="s">
        <v>1150</v>
      </c>
      <c r="B452" s="47" t="s">
        <v>1151</v>
      </c>
      <c r="C452" s="47" t="s">
        <v>61</v>
      </c>
      <c r="D452" s="47" t="s">
        <v>50</v>
      </c>
      <c r="E452" s="47" t="s">
        <v>49</v>
      </c>
      <c r="F452" s="47">
        <v>207.0</v>
      </c>
      <c r="G452" s="47">
        <v>3.56</v>
      </c>
      <c r="H452" s="47">
        <v>58.1</v>
      </c>
      <c r="I452" s="47" t="s">
        <v>75</v>
      </c>
    </row>
    <row r="453" ht="15.75" customHeight="1">
      <c r="A453" s="47" t="s">
        <v>1152</v>
      </c>
      <c r="B453" s="47" t="s">
        <v>1153</v>
      </c>
      <c r="C453" s="47" t="s">
        <v>61</v>
      </c>
      <c r="D453" s="47" t="s">
        <v>50</v>
      </c>
      <c r="E453" s="47" t="s">
        <v>49</v>
      </c>
      <c r="F453" s="47">
        <v>419.0</v>
      </c>
      <c r="G453" s="47">
        <v>5.22</v>
      </c>
      <c r="H453" s="47">
        <v>80.3</v>
      </c>
      <c r="I453" s="47" t="s">
        <v>75</v>
      </c>
    </row>
    <row r="454" ht="15.75" customHeight="1">
      <c r="A454" s="47" t="s">
        <v>1154</v>
      </c>
      <c r="B454" s="47" t="s">
        <v>1155</v>
      </c>
      <c r="C454" s="47" t="s">
        <v>61</v>
      </c>
      <c r="D454" s="47" t="s">
        <v>82</v>
      </c>
      <c r="E454" s="47" t="s">
        <v>83</v>
      </c>
      <c r="F454" s="47">
        <v>637.0</v>
      </c>
      <c r="G454" s="47">
        <v>11.9</v>
      </c>
      <c r="H454" s="47">
        <v>53.5</v>
      </c>
      <c r="I454" s="47" t="s">
        <v>62</v>
      </c>
    </row>
    <row r="455" ht="15.75" customHeight="1">
      <c r="A455" s="47" t="s">
        <v>1156</v>
      </c>
      <c r="B455" s="47" t="s">
        <v>1157</v>
      </c>
      <c r="C455" s="47" t="s">
        <v>61</v>
      </c>
      <c r="D455" s="47" t="s">
        <v>67</v>
      </c>
      <c r="E455" s="47" t="s">
        <v>68</v>
      </c>
      <c r="F455" s="47">
        <v>935.0</v>
      </c>
      <c r="G455" s="47">
        <v>7.82</v>
      </c>
      <c r="H455" s="47">
        <v>119.6</v>
      </c>
      <c r="I455" s="47" t="s">
        <v>62</v>
      </c>
    </row>
    <row r="456" ht="15.75" customHeight="1">
      <c r="A456" s="47" t="s">
        <v>1158</v>
      </c>
      <c r="B456" s="47" t="s">
        <v>1159</v>
      </c>
      <c r="C456" s="47" t="s">
        <v>61</v>
      </c>
      <c r="D456" s="47" t="s">
        <v>137</v>
      </c>
      <c r="E456" s="47" t="s">
        <v>138</v>
      </c>
      <c r="F456" s="47">
        <v>253.0</v>
      </c>
      <c r="G456" s="47">
        <v>5.84</v>
      </c>
      <c r="H456" s="47">
        <v>43.3</v>
      </c>
      <c r="I456" s="47" t="s">
        <v>75</v>
      </c>
    </row>
    <row r="457" ht="15.75" customHeight="1">
      <c r="A457" s="47" t="s">
        <v>1160</v>
      </c>
      <c r="B457" s="47" t="s">
        <v>1161</v>
      </c>
      <c r="C457" s="47" t="s">
        <v>61</v>
      </c>
      <c r="D457" s="47" t="s">
        <v>73</v>
      </c>
      <c r="E457" s="47" t="s">
        <v>74</v>
      </c>
      <c r="F457" s="47">
        <v>320.0</v>
      </c>
      <c r="G457" s="47">
        <v>9.02</v>
      </c>
      <c r="H457" s="47">
        <v>35.5</v>
      </c>
      <c r="I457" s="47" t="s">
        <v>75</v>
      </c>
    </row>
    <row r="458" ht="15.75" customHeight="1">
      <c r="A458" s="47" t="s">
        <v>1162</v>
      </c>
      <c r="B458" s="47" t="s">
        <v>1163</v>
      </c>
      <c r="C458" s="47" t="s">
        <v>61</v>
      </c>
      <c r="D458" s="47" t="s">
        <v>140</v>
      </c>
      <c r="E458" s="47" t="s">
        <v>147</v>
      </c>
      <c r="F458" s="47">
        <v>435.0</v>
      </c>
      <c r="G458" s="47">
        <v>5.5</v>
      </c>
      <c r="H458" s="47">
        <v>79.1</v>
      </c>
      <c r="I458" s="47" t="s">
        <v>75</v>
      </c>
    </row>
    <row r="459" ht="15.75" customHeight="1">
      <c r="A459" s="47" t="s">
        <v>1164</v>
      </c>
      <c r="B459" s="47" t="s">
        <v>1165</v>
      </c>
      <c r="C459" s="47" t="s">
        <v>61</v>
      </c>
      <c r="D459" s="47" t="s">
        <v>78</v>
      </c>
      <c r="E459" s="47" t="s">
        <v>79</v>
      </c>
      <c r="F459" s="47">
        <v>56.0</v>
      </c>
      <c r="G459" s="47">
        <v>2.94</v>
      </c>
      <c r="H459" s="47">
        <v>19.0</v>
      </c>
      <c r="I459" s="47" t="s">
        <v>75</v>
      </c>
    </row>
    <row r="460" ht="15.75" customHeight="1">
      <c r="A460" s="47" t="s">
        <v>1166</v>
      </c>
      <c r="B460" s="47" t="s">
        <v>1167</v>
      </c>
      <c r="C460" s="47" t="s">
        <v>61</v>
      </c>
      <c r="D460" s="47" t="s">
        <v>94</v>
      </c>
      <c r="E460" s="47" t="s">
        <v>95</v>
      </c>
      <c r="F460" s="47">
        <v>507.0</v>
      </c>
      <c r="G460" s="47">
        <v>9.65</v>
      </c>
      <c r="H460" s="47">
        <v>52.5</v>
      </c>
      <c r="I460" s="47" t="s">
        <v>62</v>
      </c>
    </row>
    <row r="461" ht="15.75" customHeight="1">
      <c r="A461" s="47" t="s">
        <v>1168</v>
      </c>
      <c r="B461" s="47" t="s">
        <v>1169</v>
      </c>
      <c r="C461" s="47" t="s">
        <v>61</v>
      </c>
      <c r="D461" s="47" t="s">
        <v>123</v>
      </c>
      <c r="E461" s="47" t="s">
        <v>181</v>
      </c>
      <c r="F461" s="47">
        <v>558.0</v>
      </c>
      <c r="G461" s="47">
        <v>4.53</v>
      </c>
      <c r="H461" s="47">
        <v>123.2</v>
      </c>
      <c r="I461" s="47" t="s">
        <v>62</v>
      </c>
    </row>
    <row r="462" ht="15.75" customHeight="1">
      <c r="A462" s="47" t="s">
        <v>1170</v>
      </c>
      <c r="B462" s="47" t="s">
        <v>1171</v>
      </c>
      <c r="C462" s="47" t="s">
        <v>61</v>
      </c>
      <c r="D462" s="47" t="s">
        <v>67</v>
      </c>
      <c r="E462" s="47" t="s">
        <v>68</v>
      </c>
      <c r="F462" s="47">
        <v>100.0</v>
      </c>
      <c r="G462" s="47">
        <v>3.05</v>
      </c>
      <c r="H462" s="47">
        <v>32.8</v>
      </c>
      <c r="I462" s="47" t="s">
        <v>75</v>
      </c>
    </row>
    <row r="463" ht="15.75" customHeight="1">
      <c r="A463" s="47" t="s">
        <v>1172</v>
      </c>
      <c r="B463" s="47" t="s">
        <v>1173</v>
      </c>
      <c r="C463" s="47" t="s">
        <v>61</v>
      </c>
      <c r="D463" s="47" t="s">
        <v>78</v>
      </c>
      <c r="E463" s="47" t="s">
        <v>79</v>
      </c>
      <c r="F463" s="47">
        <v>107.0</v>
      </c>
      <c r="G463" s="47">
        <v>6.73</v>
      </c>
      <c r="H463" s="47">
        <v>15.9</v>
      </c>
      <c r="I463" s="47" t="s">
        <v>75</v>
      </c>
    </row>
    <row r="464" ht="15.75" customHeight="1">
      <c r="A464" s="47" t="s">
        <v>1174</v>
      </c>
      <c r="B464" s="47" t="s">
        <v>1175</v>
      </c>
      <c r="C464" s="47" t="s">
        <v>61</v>
      </c>
      <c r="D464" s="47" t="s">
        <v>90</v>
      </c>
      <c r="E464" s="47" t="s">
        <v>91</v>
      </c>
      <c r="F464" s="47">
        <v>625.0</v>
      </c>
      <c r="G464" s="47">
        <v>3.31</v>
      </c>
      <c r="H464" s="47">
        <v>188.8</v>
      </c>
      <c r="I464" s="47" t="s">
        <v>62</v>
      </c>
    </row>
    <row r="465" ht="15.75" customHeight="1">
      <c r="A465" s="47" t="s">
        <v>1176</v>
      </c>
      <c r="B465" s="47" t="s">
        <v>1177</v>
      </c>
      <c r="C465" s="47" t="s">
        <v>61</v>
      </c>
      <c r="D465" s="47" t="s">
        <v>82</v>
      </c>
      <c r="E465" s="47" t="s">
        <v>83</v>
      </c>
      <c r="F465" s="47">
        <v>161.0</v>
      </c>
      <c r="G465" s="47">
        <v>1.81</v>
      </c>
      <c r="H465" s="47">
        <v>89.0</v>
      </c>
      <c r="I465" s="47" t="s">
        <v>75</v>
      </c>
    </row>
    <row r="466" ht="15.75" customHeight="1">
      <c r="A466" s="47" t="s">
        <v>1178</v>
      </c>
      <c r="B466" s="47" t="s">
        <v>1179</v>
      </c>
      <c r="C466" s="47" t="s">
        <v>61</v>
      </c>
      <c r="D466" s="47" t="s">
        <v>136</v>
      </c>
      <c r="E466" s="47" t="s">
        <v>189</v>
      </c>
      <c r="F466" s="47">
        <v>359.0</v>
      </c>
      <c r="G466" s="47">
        <v>4.45</v>
      </c>
      <c r="H466" s="47">
        <v>80.7</v>
      </c>
      <c r="I466" s="47" t="s">
        <v>75</v>
      </c>
    </row>
    <row r="467" ht="15.75" customHeight="1">
      <c r="A467" s="47" t="s">
        <v>1180</v>
      </c>
      <c r="B467" s="47" t="s">
        <v>1181</v>
      </c>
      <c r="C467" s="47" t="s">
        <v>61</v>
      </c>
      <c r="D467" s="47" t="s">
        <v>90</v>
      </c>
      <c r="E467" s="47" t="s">
        <v>91</v>
      </c>
      <c r="F467" s="47">
        <v>122.0</v>
      </c>
      <c r="G467" s="47">
        <v>6.08</v>
      </c>
      <c r="H467" s="47">
        <v>20.1</v>
      </c>
      <c r="I467" s="47" t="s">
        <v>75</v>
      </c>
    </row>
    <row r="468" ht="15.75" customHeight="1">
      <c r="A468" s="47" t="s">
        <v>1182</v>
      </c>
      <c r="B468" s="47" t="s">
        <v>1183</v>
      </c>
      <c r="C468" s="47" t="s">
        <v>61</v>
      </c>
      <c r="D468" s="47" t="s">
        <v>165</v>
      </c>
      <c r="E468" s="47" t="s">
        <v>254</v>
      </c>
      <c r="F468" s="47">
        <v>320.0</v>
      </c>
      <c r="G468" s="47">
        <v>19.86</v>
      </c>
      <c r="H468" s="47">
        <v>16.1</v>
      </c>
      <c r="I468" s="47" t="s">
        <v>75</v>
      </c>
    </row>
    <row r="469" ht="15.75" customHeight="1">
      <c r="A469" s="47" t="s">
        <v>1184</v>
      </c>
      <c r="B469" s="47" t="s">
        <v>1185</v>
      </c>
      <c r="C469" s="47" t="s">
        <v>61</v>
      </c>
      <c r="D469" s="47" t="s">
        <v>50</v>
      </c>
      <c r="E469" s="47" t="s">
        <v>49</v>
      </c>
      <c r="F469" s="47">
        <v>426.0</v>
      </c>
      <c r="G469" s="47">
        <v>13.39</v>
      </c>
      <c r="H469" s="47">
        <v>31.8</v>
      </c>
      <c r="I469" s="47" t="s">
        <v>75</v>
      </c>
    </row>
    <row r="470" ht="15.75" customHeight="1">
      <c r="A470" s="47" t="s">
        <v>1186</v>
      </c>
      <c r="B470" s="47" t="s">
        <v>1187</v>
      </c>
      <c r="C470" s="47" t="s">
        <v>61</v>
      </c>
      <c r="D470" s="47" t="s">
        <v>73</v>
      </c>
      <c r="E470" s="47" t="s">
        <v>74</v>
      </c>
      <c r="F470" s="47">
        <v>211.0</v>
      </c>
      <c r="G470" s="47">
        <v>5.36</v>
      </c>
      <c r="H470" s="47">
        <v>39.4</v>
      </c>
      <c r="I470" s="47" t="s">
        <v>75</v>
      </c>
    </row>
    <row r="471" ht="15.75" customHeight="1">
      <c r="A471" s="47" t="s">
        <v>1188</v>
      </c>
      <c r="B471" s="47" t="s">
        <v>1189</v>
      </c>
      <c r="C471" s="47" t="s">
        <v>61</v>
      </c>
      <c r="D471" s="47" t="s">
        <v>82</v>
      </c>
      <c r="E471" s="47" t="s">
        <v>83</v>
      </c>
      <c r="F471" s="47">
        <v>132.0</v>
      </c>
      <c r="G471" s="47">
        <v>5.92</v>
      </c>
      <c r="H471" s="47">
        <v>22.3</v>
      </c>
      <c r="I471" s="47" t="s">
        <v>75</v>
      </c>
    </row>
    <row r="472" ht="15.75" customHeight="1">
      <c r="A472" s="47" t="s">
        <v>1190</v>
      </c>
      <c r="B472" s="47" t="s">
        <v>1191</v>
      </c>
      <c r="C472" s="47" t="s">
        <v>61</v>
      </c>
      <c r="D472" s="47" t="s">
        <v>156</v>
      </c>
      <c r="E472" s="47" t="s">
        <v>157</v>
      </c>
      <c r="F472" s="47">
        <v>1028.0</v>
      </c>
      <c r="G472" s="47">
        <v>20.3</v>
      </c>
      <c r="H472" s="47">
        <v>50.6</v>
      </c>
      <c r="I472" s="47" t="s">
        <v>62</v>
      </c>
    </row>
    <row r="473" ht="15.75" customHeight="1">
      <c r="A473" s="47" t="s">
        <v>1192</v>
      </c>
      <c r="B473" s="47" t="s">
        <v>1193</v>
      </c>
      <c r="C473" s="47" t="s">
        <v>61</v>
      </c>
      <c r="D473" s="47" t="s">
        <v>102</v>
      </c>
      <c r="E473" s="47" t="s">
        <v>103</v>
      </c>
      <c r="F473" s="47">
        <v>90.0</v>
      </c>
      <c r="G473" s="47">
        <v>4.83</v>
      </c>
      <c r="H473" s="47">
        <v>18.6</v>
      </c>
      <c r="I473" s="47" t="s">
        <v>75</v>
      </c>
    </row>
    <row r="474" ht="15.75" customHeight="1">
      <c r="A474" s="47" t="s">
        <v>1194</v>
      </c>
      <c r="B474" s="47" t="s">
        <v>1195</v>
      </c>
      <c r="C474" s="47" t="s">
        <v>61</v>
      </c>
      <c r="D474" s="47" t="s">
        <v>136</v>
      </c>
      <c r="E474" s="47" t="s">
        <v>189</v>
      </c>
      <c r="F474" s="47">
        <v>1146.0</v>
      </c>
      <c r="G474" s="47">
        <v>4.2</v>
      </c>
      <c r="H474" s="47">
        <v>272.9</v>
      </c>
      <c r="I474" s="47" t="s">
        <v>62</v>
      </c>
    </row>
    <row r="475" ht="15.75" customHeight="1">
      <c r="A475" s="47" t="s">
        <v>1196</v>
      </c>
      <c r="B475" s="47" t="s">
        <v>1197</v>
      </c>
      <c r="C475" s="47" t="s">
        <v>61</v>
      </c>
      <c r="D475" s="47" t="s">
        <v>78</v>
      </c>
      <c r="E475" s="47" t="s">
        <v>79</v>
      </c>
      <c r="F475" s="47">
        <v>766.0</v>
      </c>
      <c r="G475" s="47">
        <v>23.64</v>
      </c>
      <c r="H475" s="47">
        <v>32.4</v>
      </c>
      <c r="I475" s="47" t="s">
        <v>62</v>
      </c>
    </row>
    <row r="476" ht="15.75" customHeight="1">
      <c r="A476" s="47" t="s">
        <v>1198</v>
      </c>
      <c r="B476" s="47" t="s">
        <v>1199</v>
      </c>
      <c r="C476" s="47" t="s">
        <v>61</v>
      </c>
      <c r="D476" s="47" t="s">
        <v>137</v>
      </c>
      <c r="E476" s="47" t="s">
        <v>138</v>
      </c>
      <c r="F476" s="47">
        <v>39.0</v>
      </c>
      <c r="G476" s="47">
        <v>5.48</v>
      </c>
      <c r="H476" s="47">
        <v>7.1</v>
      </c>
      <c r="I476" s="47" t="s">
        <v>75</v>
      </c>
    </row>
    <row r="477" ht="15.75" customHeight="1">
      <c r="A477" s="47" t="s">
        <v>1200</v>
      </c>
      <c r="B477" s="47" t="s">
        <v>1201</v>
      </c>
      <c r="C477" s="47" t="s">
        <v>61</v>
      </c>
      <c r="D477" s="47" t="s">
        <v>198</v>
      </c>
      <c r="E477" s="47" t="s">
        <v>217</v>
      </c>
      <c r="F477" s="47">
        <v>816.0</v>
      </c>
      <c r="G477" s="47">
        <v>9.92</v>
      </c>
      <c r="H477" s="47">
        <v>82.3</v>
      </c>
      <c r="I477" s="47" t="s">
        <v>62</v>
      </c>
    </row>
    <row r="478" ht="15.75" customHeight="1">
      <c r="A478" s="47" t="s">
        <v>1202</v>
      </c>
      <c r="B478" s="47" t="s">
        <v>1203</v>
      </c>
      <c r="C478" s="47" t="s">
        <v>61</v>
      </c>
      <c r="D478" s="47" t="s">
        <v>136</v>
      </c>
      <c r="E478" s="47" t="s">
        <v>189</v>
      </c>
      <c r="F478" s="47">
        <v>63.0</v>
      </c>
      <c r="G478" s="47">
        <v>6.74</v>
      </c>
      <c r="H478" s="47">
        <v>9.3</v>
      </c>
      <c r="I478" s="47" t="s">
        <v>75</v>
      </c>
    </row>
    <row r="479" ht="15.75" customHeight="1">
      <c r="A479" s="47" t="s">
        <v>1204</v>
      </c>
      <c r="B479" s="47" t="s">
        <v>1205</v>
      </c>
      <c r="C479" s="47" t="s">
        <v>61</v>
      </c>
      <c r="D479" s="47" t="s">
        <v>166</v>
      </c>
      <c r="E479" s="47" t="s">
        <v>168</v>
      </c>
      <c r="F479" s="47">
        <v>1207.0</v>
      </c>
      <c r="G479" s="47">
        <v>5.8</v>
      </c>
      <c r="H479" s="47">
        <v>208.1</v>
      </c>
      <c r="I479" s="47" t="s">
        <v>62</v>
      </c>
    </row>
    <row r="480" ht="15.75" customHeight="1">
      <c r="A480" s="47" t="s">
        <v>1206</v>
      </c>
      <c r="B480" s="47" t="s">
        <v>1207</v>
      </c>
      <c r="C480" s="47" t="s">
        <v>61</v>
      </c>
      <c r="D480" s="47" t="s">
        <v>94</v>
      </c>
      <c r="E480" s="47" t="s">
        <v>95</v>
      </c>
      <c r="F480" s="47">
        <v>839.0</v>
      </c>
      <c r="G480" s="47">
        <v>13.47</v>
      </c>
      <c r="H480" s="47">
        <v>62.3</v>
      </c>
      <c r="I480" s="47" t="s">
        <v>62</v>
      </c>
    </row>
    <row r="481" ht="15.75" customHeight="1">
      <c r="A481" s="47" t="s">
        <v>1208</v>
      </c>
      <c r="B481" s="47" t="s">
        <v>1209</v>
      </c>
      <c r="C481" s="47" t="s">
        <v>61</v>
      </c>
      <c r="D481" s="47" t="s">
        <v>140</v>
      </c>
      <c r="E481" s="47" t="s">
        <v>147</v>
      </c>
      <c r="F481" s="47">
        <v>1606.0</v>
      </c>
      <c r="G481" s="47">
        <v>6.26</v>
      </c>
      <c r="H481" s="47">
        <v>256.5</v>
      </c>
      <c r="I481" s="47" t="s">
        <v>62</v>
      </c>
    </row>
    <row r="482" ht="15.75" customHeight="1">
      <c r="A482" s="47" t="s">
        <v>1210</v>
      </c>
      <c r="B482" s="47" t="s">
        <v>1211</v>
      </c>
      <c r="C482" s="47" t="s">
        <v>61</v>
      </c>
      <c r="D482" s="47" t="s">
        <v>182</v>
      </c>
      <c r="E482" s="47" t="s">
        <v>357</v>
      </c>
      <c r="F482" s="47">
        <v>209.0</v>
      </c>
      <c r="G482" s="47">
        <v>15.37</v>
      </c>
      <c r="H482" s="47">
        <v>13.6</v>
      </c>
      <c r="I482" s="47" t="s">
        <v>75</v>
      </c>
    </row>
    <row r="483" ht="15.75" customHeight="1">
      <c r="A483" s="47" t="s">
        <v>1212</v>
      </c>
      <c r="B483" s="47" t="s">
        <v>1213</v>
      </c>
      <c r="C483" s="47" t="s">
        <v>61</v>
      </c>
      <c r="D483" s="47" t="s">
        <v>102</v>
      </c>
      <c r="E483" s="47" t="s">
        <v>103</v>
      </c>
      <c r="F483" s="47">
        <v>200.0</v>
      </c>
      <c r="G483" s="47">
        <v>11.15</v>
      </c>
      <c r="H483" s="47">
        <v>17.9</v>
      </c>
      <c r="I483" s="47" t="s">
        <v>75</v>
      </c>
    </row>
    <row r="484" ht="15.75" customHeight="1">
      <c r="A484" s="47" t="s">
        <v>1214</v>
      </c>
      <c r="B484" s="47" t="s">
        <v>1215</v>
      </c>
      <c r="C484" s="47" t="s">
        <v>61</v>
      </c>
      <c r="D484" s="47" t="s">
        <v>106</v>
      </c>
      <c r="E484" s="47" t="s">
        <v>107</v>
      </c>
      <c r="F484" s="47">
        <v>30.0</v>
      </c>
      <c r="G484" s="47">
        <v>3.27</v>
      </c>
      <c r="H484" s="47">
        <v>9.2</v>
      </c>
      <c r="I484" s="47" t="s">
        <v>75</v>
      </c>
    </row>
    <row r="485" ht="15.75" customHeight="1">
      <c r="A485" s="47" t="s">
        <v>1216</v>
      </c>
      <c r="B485" s="47" t="s">
        <v>1217</v>
      </c>
      <c r="C485" s="47" t="s">
        <v>61</v>
      </c>
      <c r="D485" s="47" t="s">
        <v>136</v>
      </c>
      <c r="E485" s="47" t="s">
        <v>189</v>
      </c>
      <c r="F485" s="47">
        <v>140.0</v>
      </c>
      <c r="G485" s="47">
        <v>2.95</v>
      </c>
      <c r="H485" s="47">
        <v>47.5</v>
      </c>
      <c r="I485" s="47" t="s">
        <v>75</v>
      </c>
    </row>
    <row r="486" ht="15.75" customHeight="1">
      <c r="A486" s="47" t="s">
        <v>1218</v>
      </c>
      <c r="B486" s="47" t="s">
        <v>1219</v>
      </c>
      <c r="C486" s="47" t="s">
        <v>61</v>
      </c>
      <c r="D486" s="47" t="s">
        <v>123</v>
      </c>
      <c r="E486" s="47" t="s">
        <v>181</v>
      </c>
      <c r="F486" s="47">
        <v>157.0</v>
      </c>
      <c r="G486" s="47">
        <v>7.53</v>
      </c>
      <c r="H486" s="47">
        <v>20.8</v>
      </c>
      <c r="I486" s="47" t="s">
        <v>75</v>
      </c>
    </row>
    <row r="487" ht="15.75" customHeight="1">
      <c r="A487" s="47" t="s">
        <v>1220</v>
      </c>
      <c r="B487" s="47" t="s">
        <v>1221</v>
      </c>
      <c r="C487" s="47" t="s">
        <v>61</v>
      </c>
      <c r="D487" s="47" t="s">
        <v>123</v>
      </c>
      <c r="E487" s="47" t="s">
        <v>181</v>
      </c>
      <c r="F487" s="47">
        <v>135.0</v>
      </c>
      <c r="G487" s="47">
        <v>4.01</v>
      </c>
      <c r="H487" s="47">
        <v>33.7</v>
      </c>
      <c r="I487" s="47" t="s">
        <v>75</v>
      </c>
    </row>
    <row r="488" ht="15.75" customHeight="1">
      <c r="A488" s="47" t="s">
        <v>1222</v>
      </c>
      <c r="B488" s="47" t="s">
        <v>1223</v>
      </c>
      <c r="C488" s="47" t="s">
        <v>61</v>
      </c>
      <c r="D488" s="47" t="s">
        <v>198</v>
      </c>
      <c r="E488" s="47" t="s">
        <v>217</v>
      </c>
      <c r="F488" s="47">
        <v>317.0</v>
      </c>
      <c r="G488" s="47">
        <v>9.85</v>
      </c>
      <c r="H488" s="47">
        <v>32.2</v>
      </c>
      <c r="I488" s="47" t="s">
        <v>75</v>
      </c>
    </row>
    <row r="489" ht="15.75" customHeight="1">
      <c r="A489" s="47" t="s">
        <v>1224</v>
      </c>
      <c r="B489" s="47" t="s">
        <v>1225</v>
      </c>
      <c r="C489" s="47" t="s">
        <v>61</v>
      </c>
      <c r="D489" s="47" t="s">
        <v>123</v>
      </c>
      <c r="E489" s="47" t="s">
        <v>181</v>
      </c>
      <c r="F489" s="47">
        <v>273.0</v>
      </c>
      <c r="G489" s="47">
        <v>10.34</v>
      </c>
      <c r="H489" s="47">
        <v>26.4</v>
      </c>
      <c r="I489" s="47" t="s">
        <v>75</v>
      </c>
    </row>
    <row r="490" ht="15.75" customHeight="1">
      <c r="A490" s="47" t="s">
        <v>1226</v>
      </c>
      <c r="B490" s="47" t="s">
        <v>1227</v>
      </c>
      <c r="C490" s="47" t="s">
        <v>61</v>
      </c>
      <c r="D490" s="47" t="s">
        <v>73</v>
      </c>
      <c r="E490" s="47" t="s">
        <v>74</v>
      </c>
      <c r="F490" s="47">
        <v>141.0</v>
      </c>
      <c r="G490" s="47">
        <v>9.84</v>
      </c>
      <c r="H490" s="47">
        <v>14.3</v>
      </c>
      <c r="I490" s="47" t="s">
        <v>75</v>
      </c>
    </row>
    <row r="491" ht="15.75" customHeight="1">
      <c r="A491" s="47" t="s">
        <v>1228</v>
      </c>
      <c r="B491" s="47" t="s">
        <v>1229</v>
      </c>
      <c r="C491" s="47" t="s">
        <v>61</v>
      </c>
      <c r="D491" s="47" t="s">
        <v>102</v>
      </c>
      <c r="E491" s="47" t="s">
        <v>103</v>
      </c>
      <c r="F491" s="47">
        <v>674.0</v>
      </c>
      <c r="G491" s="47">
        <v>11.47</v>
      </c>
      <c r="H491" s="47">
        <v>58.8</v>
      </c>
      <c r="I491" s="47" t="s">
        <v>62</v>
      </c>
    </row>
    <row r="492" ht="15.75" customHeight="1">
      <c r="A492" s="47" t="s">
        <v>1230</v>
      </c>
      <c r="B492" s="47" t="s">
        <v>1231</v>
      </c>
      <c r="C492" s="47" t="s">
        <v>61</v>
      </c>
      <c r="D492" s="47" t="s">
        <v>123</v>
      </c>
      <c r="E492" s="47" t="s">
        <v>181</v>
      </c>
      <c r="F492" s="47">
        <v>51.0</v>
      </c>
      <c r="G492" s="47">
        <v>4.82</v>
      </c>
      <c r="H492" s="47">
        <v>10.6</v>
      </c>
      <c r="I492" s="47" t="s">
        <v>75</v>
      </c>
    </row>
    <row r="493" ht="15.75" customHeight="1">
      <c r="A493" s="47" t="s">
        <v>1232</v>
      </c>
      <c r="B493" s="47" t="s">
        <v>1233</v>
      </c>
      <c r="C493" s="47" t="s">
        <v>61</v>
      </c>
      <c r="D493" s="47" t="s">
        <v>73</v>
      </c>
      <c r="E493" s="47" t="s">
        <v>74</v>
      </c>
      <c r="F493" s="47">
        <v>71.0</v>
      </c>
      <c r="G493" s="47">
        <v>7.37</v>
      </c>
      <c r="H493" s="47">
        <v>9.6</v>
      </c>
      <c r="I493" s="47" t="s">
        <v>75</v>
      </c>
    </row>
    <row r="494" ht="15.75" customHeight="1">
      <c r="A494" s="47" t="s">
        <v>1234</v>
      </c>
      <c r="B494" s="47" t="s">
        <v>1235</v>
      </c>
      <c r="C494" s="47" t="s">
        <v>61</v>
      </c>
      <c r="D494" s="47" t="s">
        <v>73</v>
      </c>
      <c r="E494" s="47" t="s">
        <v>74</v>
      </c>
      <c r="F494" s="47">
        <v>306.0</v>
      </c>
      <c r="G494" s="47">
        <v>8.49</v>
      </c>
      <c r="H494" s="47">
        <v>36.0</v>
      </c>
      <c r="I494" s="47" t="s">
        <v>75</v>
      </c>
    </row>
    <row r="495" ht="15.75" customHeight="1">
      <c r="A495" s="47" t="s">
        <v>1236</v>
      </c>
      <c r="B495" s="47" t="s">
        <v>1237</v>
      </c>
      <c r="C495" s="47" t="s">
        <v>61</v>
      </c>
      <c r="D495" s="47" t="s">
        <v>123</v>
      </c>
      <c r="E495" s="47" t="s">
        <v>181</v>
      </c>
      <c r="F495" s="47">
        <v>279.0</v>
      </c>
      <c r="G495" s="47">
        <v>22.77</v>
      </c>
      <c r="H495" s="47">
        <v>12.3</v>
      </c>
      <c r="I495" s="47" t="s">
        <v>75</v>
      </c>
    </row>
    <row r="496" ht="15.75" customHeight="1">
      <c r="A496" s="47" t="s">
        <v>1238</v>
      </c>
      <c r="B496" s="47" t="s">
        <v>1239</v>
      </c>
      <c r="C496" s="47" t="s">
        <v>61</v>
      </c>
      <c r="D496" s="47" t="s">
        <v>166</v>
      </c>
      <c r="E496" s="47" t="s">
        <v>168</v>
      </c>
      <c r="F496" s="47">
        <v>193.0</v>
      </c>
      <c r="G496" s="47">
        <v>15.63</v>
      </c>
      <c r="H496" s="47">
        <v>12.3</v>
      </c>
      <c r="I496" s="47" t="s">
        <v>75</v>
      </c>
    </row>
    <row r="497" ht="15.75" customHeight="1">
      <c r="A497" s="47" t="s">
        <v>1240</v>
      </c>
      <c r="B497" s="47" t="s">
        <v>1241</v>
      </c>
      <c r="C497" s="47" t="s">
        <v>61</v>
      </c>
      <c r="D497" s="47" t="s">
        <v>90</v>
      </c>
      <c r="E497" s="47" t="s">
        <v>91</v>
      </c>
      <c r="F497" s="47">
        <v>751.0</v>
      </c>
      <c r="G497" s="47">
        <v>9.96</v>
      </c>
      <c r="H497" s="47">
        <v>75.4</v>
      </c>
      <c r="I497" s="47" t="s">
        <v>62</v>
      </c>
    </row>
    <row r="498" ht="15.75" customHeight="1">
      <c r="A498" s="47" t="s">
        <v>1242</v>
      </c>
      <c r="B498" s="47" t="s">
        <v>1243</v>
      </c>
      <c r="C498" s="47" t="s">
        <v>61</v>
      </c>
      <c r="D498" s="47" t="s">
        <v>182</v>
      </c>
      <c r="E498" s="47" t="s">
        <v>357</v>
      </c>
      <c r="F498" s="47">
        <v>1305.0</v>
      </c>
      <c r="G498" s="47">
        <v>13.01</v>
      </c>
      <c r="H498" s="47">
        <v>100.3</v>
      </c>
      <c r="I498" s="47" t="s">
        <v>62</v>
      </c>
    </row>
    <row r="499" ht="15.75" customHeight="1">
      <c r="A499" s="47" t="s">
        <v>1244</v>
      </c>
      <c r="B499" s="47" t="s">
        <v>1245</v>
      </c>
      <c r="C499" s="47" t="s">
        <v>61</v>
      </c>
      <c r="D499" s="47" t="s">
        <v>156</v>
      </c>
      <c r="E499" s="47" t="s">
        <v>157</v>
      </c>
      <c r="F499" s="47">
        <v>79.0</v>
      </c>
      <c r="G499" s="47">
        <v>4.0</v>
      </c>
      <c r="H499" s="47">
        <v>19.8</v>
      </c>
      <c r="I499" s="47" t="s">
        <v>75</v>
      </c>
    </row>
    <row r="500" ht="15.75" customHeight="1">
      <c r="A500" s="47" t="s">
        <v>1246</v>
      </c>
      <c r="B500" s="47" t="s">
        <v>1247</v>
      </c>
      <c r="C500" s="47" t="s">
        <v>61</v>
      </c>
      <c r="D500" s="47" t="s">
        <v>90</v>
      </c>
      <c r="E500" s="47" t="s">
        <v>91</v>
      </c>
      <c r="F500" s="47">
        <v>70.0</v>
      </c>
      <c r="G500" s="47">
        <v>5.67</v>
      </c>
      <c r="H500" s="47">
        <v>12.3</v>
      </c>
      <c r="I500" s="47" t="s">
        <v>75</v>
      </c>
    </row>
    <row r="501" ht="15.75" customHeight="1">
      <c r="A501" s="47" t="s">
        <v>1248</v>
      </c>
      <c r="B501" s="47" t="s">
        <v>1249</v>
      </c>
      <c r="C501" s="47" t="s">
        <v>61</v>
      </c>
      <c r="D501" s="47" t="s">
        <v>123</v>
      </c>
      <c r="E501" s="47" t="s">
        <v>181</v>
      </c>
      <c r="F501" s="47">
        <v>684.0</v>
      </c>
      <c r="G501" s="47">
        <v>10.52</v>
      </c>
      <c r="H501" s="47">
        <v>65.0</v>
      </c>
      <c r="I501" s="47" t="s">
        <v>62</v>
      </c>
    </row>
    <row r="502" ht="15.75" customHeight="1">
      <c r="A502" s="47" t="s">
        <v>1250</v>
      </c>
      <c r="B502" s="47" t="s">
        <v>1251</v>
      </c>
      <c r="C502" s="47" t="s">
        <v>61</v>
      </c>
      <c r="D502" s="47" t="s">
        <v>140</v>
      </c>
      <c r="E502" s="47" t="s">
        <v>147</v>
      </c>
      <c r="F502" s="47">
        <v>544.0</v>
      </c>
      <c r="G502" s="47">
        <v>6.01</v>
      </c>
      <c r="H502" s="47">
        <v>90.5</v>
      </c>
      <c r="I502" s="47" t="s">
        <v>62</v>
      </c>
    </row>
    <row r="503" ht="15.75" customHeight="1">
      <c r="A503" s="47" t="s">
        <v>1252</v>
      </c>
      <c r="B503" s="47" t="s">
        <v>1253</v>
      </c>
      <c r="C503" s="47" t="s">
        <v>61</v>
      </c>
      <c r="D503" s="47" t="s">
        <v>166</v>
      </c>
      <c r="E503" s="47" t="s">
        <v>168</v>
      </c>
      <c r="F503" s="47">
        <v>98.0</v>
      </c>
      <c r="G503" s="47">
        <v>7.03</v>
      </c>
      <c r="H503" s="47">
        <v>13.9</v>
      </c>
      <c r="I503" s="47" t="s">
        <v>75</v>
      </c>
    </row>
    <row r="504" ht="15.75" customHeight="1">
      <c r="A504" s="47" t="s">
        <v>1254</v>
      </c>
      <c r="B504" s="47" t="s">
        <v>1255</v>
      </c>
      <c r="C504" s="47" t="s">
        <v>61</v>
      </c>
      <c r="D504" s="47" t="s">
        <v>102</v>
      </c>
      <c r="E504" s="47" t="s">
        <v>103</v>
      </c>
      <c r="F504" s="47">
        <v>469.0</v>
      </c>
      <c r="G504" s="47">
        <v>14.37</v>
      </c>
      <c r="H504" s="47">
        <v>32.6</v>
      </c>
      <c r="I504" s="47" t="s">
        <v>75</v>
      </c>
    </row>
    <row r="505" ht="15.75" customHeight="1">
      <c r="A505" s="47" t="s">
        <v>1256</v>
      </c>
      <c r="B505" s="47" t="s">
        <v>1257</v>
      </c>
      <c r="C505" s="47" t="s">
        <v>61</v>
      </c>
      <c r="D505" s="47" t="s">
        <v>102</v>
      </c>
      <c r="E505" s="47" t="s">
        <v>103</v>
      </c>
      <c r="F505" s="47">
        <v>208.0</v>
      </c>
      <c r="G505" s="47">
        <v>11.86</v>
      </c>
      <c r="H505" s="47">
        <v>17.5</v>
      </c>
      <c r="I505" s="47" t="s">
        <v>75</v>
      </c>
    </row>
    <row r="506" ht="15.75" customHeight="1">
      <c r="A506" s="47" t="s">
        <v>1258</v>
      </c>
      <c r="B506" s="47" t="s">
        <v>1259</v>
      </c>
      <c r="C506" s="47" t="s">
        <v>61</v>
      </c>
      <c r="D506" s="47" t="s">
        <v>73</v>
      </c>
      <c r="E506" s="47" t="s">
        <v>74</v>
      </c>
      <c r="F506" s="47">
        <v>185.0</v>
      </c>
      <c r="G506" s="47">
        <v>6.47</v>
      </c>
      <c r="H506" s="47">
        <v>28.6</v>
      </c>
      <c r="I506" s="47" t="s">
        <v>75</v>
      </c>
    </row>
    <row r="507" ht="15.75" customHeight="1">
      <c r="A507" s="47" t="s">
        <v>1260</v>
      </c>
      <c r="B507" s="47" t="s">
        <v>1261</v>
      </c>
      <c r="C507" s="47" t="s">
        <v>61</v>
      </c>
      <c r="D507" s="47" t="s">
        <v>86</v>
      </c>
      <c r="E507" s="47" t="s">
        <v>87</v>
      </c>
      <c r="F507" s="47">
        <v>74.0</v>
      </c>
      <c r="G507" s="47">
        <v>1.61</v>
      </c>
      <c r="H507" s="47">
        <v>46.0</v>
      </c>
      <c r="I507" s="47" t="s">
        <v>75</v>
      </c>
    </row>
    <row r="508" ht="15.75" customHeight="1">
      <c r="A508" s="47" t="s">
        <v>1262</v>
      </c>
      <c r="B508" s="47" t="s">
        <v>1263</v>
      </c>
      <c r="C508" s="47" t="s">
        <v>61</v>
      </c>
      <c r="D508" s="47" t="s">
        <v>86</v>
      </c>
      <c r="E508" s="47" t="s">
        <v>87</v>
      </c>
      <c r="F508" s="47">
        <v>141.0</v>
      </c>
      <c r="G508" s="47">
        <v>6.44</v>
      </c>
      <c r="H508" s="47">
        <v>21.9</v>
      </c>
      <c r="I508" s="47" t="s">
        <v>75</v>
      </c>
    </row>
    <row r="509" ht="15.75" customHeight="1">
      <c r="A509" s="47" t="s">
        <v>1264</v>
      </c>
      <c r="B509" s="47" t="s">
        <v>1265</v>
      </c>
      <c r="C509" s="47" t="s">
        <v>61</v>
      </c>
      <c r="D509" s="47" t="s">
        <v>94</v>
      </c>
      <c r="E509" s="47" t="s">
        <v>95</v>
      </c>
      <c r="F509" s="47">
        <v>994.0</v>
      </c>
      <c r="G509" s="47">
        <v>6.22</v>
      </c>
      <c r="H509" s="47">
        <v>159.8</v>
      </c>
      <c r="I509" s="47" t="s">
        <v>62</v>
      </c>
    </row>
    <row r="510" ht="15.75" customHeight="1">
      <c r="A510" s="47" t="s">
        <v>1266</v>
      </c>
      <c r="B510" s="47" t="s">
        <v>1267</v>
      </c>
      <c r="C510" s="47" t="s">
        <v>61</v>
      </c>
      <c r="D510" s="47" t="s">
        <v>106</v>
      </c>
      <c r="E510" s="47" t="s">
        <v>107</v>
      </c>
      <c r="F510" s="47">
        <v>117.0</v>
      </c>
      <c r="G510" s="47">
        <v>5.2</v>
      </c>
      <c r="H510" s="47">
        <v>22.5</v>
      </c>
      <c r="I510" s="47" t="s">
        <v>75</v>
      </c>
    </row>
    <row r="511" ht="15.75" customHeight="1">
      <c r="A511" s="47" t="s">
        <v>1268</v>
      </c>
      <c r="B511" s="47" t="s">
        <v>1269</v>
      </c>
      <c r="C511" s="47" t="s">
        <v>61</v>
      </c>
      <c r="D511" s="47" t="s">
        <v>78</v>
      </c>
      <c r="E511" s="47" t="s">
        <v>79</v>
      </c>
      <c r="F511" s="47">
        <v>44.0</v>
      </c>
      <c r="G511" s="47">
        <v>2.07</v>
      </c>
      <c r="H511" s="47">
        <v>21.3</v>
      </c>
      <c r="I511" s="47" t="s">
        <v>75</v>
      </c>
    </row>
    <row r="512" ht="15.75" customHeight="1">
      <c r="A512" s="47" t="s">
        <v>1270</v>
      </c>
      <c r="B512" s="47" t="s">
        <v>1271</v>
      </c>
      <c r="C512" s="47" t="s">
        <v>61</v>
      </c>
      <c r="D512" s="47" t="s">
        <v>165</v>
      </c>
      <c r="E512" s="47" t="s">
        <v>254</v>
      </c>
      <c r="F512" s="47">
        <v>115.0</v>
      </c>
      <c r="G512" s="47">
        <v>10.97</v>
      </c>
      <c r="H512" s="47">
        <v>10.5</v>
      </c>
      <c r="I512" s="47" t="s">
        <v>75</v>
      </c>
    </row>
    <row r="513" ht="15.75" customHeight="1">
      <c r="A513" s="47" t="s">
        <v>1272</v>
      </c>
      <c r="B513" s="47" t="s">
        <v>1273</v>
      </c>
      <c r="C513" s="47" t="s">
        <v>61</v>
      </c>
      <c r="D513" s="47" t="s">
        <v>106</v>
      </c>
      <c r="E513" s="47" t="s">
        <v>107</v>
      </c>
      <c r="F513" s="47">
        <v>88.0</v>
      </c>
      <c r="G513" s="47">
        <v>3.36</v>
      </c>
      <c r="H513" s="47">
        <v>26.2</v>
      </c>
      <c r="I513" s="47" t="s">
        <v>75</v>
      </c>
    </row>
    <row r="514" ht="15.75" customHeight="1">
      <c r="A514" s="47" t="s">
        <v>1274</v>
      </c>
      <c r="B514" s="47" t="s">
        <v>1275</v>
      </c>
      <c r="C514" s="47" t="s">
        <v>61</v>
      </c>
      <c r="D514" s="47" t="s">
        <v>90</v>
      </c>
      <c r="E514" s="47" t="s">
        <v>91</v>
      </c>
      <c r="F514" s="47">
        <v>186.0</v>
      </c>
      <c r="G514" s="47">
        <v>7.43</v>
      </c>
      <c r="H514" s="47">
        <v>25.0</v>
      </c>
      <c r="I514" s="47" t="s">
        <v>75</v>
      </c>
    </row>
    <row r="515" ht="15.75" customHeight="1">
      <c r="A515" s="47" t="s">
        <v>1276</v>
      </c>
      <c r="B515" s="47" t="s">
        <v>1277</v>
      </c>
      <c r="C515" s="47" t="s">
        <v>61</v>
      </c>
      <c r="D515" s="47" t="s">
        <v>123</v>
      </c>
      <c r="E515" s="47" t="s">
        <v>181</v>
      </c>
      <c r="F515" s="47">
        <v>86.0</v>
      </c>
      <c r="G515" s="47">
        <v>3.73</v>
      </c>
      <c r="H515" s="47">
        <v>23.1</v>
      </c>
      <c r="I515" s="47" t="s">
        <v>75</v>
      </c>
    </row>
    <row r="516" ht="15.75" customHeight="1">
      <c r="A516" s="47" t="s">
        <v>1278</v>
      </c>
      <c r="B516" s="47" t="s">
        <v>1279</v>
      </c>
      <c r="C516" s="47" t="s">
        <v>61</v>
      </c>
      <c r="D516" s="47" t="s">
        <v>198</v>
      </c>
      <c r="E516" s="47" t="s">
        <v>217</v>
      </c>
      <c r="F516" s="47">
        <v>659.0</v>
      </c>
      <c r="G516" s="47">
        <v>6.28</v>
      </c>
      <c r="H516" s="47">
        <v>104.9</v>
      </c>
      <c r="I516" s="47" t="s">
        <v>62</v>
      </c>
    </row>
    <row r="517" ht="15.75" customHeight="1">
      <c r="A517" s="47" t="s">
        <v>1280</v>
      </c>
      <c r="B517" s="47" t="s">
        <v>1281</v>
      </c>
      <c r="C517" s="47" t="s">
        <v>61</v>
      </c>
      <c r="D517" s="47" t="s">
        <v>123</v>
      </c>
      <c r="E517" s="47" t="s">
        <v>181</v>
      </c>
      <c r="F517" s="47">
        <v>1189.0</v>
      </c>
      <c r="G517" s="47">
        <v>17.3</v>
      </c>
      <c r="H517" s="47">
        <v>68.7</v>
      </c>
      <c r="I517" s="47" t="s">
        <v>62</v>
      </c>
    </row>
    <row r="518" ht="15.75" customHeight="1">
      <c r="A518" s="47" t="s">
        <v>1282</v>
      </c>
      <c r="B518" s="47" t="s">
        <v>1283</v>
      </c>
      <c r="C518" s="47" t="s">
        <v>61</v>
      </c>
      <c r="D518" s="47" t="s">
        <v>78</v>
      </c>
      <c r="E518" s="47" t="s">
        <v>79</v>
      </c>
      <c r="F518" s="47">
        <v>424.0</v>
      </c>
      <c r="G518" s="47">
        <v>2.9</v>
      </c>
      <c r="H518" s="47">
        <v>146.2</v>
      </c>
      <c r="I518" s="47" t="s">
        <v>75</v>
      </c>
    </row>
    <row r="519" ht="15.75" customHeight="1">
      <c r="A519" s="47" t="s">
        <v>1284</v>
      </c>
      <c r="B519" s="47" t="s">
        <v>1285</v>
      </c>
      <c r="C519" s="47" t="s">
        <v>61</v>
      </c>
      <c r="D519" s="47" t="s">
        <v>50</v>
      </c>
      <c r="E519" s="47" t="s">
        <v>49</v>
      </c>
      <c r="F519" s="47">
        <v>80.0</v>
      </c>
      <c r="G519" s="47">
        <v>1.92</v>
      </c>
      <c r="H519" s="47">
        <v>41.7</v>
      </c>
      <c r="I519" s="47" t="s">
        <v>75</v>
      </c>
    </row>
    <row r="520" ht="15.75" customHeight="1">
      <c r="A520" s="47" t="s">
        <v>1286</v>
      </c>
      <c r="B520" s="47" t="s">
        <v>1287</v>
      </c>
      <c r="C520" s="47" t="s">
        <v>61</v>
      </c>
      <c r="D520" s="47" t="s">
        <v>123</v>
      </c>
      <c r="E520" s="47" t="s">
        <v>181</v>
      </c>
      <c r="F520" s="47">
        <v>1943.0</v>
      </c>
      <c r="G520" s="47">
        <v>17.98</v>
      </c>
      <c r="H520" s="47">
        <v>108.1</v>
      </c>
      <c r="I520" s="47" t="s">
        <v>62</v>
      </c>
    </row>
    <row r="521" ht="15.75" customHeight="1">
      <c r="A521" s="47" t="s">
        <v>1288</v>
      </c>
      <c r="B521" s="47" t="s">
        <v>1289</v>
      </c>
      <c r="C521" s="47" t="s">
        <v>61</v>
      </c>
      <c r="D521" s="47" t="s">
        <v>156</v>
      </c>
      <c r="E521" s="47" t="s">
        <v>157</v>
      </c>
      <c r="F521" s="47">
        <v>602.0</v>
      </c>
      <c r="G521" s="47">
        <v>8.45</v>
      </c>
      <c r="H521" s="47">
        <v>71.2</v>
      </c>
      <c r="I521" s="47" t="s">
        <v>62</v>
      </c>
    </row>
    <row r="522" ht="15.75" customHeight="1">
      <c r="A522" s="47" t="s">
        <v>1290</v>
      </c>
      <c r="B522" s="47" t="s">
        <v>1291</v>
      </c>
      <c r="C522" s="47" t="s">
        <v>61</v>
      </c>
      <c r="D522" s="47" t="s">
        <v>73</v>
      </c>
      <c r="E522" s="47" t="s">
        <v>74</v>
      </c>
      <c r="F522" s="47">
        <v>187.0</v>
      </c>
      <c r="G522" s="47">
        <v>9.94</v>
      </c>
      <c r="H522" s="47">
        <v>18.8</v>
      </c>
      <c r="I522" s="47" t="s">
        <v>75</v>
      </c>
    </row>
    <row r="523" ht="15.75" customHeight="1">
      <c r="A523" s="47" t="s">
        <v>1292</v>
      </c>
      <c r="B523" s="47" t="s">
        <v>1293</v>
      </c>
      <c r="C523" s="47" t="s">
        <v>61</v>
      </c>
      <c r="D523" s="47" t="s">
        <v>50</v>
      </c>
      <c r="E523" s="47" t="s">
        <v>49</v>
      </c>
      <c r="F523" s="47">
        <v>197.0</v>
      </c>
      <c r="G523" s="47">
        <v>3.82</v>
      </c>
      <c r="H523" s="47">
        <v>51.6</v>
      </c>
      <c r="I523" s="47" t="s">
        <v>75</v>
      </c>
    </row>
    <row r="524" ht="15.75" customHeight="1">
      <c r="A524" s="47" t="s">
        <v>1294</v>
      </c>
      <c r="B524" s="47" t="s">
        <v>1295</v>
      </c>
      <c r="C524" s="47" t="s">
        <v>61</v>
      </c>
      <c r="D524" s="47" t="s">
        <v>165</v>
      </c>
      <c r="E524" s="47" t="s">
        <v>254</v>
      </c>
      <c r="F524" s="47">
        <v>61.0</v>
      </c>
      <c r="G524" s="47">
        <v>5.16</v>
      </c>
      <c r="H524" s="47">
        <v>11.8</v>
      </c>
      <c r="I524" s="47" t="s">
        <v>75</v>
      </c>
    </row>
    <row r="525" ht="15.75" customHeight="1">
      <c r="A525" s="47" t="s">
        <v>1296</v>
      </c>
      <c r="B525" s="47" t="s">
        <v>1297</v>
      </c>
      <c r="C525" s="47" t="s">
        <v>61</v>
      </c>
      <c r="D525" s="47" t="s">
        <v>165</v>
      </c>
      <c r="E525" s="47" t="s">
        <v>254</v>
      </c>
      <c r="F525" s="47">
        <v>394.0</v>
      </c>
      <c r="G525" s="47">
        <v>10.92</v>
      </c>
      <c r="H525" s="47">
        <v>36.1</v>
      </c>
      <c r="I525" s="47" t="s">
        <v>75</v>
      </c>
    </row>
    <row r="526" ht="15.75" customHeight="1">
      <c r="A526" s="47" t="s">
        <v>1298</v>
      </c>
      <c r="B526" s="47" t="s">
        <v>1299</v>
      </c>
      <c r="C526" s="47" t="s">
        <v>61</v>
      </c>
      <c r="D526" s="47" t="s">
        <v>140</v>
      </c>
      <c r="E526" s="47" t="s">
        <v>147</v>
      </c>
      <c r="F526" s="47">
        <v>848.0</v>
      </c>
      <c r="G526" s="47">
        <v>8.07</v>
      </c>
      <c r="H526" s="47">
        <v>105.1</v>
      </c>
      <c r="I526" s="47" t="s">
        <v>62</v>
      </c>
    </row>
    <row r="527" ht="15.75" customHeight="1">
      <c r="A527" s="47" t="s">
        <v>1300</v>
      </c>
      <c r="B527" s="47" t="s">
        <v>1301</v>
      </c>
      <c r="C527" s="47" t="s">
        <v>61</v>
      </c>
      <c r="D527" s="47" t="s">
        <v>86</v>
      </c>
      <c r="E527" s="47" t="s">
        <v>87</v>
      </c>
      <c r="F527" s="47">
        <v>121.0</v>
      </c>
      <c r="G527" s="47">
        <v>4.5</v>
      </c>
      <c r="H527" s="47">
        <v>26.9</v>
      </c>
      <c r="I527" s="47" t="s">
        <v>75</v>
      </c>
    </row>
    <row r="528" ht="15.75" customHeight="1">
      <c r="A528" s="47" t="s">
        <v>1302</v>
      </c>
      <c r="B528" s="47" t="s">
        <v>1303</v>
      </c>
      <c r="C528" s="47" t="s">
        <v>61</v>
      </c>
      <c r="D528" s="47" t="s">
        <v>90</v>
      </c>
      <c r="E528" s="47" t="s">
        <v>91</v>
      </c>
      <c r="F528" s="47">
        <v>116.0</v>
      </c>
      <c r="G528" s="47">
        <v>3.67</v>
      </c>
      <c r="H528" s="47">
        <v>31.6</v>
      </c>
      <c r="I528" s="47" t="s">
        <v>75</v>
      </c>
    </row>
    <row r="529" ht="15.75" customHeight="1">
      <c r="A529" s="47" t="s">
        <v>1304</v>
      </c>
      <c r="B529" s="47" t="s">
        <v>1305</v>
      </c>
      <c r="C529" s="47" t="s">
        <v>61</v>
      </c>
      <c r="D529" s="47" t="s">
        <v>94</v>
      </c>
      <c r="E529" s="47" t="s">
        <v>95</v>
      </c>
      <c r="F529" s="47">
        <v>170.0</v>
      </c>
      <c r="G529" s="47">
        <v>6.47</v>
      </c>
      <c r="H529" s="47">
        <v>26.3</v>
      </c>
      <c r="I529" s="47" t="s">
        <v>75</v>
      </c>
    </row>
    <row r="530" ht="15.75" customHeight="1">
      <c r="A530" s="47" t="s">
        <v>1306</v>
      </c>
      <c r="B530" s="47" t="s">
        <v>1307</v>
      </c>
      <c r="C530" s="47" t="s">
        <v>61</v>
      </c>
      <c r="D530" s="47" t="s">
        <v>78</v>
      </c>
      <c r="E530" s="47" t="s">
        <v>79</v>
      </c>
      <c r="F530" s="47">
        <v>225.0</v>
      </c>
      <c r="G530" s="47">
        <v>31.6</v>
      </c>
      <c r="H530" s="47">
        <v>7.1</v>
      </c>
      <c r="I530" s="47" t="s">
        <v>75</v>
      </c>
    </row>
    <row r="531" ht="15.75" customHeight="1">
      <c r="A531" s="47" t="s">
        <v>1308</v>
      </c>
      <c r="B531" s="47" t="s">
        <v>1309</v>
      </c>
      <c r="C531" s="47" t="s">
        <v>61</v>
      </c>
      <c r="D531" s="47" t="s">
        <v>123</v>
      </c>
      <c r="E531" s="47" t="s">
        <v>181</v>
      </c>
      <c r="F531" s="47">
        <v>1106.0</v>
      </c>
      <c r="G531" s="47">
        <v>6.91</v>
      </c>
      <c r="H531" s="47">
        <v>160.1</v>
      </c>
      <c r="I531" s="47" t="s">
        <v>62</v>
      </c>
    </row>
    <row r="532" ht="15.75" customHeight="1">
      <c r="A532" s="47" t="s">
        <v>1310</v>
      </c>
      <c r="B532" s="47" t="s">
        <v>1311</v>
      </c>
      <c r="C532" s="47" t="s">
        <v>61</v>
      </c>
      <c r="D532" s="47" t="s">
        <v>182</v>
      </c>
      <c r="E532" s="47" t="s">
        <v>357</v>
      </c>
      <c r="F532" s="47">
        <v>2134.0</v>
      </c>
      <c r="G532" s="47">
        <v>24.1</v>
      </c>
      <c r="H532" s="47">
        <v>88.5</v>
      </c>
      <c r="I532" s="47" t="s">
        <v>142</v>
      </c>
    </row>
    <row r="533" ht="15.75" customHeight="1">
      <c r="A533" s="47" t="s">
        <v>1312</v>
      </c>
      <c r="B533" s="47" t="s">
        <v>1313</v>
      </c>
      <c r="C533" s="47" t="s">
        <v>61</v>
      </c>
      <c r="D533" s="47" t="s">
        <v>166</v>
      </c>
      <c r="E533" s="47" t="s">
        <v>168</v>
      </c>
      <c r="F533" s="47">
        <v>68.0</v>
      </c>
      <c r="G533" s="47">
        <v>5.48</v>
      </c>
      <c r="H533" s="47">
        <v>12.4</v>
      </c>
      <c r="I533" s="47" t="s">
        <v>75</v>
      </c>
    </row>
    <row r="534" ht="15.75" customHeight="1">
      <c r="A534" s="47" t="s">
        <v>1314</v>
      </c>
      <c r="B534" s="47" t="s">
        <v>1315</v>
      </c>
      <c r="C534" s="47" t="s">
        <v>61</v>
      </c>
      <c r="D534" s="47" t="s">
        <v>102</v>
      </c>
      <c r="E534" s="47" t="s">
        <v>103</v>
      </c>
      <c r="F534" s="47">
        <v>124.0</v>
      </c>
      <c r="G534" s="47">
        <v>5.19</v>
      </c>
      <c r="H534" s="47">
        <v>23.9</v>
      </c>
      <c r="I534" s="47" t="s">
        <v>75</v>
      </c>
    </row>
    <row r="535" ht="15.75" customHeight="1">
      <c r="A535" s="47" t="s">
        <v>1316</v>
      </c>
      <c r="B535" s="47" t="s">
        <v>1317</v>
      </c>
      <c r="C535" s="47" t="s">
        <v>61</v>
      </c>
      <c r="D535" s="47" t="s">
        <v>165</v>
      </c>
      <c r="E535" s="47" t="s">
        <v>254</v>
      </c>
      <c r="F535" s="47">
        <v>2468.0</v>
      </c>
      <c r="G535" s="47">
        <v>48.57</v>
      </c>
      <c r="H535" s="47">
        <v>50.8</v>
      </c>
      <c r="I535" s="47" t="s">
        <v>142</v>
      </c>
    </row>
    <row r="536" ht="15.75" customHeight="1">
      <c r="A536" s="47" t="s">
        <v>1318</v>
      </c>
      <c r="B536" s="47" t="s">
        <v>1319</v>
      </c>
      <c r="C536" s="47" t="s">
        <v>61</v>
      </c>
      <c r="D536" s="47" t="s">
        <v>73</v>
      </c>
      <c r="E536" s="47" t="s">
        <v>74</v>
      </c>
      <c r="F536" s="47">
        <v>527.0</v>
      </c>
      <c r="G536" s="47">
        <v>16.69</v>
      </c>
      <c r="H536" s="47">
        <v>31.6</v>
      </c>
      <c r="I536" s="47" t="s">
        <v>62</v>
      </c>
    </row>
    <row r="537" ht="15.75" customHeight="1">
      <c r="A537" s="47" t="s">
        <v>1320</v>
      </c>
      <c r="B537" s="47" t="s">
        <v>1321</v>
      </c>
      <c r="C537" s="47" t="s">
        <v>61</v>
      </c>
      <c r="D537" s="47" t="s">
        <v>73</v>
      </c>
      <c r="E537" s="47" t="s">
        <v>74</v>
      </c>
      <c r="F537" s="47">
        <v>239.0</v>
      </c>
      <c r="G537" s="47">
        <v>8.05</v>
      </c>
      <c r="H537" s="47">
        <v>29.7</v>
      </c>
      <c r="I537" s="47" t="s">
        <v>75</v>
      </c>
    </row>
    <row r="538" ht="15.75" customHeight="1">
      <c r="A538" s="47" t="s">
        <v>1322</v>
      </c>
      <c r="B538" s="47" t="s">
        <v>1323</v>
      </c>
      <c r="C538" s="47" t="s">
        <v>61</v>
      </c>
      <c r="D538" s="47" t="s">
        <v>136</v>
      </c>
      <c r="E538" s="47" t="s">
        <v>189</v>
      </c>
      <c r="F538" s="47">
        <v>143.0</v>
      </c>
      <c r="G538" s="47">
        <v>3.49</v>
      </c>
      <c r="H538" s="47">
        <v>41.0</v>
      </c>
      <c r="I538" s="47" t="s">
        <v>75</v>
      </c>
    </row>
    <row r="539" ht="15.75" customHeight="1">
      <c r="A539" s="47" t="s">
        <v>1324</v>
      </c>
      <c r="B539" s="47" t="s">
        <v>1325</v>
      </c>
      <c r="C539" s="47" t="s">
        <v>61</v>
      </c>
      <c r="D539" s="47" t="s">
        <v>102</v>
      </c>
      <c r="E539" s="47" t="s">
        <v>103</v>
      </c>
      <c r="F539" s="47">
        <v>202.0</v>
      </c>
      <c r="G539" s="47">
        <v>9.25</v>
      </c>
      <c r="H539" s="47">
        <v>21.8</v>
      </c>
      <c r="I539" s="47" t="s">
        <v>75</v>
      </c>
    </row>
    <row r="540" ht="15.75" customHeight="1">
      <c r="A540" s="47" t="s">
        <v>1326</v>
      </c>
      <c r="B540" s="47" t="s">
        <v>1327</v>
      </c>
      <c r="C540" s="47" t="s">
        <v>61</v>
      </c>
      <c r="D540" s="47" t="s">
        <v>82</v>
      </c>
      <c r="E540" s="47" t="s">
        <v>83</v>
      </c>
      <c r="F540" s="47">
        <v>132.0</v>
      </c>
      <c r="G540" s="47">
        <v>7.23</v>
      </c>
      <c r="H540" s="47">
        <v>18.3</v>
      </c>
      <c r="I540" s="47" t="s">
        <v>75</v>
      </c>
    </row>
    <row r="541" ht="15.75" customHeight="1">
      <c r="A541" s="47" t="s">
        <v>1328</v>
      </c>
      <c r="B541" s="47" t="s">
        <v>1329</v>
      </c>
      <c r="C541" s="47" t="s">
        <v>61</v>
      </c>
      <c r="D541" s="47" t="s">
        <v>67</v>
      </c>
      <c r="E541" s="47" t="s">
        <v>68</v>
      </c>
      <c r="F541" s="47">
        <v>825.0</v>
      </c>
      <c r="G541" s="47">
        <v>16.29</v>
      </c>
      <c r="H541" s="47">
        <v>50.6</v>
      </c>
      <c r="I541" s="47" t="s">
        <v>62</v>
      </c>
    </row>
    <row r="542" ht="15.75" customHeight="1">
      <c r="A542" s="47" t="s">
        <v>1330</v>
      </c>
      <c r="B542" s="47" t="s">
        <v>1331</v>
      </c>
      <c r="C542" s="47" t="s">
        <v>61</v>
      </c>
      <c r="D542" s="47" t="s">
        <v>86</v>
      </c>
      <c r="E542" s="47" t="s">
        <v>87</v>
      </c>
      <c r="F542" s="47">
        <v>293.0</v>
      </c>
      <c r="G542" s="47">
        <v>2.86</v>
      </c>
      <c r="H542" s="47">
        <v>102.4</v>
      </c>
      <c r="I542" s="47" t="s">
        <v>75</v>
      </c>
    </row>
    <row r="543" ht="15.75" customHeight="1">
      <c r="A543" s="47" t="s">
        <v>1332</v>
      </c>
      <c r="B543" s="47" t="s">
        <v>1333</v>
      </c>
      <c r="C543" s="47" t="s">
        <v>61</v>
      </c>
      <c r="D543" s="47" t="s">
        <v>50</v>
      </c>
      <c r="E543" s="47" t="s">
        <v>49</v>
      </c>
      <c r="F543" s="47">
        <v>1109.0</v>
      </c>
      <c r="G543" s="47">
        <v>6.18</v>
      </c>
      <c r="H543" s="47">
        <v>179.4</v>
      </c>
      <c r="I543" s="47" t="s">
        <v>62</v>
      </c>
    </row>
    <row r="544" ht="15.75" customHeight="1">
      <c r="A544" s="47" t="s">
        <v>1334</v>
      </c>
      <c r="B544" s="47" t="s">
        <v>1335</v>
      </c>
      <c r="C544" s="47" t="s">
        <v>61</v>
      </c>
      <c r="D544" s="47" t="s">
        <v>156</v>
      </c>
      <c r="E544" s="47" t="s">
        <v>157</v>
      </c>
      <c r="F544" s="47">
        <v>269.0</v>
      </c>
      <c r="G544" s="47">
        <v>6.55</v>
      </c>
      <c r="H544" s="47">
        <v>41.1</v>
      </c>
      <c r="I544" s="47" t="s">
        <v>75</v>
      </c>
    </row>
    <row r="545" ht="15.75" customHeight="1">
      <c r="A545" s="47" t="s">
        <v>1336</v>
      </c>
      <c r="B545" s="47" t="s">
        <v>1337</v>
      </c>
      <c r="C545" s="47" t="s">
        <v>61</v>
      </c>
      <c r="D545" s="47" t="s">
        <v>102</v>
      </c>
      <c r="E545" s="47" t="s">
        <v>103</v>
      </c>
      <c r="F545" s="47">
        <v>176.0</v>
      </c>
      <c r="G545" s="47">
        <v>11.99</v>
      </c>
      <c r="H545" s="47">
        <v>14.7</v>
      </c>
      <c r="I545" s="47" t="s">
        <v>75</v>
      </c>
    </row>
    <row r="546" ht="15.75" customHeight="1">
      <c r="A546" s="47" t="s">
        <v>1338</v>
      </c>
      <c r="B546" s="47" t="s">
        <v>1339</v>
      </c>
      <c r="C546" s="47" t="s">
        <v>61</v>
      </c>
      <c r="D546" s="47" t="s">
        <v>82</v>
      </c>
      <c r="E546" s="47" t="s">
        <v>83</v>
      </c>
      <c r="F546" s="47">
        <v>438.0</v>
      </c>
      <c r="G546" s="47">
        <v>10.85</v>
      </c>
      <c r="H546" s="47">
        <v>40.4</v>
      </c>
      <c r="I546" s="47" t="s">
        <v>75</v>
      </c>
    </row>
    <row r="547" ht="15.75" customHeight="1">
      <c r="A547" s="47" t="s">
        <v>1340</v>
      </c>
      <c r="B547" s="47" t="s">
        <v>1341</v>
      </c>
      <c r="C547" s="47" t="s">
        <v>61</v>
      </c>
      <c r="D547" s="47" t="s">
        <v>140</v>
      </c>
      <c r="E547" s="47" t="s">
        <v>147</v>
      </c>
      <c r="F547" s="47">
        <v>169.0</v>
      </c>
      <c r="G547" s="47">
        <v>5.35</v>
      </c>
      <c r="H547" s="47">
        <v>31.6</v>
      </c>
      <c r="I547" s="47" t="s">
        <v>75</v>
      </c>
    </row>
    <row r="548" ht="15.75" customHeight="1">
      <c r="A548" s="47" t="s">
        <v>1342</v>
      </c>
      <c r="B548" s="47" t="s">
        <v>1343</v>
      </c>
      <c r="C548" s="47" t="s">
        <v>61</v>
      </c>
      <c r="D548" s="47" t="s">
        <v>140</v>
      </c>
      <c r="E548" s="47" t="s">
        <v>147</v>
      </c>
      <c r="F548" s="47">
        <v>660.0</v>
      </c>
      <c r="G548" s="47">
        <v>7.23</v>
      </c>
      <c r="H548" s="47">
        <v>91.3</v>
      </c>
      <c r="I548" s="47" t="s">
        <v>62</v>
      </c>
    </row>
    <row r="549" ht="15.75" customHeight="1">
      <c r="A549" s="47" t="s">
        <v>1344</v>
      </c>
      <c r="B549" s="47" t="s">
        <v>1345</v>
      </c>
      <c r="C549" s="47" t="s">
        <v>61</v>
      </c>
      <c r="D549" s="47" t="s">
        <v>78</v>
      </c>
      <c r="E549" s="47" t="s">
        <v>79</v>
      </c>
      <c r="F549" s="47">
        <v>490.0</v>
      </c>
      <c r="G549" s="47">
        <v>8.73</v>
      </c>
      <c r="H549" s="47">
        <v>56.1</v>
      </c>
      <c r="I549" s="47" t="s">
        <v>75</v>
      </c>
    </row>
    <row r="550" ht="15.75" customHeight="1">
      <c r="A550" s="47" t="s">
        <v>1346</v>
      </c>
      <c r="B550" s="47" t="s">
        <v>1347</v>
      </c>
      <c r="C550" s="47" t="s">
        <v>61</v>
      </c>
      <c r="D550" s="47" t="s">
        <v>136</v>
      </c>
      <c r="E550" s="47" t="s">
        <v>189</v>
      </c>
      <c r="F550" s="47">
        <v>53.0</v>
      </c>
      <c r="G550" s="47">
        <v>2.41</v>
      </c>
      <c r="H550" s="47">
        <v>22.0</v>
      </c>
      <c r="I550" s="47" t="s">
        <v>75</v>
      </c>
    </row>
    <row r="551" ht="15.75" customHeight="1">
      <c r="A551" s="47" t="s">
        <v>1348</v>
      </c>
      <c r="B551" s="47" t="s">
        <v>1349</v>
      </c>
      <c r="C551" s="47" t="s">
        <v>61</v>
      </c>
      <c r="D551" s="47" t="s">
        <v>156</v>
      </c>
      <c r="E551" s="47" t="s">
        <v>157</v>
      </c>
      <c r="F551" s="47">
        <v>1354.0</v>
      </c>
      <c r="G551" s="47">
        <v>16.35</v>
      </c>
      <c r="H551" s="47">
        <v>82.8</v>
      </c>
      <c r="I551" s="47" t="s">
        <v>62</v>
      </c>
    </row>
    <row r="552" ht="15.75" customHeight="1">
      <c r="A552" s="47" t="s">
        <v>1350</v>
      </c>
      <c r="B552" s="47" t="s">
        <v>1351</v>
      </c>
      <c r="C552" s="47" t="s">
        <v>61</v>
      </c>
      <c r="D552" s="47" t="s">
        <v>94</v>
      </c>
      <c r="E552" s="47" t="s">
        <v>95</v>
      </c>
      <c r="F552" s="47">
        <v>1587.0</v>
      </c>
      <c r="G552" s="47">
        <v>23.26</v>
      </c>
      <c r="H552" s="47">
        <v>68.2</v>
      </c>
      <c r="I552" s="47" t="s">
        <v>62</v>
      </c>
    </row>
    <row r="553" ht="15.75" customHeight="1">
      <c r="A553" s="47" t="s">
        <v>1352</v>
      </c>
      <c r="B553" s="47" t="s">
        <v>1353</v>
      </c>
      <c r="C553" s="47" t="s">
        <v>61</v>
      </c>
      <c r="D553" s="47" t="s">
        <v>67</v>
      </c>
      <c r="E553" s="47" t="s">
        <v>68</v>
      </c>
      <c r="F553" s="47">
        <v>325.0</v>
      </c>
      <c r="G553" s="47">
        <v>5.24</v>
      </c>
      <c r="H553" s="47">
        <v>62.0</v>
      </c>
      <c r="I553" s="47" t="s">
        <v>75</v>
      </c>
    </row>
    <row r="554" ht="15.75" customHeight="1">
      <c r="A554" s="47" t="s">
        <v>1354</v>
      </c>
      <c r="B554" s="47" t="s">
        <v>1355</v>
      </c>
      <c r="C554" s="47" t="s">
        <v>61</v>
      </c>
      <c r="D554" s="47" t="s">
        <v>90</v>
      </c>
      <c r="E554" s="47" t="s">
        <v>91</v>
      </c>
      <c r="F554" s="47">
        <v>92.0</v>
      </c>
      <c r="G554" s="47">
        <v>9.15</v>
      </c>
      <c r="H554" s="47">
        <v>10.1</v>
      </c>
      <c r="I554" s="47" t="s">
        <v>75</v>
      </c>
    </row>
    <row r="555" ht="15.75" customHeight="1">
      <c r="A555" s="47" t="s">
        <v>1356</v>
      </c>
      <c r="B555" s="47" t="s">
        <v>1357</v>
      </c>
      <c r="C555" s="47" t="s">
        <v>61</v>
      </c>
      <c r="D555" s="47" t="s">
        <v>86</v>
      </c>
      <c r="E555" s="47" t="s">
        <v>87</v>
      </c>
      <c r="F555" s="47">
        <v>80.0</v>
      </c>
      <c r="G555" s="47">
        <v>4.35</v>
      </c>
      <c r="H555" s="47">
        <v>18.4</v>
      </c>
      <c r="I555" s="47" t="s">
        <v>75</v>
      </c>
    </row>
    <row r="556" ht="15.75" customHeight="1">
      <c r="A556" s="47" t="s">
        <v>1358</v>
      </c>
      <c r="B556" s="47" t="s">
        <v>1359</v>
      </c>
      <c r="C556" s="47" t="s">
        <v>61</v>
      </c>
      <c r="D556" s="47" t="s">
        <v>106</v>
      </c>
      <c r="E556" s="47" t="s">
        <v>107</v>
      </c>
      <c r="F556" s="47">
        <v>131.0</v>
      </c>
      <c r="G556" s="47">
        <v>7.24</v>
      </c>
      <c r="H556" s="47">
        <v>18.1</v>
      </c>
      <c r="I556" s="47" t="s">
        <v>75</v>
      </c>
    </row>
    <row r="557" ht="15.75" customHeight="1">
      <c r="A557" s="47" t="s">
        <v>1360</v>
      </c>
      <c r="B557" s="47" t="s">
        <v>1361</v>
      </c>
      <c r="C557" s="47" t="s">
        <v>61</v>
      </c>
      <c r="D557" s="47" t="s">
        <v>106</v>
      </c>
      <c r="E557" s="47" t="s">
        <v>107</v>
      </c>
      <c r="F557" s="47">
        <v>785.0</v>
      </c>
      <c r="G557" s="47">
        <v>15.09</v>
      </c>
      <c r="H557" s="47">
        <v>52.0</v>
      </c>
      <c r="I557" s="47" t="s">
        <v>62</v>
      </c>
    </row>
    <row r="558" ht="15.75" customHeight="1">
      <c r="A558" s="47" t="s">
        <v>1362</v>
      </c>
      <c r="B558" s="47" t="s">
        <v>1363</v>
      </c>
      <c r="C558" s="47" t="s">
        <v>61</v>
      </c>
      <c r="D558" s="47" t="s">
        <v>90</v>
      </c>
      <c r="E558" s="47" t="s">
        <v>91</v>
      </c>
      <c r="F558" s="47">
        <v>309.0</v>
      </c>
      <c r="G558" s="47">
        <v>5.15</v>
      </c>
      <c r="H558" s="47">
        <v>60.0</v>
      </c>
      <c r="I558" s="47" t="s">
        <v>75</v>
      </c>
    </row>
    <row r="559" ht="15.75" customHeight="1">
      <c r="A559" s="47" t="s">
        <v>1364</v>
      </c>
      <c r="B559" s="47" t="s">
        <v>1365</v>
      </c>
      <c r="C559" s="47" t="s">
        <v>61</v>
      </c>
      <c r="D559" s="47" t="s">
        <v>86</v>
      </c>
      <c r="E559" s="47" t="s">
        <v>87</v>
      </c>
      <c r="F559" s="47">
        <v>80.0</v>
      </c>
      <c r="G559" s="47">
        <v>7.1</v>
      </c>
      <c r="H559" s="47">
        <v>11.3</v>
      </c>
      <c r="I559" s="47" t="s">
        <v>75</v>
      </c>
    </row>
    <row r="560" ht="15.75" customHeight="1">
      <c r="A560" s="47" t="s">
        <v>1366</v>
      </c>
      <c r="B560" s="47" t="s">
        <v>1367</v>
      </c>
      <c r="C560" s="47" t="s">
        <v>61</v>
      </c>
      <c r="D560" s="47" t="s">
        <v>86</v>
      </c>
      <c r="E560" s="47" t="s">
        <v>87</v>
      </c>
      <c r="F560" s="47">
        <v>60.0</v>
      </c>
      <c r="G560" s="47">
        <v>6.22</v>
      </c>
      <c r="H560" s="47">
        <v>9.6</v>
      </c>
      <c r="I560" s="47" t="s">
        <v>75</v>
      </c>
    </row>
    <row r="561" ht="15.75" customHeight="1">
      <c r="A561" s="47" t="s">
        <v>1368</v>
      </c>
      <c r="B561" s="47" t="s">
        <v>1369</v>
      </c>
      <c r="C561" s="47" t="s">
        <v>61</v>
      </c>
      <c r="D561" s="47" t="s">
        <v>165</v>
      </c>
      <c r="E561" s="47" t="s">
        <v>254</v>
      </c>
      <c r="F561" s="47">
        <v>114.0</v>
      </c>
      <c r="G561" s="47">
        <v>1.96</v>
      </c>
      <c r="H561" s="47">
        <v>58.2</v>
      </c>
      <c r="I561" s="47" t="s">
        <v>75</v>
      </c>
    </row>
    <row r="562" ht="15.75" customHeight="1">
      <c r="A562" s="47" t="s">
        <v>1370</v>
      </c>
      <c r="B562" s="47" t="s">
        <v>1371</v>
      </c>
      <c r="C562" s="47" t="s">
        <v>61</v>
      </c>
      <c r="D562" s="47" t="s">
        <v>106</v>
      </c>
      <c r="E562" s="47" t="s">
        <v>107</v>
      </c>
      <c r="F562" s="47">
        <v>245.0</v>
      </c>
      <c r="G562" s="47">
        <v>10.63</v>
      </c>
      <c r="H562" s="47">
        <v>23.0</v>
      </c>
      <c r="I562" s="47" t="s">
        <v>75</v>
      </c>
    </row>
    <row r="563" ht="15.75" customHeight="1">
      <c r="A563" s="47" t="s">
        <v>1372</v>
      </c>
      <c r="B563" s="47" t="s">
        <v>1373</v>
      </c>
      <c r="C563" s="47" t="s">
        <v>61</v>
      </c>
      <c r="D563" s="47" t="s">
        <v>166</v>
      </c>
      <c r="E563" s="47" t="s">
        <v>168</v>
      </c>
      <c r="F563" s="47">
        <v>143.0</v>
      </c>
      <c r="G563" s="47">
        <v>10.27</v>
      </c>
      <c r="H563" s="47">
        <v>13.9</v>
      </c>
      <c r="I563" s="47" t="s">
        <v>75</v>
      </c>
    </row>
    <row r="564" ht="15.75" customHeight="1">
      <c r="A564" s="47" t="s">
        <v>1374</v>
      </c>
      <c r="B564" s="47" t="s">
        <v>1375</v>
      </c>
      <c r="C564" s="47" t="s">
        <v>61</v>
      </c>
      <c r="D564" s="47" t="s">
        <v>136</v>
      </c>
      <c r="E564" s="47" t="s">
        <v>189</v>
      </c>
      <c r="F564" s="47">
        <v>353.0</v>
      </c>
      <c r="G564" s="47">
        <v>9.07</v>
      </c>
      <c r="H564" s="47">
        <v>38.9</v>
      </c>
      <c r="I564" s="47" t="s">
        <v>75</v>
      </c>
    </row>
    <row r="565" ht="15.75" customHeight="1">
      <c r="A565" s="47" t="s">
        <v>1376</v>
      </c>
      <c r="B565" s="47" t="s">
        <v>1377</v>
      </c>
      <c r="C565" s="47" t="s">
        <v>61</v>
      </c>
      <c r="D565" s="47" t="s">
        <v>86</v>
      </c>
      <c r="E565" s="47" t="s">
        <v>87</v>
      </c>
      <c r="F565" s="47">
        <v>66.0</v>
      </c>
      <c r="G565" s="47">
        <v>2.4</v>
      </c>
      <c r="H565" s="47">
        <v>27.5</v>
      </c>
      <c r="I565" s="47" t="s">
        <v>75</v>
      </c>
    </row>
    <row r="566" ht="15.75" customHeight="1">
      <c r="A566" s="47" t="s">
        <v>1378</v>
      </c>
      <c r="B566" s="47" t="s">
        <v>1379</v>
      </c>
      <c r="C566" s="47" t="s">
        <v>61</v>
      </c>
      <c r="D566" s="47" t="s">
        <v>90</v>
      </c>
      <c r="E566" s="47" t="s">
        <v>91</v>
      </c>
      <c r="F566" s="47">
        <v>367.0</v>
      </c>
      <c r="G566" s="47">
        <v>9.69</v>
      </c>
      <c r="H566" s="47">
        <v>37.9</v>
      </c>
      <c r="I566" s="47" t="s">
        <v>75</v>
      </c>
    </row>
    <row r="567" ht="15.75" customHeight="1">
      <c r="A567" s="47" t="s">
        <v>1380</v>
      </c>
      <c r="B567" s="47" t="s">
        <v>1381</v>
      </c>
      <c r="C567" s="47" t="s">
        <v>61</v>
      </c>
      <c r="D567" s="47" t="s">
        <v>123</v>
      </c>
      <c r="E567" s="47" t="s">
        <v>181</v>
      </c>
      <c r="F567" s="47">
        <v>174.0</v>
      </c>
      <c r="G567" s="47">
        <v>13.05</v>
      </c>
      <c r="H567" s="47">
        <v>13.3</v>
      </c>
      <c r="I567" s="47" t="s">
        <v>75</v>
      </c>
    </row>
    <row r="568" ht="15.75" customHeight="1">
      <c r="A568" s="47" t="s">
        <v>1382</v>
      </c>
      <c r="B568" s="47" t="s">
        <v>1383</v>
      </c>
      <c r="C568" s="47" t="s">
        <v>61</v>
      </c>
      <c r="D568" s="47" t="s">
        <v>73</v>
      </c>
      <c r="E568" s="47" t="s">
        <v>74</v>
      </c>
      <c r="F568" s="47">
        <v>142.0</v>
      </c>
      <c r="G568" s="47">
        <v>6.93</v>
      </c>
      <c r="H568" s="47">
        <v>20.5</v>
      </c>
      <c r="I568" s="47" t="s">
        <v>75</v>
      </c>
    </row>
    <row r="569" ht="15.75" customHeight="1">
      <c r="A569" s="47" t="s">
        <v>1384</v>
      </c>
      <c r="B569" s="47" t="s">
        <v>1385</v>
      </c>
      <c r="C569" s="47" t="s">
        <v>61</v>
      </c>
      <c r="D569" s="47" t="s">
        <v>94</v>
      </c>
      <c r="E569" s="47" t="s">
        <v>95</v>
      </c>
      <c r="F569" s="47">
        <v>191.0</v>
      </c>
      <c r="G569" s="47">
        <v>15.84</v>
      </c>
      <c r="H569" s="47">
        <v>12.1</v>
      </c>
      <c r="I569" s="47" t="s">
        <v>75</v>
      </c>
    </row>
    <row r="570" ht="15.75" customHeight="1">
      <c r="A570" s="47" t="s">
        <v>1386</v>
      </c>
      <c r="B570" s="47" t="s">
        <v>1387</v>
      </c>
      <c r="C570" s="47" t="s">
        <v>61</v>
      </c>
      <c r="D570" s="47" t="s">
        <v>67</v>
      </c>
      <c r="E570" s="47" t="s">
        <v>68</v>
      </c>
      <c r="F570" s="47">
        <v>1100.0</v>
      </c>
      <c r="G570" s="47">
        <v>3.01</v>
      </c>
      <c r="H570" s="47">
        <v>365.4</v>
      </c>
      <c r="I570" s="47" t="s">
        <v>62</v>
      </c>
    </row>
    <row r="571" ht="15.75" customHeight="1">
      <c r="A571" s="47" t="s">
        <v>1388</v>
      </c>
      <c r="B571" s="47" t="s">
        <v>1389</v>
      </c>
      <c r="C571" s="47" t="s">
        <v>61</v>
      </c>
      <c r="D571" s="47" t="s">
        <v>102</v>
      </c>
      <c r="E571" s="47" t="s">
        <v>103</v>
      </c>
      <c r="F571" s="47">
        <v>131.0</v>
      </c>
      <c r="G571" s="47">
        <v>3.55</v>
      </c>
      <c r="H571" s="47">
        <v>36.9</v>
      </c>
      <c r="I571" s="47" t="s">
        <v>75</v>
      </c>
    </row>
    <row r="572" ht="15.75" customHeight="1">
      <c r="A572" s="47" t="s">
        <v>1390</v>
      </c>
      <c r="B572" s="47" t="s">
        <v>1391</v>
      </c>
      <c r="C572" s="47" t="s">
        <v>61</v>
      </c>
      <c r="D572" s="47" t="s">
        <v>123</v>
      </c>
      <c r="E572" s="47" t="s">
        <v>181</v>
      </c>
      <c r="F572" s="47">
        <v>139.0</v>
      </c>
      <c r="G572" s="47">
        <v>3.79</v>
      </c>
      <c r="H572" s="47">
        <v>36.7</v>
      </c>
      <c r="I572" s="47" t="s">
        <v>75</v>
      </c>
    </row>
    <row r="573" ht="15.75" customHeight="1">
      <c r="A573" s="47" t="s">
        <v>1392</v>
      </c>
      <c r="B573" s="47" t="s">
        <v>1393</v>
      </c>
      <c r="C573" s="47" t="s">
        <v>61</v>
      </c>
      <c r="D573" s="47" t="s">
        <v>182</v>
      </c>
      <c r="E573" s="47" t="s">
        <v>357</v>
      </c>
      <c r="F573" s="47">
        <v>745.0</v>
      </c>
      <c r="G573" s="47">
        <v>5.39</v>
      </c>
      <c r="H573" s="47">
        <v>138.2</v>
      </c>
      <c r="I573" s="47" t="s">
        <v>62</v>
      </c>
    </row>
    <row r="574" ht="15.75" customHeight="1">
      <c r="A574" s="47" t="s">
        <v>1394</v>
      </c>
      <c r="B574" s="47" t="s">
        <v>1395</v>
      </c>
      <c r="C574" s="47" t="s">
        <v>61</v>
      </c>
      <c r="D574" s="47" t="s">
        <v>102</v>
      </c>
      <c r="E574" s="47" t="s">
        <v>103</v>
      </c>
      <c r="F574" s="47">
        <v>682.0</v>
      </c>
      <c r="G574" s="47">
        <v>9.8</v>
      </c>
      <c r="H574" s="47">
        <v>69.6</v>
      </c>
      <c r="I574" s="47" t="s">
        <v>62</v>
      </c>
    </row>
    <row r="575" ht="15.75" customHeight="1">
      <c r="A575" s="47" t="s">
        <v>1396</v>
      </c>
      <c r="B575" s="47" t="s">
        <v>1397</v>
      </c>
      <c r="C575" s="47" t="s">
        <v>61</v>
      </c>
      <c r="D575" s="47" t="s">
        <v>50</v>
      </c>
      <c r="E575" s="47" t="s">
        <v>49</v>
      </c>
      <c r="F575" s="47">
        <v>250.0</v>
      </c>
      <c r="G575" s="47">
        <v>7.59</v>
      </c>
      <c r="H575" s="47">
        <v>32.9</v>
      </c>
      <c r="I575" s="47" t="s">
        <v>75</v>
      </c>
    </row>
    <row r="576" ht="15.75" customHeight="1">
      <c r="A576" s="47" t="s">
        <v>1398</v>
      </c>
      <c r="B576" s="47" t="s">
        <v>1399</v>
      </c>
      <c r="C576" s="47" t="s">
        <v>61</v>
      </c>
      <c r="D576" s="47" t="s">
        <v>73</v>
      </c>
      <c r="E576" s="47" t="s">
        <v>74</v>
      </c>
      <c r="F576" s="47">
        <v>341.0</v>
      </c>
      <c r="G576" s="47">
        <v>10.65</v>
      </c>
      <c r="H576" s="47">
        <v>32.0</v>
      </c>
      <c r="I576" s="47" t="s">
        <v>75</v>
      </c>
    </row>
    <row r="577" ht="15.75" customHeight="1">
      <c r="A577" s="47" t="s">
        <v>1400</v>
      </c>
      <c r="B577" s="47" t="s">
        <v>1401</v>
      </c>
      <c r="C577" s="47" t="s">
        <v>61</v>
      </c>
      <c r="D577" s="47" t="s">
        <v>78</v>
      </c>
      <c r="E577" s="47" t="s">
        <v>79</v>
      </c>
      <c r="F577" s="47">
        <v>173.0</v>
      </c>
      <c r="G577" s="47">
        <v>7.44</v>
      </c>
      <c r="H577" s="47">
        <v>23.3</v>
      </c>
      <c r="I577" s="47" t="s">
        <v>75</v>
      </c>
    </row>
    <row r="578" ht="15.75" customHeight="1">
      <c r="A578" s="47" t="s">
        <v>1402</v>
      </c>
      <c r="B578" s="47" t="s">
        <v>1403</v>
      </c>
      <c r="C578" s="47" t="s">
        <v>61</v>
      </c>
      <c r="D578" s="47" t="s">
        <v>137</v>
      </c>
      <c r="E578" s="47" t="s">
        <v>138</v>
      </c>
      <c r="F578" s="47">
        <v>1637.0</v>
      </c>
      <c r="G578" s="47">
        <v>9.69</v>
      </c>
      <c r="H578" s="47">
        <v>168.9</v>
      </c>
      <c r="I578" s="47" t="s">
        <v>62</v>
      </c>
    </row>
    <row r="579" ht="15.75" customHeight="1">
      <c r="A579" s="47" t="s">
        <v>1404</v>
      </c>
      <c r="B579" s="47" t="s">
        <v>1405</v>
      </c>
      <c r="C579" s="47" t="s">
        <v>61</v>
      </c>
      <c r="D579" s="47" t="s">
        <v>152</v>
      </c>
      <c r="E579" s="47" t="s">
        <v>417</v>
      </c>
      <c r="F579" s="47">
        <v>78.0</v>
      </c>
      <c r="G579" s="47">
        <v>2.44</v>
      </c>
      <c r="H579" s="47">
        <v>32.0</v>
      </c>
      <c r="I579" s="47" t="s">
        <v>75</v>
      </c>
    </row>
    <row r="580" ht="15.75" customHeight="1">
      <c r="A580" s="47" t="s">
        <v>1406</v>
      </c>
      <c r="B580" s="47" t="s">
        <v>1407</v>
      </c>
      <c r="C580" s="47" t="s">
        <v>61</v>
      </c>
      <c r="D580" s="47" t="s">
        <v>94</v>
      </c>
      <c r="E580" s="47" t="s">
        <v>95</v>
      </c>
      <c r="F580" s="47">
        <v>186.0</v>
      </c>
      <c r="G580" s="47">
        <v>6.1</v>
      </c>
      <c r="H580" s="47">
        <v>30.5</v>
      </c>
      <c r="I580" s="47" t="s">
        <v>75</v>
      </c>
    </row>
    <row r="581" ht="15.75" customHeight="1">
      <c r="A581" s="47" t="s">
        <v>1408</v>
      </c>
      <c r="B581" s="47" t="s">
        <v>1409</v>
      </c>
      <c r="C581" s="47" t="s">
        <v>61</v>
      </c>
      <c r="D581" s="47" t="s">
        <v>106</v>
      </c>
      <c r="E581" s="47" t="s">
        <v>107</v>
      </c>
      <c r="F581" s="47">
        <v>93.0</v>
      </c>
      <c r="G581" s="47">
        <v>5.18</v>
      </c>
      <c r="H581" s="47">
        <v>18.0</v>
      </c>
      <c r="I581" s="47" t="s">
        <v>75</v>
      </c>
    </row>
    <row r="582" ht="15.75" customHeight="1">
      <c r="A582" s="47" t="s">
        <v>1410</v>
      </c>
      <c r="B582" s="47" t="s">
        <v>1411</v>
      </c>
      <c r="C582" s="47" t="s">
        <v>61</v>
      </c>
      <c r="D582" s="47" t="s">
        <v>67</v>
      </c>
      <c r="E582" s="47" t="s">
        <v>68</v>
      </c>
      <c r="F582" s="47">
        <v>100.0</v>
      </c>
      <c r="G582" s="47">
        <v>2.88</v>
      </c>
      <c r="H582" s="47">
        <v>34.7</v>
      </c>
      <c r="I582" s="47" t="s">
        <v>75</v>
      </c>
    </row>
    <row r="583" ht="15.75" customHeight="1">
      <c r="A583" s="47" t="s">
        <v>1412</v>
      </c>
      <c r="B583" s="47" t="s">
        <v>1413</v>
      </c>
      <c r="C583" s="47" t="s">
        <v>61</v>
      </c>
      <c r="D583" s="47" t="s">
        <v>165</v>
      </c>
      <c r="E583" s="47" t="s">
        <v>254</v>
      </c>
      <c r="F583" s="47">
        <v>432.0</v>
      </c>
      <c r="G583" s="47">
        <v>16.44</v>
      </c>
      <c r="H583" s="47">
        <v>26.3</v>
      </c>
      <c r="I583" s="47" t="s">
        <v>75</v>
      </c>
    </row>
    <row r="584" ht="15.75" customHeight="1">
      <c r="A584" s="47" t="s">
        <v>1414</v>
      </c>
      <c r="B584" s="47" t="s">
        <v>1415</v>
      </c>
      <c r="C584" s="47" t="s">
        <v>61</v>
      </c>
      <c r="D584" s="47" t="s">
        <v>86</v>
      </c>
      <c r="E584" s="47" t="s">
        <v>87</v>
      </c>
      <c r="F584" s="47">
        <v>24.0</v>
      </c>
      <c r="G584" s="47">
        <v>4.93</v>
      </c>
      <c r="H584" s="47">
        <v>4.9</v>
      </c>
      <c r="I584" s="47" t="s">
        <v>75</v>
      </c>
    </row>
    <row r="585" ht="15.75" customHeight="1">
      <c r="A585" s="47" t="s">
        <v>1416</v>
      </c>
      <c r="B585" s="47" t="s">
        <v>1417</v>
      </c>
      <c r="C585" s="47" t="s">
        <v>61</v>
      </c>
      <c r="D585" s="47" t="s">
        <v>67</v>
      </c>
      <c r="E585" s="47" t="s">
        <v>68</v>
      </c>
      <c r="F585" s="47">
        <v>726.0</v>
      </c>
      <c r="G585" s="47">
        <v>6.72</v>
      </c>
      <c r="H585" s="47">
        <v>108.0</v>
      </c>
      <c r="I585" s="47" t="s">
        <v>62</v>
      </c>
    </row>
    <row r="586" ht="15.75" customHeight="1">
      <c r="A586" s="47" t="s">
        <v>1418</v>
      </c>
      <c r="B586" s="47" t="s">
        <v>1419</v>
      </c>
      <c r="C586" s="47" t="s">
        <v>61</v>
      </c>
      <c r="D586" s="47" t="s">
        <v>90</v>
      </c>
      <c r="E586" s="47" t="s">
        <v>91</v>
      </c>
      <c r="F586" s="47">
        <v>115.0</v>
      </c>
      <c r="G586" s="47">
        <v>3.23</v>
      </c>
      <c r="H586" s="47">
        <v>35.6</v>
      </c>
      <c r="I586" s="47" t="s">
        <v>75</v>
      </c>
    </row>
    <row r="587" ht="15.75" customHeight="1">
      <c r="A587" s="47" t="s">
        <v>1420</v>
      </c>
      <c r="B587" s="47" t="s">
        <v>1421</v>
      </c>
      <c r="C587" s="47" t="s">
        <v>61</v>
      </c>
      <c r="D587" s="47" t="s">
        <v>78</v>
      </c>
      <c r="E587" s="47" t="s">
        <v>79</v>
      </c>
      <c r="F587" s="47">
        <v>605.0</v>
      </c>
      <c r="G587" s="47">
        <v>13.63</v>
      </c>
      <c r="H587" s="47">
        <v>44.4</v>
      </c>
      <c r="I587" s="47" t="s">
        <v>62</v>
      </c>
    </row>
    <row r="588" ht="15.75" customHeight="1">
      <c r="A588" s="47" t="s">
        <v>1422</v>
      </c>
      <c r="B588" s="47" t="s">
        <v>1423</v>
      </c>
      <c r="C588" s="47" t="s">
        <v>61</v>
      </c>
      <c r="D588" s="47" t="s">
        <v>198</v>
      </c>
      <c r="E588" s="47" t="s">
        <v>217</v>
      </c>
      <c r="F588" s="47">
        <v>290.0</v>
      </c>
      <c r="G588" s="47">
        <v>15.06</v>
      </c>
      <c r="H588" s="47">
        <v>19.3</v>
      </c>
      <c r="I588" s="47" t="s">
        <v>75</v>
      </c>
    </row>
    <row r="589" ht="15.75" customHeight="1">
      <c r="A589" s="47" t="s">
        <v>1424</v>
      </c>
      <c r="B589" s="47" t="s">
        <v>1425</v>
      </c>
      <c r="C589" s="47" t="s">
        <v>61</v>
      </c>
      <c r="D589" s="47" t="s">
        <v>198</v>
      </c>
      <c r="E589" s="47" t="s">
        <v>217</v>
      </c>
      <c r="F589" s="47">
        <v>353.0</v>
      </c>
      <c r="G589" s="47">
        <v>6.78</v>
      </c>
      <c r="H589" s="47">
        <v>52.1</v>
      </c>
      <c r="I589" s="47" t="s">
        <v>75</v>
      </c>
    </row>
    <row r="590" ht="15.75" customHeight="1">
      <c r="A590" s="47" t="s">
        <v>1426</v>
      </c>
      <c r="B590" s="47" t="s">
        <v>1427</v>
      </c>
      <c r="C590" s="47" t="s">
        <v>61</v>
      </c>
      <c r="D590" s="47" t="s">
        <v>137</v>
      </c>
      <c r="E590" s="47" t="s">
        <v>138</v>
      </c>
      <c r="F590" s="47">
        <v>176.0</v>
      </c>
      <c r="G590" s="47">
        <v>6.83</v>
      </c>
      <c r="H590" s="47">
        <v>25.8</v>
      </c>
      <c r="I590" s="47" t="s">
        <v>75</v>
      </c>
    </row>
    <row r="591" ht="15.75" customHeight="1">
      <c r="A591" s="47" t="s">
        <v>1428</v>
      </c>
      <c r="B591" s="47" t="s">
        <v>1429</v>
      </c>
      <c r="C591" s="47" t="s">
        <v>61</v>
      </c>
      <c r="D591" s="47" t="s">
        <v>73</v>
      </c>
      <c r="E591" s="47" t="s">
        <v>74</v>
      </c>
      <c r="F591" s="47">
        <v>490.0</v>
      </c>
      <c r="G591" s="47">
        <v>9.79</v>
      </c>
      <c r="H591" s="47">
        <v>50.1</v>
      </c>
      <c r="I591" s="47" t="s">
        <v>75</v>
      </c>
    </row>
    <row r="592" ht="15.75" customHeight="1">
      <c r="A592" s="47" t="s">
        <v>1430</v>
      </c>
      <c r="B592" s="47" t="s">
        <v>1431</v>
      </c>
      <c r="C592" s="47" t="s">
        <v>61</v>
      </c>
      <c r="D592" s="47" t="s">
        <v>198</v>
      </c>
      <c r="E592" s="47" t="s">
        <v>217</v>
      </c>
      <c r="F592" s="47">
        <v>683.0</v>
      </c>
      <c r="G592" s="47">
        <v>12.23</v>
      </c>
      <c r="H592" s="47">
        <v>55.8</v>
      </c>
      <c r="I592" s="47" t="s">
        <v>62</v>
      </c>
    </row>
    <row r="593" ht="15.75" customHeight="1">
      <c r="A593" s="47" t="s">
        <v>1432</v>
      </c>
      <c r="B593" s="47" t="s">
        <v>1433</v>
      </c>
      <c r="C593" s="47" t="s">
        <v>61</v>
      </c>
      <c r="D593" s="47" t="s">
        <v>137</v>
      </c>
      <c r="E593" s="47" t="s">
        <v>138</v>
      </c>
      <c r="F593" s="47">
        <v>594.0</v>
      </c>
      <c r="G593" s="47">
        <v>8.3</v>
      </c>
      <c r="H593" s="47">
        <v>71.6</v>
      </c>
      <c r="I593" s="47" t="s">
        <v>62</v>
      </c>
    </row>
    <row r="594" ht="15.75" customHeight="1">
      <c r="A594" s="47" t="s">
        <v>1434</v>
      </c>
      <c r="B594" s="47" t="s">
        <v>1435</v>
      </c>
      <c r="C594" s="47" t="s">
        <v>61</v>
      </c>
      <c r="D594" s="47" t="s">
        <v>90</v>
      </c>
      <c r="E594" s="47" t="s">
        <v>91</v>
      </c>
      <c r="F594" s="47">
        <v>320.0</v>
      </c>
      <c r="G594" s="47">
        <v>9.62</v>
      </c>
      <c r="H594" s="47">
        <v>33.3</v>
      </c>
      <c r="I594" s="47" t="s">
        <v>75</v>
      </c>
    </row>
    <row r="595" ht="15.75" customHeight="1">
      <c r="A595" s="47" t="s">
        <v>1436</v>
      </c>
      <c r="B595" s="47" t="s">
        <v>1437</v>
      </c>
      <c r="C595" s="47" t="s">
        <v>61</v>
      </c>
      <c r="D595" s="47" t="s">
        <v>136</v>
      </c>
      <c r="E595" s="47" t="s">
        <v>189</v>
      </c>
      <c r="F595" s="47">
        <v>401.0</v>
      </c>
      <c r="G595" s="47">
        <v>8.34</v>
      </c>
      <c r="H595" s="47">
        <v>48.1</v>
      </c>
      <c r="I595" s="47" t="s">
        <v>75</v>
      </c>
    </row>
    <row r="596" ht="15.75" customHeight="1">
      <c r="A596" s="47" t="s">
        <v>1438</v>
      </c>
      <c r="B596" s="47" t="s">
        <v>1439</v>
      </c>
      <c r="C596" s="47" t="s">
        <v>61</v>
      </c>
      <c r="D596" s="47" t="s">
        <v>123</v>
      </c>
      <c r="E596" s="47" t="s">
        <v>181</v>
      </c>
      <c r="F596" s="47">
        <v>56.0</v>
      </c>
      <c r="G596" s="47">
        <v>5.06</v>
      </c>
      <c r="H596" s="47">
        <v>11.1</v>
      </c>
      <c r="I596" s="47" t="s">
        <v>75</v>
      </c>
    </row>
    <row r="597" ht="15.75" customHeight="1">
      <c r="A597" s="47" t="s">
        <v>1440</v>
      </c>
      <c r="B597" s="47" t="s">
        <v>1441</v>
      </c>
      <c r="C597" s="47" t="s">
        <v>61</v>
      </c>
      <c r="D597" s="47" t="s">
        <v>165</v>
      </c>
      <c r="E597" s="47" t="s">
        <v>254</v>
      </c>
      <c r="F597" s="47">
        <v>94.0</v>
      </c>
      <c r="G597" s="47">
        <v>6.59</v>
      </c>
      <c r="H597" s="47">
        <v>14.3</v>
      </c>
      <c r="I597" s="47" t="s">
        <v>75</v>
      </c>
    </row>
    <row r="598" ht="15.75" customHeight="1">
      <c r="A598" s="47" t="s">
        <v>1442</v>
      </c>
      <c r="B598" s="47" t="s">
        <v>1443</v>
      </c>
      <c r="C598" s="47" t="s">
        <v>61</v>
      </c>
      <c r="D598" s="47" t="s">
        <v>82</v>
      </c>
      <c r="E598" s="47" t="s">
        <v>83</v>
      </c>
      <c r="F598" s="47">
        <v>276.0</v>
      </c>
      <c r="G598" s="47">
        <v>5.33</v>
      </c>
      <c r="H598" s="47">
        <v>51.8</v>
      </c>
      <c r="I598" s="47" t="s">
        <v>75</v>
      </c>
    </row>
    <row r="599" ht="15.75" customHeight="1">
      <c r="A599" s="47" t="s">
        <v>1444</v>
      </c>
      <c r="B599" s="47" t="s">
        <v>1445</v>
      </c>
      <c r="C599" s="47" t="s">
        <v>61</v>
      </c>
      <c r="D599" s="47" t="s">
        <v>82</v>
      </c>
      <c r="E599" s="47" t="s">
        <v>83</v>
      </c>
      <c r="F599" s="47">
        <v>146.0</v>
      </c>
      <c r="G599" s="47">
        <v>3.49</v>
      </c>
      <c r="H599" s="47">
        <v>41.8</v>
      </c>
      <c r="I599" s="47" t="s">
        <v>75</v>
      </c>
    </row>
    <row r="600" ht="15.75" customHeight="1">
      <c r="A600" s="47" t="s">
        <v>1446</v>
      </c>
      <c r="B600" s="47" t="s">
        <v>1447</v>
      </c>
      <c r="C600" s="47" t="s">
        <v>61</v>
      </c>
      <c r="D600" s="47" t="s">
        <v>78</v>
      </c>
      <c r="E600" s="47" t="s">
        <v>79</v>
      </c>
      <c r="F600" s="47">
        <v>346.0</v>
      </c>
      <c r="G600" s="47">
        <v>18.17</v>
      </c>
      <c r="H600" s="47">
        <v>19.0</v>
      </c>
      <c r="I600" s="47" t="s">
        <v>75</v>
      </c>
    </row>
    <row r="601" ht="15.75" customHeight="1">
      <c r="A601" s="47" t="s">
        <v>1448</v>
      </c>
      <c r="B601" s="47" t="s">
        <v>1449</v>
      </c>
      <c r="C601" s="47" t="s">
        <v>61</v>
      </c>
      <c r="D601" s="47" t="s">
        <v>78</v>
      </c>
      <c r="E601" s="47" t="s">
        <v>79</v>
      </c>
      <c r="F601" s="47">
        <v>136.0</v>
      </c>
      <c r="G601" s="47">
        <v>11.33</v>
      </c>
      <c r="H601" s="47">
        <v>12.0</v>
      </c>
      <c r="I601" s="47" t="s">
        <v>75</v>
      </c>
    </row>
    <row r="602" ht="15.75" customHeight="1">
      <c r="A602" s="47" t="s">
        <v>1450</v>
      </c>
      <c r="B602" s="47" t="s">
        <v>1451</v>
      </c>
      <c r="C602" s="47" t="s">
        <v>61</v>
      </c>
      <c r="D602" s="47" t="s">
        <v>102</v>
      </c>
      <c r="E602" s="47" t="s">
        <v>103</v>
      </c>
      <c r="F602" s="47">
        <v>219.0</v>
      </c>
      <c r="G602" s="47">
        <v>9.85</v>
      </c>
      <c r="H602" s="47">
        <v>22.2</v>
      </c>
      <c r="I602" s="47" t="s">
        <v>75</v>
      </c>
    </row>
    <row r="603" ht="15.75" customHeight="1">
      <c r="A603" s="47" t="s">
        <v>1452</v>
      </c>
      <c r="B603" s="47" t="s">
        <v>1453</v>
      </c>
      <c r="C603" s="47" t="s">
        <v>61</v>
      </c>
      <c r="D603" s="47" t="s">
        <v>165</v>
      </c>
      <c r="E603" s="47" t="s">
        <v>254</v>
      </c>
      <c r="F603" s="47">
        <v>331.0</v>
      </c>
      <c r="G603" s="47">
        <v>17.5</v>
      </c>
      <c r="H603" s="47">
        <v>18.9</v>
      </c>
      <c r="I603" s="47" t="s">
        <v>75</v>
      </c>
    </row>
    <row r="604" ht="15.75" customHeight="1">
      <c r="A604" s="47" t="s">
        <v>1454</v>
      </c>
      <c r="B604" s="47" t="s">
        <v>1455</v>
      </c>
      <c r="C604" s="47" t="s">
        <v>61</v>
      </c>
      <c r="D604" s="47" t="s">
        <v>50</v>
      </c>
      <c r="E604" s="47" t="s">
        <v>49</v>
      </c>
      <c r="F604" s="47">
        <v>428.0</v>
      </c>
      <c r="G604" s="47">
        <v>8.26</v>
      </c>
      <c r="H604" s="47">
        <v>51.8</v>
      </c>
      <c r="I604" s="47" t="s">
        <v>75</v>
      </c>
    </row>
    <row r="605" ht="15.75" customHeight="1">
      <c r="A605" s="47" t="s">
        <v>1456</v>
      </c>
      <c r="B605" s="47" t="s">
        <v>1457</v>
      </c>
      <c r="C605" s="47" t="s">
        <v>61</v>
      </c>
      <c r="D605" s="47" t="s">
        <v>137</v>
      </c>
      <c r="E605" s="47" t="s">
        <v>138</v>
      </c>
      <c r="F605" s="47">
        <v>53.0</v>
      </c>
      <c r="G605" s="47">
        <v>3.94</v>
      </c>
      <c r="H605" s="47">
        <v>13.5</v>
      </c>
      <c r="I605" s="47" t="s">
        <v>75</v>
      </c>
    </row>
    <row r="606" ht="15.75" customHeight="1">
      <c r="A606" s="47" t="s">
        <v>1458</v>
      </c>
      <c r="B606" s="47" t="s">
        <v>1459</v>
      </c>
      <c r="C606" s="47" t="s">
        <v>61</v>
      </c>
      <c r="D606" s="47" t="s">
        <v>90</v>
      </c>
      <c r="E606" s="47" t="s">
        <v>91</v>
      </c>
      <c r="F606" s="47">
        <v>62.0</v>
      </c>
      <c r="G606" s="47">
        <v>4.99</v>
      </c>
      <c r="H606" s="47">
        <v>12.4</v>
      </c>
      <c r="I606" s="47" t="s">
        <v>75</v>
      </c>
    </row>
    <row r="607" ht="15.75" customHeight="1">
      <c r="A607" s="47" t="s">
        <v>1460</v>
      </c>
      <c r="B607" s="47" t="s">
        <v>1461</v>
      </c>
      <c r="C607" s="47" t="s">
        <v>61</v>
      </c>
      <c r="D607" s="47" t="s">
        <v>166</v>
      </c>
      <c r="E607" s="47" t="s">
        <v>168</v>
      </c>
      <c r="F607" s="47">
        <v>89.0</v>
      </c>
      <c r="G607" s="47">
        <v>4.93</v>
      </c>
      <c r="H607" s="47">
        <v>18.1</v>
      </c>
      <c r="I607" s="47" t="s">
        <v>75</v>
      </c>
    </row>
    <row r="608" ht="15.75" customHeight="1">
      <c r="A608" s="47" t="s">
        <v>1462</v>
      </c>
      <c r="B608" s="47" t="s">
        <v>1463</v>
      </c>
      <c r="C608" s="47" t="s">
        <v>61</v>
      </c>
      <c r="D608" s="47" t="s">
        <v>198</v>
      </c>
      <c r="E608" s="47" t="s">
        <v>217</v>
      </c>
      <c r="F608" s="47">
        <v>146.0</v>
      </c>
      <c r="G608" s="47">
        <v>3.8</v>
      </c>
      <c r="H608" s="47">
        <v>38.4</v>
      </c>
      <c r="I608" s="47" t="s">
        <v>75</v>
      </c>
    </row>
    <row r="609" ht="15.75" customHeight="1">
      <c r="A609" s="47" t="s">
        <v>1464</v>
      </c>
      <c r="B609" s="47" t="s">
        <v>1465</v>
      </c>
      <c r="C609" s="47" t="s">
        <v>61</v>
      </c>
      <c r="D609" s="47" t="s">
        <v>94</v>
      </c>
      <c r="E609" s="47" t="s">
        <v>95</v>
      </c>
      <c r="F609" s="47">
        <v>187.0</v>
      </c>
      <c r="G609" s="47">
        <v>12.01</v>
      </c>
      <c r="H609" s="47">
        <v>15.6</v>
      </c>
      <c r="I609" s="47" t="s">
        <v>75</v>
      </c>
    </row>
    <row r="610" ht="15.75" customHeight="1">
      <c r="A610" s="47" t="s">
        <v>1466</v>
      </c>
      <c r="B610" s="47" t="s">
        <v>1467</v>
      </c>
      <c r="C610" s="47" t="s">
        <v>61</v>
      </c>
      <c r="D610" s="47" t="s">
        <v>140</v>
      </c>
      <c r="E610" s="47" t="s">
        <v>147</v>
      </c>
      <c r="F610" s="47">
        <v>265.0</v>
      </c>
      <c r="G610" s="47">
        <v>6.4</v>
      </c>
      <c r="H610" s="47">
        <v>41.4</v>
      </c>
      <c r="I610" s="47" t="s">
        <v>75</v>
      </c>
    </row>
    <row r="611" ht="15.75" customHeight="1">
      <c r="A611" s="47" t="s">
        <v>1468</v>
      </c>
      <c r="B611" s="47" t="s">
        <v>1469</v>
      </c>
      <c r="C611" s="47" t="s">
        <v>61</v>
      </c>
      <c r="D611" s="47" t="s">
        <v>73</v>
      </c>
      <c r="E611" s="47" t="s">
        <v>74</v>
      </c>
      <c r="F611" s="47">
        <v>241.0</v>
      </c>
      <c r="G611" s="47">
        <v>9.02</v>
      </c>
      <c r="H611" s="47">
        <v>26.7</v>
      </c>
      <c r="I611" s="47" t="s">
        <v>75</v>
      </c>
    </row>
    <row r="612" ht="15.75" customHeight="1">
      <c r="A612" s="47" t="s">
        <v>1470</v>
      </c>
      <c r="B612" s="47" t="s">
        <v>1471</v>
      </c>
      <c r="C612" s="47" t="s">
        <v>61</v>
      </c>
      <c r="D612" s="47" t="s">
        <v>94</v>
      </c>
      <c r="E612" s="47" t="s">
        <v>95</v>
      </c>
      <c r="F612" s="47">
        <v>339.0</v>
      </c>
      <c r="G612" s="47">
        <v>10.05</v>
      </c>
      <c r="H612" s="47">
        <v>33.7</v>
      </c>
      <c r="I612" s="47" t="s">
        <v>75</v>
      </c>
    </row>
    <row r="613" ht="15.75" customHeight="1">
      <c r="A613" s="47" t="s">
        <v>1472</v>
      </c>
      <c r="B613" s="47" t="s">
        <v>1473</v>
      </c>
      <c r="C613" s="47" t="s">
        <v>61</v>
      </c>
      <c r="D613" s="47" t="s">
        <v>94</v>
      </c>
      <c r="E613" s="47" t="s">
        <v>95</v>
      </c>
      <c r="F613" s="47">
        <v>144.0</v>
      </c>
      <c r="G613" s="47">
        <v>8.78</v>
      </c>
      <c r="H613" s="47">
        <v>16.4</v>
      </c>
      <c r="I613" s="47" t="s">
        <v>75</v>
      </c>
    </row>
    <row r="614" ht="15.75" customHeight="1">
      <c r="A614" s="47" t="s">
        <v>1474</v>
      </c>
      <c r="B614" s="47" t="s">
        <v>1475</v>
      </c>
      <c r="C614" s="47" t="s">
        <v>61</v>
      </c>
      <c r="D614" s="47" t="s">
        <v>166</v>
      </c>
      <c r="E614" s="47" t="s">
        <v>168</v>
      </c>
      <c r="F614" s="47">
        <v>135.0</v>
      </c>
      <c r="G614" s="47">
        <v>6.75</v>
      </c>
      <c r="H614" s="47">
        <v>20.0</v>
      </c>
      <c r="I614" s="47" t="s">
        <v>75</v>
      </c>
    </row>
    <row r="615" ht="15.75" customHeight="1">
      <c r="A615" s="47" t="s">
        <v>1476</v>
      </c>
      <c r="B615" s="47" t="s">
        <v>1477</v>
      </c>
      <c r="C615" s="47" t="s">
        <v>61</v>
      </c>
      <c r="D615" s="47" t="s">
        <v>166</v>
      </c>
      <c r="E615" s="47" t="s">
        <v>168</v>
      </c>
      <c r="F615" s="47">
        <v>157.0</v>
      </c>
      <c r="G615" s="47">
        <v>7.94</v>
      </c>
      <c r="H615" s="47">
        <v>19.8</v>
      </c>
      <c r="I615" s="47" t="s">
        <v>75</v>
      </c>
    </row>
    <row r="616" ht="15.75" customHeight="1">
      <c r="A616" s="47" t="s">
        <v>1478</v>
      </c>
      <c r="B616" s="47" t="s">
        <v>1479</v>
      </c>
      <c r="C616" s="47" t="s">
        <v>61</v>
      </c>
      <c r="D616" s="47" t="s">
        <v>102</v>
      </c>
      <c r="E616" s="47" t="s">
        <v>103</v>
      </c>
      <c r="F616" s="47">
        <v>790.0</v>
      </c>
      <c r="G616" s="47">
        <v>10.65</v>
      </c>
      <c r="H616" s="47">
        <v>74.2</v>
      </c>
      <c r="I616" s="47" t="s">
        <v>62</v>
      </c>
    </row>
    <row r="617" ht="15.75" customHeight="1">
      <c r="A617" s="47" t="s">
        <v>1480</v>
      </c>
      <c r="B617" s="47" t="s">
        <v>1481</v>
      </c>
      <c r="C617" s="47" t="s">
        <v>61</v>
      </c>
      <c r="D617" s="47" t="s">
        <v>102</v>
      </c>
      <c r="E617" s="47" t="s">
        <v>103</v>
      </c>
      <c r="F617" s="47">
        <v>360.0</v>
      </c>
      <c r="G617" s="47">
        <v>14.97</v>
      </c>
      <c r="H617" s="47">
        <v>24.0</v>
      </c>
      <c r="I617" s="47" t="s">
        <v>75</v>
      </c>
    </row>
    <row r="618" ht="15.75" customHeight="1">
      <c r="A618" s="47" t="s">
        <v>1482</v>
      </c>
      <c r="B618" s="47" t="s">
        <v>1483</v>
      </c>
      <c r="C618" s="47" t="s">
        <v>61</v>
      </c>
      <c r="D618" s="47" t="s">
        <v>123</v>
      </c>
      <c r="E618" s="47" t="s">
        <v>181</v>
      </c>
      <c r="F618" s="47">
        <v>225.0</v>
      </c>
      <c r="G618" s="47">
        <v>6.67</v>
      </c>
      <c r="H618" s="47">
        <v>33.7</v>
      </c>
      <c r="I618" s="47" t="s">
        <v>75</v>
      </c>
    </row>
    <row r="619" ht="15.75" customHeight="1">
      <c r="A619" s="47" t="s">
        <v>1484</v>
      </c>
      <c r="B619" s="47" t="s">
        <v>1485</v>
      </c>
      <c r="C619" s="47" t="s">
        <v>61</v>
      </c>
      <c r="D619" s="47" t="s">
        <v>82</v>
      </c>
      <c r="E619" s="47" t="s">
        <v>83</v>
      </c>
      <c r="F619" s="47">
        <v>86.0</v>
      </c>
      <c r="G619" s="47">
        <v>3.62</v>
      </c>
      <c r="H619" s="47">
        <v>23.8</v>
      </c>
      <c r="I619" s="47" t="s">
        <v>75</v>
      </c>
    </row>
    <row r="620" ht="15.75" customHeight="1">
      <c r="A620" s="47" t="s">
        <v>1486</v>
      </c>
      <c r="B620" s="47" t="s">
        <v>1487</v>
      </c>
      <c r="C620" s="47" t="s">
        <v>61</v>
      </c>
      <c r="D620" s="47" t="s">
        <v>94</v>
      </c>
      <c r="E620" s="47" t="s">
        <v>95</v>
      </c>
      <c r="F620" s="47">
        <v>1931.0</v>
      </c>
      <c r="G620" s="47">
        <v>27.04</v>
      </c>
      <c r="H620" s="47">
        <v>71.4</v>
      </c>
      <c r="I620" s="47" t="s">
        <v>62</v>
      </c>
    </row>
    <row r="621" ht="15.75" customHeight="1">
      <c r="A621" s="47" t="s">
        <v>1488</v>
      </c>
      <c r="B621" s="47" t="s">
        <v>1489</v>
      </c>
      <c r="C621" s="47" t="s">
        <v>61</v>
      </c>
      <c r="D621" s="47" t="s">
        <v>123</v>
      </c>
      <c r="E621" s="47" t="s">
        <v>181</v>
      </c>
      <c r="F621" s="47">
        <v>299.0</v>
      </c>
      <c r="G621" s="47">
        <v>5.69</v>
      </c>
      <c r="H621" s="47">
        <v>52.5</v>
      </c>
      <c r="I621" s="47" t="s">
        <v>75</v>
      </c>
    </row>
    <row r="622" ht="15.75" customHeight="1">
      <c r="A622" s="47" t="s">
        <v>1490</v>
      </c>
      <c r="B622" s="47" t="s">
        <v>1491</v>
      </c>
      <c r="C622" s="47" t="s">
        <v>61</v>
      </c>
      <c r="D622" s="47" t="s">
        <v>165</v>
      </c>
      <c r="E622" s="47" t="s">
        <v>254</v>
      </c>
      <c r="F622" s="47">
        <v>359.0</v>
      </c>
      <c r="G622" s="47">
        <v>11.08</v>
      </c>
      <c r="H622" s="47">
        <v>32.4</v>
      </c>
      <c r="I622" s="47" t="s">
        <v>75</v>
      </c>
    </row>
    <row r="623" ht="15.75" customHeight="1">
      <c r="A623" s="47" t="s">
        <v>1492</v>
      </c>
      <c r="B623" s="47" t="s">
        <v>1493</v>
      </c>
      <c r="C623" s="47" t="s">
        <v>61</v>
      </c>
      <c r="D623" s="47" t="s">
        <v>50</v>
      </c>
      <c r="E623" s="47" t="s">
        <v>49</v>
      </c>
      <c r="F623" s="47">
        <v>88.0</v>
      </c>
      <c r="G623" s="47">
        <v>5.51</v>
      </c>
      <c r="H623" s="47">
        <v>16.0</v>
      </c>
      <c r="I623" s="47" t="s">
        <v>75</v>
      </c>
    </row>
    <row r="624" ht="15.75" customHeight="1">
      <c r="A624" s="47" t="s">
        <v>1494</v>
      </c>
      <c r="B624" s="47" t="s">
        <v>1495</v>
      </c>
      <c r="C624" s="47" t="s">
        <v>61</v>
      </c>
      <c r="D624" s="47" t="s">
        <v>165</v>
      </c>
      <c r="E624" s="47" t="s">
        <v>254</v>
      </c>
      <c r="F624" s="47">
        <v>95.0</v>
      </c>
      <c r="G624" s="47">
        <v>5.65</v>
      </c>
      <c r="H624" s="47">
        <v>16.8</v>
      </c>
      <c r="I624" s="47" t="s">
        <v>75</v>
      </c>
    </row>
    <row r="625" ht="15.75" customHeight="1">
      <c r="A625" s="47" t="s">
        <v>1496</v>
      </c>
      <c r="B625" s="47" t="s">
        <v>1497</v>
      </c>
      <c r="C625" s="47" t="s">
        <v>61</v>
      </c>
      <c r="D625" s="47" t="s">
        <v>182</v>
      </c>
      <c r="E625" s="47" t="s">
        <v>357</v>
      </c>
      <c r="F625" s="47">
        <v>450.0</v>
      </c>
      <c r="G625" s="47">
        <v>4.29</v>
      </c>
      <c r="H625" s="47">
        <v>104.9</v>
      </c>
      <c r="I625" s="47" t="s">
        <v>75</v>
      </c>
    </row>
    <row r="626" ht="15.75" customHeight="1">
      <c r="A626" s="47" t="s">
        <v>1498</v>
      </c>
      <c r="B626" s="47" t="s">
        <v>1499</v>
      </c>
      <c r="C626" s="47" t="s">
        <v>61</v>
      </c>
      <c r="D626" s="47" t="s">
        <v>82</v>
      </c>
      <c r="E626" s="47" t="s">
        <v>83</v>
      </c>
      <c r="F626" s="47">
        <v>83.0</v>
      </c>
      <c r="G626" s="47">
        <v>4.0</v>
      </c>
      <c r="H626" s="47">
        <v>20.8</v>
      </c>
      <c r="I626" s="47" t="s">
        <v>75</v>
      </c>
    </row>
    <row r="627" ht="15.75" customHeight="1">
      <c r="A627" s="47" t="s">
        <v>1500</v>
      </c>
      <c r="B627" s="47" t="s">
        <v>1501</v>
      </c>
      <c r="C627" s="47" t="s">
        <v>61</v>
      </c>
      <c r="D627" s="47" t="s">
        <v>123</v>
      </c>
      <c r="E627" s="47" t="s">
        <v>181</v>
      </c>
      <c r="F627" s="47">
        <v>155.0</v>
      </c>
      <c r="G627" s="47">
        <v>6.08</v>
      </c>
      <c r="H627" s="47">
        <v>25.5</v>
      </c>
      <c r="I627" s="47" t="s">
        <v>75</v>
      </c>
    </row>
    <row r="628" ht="15.75" customHeight="1">
      <c r="A628" s="47" t="s">
        <v>1502</v>
      </c>
      <c r="B628" s="47" t="s">
        <v>1503</v>
      </c>
      <c r="C628" s="47" t="s">
        <v>61</v>
      </c>
      <c r="D628" s="47" t="s">
        <v>78</v>
      </c>
      <c r="E628" s="47" t="s">
        <v>79</v>
      </c>
      <c r="F628" s="47">
        <v>365.0</v>
      </c>
      <c r="G628" s="47">
        <v>7.06</v>
      </c>
      <c r="H628" s="47">
        <v>51.7</v>
      </c>
      <c r="I628" s="47" t="s">
        <v>75</v>
      </c>
    </row>
    <row r="629" ht="15.75" customHeight="1">
      <c r="A629" s="47" t="s">
        <v>1504</v>
      </c>
      <c r="B629" s="47" t="s">
        <v>1505</v>
      </c>
      <c r="C629" s="47" t="s">
        <v>61</v>
      </c>
      <c r="D629" s="47" t="s">
        <v>165</v>
      </c>
      <c r="E629" s="47" t="s">
        <v>254</v>
      </c>
      <c r="F629" s="47">
        <v>200.0</v>
      </c>
      <c r="G629" s="47">
        <v>4.25</v>
      </c>
      <c r="H629" s="47">
        <v>47.1</v>
      </c>
      <c r="I629" s="47" t="s">
        <v>75</v>
      </c>
    </row>
    <row r="630" ht="15.75" customHeight="1">
      <c r="A630" s="47" t="s">
        <v>1506</v>
      </c>
      <c r="B630" s="47" t="s">
        <v>1507</v>
      </c>
      <c r="C630" s="47" t="s">
        <v>61</v>
      </c>
      <c r="D630" s="47" t="s">
        <v>198</v>
      </c>
      <c r="E630" s="47" t="s">
        <v>217</v>
      </c>
      <c r="F630" s="47">
        <v>237.0</v>
      </c>
      <c r="G630" s="47">
        <v>5.9</v>
      </c>
      <c r="H630" s="47">
        <v>40.2</v>
      </c>
      <c r="I630" s="47" t="s">
        <v>75</v>
      </c>
    </row>
    <row r="631" ht="15.75" customHeight="1">
      <c r="A631" s="47" t="s">
        <v>1508</v>
      </c>
      <c r="B631" s="47" t="s">
        <v>1509</v>
      </c>
      <c r="C631" s="47" t="s">
        <v>61</v>
      </c>
      <c r="D631" s="47" t="s">
        <v>140</v>
      </c>
      <c r="E631" s="47" t="s">
        <v>147</v>
      </c>
      <c r="F631" s="47">
        <v>506.0</v>
      </c>
      <c r="G631" s="47">
        <v>5.15</v>
      </c>
      <c r="H631" s="47">
        <v>98.3</v>
      </c>
      <c r="I631" s="47" t="s">
        <v>62</v>
      </c>
    </row>
    <row r="632" ht="15.75" customHeight="1">
      <c r="A632" s="47" t="s">
        <v>1510</v>
      </c>
      <c r="B632" s="47" t="s">
        <v>1511</v>
      </c>
      <c r="C632" s="47" t="s">
        <v>61</v>
      </c>
      <c r="D632" s="47" t="s">
        <v>166</v>
      </c>
      <c r="E632" s="47" t="s">
        <v>168</v>
      </c>
      <c r="F632" s="47">
        <v>45.0</v>
      </c>
      <c r="G632" s="47">
        <v>3.9</v>
      </c>
      <c r="H632" s="47">
        <v>11.5</v>
      </c>
      <c r="I632" s="47" t="s">
        <v>75</v>
      </c>
    </row>
    <row r="633" ht="15.75" customHeight="1">
      <c r="A633" s="47" t="s">
        <v>1512</v>
      </c>
      <c r="B633" s="47" t="s">
        <v>1513</v>
      </c>
      <c r="C633" s="47" t="s">
        <v>61</v>
      </c>
      <c r="D633" s="47" t="s">
        <v>137</v>
      </c>
      <c r="E633" s="47" t="s">
        <v>138</v>
      </c>
      <c r="F633" s="47">
        <v>226.0</v>
      </c>
      <c r="G633" s="47">
        <v>3.01</v>
      </c>
      <c r="H633" s="47">
        <v>75.1</v>
      </c>
      <c r="I633" s="47" t="s">
        <v>75</v>
      </c>
    </row>
    <row r="634" ht="15.75" customHeight="1">
      <c r="A634" s="47" t="s">
        <v>1514</v>
      </c>
      <c r="B634" s="47" t="s">
        <v>1515</v>
      </c>
      <c r="C634" s="47" t="s">
        <v>61</v>
      </c>
      <c r="D634" s="47" t="s">
        <v>123</v>
      </c>
      <c r="E634" s="47" t="s">
        <v>181</v>
      </c>
      <c r="F634" s="47">
        <v>335.0</v>
      </c>
      <c r="G634" s="47">
        <v>8.04</v>
      </c>
      <c r="H634" s="47">
        <v>41.7</v>
      </c>
      <c r="I634" s="47" t="s">
        <v>75</v>
      </c>
    </row>
    <row r="635" ht="15.75" customHeight="1">
      <c r="A635" s="47" t="s">
        <v>1516</v>
      </c>
      <c r="B635" s="47" t="s">
        <v>1517</v>
      </c>
      <c r="C635" s="47" t="s">
        <v>61</v>
      </c>
      <c r="D635" s="47" t="s">
        <v>106</v>
      </c>
      <c r="E635" s="47" t="s">
        <v>107</v>
      </c>
      <c r="F635" s="47">
        <v>239.0</v>
      </c>
      <c r="G635" s="47">
        <v>7.32</v>
      </c>
      <c r="H635" s="47">
        <v>32.7</v>
      </c>
      <c r="I635" s="47" t="s">
        <v>75</v>
      </c>
    </row>
    <row r="636" ht="15.75" customHeight="1">
      <c r="A636" s="47" t="s">
        <v>1518</v>
      </c>
      <c r="B636" s="47" t="s">
        <v>1519</v>
      </c>
      <c r="C636" s="47" t="s">
        <v>61</v>
      </c>
      <c r="D636" s="47" t="s">
        <v>123</v>
      </c>
      <c r="E636" s="47" t="s">
        <v>181</v>
      </c>
      <c r="F636" s="47">
        <v>122.0</v>
      </c>
      <c r="G636" s="47">
        <v>6.77</v>
      </c>
      <c r="H636" s="47">
        <v>18.0</v>
      </c>
      <c r="I636" s="47" t="s">
        <v>75</v>
      </c>
    </row>
    <row r="637" ht="15.75" customHeight="1">
      <c r="A637" s="47" t="s">
        <v>1520</v>
      </c>
      <c r="B637" s="47" t="s">
        <v>1521</v>
      </c>
      <c r="C637" s="47" t="s">
        <v>61</v>
      </c>
      <c r="D637" s="47" t="s">
        <v>106</v>
      </c>
      <c r="E637" s="47" t="s">
        <v>107</v>
      </c>
      <c r="F637" s="47">
        <v>299.0</v>
      </c>
      <c r="G637" s="47">
        <v>12.48</v>
      </c>
      <c r="H637" s="47">
        <v>24.0</v>
      </c>
      <c r="I637" s="47" t="s">
        <v>75</v>
      </c>
    </row>
    <row r="638" ht="15.75" customHeight="1">
      <c r="A638" s="47" t="s">
        <v>1522</v>
      </c>
      <c r="B638" s="47" t="s">
        <v>1523</v>
      </c>
      <c r="C638" s="47" t="s">
        <v>61</v>
      </c>
      <c r="D638" s="47" t="s">
        <v>166</v>
      </c>
      <c r="E638" s="47" t="s">
        <v>168</v>
      </c>
      <c r="F638" s="47">
        <v>917.0</v>
      </c>
      <c r="G638" s="47">
        <v>16.68</v>
      </c>
      <c r="H638" s="47">
        <v>55.0</v>
      </c>
      <c r="I638" s="47" t="s">
        <v>62</v>
      </c>
    </row>
    <row r="639" ht="15.75" customHeight="1">
      <c r="A639" s="47" t="s">
        <v>1524</v>
      </c>
      <c r="B639" s="47" t="s">
        <v>1525</v>
      </c>
      <c r="C639" s="47" t="s">
        <v>61</v>
      </c>
      <c r="D639" s="47" t="s">
        <v>102</v>
      </c>
      <c r="E639" s="47" t="s">
        <v>103</v>
      </c>
      <c r="F639" s="47">
        <v>202.0</v>
      </c>
      <c r="G639" s="47">
        <v>8.67</v>
      </c>
      <c r="H639" s="47">
        <v>23.3</v>
      </c>
      <c r="I639" s="47" t="s">
        <v>75</v>
      </c>
    </row>
    <row r="640" ht="15.75" customHeight="1">
      <c r="A640" s="47" t="s">
        <v>1526</v>
      </c>
      <c r="B640" s="47" t="s">
        <v>1527</v>
      </c>
      <c r="C640" s="47" t="s">
        <v>61</v>
      </c>
      <c r="D640" s="47" t="s">
        <v>165</v>
      </c>
      <c r="E640" s="47" t="s">
        <v>254</v>
      </c>
      <c r="F640" s="47">
        <v>923.0</v>
      </c>
      <c r="G640" s="47">
        <v>12.53</v>
      </c>
      <c r="H640" s="47">
        <v>73.7</v>
      </c>
      <c r="I640" s="47" t="s">
        <v>62</v>
      </c>
    </row>
    <row r="641" ht="15.75" customHeight="1">
      <c r="A641" s="47" t="s">
        <v>1528</v>
      </c>
      <c r="B641" s="47" t="s">
        <v>1529</v>
      </c>
      <c r="C641" s="47" t="s">
        <v>61</v>
      </c>
      <c r="D641" s="47" t="s">
        <v>165</v>
      </c>
      <c r="E641" s="47" t="s">
        <v>254</v>
      </c>
      <c r="F641" s="47">
        <v>148.0</v>
      </c>
      <c r="G641" s="47">
        <v>6.92</v>
      </c>
      <c r="H641" s="47">
        <v>21.4</v>
      </c>
      <c r="I641" s="47" t="s">
        <v>75</v>
      </c>
    </row>
    <row r="642" ht="15.75" customHeight="1">
      <c r="A642" s="47" t="s">
        <v>1530</v>
      </c>
      <c r="B642" s="47" t="s">
        <v>1531</v>
      </c>
      <c r="C642" s="47" t="s">
        <v>61</v>
      </c>
      <c r="D642" s="47" t="s">
        <v>137</v>
      </c>
      <c r="E642" s="47" t="s">
        <v>138</v>
      </c>
      <c r="F642" s="47">
        <v>276.0</v>
      </c>
      <c r="G642" s="47">
        <v>8.42</v>
      </c>
      <c r="H642" s="47">
        <v>32.8</v>
      </c>
      <c r="I642" s="47" t="s">
        <v>75</v>
      </c>
    </row>
    <row r="643" ht="15.75" customHeight="1">
      <c r="A643" s="47" t="s">
        <v>1532</v>
      </c>
      <c r="B643" s="47" t="s">
        <v>1533</v>
      </c>
      <c r="C643" s="47" t="s">
        <v>61</v>
      </c>
      <c r="D643" s="47" t="s">
        <v>102</v>
      </c>
      <c r="E643" s="47" t="s">
        <v>103</v>
      </c>
      <c r="F643" s="47">
        <v>234.0</v>
      </c>
      <c r="G643" s="47">
        <v>6.17</v>
      </c>
      <c r="H643" s="47">
        <v>37.9</v>
      </c>
      <c r="I643" s="47" t="s">
        <v>75</v>
      </c>
    </row>
    <row r="644" ht="15.75" customHeight="1">
      <c r="A644" s="47" t="s">
        <v>1534</v>
      </c>
      <c r="B644" s="47" t="s">
        <v>1535</v>
      </c>
      <c r="C644" s="47" t="s">
        <v>61</v>
      </c>
      <c r="D644" s="47" t="s">
        <v>102</v>
      </c>
      <c r="E644" s="47" t="s">
        <v>103</v>
      </c>
      <c r="F644" s="47">
        <v>441.0</v>
      </c>
      <c r="G644" s="47">
        <v>7.89</v>
      </c>
      <c r="H644" s="47">
        <v>55.9</v>
      </c>
      <c r="I644" s="47" t="s">
        <v>75</v>
      </c>
    </row>
    <row r="645" ht="15.75" customHeight="1">
      <c r="A645" s="47" t="s">
        <v>1536</v>
      </c>
      <c r="B645" s="47" t="s">
        <v>1537</v>
      </c>
      <c r="C645" s="47" t="s">
        <v>61</v>
      </c>
      <c r="D645" s="47" t="s">
        <v>156</v>
      </c>
      <c r="E645" s="47" t="s">
        <v>157</v>
      </c>
      <c r="F645" s="47">
        <v>44.0</v>
      </c>
      <c r="G645" s="47">
        <v>5.07</v>
      </c>
      <c r="H645" s="47">
        <v>8.7</v>
      </c>
      <c r="I645" s="47" t="s">
        <v>75</v>
      </c>
    </row>
    <row r="646" ht="15.75" customHeight="1">
      <c r="A646" s="47" t="s">
        <v>1538</v>
      </c>
      <c r="B646" s="47" t="s">
        <v>1539</v>
      </c>
      <c r="C646" s="47" t="s">
        <v>61</v>
      </c>
      <c r="D646" s="47" t="s">
        <v>86</v>
      </c>
      <c r="E646" s="47" t="s">
        <v>87</v>
      </c>
      <c r="F646" s="47">
        <v>127.0</v>
      </c>
      <c r="G646" s="47">
        <v>3.37</v>
      </c>
      <c r="H646" s="47">
        <v>37.7</v>
      </c>
      <c r="I646" s="47" t="s">
        <v>75</v>
      </c>
    </row>
    <row r="647" ht="15.75" customHeight="1">
      <c r="A647" s="47" t="s">
        <v>1540</v>
      </c>
      <c r="B647" s="47" t="s">
        <v>1541</v>
      </c>
      <c r="C647" s="47" t="s">
        <v>61</v>
      </c>
      <c r="D647" s="47" t="s">
        <v>78</v>
      </c>
      <c r="E647" s="47" t="s">
        <v>79</v>
      </c>
      <c r="F647" s="47">
        <v>1697.0</v>
      </c>
      <c r="G647" s="47">
        <v>20.34</v>
      </c>
      <c r="H647" s="47">
        <v>83.4</v>
      </c>
      <c r="I647" s="47" t="s">
        <v>62</v>
      </c>
    </row>
    <row r="648" ht="15.75" customHeight="1">
      <c r="A648" s="47" t="s">
        <v>1542</v>
      </c>
      <c r="B648" s="47" t="s">
        <v>1543</v>
      </c>
      <c r="C648" s="47" t="s">
        <v>61</v>
      </c>
      <c r="D648" s="47" t="s">
        <v>123</v>
      </c>
      <c r="E648" s="47" t="s">
        <v>181</v>
      </c>
      <c r="F648" s="47">
        <v>232.0</v>
      </c>
      <c r="G648" s="47">
        <v>6.97</v>
      </c>
      <c r="H648" s="47">
        <v>33.3</v>
      </c>
      <c r="I648" s="47" t="s">
        <v>75</v>
      </c>
    </row>
    <row r="649" ht="15.75" customHeight="1">
      <c r="A649" s="47" t="s">
        <v>1544</v>
      </c>
      <c r="B649" s="47" t="s">
        <v>1545</v>
      </c>
      <c r="C649" s="47" t="s">
        <v>61</v>
      </c>
      <c r="D649" s="47" t="s">
        <v>166</v>
      </c>
      <c r="E649" s="47" t="s">
        <v>168</v>
      </c>
      <c r="F649" s="47">
        <v>73.0</v>
      </c>
      <c r="G649" s="47">
        <v>4.56</v>
      </c>
      <c r="H649" s="47">
        <v>16.0</v>
      </c>
      <c r="I649" s="47" t="s">
        <v>75</v>
      </c>
    </row>
    <row r="650" ht="15.75" customHeight="1">
      <c r="A650" s="47" t="s">
        <v>1546</v>
      </c>
      <c r="B650" s="47" t="s">
        <v>1547</v>
      </c>
      <c r="C650" s="47" t="s">
        <v>61</v>
      </c>
      <c r="D650" s="47" t="s">
        <v>123</v>
      </c>
      <c r="E650" s="47" t="s">
        <v>181</v>
      </c>
      <c r="F650" s="47">
        <v>152.0</v>
      </c>
      <c r="G650" s="47">
        <v>7.58</v>
      </c>
      <c r="H650" s="47">
        <v>20.1</v>
      </c>
      <c r="I650" s="47" t="s">
        <v>75</v>
      </c>
    </row>
    <row r="651" ht="15.75" customHeight="1">
      <c r="A651" s="47" t="s">
        <v>1548</v>
      </c>
      <c r="B651" s="47" t="s">
        <v>1549</v>
      </c>
      <c r="C651" s="47" t="s">
        <v>61</v>
      </c>
      <c r="D651" s="47" t="s">
        <v>50</v>
      </c>
      <c r="E651" s="47" t="s">
        <v>49</v>
      </c>
      <c r="F651" s="47">
        <v>2288.0</v>
      </c>
      <c r="G651" s="47">
        <v>29.76</v>
      </c>
      <c r="H651" s="47">
        <v>76.9</v>
      </c>
      <c r="I651" s="47" t="s">
        <v>142</v>
      </c>
    </row>
    <row r="652" ht="15.75" customHeight="1">
      <c r="A652" s="47" t="s">
        <v>1550</v>
      </c>
      <c r="B652" s="47" t="s">
        <v>1551</v>
      </c>
      <c r="C652" s="47" t="s">
        <v>61</v>
      </c>
      <c r="D652" s="47" t="s">
        <v>165</v>
      </c>
      <c r="E652" s="47" t="s">
        <v>254</v>
      </c>
      <c r="F652" s="47">
        <v>281.0</v>
      </c>
      <c r="G652" s="47">
        <v>7.83</v>
      </c>
      <c r="H652" s="47">
        <v>35.9</v>
      </c>
      <c r="I652" s="47" t="s">
        <v>75</v>
      </c>
    </row>
    <row r="653" ht="15.75" customHeight="1">
      <c r="A653" s="47" t="s">
        <v>1552</v>
      </c>
      <c r="B653" s="47" t="s">
        <v>1553</v>
      </c>
      <c r="C653" s="47" t="s">
        <v>61</v>
      </c>
      <c r="D653" s="47" t="s">
        <v>90</v>
      </c>
      <c r="E653" s="47" t="s">
        <v>91</v>
      </c>
      <c r="F653" s="47">
        <v>116.0</v>
      </c>
      <c r="G653" s="47">
        <v>4.68</v>
      </c>
      <c r="H653" s="47">
        <v>24.8</v>
      </c>
      <c r="I653" s="47" t="s">
        <v>75</v>
      </c>
    </row>
    <row r="654" ht="15.75" customHeight="1">
      <c r="A654" s="47" t="s">
        <v>1554</v>
      </c>
      <c r="B654" s="47" t="s">
        <v>1555</v>
      </c>
      <c r="C654" s="47" t="s">
        <v>61</v>
      </c>
      <c r="D654" s="47" t="s">
        <v>82</v>
      </c>
      <c r="E654" s="47" t="s">
        <v>83</v>
      </c>
      <c r="F654" s="47">
        <v>118.0</v>
      </c>
      <c r="G654" s="47">
        <v>5.52</v>
      </c>
      <c r="H654" s="47">
        <v>21.4</v>
      </c>
      <c r="I654" s="47" t="s">
        <v>75</v>
      </c>
    </row>
    <row r="655" ht="15.75" customHeight="1">
      <c r="A655" s="47" t="s">
        <v>1556</v>
      </c>
      <c r="B655" s="47" t="s">
        <v>1557</v>
      </c>
      <c r="C655" s="47" t="s">
        <v>61</v>
      </c>
      <c r="D655" s="47" t="s">
        <v>156</v>
      </c>
      <c r="E655" s="47" t="s">
        <v>157</v>
      </c>
      <c r="F655" s="47">
        <v>3199.0</v>
      </c>
      <c r="G655" s="47">
        <v>42.22</v>
      </c>
      <c r="H655" s="47">
        <v>75.8</v>
      </c>
      <c r="I655" s="47" t="s">
        <v>142</v>
      </c>
    </row>
    <row r="656" ht="15.75" customHeight="1">
      <c r="A656" s="47" t="s">
        <v>1558</v>
      </c>
      <c r="B656" s="47" t="s">
        <v>1559</v>
      </c>
      <c r="C656" s="47" t="s">
        <v>61</v>
      </c>
      <c r="D656" s="47" t="s">
        <v>50</v>
      </c>
      <c r="E656" s="47" t="s">
        <v>49</v>
      </c>
      <c r="F656" s="47">
        <v>110.0</v>
      </c>
      <c r="G656" s="47">
        <v>6.6</v>
      </c>
      <c r="H656" s="47">
        <v>16.7</v>
      </c>
      <c r="I656" s="47" t="s">
        <v>75</v>
      </c>
    </row>
    <row r="657" ht="15.75" customHeight="1">
      <c r="A657" s="47" t="s">
        <v>1560</v>
      </c>
      <c r="B657" s="47" t="s">
        <v>1561</v>
      </c>
      <c r="C657" s="47" t="s">
        <v>61</v>
      </c>
      <c r="D657" s="47" t="s">
        <v>137</v>
      </c>
      <c r="E657" s="47" t="s">
        <v>138</v>
      </c>
      <c r="F657" s="47">
        <v>370.0</v>
      </c>
      <c r="G657" s="47">
        <v>11.08</v>
      </c>
      <c r="H657" s="47">
        <v>33.4</v>
      </c>
      <c r="I657" s="47" t="s">
        <v>75</v>
      </c>
    </row>
    <row r="658" ht="15.75" customHeight="1">
      <c r="A658" s="47" t="s">
        <v>1562</v>
      </c>
      <c r="B658" s="47" t="s">
        <v>1563</v>
      </c>
      <c r="C658" s="47" t="s">
        <v>61</v>
      </c>
      <c r="D658" s="47" t="s">
        <v>102</v>
      </c>
      <c r="E658" s="47" t="s">
        <v>103</v>
      </c>
      <c r="F658" s="47">
        <v>328.0</v>
      </c>
      <c r="G658" s="47">
        <v>12.06</v>
      </c>
      <c r="H658" s="47">
        <v>27.2</v>
      </c>
      <c r="I658" s="47" t="s">
        <v>75</v>
      </c>
    </row>
    <row r="659" ht="15.75" customHeight="1">
      <c r="A659" s="47" t="s">
        <v>1564</v>
      </c>
      <c r="B659" s="47" t="s">
        <v>1565</v>
      </c>
      <c r="C659" s="47" t="s">
        <v>61</v>
      </c>
      <c r="D659" s="47" t="s">
        <v>165</v>
      </c>
      <c r="E659" s="47" t="s">
        <v>254</v>
      </c>
      <c r="F659" s="47">
        <v>39.0</v>
      </c>
      <c r="G659" s="47">
        <v>7.16</v>
      </c>
      <c r="H659" s="47">
        <v>5.4</v>
      </c>
      <c r="I659" s="47" t="s">
        <v>75</v>
      </c>
    </row>
    <row r="660" ht="15.75" customHeight="1">
      <c r="A660" s="47" t="s">
        <v>1566</v>
      </c>
      <c r="B660" s="47" t="s">
        <v>1567</v>
      </c>
      <c r="C660" s="47" t="s">
        <v>61</v>
      </c>
      <c r="D660" s="47" t="s">
        <v>73</v>
      </c>
      <c r="E660" s="47" t="s">
        <v>74</v>
      </c>
      <c r="F660" s="47">
        <v>41.0</v>
      </c>
      <c r="G660" s="47">
        <v>7.03</v>
      </c>
      <c r="H660" s="47">
        <v>5.8</v>
      </c>
      <c r="I660" s="47" t="s">
        <v>75</v>
      </c>
    </row>
    <row r="661" ht="15.75" customHeight="1">
      <c r="A661" s="47" t="s">
        <v>1568</v>
      </c>
      <c r="B661" s="47" t="s">
        <v>1569</v>
      </c>
      <c r="C661" s="47" t="s">
        <v>61</v>
      </c>
      <c r="D661" s="47" t="s">
        <v>78</v>
      </c>
      <c r="E661" s="47" t="s">
        <v>79</v>
      </c>
      <c r="F661" s="47">
        <v>67.0</v>
      </c>
      <c r="G661" s="47">
        <v>9.62</v>
      </c>
      <c r="H661" s="47">
        <v>7.0</v>
      </c>
      <c r="I661" s="47" t="s">
        <v>75</v>
      </c>
    </row>
    <row r="662" ht="15.75" customHeight="1">
      <c r="A662" s="47" t="s">
        <v>1570</v>
      </c>
      <c r="B662" s="47" t="s">
        <v>1571</v>
      </c>
      <c r="C662" s="47" t="s">
        <v>61</v>
      </c>
      <c r="D662" s="47" t="s">
        <v>140</v>
      </c>
      <c r="E662" s="47" t="s">
        <v>147</v>
      </c>
      <c r="F662" s="47">
        <v>52813.0</v>
      </c>
      <c r="G662" s="47">
        <v>22.8</v>
      </c>
      <c r="H662" s="47">
        <v>2316.4</v>
      </c>
      <c r="I662" s="47" t="s">
        <v>7463</v>
      </c>
    </row>
    <row r="663" ht="15.75" customHeight="1">
      <c r="A663" s="47" t="s">
        <v>1572</v>
      </c>
      <c r="B663" s="47" t="s">
        <v>1573</v>
      </c>
      <c r="C663" s="47" t="s">
        <v>61</v>
      </c>
      <c r="D663" s="47" t="s">
        <v>106</v>
      </c>
      <c r="E663" s="47" t="s">
        <v>107</v>
      </c>
      <c r="F663" s="47">
        <v>226.0</v>
      </c>
      <c r="G663" s="47">
        <v>14.02</v>
      </c>
      <c r="H663" s="47">
        <v>16.1</v>
      </c>
      <c r="I663" s="47" t="s">
        <v>75</v>
      </c>
    </row>
    <row r="664" ht="15.75" customHeight="1">
      <c r="A664" s="47" t="s">
        <v>1574</v>
      </c>
      <c r="B664" s="47" t="s">
        <v>1575</v>
      </c>
      <c r="C664" s="47" t="s">
        <v>61</v>
      </c>
      <c r="D664" s="47" t="s">
        <v>140</v>
      </c>
      <c r="E664" s="47" t="s">
        <v>147</v>
      </c>
      <c r="F664" s="47">
        <v>593.0</v>
      </c>
      <c r="G664" s="47">
        <v>6.36</v>
      </c>
      <c r="H664" s="47">
        <v>93.2</v>
      </c>
      <c r="I664" s="47" t="s">
        <v>62</v>
      </c>
    </row>
    <row r="665" ht="15.75" customHeight="1">
      <c r="A665" s="47" t="s">
        <v>1576</v>
      </c>
      <c r="B665" s="47" t="s">
        <v>1577</v>
      </c>
      <c r="C665" s="47" t="s">
        <v>61</v>
      </c>
      <c r="D665" s="47" t="s">
        <v>86</v>
      </c>
      <c r="E665" s="47" t="s">
        <v>87</v>
      </c>
      <c r="F665" s="47">
        <v>71.0</v>
      </c>
      <c r="G665" s="47">
        <v>2.48</v>
      </c>
      <c r="H665" s="47">
        <v>28.6</v>
      </c>
      <c r="I665" s="47" t="s">
        <v>75</v>
      </c>
    </row>
    <row r="666" ht="15.75" customHeight="1">
      <c r="A666" s="47" t="s">
        <v>1578</v>
      </c>
      <c r="B666" s="47" t="s">
        <v>1579</v>
      </c>
      <c r="C666" s="47" t="s">
        <v>61</v>
      </c>
      <c r="D666" s="47" t="s">
        <v>136</v>
      </c>
      <c r="E666" s="47" t="s">
        <v>189</v>
      </c>
      <c r="F666" s="47">
        <v>384.0</v>
      </c>
      <c r="G666" s="47">
        <v>25.35</v>
      </c>
      <c r="H666" s="47">
        <v>15.1</v>
      </c>
      <c r="I666" s="47" t="s">
        <v>75</v>
      </c>
    </row>
    <row r="667" ht="15.75" customHeight="1">
      <c r="A667" s="47" t="s">
        <v>1580</v>
      </c>
      <c r="B667" s="47" t="s">
        <v>1581</v>
      </c>
      <c r="C667" s="47" t="s">
        <v>61</v>
      </c>
      <c r="D667" s="47" t="s">
        <v>90</v>
      </c>
      <c r="E667" s="47" t="s">
        <v>91</v>
      </c>
      <c r="F667" s="47">
        <v>101.0</v>
      </c>
      <c r="G667" s="47">
        <v>4.49</v>
      </c>
      <c r="H667" s="47">
        <v>22.5</v>
      </c>
      <c r="I667" s="47" t="s">
        <v>75</v>
      </c>
    </row>
    <row r="668" ht="15.75" customHeight="1">
      <c r="A668" s="47" t="s">
        <v>1582</v>
      </c>
      <c r="B668" s="47" t="s">
        <v>1583</v>
      </c>
      <c r="C668" s="47" t="s">
        <v>61</v>
      </c>
      <c r="D668" s="47" t="s">
        <v>123</v>
      </c>
      <c r="E668" s="47" t="s">
        <v>181</v>
      </c>
      <c r="F668" s="47">
        <v>266.0</v>
      </c>
      <c r="G668" s="47">
        <v>10.06</v>
      </c>
      <c r="H668" s="47">
        <v>26.4</v>
      </c>
      <c r="I668" s="47" t="s">
        <v>75</v>
      </c>
    </row>
    <row r="669" ht="15.75" customHeight="1">
      <c r="A669" s="47" t="s">
        <v>1584</v>
      </c>
      <c r="B669" s="47" t="s">
        <v>1585</v>
      </c>
      <c r="C669" s="47" t="s">
        <v>61</v>
      </c>
      <c r="D669" s="47" t="s">
        <v>182</v>
      </c>
      <c r="E669" s="47" t="s">
        <v>357</v>
      </c>
      <c r="F669" s="47">
        <v>687.0</v>
      </c>
      <c r="G669" s="47">
        <v>2.67</v>
      </c>
      <c r="H669" s="47">
        <v>257.3</v>
      </c>
      <c r="I669" s="47" t="s">
        <v>62</v>
      </c>
    </row>
    <row r="670" ht="15.75" customHeight="1">
      <c r="A670" s="47" t="s">
        <v>1586</v>
      </c>
      <c r="B670" s="47" t="s">
        <v>1587</v>
      </c>
      <c r="C670" s="47" t="s">
        <v>61</v>
      </c>
      <c r="D670" s="47" t="s">
        <v>198</v>
      </c>
      <c r="E670" s="47" t="s">
        <v>217</v>
      </c>
      <c r="F670" s="47">
        <v>618.0</v>
      </c>
      <c r="G670" s="47">
        <v>7.5</v>
      </c>
      <c r="H670" s="47">
        <v>82.4</v>
      </c>
      <c r="I670" s="47" t="s">
        <v>62</v>
      </c>
    </row>
    <row r="671" ht="15.75" customHeight="1">
      <c r="A671" s="47" t="s">
        <v>1588</v>
      </c>
      <c r="B671" s="47" t="s">
        <v>1589</v>
      </c>
      <c r="C671" s="47" t="s">
        <v>61</v>
      </c>
      <c r="D671" s="47" t="s">
        <v>198</v>
      </c>
      <c r="E671" s="47" t="s">
        <v>217</v>
      </c>
      <c r="F671" s="47">
        <v>1087.0</v>
      </c>
      <c r="G671" s="47">
        <v>11.84</v>
      </c>
      <c r="H671" s="47">
        <v>91.8</v>
      </c>
      <c r="I671" s="47" t="s">
        <v>62</v>
      </c>
    </row>
    <row r="672" ht="15.75" customHeight="1">
      <c r="A672" s="47" t="s">
        <v>1590</v>
      </c>
      <c r="B672" s="47" t="s">
        <v>1591</v>
      </c>
      <c r="C672" s="47" t="s">
        <v>61</v>
      </c>
      <c r="D672" s="47" t="s">
        <v>137</v>
      </c>
      <c r="E672" s="47" t="s">
        <v>138</v>
      </c>
      <c r="F672" s="47">
        <v>202.0</v>
      </c>
      <c r="G672" s="47">
        <v>7.68</v>
      </c>
      <c r="H672" s="47">
        <v>26.3</v>
      </c>
      <c r="I672" s="47" t="s">
        <v>75</v>
      </c>
    </row>
    <row r="673" ht="15.75" customHeight="1">
      <c r="A673" s="47" t="s">
        <v>1592</v>
      </c>
      <c r="B673" s="47" t="s">
        <v>1593</v>
      </c>
      <c r="C673" s="47" t="s">
        <v>61</v>
      </c>
      <c r="D673" s="47" t="s">
        <v>78</v>
      </c>
      <c r="E673" s="47" t="s">
        <v>79</v>
      </c>
      <c r="F673" s="47">
        <v>201.0</v>
      </c>
      <c r="G673" s="47">
        <v>4.79</v>
      </c>
      <c r="H673" s="47">
        <v>42.0</v>
      </c>
      <c r="I673" s="47" t="s">
        <v>75</v>
      </c>
    </row>
    <row r="674" ht="15.75" customHeight="1">
      <c r="A674" s="47" t="s">
        <v>1594</v>
      </c>
      <c r="B674" s="47" t="s">
        <v>1595</v>
      </c>
      <c r="C674" s="47" t="s">
        <v>61</v>
      </c>
      <c r="D674" s="47" t="s">
        <v>67</v>
      </c>
      <c r="E674" s="47" t="s">
        <v>68</v>
      </c>
      <c r="F674" s="47">
        <v>576.0</v>
      </c>
      <c r="G674" s="47">
        <v>4.81</v>
      </c>
      <c r="H674" s="47">
        <v>119.8</v>
      </c>
      <c r="I674" s="47" t="s">
        <v>62</v>
      </c>
    </row>
    <row r="675" ht="15.75" customHeight="1">
      <c r="A675" s="47" t="s">
        <v>1596</v>
      </c>
      <c r="B675" s="47" t="s">
        <v>1597</v>
      </c>
      <c r="C675" s="47" t="s">
        <v>61</v>
      </c>
      <c r="D675" s="47" t="s">
        <v>137</v>
      </c>
      <c r="E675" s="47" t="s">
        <v>138</v>
      </c>
      <c r="F675" s="47">
        <v>179.0</v>
      </c>
      <c r="G675" s="47">
        <v>8.46</v>
      </c>
      <c r="H675" s="47">
        <v>21.2</v>
      </c>
      <c r="I675" s="47" t="s">
        <v>75</v>
      </c>
    </row>
    <row r="676" ht="15.75" customHeight="1">
      <c r="A676" s="47" t="s">
        <v>1598</v>
      </c>
      <c r="B676" s="47" t="s">
        <v>1599</v>
      </c>
      <c r="C676" s="47" t="s">
        <v>61</v>
      </c>
      <c r="D676" s="47" t="s">
        <v>198</v>
      </c>
      <c r="E676" s="47" t="s">
        <v>217</v>
      </c>
      <c r="F676" s="47">
        <v>219.0</v>
      </c>
      <c r="G676" s="47">
        <v>6.43</v>
      </c>
      <c r="H676" s="47">
        <v>34.1</v>
      </c>
      <c r="I676" s="47" t="s">
        <v>75</v>
      </c>
    </row>
    <row r="677" ht="15.75" customHeight="1">
      <c r="A677" s="47" t="s">
        <v>1600</v>
      </c>
      <c r="B677" s="47" t="s">
        <v>1601</v>
      </c>
      <c r="C677" s="47" t="s">
        <v>61</v>
      </c>
      <c r="D677" s="47" t="s">
        <v>198</v>
      </c>
      <c r="E677" s="47" t="s">
        <v>217</v>
      </c>
      <c r="F677" s="47">
        <v>380.0</v>
      </c>
      <c r="G677" s="47">
        <v>6.71</v>
      </c>
      <c r="H677" s="47">
        <v>56.6</v>
      </c>
      <c r="I677" s="47" t="s">
        <v>75</v>
      </c>
    </row>
    <row r="678" ht="15.75" customHeight="1">
      <c r="A678" s="47" t="s">
        <v>1602</v>
      </c>
      <c r="B678" s="47" t="s">
        <v>1603</v>
      </c>
      <c r="C678" s="47" t="s">
        <v>61</v>
      </c>
      <c r="D678" s="47" t="s">
        <v>140</v>
      </c>
      <c r="E678" s="47" t="s">
        <v>147</v>
      </c>
      <c r="F678" s="47">
        <v>706.0</v>
      </c>
      <c r="G678" s="47">
        <v>10.45</v>
      </c>
      <c r="H678" s="47">
        <v>67.6</v>
      </c>
      <c r="I678" s="47" t="s">
        <v>62</v>
      </c>
    </row>
    <row r="679" ht="15.75" customHeight="1">
      <c r="A679" s="47" t="s">
        <v>1604</v>
      </c>
      <c r="B679" s="47" t="s">
        <v>1605</v>
      </c>
      <c r="C679" s="47" t="s">
        <v>61</v>
      </c>
      <c r="D679" s="47" t="s">
        <v>67</v>
      </c>
      <c r="E679" s="47" t="s">
        <v>68</v>
      </c>
      <c r="F679" s="47">
        <v>273.0</v>
      </c>
      <c r="G679" s="47">
        <v>9.12</v>
      </c>
      <c r="H679" s="47">
        <v>29.9</v>
      </c>
      <c r="I679" s="47" t="s">
        <v>75</v>
      </c>
    </row>
    <row r="680" ht="15.75" customHeight="1">
      <c r="A680" s="47" t="s">
        <v>1606</v>
      </c>
      <c r="B680" s="47" t="s">
        <v>1607</v>
      </c>
      <c r="C680" s="47" t="s">
        <v>61</v>
      </c>
      <c r="D680" s="47" t="s">
        <v>123</v>
      </c>
      <c r="E680" s="47" t="s">
        <v>181</v>
      </c>
      <c r="F680" s="47">
        <v>139.0</v>
      </c>
      <c r="G680" s="47">
        <v>13.59</v>
      </c>
      <c r="H680" s="47">
        <v>10.2</v>
      </c>
      <c r="I680" s="47" t="s">
        <v>75</v>
      </c>
    </row>
    <row r="681" ht="15.75" customHeight="1">
      <c r="A681" s="47" t="s">
        <v>1608</v>
      </c>
      <c r="B681" s="47" t="s">
        <v>1609</v>
      </c>
      <c r="C681" s="47" t="s">
        <v>61</v>
      </c>
      <c r="D681" s="47" t="s">
        <v>123</v>
      </c>
      <c r="E681" s="47" t="s">
        <v>181</v>
      </c>
      <c r="F681" s="47">
        <v>273.0</v>
      </c>
      <c r="G681" s="47">
        <v>13.67</v>
      </c>
      <c r="H681" s="47">
        <v>20.0</v>
      </c>
      <c r="I681" s="47" t="s">
        <v>75</v>
      </c>
    </row>
    <row r="682" ht="15.75" customHeight="1">
      <c r="A682" s="47" t="s">
        <v>1610</v>
      </c>
      <c r="B682" s="47" t="s">
        <v>1611</v>
      </c>
      <c r="C682" s="47" t="s">
        <v>61</v>
      </c>
      <c r="D682" s="47" t="s">
        <v>67</v>
      </c>
      <c r="E682" s="47" t="s">
        <v>68</v>
      </c>
      <c r="F682" s="47">
        <v>340.0</v>
      </c>
      <c r="G682" s="47">
        <v>5.53</v>
      </c>
      <c r="H682" s="47">
        <v>61.5</v>
      </c>
      <c r="I682" s="47" t="s">
        <v>75</v>
      </c>
    </row>
    <row r="683" ht="15.75" customHeight="1">
      <c r="A683" s="47" t="s">
        <v>1612</v>
      </c>
      <c r="B683" s="47" t="s">
        <v>1613</v>
      </c>
      <c r="C683" s="47" t="s">
        <v>61</v>
      </c>
      <c r="D683" s="47" t="s">
        <v>90</v>
      </c>
      <c r="E683" s="47" t="s">
        <v>91</v>
      </c>
      <c r="F683" s="47">
        <v>42.0</v>
      </c>
      <c r="G683" s="47">
        <v>2.2</v>
      </c>
      <c r="H683" s="47">
        <v>19.1</v>
      </c>
      <c r="I683" s="47" t="s">
        <v>75</v>
      </c>
    </row>
    <row r="684" ht="15.75" customHeight="1">
      <c r="A684" s="47" t="s">
        <v>1614</v>
      </c>
      <c r="B684" s="47" t="s">
        <v>1615</v>
      </c>
      <c r="C684" s="47" t="s">
        <v>61</v>
      </c>
      <c r="D684" s="47" t="s">
        <v>50</v>
      </c>
      <c r="E684" s="47" t="s">
        <v>49</v>
      </c>
      <c r="F684" s="47">
        <v>287.0</v>
      </c>
      <c r="G684" s="47">
        <v>5.6</v>
      </c>
      <c r="H684" s="47">
        <v>51.2</v>
      </c>
      <c r="I684" s="47" t="s">
        <v>75</v>
      </c>
    </row>
    <row r="685" ht="15.75" customHeight="1">
      <c r="A685" s="47" t="s">
        <v>1616</v>
      </c>
      <c r="B685" s="47" t="s">
        <v>1617</v>
      </c>
      <c r="C685" s="47" t="s">
        <v>61</v>
      </c>
      <c r="D685" s="47" t="s">
        <v>94</v>
      </c>
      <c r="E685" s="47" t="s">
        <v>95</v>
      </c>
      <c r="F685" s="47">
        <v>601.0</v>
      </c>
      <c r="G685" s="47">
        <v>11.7</v>
      </c>
      <c r="H685" s="47">
        <v>51.4</v>
      </c>
      <c r="I685" s="47" t="s">
        <v>62</v>
      </c>
    </row>
    <row r="686" ht="15.75" customHeight="1">
      <c r="A686" s="47" t="s">
        <v>1618</v>
      </c>
      <c r="B686" s="47" t="s">
        <v>1619</v>
      </c>
      <c r="C686" s="47" t="s">
        <v>61</v>
      </c>
      <c r="D686" s="47" t="s">
        <v>102</v>
      </c>
      <c r="E686" s="47" t="s">
        <v>103</v>
      </c>
      <c r="F686" s="47">
        <v>112.0</v>
      </c>
      <c r="G686" s="47">
        <v>2.37</v>
      </c>
      <c r="H686" s="47">
        <v>47.3</v>
      </c>
      <c r="I686" s="47" t="s">
        <v>75</v>
      </c>
    </row>
    <row r="687" ht="15.75" customHeight="1">
      <c r="A687" s="47" t="s">
        <v>1620</v>
      </c>
      <c r="B687" s="47" t="s">
        <v>1621</v>
      </c>
      <c r="C687" s="47" t="s">
        <v>61</v>
      </c>
      <c r="D687" s="47" t="s">
        <v>50</v>
      </c>
      <c r="E687" s="47" t="s">
        <v>49</v>
      </c>
      <c r="F687" s="47">
        <v>2005.0</v>
      </c>
      <c r="G687" s="47">
        <v>13.16</v>
      </c>
      <c r="H687" s="47">
        <v>152.4</v>
      </c>
      <c r="I687" s="47" t="s">
        <v>142</v>
      </c>
    </row>
    <row r="688" ht="15.75" customHeight="1">
      <c r="A688" s="47" t="s">
        <v>1622</v>
      </c>
      <c r="B688" s="47" t="s">
        <v>1623</v>
      </c>
      <c r="C688" s="47" t="s">
        <v>61</v>
      </c>
      <c r="D688" s="47" t="s">
        <v>78</v>
      </c>
      <c r="E688" s="47" t="s">
        <v>79</v>
      </c>
      <c r="F688" s="47">
        <v>2065.0</v>
      </c>
      <c r="G688" s="47">
        <v>53.5</v>
      </c>
      <c r="H688" s="47">
        <v>38.6</v>
      </c>
      <c r="I688" s="47" t="s">
        <v>142</v>
      </c>
    </row>
    <row r="689" ht="15.75" customHeight="1">
      <c r="A689" s="47" t="s">
        <v>1624</v>
      </c>
      <c r="B689" s="47" t="s">
        <v>1625</v>
      </c>
      <c r="C689" s="47" t="s">
        <v>61</v>
      </c>
      <c r="D689" s="47" t="s">
        <v>94</v>
      </c>
      <c r="E689" s="47" t="s">
        <v>95</v>
      </c>
      <c r="F689" s="47">
        <v>505.0</v>
      </c>
      <c r="G689" s="47">
        <v>10.84</v>
      </c>
      <c r="H689" s="47">
        <v>46.6</v>
      </c>
      <c r="I689" s="47" t="s">
        <v>62</v>
      </c>
    </row>
    <row r="690" ht="15.75" customHeight="1">
      <c r="A690" s="47" t="s">
        <v>1626</v>
      </c>
      <c r="B690" s="47" t="s">
        <v>1627</v>
      </c>
      <c r="C690" s="47" t="s">
        <v>61</v>
      </c>
      <c r="D690" s="47" t="s">
        <v>67</v>
      </c>
      <c r="E690" s="47" t="s">
        <v>68</v>
      </c>
      <c r="F690" s="47">
        <v>28046.0</v>
      </c>
      <c r="G690" s="47">
        <v>12.32</v>
      </c>
      <c r="H690" s="47">
        <v>2276.5</v>
      </c>
      <c r="I690" s="47" t="s">
        <v>571</v>
      </c>
    </row>
    <row r="691" ht="15.75" customHeight="1">
      <c r="A691" s="47" t="s">
        <v>1628</v>
      </c>
      <c r="B691" s="47" t="s">
        <v>1629</v>
      </c>
      <c r="C691" s="47" t="s">
        <v>61</v>
      </c>
      <c r="D691" s="47" t="s">
        <v>166</v>
      </c>
      <c r="E691" s="47" t="s">
        <v>168</v>
      </c>
      <c r="F691" s="47">
        <v>95.0</v>
      </c>
      <c r="G691" s="47">
        <v>6.0</v>
      </c>
      <c r="H691" s="47">
        <v>15.8</v>
      </c>
      <c r="I691" s="47" t="s">
        <v>75</v>
      </c>
    </row>
    <row r="692" ht="15.75" customHeight="1">
      <c r="A692" s="47" t="s">
        <v>1630</v>
      </c>
      <c r="B692" s="47" t="s">
        <v>1631</v>
      </c>
      <c r="C692" s="47" t="s">
        <v>61</v>
      </c>
      <c r="D692" s="47" t="s">
        <v>123</v>
      </c>
      <c r="E692" s="47" t="s">
        <v>181</v>
      </c>
      <c r="F692" s="47">
        <v>56.0</v>
      </c>
      <c r="G692" s="47">
        <v>4.23</v>
      </c>
      <c r="H692" s="47">
        <v>13.2</v>
      </c>
      <c r="I692" s="47" t="s">
        <v>75</v>
      </c>
    </row>
    <row r="693" ht="15.75" customHeight="1">
      <c r="A693" s="47" t="s">
        <v>1632</v>
      </c>
      <c r="B693" s="47" t="s">
        <v>1633</v>
      </c>
      <c r="C693" s="47" t="s">
        <v>61</v>
      </c>
      <c r="D693" s="47" t="s">
        <v>165</v>
      </c>
      <c r="E693" s="47" t="s">
        <v>254</v>
      </c>
      <c r="F693" s="47">
        <v>134.0</v>
      </c>
      <c r="G693" s="47">
        <v>4.62</v>
      </c>
      <c r="H693" s="47">
        <v>29.0</v>
      </c>
      <c r="I693" s="47" t="s">
        <v>75</v>
      </c>
    </row>
    <row r="694" ht="15.75" customHeight="1">
      <c r="A694" s="47" t="s">
        <v>1634</v>
      </c>
      <c r="B694" s="47" t="s">
        <v>1635</v>
      </c>
      <c r="C694" s="47" t="s">
        <v>61</v>
      </c>
      <c r="D694" s="47" t="s">
        <v>140</v>
      </c>
      <c r="E694" s="47" t="s">
        <v>147</v>
      </c>
      <c r="F694" s="47">
        <v>178.0</v>
      </c>
      <c r="G694" s="47">
        <v>6.28</v>
      </c>
      <c r="H694" s="47">
        <v>28.3</v>
      </c>
      <c r="I694" s="47" t="s">
        <v>75</v>
      </c>
    </row>
    <row r="695" ht="15.75" customHeight="1">
      <c r="A695" s="47" t="s">
        <v>1636</v>
      </c>
      <c r="B695" s="47" t="s">
        <v>1637</v>
      </c>
      <c r="C695" s="47" t="s">
        <v>61</v>
      </c>
      <c r="D695" s="47" t="s">
        <v>73</v>
      </c>
      <c r="E695" s="47" t="s">
        <v>74</v>
      </c>
      <c r="F695" s="47">
        <v>205.0</v>
      </c>
      <c r="G695" s="47">
        <v>9.26</v>
      </c>
      <c r="H695" s="47">
        <v>22.1</v>
      </c>
      <c r="I695" s="47" t="s">
        <v>75</v>
      </c>
    </row>
    <row r="696" ht="15.75" customHeight="1">
      <c r="A696" s="47" t="s">
        <v>1638</v>
      </c>
      <c r="B696" s="47" t="s">
        <v>1639</v>
      </c>
      <c r="C696" s="47" t="s">
        <v>61</v>
      </c>
      <c r="D696" s="47" t="s">
        <v>165</v>
      </c>
      <c r="E696" s="47" t="s">
        <v>254</v>
      </c>
      <c r="F696" s="47">
        <v>266.0</v>
      </c>
      <c r="G696" s="47">
        <v>13.94</v>
      </c>
      <c r="H696" s="47">
        <v>19.1</v>
      </c>
      <c r="I696" s="47" t="s">
        <v>75</v>
      </c>
    </row>
    <row r="697" ht="15.75" customHeight="1">
      <c r="A697" s="47" t="s">
        <v>1640</v>
      </c>
      <c r="B697" s="47" t="s">
        <v>1641</v>
      </c>
      <c r="C697" s="47" t="s">
        <v>61</v>
      </c>
      <c r="D697" s="47" t="s">
        <v>102</v>
      </c>
      <c r="E697" s="47" t="s">
        <v>103</v>
      </c>
      <c r="F697" s="47">
        <v>74.0</v>
      </c>
      <c r="G697" s="47">
        <v>5.22</v>
      </c>
      <c r="H697" s="47">
        <v>14.2</v>
      </c>
      <c r="I697" s="47" t="s">
        <v>75</v>
      </c>
    </row>
    <row r="698" ht="15.75" customHeight="1">
      <c r="A698" s="47" t="s">
        <v>1642</v>
      </c>
      <c r="B698" s="47" t="s">
        <v>1643</v>
      </c>
      <c r="C698" s="47" t="s">
        <v>61</v>
      </c>
      <c r="D698" s="47" t="s">
        <v>90</v>
      </c>
      <c r="E698" s="47" t="s">
        <v>91</v>
      </c>
      <c r="F698" s="47">
        <v>272.0</v>
      </c>
      <c r="G698" s="47">
        <v>10.27</v>
      </c>
      <c r="H698" s="47">
        <v>26.5</v>
      </c>
      <c r="I698" s="47" t="s">
        <v>75</v>
      </c>
    </row>
    <row r="699" ht="15.75" customHeight="1">
      <c r="A699" s="47" t="s">
        <v>1644</v>
      </c>
      <c r="B699" s="47" t="s">
        <v>1645</v>
      </c>
      <c r="C699" s="47" t="s">
        <v>61</v>
      </c>
      <c r="D699" s="47" t="s">
        <v>165</v>
      </c>
      <c r="E699" s="47" t="s">
        <v>254</v>
      </c>
      <c r="F699" s="47">
        <v>155.0</v>
      </c>
      <c r="G699" s="47">
        <v>7.44</v>
      </c>
      <c r="H699" s="47">
        <v>20.8</v>
      </c>
      <c r="I699" s="47" t="s">
        <v>75</v>
      </c>
    </row>
    <row r="700" ht="15.75" customHeight="1">
      <c r="A700" s="47" t="s">
        <v>1646</v>
      </c>
      <c r="B700" s="47" t="s">
        <v>1647</v>
      </c>
      <c r="C700" s="47" t="s">
        <v>61</v>
      </c>
      <c r="D700" s="47" t="s">
        <v>94</v>
      </c>
      <c r="E700" s="47" t="s">
        <v>95</v>
      </c>
      <c r="F700" s="47">
        <v>92.0</v>
      </c>
      <c r="G700" s="47">
        <v>6.38</v>
      </c>
      <c r="H700" s="47">
        <v>14.4</v>
      </c>
      <c r="I700" s="47" t="s">
        <v>75</v>
      </c>
    </row>
    <row r="701" ht="15.75" customHeight="1">
      <c r="A701" s="47" t="s">
        <v>1648</v>
      </c>
      <c r="B701" s="47" t="s">
        <v>1649</v>
      </c>
      <c r="C701" s="47" t="s">
        <v>61</v>
      </c>
      <c r="D701" s="47" t="s">
        <v>102</v>
      </c>
      <c r="E701" s="47" t="s">
        <v>103</v>
      </c>
      <c r="F701" s="47">
        <v>257.0</v>
      </c>
      <c r="G701" s="47">
        <v>10.58</v>
      </c>
      <c r="H701" s="47">
        <v>24.3</v>
      </c>
      <c r="I701" s="47" t="s">
        <v>75</v>
      </c>
    </row>
    <row r="702" ht="15.75" customHeight="1">
      <c r="A702" s="47" t="s">
        <v>1650</v>
      </c>
      <c r="B702" s="47" t="s">
        <v>1651</v>
      </c>
      <c r="C702" s="47" t="s">
        <v>61</v>
      </c>
      <c r="D702" s="47" t="s">
        <v>90</v>
      </c>
      <c r="E702" s="47" t="s">
        <v>91</v>
      </c>
      <c r="F702" s="47">
        <v>16.0</v>
      </c>
      <c r="G702" s="47">
        <v>2.54</v>
      </c>
      <c r="H702" s="47">
        <v>6.3</v>
      </c>
      <c r="I702" s="47" t="s">
        <v>75</v>
      </c>
    </row>
    <row r="703" ht="15.75" customHeight="1">
      <c r="A703" s="47" t="s">
        <v>1652</v>
      </c>
      <c r="B703" s="47" t="s">
        <v>1653</v>
      </c>
      <c r="C703" s="47" t="s">
        <v>61</v>
      </c>
      <c r="D703" s="47" t="s">
        <v>102</v>
      </c>
      <c r="E703" s="47" t="s">
        <v>103</v>
      </c>
      <c r="F703" s="47">
        <v>162.0</v>
      </c>
      <c r="G703" s="47">
        <v>8.84</v>
      </c>
      <c r="H703" s="47">
        <v>18.3</v>
      </c>
      <c r="I703" s="47" t="s">
        <v>75</v>
      </c>
    </row>
    <row r="704" ht="15.75" customHeight="1">
      <c r="A704" s="47" t="s">
        <v>1654</v>
      </c>
      <c r="B704" s="47" t="s">
        <v>1655</v>
      </c>
      <c r="C704" s="47" t="s">
        <v>61</v>
      </c>
      <c r="D704" s="47" t="s">
        <v>73</v>
      </c>
      <c r="E704" s="47" t="s">
        <v>74</v>
      </c>
      <c r="F704" s="47">
        <v>543.0</v>
      </c>
      <c r="G704" s="47">
        <v>25.58</v>
      </c>
      <c r="H704" s="47">
        <v>21.2</v>
      </c>
      <c r="I704" s="47" t="s">
        <v>62</v>
      </c>
    </row>
    <row r="705" ht="15.75" customHeight="1">
      <c r="A705" s="47" t="s">
        <v>1656</v>
      </c>
      <c r="B705" s="47" t="s">
        <v>1657</v>
      </c>
      <c r="C705" s="47" t="s">
        <v>61</v>
      </c>
      <c r="D705" s="47" t="s">
        <v>50</v>
      </c>
      <c r="E705" s="47" t="s">
        <v>49</v>
      </c>
      <c r="F705" s="47">
        <v>13045.0</v>
      </c>
      <c r="G705" s="47">
        <v>18.3</v>
      </c>
      <c r="H705" s="47">
        <v>712.8</v>
      </c>
      <c r="I705" s="47" t="s">
        <v>571</v>
      </c>
    </row>
    <row r="706" ht="15.75" customHeight="1">
      <c r="A706" s="47" t="s">
        <v>1658</v>
      </c>
      <c r="B706" s="47" t="s">
        <v>1659</v>
      </c>
      <c r="C706" s="47" t="s">
        <v>61</v>
      </c>
      <c r="D706" s="47" t="s">
        <v>90</v>
      </c>
      <c r="E706" s="47" t="s">
        <v>91</v>
      </c>
      <c r="F706" s="47">
        <v>317.0</v>
      </c>
      <c r="G706" s="47">
        <v>7.06</v>
      </c>
      <c r="H706" s="47">
        <v>44.9</v>
      </c>
      <c r="I706" s="47" t="s">
        <v>75</v>
      </c>
    </row>
    <row r="707" ht="15.75" customHeight="1">
      <c r="A707" s="47" t="s">
        <v>1660</v>
      </c>
      <c r="B707" s="47" t="s">
        <v>1661</v>
      </c>
      <c r="C707" s="47" t="s">
        <v>61</v>
      </c>
      <c r="D707" s="47" t="s">
        <v>165</v>
      </c>
      <c r="E707" s="47" t="s">
        <v>254</v>
      </c>
      <c r="F707" s="47">
        <v>220.0</v>
      </c>
      <c r="G707" s="47">
        <v>16.75</v>
      </c>
      <c r="H707" s="47">
        <v>13.1</v>
      </c>
      <c r="I707" s="47" t="s">
        <v>75</v>
      </c>
    </row>
    <row r="708" ht="15.75" customHeight="1">
      <c r="A708" s="47" t="s">
        <v>1662</v>
      </c>
      <c r="B708" s="47" t="s">
        <v>1663</v>
      </c>
      <c r="C708" s="47" t="s">
        <v>61</v>
      </c>
      <c r="D708" s="47" t="s">
        <v>94</v>
      </c>
      <c r="E708" s="47" t="s">
        <v>95</v>
      </c>
      <c r="F708" s="47">
        <v>541.0</v>
      </c>
      <c r="G708" s="47">
        <v>6.99</v>
      </c>
      <c r="H708" s="47">
        <v>77.4</v>
      </c>
      <c r="I708" s="47" t="s">
        <v>62</v>
      </c>
    </row>
    <row r="709" ht="15.75" customHeight="1">
      <c r="A709" s="47" t="s">
        <v>1664</v>
      </c>
      <c r="B709" s="47" t="s">
        <v>1665</v>
      </c>
      <c r="C709" s="47" t="s">
        <v>61</v>
      </c>
      <c r="D709" s="47" t="s">
        <v>73</v>
      </c>
      <c r="E709" s="47" t="s">
        <v>74</v>
      </c>
      <c r="F709" s="47">
        <v>122.0</v>
      </c>
      <c r="G709" s="47">
        <v>6.23</v>
      </c>
      <c r="H709" s="47">
        <v>19.6</v>
      </c>
      <c r="I709" s="47" t="s">
        <v>75</v>
      </c>
    </row>
    <row r="710" ht="15.75" customHeight="1">
      <c r="A710" s="47" t="s">
        <v>1666</v>
      </c>
      <c r="B710" s="47" t="s">
        <v>1667</v>
      </c>
      <c r="C710" s="47" t="s">
        <v>61</v>
      </c>
      <c r="D710" s="47" t="s">
        <v>166</v>
      </c>
      <c r="E710" s="47" t="s">
        <v>168</v>
      </c>
      <c r="F710" s="47">
        <v>158.0</v>
      </c>
      <c r="G710" s="47">
        <v>7.12</v>
      </c>
      <c r="H710" s="47">
        <v>22.2</v>
      </c>
      <c r="I710" s="47" t="s">
        <v>75</v>
      </c>
    </row>
    <row r="711" ht="15.75" customHeight="1">
      <c r="A711" s="47" t="s">
        <v>1668</v>
      </c>
      <c r="B711" s="47" t="s">
        <v>1669</v>
      </c>
      <c r="C711" s="47" t="s">
        <v>61</v>
      </c>
      <c r="D711" s="47" t="s">
        <v>123</v>
      </c>
      <c r="E711" s="47" t="s">
        <v>181</v>
      </c>
      <c r="F711" s="47">
        <v>81.0</v>
      </c>
      <c r="G711" s="47">
        <v>3.59</v>
      </c>
      <c r="H711" s="47">
        <v>22.6</v>
      </c>
      <c r="I711" s="47" t="s">
        <v>75</v>
      </c>
    </row>
    <row r="712" ht="15.75" customHeight="1">
      <c r="A712" s="47" t="s">
        <v>1670</v>
      </c>
      <c r="B712" s="47" t="s">
        <v>1671</v>
      </c>
      <c r="C712" s="47" t="s">
        <v>61</v>
      </c>
      <c r="D712" s="47" t="s">
        <v>73</v>
      </c>
      <c r="E712" s="47" t="s">
        <v>74</v>
      </c>
      <c r="F712" s="47">
        <v>110.0</v>
      </c>
      <c r="G712" s="47">
        <v>7.8</v>
      </c>
      <c r="H712" s="47">
        <v>14.1</v>
      </c>
      <c r="I712" s="47" t="s">
        <v>75</v>
      </c>
    </row>
    <row r="713" ht="15.75" customHeight="1">
      <c r="A713" s="47" t="s">
        <v>1672</v>
      </c>
      <c r="B713" s="47" t="s">
        <v>1673</v>
      </c>
      <c r="C713" s="47" t="s">
        <v>61</v>
      </c>
      <c r="D713" s="47" t="s">
        <v>50</v>
      </c>
      <c r="E713" s="47" t="s">
        <v>49</v>
      </c>
      <c r="F713" s="47">
        <v>685.0</v>
      </c>
      <c r="G713" s="47">
        <v>14.5</v>
      </c>
      <c r="H713" s="47">
        <v>47.2</v>
      </c>
      <c r="I713" s="47" t="s">
        <v>62</v>
      </c>
    </row>
    <row r="714" ht="15.75" customHeight="1">
      <c r="A714" s="47" t="s">
        <v>1674</v>
      </c>
      <c r="B714" s="47" t="s">
        <v>1675</v>
      </c>
      <c r="C714" s="47" t="s">
        <v>61</v>
      </c>
      <c r="D714" s="47" t="s">
        <v>198</v>
      </c>
      <c r="E714" s="47" t="s">
        <v>217</v>
      </c>
      <c r="F714" s="47">
        <v>80.0</v>
      </c>
      <c r="G714" s="47">
        <v>4.05</v>
      </c>
      <c r="H714" s="47">
        <v>19.8</v>
      </c>
      <c r="I714" s="47" t="s">
        <v>75</v>
      </c>
    </row>
    <row r="715" ht="15.75" customHeight="1">
      <c r="A715" s="47" t="s">
        <v>1676</v>
      </c>
      <c r="B715" s="47" t="s">
        <v>1677</v>
      </c>
      <c r="C715" s="47" t="s">
        <v>61</v>
      </c>
      <c r="D715" s="47" t="s">
        <v>123</v>
      </c>
      <c r="E715" s="47" t="s">
        <v>181</v>
      </c>
      <c r="F715" s="47">
        <v>952.0</v>
      </c>
      <c r="G715" s="47">
        <v>20.4</v>
      </c>
      <c r="H715" s="47">
        <v>46.7</v>
      </c>
      <c r="I715" s="47" t="s">
        <v>62</v>
      </c>
    </row>
    <row r="716" ht="15.75" customHeight="1">
      <c r="A716" s="47" t="s">
        <v>1678</v>
      </c>
      <c r="B716" s="47" t="s">
        <v>1679</v>
      </c>
      <c r="C716" s="47" t="s">
        <v>61</v>
      </c>
      <c r="D716" s="47" t="s">
        <v>102</v>
      </c>
      <c r="E716" s="47" t="s">
        <v>103</v>
      </c>
      <c r="F716" s="47">
        <v>207.0</v>
      </c>
      <c r="G716" s="47">
        <v>2.8</v>
      </c>
      <c r="H716" s="47">
        <v>73.9</v>
      </c>
      <c r="I716" s="47" t="s">
        <v>75</v>
      </c>
    </row>
    <row r="717" ht="15.75" customHeight="1">
      <c r="A717" s="47" t="s">
        <v>1680</v>
      </c>
      <c r="B717" s="47" t="s">
        <v>1681</v>
      </c>
      <c r="C717" s="47" t="s">
        <v>61</v>
      </c>
      <c r="D717" s="47" t="s">
        <v>137</v>
      </c>
      <c r="E717" s="47" t="s">
        <v>138</v>
      </c>
      <c r="F717" s="47">
        <v>541.0</v>
      </c>
      <c r="G717" s="47">
        <v>15.24</v>
      </c>
      <c r="H717" s="47">
        <v>35.5</v>
      </c>
      <c r="I717" s="47" t="s">
        <v>62</v>
      </c>
    </row>
    <row r="718" ht="15.75" customHeight="1">
      <c r="A718" s="47" t="s">
        <v>1682</v>
      </c>
      <c r="B718" s="47" t="s">
        <v>1683</v>
      </c>
      <c r="C718" s="47" t="s">
        <v>61</v>
      </c>
      <c r="D718" s="47" t="s">
        <v>86</v>
      </c>
      <c r="E718" s="47" t="s">
        <v>87</v>
      </c>
      <c r="F718" s="47">
        <v>139.0</v>
      </c>
      <c r="G718" s="47">
        <v>3.02</v>
      </c>
      <c r="H718" s="47">
        <v>46.0</v>
      </c>
      <c r="I718" s="47" t="s">
        <v>75</v>
      </c>
    </row>
    <row r="719" ht="15.75" customHeight="1">
      <c r="A719" s="47" t="s">
        <v>1684</v>
      </c>
      <c r="B719" s="47" t="s">
        <v>1685</v>
      </c>
      <c r="C719" s="47" t="s">
        <v>61</v>
      </c>
      <c r="D719" s="47" t="s">
        <v>140</v>
      </c>
      <c r="E719" s="47" t="s">
        <v>147</v>
      </c>
      <c r="F719" s="47">
        <v>282.0</v>
      </c>
      <c r="G719" s="47">
        <v>5.92</v>
      </c>
      <c r="H719" s="47">
        <v>47.6</v>
      </c>
      <c r="I719" s="47" t="s">
        <v>75</v>
      </c>
    </row>
    <row r="720" ht="15.75" customHeight="1">
      <c r="A720" s="47" t="s">
        <v>1686</v>
      </c>
      <c r="B720" s="47" t="s">
        <v>1687</v>
      </c>
      <c r="C720" s="47" t="s">
        <v>61</v>
      </c>
      <c r="D720" s="47" t="s">
        <v>82</v>
      </c>
      <c r="E720" s="47" t="s">
        <v>83</v>
      </c>
      <c r="F720" s="47">
        <v>341.0</v>
      </c>
      <c r="G720" s="47">
        <v>12.98</v>
      </c>
      <c r="H720" s="47">
        <v>26.3</v>
      </c>
      <c r="I720" s="47" t="s">
        <v>75</v>
      </c>
    </row>
    <row r="721" ht="15.75" customHeight="1">
      <c r="A721" s="47" t="s">
        <v>1688</v>
      </c>
      <c r="B721" s="47" t="s">
        <v>1689</v>
      </c>
      <c r="C721" s="47" t="s">
        <v>61</v>
      </c>
      <c r="D721" s="47" t="s">
        <v>50</v>
      </c>
      <c r="E721" s="47" t="s">
        <v>49</v>
      </c>
      <c r="F721" s="47">
        <v>187.0</v>
      </c>
      <c r="G721" s="47">
        <v>6.0</v>
      </c>
      <c r="H721" s="47">
        <v>31.2</v>
      </c>
      <c r="I721" s="47" t="s">
        <v>75</v>
      </c>
    </row>
    <row r="722" ht="15.75" customHeight="1">
      <c r="A722" s="47" t="s">
        <v>1690</v>
      </c>
      <c r="B722" s="47" t="s">
        <v>1691</v>
      </c>
      <c r="C722" s="47" t="s">
        <v>61</v>
      </c>
      <c r="D722" s="47" t="s">
        <v>137</v>
      </c>
      <c r="E722" s="47" t="s">
        <v>138</v>
      </c>
      <c r="F722" s="47">
        <v>534.0</v>
      </c>
      <c r="G722" s="47">
        <v>7.31</v>
      </c>
      <c r="H722" s="47">
        <v>73.1</v>
      </c>
      <c r="I722" s="47" t="s">
        <v>62</v>
      </c>
    </row>
    <row r="723" ht="15.75" customHeight="1">
      <c r="A723" s="47" t="s">
        <v>1692</v>
      </c>
      <c r="B723" s="47" t="s">
        <v>1693</v>
      </c>
      <c r="C723" s="47" t="s">
        <v>61</v>
      </c>
      <c r="D723" s="47" t="s">
        <v>94</v>
      </c>
      <c r="E723" s="47" t="s">
        <v>95</v>
      </c>
      <c r="F723" s="47">
        <v>687.0</v>
      </c>
      <c r="G723" s="47">
        <v>13.8</v>
      </c>
      <c r="H723" s="47">
        <v>49.8</v>
      </c>
      <c r="I723" s="47" t="s">
        <v>62</v>
      </c>
    </row>
    <row r="724" ht="15.75" customHeight="1">
      <c r="A724" s="47" t="s">
        <v>1694</v>
      </c>
      <c r="B724" s="47" t="s">
        <v>1695</v>
      </c>
      <c r="C724" s="47" t="s">
        <v>61</v>
      </c>
      <c r="D724" s="47" t="s">
        <v>82</v>
      </c>
      <c r="E724" s="47" t="s">
        <v>83</v>
      </c>
      <c r="F724" s="47">
        <v>505.0</v>
      </c>
      <c r="G724" s="47">
        <v>12.4</v>
      </c>
      <c r="H724" s="47">
        <v>40.7</v>
      </c>
      <c r="I724" s="47" t="s">
        <v>62</v>
      </c>
    </row>
    <row r="725" ht="15.75" customHeight="1">
      <c r="A725" s="47" t="s">
        <v>1696</v>
      </c>
      <c r="B725" s="47" t="s">
        <v>1697</v>
      </c>
      <c r="C725" s="47" t="s">
        <v>61</v>
      </c>
      <c r="D725" s="47" t="s">
        <v>90</v>
      </c>
      <c r="E725" s="47" t="s">
        <v>91</v>
      </c>
      <c r="F725" s="47">
        <v>2050.0</v>
      </c>
      <c r="G725" s="47">
        <v>9.97</v>
      </c>
      <c r="H725" s="47">
        <v>205.6</v>
      </c>
      <c r="I725" s="47" t="s">
        <v>142</v>
      </c>
    </row>
    <row r="726" ht="15.75" customHeight="1">
      <c r="A726" s="47" t="s">
        <v>1698</v>
      </c>
      <c r="B726" s="47" t="s">
        <v>1699</v>
      </c>
      <c r="C726" s="47" t="s">
        <v>61</v>
      </c>
      <c r="D726" s="47" t="s">
        <v>165</v>
      </c>
      <c r="E726" s="47" t="s">
        <v>254</v>
      </c>
      <c r="F726" s="47">
        <v>355.0</v>
      </c>
      <c r="G726" s="47">
        <v>5.22</v>
      </c>
      <c r="H726" s="47">
        <v>68.0</v>
      </c>
      <c r="I726" s="47" t="s">
        <v>75</v>
      </c>
    </row>
    <row r="727" ht="15.75" customHeight="1">
      <c r="A727" s="47" t="s">
        <v>1700</v>
      </c>
      <c r="B727" s="47" t="s">
        <v>1701</v>
      </c>
      <c r="C727" s="47" t="s">
        <v>61</v>
      </c>
      <c r="D727" s="47" t="s">
        <v>82</v>
      </c>
      <c r="E727" s="47" t="s">
        <v>83</v>
      </c>
      <c r="F727" s="47">
        <v>152.0</v>
      </c>
      <c r="G727" s="47">
        <v>5.36</v>
      </c>
      <c r="H727" s="47">
        <v>28.4</v>
      </c>
      <c r="I727" s="47" t="s">
        <v>75</v>
      </c>
    </row>
    <row r="728" ht="15.75" customHeight="1">
      <c r="A728" s="47" t="s">
        <v>1702</v>
      </c>
      <c r="B728" s="47" t="s">
        <v>1703</v>
      </c>
      <c r="C728" s="47" t="s">
        <v>61</v>
      </c>
      <c r="D728" s="47" t="s">
        <v>78</v>
      </c>
      <c r="E728" s="47" t="s">
        <v>79</v>
      </c>
      <c r="F728" s="47">
        <v>217.0</v>
      </c>
      <c r="G728" s="47">
        <v>5.52</v>
      </c>
      <c r="H728" s="47">
        <v>39.3</v>
      </c>
      <c r="I728" s="47" t="s">
        <v>75</v>
      </c>
    </row>
    <row r="729" ht="15.75" customHeight="1">
      <c r="A729" s="47" t="s">
        <v>1704</v>
      </c>
      <c r="B729" s="47" t="s">
        <v>1705</v>
      </c>
      <c r="C729" s="47" t="s">
        <v>61</v>
      </c>
      <c r="D729" s="47" t="s">
        <v>102</v>
      </c>
      <c r="E729" s="47" t="s">
        <v>103</v>
      </c>
      <c r="F729" s="47">
        <v>172.0</v>
      </c>
      <c r="G729" s="47">
        <v>9.84</v>
      </c>
      <c r="H729" s="47">
        <v>17.5</v>
      </c>
      <c r="I729" s="47" t="s">
        <v>75</v>
      </c>
    </row>
    <row r="730" ht="15.75" customHeight="1">
      <c r="A730" s="47" t="s">
        <v>1706</v>
      </c>
      <c r="B730" s="47" t="s">
        <v>1707</v>
      </c>
      <c r="C730" s="47" t="s">
        <v>61</v>
      </c>
      <c r="D730" s="47" t="s">
        <v>90</v>
      </c>
      <c r="E730" s="47" t="s">
        <v>91</v>
      </c>
      <c r="F730" s="47">
        <v>197.0</v>
      </c>
      <c r="G730" s="47">
        <v>3.22</v>
      </c>
      <c r="H730" s="47">
        <v>61.2</v>
      </c>
      <c r="I730" s="47" t="s">
        <v>75</v>
      </c>
    </row>
    <row r="731" ht="15.75" customHeight="1">
      <c r="A731" s="47" t="s">
        <v>1708</v>
      </c>
      <c r="B731" s="47" t="s">
        <v>1709</v>
      </c>
      <c r="C731" s="47" t="s">
        <v>61</v>
      </c>
      <c r="D731" s="47" t="s">
        <v>86</v>
      </c>
      <c r="E731" s="47" t="s">
        <v>87</v>
      </c>
      <c r="F731" s="47">
        <v>92.0</v>
      </c>
      <c r="G731" s="47">
        <v>2.94</v>
      </c>
      <c r="H731" s="47">
        <v>31.3</v>
      </c>
      <c r="I731" s="47" t="s">
        <v>75</v>
      </c>
    </row>
    <row r="732" ht="15.75" customHeight="1">
      <c r="A732" s="47" t="s">
        <v>1710</v>
      </c>
      <c r="B732" s="47" t="s">
        <v>1711</v>
      </c>
      <c r="C732" s="47" t="s">
        <v>61</v>
      </c>
      <c r="D732" s="47" t="s">
        <v>136</v>
      </c>
      <c r="E732" s="47" t="s">
        <v>189</v>
      </c>
      <c r="F732" s="47">
        <v>230.0</v>
      </c>
      <c r="G732" s="47">
        <v>4.02</v>
      </c>
      <c r="H732" s="47">
        <v>57.2</v>
      </c>
      <c r="I732" s="47" t="s">
        <v>75</v>
      </c>
    </row>
    <row r="733" ht="15.75" customHeight="1">
      <c r="A733" s="47" t="s">
        <v>1712</v>
      </c>
      <c r="B733" s="47" t="s">
        <v>1713</v>
      </c>
      <c r="C733" s="47" t="s">
        <v>61</v>
      </c>
      <c r="D733" s="47" t="s">
        <v>90</v>
      </c>
      <c r="E733" s="47" t="s">
        <v>91</v>
      </c>
      <c r="F733" s="47">
        <v>237.0</v>
      </c>
      <c r="G733" s="47">
        <v>8.53</v>
      </c>
      <c r="H733" s="47">
        <v>27.8</v>
      </c>
      <c r="I733" s="47" t="s">
        <v>75</v>
      </c>
    </row>
    <row r="734" ht="15.75" customHeight="1">
      <c r="A734" s="47" t="s">
        <v>1714</v>
      </c>
      <c r="B734" s="47" t="s">
        <v>1715</v>
      </c>
      <c r="C734" s="47" t="s">
        <v>61</v>
      </c>
      <c r="D734" s="47" t="s">
        <v>67</v>
      </c>
      <c r="E734" s="47" t="s">
        <v>68</v>
      </c>
      <c r="F734" s="47">
        <v>323.0</v>
      </c>
      <c r="G734" s="47">
        <v>6.55</v>
      </c>
      <c r="H734" s="47">
        <v>49.3</v>
      </c>
      <c r="I734" s="47" t="s">
        <v>75</v>
      </c>
    </row>
    <row r="735" ht="15.75" customHeight="1">
      <c r="A735" s="47" t="s">
        <v>1716</v>
      </c>
      <c r="B735" s="47" t="s">
        <v>1717</v>
      </c>
      <c r="C735" s="47" t="s">
        <v>61</v>
      </c>
      <c r="D735" s="47" t="s">
        <v>137</v>
      </c>
      <c r="E735" s="47" t="s">
        <v>138</v>
      </c>
      <c r="F735" s="47">
        <v>498.0</v>
      </c>
      <c r="G735" s="47">
        <v>14.1</v>
      </c>
      <c r="H735" s="47">
        <v>35.3</v>
      </c>
      <c r="I735" s="47" t="s">
        <v>75</v>
      </c>
    </row>
    <row r="736" ht="15.75" customHeight="1">
      <c r="A736" s="47" t="s">
        <v>1718</v>
      </c>
      <c r="B736" s="47" t="s">
        <v>1719</v>
      </c>
      <c r="C736" s="47" t="s">
        <v>61</v>
      </c>
      <c r="D736" s="47" t="s">
        <v>82</v>
      </c>
      <c r="E736" s="47" t="s">
        <v>83</v>
      </c>
      <c r="F736" s="47">
        <v>924.0</v>
      </c>
      <c r="G736" s="47">
        <v>15.88</v>
      </c>
      <c r="H736" s="47">
        <v>58.2</v>
      </c>
      <c r="I736" s="47" t="s">
        <v>62</v>
      </c>
    </row>
    <row r="737" ht="15.75" customHeight="1">
      <c r="A737" s="47" t="s">
        <v>1720</v>
      </c>
      <c r="B737" s="47" t="s">
        <v>1721</v>
      </c>
      <c r="C737" s="47" t="s">
        <v>61</v>
      </c>
      <c r="D737" s="47" t="s">
        <v>67</v>
      </c>
      <c r="E737" s="47" t="s">
        <v>68</v>
      </c>
      <c r="F737" s="47">
        <v>763.0</v>
      </c>
      <c r="G737" s="47">
        <v>5.01</v>
      </c>
      <c r="H737" s="47">
        <v>152.3</v>
      </c>
      <c r="I737" s="47" t="s">
        <v>62</v>
      </c>
    </row>
    <row r="738" ht="15.75" customHeight="1">
      <c r="A738" s="47" t="s">
        <v>1722</v>
      </c>
      <c r="B738" s="47" t="s">
        <v>1723</v>
      </c>
      <c r="C738" s="47" t="s">
        <v>61</v>
      </c>
      <c r="D738" s="47" t="s">
        <v>198</v>
      </c>
      <c r="E738" s="47" t="s">
        <v>217</v>
      </c>
      <c r="F738" s="47">
        <v>142.0</v>
      </c>
      <c r="G738" s="47">
        <v>3.89</v>
      </c>
      <c r="H738" s="47">
        <v>36.5</v>
      </c>
      <c r="I738" s="47" t="s">
        <v>75</v>
      </c>
    </row>
    <row r="739" ht="15.75" customHeight="1">
      <c r="A739" s="47" t="s">
        <v>1724</v>
      </c>
      <c r="B739" s="47" t="s">
        <v>1725</v>
      </c>
      <c r="C739" s="47" t="s">
        <v>61</v>
      </c>
      <c r="D739" s="47" t="s">
        <v>90</v>
      </c>
      <c r="E739" s="47" t="s">
        <v>91</v>
      </c>
      <c r="F739" s="47">
        <v>43.0</v>
      </c>
      <c r="G739" s="47">
        <v>2.28</v>
      </c>
      <c r="H739" s="47">
        <v>18.9</v>
      </c>
      <c r="I739" s="47" t="s">
        <v>75</v>
      </c>
    </row>
    <row r="740" ht="15.75" customHeight="1">
      <c r="A740" s="47" t="s">
        <v>1726</v>
      </c>
      <c r="B740" s="47" t="s">
        <v>1727</v>
      </c>
      <c r="C740" s="47" t="s">
        <v>61</v>
      </c>
      <c r="D740" s="47" t="s">
        <v>198</v>
      </c>
      <c r="E740" s="47" t="s">
        <v>217</v>
      </c>
      <c r="F740" s="47">
        <v>123.0</v>
      </c>
      <c r="G740" s="47">
        <v>5.25</v>
      </c>
      <c r="H740" s="47">
        <v>23.4</v>
      </c>
      <c r="I740" s="47" t="s">
        <v>75</v>
      </c>
    </row>
    <row r="741" ht="15.75" customHeight="1">
      <c r="A741" s="47" t="s">
        <v>1728</v>
      </c>
      <c r="B741" s="47" t="s">
        <v>1729</v>
      </c>
      <c r="C741" s="47" t="s">
        <v>61</v>
      </c>
      <c r="D741" s="47" t="s">
        <v>94</v>
      </c>
      <c r="E741" s="47" t="s">
        <v>95</v>
      </c>
      <c r="F741" s="47">
        <v>923.0</v>
      </c>
      <c r="G741" s="47">
        <v>14.58</v>
      </c>
      <c r="H741" s="47">
        <v>63.3</v>
      </c>
      <c r="I741" s="47" t="s">
        <v>62</v>
      </c>
    </row>
    <row r="742" ht="15.75" customHeight="1">
      <c r="A742" s="47" t="s">
        <v>1730</v>
      </c>
      <c r="B742" s="47" t="s">
        <v>1731</v>
      </c>
      <c r="C742" s="47" t="s">
        <v>61</v>
      </c>
      <c r="D742" s="47" t="s">
        <v>198</v>
      </c>
      <c r="E742" s="47" t="s">
        <v>217</v>
      </c>
      <c r="F742" s="47">
        <v>585.0</v>
      </c>
      <c r="G742" s="47">
        <v>10.96</v>
      </c>
      <c r="H742" s="47">
        <v>53.4</v>
      </c>
      <c r="I742" s="47" t="s">
        <v>62</v>
      </c>
    </row>
    <row r="743" ht="15.75" customHeight="1">
      <c r="A743" s="47" t="s">
        <v>1732</v>
      </c>
      <c r="B743" s="47" t="s">
        <v>1733</v>
      </c>
      <c r="C743" s="47" t="s">
        <v>61</v>
      </c>
      <c r="D743" s="47" t="s">
        <v>182</v>
      </c>
      <c r="E743" s="47" t="s">
        <v>357</v>
      </c>
      <c r="F743" s="47">
        <v>133.0</v>
      </c>
      <c r="G743" s="47">
        <v>12.78</v>
      </c>
      <c r="H743" s="47">
        <v>10.4</v>
      </c>
      <c r="I743" s="47" t="s">
        <v>75</v>
      </c>
    </row>
    <row r="744" ht="15.75" customHeight="1">
      <c r="A744" s="47" t="s">
        <v>1734</v>
      </c>
      <c r="B744" s="47" t="s">
        <v>1735</v>
      </c>
      <c r="C744" s="47" t="s">
        <v>61</v>
      </c>
      <c r="D744" s="47" t="s">
        <v>86</v>
      </c>
      <c r="E744" s="47" t="s">
        <v>87</v>
      </c>
      <c r="F744" s="47">
        <v>101.0</v>
      </c>
      <c r="G744" s="47">
        <v>8.97</v>
      </c>
      <c r="H744" s="47">
        <v>11.3</v>
      </c>
      <c r="I744" s="47" t="s">
        <v>75</v>
      </c>
    </row>
    <row r="745" ht="15.75" customHeight="1">
      <c r="A745" s="47" t="s">
        <v>1736</v>
      </c>
      <c r="B745" s="47" t="s">
        <v>1737</v>
      </c>
      <c r="C745" s="47" t="s">
        <v>61</v>
      </c>
      <c r="D745" s="47" t="s">
        <v>82</v>
      </c>
      <c r="E745" s="47" t="s">
        <v>83</v>
      </c>
      <c r="F745" s="47">
        <v>229.0</v>
      </c>
      <c r="G745" s="47">
        <v>8.99</v>
      </c>
      <c r="H745" s="47">
        <v>25.5</v>
      </c>
      <c r="I745" s="47" t="s">
        <v>75</v>
      </c>
    </row>
    <row r="746" ht="15.75" customHeight="1">
      <c r="A746" s="47" t="s">
        <v>1738</v>
      </c>
      <c r="B746" s="47" t="s">
        <v>1739</v>
      </c>
      <c r="C746" s="47" t="s">
        <v>61</v>
      </c>
      <c r="D746" s="47" t="s">
        <v>67</v>
      </c>
      <c r="E746" s="47" t="s">
        <v>68</v>
      </c>
      <c r="F746" s="47">
        <v>1324.0</v>
      </c>
      <c r="G746" s="47">
        <v>3.73</v>
      </c>
      <c r="H746" s="47">
        <v>355.0</v>
      </c>
      <c r="I746" s="47" t="s">
        <v>62</v>
      </c>
    </row>
    <row r="747" ht="15.75" customHeight="1">
      <c r="A747" s="47" t="s">
        <v>1740</v>
      </c>
      <c r="B747" s="47" t="s">
        <v>1741</v>
      </c>
      <c r="C747" s="47" t="s">
        <v>61</v>
      </c>
      <c r="D747" s="47" t="s">
        <v>123</v>
      </c>
      <c r="E747" s="47" t="s">
        <v>181</v>
      </c>
      <c r="F747" s="47">
        <v>443.0</v>
      </c>
      <c r="G747" s="47">
        <v>5.23</v>
      </c>
      <c r="H747" s="47">
        <v>84.7</v>
      </c>
      <c r="I747" s="47" t="s">
        <v>75</v>
      </c>
    </row>
    <row r="748" ht="15.75" customHeight="1">
      <c r="A748" s="47" t="s">
        <v>1742</v>
      </c>
      <c r="B748" s="47" t="s">
        <v>1743</v>
      </c>
      <c r="C748" s="47" t="s">
        <v>61</v>
      </c>
      <c r="D748" s="47" t="s">
        <v>198</v>
      </c>
      <c r="E748" s="47" t="s">
        <v>217</v>
      </c>
      <c r="F748" s="47">
        <v>212.0</v>
      </c>
      <c r="G748" s="47">
        <v>4.29</v>
      </c>
      <c r="H748" s="47">
        <v>49.4</v>
      </c>
      <c r="I748" s="47" t="s">
        <v>75</v>
      </c>
    </row>
    <row r="749" ht="15.75" customHeight="1">
      <c r="A749" s="47" t="s">
        <v>1744</v>
      </c>
      <c r="B749" s="47" t="s">
        <v>1745</v>
      </c>
      <c r="C749" s="47" t="s">
        <v>61</v>
      </c>
      <c r="D749" s="47" t="s">
        <v>82</v>
      </c>
      <c r="E749" s="47" t="s">
        <v>83</v>
      </c>
      <c r="F749" s="47">
        <v>124.0</v>
      </c>
      <c r="G749" s="47">
        <v>3.8</v>
      </c>
      <c r="H749" s="47">
        <v>32.6</v>
      </c>
      <c r="I749" s="47" t="s">
        <v>75</v>
      </c>
    </row>
    <row r="750" ht="15.75" customHeight="1">
      <c r="A750" s="47" t="s">
        <v>1746</v>
      </c>
      <c r="B750" s="47" t="s">
        <v>1747</v>
      </c>
      <c r="C750" s="47" t="s">
        <v>61</v>
      </c>
      <c r="D750" s="47" t="s">
        <v>82</v>
      </c>
      <c r="E750" s="47" t="s">
        <v>83</v>
      </c>
      <c r="F750" s="47">
        <v>155.0</v>
      </c>
      <c r="G750" s="47">
        <v>5.2</v>
      </c>
      <c r="H750" s="47">
        <v>29.8</v>
      </c>
      <c r="I750" s="47" t="s">
        <v>75</v>
      </c>
    </row>
    <row r="751" ht="15.75" customHeight="1">
      <c r="A751" s="47" t="s">
        <v>1748</v>
      </c>
      <c r="B751" s="47" t="s">
        <v>1749</v>
      </c>
      <c r="C751" s="47" t="s">
        <v>61</v>
      </c>
      <c r="D751" s="47" t="s">
        <v>198</v>
      </c>
      <c r="E751" s="47" t="s">
        <v>217</v>
      </c>
      <c r="F751" s="47">
        <v>1104.0</v>
      </c>
      <c r="G751" s="47">
        <v>16.01</v>
      </c>
      <c r="H751" s="47">
        <v>69.0</v>
      </c>
      <c r="I751" s="47" t="s">
        <v>62</v>
      </c>
    </row>
    <row r="752" ht="15.75" customHeight="1">
      <c r="A752" s="47" t="s">
        <v>1750</v>
      </c>
      <c r="B752" s="47" t="s">
        <v>1751</v>
      </c>
      <c r="C752" s="47" t="s">
        <v>61</v>
      </c>
      <c r="D752" s="47" t="s">
        <v>137</v>
      </c>
      <c r="E752" s="47" t="s">
        <v>138</v>
      </c>
      <c r="F752" s="47">
        <v>139.0</v>
      </c>
      <c r="G752" s="47">
        <v>4.64</v>
      </c>
      <c r="H752" s="47">
        <v>30.0</v>
      </c>
      <c r="I752" s="47" t="s">
        <v>75</v>
      </c>
    </row>
    <row r="753" ht="15.75" customHeight="1">
      <c r="A753" s="47" t="s">
        <v>1752</v>
      </c>
      <c r="B753" s="47" t="s">
        <v>1753</v>
      </c>
      <c r="C753" s="47" t="s">
        <v>61</v>
      </c>
      <c r="D753" s="47" t="s">
        <v>73</v>
      </c>
      <c r="E753" s="47" t="s">
        <v>74</v>
      </c>
      <c r="F753" s="47">
        <v>249.0</v>
      </c>
      <c r="G753" s="47">
        <v>7.94</v>
      </c>
      <c r="H753" s="47">
        <v>31.4</v>
      </c>
      <c r="I753" s="47" t="s">
        <v>75</v>
      </c>
    </row>
    <row r="754" ht="15.75" customHeight="1">
      <c r="A754" s="47" t="s">
        <v>1754</v>
      </c>
      <c r="B754" s="47" t="s">
        <v>1755</v>
      </c>
      <c r="C754" s="47" t="s">
        <v>61</v>
      </c>
      <c r="D754" s="47" t="s">
        <v>50</v>
      </c>
      <c r="E754" s="47" t="s">
        <v>49</v>
      </c>
      <c r="F754" s="47">
        <v>470.0</v>
      </c>
      <c r="G754" s="47">
        <v>12.9</v>
      </c>
      <c r="H754" s="47">
        <v>36.4</v>
      </c>
      <c r="I754" s="47" t="s">
        <v>75</v>
      </c>
    </row>
    <row r="755" ht="15.75" customHeight="1">
      <c r="A755" s="47" t="s">
        <v>1756</v>
      </c>
      <c r="B755" s="47" t="s">
        <v>1757</v>
      </c>
      <c r="C755" s="47" t="s">
        <v>61</v>
      </c>
      <c r="D755" s="47" t="s">
        <v>165</v>
      </c>
      <c r="E755" s="47" t="s">
        <v>254</v>
      </c>
      <c r="F755" s="47">
        <v>2549.0</v>
      </c>
      <c r="G755" s="47">
        <v>10.48</v>
      </c>
      <c r="H755" s="47">
        <v>243.2</v>
      </c>
      <c r="I755" s="47" t="s">
        <v>142</v>
      </c>
    </row>
    <row r="756" ht="15.75" customHeight="1">
      <c r="A756" s="47" t="s">
        <v>1758</v>
      </c>
      <c r="B756" s="47" t="s">
        <v>1759</v>
      </c>
      <c r="C756" s="47" t="s">
        <v>61</v>
      </c>
      <c r="D756" s="47" t="s">
        <v>73</v>
      </c>
      <c r="E756" s="47" t="s">
        <v>74</v>
      </c>
      <c r="F756" s="47">
        <v>235.0</v>
      </c>
      <c r="G756" s="47">
        <v>10.3</v>
      </c>
      <c r="H756" s="47">
        <v>22.8</v>
      </c>
      <c r="I756" s="47" t="s">
        <v>75</v>
      </c>
    </row>
    <row r="757" ht="15.75" customHeight="1">
      <c r="A757" s="47" t="s">
        <v>1760</v>
      </c>
      <c r="B757" s="47" t="s">
        <v>1761</v>
      </c>
      <c r="C757" s="47" t="s">
        <v>61</v>
      </c>
      <c r="D757" s="47" t="s">
        <v>136</v>
      </c>
      <c r="E757" s="47" t="s">
        <v>189</v>
      </c>
      <c r="F757" s="47">
        <v>270.0</v>
      </c>
      <c r="G757" s="47">
        <v>4.12</v>
      </c>
      <c r="H757" s="47">
        <v>65.5</v>
      </c>
      <c r="I757" s="47" t="s">
        <v>75</v>
      </c>
    </row>
    <row r="758" ht="15.75" customHeight="1">
      <c r="A758" s="47" t="s">
        <v>1762</v>
      </c>
      <c r="B758" s="47" t="s">
        <v>1763</v>
      </c>
      <c r="C758" s="47" t="s">
        <v>61</v>
      </c>
      <c r="D758" s="47" t="s">
        <v>182</v>
      </c>
      <c r="E758" s="47" t="s">
        <v>357</v>
      </c>
      <c r="F758" s="47">
        <v>155.0</v>
      </c>
      <c r="G758" s="47">
        <v>7.46</v>
      </c>
      <c r="H758" s="47">
        <v>20.8</v>
      </c>
      <c r="I758" s="47" t="s">
        <v>75</v>
      </c>
    </row>
    <row r="759" ht="15.75" customHeight="1">
      <c r="A759" s="47" t="s">
        <v>1764</v>
      </c>
      <c r="B759" s="47" t="s">
        <v>1765</v>
      </c>
      <c r="C759" s="47" t="s">
        <v>61</v>
      </c>
      <c r="D759" s="47" t="s">
        <v>102</v>
      </c>
      <c r="E759" s="47" t="s">
        <v>103</v>
      </c>
      <c r="F759" s="47">
        <v>113.0</v>
      </c>
      <c r="G759" s="47">
        <v>3.23</v>
      </c>
      <c r="H759" s="47">
        <v>35.0</v>
      </c>
      <c r="I759" s="47" t="s">
        <v>75</v>
      </c>
    </row>
    <row r="760" ht="15.75" customHeight="1">
      <c r="A760" s="47" t="s">
        <v>1766</v>
      </c>
      <c r="B760" s="47" t="s">
        <v>1767</v>
      </c>
      <c r="C760" s="47" t="s">
        <v>61</v>
      </c>
      <c r="D760" s="47" t="s">
        <v>123</v>
      </c>
      <c r="E760" s="47" t="s">
        <v>181</v>
      </c>
      <c r="F760" s="47">
        <v>181.0</v>
      </c>
      <c r="G760" s="47">
        <v>10.74</v>
      </c>
      <c r="H760" s="47">
        <v>16.9</v>
      </c>
      <c r="I760" s="47" t="s">
        <v>75</v>
      </c>
    </row>
    <row r="761" ht="15.75" customHeight="1">
      <c r="A761" s="47" t="s">
        <v>1768</v>
      </c>
      <c r="B761" s="47" t="s">
        <v>1769</v>
      </c>
      <c r="C761" s="47" t="s">
        <v>61</v>
      </c>
      <c r="D761" s="47" t="s">
        <v>102</v>
      </c>
      <c r="E761" s="47" t="s">
        <v>103</v>
      </c>
      <c r="F761" s="47">
        <v>1608.0</v>
      </c>
      <c r="G761" s="47">
        <v>5.29</v>
      </c>
      <c r="H761" s="47">
        <v>304.0</v>
      </c>
      <c r="I761" s="47" t="s">
        <v>62</v>
      </c>
    </row>
    <row r="762" ht="15.75" customHeight="1">
      <c r="A762" s="47" t="s">
        <v>1770</v>
      </c>
      <c r="B762" s="47" t="s">
        <v>1771</v>
      </c>
      <c r="C762" s="47" t="s">
        <v>61</v>
      </c>
      <c r="D762" s="47" t="s">
        <v>123</v>
      </c>
      <c r="E762" s="47" t="s">
        <v>181</v>
      </c>
      <c r="F762" s="47">
        <v>93.0</v>
      </c>
      <c r="G762" s="47">
        <v>6.33</v>
      </c>
      <c r="H762" s="47">
        <v>14.7</v>
      </c>
      <c r="I762" s="47" t="s">
        <v>75</v>
      </c>
    </row>
    <row r="763" ht="15.75" customHeight="1">
      <c r="A763" s="47" t="s">
        <v>1772</v>
      </c>
      <c r="B763" s="47" t="s">
        <v>1773</v>
      </c>
      <c r="C763" s="47" t="s">
        <v>61</v>
      </c>
      <c r="D763" s="47" t="s">
        <v>90</v>
      </c>
      <c r="E763" s="47" t="s">
        <v>91</v>
      </c>
      <c r="F763" s="47">
        <v>166.0</v>
      </c>
      <c r="G763" s="47">
        <v>6.62</v>
      </c>
      <c r="H763" s="47">
        <v>25.1</v>
      </c>
      <c r="I763" s="47" t="s">
        <v>75</v>
      </c>
    </row>
    <row r="764" ht="15.75" customHeight="1">
      <c r="A764" s="47" t="s">
        <v>1774</v>
      </c>
      <c r="B764" s="47" t="s">
        <v>1775</v>
      </c>
      <c r="C764" s="47" t="s">
        <v>61</v>
      </c>
      <c r="D764" s="47" t="s">
        <v>182</v>
      </c>
      <c r="E764" s="47" t="s">
        <v>357</v>
      </c>
      <c r="F764" s="47">
        <v>1192.0</v>
      </c>
      <c r="G764" s="47">
        <v>21.54</v>
      </c>
      <c r="H764" s="47">
        <v>55.3</v>
      </c>
      <c r="I764" s="47" t="s">
        <v>62</v>
      </c>
    </row>
    <row r="765" ht="15.75" customHeight="1">
      <c r="A765" s="47" t="s">
        <v>1776</v>
      </c>
      <c r="B765" s="47" t="s">
        <v>1777</v>
      </c>
      <c r="C765" s="47" t="s">
        <v>61</v>
      </c>
      <c r="D765" s="47" t="s">
        <v>106</v>
      </c>
      <c r="E765" s="47" t="s">
        <v>107</v>
      </c>
      <c r="F765" s="47">
        <v>384.0</v>
      </c>
      <c r="G765" s="47">
        <v>12.7</v>
      </c>
      <c r="H765" s="47">
        <v>30.2</v>
      </c>
      <c r="I765" s="47" t="s">
        <v>75</v>
      </c>
    </row>
    <row r="766" ht="15.75" customHeight="1">
      <c r="A766" s="47" t="s">
        <v>1778</v>
      </c>
      <c r="B766" s="47" t="s">
        <v>1779</v>
      </c>
      <c r="C766" s="47" t="s">
        <v>61</v>
      </c>
      <c r="D766" s="47" t="s">
        <v>123</v>
      </c>
      <c r="E766" s="47" t="s">
        <v>181</v>
      </c>
      <c r="F766" s="47">
        <v>310.0</v>
      </c>
      <c r="G766" s="47">
        <v>10.06</v>
      </c>
      <c r="H766" s="47">
        <v>30.8</v>
      </c>
      <c r="I766" s="47" t="s">
        <v>75</v>
      </c>
    </row>
    <row r="767" ht="15.75" customHeight="1">
      <c r="A767" s="47" t="s">
        <v>1780</v>
      </c>
      <c r="B767" s="47" t="s">
        <v>1781</v>
      </c>
      <c r="C767" s="47" t="s">
        <v>61</v>
      </c>
      <c r="D767" s="47" t="s">
        <v>166</v>
      </c>
      <c r="E767" s="47" t="s">
        <v>168</v>
      </c>
      <c r="F767" s="47">
        <v>262.0</v>
      </c>
      <c r="G767" s="47">
        <v>13.94</v>
      </c>
      <c r="H767" s="47">
        <v>18.8</v>
      </c>
      <c r="I767" s="47" t="s">
        <v>75</v>
      </c>
    </row>
    <row r="768" ht="15.75" customHeight="1">
      <c r="A768" s="47" t="s">
        <v>1782</v>
      </c>
      <c r="B768" s="47" t="s">
        <v>1783</v>
      </c>
      <c r="C768" s="47" t="s">
        <v>61</v>
      </c>
      <c r="D768" s="47" t="s">
        <v>166</v>
      </c>
      <c r="E768" s="47" t="s">
        <v>168</v>
      </c>
      <c r="F768" s="47">
        <v>204.0</v>
      </c>
      <c r="G768" s="47">
        <v>10.17</v>
      </c>
      <c r="H768" s="47">
        <v>20.1</v>
      </c>
      <c r="I768" s="47" t="s">
        <v>75</v>
      </c>
    </row>
    <row r="769" ht="15.75" customHeight="1">
      <c r="A769" s="47" t="s">
        <v>1784</v>
      </c>
      <c r="B769" s="47" t="s">
        <v>1785</v>
      </c>
      <c r="C769" s="47" t="s">
        <v>61</v>
      </c>
      <c r="D769" s="47" t="s">
        <v>78</v>
      </c>
      <c r="E769" s="47" t="s">
        <v>79</v>
      </c>
      <c r="F769" s="47">
        <v>150.0</v>
      </c>
      <c r="G769" s="47">
        <v>8.46</v>
      </c>
      <c r="H769" s="47">
        <v>17.7</v>
      </c>
      <c r="I769" s="47" t="s">
        <v>75</v>
      </c>
    </row>
    <row r="770" ht="15.75" customHeight="1">
      <c r="A770" s="47" t="s">
        <v>1786</v>
      </c>
      <c r="B770" s="47" t="s">
        <v>1787</v>
      </c>
      <c r="C770" s="47" t="s">
        <v>61</v>
      </c>
      <c r="D770" s="47" t="s">
        <v>106</v>
      </c>
      <c r="E770" s="47" t="s">
        <v>107</v>
      </c>
      <c r="F770" s="47">
        <v>219.0</v>
      </c>
      <c r="G770" s="47">
        <v>7.66</v>
      </c>
      <c r="H770" s="47">
        <v>28.6</v>
      </c>
      <c r="I770" s="47" t="s">
        <v>75</v>
      </c>
    </row>
    <row r="771" ht="15.75" customHeight="1">
      <c r="A771" s="47" t="s">
        <v>1788</v>
      </c>
      <c r="B771" s="47" t="s">
        <v>1789</v>
      </c>
      <c r="C771" s="47" t="s">
        <v>61</v>
      </c>
      <c r="D771" s="47" t="s">
        <v>67</v>
      </c>
      <c r="E771" s="47" t="s">
        <v>68</v>
      </c>
      <c r="F771" s="47">
        <v>2616.0</v>
      </c>
      <c r="G771" s="47">
        <v>4.53</v>
      </c>
      <c r="H771" s="47">
        <v>577.5</v>
      </c>
      <c r="I771" s="47" t="s">
        <v>142</v>
      </c>
    </row>
    <row r="772" ht="15.75" customHeight="1">
      <c r="A772" s="47" t="s">
        <v>1790</v>
      </c>
      <c r="B772" s="47" t="s">
        <v>1791</v>
      </c>
      <c r="C772" s="47" t="s">
        <v>61</v>
      </c>
      <c r="D772" s="47" t="s">
        <v>123</v>
      </c>
      <c r="E772" s="47" t="s">
        <v>181</v>
      </c>
      <c r="F772" s="47">
        <v>277.0</v>
      </c>
      <c r="G772" s="47">
        <v>10.69</v>
      </c>
      <c r="H772" s="47">
        <v>25.9</v>
      </c>
      <c r="I772" s="47" t="s">
        <v>75</v>
      </c>
    </row>
    <row r="773" ht="15.75" customHeight="1">
      <c r="A773" s="47" t="s">
        <v>1792</v>
      </c>
      <c r="B773" s="47" t="s">
        <v>1793</v>
      </c>
      <c r="C773" s="47" t="s">
        <v>61</v>
      </c>
      <c r="D773" s="47" t="s">
        <v>50</v>
      </c>
      <c r="E773" s="47" t="s">
        <v>49</v>
      </c>
      <c r="F773" s="47">
        <v>684.0</v>
      </c>
      <c r="G773" s="47">
        <v>12.34</v>
      </c>
      <c r="H773" s="47">
        <v>55.4</v>
      </c>
      <c r="I773" s="47" t="s">
        <v>62</v>
      </c>
    </row>
    <row r="774" ht="15.75" customHeight="1">
      <c r="A774" s="47" t="s">
        <v>1794</v>
      </c>
      <c r="B774" s="47" t="s">
        <v>1795</v>
      </c>
      <c r="C774" s="47" t="s">
        <v>61</v>
      </c>
      <c r="D774" s="47" t="s">
        <v>198</v>
      </c>
      <c r="E774" s="47" t="s">
        <v>217</v>
      </c>
      <c r="F774" s="47">
        <v>263.0</v>
      </c>
      <c r="G774" s="47">
        <v>4.0</v>
      </c>
      <c r="H774" s="47">
        <v>65.8</v>
      </c>
      <c r="I774" s="47" t="s">
        <v>75</v>
      </c>
    </row>
    <row r="775" ht="15.75" customHeight="1">
      <c r="A775" s="47" t="s">
        <v>1796</v>
      </c>
      <c r="B775" s="47" t="s">
        <v>1797</v>
      </c>
      <c r="C775" s="47" t="s">
        <v>61</v>
      </c>
      <c r="D775" s="47" t="s">
        <v>123</v>
      </c>
      <c r="E775" s="47" t="s">
        <v>181</v>
      </c>
      <c r="F775" s="47">
        <v>75.0</v>
      </c>
      <c r="G775" s="47">
        <v>13.12</v>
      </c>
      <c r="H775" s="47">
        <v>5.7</v>
      </c>
      <c r="I775" s="47" t="s">
        <v>75</v>
      </c>
    </row>
    <row r="776" ht="15.75" customHeight="1">
      <c r="A776" s="47" t="s">
        <v>1798</v>
      </c>
      <c r="B776" s="47" t="s">
        <v>1799</v>
      </c>
      <c r="C776" s="47" t="s">
        <v>61</v>
      </c>
      <c r="D776" s="47" t="s">
        <v>102</v>
      </c>
      <c r="E776" s="47" t="s">
        <v>103</v>
      </c>
      <c r="F776" s="47">
        <v>10489.0</v>
      </c>
      <c r="G776" s="47">
        <v>42.11</v>
      </c>
      <c r="H776" s="47">
        <v>249.1</v>
      </c>
      <c r="I776" s="47" t="s">
        <v>571</v>
      </c>
    </row>
    <row r="777" ht="15.75" customHeight="1">
      <c r="A777" s="47" t="s">
        <v>1800</v>
      </c>
      <c r="B777" s="47" t="s">
        <v>1801</v>
      </c>
      <c r="C777" s="47" t="s">
        <v>61</v>
      </c>
      <c r="D777" s="47" t="s">
        <v>102</v>
      </c>
      <c r="E777" s="47" t="s">
        <v>103</v>
      </c>
      <c r="F777" s="47">
        <v>193.0</v>
      </c>
      <c r="G777" s="47">
        <v>8.18</v>
      </c>
      <c r="H777" s="47">
        <v>23.6</v>
      </c>
      <c r="I777" s="47" t="s">
        <v>75</v>
      </c>
    </row>
    <row r="778" ht="15.75" customHeight="1">
      <c r="A778" s="47" t="s">
        <v>1802</v>
      </c>
      <c r="B778" s="47" t="s">
        <v>1803</v>
      </c>
      <c r="C778" s="47" t="s">
        <v>61</v>
      </c>
      <c r="D778" s="47" t="s">
        <v>94</v>
      </c>
      <c r="E778" s="47" t="s">
        <v>95</v>
      </c>
      <c r="F778" s="47">
        <v>262.0</v>
      </c>
      <c r="G778" s="47">
        <v>10.61</v>
      </c>
      <c r="H778" s="47">
        <v>24.7</v>
      </c>
      <c r="I778" s="47" t="s">
        <v>75</v>
      </c>
    </row>
    <row r="779" ht="15.75" customHeight="1">
      <c r="A779" s="47" t="s">
        <v>1804</v>
      </c>
      <c r="B779" s="47" t="s">
        <v>1805</v>
      </c>
      <c r="C779" s="47" t="s">
        <v>61</v>
      </c>
      <c r="D779" s="47" t="s">
        <v>82</v>
      </c>
      <c r="E779" s="47" t="s">
        <v>83</v>
      </c>
      <c r="F779" s="47">
        <v>166.0</v>
      </c>
      <c r="G779" s="47">
        <v>8.13</v>
      </c>
      <c r="H779" s="47">
        <v>20.4</v>
      </c>
      <c r="I779" s="47" t="s">
        <v>75</v>
      </c>
    </row>
    <row r="780" ht="15.75" customHeight="1">
      <c r="A780" s="47" t="s">
        <v>1806</v>
      </c>
      <c r="B780" s="47" t="s">
        <v>1807</v>
      </c>
      <c r="C780" s="47" t="s">
        <v>61</v>
      </c>
      <c r="D780" s="47" t="s">
        <v>140</v>
      </c>
      <c r="E780" s="47" t="s">
        <v>147</v>
      </c>
      <c r="F780" s="47">
        <v>418.0</v>
      </c>
      <c r="G780" s="47">
        <v>8.93</v>
      </c>
      <c r="H780" s="47">
        <v>46.8</v>
      </c>
      <c r="I780" s="47" t="s">
        <v>75</v>
      </c>
    </row>
    <row r="781" ht="15.75" customHeight="1">
      <c r="A781" s="47" t="s">
        <v>1808</v>
      </c>
      <c r="B781" s="47" t="s">
        <v>1809</v>
      </c>
      <c r="C781" s="47" t="s">
        <v>61</v>
      </c>
      <c r="D781" s="47" t="s">
        <v>123</v>
      </c>
      <c r="E781" s="47" t="s">
        <v>181</v>
      </c>
      <c r="F781" s="47">
        <v>508.0</v>
      </c>
      <c r="G781" s="47">
        <v>10.75</v>
      </c>
      <c r="H781" s="47">
        <v>47.3</v>
      </c>
      <c r="I781" s="47" t="s">
        <v>62</v>
      </c>
    </row>
    <row r="782" ht="15.75" customHeight="1">
      <c r="A782" s="47" t="s">
        <v>1810</v>
      </c>
      <c r="B782" s="47" t="s">
        <v>1811</v>
      </c>
      <c r="C782" s="47" t="s">
        <v>61</v>
      </c>
      <c r="D782" s="47" t="s">
        <v>90</v>
      </c>
      <c r="E782" s="47" t="s">
        <v>91</v>
      </c>
      <c r="F782" s="47">
        <v>84.0</v>
      </c>
      <c r="G782" s="47">
        <v>2.68</v>
      </c>
      <c r="H782" s="47">
        <v>31.3</v>
      </c>
      <c r="I782" s="47" t="s">
        <v>75</v>
      </c>
    </row>
    <row r="783" ht="15.75" customHeight="1">
      <c r="A783" s="47" t="s">
        <v>1812</v>
      </c>
      <c r="B783" s="47" t="s">
        <v>1813</v>
      </c>
      <c r="C783" s="47" t="s">
        <v>61</v>
      </c>
      <c r="D783" s="47" t="s">
        <v>182</v>
      </c>
      <c r="E783" s="47" t="s">
        <v>357</v>
      </c>
      <c r="F783" s="47">
        <v>997.0</v>
      </c>
      <c r="G783" s="47">
        <v>7.63</v>
      </c>
      <c r="H783" s="47">
        <v>130.7</v>
      </c>
      <c r="I783" s="47" t="s">
        <v>62</v>
      </c>
    </row>
    <row r="784" ht="15.75" customHeight="1">
      <c r="A784" s="47" t="s">
        <v>1814</v>
      </c>
      <c r="B784" s="47" t="s">
        <v>1815</v>
      </c>
      <c r="C784" s="47" t="s">
        <v>61</v>
      </c>
      <c r="D784" s="47" t="s">
        <v>166</v>
      </c>
      <c r="E784" s="47" t="s">
        <v>168</v>
      </c>
      <c r="F784" s="47">
        <v>101.0</v>
      </c>
      <c r="G784" s="47">
        <v>12.05</v>
      </c>
      <c r="H784" s="47">
        <v>8.4</v>
      </c>
      <c r="I784" s="47" t="s">
        <v>75</v>
      </c>
    </row>
    <row r="785" ht="15.75" customHeight="1">
      <c r="A785" s="47" t="s">
        <v>1816</v>
      </c>
      <c r="B785" s="47" t="s">
        <v>1817</v>
      </c>
      <c r="C785" s="47" t="s">
        <v>61</v>
      </c>
      <c r="D785" s="47" t="s">
        <v>50</v>
      </c>
      <c r="E785" s="47" t="s">
        <v>49</v>
      </c>
      <c r="F785" s="47">
        <v>1651.0</v>
      </c>
      <c r="G785" s="47">
        <v>17.79</v>
      </c>
      <c r="H785" s="47">
        <v>92.8</v>
      </c>
      <c r="I785" s="47" t="s">
        <v>62</v>
      </c>
    </row>
    <row r="786" ht="15.75" customHeight="1">
      <c r="A786" s="47" t="s">
        <v>1818</v>
      </c>
      <c r="B786" s="47" t="s">
        <v>1819</v>
      </c>
      <c r="C786" s="47" t="s">
        <v>61</v>
      </c>
      <c r="D786" s="47" t="s">
        <v>136</v>
      </c>
      <c r="E786" s="47" t="s">
        <v>189</v>
      </c>
      <c r="F786" s="47">
        <v>654.0</v>
      </c>
      <c r="G786" s="47">
        <v>9.01</v>
      </c>
      <c r="H786" s="47">
        <v>72.6</v>
      </c>
      <c r="I786" s="47" t="s">
        <v>62</v>
      </c>
    </row>
    <row r="787" ht="15.75" customHeight="1">
      <c r="A787" s="47" t="s">
        <v>1820</v>
      </c>
      <c r="B787" s="47" t="s">
        <v>1821</v>
      </c>
      <c r="C787" s="47" t="s">
        <v>61</v>
      </c>
      <c r="D787" s="47" t="s">
        <v>102</v>
      </c>
      <c r="E787" s="47" t="s">
        <v>103</v>
      </c>
      <c r="F787" s="47">
        <v>403.0</v>
      </c>
      <c r="G787" s="47">
        <v>13.97</v>
      </c>
      <c r="H787" s="47">
        <v>28.8</v>
      </c>
      <c r="I787" s="47" t="s">
        <v>75</v>
      </c>
    </row>
    <row r="788" ht="15.75" customHeight="1">
      <c r="A788" s="47" t="s">
        <v>1822</v>
      </c>
      <c r="B788" s="47" t="s">
        <v>1823</v>
      </c>
      <c r="C788" s="47" t="s">
        <v>61</v>
      </c>
      <c r="D788" s="47" t="s">
        <v>165</v>
      </c>
      <c r="E788" s="47" t="s">
        <v>254</v>
      </c>
      <c r="F788" s="47">
        <v>70.0</v>
      </c>
      <c r="G788" s="47">
        <v>3.38</v>
      </c>
      <c r="H788" s="47">
        <v>20.7</v>
      </c>
      <c r="I788" s="47" t="s">
        <v>75</v>
      </c>
    </row>
    <row r="789" ht="15.75" customHeight="1">
      <c r="A789" s="47" t="s">
        <v>1824</v>
      </c>
      <c r="B789" s="47" t="s">
        <v>1825</v>
      </c>
      <c r="C789" s="47" t="s">
        <v>61</v>
      </c>
      <c r="D789" s="47" t="s">
        <v>136</v>
      </c>
      <c r="E789" s="47" t="s">
        <v>189</v>
      </c>
      <c r="F789" s="47">
        <v>383.0</v>
      </c>
      <c r="G789" s="47">
        <v>4.76</v>
      </c>
      <c r="H789" s="47">
        <v>80.5</v>
      </c>
      <c r="I789" s="47" t="s">
        <v>75</v>
      </c>
    </row>
    <row r="790" ht="15.75" customHeight="1">
      <c r="A790" s="47" t="s">
        <v>1826</v>
      </c>
      <c r="B790" s="47" t="s">
        <v>1827</v>
      </c>
      <c r="C790" s="47" t="s">
        <v>61</v>
      </c>
      <c r="D790" s="47" t="s">
        <v>165</v>
      </c>
      <c r="E790" s="47" t="s">
        <v>254</v>
      </c>
      <c r="F790" s="47">
        <v>348.0</v>
      </c>
      <c r="G790" s="47">
        <v>11.58</v>
      </c>
      <c r="H790" s="47">
        <v>30.1</v>
      </c>
      <c r="I790" s="47" t="s">
        <v>75</v>
      </c>
    </row>
    <row r="791" ht="15.75" customHeight="1">
      <c r="A791" s="47" t="s">
        <v>1828</v>
      </c>
      <c r="B791" s="47" t="s">
        <v>1829</v>
      </c>
      <c r="C791" s="47" t="s">
        <v>61</v>
      </c>
      <c r="D791" s="47" t="s">
        <v>73</v>
      </c>
      <c r="E791" s="47" t="s">
        <v>74</v>
      </c>
      <c r="F791" s="47">
        <v>312.0</v>
      </c>
      <c r="G791" s="47">
        <v>13.84</v>
      </c>
      <c r="H791" s="47">
        <v>22.5</v>
      </c>
      <c r="I791" s="47" t="s">
        <v>75</v>
      </c>
    </row>
    <row r="792" ht="15.75" customHeight="1">
      <c r="A792" s="47" t="s">
        <v>1830</v>
      </c>
      <c r="B792" s="47" t="s">
        <v>1831</v>
      </c>
      <c r="C792" s="47" t="s">
        <v>61</v>
      </c>
      <c r="D792" s="47" t="s">
        <v>67</v>
      </c>
      <c r="E792" s="47" t="s">
        <v>68</v>
      </c>
      <c r="F792" s="47">
        <v>89.0</v>
      </c>
      <c r="G792" s="47">
        <v>4.58</v>
      </c>
      <c r="H792" s="47">
        <v>19.4</v>
      </c>
      <c r="I792" s="47" t="s">
        <v>75</v>
      </c>
    </row>
    <row r="793" ht="15.75" customHeight="1">
      <c r="A793" s="47" t="s">
        <v>1832</v>
      </c>
      <c r="B793" s="47" t="s">
        <v>1833</v>
      </c>
      <c r="C793" s="47" t="s">
        <v>61</v>
      </c>
      <c r="D793" s="47" t="s">
        <v>90</v>
      </c>
      <c r="E793" s="47" t="s">
        <v>91</v>
      </c>
      <c r="F793" s="47">
        <v>43.0</v>
      </c>
      <c r="G793" s="47">
        <v>1.07</v>
      </c>
      <c r="H793" s="47">
        <v>40.2</v>
      </c>
      <c r="I793" s="47" t="s">
        <v>75</v>
      </c>
    </row>
    <row r="794" ht="15.75" customHeight="1">
      <c r="A794" s="47" t="s">
        <v>1834</v>
      </c>
      <c r="B794" s="47" t="s">
        <v>1835</v>
      </c>
      <c r="C794" s="47" t="s">
        <v>61</v>
      </c>
      <c r="D794" s="47" t="s">
        <v>82</v>
      </c>
      <c r="E794" s="47" t="s">
        <v>83</v>
      </c>
      <c r="F794" s="47">
        <v>927.0</v>
      </c>
      <c r="G794" s="47">
        <v>6.76</v>
      </c>
      <c r="H794" s="47">
        <v>137.1</v>
      </c>
      <c r="I794" s="47" t="s">
        <v>62</v>
      </c>
    </row>
    <row r="795" ht="15.75" customHeight="1">
      <c r="A795" s="47" t="s">
        <v>1836</v>
      </c>
      <c r="B795" s="47" t="s">
        <v>1837</v>
      </c>
      <c r="C795" s="47" t="s">
        <v>61</v>
      </c>
      <c r="D795" s="47" t="s">
        <v>156</v>
      </c>
      <c r="E795" s="47" t="s">
        <v>157</v>
      </c>
      <c r="F795" s="47">
        <v>350.0</v>
      </c>
      <c r="G795" s="47">
        <v>21.36</v>
      </c>
      <c r="H795" s="47">
        <v>16.4</v>
      </c>
      <c r="I795" s="47" t="s">
        <v>75</v>
      </c>
    </row>
    <row r="796" ht="15.75" customHeight="1">
      <c r="A796" s="47" t="s">
        <v>1838</v>
      </c>
      <c r="B796" s="47" t="s">
        <v>1839</v>
      </c>
      <c r="C796" s="47" t="s">
        <v>61</v>
      </c>
      <c r="D796" s="47" t="s">
        <v>165</v>
      </c>
      <c r="E796" s="47" t="s">
        <v>254</v>
      </c>
      <c r="F796" s="47">
        <v>179.0</v>
      </c>
      <c r="G796" s="47">
        <v>7.61</v>
      </c>
      <c r="H796" s="47">
        <v>23.5</v>
      </c>
      <c r="I796" s="47" t="s">
        <v>75</v>
      </c>
    </row>
    <row r="797" ht="15.75" customHeight="1">
      <c r="A797" s="47" t="s">
        <v>1840</v>
      </c>
      <c r="B797" s="47" t="s">
        <v>1841</v>
      </c>
      <c r="C797" s="47" t="s">
        <v>61</v>
      </c>
      <c r="D797" s="47" t="s">
        <v>156</v>
      </c>
      <c r="E797" s="47" t="s">
        <v>157</v>
      </c>
      <c r="F797" s="47">
        <v>460.0</v>
      </c>
      <c r="G797" s="47">
        <v>12.02</v>
      </c>
      <c r="H797" s="47">
        <v>38.3</v>
      </c>
      <c r="I797" s="47" t="s">
        <v>75</v>
      </c>
    </row>
    <row r="798" ht="15.75" customHeight="1">
      <c r="A798" s="47" t="s">
        <v>1842</v>
      </c>
      <c r="B798" s="47" t="s">
        <v>1843</v>
      </c>
      <c r="C798" s="47" t="s">
        <v>61</v>
      </c>
      <c r="D798" s="47" t="s">
        <v>137</v>
      </c>
      <c r="E798" s="47" t="s">
        <v>138</v>
      </c>
      <c r="F798" s="47">
        <v>145.0</v>
      </c>
      <c r="G798" s="47">
        <v>4.51</v>
      </c>
      <c r="H798" s="47">
        <v>32.2</v>
      </c>
      <c r="I798" s="47" t="s">
        <v>75</v>
      </c>
    </row>
    <row r="799" ht="15.75" customHeight="1">
      <c r="A799" s="47" t="s">
        <v>1844</v>
      </c>
      <c r="B799" s="47" t="s">
        <v>1845</v>
      </c>
      <c r="C799" s="47" t="s">
        <v>7756</v>
      </c>
      <c r="D799" s="47" t="s">
        <v>120</v>
      </c>
      <c r="E799" s="47" t="s">
        <v>312</v>
      </c>
      <c r="F799" s="47">
        <v>441.0</v>
      </c>
      <c r="G799" s="47">
        <v>5.68</v>
      </c>
      <c r="H799" s="47">
        <v>77.6</v>
      </c>
      <c r="I799" s="47" t="s">
        <v>75</v>
      </c>
    </row>
    <row r="800" ht="15.75" customHeight="1">
      <c r="A800" s="47" t="s">
        <v>1846</v>
      </c>
      <c r="B800" s="47" t="s">
        <v>1847</v>
      </c>
      <c r="C800" s="47" t="s">
        <v>7756</v>
      </c>
      <c r="D800" s="47" t="s">
        <v>122</v>
      </c>
      <c r="E800" s="47" t="s">
        <v>328</v>
      </c>
      <c r="F800" s="47">
        <v>4108.0</v>
      </c>
      <c r="G800" s="47">
        <v>7.24</v>
      </c>
      <c r="H800" s="47">
        <v>567.4</v>
      </c>
      <c r="I800" s="47" t="s">
        <v>142</v>
      </c>
    </row>
    <row r="801" ht="15.75" customHeight="1">
      <c r="A801" s="47" t="s">
        <v>1848</v>
      </c>
      <c r="B801" s="47" t="s">
        <v>1849</v>
      </c>
      <c r="C801" s="47" t="s">
        <v>7756</v>
      </c>
      <c r="D801" s="47" t="s">
        <v>145</v>
      </c>
      <c r="E801" s="47" t="s">
        <v>255</v>
      </c>
      <c r="F801" s="47">
        <v>350.0</v>
      </c>
      <c r="G801" s="47">
        <v>9.22</v>
      </c>
      <c r="H801" s="47">
        <v>38.0</v>
      </c>
      <c r="I801" s="47" t="s">
        <v>75</v>
      </c>
    </row>
    <row r="802" ht="15.75" customHeight="1">
      <c r="A802" s="47" t="s">
        <v>1850</v>
      </c>
      <c r="B802" s="47" t="s">
        <v>1851</v>
      </c>
      <c r="C802" s="47" t="s">
        <v>7756</v>
      </c>
      <c r="D802" s="47" t="s">
        <v>224</v>
      </c>
      <c r="E802" s="47" t="s">
        <v>390</v>
      </c>
      <c r="F802" s="47">
        <v>1338.0</v>
      </c>
      <c r="G802" s="47">
        <v>6.54</v>
      </c>
      <c r="H802" s="47">
        <v>204.6</v>
      </c>
      <c r="I802" s="47" t="s">
        <v>62</v>
      </c>
    </row>
    <row r="803" ht="15.75" customHeight="1">
      <c r="A803" s="47" t="s">
        <v>1852</v>
      </c>
      <c r="B803" s="47" t="s">
        <v>1853</v>
      </c>
      <c r="C803" s="47" t="s">
        <v>7756</v>
      </c>
      <c r="D803" s="47" t="s">
        <v>236</v>
      </c>
      <c r="E803" s="47" t="s">
        <v>558</v>
      </c>
      <c r="F803" s="47">
        <v>3545.0</v>
      </c>
      <c r="G803" s="47">
        <v>5.54</v>
      </c>
      <c r="H803" s="47">
        <v>639.9</v>
      </c>
      <c r="I803" s="47" t="s">
        <v>142</v>
      </c>
    </row>
    <row r="804" ht="15.75" customHeight="1">
      <c r="A804" s="47" t="s">
        <v>1854</v>
      </c>
      <c r="B804" s="47" t="s">
        <v>1855</v>
      </c>
      <c r="C804" s="47" t="s">
        <v>7756</v>
      </c>
      <c r="D804" s="47" t="s">
        <v>192</v>
      </c>
      <c r="E804" s="47" t="s">
        <v>508</v>
      </c>
      <c r="F804" s="47">
        <v>619.0</v>
      </c>
      <c r="G804" s="47">
        <v>6.82</v>
      </c>
      <c r="H804" s="47">
        <v>90.8</v>
      </c>
      <c r="I804" s="47" t="s">
        <v>62</v>
      </c>
    </row>
    <row r="805" ht="15.75" customHeight="1">
      <c r="A805" s="47" t="s">
        <v>1856</v>
      </c>
      <c r="B805" s="47" t="s">
        <v>1857</v>
      </c>
      <c r="C805" s="47" t="s">
        <v>7756</v>
      </c>
      <c r="D805" s="47" t="s">
        <v>130</v>
      </c>
      <c r="E805" s="47" t="s">
        <v>180</v>
      </c>
      <c r="F805" s="47">
        <v>888.0</v>
      </c>
      <c r="G805" s="47">
        <v>1.71</v>
      </c>
      <c r="H805" s="47">
        <v>519.3</v>
      </c>
      <c r="I805" s="47" t="s">
        <v>62</v>
      </c>
    </row>
    <row r="806" ht="15.75" customHeight="1">
      <c r="A806" s="47" t="s">
        <v>1858</v>
      </c>
      <c r="B806" s="47" t="s">
        <v>1859</v>
      </c>
      <c r="C806" s="47" t="s">
        <v>7756</v>
      </c>
      <c r="D806" s="47" t="s">
        <v>72</v>
      </c>
      <c r="E806" s="47" t="s">
        <v>71</v>
      </c>
      <c r="F806" s="47">
        <v>9963.0</v>
      </c>
      <c r="G806" s="47">
        <v>6.52</v>
      </c>
      <c r="H806" s="47">
        <v>1528.1</v>
      </c>
      <c r="I806" s="47" t="s">
        <v>142</v>
      </c>
    </row>
    <row r="807" ht="15.75" customHeight="1">
      <c r="A807" s="47" t="s">
        <v>1860</v>
      </c>
      <c r="B807" s="47" t="s">
        <v>1861</v>
      </c>
      <c r="C807" s="47" t="s">
        <v>7756</v>
      </c>
      <c r="D807" s="47" t="s">
        <v>236</v>
      </c>
      <c r="E807" s="47" t="s">
        <v>558</v>
      </c>
      <c r="F807" s="47">
        <v>62868.0</v>
      </c>
      <c r="G807" s="47">
        <v>27.45</v>
      </c>
      <c r="H807" s="47">
        <v>2290.3</v>
      </c>
      <c r="I807" s="47" t="s">
        <v>7463</v>
      </c>
    </row>
    <row r="808" ht="15.75" customHeight="1">
      <c r="A808" s="47" t="s">
        <v>1862</v>
      </c>
      <c r="B808" s="47" t="s">
        <v>1863</v>
      </c>
      <c r="C808" s="47" t="s">
        <v>7756</v>
      </c>
      <c r="D808" s="47" t="s">
        <v>120</v>
      </c>
      <c r="E808" s="47" t="s">
        <v>312</v>
      </c>
      <c r="F808" s="47">
        <v>258.0</v>
      </c>
      <c r="G808" s="47">
        <v>5.41</v>
      </c>
      <c r="H808" s="47">
        <v>47.7</v>
      </c>
      <c r="I808" s="47" t="s">
        <v>75</v>
      </c>
    </row>
    <row r="809" ht="15.75" customHeight="1">
      <c r="A809" s="47" t="s">
        <v>1864</v>
      </c>
      <c r="B809" s="47" t="s">
        <v>1865</v>
      </c>
      <c r="C809" s="47" t="s">
        <v>7756</v>
      </c>
      <c r="D809" s="47" t="s">
        <v>236</v>
      </c>
      <c r="E809" s="47" t="s">
        <v>558</v>
      </c>
      <c r="F809" s="47">
        <v>10847.0</v>
      </c>
      <c r="G809" s="47">
        <v>8.97</v>
      </c>
      <c r="H809" s="47">
        <v>1209.3</v>
      </c>
      <c r="I809" s="47" t="s">
        <v>571</v>
      </c>
    </row>
    <row r="810" ht="15.75" customHeight="1">
      <c r="A810" s="47" t="s">
        <v>1866</v>
      </c>
      <c r="B810" s="47" t="s">
        <v>1867</v>
      </c>
      <c r="C810" s="47" t="s">
        <v>7756</v>
      </c>
      <c r="D810" s="47" t="s">
        <v>205</v>
      </c>
      <c r="E810" s="47" t="s">
        <v>530</v>
      </c>
      <c r="F810" s="47">
        <v>3099.0</v>
      </c>
      <c r="G810" s="47">
        <v>22.27</v>
      </c>
      <c r="H810" s="47">
        <v>139.2</v>
      </c>
      <c r="I810" s="47" t="s">
        <v>142</v>
      </c>
    </row>
    <row r="811" ht="15.75" customHeight="1">
      <c r="A811" s="47" t="s">
        <v>1868</v>
      </c>
      <c r="B811" s="47" t="s">
        <v>1869</v>
      </c>
      <c r="C811" s="47" t="s">
        <v>7756</v>
      </c>
      <c r="D811" s="47" t="s">
        <v>236</v>
      </c>
      <c r="E811" s="47" t="s">
        <v>558</v>
      </c>
      <c r="F811" s="47">
        <v>1631.0</v>
      </c>
      <c r="G811" s="47">
        <v>2.3</v>
      </c>
      <c r="H811" s="47">
        <v>709.1</v>
      </c>
      <c r="I811" s="47" t="s">
        <v>62</v>
      </c>
    </row>
    <row r="812" ht="15.75" customHeight="1">
      <c r="A812" s="47" t="s">
        <v>1870</v>
      </c>
      <c r="B812" s="47" t="s">
        <v>1871</v>
      </c>
      <c r="C812" s="47" t="s">
        <v>7756</v>
      </c>
      <c r="D812" s="47" t="s">
        <v>146</v>
      </c>
      <c r="E812" s="47" t="s">
        <v>268</v>
      </c>
      <c r="F812" s="47">
        <v>13183.0</v>
      </c>
      <c r="G812" s="47">
        <v>3.65</v>
      </c>
      <c r="H812" s="47">
        <v>3611.8</v>
      </c>
      <c r="I812" s="47" t="s">
        <v>571</v>
      </c>
    </row>
    <row r="813" ht="15.75" customHeight="1">
      <c r="A813" s="47" t="s">
        <v>1872</v>
      </c>
      <c r="B813" s="47" t="s">
        <v>1873</v>
      </c>
      <c r="C813" s="47" t="s">
        <v>7756</v>
      </c>
      <c r="D813" s="47" t="s">
        <v>130</v>
      </c>
      <c r="E813" s="47" t="s">
        <v>180</v>
      </c>
      <c r="F813" s="47">
        <v>3125.0</v>
      </c>
      <c r="G813" s="47">
        <v>11.13</v>
      </c>
      <c r="H813" s="47">
        <v>280.8</v>
      </c>
      <c r="I813" s="47" t="s">
        <v>142</v>
      </c>
    </row>
    <row r="814" ht="15.75" customHeight="1">
      <c r="A814" s="47" t="s">
        <v>1874</v>
      </c>
      <c r="B814" s="47" t="s">
        <v>1875</v>
      </c>
      <c r="C814" s="47" t="s">
        <v>7756</v>
      </c>
      <c r="D814" s="47" t="s">
        <v>235</v>
      </c>
      <c r="E814" s="47" t="s">
        <v>555</v>
      </c>
      <c r="F814" s="47">
        <v>2077.0</v>
      </c>
      <c r="G814" s="47">
        <v>10.17</v>
      </c>
      <c r="H814" s="47">
        <v>204.2</v>
      </c>
      <c r="I814" s="47" t="s">
        <v>142</v>
      </c>
    </row>
    <row r="815" ht="15.75" customHeight="1">
      <c r="A815" s="47" t="s">
        <v>1876</v>
      </c>
      <c r="B815" s="47" t="s">
        <v>1877</v>
      </c>
      <c r="C815" s="47" t="s">
        <v>7756</v>
      </c>
      <c r="D815" s="47" t="s">
        <v>236</v>
      </c>
      <c r="E815" s="47" t="s">
        <v>558</v>
      </c>
      <c r="F815" s="47">
        <v>26998.0</v>
      </c>
      <c r="G815" s="47">
        <v>6.27</v>
      </c>
      <c r="H815" s="47">
        <v>4305.9</v>
      </c>
      <c r="I815" s="47" t="s">
        <v>571</v>
      </c>
    </row>
    <row r="816" ht="15.75" customHeight="1">
      <c r="A816" s="47" t="s">
        <v>1878</v>
      </c>
      <c r="B816" s="47" t="s">
        <v>1879</v>
      </c>
      <c r="C816" s="47" t="s">
        <v>7756</v>
      </c>
      <c r="D816" s="47" t="s">
        <v>99</v>
      </c>
      <c r="E816" s="47" t="s">
        <v>98</v>
      </c>
      <c r="F816" s="47">
        <v>1594.0</v>
      </c>
      <c r="G816" s="47">
        <v>13.41</v>
      </c>
      <c r="H816" s="47">
        <v>118.9</v>
      </c>
      <c r="I816" s="47" t="s">
        <v>62</v>
      </c>
    </row>
    <row r="817" ht="15.75" customHeight="1">
      <c r="A817" s="47" t="s">
        <v>1880</v>
      </c>
      <c r="B817" s="47" t="s">
        <v>1881</v>
      </c>
      <c r="C817" s="47" t="s">
        <v>7756</v>
      </c>
      <c r="D817" s="47" t="s">
        <v>146</v>
      </c>
      <c r="E817" s="47" t="s">
        <v>268</v>
      </c>
      <c r="F817" s="47">
        <v>1082.0</v>
      </c>
      <c r="G817" s="47">
        <v>6.5</v>
      </c>
      <c r="H817" s="47">
        <v>166.5</v>
      </c>
      <c r="I817" s="47" t="s">
        <v>62</v>
      </c>
    </row>
    <row r="818" ht="15.75" customHeight="1">
      <c r="A818" s="47" t="s">
        <v>1882</v>
      </c>
      <c r="B818" s="47" t="s">
        <v>1883</v>
      </c>
      <c r="C818" s="47" t="s">
        <v>7756</v>
      </c>
      <c r="D818" s="47" t="s">
        <v>145</v>
      </c>
      <c r="E818" s="47" t="s">
        <v>255</v>
      </c>
      <c r="F818" s="47">
        <v>1769.0</v>
      </c>
      <c r="G818" s="47">
        <v>1.87</v>
      </c>
      <c r="H818" s="47">
        <v>946.0</v>
      </c>
      <c r="I818" s="47" t="s">
        <v>62</v>
      </c>
    </row>
    <row r="819" ht="15.75" customHeight="1">
      <c r="A819" s="47" t="s">
        <v>1884</v>
      </c>
      <c r="B819" s="47" t="s">
        <v>1885</v>
      </c>
      <c r="C819" s="47" t="s">
        <v>7756</v>
      </c>
      <c r="D819" s="47" t="s">
        <v>224</v>
      </c>
      <c r="E819" s="47" t="s">
        <v>390</v>
      </c>
      <c r="F819" s="47">
        <v>2245.0</v>
      </c>
      <c r="G819" s="47">
        <v>6.74</v>
      </c>
      <c r="H819" s="47">
        <v>333.1</v>
      </c>
      <c r="I819" s="47" t="s">
        <v>142</v>
      </c>
    </row>
    <row r="820" ht="15.75" customHeight="1">
      <c r="A820" s="47" t="s">
        <v>1886</v>
      </c>
      <c r="B820" s="47" t="s">
        <v>1887</v>
      </c>
      <c r="C820" s="47" t="s">
        <v>7756</v>
      </c>
      <c r="D820" s="47" t="s">
        <v>120</v>
      </c>
      <c r="E820" s="47" t="s">
        <v>312</v>
      </c>
      <c r="F820" s="47">
        <v>549.0</v>
      </c>
      <c r="G820" s="47">
        <v>3.21</v>
      </c>
      <c r="H820" s="47">
        <v>171.0</v>
      </c>
      <c r="I820" s="47" t="s">
        <v>62</v>
      </c>
    </row>
    <row r="821" ht="15.75" customHeight="1">
      <c r="A821" s="47" t="s">
        <v>1888</v>
      </c>
      <c r="B821" s="47" t="s">
        <v>1889</v>
      </c>
      <c r="C821" s="47" t="s">
        <v>7756</v>
      </c>
      <c r="D821" s="47" t="s">
        <v>72</v>
      </c>
      <c r="E821" s="47" t="s">
        <v>71</v>
      </c>
      <c r="F821" s="47">
        <v>4626.0</v>
      </c>
      <c r="G821" s="47">
        <v>7.08</v>
      </c>
      <c r="H821" s="47">
        <v>653.4</v>
      </c>
      <c r="I821" s="47" t="s">
        <v>142</v>
      </c>
    </row>
    <row r="822" ht="15.75" customHeight="1">
      <c r="A822" s="47" t="s">
        <v>1890</v>
      </c>
      <c r="B822" s="47" t="s">
        <v>1891</v>
      </c>
      <c r="C822" s="47" t="s">
        <v>7756</v>
      </c>
      <c r="D822" s="47" t="s">
        <v>236</v>
      </c>
      <c r="E822" s="47" t="s">
        <v>558</v>
      </c>
      <c r="F822" s="47">
        <v>1749.0</v>
      </c>
      <c r="G822" s="47">
        <v>10.1</v>
      </c>
      <c r="H822" s="47">
        <v>173.2</v>
      </c>
      <c r="I822" s="47" t="s">
        <v>62</v>
      </c>
    </row>
    <row r="823" ht="15.75" customHeight="1">
      <c r="A823" s="47" t="s">
        <v>1892</v>
      </c>
      <c r="B823" s="47" t="s">
        <v>1893</v>
      </c>
      <c r="C823" s="47" t="s">
        <v>7756</v>
      </c>
      <c r="D823" s="47" t="s">
        <v>130</v>
      </c>
      <c r="E823" s="47" t="s">
        <v>180</v>
      </c>
      <c r="F823" s="47">
        <v>1143.0</v>
      </c>
      <c r="G823" s="47">
        <v>5.16</v>
      </c>
      <c r="H823" s="47">
        <v>221.5</v>
      </c>
      <c r="I823" s="47" t="s">
        <v>62</v>
      </c>
    </row>
    <row r="824" ht="15.75" customHeight="1">
      <c r="A824" s="47" t="s">
        <v>1894</v>
      </c>
      <c r="B824" s="47" t="s">
        <v>1895</v>
      </c>
      <c r="C824" s="47" t="s">
        <v>7756</v>
      </c>
      <c r="D824" s="47" t="s">
        <v>146</v>
      </c>
      <c r="E824" s="47" t="s">
        <v>268</v>
      </c>
      <c r="F824" s="47">
        <v>1705.0</v>
      </c>
      <c r="G824" s="47">
        <v>4.32</v>
      </c>
      <c r="H824" s="47">
        <v>394.7</v>
      </c>
      <c r="I824" s="47" t="s">
        <v>62</v>
      </c>
    </row>
    <row r="825" ht="15.75" customHeight="1">
      <c r="A825" s="47" t="s">
        <v>1896</v>
      </c>
      <c r="B825" s="47" t="s">
        <v>1897</v>
      </c>
      <c r="C825" s="47" t="s">
        <v>7756</v>
      </c>
      <c r="D825" s="47" t="s">
        <v>130</v>
      </c>
      <c r="E825" s="47" t="s">
        <v>180</v>
      </c>
      <c r="F825" s="47">
        <v>7083.0</v>
      </c>
      <c r="G825" s="47">
        <v>7.13</v>
      </c>
      <c r="H825" s="47">
        <v>993.4</v>
      </c>
      <c r="I825" s="47" t="s">
        <v>142</v>
      </c>
    </row>
    <row r="826" ht="15.75" customHeight="1">
      <c r="A826" s="47" t="s">
        <v>1898</v>
      </c>
      <c r="B826" s="47" t="s">
        <v>1899</v>
      </c>
      <c r="C826" s="47" t="s">
        <v>7756</v>
      </c>
      <c r="D826" s="47" t="s">
        <v>224</v>
      </c>
      <c r="E826" s="47" t="s">
        <v>390</v>
      </c>
      <c r="F826" s="47">
        <v>1599.0</v>
      </c>
      <c r="G826" s="47">
        <v>7.77</v>
      </c>
      <c r="H826" s="47">
        <v>205.8</v>
      </c>
      <c r="I826" s="47" t="s">
        <v>62</v>
      </c>
    </row>
    <row r="827" ht="15.75" customHeight="1">
      <c r="A827" s="47" t="s">
        <v>1900</v>
      </c>
      <c r="B827" s="47" t="s">
        <v>1901</v>
      </c>
      <c r="C827" s="47" t="s">
        <v>7756</v>
      </c>
      <c r="D827" s="47" t="s">
        <v>192</v>
      </c>
      <c r="E827" s="47" t="s">
        <v>508</v>
      </c>
      <c r="F827" s="47">
        <v>359.0</v>
      </c>
      <c r="G827" s="47">
        <v>3.56</v>
      </c>
      <c r="H827" s="47">
        <v>100.8</v>
      </c>
      <c r="I827" s="47" t="s">
        <v>75</v>
      </c>
    </row>
    <row r="828" ht="15.75" customHeight="1">
      <c r="A828" s="47" t="s">
        <v>1902</v>
      </c>
      <c r="B828" s="47" t="s">
        <v>1903</v>
      </c>
      <c r="C828" s="47" t="s">
        <v>7756</v>
      </c>
      <c r="D828" s="47" t="s">
        <v>146</v>
      </c>
      <c r="E828" s="47" t="s">
        <v>268</v>
      </c>
      <c r="F828" s="47">
        <v>7080.0</v>
      </c>
      <c r="G828" s="47">
        <v>6.08</v>
      </c>
      <c r="H828" s="47">
        <v>1164.5</v>
      </c>
      <c r="I828" s="47" t="s">
        <v>142</v>
      </c>
    </row>
    <row r="829" ht="15.75" customHeight="1">
      <c r="A829" s="47" t="s">
        <v>1904</v>
      </c>
      <c r="B829" s="47" t="s">
        <v>1905</v>
      </c>
      <c r="C829" s="47" t="s">
        <v>7756</v>
      </c>
      <c r="D829" s="47" t="s">
        <v>145</v>
      </c>
      <c r="E829" s="47" t="s">
        <v>255</v>
      </c>
      <c r="F829" s="47">
        <v>8612.0</v>
      </c>
      <c r="G829" s="47">
        <v>8.65</v>
      </c>
      <c r="H829" s="47">
        <v>995.6</v>
      </c>
      <c r="I829" s="47" t="s">
        <v>142</v>
      </c>
    </row>
    <row r="830" ht="15.75" customHeight="1">
      <c r="A830" s="47" t="s">
        <v>1906</v>
      </c>
      <c r="B830" s="47" t="s">
        <v>1907</v>
      </c>
      <c r="C830" s="47" t="s">
        <v>7756</v>
      </c>
      <c r="D830" s="47" t="s">
        <v>224</v>
      </c>
      <c r="E830" s="47" t="s">
        <v>390</v>
      </c>
      <c r="F830" s="47">
        <v>2561.0</v>
      </c>
      <c r="G830" s="47">
        <v>13.85</v>
      </c>
      <c r="H830" s="47">
        <v>184.9</v>
      </c>
      <c r="I830" s="47" t="s">
        <v>142</v>
      </c>
    </row>
    <row r="831" ht="15.75" customHeight="1">
      <c r="A831" s="47" t="s">
        <v>1908</v>
      </c>
      <c r="B831" s="47" t="s">
        <v>1909</v>
      </c>
      <c r="C831" s="47" t="s">
        <v>7756</v>
      </c>
      <c r="D831" s="47" t="s">
        <v>149</v>
      </c>
      <c r="E831" s="47" t="s">
        <v>363</v>
      </c>
      <c r="F831" s="47">
        <v>2232.0</v>
      </c>
      <c r="G831" s="47">
        <v>12.74</v>
      </c>
      <c r="H831" s="47">
        <v>175.2</v>
      </c>
      <c r="I831" s="47" t="s">
        <v>142</v>
      </c>
    </row>
    <row r="832" ht="15.75" customHeight="1">
      <c r="A832" s="47" t="s">
        <v>1910</v>
      </c>
      <c r="B832" s="47" t="s">
        <v>1911</v>
      </c>
      <c r="C832" s="47" t="s">
        <v>7756</v>
      </c>
      <c r="D832" s="47" t="s">
        <v>149</v>
      </c>
      <c r="E832" s="47" t="s">
        <v>363</v>
      </c>
      <c r="F832" s="47">
        <v>4012.0</v>
      </c>
      <c r="G832" s="47">
        <v>2.31</v>
      </c>
      <c r="H832" s="47">
        <v>1736.8</v>
      </c>
      <c r="I832" s="47" t="s">
        <v>142</v>
      </c>
    </row>
    <row r="833" ht="15.75" customHeight="1">
      <c r="A833" s="47" t="s">
        <v>1912</v>
      </c>
      <c r="B833" s="47" t="s">
        <v>1913</v>
      </c>
      <c r="C833" s="47" t="s">
        <v>7756</v>
      </c>
      <c r="D833" s="47" t="s">
        <v>135</v>
      </c>
      <c r="E833" s="47" t="s">
        <v>349</v>
      </c>
      <c r="F833" s="47">
        <v>3562.0</v>
      </c>
      <c r="G833" s="47">
        <v>9.04</v>
      </c>
      <c r="H833" s="47">
        <v>394.0</v>
      </c>
      <c r="I833" s="47" t="s">
        <v>142</v>
      </c>
    </row>
    <row r="834" ht="15.75" customHeight="1">
      <c r="A834" s="47" t="s">
        <v>1914</v>
      </c>
      <c r="B834" s="47" t="s">
        <v>1915</v>
      </c>
      <c r="C834" s="47" t="s">
        <v>7756</v>
      </c>
      <c r="D834" s="47" t="s">
        <v>122</v>
      </c>
      <c r="E834" s="47" t="s">
        <v>328</v>
      </c>
      <c r="F834" s="47">
        <v>1458.0</v>
      </c>
      <c r="G834" s="47">
        <v>10.51</v>
      </c>
      <c r="H834" s="47">
        <v>138.7</v>
      </c>
      <c r="I834" s="47" t="s">
        <v>62</v>
      </c>
    </row>
    <row r="835" ht="15.75" customHeight="1">
      <c r="A835" s="47" t="s">
        <v>1916</v>
      </c>
      <c r="B835" s="47" t="s">
        <v>1917</v>
      </c>
      <c r="C835" s="47" t="s">
        <v>7756</v>
      </c>
      <c r="D835" s="47" t="s">
        <v>120</v>
      </c>
      <c r="E835" s="47" t="s">
        <v>312</v>
      </c>
      <c r="F835" s="47">
        <v>757.0</v>
      </c>
      <c r="G835" s="47">
        <v>6.31</v>
      </c>
      <c r="H835" s="47">
        <v>120.0</v>
      </c>
      <c r="I835" s="47" t="s">
        <v>62</v>
      </c>
    </row>
    <row r="836" ht="15.75" customHeight="1">
      <c r="A836" s="47" t="s">
        <v>1918</v>
      </c>
      <c r="B836" s="47" t="s">
        <v>1919</v>
      </c>
      <c r="C836" s="47" t="s">
        <v>7756</v>
      </c>
      <c r="D836" s="47" t="s">
        <v>145</v>
      </c>
      <c r="E836" s="47" t="s">
        <v>255</v>
      </c>
      <c r="F836" s="47">
        <v>2230.0</v>
      </c>
      <c r="G836" s="47">
        <v>9.41</v>
      </c>
      <c r="H836" s="47">
        <v>237.0</v>
      </c>
      <c r="I836" s="47" t="s">
        <v>142</v>
      </c>
    </row>
    <row r="837" ht="15.75" customHeight="1">
      <c r="A837" s="47" t="s">
        <v>1920</v>
      </c>
      <c r="B837" s="47" t="s">
        <v>1921</v>
      </c>
      <c r="C837" s="47" t="s">
        <v>7756</v>
      </c>
      <c r="D837" s="47" t="s">
        <v>224</v>
      </c>
      <c r="E837" s="47" t="s">
        <v>390</v>
      </c>
      <c r="F837" s="47">
        <v>1898.0</v>
      </c>
      <c r="G837" s="47">
        <v>6.43</v>
      </c>
      <c r="H837" s="47">
        <v>295.2</v>
      </c>
      <c r="I837" s="47" t="s">
        <v>62</v>
      </c>
    </row>
    <row r="838" ht="15.75" customHeight="1">
      <c r="A838" s="47" t="s">
        <v>1922</v>
      </c>
      <c r="B838" s="47" t="s">
        <v>1923</v>
      </c>
      <c r="C838" s="47" t="s">
        <v>7756</v>
      </c>
      <c r="D838" s="47" t="s">
        <v>99</v>
      </c>
      <c r="E838" s="47" t="s">
        <v>98</v>
      </c>
      <c r="F838" s="47">
        <v>14732.0</v>
      </c>
      <c r="G838" s="47">
        <v>43.49</v>
      </c>
      <c r="H838" s="47">
        <v>338.7</v>
      </c>
      <c r="I838" s="47" t="s">
        <v>571</v>
      </c>
    </row>
    <row r="839" ht="15.75" customHeight="1">
      <c r="A839" s="47" t="s">
        <v>1924</v>
      </c>
      <c r="B839" s="47" t="s">
        <v>1925</v>
      </c>
      <c r="C839" s="47" t="s">
        <v>7756</v>
      </c>
      <c r="D839" s="47" t="s">
        <v>236</v>
      </c>
      <c r="E839" s="47" t="s">
        <v>558</v>
      </c>
      <c r="F839" s="47">
        <v>5545.0</v>
      </c>
      <c r="G839" s="47">
        <v>8.68</v>
      </c>
      <c r="H839" s="47">
        <v>638.8</v>
      </c>
      <c r="I839" s="47" t="s">
        <v>142</v>
      </c>
    </row>
    <row r="840" ht="15.75" customHeight="1">
      <c r="A840" s="47" t="s">
        <v>1926</v>
      </c>
      <c r="B840" s="47" t="s">
        <v>1927</v>
      </c>
      <c r="C840" s="47" t="s">
        <v>7756</v>
      </c>
      <c r="D840" s="47" t="s">
        <v>205</v>
      </c>
      <c r="E840" s="47" t="s">
        <v>530</v>
      </c>
      <c r="F840" s="47">
        <v>158.0</v>
      </c>
      <c r="G840" s="47">
        <v>7.96</v>
      </c>
      <c r="H840" s="47">
        <v>19.8</v>
      </c>
      <c r="I840" s="47" t="s">
        <v>75</v>
      </c>
    </row>
    <row r="841" ht="15.75" customHeight="1">
      <c r="A841" s="47" t="s">
        <v>1928</v>
      </c>
      <c r="B841" s="47" t="s">
        <v>1929</v>
      </c>
      <c r="C841" s="47" t="s">
        <v>7756</v>
      </c>
      <c r="D841" s="47" t="s">
        <v>171</v>
      </c>
      <c r="E841" s="47" t="s">
        <v>457</v>
      </c>
      <c r="F841" s="47">
        <v>845.0</v>
      </c>
      <c r="G841" s="47">
        <v>11.82</v>
      </c>
      <c r="H841" s="47">
        <v>71.5</v>
      </c>
      <c r="I841" s="47" t="s">
        <v>62</v>
      </c>
    </row>
    <row r="842" ht="15.75" customHeight="1">
      <c r="A842" s="47" t="s">
        <v>1930</v>
      </c>
      <c r="B842" s="47" t="s">
        <v>1931</v>
      </c>
      <c r="C842" s="47" t="s">
        <v>7756</v>
      </c>
      <c r="D842" s="47" t="s">
        <v>120</v>
      </c>
      <c r="E842" s="47" t="s">
        <v>312</v>
      </c>
      <c r="F842" s="47">
        <v>339.0</v>
      </c>
      <c r="G842" s="47">
        <v>6.16</v>
      </c>
      <c r="H842" s="47">
        <v>55.0</v>
      </c>
      <c r="I842" s="47" t="s">
        <v>75</v>
      </c>
    </row>
    <row r="843" ht="15.75" customHeight="1">
      <c r="A843" s="47" t="s">
        <v>1932</v>
      </c>
      <c r="B843" s="47" t="s">
        <v>1933</v>
      </c>
      <c r="C843" s="47" t="s">
        <v>7756</v>
      </c>
      <c r="D843" s="47" t="s">
        <v>120</v>
      </c>
      <c r="E843" s="47" t="s">
        <v>312</v>
      </c>
      <c r="F843" s="47">
        <v>494.0</v>
      </c>
      <c r="G843" s="47">
        <v>3.18</v>
      </c>
      <c r="H843" s="47">
        <v>155.3</v>
      </c>
      <c r="I843" s="47" t="s">
        <v>75</v>
      </c>
    </row>
    <row r="844" ht="15.75" customHeight="1">
      <c r="A844" s="47" t="s">
        <v>1934</v>
      </c>
      <c r="B844" s="47" t="s">
        <v>1935</v>
      </c>
      <c r="C844" s="47" t="s">
        <v>7756</v>
      </c>
      <c r="D844" s="47" t="s">
        <v>120</v>
      </c>
      <c r="E844" s="47" t="s">
        <v>312</v>
      </c>
      <c r="F844" s="47">
        <v>441.0</v>
      </c>
      <c r="G844" s="47">
        <v>7.69</v>
      </c>
      <c r="H844" s="47">
        <v>57.3</v>
      </c>
      <c r="I844" s="47" t="s">
        <v>75</v>
      </c>
    </row>
    <row r="845" ht="15.75" customHeight="1">
      <c r="A845" s="47" t="s">
        <v>1936</v>
      </c>
      <c r="B845" s="47" t="s">
        <v>1937</v>
      </c>
      <c r="C845" s="47" t="s">
        <v>7756</v>
      </c>
      <c r="D845" s="47" t="s">
        <v>149</v>
      </c>
      <c r="E845" s="47" t="s">
        <v>363</v>
      </c>
      <c r="F845" s="47">
        <v>348.0</v>
      </c>
      <c r="G845" s="47">
        <v>7.62</v>
      </c>
      <c r="H845" s="47">
        <v>45.7</v>
      </c>
      <c r="I845" s="47" t="s">
        <v>75</v>
      </c>
    </row>
    <row r="846" ht="15.75" customHeight="1">
      <c r="A846" s="47" t="s">
        <v>1938</v>
      </c>
      <c r="B846" s="47" t="s">
        <v>1939</v>
      </c>
      <c r="C846" s="47" t="s">
        <v>7756</v>
      </c>
      <c r="D846" s="47" t="s">
        <v>236</v>
      </c>
      <c r="E846" s="47" t="s">
        <v>558</v>
      </c>
      <c r="F846" s="47">
        <v>6650.0</v>
      </c>
      <c r="G846" s="47">
        <v>3.53</v>
      </c>
      <c r="H846" s="47">
        <v>1883.9</v>
      </c>
      <c r="I846" s="47" t="s">
        <v>142</v>
      </c>
    </row>
    <row r="847" ht="15.75" customHeight="1">
      <c r="A847" s="47" t="s">
        <v>1940</v>
      </c>
      <c r="B847" s="47" t="s">
        <v>1941</v>
      </c>
      <c r="C847" s="47" t="s">
        <v>7756</v>
      </c>
      <c r="D847" s="47" t="s">
        <v>236</v>
      </c>
      <c r="E847" s="47" t="s">
        <v>558</v>
      </c>
      <c r="F847" s="47">
        <v>5249.0</v>
      </c>
      <c r="G847" s="47">
        <v>3.87</v>
      </c>
      <c r="H847" s="47">
        <v>1356.3</v>
      </c>
      <c r="I847" s="47" t="s">
        <v>142</v>
      </c>
    </row>
    <row r="848" ht="15.75" customHeight="1">
      <c r="A848" s="47" t="s">
        <v>1942</v>
      </c>
      <c r="B848" s="47" t="s">
        <v>1943</v>
      </c>
      <c r="C848" s="47" t="s">
        <v>7756</v>
      </c>
      <c r="D848" s="47" t="s">
        <v>192</v>
      </c>
      <c r="E848" s="47" t="s">
        <v>508</v>
      </c>
      <c r="F848" s="47">
        <v>3249.0</v>
      </c>
      <c r="G848" s="47">
        <v>10.33</v>
      </c>
      <c r="H848" s="47">
        <v>314.5</v>
      </c>
      <c r="I848" s="47" t="s">
        <v>142</v>
      </c>
    </row>
    <row r="849" ht="15.75" customHeight="1">
      <c r="A849" s="47" t="s">
        <v>1944</v>
      </c>
      <c r="B849" s="47" t="s">
        <v>1945</v>
      </c>
      <c r="C849" s="47" t="s">
        <v>7756</v>
      </c>
      <c r="D849" s="47" t="s">
        <v>99</v>
      </c>
      <c r="E849" s="47" t="s">
        <v>98</v>
      </c>
      <c r="F849" s="47">
        <v>1045.0</v>
      </c>
      <c r="G849" s="47">
        <v>8.44</v>
      </c>
      <c r="H849" s="47">
        <v>123.8</v>
      </c>
      <c r="I849" s="47" t="s">
        <v>62</v>
      </c>
    </row>
    <row r="850" ht="15.75" customHeight="1">
      <c r="A850" s="47" t="s">
        <v>1946</v>
      </c>
      <c r="B850" s="47" t="s">
        <v>1947</v>
      </c>
      <c r="C850" s="47" t="s">
        <v>7756</v>
      </c>
      <c r="D850" s="47" t="s">
        <v>135</v>
      </c>
      <c r="E850" s="47" t="s">
        <v>349</v>
      </c>
      <c r="F850" s="47">
        <v>551.0</v>
      </c>
      <c r="G850" s="47">
        <v>11.83</v>
      </c>
      <c r="H850" s="47">
        <v>46.6</v>
      </c>
      <c r="I850" s="47" t="s">
        <v>62</v>
      </c>
    </row>
    <row r="851" ht="15.75" customHeight="1">
      <c r="A851" s="47" t="s">
        <v>1948</v>
      </c>
      <c r="B851" s="47" t="s">
        <v>1949</v>
      </c>
      <c r="C851" s="47" t="s">
        <v>7756</v>
      </c>
      <c r="D851" s="47" t="s">
        <v>236</v>
      </c>
      <c r="E851" s="47" t="s">
        <v>558</v>
      </c>
      <c r="F851" s="47">
        <v>845.0</v>
      </c>
      <c r="G851" s="47">
        <v>5.04</v>
      </c>
      <c r="H851" s="47">
        <v>167.7</v>
      </c>
      <c r="I851" s="47" t="s">
        <v>62</v>
      </c>
    </row>
    <row r="852" ht="15.75" customHeight="1">
      <c r="A852" s="47" t="s">
        <v>1950</v>
      </c>
      <c r="B852" s="47" t="s">
        <v>1951</v>
      </c>
      <c r="C852" s="47" t="s">
        <v>7756</v>
      </c>
      <c r="D852" s="47" t="s">
        <v>192</v>
      </c>
      <c r="E852" s="47" t="s">
        <v>508</v>
      </c>
      <c r="F852" s="47">
        <v>574.0</v>
      </c>
      <c r="G852" s="47">
        <v>7.88</v>
      </c>
      <c r="H852" s="47">
        <v>72.8</v>
      </c>
      <c r="I852" s="47" t="s">
        <v>62</v>
      </c>
    </row>
    <row r="853" ht="15.75" customHeight="1">
      <c r="A853" s="47" t="s">
        <v>1952</v>
      </c>
      <c r="B853" s="47" t="s">
        <v>1953</v>
      </c>
      <c r="C853" s="47" t="s">
        <v>7756</v>
      </c>
      <c r="D853" s="47" t="s">
        <v>145</v>
      </c>
      <c r="E853" s="47" t="s">
        <v>255</v>
      </c>
      <c r="F853" s="47">
        <v>995.0</v>
      </c>
      <c r="G853" s="47">
        <v>12.82</v>
      </c>
      <c r="H853" s="47">
        <v>77.6</v>
      </c>
      <c r="I853" s="47" t="s">
        <v>62</v>
      </c>
    </row>
    <row r="854" ht="15.75" customHeight="1">
      <c r="A854" s="47" t="s">
        <v>1954</v>
      </c>
      <c r="B854" s="47" t="s">
        <v>1955</v>
      </c>
      <c r="C854" s="47" t="s">
        <v>7756</v>
      </c>
      <c r="D854" s="47" t="s">
        <v>135</v>
      </c>
      <c r="E854" s="47" t="s">
        <v>349</v>
      </c>
      <c r="F854" s="47">
        <v>458.0</v>
      </c>
      <c r="G854" s="47">
        <v>3.31</v>
      </c>
      <c r="H854" s="47">
        <v>138.4</v>
      </c>
      <c r="I854" s="47" t="s">
        <v>75</v>
      </c>
    </row>
    <row r="855" ht="15.75" customHeight="1">
      <c r="A855" s="47" t="s">
        <v>1956</v>
      </c>
      <c r="B855" s="47" t="s">
        <v>1957</v>
      </c>
      <c r="C855" s="47" t="s">
        <v>7756</v>
      </c>
      <c r="D855" s="47" t="s">
        <v>202</v>
      </c>
      <c r="E855" s="47" t="s">
        <v>499</v>
      </c>
      <c r="F855" s="47">
        <v>234.0</v>
      </c>
      <c r="G855" s="47">
        <v>1.01</v>
      </c>
      <c r="H855" s="47">
        <v>231.7</v>
      </c>
      <c r="I855" s="47" t="s">
        <v>75</v>
      </c>
    </row>
    <row r="856" ht="15.75" customHeight="1">
      <c r="A856" s="47" t="s">
        <v>1958</v>
      </c>
      <c r="B856" s="47" t="s">
        <v>1959</v>
      </c>
      <c r="C856" s="47" t="s">
        <v>7756</v>
      </c>
      <c r="D856" s="47" t="s">
        <v>149</v>
      </c>
      <c r="E856" s="47" t="s">
        <v>363</v>
      </c>
      <c r="F856" s="47">
        <v>272.0</v>
      </c>
      <c r="G856" s="47">
        <v>7.9</v>
      </c>
      <c r="H856" s="47">
        <v>34.4</v>
      </c>
      <c r="I856" s="47" t="s">
        <v>75</v>
      </c>
    </row>
    <row r="857" ht="15.75" customHeight="1">
      <c r="A857" s="47" t="s">
        <v>1960</v>
      </c>
      <c r="B857" s="47" t="s">
        <v>295</v>
      </c>
      <c r="C857" s="47" t="s">
        <v>7756</v>
      </c>
      <c r="D857" s="47" t="s">
        <v>149</v>
      </c>
      <c r="E857" s="47" t="s">
        <v>363</v>
      </c>
      <c r="F857" s="47">
        <v>169.0</v>
      </c>
      <c r="G857" s="47">
        <v>7.38</v>
      </c>
      <c r="H857" s="47">
        <v>22.9</v>
      </c>
      <c r="I857" s="47" t="s">
        <v>75</v>
      </c>
    </row>
    <row r="858" ht="15.75" customHeight="1">
      <c r="A858" s="47" t="s">
        <v>1961</v>
      </c>
      <c r="B858" s="47" t="s">
        <v>1962</v>
      </c>
      <c r="C858" s="47" t="s">
        <v>7756</v>
      </c>
      <c r="D858" s="47" t="s">
        <v>135</v>
      </c>
      <c r="E858" s="47" t="s">
        <v>349</v>
      </c>
      <c r="F858" s="47">
        <v>1933.0</v>
      </c>
      <c r="G858" s="47">
        <v>3.54</v>
      </c>
      <c r="H858" s="47">
        <v>546.0</v>
      </c>
      <c r="I858" s="47" t="s">
        <v>62</v>
      </c>
    </row>
    <row r="859" ht="15.75" customHeight="1">
      <c r="A859" s="47" t="s">
        <v>1963</v>
      </c>
      <c r="B859" s="47" t="s">
        <v>1964</v>
      </c>
      <c r="C859" s="47" t="s">
        <v>7756</v>
      </c>
      <c r="D859" s="47" t="s">
        <v>122</v>
      </c>
      <c r="E859" s="47" t="s">
        <v>328</v>
      </c>
      <c r="F859" s="47">
        <v>1301.0</v>
      </c>
      <c r="G859" s="47">
        <v>3.4</v>
      </c>
      <c r="H859" s="47">
        <v>382.6</v>
      </c>
      <c r="I859" s="47" t="s">
        <v>62</v>
      </c>
    </row>
    <row r="860" ht="15.75" customHeight="1">
      <c r="A860" s="47" t="s">
        <v>1965</v>
      </c>
      <c r="B860" s="47" t="s">
        <v>1966</v>
      </c>
      <c r="C860" s="47" t="s">
        <v>7756</v>
      </c>
      <c r="D860" s="47" t="s">
        <v>192</v>
      </c>
      <c r="E860" s="47" t="s">
        <v>508</v>
      </c>
      <c r="F860" s="47">
        <v>810.0</v>
      </c>
      <c r="G860" s="47">
        <v>5.21</v>
      </c>
      <c r="H860" s="47">
        <v>155.5</v>
      </c>
      <c r="I860" s="47" t="s">
        <v>62</v>
      </c>
    </row>
    <row r="861" ht="15.75" customHeight="1">
      <c r="A861" s="47" t="s">
        <v>1967</v>
      </c>
      <c r="B861" s="47" t="s">
        <v>1968</v>
      </c>
      <c r="C861" s="47" t="s">
        <v>7756</v>
      </c>
      <c r="D861" s="47" t="s">
        <v>149</v>
      </c>
      <c r="E861" s="47" t="s">
        <v>363</v>
      </c>
      <c r="F861" s="47">
        <v>163.0</v>
      </c>
      <c r="G861" s="47">
        <v>5.76</v>
      </c>
      <c r="H861" s="47">
        <v>28.3</v>
      </c>
      <c r="I861" s="47" t="s">
        <v>75</v>
      </c>
    </row>
    <row r="862" ht="15.75" customHeight="1">
      <c r="A862" s="47" t="s">
        <v>1969</v>
      </c>
      <c r="B862" s="47" t="s">
        <v>1970</v>
      </c>
      <c r="C862" s="47" t="s">
        <v>7756</v>
      </c>
      <c r="D862" s="47" t="s">
        <v>171</v>
      </c>
      <c r="E862" s="47" t="s">
        <v>457</v>
      </c>
      <c r="F862" s="47">
        <v>3525.0</v>
      </c>
      <c r="G862" s="47">
        <v>1.34</v>
      </c>
      <c r="H862" s="47">
        <v>2630.6</v>
      </c>
      <c r="I862" s="47" t="s">
        <v>142</v>
      </c>
    </row>
    <row r="863" ht="15.75" customHeight="1">
      <c r="A863" s="47" t="s">
        <v>1971</v>
      </c>
      <c r="B863" s="47" t="s">
        <v>1972</v>
      </c>
      <c r="C863" s="47" t="s">
        <v>7756</v>
      </c>
      <c r="D863" s="47" t="s">
        <v>145</v>
      </c>
      <c r="E863" s="47" t="s">
        <v>255</v>
      </c>
      <c r="F863" s="47">
        <v>3159.0</v>
      </c>
      <c r="G863" s="47">
        <v>13.16</v>
      </c>
      <c r="H863" s="47">
        <v>240.0</v>
      </c>
      <c r="I863" s="47" t="s">
        <v>142</v>
      </c>
    </row>
    <row r="864" ht="15.75" customHeight="1">
      <c r="A864" s="47" t="s">
        <v>1973</v>
      </c>
      <c r="B864" s="47" t="s">
        <v>1974</v>
      </c>
      <c r="C864" s="47" t="s">
        <v>7756</v>
      </c>
      <c r="D864" s="47" t="s">
        <v>202</v>
      </c>
      <c r="E864" s="47" t="s">
        <v>499</v>
      </c>
      <c r="F864" s="47">
        <v>778.0</v>
      </c>
      <c r="G864" s="47">
        <v>6.62</v>
      </c>
      <c r="H864" s="47">
        <v>117.5</v>
      </c>
      <c r="I864" s="47" t="s">
        <v>62</v>
      </c>
    </row>
    <row r="865" ht="15.75" customHeight="1">
      <c r="A865" s="47" t="s">
        <v>1975</v>
      </c>
      <c r="B865" s="47" t="s">
        <v>1976</v>
      </c>
      <c r="C865" s="47" t="s">
        <v>7756</v>
      </c>
      <c r="D865" s="47" t="s">
        <v>224</v>
      </c>
      <c r="E865" s="47" t="s">
        <v>390</v>
      </c>
      <c r="F865" s="47">
        <v>2318.0</v>
      </c>
      <c r="G865" s="47">
        <v>11.14</v>
      </c>
      <c r="H865" s="47">
        <v>208.1</v>
      </c>
      <c r="I865" s="47" t="s">
        <v>142</v>
      </c>
    </row>
    <row r="866" ht="15.75" customHeight="1">
      <c r="A866" s="47" t="s">
        <v>1977</v>
      </c>
      <c r="B866" s="47" t="s">
        <v>1978</v>
      </c>
      <c r="C866" s="47" t="s">
        <v>7756</v>
      </c>
      <c r="D866" s="47" t="s">
        <v>145</v>
      </c>
      <c r="E866" s="47" t="s">
        <v>255</v>
      </c>
      <c r="F866" s="47">
        <v>237.0</v>
      </c>
      <c r="G866" s="47">
        <v>2.85</v>
      </c>
      <c r="H866" s="47">
        <v>83.2</v>
      </c>
      <c r="I866" s="47" t="s">
        <v>75</v>
      </c>
    </row>
    <row r="867" ht="15.75" customHeight="1">
      <c r="A867" s="47" t="s">
        <v>1979</v>
      </c>
      <c r="B867" s="47" t="s">
        <v>1980</v>
      </c>
      <c r="C867" s="47" t="s">
        <v>7756</v>
      </c>
      <c r="D867" s="47" t="s">
        <v>99</v>
      </c>
      <c r="E867" s="47" t="s">
        <v>98</v>
      </c>
      <c r="F867" s="47">
        <v>627.0</v>
      </c>
      <c r="G867" s="47">
        <v>5.13</v>
      </c>
      <c r="H867" s="47">
        <v>122.2</v>
      </c>
      <c r="I867" s="47" t="s">
        <v>62</v>
      </c>
    </row>
    <row r="868" ht="15.75" customHeight="1">
      <c r="A868" s="47" t="s">
        <v>1981</v>
      </c>
      <c r="B868" s="47" t="s">
        <v>1982</v>
      </c>
      <c r="C868" s="47" t="s">
        <v>7756</v>
      </c>
      <c r="D868" s="47" t="s">
        <v>135</v>
      </c>
      <c r="E868" s="47" t="s">
        <v>349</v>
      </c>
      <c r="F868" s="47">
        <v>2140.0</v>
      </c>
      <c r="G868" s="47">
        <v>8.55</v>
      </c>
      <c r="H868" s="47">
        <v>250.3</v>
      </c>
      <c r="I868" s="47" t="s">
        <v>142</v>
      </c>
    </row>
    <row r="869" ht="15.75" customHeight="1">
      <c r="A869" s="47" t="s">
        <v>1983</v>
      </c>
      <c r="B869" s="47" t="s">
        <v>1984</v>
      </c>
      <c r="C869" s="47" t="s">
        <v>7756</v>
      </c>
      <c r="D869" s="47" t="s">
        <v>135</v>
      </c>
      <c r="E869" s="47" t="s">
        <v>349</v>
      </c>
      <c r="F869" s="47">
        <v>689.0</v>
      </c>
      <c r="G869" s="47">
        <v>5.15</v>
      </c>
      <c r="H869" s="47">
        <v>133.8</v>
      </c>
      <c r="I869" s="47" t="s">
        <v>62</v>
      </c>
    </row>
    <row r="870" ht="15.75" customHeight="1">
      <c r="A870" s="47" t="s">
        <v>1985</v>
      </c>
      <c r="B870" s="47" t="s">
        <v>1986</v>
      </c>
      <c r="C870" s="47" t="s">
        <v>7756</v>
      </c>
      <c r="D870" s="47" t="s">
        <v>145</v>
      </c>
      <c r="E870" s="47" t="s">
        <v>255</v>
      </c>
      <c r="F870" s="47">
        <v>343.0</v>
      </c>
      <c r="G870" s="47">
        <v>4.62</v>
      </c>
      <c r="H870" s="47">
        <v>74.2</v>
      </c>
      <c r="I870" s="47" t="s">
        <v>75</v>
      </c>
    </row>
    <row r="871" ht="15.75" customHeight="1">
      <c r="A871" s="47" t="s">
        <v>1987</v>
      </c>
      <c r="B871" s="47" t="s">
        <v>1988</v>
      </c>
      <c r="C871" s="47" t="s">
        <v>7756</v>
      </c>
      <c r="D871" s="47" t="s">
        <v>192</v>
      </c>
      <c r="E871" s="47" t="s">
        <v>508</v>
      </c>
      <c r="F871" s="47">
        <v>253.0</v>
      </c>
      <c r="G871" s="47">
        <v>3.32</v>
      </c>
      <c r="H871" s="47">
        <v>76.2</v>
      </c>
      <c r="I871" s="47" t="s">
        <v>75</v>
      </c>
    </row>
    <row r="872" ht="15.75" customHeight="1">
      <c r="A872" s="47" t="s">
        <v>1989</v>
      </c>
      <c r="B872" s="47" t="s">
        <v>1990</v>
      </c>
      <c r="C872" s="47" t="s">
        <v>7756</v>
      </c>
      <c r="D872" s="47" t="s">
        <v>149</v>
      </c>
      <c r="E872" s="47" t="s">
        <v>363</v>
      </c>
      <c r="F872" s="47">
        <v>599.0</v>
      </c>
      <c r="G872" s="47">
        <v>8.92</v>
      </c>
      <c r="H872" s="47">
        <v>67.2</v>
      </c>
      <c r="I872" s="47" t="s">
        <v>62</v>
      </c>
    </row>
    <row r="873" ht="15.75" customHeight="1">
      <c r="A873" s="47" t="s">
        <v>1991</v>
      </c>
      <c r="B873" s="47" t="s">
        <v>1992</v>
      </c>
      <c r="C873" s="47" t="s">
        <v>7756</v>
      </c>
      <c r="D873" s="47" t="s">
        <v>146</v>
      </c>
      <c r="E873" s="47" t="s">
        <v>268</v>
      </c>
      <c r="F873" s="47">
        <v>6796.0</v>
      </c>
      <c r="G873" s="47">
        <v>2.98</v>
      </c>
      <c r="H873" s="47">
        <v>2280.5</v>
      </c>
      <c r="I873" s="47" t="s">
        <v>142</v>
      </c>
    </row>
    <row r="874" ht="15.75" customHeight="1">
      <c r="A874" s="47" t="s">
        <v>1993</v>
      </c>
      <c r="B874" s="47" t="s">
        <v>1994</v>
      </c>
      <c r="C874" s="47" t="s">
        <v>7756</v>
      </c>
      <c r="D874" s="47" t="s">
        <v>224</v>
      </c>
      <c r="E874" s="47" t="s">
        <v>390</v>
      </c>
      <c r="F874" s="47">
        <v>2861.0</v>
      </c>
      <c r="G874" s="47">
        <v>12.59</v>
      </c>
      <c r="H874" s="47">
        <v>227.2</v>
      </c>
      <c r="I874" s="47" t="s">
        <v>142</v>
      </c>
    </row>
    <row r="875" ht="15.75" customHeight="1">
      <c r="A875" s="47" t="s">
        <v>1995</v>
      </c>
      <c r="B875" s="47" t="s">
        <v>1996</v>
      </c>
      <c r="C875" s="47" t="s">
        <v>7756</v>
      </c>
      <c r="D875" s="47" t="s">
        <v>135</v>
      </c>
      <c r="E875" s="47" t="s">
        <v>349</v>
      </c>
      <c r="F875" s="47">
        <v>529.0</v>
      </c>
      <c r="G875" s="47">
        <v>4.8</v>
      </c>
      <c r="H875" s="47">
        <v>110.2</v>
      </c>
      <c r="I875" s="47" t="s">
        <v>62</v>
      </c>
    </row>
    <row r="876" ht="15.75" customHeight="1">
      <c r="A876" s="47" t="s">
        <v>1997</v>
      </c>
      <c r="B876" s="47" t="s">
        <v>1998</v>
      </c>
      <c r="C876" s="47" t="s">
        <v>7756</v>
      </c>
      <c r="D876" s="47" t="s">
        <v>171</v>
      </c>
      <c r="E876" s="47" t="s">
        <v>457</v>
      </c>
      <c r="F876" s="47">
        <v>1716.0</v>
      </c>
      <c r="G876" s="47">
        <v>11.07</v>
      </c>
      <c r="H876" s="47">
        <v>155.0</v>
      </c>
      <c r="I876" s="47" t="s">
        <v>62</v>
      </c>
    </row>
    <row r="877" ht="15.75" customHeight="1">
      <c r="A877" s="47" t="s">
        <v>1999</v>
      </c>
      <c r="B877" s="47" t="s">
        <v>2000</v>
      </c>
      <c r="C877" s="47" t="s">
        <v>7756</v>
      </c>
      <c r="D877" s="47" t="s">
        <v>171</v>
      </c>
      <c r="E877" s="47" t="s">
        <v>457</v>
      </c>
      <c r="F877" s="47">
        <v>239.0</v>
      </c>
      <c r="G877" s="47">
        <v>3.58</v>
      </c>
      <c r="H877" s="47">
        <v>66.8</v>
      </c>
      <c r="I877" s="47" t="s">
        <v>75</v>
      </c>
    </row>
    <row r="878" ht="15.75" customHeight="1">
      <c r="A878" s="47" t="s">
        <v>2001</v>
      </c>
      <c r="B878" s="47" t="s">
        <v>2002</v>
      </c>
      <c r="C878" s="47" t="s">
        <v>7756</v>
      </c>
      <c r="D878" s="47" t="s">
        <v>99</v>
      </c>
      <c r="E878" s="47" t="s">
        <v>98</v>
      </c>
      <c r="F878" s="47">
        <v>2008.0</v>
      </c>
      <c r="G878" s="47">
        <v>18.24</v>
      </c>
      <c r="H878" s="47">
        <v>110.1</v>
      </c>
      <c r="I878" s="47" t="s">
        <v>142</v>
      </c>
    </row>
    <row r="879" ht="15.75" customHeight="1">
      <c r="A879" s="47" t="s">
        <v>2003</v>
      </c>
      <c r="B879" s="47" t="s">
        <v>2004</v>
      </c>
      <c r="C879" s="47" t="s">
        <v>7756</v>
      </c>
      <c r="D879" s="47" t="s">
        <v>120</v>
      </c>
      <c r="E879" s="47" t="s">
        <v>312</v>
      </c>
      <c r="F879" s="47">
        <v>313.0</v>
      </c>
      <c r="G879" s="47">
        <v>3.59</v>
      </c>
      <c r="H879" s="47">
        <v>87.2</v>
      </c>
      <c r="I879" s="47" t="s">
        <v>75</v>
      </c>
    </row>
    <row r="880" ht="15.75" customHeight="1">
      <c r="A880" s="47" t="s">
        <v>2005</v>
      </c>
      <c r="B880" s="47" t="s">
        <v>2006</v>
      </c>
      <c r="C880" s="47" t="s">
        <v>7756</v>
      </c>
      <c r="D880" s="47" t="s">
        <v>99</v>
      </c>
      <c r="E880" s="47" t="s">
        <v>98</v>
      </c>
      <c r="F880" s="47">
        <v>2244.0</v>
      </c>
      <c r="G880" s="47">
        <v>13.71</v>
      </c>
      <c r="H880" s="47">
        <v>163.7</v>
      </c>
      <c r="I880" s="47" t="s">
        <v>142</v>
      </c>
    </row>
    <row r="881" ht="15.75" customHeight="1">
      <c r="A881" s="47" t="s">
        <v>2007</v>
      </c>
      <c r="B881" s="47" t="s">
        <v>2008</v>
      </c>
      <c r="C881" s="47" t="s">
        <v>7756</v>
      </c>
      <c r="D881" s="47" t="s">
        <v>99</v>
      </c>
      <c r="E881" s="47" t="s">
        <v>98</v>
      </c>
      <c r="F881" s="47">
        <v>766.0</v>
      </c>
      <c r="G881" s="47">
        <v>7.09</v>
      </c>
      <c r="H881" s="47">
        <v>108.0</v>
      </c>
      <c r="I881" s="47" t="s">
        <v>62</v>
      </c>
    </row>
    <row r="882" ht="15.75" customHeight="1">
      <c r="A882" s="47" t="s">
        <v>2009</v>
      </c>
      <c r="B882" s="47" t="s">
        <v>2010</v>
      </c>
      <c r="C882" s="47" t="s">
        <v>7756</v>
      </c>
      <c r="D882" s="47" t="s">
        <v>236</v>
      </c>
      <c r="E882" s="47" t="s">
        <v>558</v>
      </c>
      <c r="F882" s="47">
        <v>1775.0</v>
      </c>
      <c r="G882" s="47">
        <v>7.41</v>
      </c>
      <c r="H882" s="47">
        <v>239.5</v>
      </c>
      <c r="I882" s="47" t="s">
        <v>62</v>
      </c>
    </row>
    <row r="883" ht="15.75" customHeight="1">
      <c r="A883" s="47" t="s">
        <v>2011</v>
      </c>
      <c r="B883" s="47" t="s">
        <v>2012</v>
      </c>
      <c r="C883" s="47" t="s">
        <v>7756</v>
      </c>
      <c r="D883" s="47" t="s">
        <v>171</v>
      </c>
      <c r="E883" s="47" t="s">
        <v>457</v>
      </c>
      <c r="F883" s="47">
        <v>1445.0</v>
      </c>
      <c r="G883" s="47">
        <v>17.59</v>
      </c>
      <c r="H883" s="47">
        <v>82.1</v>
      </c>
      <c r="I883" s="47" t="s">
        <v>62</v>
      </c>
    </row>
    <row r="884" ht="15.75" customHeight="1">
      <c r="A884" s="47" t="s">
        <v>2013</v>
      </c>
      <c r="B884" s="47" t="s">
        <v>2014</v>
      </c>
      <c r="C884" s="47" t="s">
        <v>7756</v>
      </c>
      <c r="D884" s="47" t="s">
        <v>236</v>
      </c>
      <c r="E884" s="47" t="s">
        <v>558</v>
      </c>
      <c r="F884" s="47">
        <v>9747.0</v>
      </c>
      <c r="G884" s="47">
        <v>13.0</v>
      </c>
      <c r="H884" s="47">
        <v>749.8</v>
      </c>
      <c r="I884" s="47" t="s">
        <v>142</v>
      </c>
    </row>
    <row r="885" ht="15.75" customHeight="1">
      <c r="A885" s="47" t="s">
        <v>2015</v>
      </c>
      <c r="B885" s="47" t="s">
        <v>2016</v>
      </c>
      <c r="C885" s="47" t="s">
        <v>7756</v>
      </c>
      <c r="D885" s="47" t="s">
        <v>99</v>
      </c>
      <c r="E885" s="47" t="s">
        <v>98</v>
      </c>
      <c r="F885" s="47">
        <v>553.0</v>
      </c>
      <c r="G885" s="47">
        <v>5.97</v>
      </c>
      <c r="H885" s="47">
        <v>92.6</v>
      </c>
      <c r="I885" s="47" t="s">
        <v>62</v>
      </c>
    </row>
    <row r="886" ht="15.75" customHeight="1">
      <c r="A886" s="47" t="s">
        <v>2017</v>
      </c>
      <c r="B886" s="47" t="s">
        <v>2018</v>
      </c>
      <c r="C886" s="47" t="s">
        <v>7756</v>
      </c>
      <c r="D886" s="47" t="s">
        <v>122</v>
      </c>
      <c r="E886" s="47" t="s">
        <v>328</v>
      </c>
      <c r="F886" s="47">
        <v>4113.0</v>
      </c>
      <c r="G886" s="47">
        <v>12.42</v>
      </c>
      <c r="H886" s="47">
        <v>331.2</v>
      </c>
      <c r="I886" s="47" t="s">
        <v>142</v>
      </c>
    </row>
    <row r="887" ht="15.75" customHeight="1">
      <c r="A887" s="47" t="s">
        <v>2019</v>
      </c>
      <c r="B887" s="47" t="s">
        <v>2020</v>
      </c>
      <c r="C887" s="47" t="s">
        <v>7756</v>
      </c>
      <c r="D887" s="47" t="s">
        <v>149</v>
      </c>
      <c r="E887" s="47" t="s">
        <v>363</v>
      </c>
      <c r="F887" s="47">
        <v>291.0</v>
      </c>
      <c r="G887" s="47">
        <v>8.72</v>
      </c>
      <c r="H887" s="47">
        <v>33.4</v>
      </c>
      <c r="I887" s="47" t="s">
        <v>75</v>
      </c>
    </row>
    <row r="888" ht="15.75" customHeight="1">
      <c r="A888" s="47" t="s">
        <v>2021</v>
      </c>
      <c r="B888" s="47" t="s">
        <v>2022</v>
      </c>
      <c r="C888" s="47" t="s">
        <v>7756</v>
      </c>
      <c r="D888" s="47" t="s">
        <v>235</v>
      </c>
      <c r="E888" s="47" t="s">
        <v>555</v>
      </c>
      <c r="F888" s="47">
        <v>6931.0</v>
      </c>
      <c r="G888" s="47">
        <v>38.35</v>
      </c>
      <c r="H888" s="47">
        <v>180.7</v>
      </c>
      <c r="I888" s="47" t="s">
        <v>142</v>
      </c>
    </row>
    <row r="889" ht="15.75" customHeight="1">
      <c r="A889" s="47" t="s">
        <v>2023</v>
      </c>
      <c r="B889" s="47" t="s">
        <v>2024</v>
      </c>
      <c r="C889" s="47" t="s">
        <v>7756</v>
      </c>
      <c r="D889" s="47" t="s">
        <v>224</v>
      </c>
      <c r="E889" s="47" t="s">
        <v>390</v>
      </c>
      <c r="F889" s="47">
        <v>1682.0</v>
      </c>
      <c r="G889" s="47">
        <v>6.57</v>
      </c>
      <c r="H889" s="47">
        <v>256.0</v>
      </c>
      <c r="I889" s="47" t="s">
        <v>62</v>
      </c>
    </row>
    <row r="890" ht="15.75" customHeight="1">
      <c r="A890" s="47" t="s">
        <v>2025</v>
      </c>
      <c r="B890" s="47" t="s">
        <v>2026</v>
      </c>
      <c r="C890" s="47" t="s">
        <v>7756</v>
      </c>
      <c r="D890" s="47" t="s">
        <v>120</v>
      </c>
      <c r="E890" s="47" t="s">
        <v>312</v>
      </c>
      <c r="F890" s="47">
        <v>360.0</v>
      </c>
      <c r="G890" s="47">
        <v>7.63</v>
      </c>
      <c r="H890" s="47">
        <v>47.2</v>
      </c>
      <c r="I890" s="47" t="s">
        <v>75</v>
      </c>
    </row>
    <row r="891" ht="15.75" customHeight="1">
      <c r="A891" s="47" t="s">
        <v>2027</v>
      </c>
      <c r="B891" s="47" t="s">
        <v>2028</v>
      </c>
      <c r="C891" s="47" t="s">
        <v>7756</v>
      </c>
      <c r="D891" s="47" t="s">
        <v>236</v>
      </c>
      <c r="E891" s="47" t="s">
        <v>558</v>
      </c>
      <c r="F891" s="47">
        <v>4978.0</v>
      </c>
      <c r="G891" s="47">
        <v>6.42</v>
      </c>
      <c r="H891" s="47">
        <v>775.4</v>
      </c>
      <c r="I891" s="47" t="s">
        <v>142</v>
      </c>
    </row>
    <row r="892" ht="15.75" customHeight="1">
      <c r="A892" s="47" t="s">
        <v>2029</v>
      </c>
      <c r="B892" s="47" t="s">
        <v>2030</v>
      </c>
      <c r="C892" s="47" t="s">
        <v>7756</v>
      </c>
      <c r="D892" s="47" t="s">
        <v>192</v>
      </c>
      <c r="E892" s="47" t="s">
        <v>508</v>
      </c>
      <c r="F892" s="47">
        <v>1769.0</v>
      </c>
      <c r="G892" s="47">
        <v>9.85</v>
      </c>
      <c r="H892" s="47">
        <v>179.6</v>
      </c>
      <c r="I892" s="47" t="s">
        <v>62</v>
      </c>
    </row>
    <row r="893" ht="15.75" customHeight="1">
      <c r="A893" s="47" t="s">
        <v>2031</v>
      </c>
      <c r="B893" s="47" t="s">
        <v>2032</v>
      </c>
      <c r="C893" s="47" t="s">
        <v>7756</v>
      </c>
      <c r="D893" s="47" t="s">
        <v>122</v>
      </c>
      <c r="E893" s="47" t="s">
        <v>328</v>
      </c>
      <c r="F893" s="47">
        <v>339.0</v>
      </c>
      <c r="G893" s="47">
        <v>3.15</v>
      </c>
      <c r="H893" s="47">
        <v>107.6</v>
      </c>
      <c r="I893" s="47" t="s">
        <v>75</v>
      </c>
    </row>
    <row r="894" ht="15.75" customHeight="1">
      <c r="A894" s="47" t="s">
        <v>2033</v>
      </c>
      <c r="B894" s="47" t="s">
        <v>2034</v>
      </c>
      <c r="C894" s="47" t="s">
        <v>7756</v>
      </c>
      <c r="D894" s="47" t="s">
        <v>145</v>
      </c>
      <c r="E894" s="47" t="s">
        <v>255</v>
      </c>
      <c r="F894" s="47">
        <v>369.0</v>
      </c>
      <c r="G894" s="47">
        <v>12.16</v>
      </c>
      <c r="H894" s="47">
        <v>30.3</v>
      </c>
      <c r="I894" s="47" t="s">
        <v>75</v>
      </c>
    </row>
    <row r="895" ht="15.75" customHeight="1">
      <c r="A895" s="47" t="s">
        <v>2035</v>
      </c>
      <c r="B895" s="47" t="s">
        <v>2036</v>
      </c>
      <c r="C895" s="47" t="s">
        <v>7756</v>
      </c>
      <c r="D895" s="47" t="s">
        <v>135</v>
      </c>
      <c r="E895" s="47" t="s">
        <v>349</v>
      </c>
      <c r="F895" s="47">
        <v>436.0</v>
      </c>
      <c r="G895" s="47">
        <v>4.81</v>
      </c>
      <c r="H895" s="47">
        <v>90.6</v>
      </c>
      <c r="I895" s="47" t="s">
        <v>75</v>
      </c>
    </row>
    <row r="896" ht="15.75" customHeight="1">
      <c r="A896" s="47" t="s">
        <v>2037</v>
      </c>
      <c r="B896" s="47" t="s">
        <v>2038</v>
      </c>
      <c r="C896" s="47" t="s">
        <v>7756</v>
      </c>
      <c r="D896" s="47" t="s">
        <v>145</v>
      </c>
      <c r="E896" s="47" t="s">
        <v>255</v>
      </c>
      <c r="F896" s="47">
        <v>522.0</v>
      </c>
      <c r="G896" s="47">
        <v>3.28</v>
      </c>
      <c r="H896" s="47">
        <v>159.1</v>
      </c>
      <c r="I896" s="47" t="s">
        <v>62</v>
      </c>
    </row>
    <row r="897" ht="15.75" customHeight="1">
      <c r="A897" s="47" t="s">
        <v>2039</v>
      </c>
      <c r="B897" s="47" t="s">
        <v>2040</v>
      </c>
      <c r="C897" s="47" t="s">
        <v>7756</v>
      </c>
      <c r="D897" s="47" t="s">
        <v>145</v>
      </c>
      <c r="E897" s="47" t="s">
        <v>255</v>
      </c>
      <c r="F897" s="47">
        <v>3123.0</v>
      </c>
      <c r="G897" s="47">
        <v>6.28</v>
      </c>
      <c r="H897" s="47">
        <v>497.3</v>
      </c>
      <c r="I897" s="47" t="s">
        <v>142</v>
      </c>
    </row>
    <row r="898" ht="15.75" customHeight="1">
      <c r="A898" s="47" t="s">
        <v>2041</v>
      </c>
      <c r="B898" s="47" t="s">
        <v>2042</v>
      </c>
      <c r="C898" s="47" t="s">
        <v>7756</v>
      </c>
      <c r="D898" s="47" t="s">
        <v>224</v>
      </c>
      <c r="E898" s="47" t="s">
        <v>390</v>
      </c>
      <c r="F898" s="47">
        <v>1580.0</v>
      </c>
      <c r="G898" s="47">
        <v>8.69</v>
      </c>
      <c r="H898" s="47">
        <v>181.8</v>
      </c>
      <c r="I898" s="47" t="s">
        <v>62</v>
      </c>
    </row>
    <row r="899" ht="15.75" customHeight="1">
      <c r="A899" s="47" t="s">
        <v>2043</v>
      </c>
      <c r="B899" s="47" t="s">
        <v>2044</v>
      </c>
      <c r="C899" s="47" t="s">
        <v>7756</v>
      </c>
      <c r="D899" s="47" t="s">
        <v>236</v>
      </c>
      <c r="E899" s="47" t="s">
        <v>558</v>
      </c>
      <c r="F899" s="47">
        <v>766.0</v>
      </c>
      <c r="G899" s="47">
        <v>2.71</v>
      </c>
      <c r="H899" s="47">
        <v>282.7</v>
      </c>
      <c r="I899" s="47" t="s">
        <v>62</v>
      </c>
    </row>
    <row r="900" ht="15.75" customHeight="1">
      <c r="A900" s="47" t="s">
        <v>2045</v>
      </c>
      <c r="B900" s="47" t="s">
        <v>2046</v>
      </c>
      <c r="C900" s="47" t="s">
        <v>7756</v>
      </c>
      <c r="D900" s="47" t="s">
        <v>235</v>
      </c>
      <c r="E900" s="47" t="s">
        <v>555</v>
      </c>
      <c r="F900" s="47">
        <v>4189.0</v>
      </c>
      <c r="G900" s="47">
        <v>8.63</v>
      </c>
      <c r="H900" s="47">
        <v>485.4</v>
      </c>
      <c r="I900" s="47" t="s">
        <v>142</v>
      </c>
    </row>
    <row r="901" ht="15.75" customHeight="1">
      <c r="A901" s="47" t="s">
        <v>2047</v>
      </c>
      <c r="B901" s="47" t="s">
        <v>2048</v>
      </c>
      <c r="C901" s="47" t="s">
        <v>7756</v>
      </c>
      <c r="D901" s="47" t="s">
        <v>135</v>
      </c>
      <c r="E901" s="47" t="s">
        <v>349</v>
      </c>
      <c r="F901" s="47">
        <v>689.0</v>
      </c>
      <c r="G901" s="47">
        <v>6.96</v>
      </c>
      <c r="H901" s="47">
        <v>99.0</v>
      </c>
      <c r="I901" s="47" t="s">
        <v>62</v>
      </c>
    </row>
    <row r="902" ht="15.75" customHeight="1">
      <c r="A902" s="47" t="s">
        <v>2049</v>
      </c>
      <c r="B902" s="47" t="s">
        <v>2050</v>
      </c>
      <c r="C902" s="47" t="s">
        <v>7756</v>
      </c>
      <c r="D902" s="47" t="s">
        <v>122</v>
      </c>
      <c r="E902" s="47" t="s">
        <v>328</v>
      </c>
      <c r="F902" s="47">
        <v>771.0</v>
      </c>
      <c r="G902" s="47">
        <v>2.84</v>
      </c>
      <c r="H902" s="47">
        <v>271.5</v>
      </c>
      <c r="I902" s="47" t="s">
        <v>62</v>
      </c>
    </row>
    <row r="903" ht="15.75" customHeight="1">
      <c r="A903" s="47" t="s">
        <v>2051</v>
      </c>
      <c r="B903" s="47" t="s">
        <v>2052</v>
      </c>
      <c r="C903" s="47" t="s">
        <v>7756</v>
      </c>
      <c r="D903" s="47" t="s">
        <v>171</v>
      </c>
      <c r="E903" s="47" t="s">
        <v>457</v>
      </c>
      <c r="F903" s="47">
        <v>1452.0</v>
      </c>
      <c r="G903" s="47">
        <v>11.9</v>
      </c>
      <c r="H903" s="47">
        <v>122.0</v>
      </c>
      <c r="I903" s="47" t="s">
        <v>62</v>
      </c>
    </row>
    <row r="904" ht="15.75" customHeight="1">
      <c r="A904" s="47" t="s">
        <v>2053</v>
      </c>
      <c r="B904" s="47" t="s">
        <v>2054</v>
      </c>
      <c r="C904" s="47" t="s">
        <v>7756</v>
      </c>
      <c r="D904" s="47" t="s">
        <v>171</v>
      </c>
      <c r="E904" s="47" t="s">
        <v>457</v>
      </c>
      <c r="F904" s="47">
        <v>425.0</v>
      </c>
      <c r="G904" s="47">
        <v>3.77</v>
      </c>
      <c r="H904" s="47">
        <v>112.7</v>
      </c>
      <c r="I904" s="47" t="s">
        <v>75</v>
      </c>
    </row>
    <row r="905" ht="15.75" customHeight="1">
      <c r="A905" s="47" t="s">
        <v>2055</v>
      </c>
      <c r="B905" s="47" t="s">
        <v>2056</v>
      </c>
      <c r="C905" s="47" t="s">
        <v>7756</v>
      </c>
      <c r="D905" s="47" t="s">
        <v>146</v>
      </c>
      <c r="E905" s="47" t="s">
        <v>268</v>
      </c>
      <c r="F905" s="47">
        <v>11644.0</v>
      </c>
      <c r="G905" s="47">
        <v>6.67</v>
      </c>
      <c r="H905" s="47">
        <v>1745.7</v>
      </c>
      <c r="I905" s="47" t="s">
        <v>571</v>
      </c>
    </row>
    <row r="906" ht="15.75" customHeight="1">
      <c r="A906" s="47" t="s">
        <v>2057</v>
      </c>
      <c r="B906" s="47" t="s">
        <v>2058</v>
      </c>
      <c r="C906" s="47" t="s">
        <v>7756</v>
      </c>
      <c r="D906" s="47" t="s">
        <v>72</v>
      </c>
      <c r="E906" s="47" t="s">
        <v>71</v>
      </c>
      <c r="F906" s="47">
        <v>1340.0</v>
      </c>
      <c r="G906" s="47">
        <v>4.36</v>
      </c>
      <c r="H906" s="47">
        <v>307.3</v>
      </c>
      <c r="I906" s="47" t="s">
        <v>62</v>
      </c>
    </row>
    <row r="907" ht="15.75" customHeight="1">
      <c r="A907" s="47" t="s">
        <v>2059</v>
      </c>
      <c r="B907" s="47" t="s">
        <v>2060</v>
      </c>
      <c r="C907" s="47" t="s">
        <v>7756</v>
      </c>
      <c r="D907" s="47" t="s">
        <v>122</v>
      </c>
      <c r="E907" s="47" t="s">
        <v>328</v>
      </c>
      <c r="F907" s="47">
        <v>1698.0</v>
      </c>
      <c r="G907" s="47">
        <v>7.91</v>
      </c>
      <c r="H907" s="47">
        <v>214.7</v>
      </c>
      <c r="I907" s="47" t="s">
        <v>62</v>
      </c>
    </row>
    <row r="908" ht="15.75" customHeight="1">
      <c r="A908" s="47" t="s">
        <v>2061</v>
      </c>
      <c r="B908" s="47" t="s">
        <v>2062</v>
      </c>
      <c r="C908" s="47" t="s">
        <v>7756</v>
      </c>
      <c r="D908" s="47" t="s">
        <v>130</v>
      </c>
      <c r="E908" s="47" t="s">
        <v>180</v>
      </c>
      <c r="F908" s="47">
        <v>704.0</v>
      </c>
      <c r="G908" s="47">
        <v>2.03</v>
      </c>
      <c r="H908" s="47">
        <v>346.8</v>
      </c>
      <c r="I908" s="47" t="s">
        <v>62</v>
      </c>
    </row>
    <row r="909" ht="15.75" customHeight="1">
      <c r="A909" s="47" t="s">
        <v>2063</v>
      </c>
      <c r="B909" s="47" t="s">
        <v>2064</v>
      </c>
      <c r="C909" s="47" t="s">
        <v>7756</v>
      </c>
      <c r="D909" s="47" t="s">
        <v>192</v>
      </c>
      <c r="E909" s="47" t="s">
        <v>508</v>
      </c>
      <c r="F909" s="47">
        <v>390.0</v>
      </c>
      <c r="G909" s="47">
        <v>2.88</v>
      </c>
      <c r="H909" s="47">
        <v>135.4</v>
      </c>
      <c r="I909" s="47" t="s">
        <v>75</v>
      </c>
    </row>
    <row r="910" ht="15.75" customHeight="1">
      <c r="A910" s="47" t="s">
        <v>2065</v>
      </c>
      <c r="B910" s="47" t="s">
        <v>2066</v>
      </c>
      <c r="C910" s="47" t="s">
        <v>7756</v>
      </c>
      <c r="D910" s="47" t="s">
        <v>130</v>
      </c>
      <c r="E910" s="47" t="s">
        <v>180</v>
      </c>
      <c r="F910" s="47">
        <v>1095.0</v>
      </c>
      <c r="G910" s="47">
        <v>6.31</v>
      </c>
      <c r="H910" s="47">
        <v>173.5</v>
      </c>
      <c r="I910" s="47" t="s">
        <v>62</v>
      </c>
    </row>
    <row r="911" ht="15.75" customHeight="1">
      <c r="A911" s="47" t="s">
        <v>2067</v>
      </c>
      <c r="B911" s="47" t="s">
        <v>2068</v>
      </c>
      <c r="C911" s="47" t="s">
        <v>7756</v>
      </c>
      <c r="D911" s="47" t="s">
        <v>135</v>
      </c>
      <c r="E911" s="47" t="s">
        <v>349</v>
      </c>
      <c r="F911" s="47">
        <v>2435.0</v>
      </c>
      <c r="G911" s="47">
        <v>16.5</v>
      </c>
      <c r="H911" s="47">
        <v>147.6</v>
      </c>
      <c r="I911" s="47" t="s">
        <v>142</v>
      </c>
    </row>
    <row r="912" ht="15.75" customHeight="1">
      <c r="A912" s="47" t="s">
        <v>2069</v>
      </c>
      <c r="B912" s="47" t="s">
        <v>2070</v>
      </c>
      <c r="C912" s="47" t="s">
        <v>7756</v>
      </c>
      <c r="D912" s="47" t="s">
        <v>99</v>
      </c>
      <c r="E912" s="47" t="s">
        <v>98</v>
      </c>
      <c r="F912" s="47">
        <v>582.0</v>
      </c>
      <c r="G912" s="47">
        <v>6.18</v>
      </c>
      <c r="H912" s="47">
        <v>94.2</v>
      </c>
      <c r="I912" s="47" t="s">
        <v>62</v>
      </c>
    </row>
    <row r="913" ht="15.75" customHeight="1">
      <c r="A913" s="47" t="s">
        <v>2071</v>
      </c>
      <c r="B913" s="47" t="s">
        <v>2072</v>
      </c>
      <c r="C913" s="47" t="s">
        <v>7756</v>
      </c>
      <c r="D913" s="47" t="s">
        <v>99</v>
      </c>
      <c r="E913" s="47" t="s">
        <v>98</v>
      </c>
      <c r="F913" s="47">
        <v>1951.0</v>
      </c>
      <c r="G913" s="47">
        <v>10.21</v>
      </c>
      <c r="H913" s="47">
        <v>191.1</v>
      </c>
      <c r="I913" s="47" t="s">
        <v>62</v>
      </c>
    </row>
    <row r="914" ht="15.75" customHeight="1">
      <c r="A914" s="47" t="s">
        <v>2073</v>
      </c>
      <c r="B914" s="47" t="s">
        <v>2074</v>
      </c>
      <c r="C914" s="47" t="s">
        <v>7756</v>
      </c>
      <c r="D914" s="47" t="s">
        <v>120</v>
      </c>
      <c r="E914" s="47" t="s">
        <v>312</v>
      </c>
      <c r="F914" s="47">
        <v>663.0</v>
      </c>
      <c r="G914" s="47">
        <v>6.18</v>
      </c>
      <c r="H914" s="47">
        <v>107.3</v>
      </c>
      <c r="I914" s="47" t="s">
        <v>62</v>
      </c>
    </row>
    <row r="915" ht="15.75" customHeight="1">
      <c r="A915" s="47" t="s">
        <v>2075</v>
      </c>
      <c r="B915" s="47" t="s">
        <v>2076</v>
      </c>
      <c r="C915" s="47" t="s">
        <v>7756</v>
      </c>
      <c r="D915" s="47" t="s">
        <v>120</v>
      </c>
      <c r="E915" s="47" t="s">
        <v>312</v>
      </c>
      <c r="F915" s="47">
        <v>31134.0</v>
      </c>
      <c r="G915" s="47">
        <v>18.19</v>
      </c>
      <c r="H915" s="47">
        <v>1711.6</v>
      </c>
      <c r="I915" s="47" t="s">
        <v>571</v>
      </c>
    </row>
    <row r="916" ht="15.75" customHeight="1">
      <c r="A916" s="47" t="s">
        <v>2077</v>
      </c>
      <c r="B916" s="47" t="s">
        <v>2078</v>
      </c>
      <c r="C916" s="47" t="s">
        <v>7756</v>
      </c>
      <c r="D916" s="47" t="s">
        <v>224</v>
      </c>
      <c r="E916" s="47" t="s">
        <v>390</v>
      </c>
      <c r="F916" s="47">
        <v>1737.0</v>
      </c>
      <c r="G916" s="47">
        <v>7.44</v>
      </c>
      <c r="H916" s="47">
        <v>233.5</v>
      </c>
      <c r="I916" s="47" t="s">
        <v>62</v>
      </c>
    </row>
    <row r="917" ht="15.75" customHeight="1">
      <c r="A917" s="47" t="s">
        <v>2079</v>
      </c>
      <c r="B917" s="47" t="s">
        <v>2080</v>
      </c>
      <c r="C917" s="47" t="s">
        <v>7756</v>
      </c>
      <c r="D917" s="47" t="s">
        <v>224</v>
      </c>
      <c r="E917" s="47" t="s">
        <v>390</v>
      </c>
      <c r="F917" s="47">
        <v>2518.0</v>
      </c>
      <c r="G917" s="47">
        <v>6.45</v>
      </c>
      <c r="H917" s="47">
        <v>390.4</v>
      </c>
      <c r="I917" s="47" t="s">
        <v>142</v>
      </c>
    </row>
    <row r="918" ht="15.75" customHeight="1">
      <c r="A918" s="47" t="s">
        <v>2081</v>
      </c>
      <c r="B918" s="47" t="s">
        <v>2082</v>
      </c>
      <c r="C918" s="47" t="s">
        <v>7756</v>
      </c>
      <c r="D918" s="47" t="s">
        <v>120</v>
      </c>
      <c r="E918" s="47" t="s">
        <v>312</v>
      </c>
      <c r="F918" s="47">
        <v>410.0</v>
      </c>
      <c r="G918" s="47">
        <v>6.46</v>
      </c>
      <c r="H918" s="47">
        <v>63.5</v>
      </c>
      <c r="I918" s="47" t="s">
        <v>75</v>
      </c>
    </row>
    <row r="919" ht="15.75" customHeight="1">
      <c r="A919" s="47" t="s">
        <v>2083</v>
      </c>
      <c r="B919" s="47" t="s">
        <v>2084</v>
      </c>
      <c r="C919" s="47" t="s">
        <v>7756</v>
      </c>
      <c r="D919" s="47" t="s">
        <v>130</v>
      </c>
      <c r="E919" s="47" t="s">
        <v>180</v>
      </c>
      <c r="F919" s="47">
        <v>1741.0</v>
      </c>
      <c r="G919" s="47">
        <v>9.28</v>
      </c>
      <c r="H919" s="47">
        <v>187.6</v>
      </c>
      <c r="I919" s="47" t="s">
        <v>62</v>
      </c>
    </row>
    <row r="920" ht="15.75" customHeight="1">
      <c r="A920" s="47" t="s">
        <v>2085</v>
      </c>
      <c r="B920" s="47" t="s">
        <v>2086</v>
      </c>
      <c r="C920" s="47" t="s">
        <v>7756</v>
      </c>
      <c r="D920" s="47" t="s">
        <v>202</v>
      </c>
      <c r="E920" s="47" t="s">
        <v>499</v>
      </c>
      <c r="F920" s="47">
        <v>135.0</v>
      </c>
      <c r="G920" s="47">
        <v>5.07</v>
      </c>
      <c r="H920" s="47">
        <v>26.6</v>
      </c>
      <c r="I920" s="47" t="s">
        <v>75</v>
      </c>
    </row>
    <row r="921" ht="15.75" customHeight="1">
      <c r="A921" s="47" t="s">
        <v>2087</v>
      </c>
      <c r="B921" s="47" t="s">
        <v>2088</v>
      </c>
      <c r="C921" s="47" t="s">
        <v>7756</v>
      </c>
      <c r="D921" s="47" t="s">
        <v>236</v>
      </c>
      <c r="E921" s="47" t="s">
        <v>558</v>
      </c>
      <c r="F921" s="47">
        <v>2728.0</v>
      </c>
      <c r="G921" s="47">
        <v>1.87</v>
      </c>
      <c r="H921" s="47">
        <v>1458.8</v>
      </c>
      <c r="I921" s="47" t="s">
        <v>142</v>
      </c>
    </row>
    <row r="922" ht="15.75" customHeight="1">
      <c r="A922" s="47" t="s">
        <v>2089</v>
      </c>
      <c r="B922" s="47" t="s">
        <v>2090</v>
      </c>
      <c r="C922" s="47" t="s">
        <v>7756</v>
      </c>
      <c r="D922" s="47" t="s">
        <v>224</v>
      </c>
      <c r="E922" s="47" t="s">
        <v>390</v>
      </c>
      <c r="F922" s="47">
        <v>2257.0</v>
      </c>
      <c r="G922" s="47">
        <v>8.13</v>
      </c>
      <c r="H922" s="47">
        <v>277.6</v>
      </c>
      <c r="I922" s="47" t="s">
        <v>142</v>
      </c>
    </row>
    <row r="923" ht="15.75" customHeight="1">
      <c r="A923" s="47" t="s">
        <v>2091</v>
      </c>
      <c r="B923" s="47" t="s">
        <v>2092</v>
      </c>
      <c r="C923" s="47" t="s">
        <v>7756</v>
      </c>
      <c r="D923" s="47" t="s">
        <v>171</v>
      </c>
      <c r="E923" s="47" t="s">
        <v>457</v>
      </c>
      <c r="F923" s="47">
        <v>1169.0</v>
      </c>
      <c r="G923" s="47">
        <v>17.61</v>
      </c>
      <c r="H923" s="47">
        <v>66.4</v>
      </c>
      <c r="I923" s="47" t="s">
        <v>62</v>
      </c>
    </row>
    <row r="924" ht="15.75" customHeight="1">
      <c r="A924" s="47" t="s">
        <v>2093</v>
      </c>
      <c r="B924" s="47" t="s">
        <v>2094</v>
      </c>
      <c r="C924" s="47" t="s">
        <v>7756</v>
      </c>
      <c r="D924" s="47" t="s">
        <v>235</v>
      </c>
      <c r="E924" s="47" t="s">
        <v>555</v>
      </c>
      <c r="F924" s="47">
        <v>7839.0</v>
      </c>
      <c r="G924" s="47">
        <v>5.48</v>
      </c>
      <c r="H924" s="47">
        <v>1430.5</v>
      </c>
      <c r="I924" s="47" t="s">
        <v>142</v>
      </c>
    </row>
    <row r="925" ht="15.75" customHeight="1">
      <c r="A925" s="47" t="s">
        <v>2095</v>
      </c>
      <c r="B925" s="47" t="s">
        <v>2096</v>
      </c>
      <c r="C925" s="47" t="s">
        <v>7756</v>
      </c>
      <c r="D925" s="47" t="s">
        <v>135</v>
      </c>
      <c r="E925" s="47" t="s">
        <v>349</v>
      </c>
      <c r="F925" s="47">
        <v>983.0</v>
      </c>
      <c r="G925" s="47">
        <v>8.16</v>
      </c>
      <c r="H925" s="47">
        <v>120.5</v>
      </c>
      <c r="I925" s="47" t="s">
        <v>62</v>
      </c>
    </row>
    <row r="926" ht="15.75" customHeight="1">
      <c r="A926" s="47" t="s">
        <v>2097</v>
      </c>
      <c r="B926" s="47" t="s">
        <v>2098</v>
      </c>
      <c r="C926" s="47" t="s">
        <v>7756</v>
      </c>
      <c r="D926" s="47" t="s">
        <v>236</v>
      </c>
      <c r="E926" s="47" t="s">
        <v>558</v>
      </c>
      <c r="F926" s="47">
        <v>1105.0</v>
      </c>
      <c r="G926" s="47">
        <v>2.34</v>
      </c>
      <c r="H926" s="47">
        <v>472.2</v>
      </c>
      <c r="I926" s="47" t="s">
        <v>62</v>
      </c>
    </row>
    <row r="927" ht="15.75" customHeight="1">
      <c r="A927" s="47" t="s">
        <v>2099</v>
      </c>
      <c r="B927" s="47" t="s">
        <v>2100</v>
      </c>
      <c r="C927" s="47" t="s">
        <v>7756</v>
      </c>
      <c r="D927" s="47" t="s">
        <v>149</v>
      </c>
      <c r="E927" s="47" t="s">
        <v>363</v>
      </c>
      <c r="F927" s="47">
        <v>1209.0</v>
      </c>
      <c r="G927" s="47">
        <v>26.41</v>
      </c>
      <c r="H927" s="47">
        <v>45.8</v>
      </c>
      <c r="I927" s="47" t="s">
        <v>62</v>
      </c>
    </row>
    <row r="928" ht="15.75" customHeight="1">
      <c r="A928" s="47" t="s">
        <v>2101</v>
      </c>
      <c r="B928" s="47" t="s">
        <v>2102</v>
      </c>
      <c r="C928" s="47" t="s">
        <v>7756</v>
      </c>
      <c r="D928" s="47" t="s">
        <v>99</v>
      </c>
      <c r="E928" s="47" t="s">
        <v>98</v>
      </c>
      <c r="F928" s="47">
        <v>2198.0</v>
      </c>
      <c r="G928" s="47">
        <v>13.09</v>
      </c>
      <c r="H928" s="47">
        <v>167.9</v>
      </c>
      <c r="I928" s="47" t="s">
        <v>142</v>
      </c>
    </row>
    <row r="929" ht="15.75" customHeight="1">
      <c r="A929" s="47" t="s">
        <v>2103</v>
      </c>
      <c r="B929" s="47" t="s">
        <v>2104</v>
      </c>
      <c r="C929" s="47" t="s">
        <v>7756</v>
      </c>
      <c r="D929" s="47" t="s">
        <v>135</v>
      </c>
      <c r="E929" s="47" t="s">
        <v>349</v>
      </c>
      <c r="F929" s="47">
        <v>6764.0</v>
      </c>
      <c r="G929" s="47">
        <v>27.22</v>
      </c>
      <c r="H929" s="47">
        <v>248.5</v>
      </c>
      <c r="I929" s="47" t="s">
        <v>142</v>
      </c>
    </row>
    <row r="930" ht="15.75" customHeight="1">
      <c r="A930" s="47" t="s">
        <v>2105</v>
      </c>
      <c r="B930" s="47" t="s">
        <v>2106</v>
      </c>
      <c r="C930" s="47" t="s">
        <v>7756</v>
      </c>
      <c r="D930" s="47" t="s">
        <v>135</v>
      </c>
      <c r="E930" s="47" t="s">
        <v>349</v>
      </c>
      <c r="F930" s="47">
        <v>781.0</v>
      </c>
      <c r="G930" s="47">
        <v>13.41</v>
      </c>
      <c r="H930" s="47">
        <v>58.2</v>
      </c>
      <c r="I930" s="47" t="s">
        <v>62</v>
      </c>
    </row>
    <row r="931" ht="15.75" customHeight="1">
      <c r="A931" s="47" t="s">
        <v>2107</v>
      </c>
      <c r="B931" s="47" t="s">
        <v>2108</v>
      </c>
      <c r="C931" s="47" t="s">
        <v>7756</v>
      </c>
      <c r="D931" s="47" t="s">
        <v>135</v>
      </c>
      <c r="E931" s="47" t="s">
        <v>349</v>
      </c>
      <c r="F931" s="47">
        <v>689.0</v>
      </c>
      <c r="G931" s="47">
        <v>5.4</v>
      </c>
      <c r="H931" s="47">
        <v>127.6</v>
      </c>
      <c r="I931" s="47" t="s">
        <v>62</v>
      </c>
    </row>
    <row r="932" ht="15.75" customHeight="1">
      <c r="A932" s="47" t="s">
        <v>2109</v>
      </c>
      <c r="B932" s="47" t="s">
        <v>2110</v>
      </c>
      <c r="C932" s="47" t="s">
        <v>7756</v>
      </c>
      <c r="D932" s="47" t="s">
        <v>135</v>
      </c>
      <c r="E932" s="47" t="s">
        <v>349</v>
      </c>
      <c r="F932" s="47">
        <v>13833.0</v>
      </c>
      <c r="G932" s="47">
        <v>12.95</v>
      </c>
      <c r="H932" s="47">
        <v>1068.2</v>
      </c>
      <c r="I932" s="47" t="s">
        <v>571</v>
      </c>
    </row>
    <row r="933" ht="15.75" customHeight="1">
      <c r="A933" s="47" t="s">
        <v>2111</v>
      </c>
      <c r="B933" s="47" t="s">
        <v>2112</v>
      </c>
      <c r="C933" s="47" t="s">
        <v>7756</v>
      </c>
      <c r="D933" s="47" t="s">
        <v>135</v>
      </c>
      <c r="E933" s="47" t="s">
        <v>349</v>
      </c>
      <c r="F933" s="47">
        <v>467.0</v>
      </c>
      <c r="G933" s="47">
        <v>2.5</v>
      </c>
      <c r="H933" s="47">
        <v>186.8</v>
      </c>
      <c r="I933" s="47" t="s">
        <v>75</v>
      </c>
    </row>
    <row r="934" ht="15.75" customHeight="1">
      <c r="A934" s="47" t="s">
        <v>2113</v>
      </c>
      <c r="B934" s="47" t="s">
        <v>2114</v>
      </c>
      <c r="C934" s="47" t="s">
        <v>7756</v>
      </c>
      <c r="D934" s="47" t="s">
        <v>120</v>
      </c>
      <c r="E934" s="47" t="s">
        <v>312</v>
      </c>
      <c r="F934" s="47">
        <v>579.0</v>
      </c>
      <c r="G934" s="47">
        <v>5.61</v>
      </c>
      <c r="H934" s="47">
        <v>103.2</v>
      </c>
      <c r="I934" s="47" t="s">
        <v>62</v>
      </c>
    </row>
    <row r="935" ht="15.75" customHeight="1">
      <c r="A935" s="47" t="s">
        <v>2115</v>
      </c>
      <c r="B935" s="47" t="s">
        <v>2116</v>
      </c>
      <c r="C935" s="47" t="s">
        <v>7756</v>
      </c>
      <c r="D935" s="47" t="s">
        <v>145</v>
      </c>
      <c r="E935" s="47" t="s">
        <v>255</v>
      </c>
      <c r="F935" s="47">
        <v>646.0</v>
      </c>
      <c r="G935" s="47">
        <v>3.88</v>
      </c>
      <c r="H935" s="47">
        <v>166.5</v>
      </c>
      <c r="I935" s="47" t="s">
        <v>62</v>
      </c>
    </row>
    <row r="936" ht="15.75" customHeight="1">
      <c r="A936" s="47" t="s">
        <v>2117</v>
      </c>
      <c r="B936" s="47" t="s">
        <v>2118</v>
      </c>
      <c r="C936" s="47" t="s">
        <v>7756</v>
      </c>
      <c r="D936" s="47" t="s">
        <v>236</v>
      </c>
      <c r="E936" s="47" t="s">
        <v>558</v>
      </c>
      <c r="F936" s="47">
        <v>8754.0</v>
      </c>
      <c r="G936" s="47">
        <v>10.69</v>
      </c>
      <c r="H936" s="47">
        <v>818.9</v>
      </c>
      <c r="I936" s="47" t="s">
        <v>142</v>
      </c>
    </row>
    <row r="937" ht="15.75" customHeight="1">
      <c r="A937" s="47" t="s">
        <v>2119</v>
      </c>
      <c r="B937" s="47" t="s">
        <v>2120</v>
      </c>
      <c r="C937" s="47" t="s">
        <v>7756</v>
      </c>
      <c r="D937" s="47" t="s">
        <v>122</v>
      </c>
      <c r="E937" s="47" t="s">
        <v>328</v>
      </c>
      <c r="F937" s="47">
        <v>917.0</v>
      </c>
      <c r="G937" s="47">
        <v>4.41</v>
      </c>
      <c r="H937" s="47">
        <v>207.9</v>
      </c>
      <c r="I937" s="47" t="s">
        <v>62</v>
      </c>
    </row>
    <row r="938" ht="15.75" customHeight="1">
      <c r="A938" s="47" t="s">
        <v>2121</v>
      </c>
      <c r="B938" s="47" t="s">
        <v>2122</v>
      </c>
      <c r="C938" s="47" t="s">
        <v>7756</v>
      </c>
      <c r="D938" s="47" t="s">
        <v>224</v>
      </c>
      <c r="E938" s="47" t="s">
        <v>390</v>
      </c>
      <c r="F938" s="47">
        <v>766.0</v>
      </c>
      <c r="G938" s="47">
        <v>3.46</v>
      </c>
      <c r="H938" s="47">
        <v>221.4</v>
      </c>
      <c r="I938" s="47" t="s">
        <v>62</v>
      </c>
    </row>
    <row r="939" ht="15.75" customHeight="1">
      <c r="A939" s="47" t="s">
        <v>2123</v>
      </c>
      <c r="B939" s="47" t="s">
        <v>2124</v>
      </c>
      <c r="C939" s="47" t="s">
        <v>7756</v>
      </c>
      <c r="D939" s="47" t="s">
        <v>236</v>
      </c>
      <c r="E939" s="47" t="s">
        <v>558</v>
      </c>
      <c r="F939" s="47">
        <v>3078.0</v>
      </c>
      <c r="G939" s="47">
        <v>4.19</v>
      </c>
      <c r="H939" s="47">
        <v>734.6</v>
      </c>
      <c r="I939" s="47" t="s">
        <v>142</v>
      </c>
    </row>
    <row r="940" ht="15.75" customHeight="1">
      <c r="A940" s="47" t="s">
        <v>2125</v>
      </c>
      <c r="B940" s="47" t="s">
        <v>2126</v>
      </c>
      <c r="C940" s="47" t="s">
        <v>7756</v>
      </c>
      <c r="D940" s="47" t="s">
        <v>149</v>
      </c>
      <c r="E940" s="47" t="s">
        <v>363</v>
      </c>
      <c r="F940" s="47">
        <v>43.0</v>
      </c>
      <c r="G940" s="47">
        <v>2.51</v>
      </c>
      <c r="H940" s="47">
        <v>17.1</v>
      </c>
      <c r="I940" s="47" t="s">
        <v>75</v>
      </c>
    </row>
    <row r="941" ht="15.75" customHeight="1">
      <c r="A941" s="47" t="s">
        <v>2127</v>
      </c>
      <c r="B941" s="47" t="s">
        <v>2128</v>
      </c>
      <c r="C941" s="47" t="s">
        <v>7756</v>
      </c>
      <c r="D941" s="47" t="s">
        <v>149</v>
      </c>
      <c r="E941" s="47" t="s">
        <v>363</v>
      </c>
      <c r="F941" s="47">
        <v>357.0</v>
      </c>
      <c r="G941" s="47">
        <v>7.5</v>
      </c>
      <c r="H941" s="47">
        <v>47.6</v>
      </c>
      <c r="I941" s="47" t="s">
        <v>75</v>
      </c>
    </row>
    <row r="942" ht="15.75" customHeight="1">
      <c r="A942" s="47" t="s">
        <v>2129</v>
      </c>
      <c r="B942" s="47" t="s">
        <v>2130</v>
      </c>
      <c r="C942" s="47" t="s">
        <v>7756</v>
      </c>
      <c r="D942" s="47" t="s">
        <v>135</v>
      </c>
      <c r="E942" s="47" t="s">
        <v>349</v>
      </c>
      <c r="F942" s="47">
        <v>1088.0</v>
      </c>
      <c r="G942" s="47">
        <v>9.95</v>
      </c>
      <c r="H942" s="47">
        <v>109.3</v>
      </c>
      <c r="I942" s="47" t="s">
        <v>62</v>
      </c>
    </row>
    <row r="943" ht="15.75" customHeight="1">
      <c r="A943" s="47" t="s">
        <v>2131</v>
      </c>
      <c r="B943" s="47" t="s">
        <v>2132</v>
      </c>
      <c r="C943" s="47" t="s">
        <v>7756</v>
      </c>
      <c r="D943" s="47" t="s">
        <v>224</v>
      </c>
      <c r="E943" s="47" t="s">
        <v>390</v>
      </c>
      <c r="F943" s="47">
        <v>563.0</v>
      </c>
      <c r="G943" s="47">
        <v>2.84</v>
      </c>
      <c r="H943" s="47">
        <v>198.2</v>
      </c>
      <c r="I943" s="47" t="s">
        <v>62</v>
      </c>
    </row>
    <row r="944" ht="15.75" customHeight="1">
      <c r="A944" s="47" t="s">
        <v>2133</v>
      </c>
      <c r="B944" s="47" t="s">
        <v>2134</v>
      </c>
      <c r="C944" s="47" t="s">
        <v>7756</v>
      </c>
      <c r="D944" s="47" t="s">
        <v>145</v>
      </c>
      <c r="E944" s="47" t="s">
        <v>255</v>
      </c>
      <c r="F944" s="47">
        <v>1541.0</v>
      </c>
      <c r="G944" s="47">
        <v>18.82</v>
      </c>
      <c r="H944" s="47">
        <v>81.9</v>
      </c>
      <c r="I944" s="47" t="s">
        <v>62</v>
      </c>
    </row>
    <row r="945" ht="15.75" customHeight="1">
      <c r="A945" s="47" t="s">
        <v>2135</v>
      </c>
      <c r="B945" s="47" t="s">
        <v>2136</v>
      </c>
      <c r="C945" s="47" t="s">
        <v>7756</v>
      </c>
      <c r="D945" s="47" t="s">
        <v>236</v>
      </c>
      <c r="E945" s="47" t="s">
        <v>558</v>
      </c>
      <c r="F945" s="47">
        <v>12731.0</v>
      </c>
      <c r="G945" s="47">
        <v>16.06</v>
      </c>
      <c r="H945" s="47">
        <v>792.7</v>
      </c>
      <c r="I945" s="47" t="s">
        <v>571</v>
      </c>
    </row>
    <row r="946" ht="15.75" customHeight="1">
      <c r="A946" s="47" t="s">
        <v>2137</v>
      </c>
      <c r="B946" s="47" t="s">
        <v>2138</v>
      </c>
      <c r="C946" s="47" t="s">
        <v>7756</v>
      </c>
      <c r="D946" s="47" t="s">
        <v>146</v>
      </c>
      <c r="E946" s="47" t="s">
        <v>268</v>
      </c>
      <c r="F946" s="47">
        <v>9253.0</v>
      </c>
      <c r="G946" s="47">
        <v>18.36</v>
      </c>
      <c r="H946" s="47">
        <v>504.0</v>
      </c>
      <c r="I946" s="47" t="s">
        <v>142</v>
      </c>
    </row>
    <row r="947" ht="15.75" customHeight="1">
      <c r="A947" s="47" t="s">
        <v>2139</v>
      </c>
      <c r="B947" s="47" t="s">
        <v>2140</v>
      </c>
      <c r="C947" s="47" t="s">
        <v>7756</v>
      </c>
      <c r="D947" s="47" t="s">
        <v>235</v>
      </c>
      <c r="E947" s="47" t="s">
        <v>555</v>
      </c>
      <c r="F947" s="47">
        <v>20787.0</v>
      </c>
      <c r="G947" s="47">
        <v>9.12</v>
      </c>
      <c r="H947" s="47">
        <v>2279.3</v>
      </c>
      <c r="I947" s="47" t="s">
        <v>571</v>
      </c>
    </row>
    <row r="948" ht="15.75" customHeight="1">
      <c r="A948" s="47" t="s">
        <v>2141</v>
      </c>
      <c r="B948" s="47" t="s">
        <v>2142</v>
      </c>
      <c r="C948" s="47" t="s">
        <v>7756</v>
      </c>
      <c r="D948" s="47" t="s">
        <v>130</v>
      </c>
      <c r="E948" s="47" t="s">
        <v>180</v>
      </c>
      <c r="F948" s="47">
        <v>2855.0</v>
      </c>
      <c r="G948" s="47">
        <v>1.66</v>
      </c>
      <c r="H948" s="47">
        <v>1719.9</v>
      </c>
      <c r="I948" s="47" t="s">
        <v>142</v>
      </c>
    </row>
    <row r="949" ht="15.75" customHeight="1">
      <c r="A949" s="47" t="s">
        <v>2143</v>
      </c>
      <c r="B949" s="47" t="s">
        <v>2144</v>
      </c>
      <c r="C949" s="47" t="s">
        <v>7756</v>
      </c>
      <c r="D949" s="47" t="s">
        <v>145</v>
      </c>
      <c r="E949" s="47" t="s">
        <v>255</v>
      </c>
      <c r="F949" s="47">
        <v>2153.0</v>
      </c>
      <c r="G949" s="47">
        <v>20.99</v>
      </c>
      <c r="H949" s="47">
        <v>102.6</v>
      </c>
      <c r="I949" s="47" t="s">
        <v>142</v>
      </c>
    </row>
    <row r="950" ht="15.75" customHeight="1">
      <c r="A950" s="47" t="s">
        <v>2145</v>
      </c>
      <c r="B950" s="47" t="s">
        <v>2146</v>
      </c>
      <c r="C950" s="47" t="s">
        <v>7756</v>
      </c>
      <c r="D950" s="47" t="s">
        <v>224</v>
      </c>
      <c r="E950" s="47" t="s">
        <v>390</v>
      </c>
      <c r="F950" s="47">
        <v>3436.0</v>
      </c>
      <c r="G950" s="47">
        <v>16.34</v>
      </c>
      <c r="H950" s="47">
        <v>210.3</v>
      </c>
      <c r="I950" s="47" t="s">
        <v>142</v>
      </c>
    </row>
    <row r="951" ht="15.75" customHeight="1">
      <c r="A951" s="47" t="s">
        <v>2147</v>
      </c>
      <c r="B951" s="47" t="s">
        <v>2148</v>
      </c>
      <c r="C951" s="47" t="s">
        <v>7756</v>
      </c>
      <c r="D951" s="47" t="s">
        <v>235</v>
      </c>
      <c r="E951" s="47" t="s">
        <v>555</v>
      </c>
      <c r="F951" s="47">
        <v>791.0</v>
      </c>
      <c r="G951" s="47">
        <v>7.75</v>
      </c>
      <c r="H951" s="47">
        <v>102.1</v>
      </c>
      <c r="I951" s="47" t="s">
        <v>62</v>
      </c>
    </row>
    <row r="952" ht="15.75" customHeight="1">
      <c r="A952" s="47" t="s">
        <v>2149</v>
      </c>
      <c r="B952" s="47" t="s">
        <v>2150</v>
      </c>
      <c r="C952" s="47" t="s">
        <v>7756</v>
      </c>
      <c r="D952" s="47" t="s">
        <v>146</v>
      </c>
      <c r="E952" s="47" t="s">
        <v>268</v>
      </c>
      <c r="F952" s="47">
        <v>4532.0</v>
      </c>
      <c r="G952" s="47">
        <v>9.94</v>
      </c>
      <c r="H952" s="47">
        <v>455.9</v>
      </c>
      <c r="I952" s="47" t="s">
        <v>142</v>
      </c>
    </row>
    <row r="953" ht="15.75" customHeight="1">
      <c r="A953" s="47" t="s">
        <v>2151</v>
      </c>
      <c r="B953" s="47" t="s">
        <v>2152</v>
      </c>
      <c r="C953" s="47" t="s">
        <v>7756</v>
      </c>
      <c r="D953" s="47" t="s">
        <v>120</v>
      </c>
      <c r="E953" s="47" t="s">
        <v>312</v>
      </c>
      <c r="F953" s="47">
        <v>716.0</v>
      </c>
      <c r="G953" s="47">
        <v>19.02</v>
      </c>
      <c r="H953" s="47">
        <v>37.6</v>
      </c>
      <c r="I953" s="47" t="s">
        <v>62</v>
      </c>
    </row>
    <row r="954" ht="15.75" customHeight="1">
      <c r="A954" s="47" t="s">
        <v>2153</v>
      </c>
      <c r="B954" s="47" t="s">
        <v>2154</v>
      </c>
      <c r="C954" s="47" t="s">
        <v>7756</v>
      </c>
      <c r="D954" s="47" t="s">
        <v>171</v>
      </c>
      <c r="E954" s="47" t="s">
        <v>457</v>
      </c>
      <c r="F954" s="47">
        <v>659.0</v>
      </c>
      <c r="G954" s="47">
        <v>7.85</v>
      </c>
      <c r="H954" s="47">
        <v>83.9</v>
      </c>
      <c r="I954" s="47" t="s">
        <v>62</v>
      </c>
    </row>
    <row r="955" ht="15.75" customHeight="1">
      <c r="A955" s="47" t="s">
        <v>2155</v>
      </c>
      <c r="B955" s="47" t="s">
        <v>2156</v>
      </c>
      <c r="C955" s="47" t="s">
        <v>7756</v>
      </c>
      <c r="D955" s="47" t="s">
        <v>236</v>
      </c>
      <c r="E955" s="47" t="s">
        <v>558</v>
      </c>
      <c r="F955" s="47">
        <v>20566.0</v>
      </c>
      <c r="G955" s="47">
        <v>4.44</v>
      </c>
      <c r="H955" s="47">
        <v>4632.0</v>
      </c>
      <c r="I955" s="47" t="s">
        <v>571</v>
      </c>
    </row>
    <row r="956" ht="15.75" customHeight="1">
      <c r="A956" s="47" t="s">
        <v>2157</v>
      </c>
      <c r="B956" s="47" t="s">
        <v>2158</v>
      </c>
      <c r="C956" s="47" t="s">
        <v>7756</v>
      </c>
      <c r="D956" s="47" t="s">
        <v>192</v>
      </c>
      <c r="E956" s="47" t="s">
        <v>508</v>
      </c>
      <c r="F956" s="47">
        <v>238.0</v>
      </c>
      <c r="G956" s="47">
        <v>3.97</v>
      </c>
      <c r="H956" s="47">
        <v>59.9</v>
      </c>
      <c r="I956" s="47" t="s">
        <v>75</v>
      </c>
    </row>
    <row r="957" ht="15.75" customHeight="1">
      <c r="A957" s="47" t="s">
        <v>2159</v>
      </c>
      <c r="B957" s="47" t="s">
        <v>2160</v>
      </c>
      <c r="C957" s="47" t="s">
        <v>7756</v>
      </c>
      <c r="D957" s="47" t="s">
        <v>130</v>
      </c>
      <c r="E957" s="47" t="s">
        <v>180</v>
      </c>
      <c r="F957" s="47">
        <v>6467.0</v>
      </c>
      <c r="G957" s="47">
        <v>7.0</v>
      </c>
      <c r="H957" s="47">
        <v>923.9</v>
      </c>
      <c r="I957" s="47" t="s">
        <v>142</v>
      </c>
    </row>
    <row r="958" ht="15.75" customHeight="1">
      <c r="A958" s="47" t="s">
        <v>2161</v>
      </c>
      <c r="B958" s="47" t="s">
        <v>2162</v>
      </c>
      <c r="C958" s="47" t="s">
        <v>7756</v>
      </c>
      <c r="D958" s="47" t="s">
        <v>146</v>
      </c>
      <c r="E958" s="47" t="s">
        <v>268</v>
      </c>
      <c r="F958" s="47">
        <v>1333.0</v>
      </c>
      <c r="G958" s="47">
        <v>6.06</v>
      </c>
      <c r="H958" s="47">
        <v>220.0</v>
      </c>
      <c r="I958" s="47" t="s">
        <v>62</v>
      </c>
    </row>
    <row r="959" ht="15.75" customHeight="1">
      <c r="A959" s="47" t="s">
        <v>2163</v>
      </c>
      <c r="B959" s="47" t="s">
        <v>2164</v>
      </c>
      <c r="C959" s="47" t="s">
        <v>7756</v>
      </c>
      <c r="D959" s="47" t="s">
        <v>120</v>
      </c>
      <c r="E959" s="47" t="s">
        <v>312</v>
      </c>
      <c r="F959" s="47">
        <v>177.0</v>
      </c>
      <c r="G959" s="47">
        <v>2.9</v>
      </c>
      <c r="H959" s="47">
        <v>61.0</v>
      </c>
      <c r="I959" s="47" t="s">
        <v>75</v>
      </c>
    </row>
    <row r="960" ht="15.75" customHeight="1">
      <c r="A960" s="47" t="s">
        <v>2165</v>
      </c>
      <c r="B960" s="47" t="s">
        <v>2166</v>
      </c>
      <c r="C960" s="47" t="s">
        <v>7756</v>
      </c>
      <c r="D960" s="47" t="s">
        <v>224</v>
      </c>
      <c r="E960" s="47" t="s">
        <v>390</v>
      </c>
      <c r="F960" s="47">
        <v>4839.0</v>
      </c>
      <c r="G960" s="47">
        <v>13.62</v>
      </c>
      <c r="H960" s="47">
        <v>355.3</v>
      </c>
      <c r="I960" s="47" t="s">
        <v>142</v>
      </c>
    </row>
    <row r="961" ht="15.75" customHeight="1">
      <c r="A961" s="47" t="s">
        <v>2167</v>
      </c>
      <c r="B961" s="47" t="s">
        <v>2168</v>
      </c>
      <c r="C961" s="47" t="s">
        <v>7756</v>
      </c>
      <c r="D961" s="47" t="s">
        <v>149</v>
      </c>
      <c r="E961" s="47" t="s">
        <v>363</v>
      </c>
      <c r="F961" s="47">
        <v>205.0</v>
      </c>
      <c r="G961" s="47">
        <v>5.02</v>
      </c>
      <c r="H961" s="47">
        <v>40.8</v>
      </c>
      <c r="I961" s="47" t="s">
        <v>75</v>
      </c>
    </row>
    <row r="962" ht="15.75" customHeight="1">
      <c r="A962" s="47" t="s">
        <v>2169</v>
      </c>
      <c r="B962" s="47" t="s">
        <v>2170</v>
      </c>
      <c r="C962" s="47" t="s">
        <v>7756</v>
      </c>
      <c r="D962" s="47" t="s">
        <v>130</v>
      </c>
      <c r="E962" s="47" t="s">
        <v>180</v>
      </c>
      <c r="F962" s="47">
        <v>5338.0</v>
      </c>
      <c r="G962" s="47">
        <v>9.29</v>
      </c>
      <c r="H962" s="47">
        <v>574.6</v>
      </c>
      <c r="I962" s="47" t="s">
        <v>142</v>
      </c>
    </row>
    <row r="963" ht="15.75" customHeight="1">
      <c r="A963" s="47" t="s">
        <v>2171</v>
      </c>
      <c r="B963" s="47" t="s">
        <v>2172</v>
      </c>
      <c r="C963" s="47" t="s">
        <v>7756</v>
      </c>
      <c r="D963" s="47" t="s">
        <v>135</v>
      </c>
      <c r="E963" s="47" t="s">
        <v>349</v>
      </c>
      <c r="F963" s="47">
        <v>43.0</v>
      </c>
      <c r="G963" s="47">
        <v>1.89</v>
      </c>
      <c r="H963" s="47">
        <v>22.8</v>
      </c>
      <c r="I963" s="47" t="s">
        <v>75</v>
      </c>
    </row>
    <row r="964" ht="15.75" customHeight="1">
      <c r="A964" s="47" t="s">
        <v>2173</v>
      </c>
      <c r="B964" s="47" t="s">
        <v>2174</v>
      </c>
      <c r="C964" s="47" t="s">
        <v>7756</v>
      </c>
      <c r="D964" s="47" t="s">
        <v>122</v>
      </c>
      <c r="E964" s="47" t="s">
        <v>328</v>
      </c>
      <c r="F964" s="47">
        <v>20665.0</v>
      </c>
      <c r="G964" s="47">
        <v>11.51</v>
      </c>
      <c r="H964" s="47">
        <v>1795.4</v>
      </c>
      <c r="I964" s="47" t="s">
        <v>571</v>
      </c>
    </row>
    <row r="965" ht="15.75" customHeight="1">
      <c r="A965" s="47" t="s">
        <v>2175</v>
      </c>
      <c r="B965" s="47" t="s">
        <v>2176</v>
      </c>
      <c r="C965" s="47" t="s">
        <v>7756</v>
      </c>
      <c r="D965" s="47" t="s">
        <v>236</v>
      </c>
      <c r="E965" s="47" t="s">
        <v>558</v>
      </c>
      <c r="F965" s="47">
        <v>1778.0</v>
      </c>
      <c r="G965" s="47">
        <v>9.97</v>
      </c>
      <c r="H965" s="47">
        <v>178.3</v>
      </c>
      <c r="I965" s="47" t="s">
        <v>62</v>
      </c>
    </row>
    <row r="966" ht="15.75" customHeight="1">
      <c r="A966" s="47" t="s">
        <v>2177</v>
      </c>
      <c r="B966" s="47" t="s">
        <v>2178</v>
      </c>
      <c r="C966" s="47" t="s">
        <v>7756</v>
      </c>
      <c r="D966" s="47" t="s">
        <v>149</v>
      </c>
      <c r="E966" s="47" t="s">
        <v>363</v>
      </c>
      <c r="F966" s="47">
        <v>327.0</v>
      </c>
      <c r="G966" s="47">
        <v>4.84</v>
      </c>
      <c r="H966" s="47">
        <v>67.6</v>
      </c>
      <c r="I966" s="47" t="s">
        <v>75</v>
      </c>
    </row>
    <row r="967" ht="15.75" customHeight="1">
      <c r="A967" s="47" t="s">
        <v>2179</v>
      </c>
      <c r="B967" s="47" t="s">
        <v>2180</v>
      </c>
      <c r="C967" s="47" t="s">
        <v>7756</v>
      </c>
      <c r="D967" s="47" t="s">
        <v>149</v>
      </c>
      <c r="E967" s="47" t="s">
        <v>363</v>
      </c>
      <c r="F967" s="47">
        <v>289.0</v>
      </c>
      <c r="G967" s="47">
        <v>7.45</v>
      </c>
      <c r="H967" s="47">
        <v>38.8</v>
      </c>
      <c r="I967" s="47" t="s">
        <v>75</v>
      </c>
    </row>
    <row r="968" ht="15.75" customHeight="1">
      <c r="A968" s="47" t="s">
        <v>2181</v>
      </c>
      <c r="B968" s="47" t="s">
        <v>2182</v>
      </c>
      <c r="C968" s="47" t="s">
        <v>7756</v>
      </c>
      <c r="D968" s="47" t="s">
        <v>120</v>
      </c>
      <c r="E968" s="47" t="s">
        <v>312</v>
      </c>
      <c r="F968" s="47">
        <v>325.0</v>
      </c>
      <c r="G968" s="47">
        <v>7.34</v>
      </c>
      <c r="H968" s="47">
        <v>44.3</v>
      </c>
      <c r="I968" s="47" t="s">
        <v>75</v>
      </c>
    </row>
    <row r="969" ht="15.75" customHeight="1">
      <c r="A969" s="47" t="s">
        <v>2183</v>
      </c>
      <c r="B969" s="47" t="s">
        <v>2184</v>
      </c>
      <c r="C969" s="47" t="s">
        <v>7756</v>
      </c>
      <c r="D969" s="47" t="s">
        <v>149</v>
      </c>
      <c r="E969" s="47" t="s">
        <v>363</v>
      </c>
      <c r="F969" s="47">
        <v>815.0</v>
      </c>
      <c r="G969" s="47">
        <v>13.26</v>
      </c>
      <c r="H969" s="47">
        <v>61.5</v>
      </c>
      <c r="I969" s="47" t="s">
        <v>62</v>
      </c>
    </row>
    <row r="970" ht="15.75" customHeight="1">
      <c r="A970" s="47" t="s">
        <v>2185</v>
      </c>
      <c r="B970" s="47" t="s">
        <v>2186</v>
      </c>
      <c r="C970" s="47" t="s">
        <v>7756</v>
      </c>
      <c r="D970" s="47" t="s">
        <v>130</v>
      </c>
      <c r="E970" s="47" t="s">
        <v>180</v>
      </c>
      <c r="F970" s="47">
        <v>40250.0</v>
      </c>
      <c r="G970" s="47">
        <v>16.86</v>
      </c>
      <c r="H970" s="47">
        <v>2387.3</v>
      </c>
      <c r="I970" s="47" t="s">
        <v>571</v>
      </c>
    </row>
    <row r="971" ht="15.75" customHeight="1">
      <c r="A971" s="47" t="s">
        <v>2187</v>
      </c>
      <c r="B971" s="47" t="s">
        <v>2188</v>
      </c>
      <c r="C971" s="47" t="s">
        <v>7756</v>
      </c>
      <c r="D971" s="47" t="s">
        <v>122</v>
      </c>
      <c r="E971" s="47" t="s">
        <v>328</v>
      </c>
      <c r="F971" s="47">
        <v>10109.0</v>
      </c>
      <c r="G971" s="47">
        <v>9.19</v>
      </c>
      <c r="H971" s="47">
        <v>1100.0</v>
      </c>
      <c r="I971" s="47" t="s">
        <v>571</v>
      </c>
    </row>
    <row r="972" ht="15.75" customHeight="1">
      <c r="A972" s="47" t="s">
        <v>2189</v>
      </c>
      <c r="B972" s="47" t="s">
        <v>2190</v>
      </c>
      <c r="C972" s="47" t="s">
        <v>7756</v>
      </c>
      <c r="D972" s="47" t="s">
        <v>99</v>
      </c>
      <c r="E972" s="47" t="s">
        <v>98</v>
      </c>
      <c r="F972" s="47">
        <v>1436.0</v>
      </c>
      <c r="G972" s="47">
        <v>11.89</v>
      </c>
      <c r="H972" s="47">
        <v>120.8</v>
      </c>
      <c r="I972" s="47" t="s">
        <v>62</v>
      </c>
    </row>
    <row r="973" ht="15.75" customHeight="1">
      <c r="A973" s="47" t="s">
        <v>2191</v>
      </c>
      <c r="B973" s="47" t="s">
        <v>2192</v>
      </c>
      <c r="C973" s="47" t="s">
        <v>7756</v>
      </c>
      <c r="D973" s="47" t="s">
        <v>149</v>
      </c>
      <c r="E973" s="47" t="s">
        <v>363</v>
      </c>
      <c r="F973" s="47">
        <v>536.0</v>
      </c>
      <c r="G973" s="47">
        <v>8.74</v>
      </c>
      <c r="H973" s="47">
        <v>61.3</v>
      </c>
      <c r="I973" s="47" t="s">
        <v>62</v>
      </c>
    </row>
    <row r="974" ht="15.75" customHeight="1">
      <c r="A974" s="47" t="s">
        <v>2193</v>
      </c>
      <c r="B974" s="47" t="s">
        <v>2194</v>
      </c>
      <c r="C974" s="47" t="s">
        <v>7756</v>
      </c>
      <c r="D974" s="47" t="s">
        <v>171</v>
      </c>
      <c r="E974" s="47" t="s">
        <v>457</v>
      </c>
      <c r="F974" s="47">
        <v>281.0</v>
      </c>
      <c r="G974" s="47">
        <v>3.37</v>
      </c>
      <c r="H974" s="47">
        <v>83.4</v>
      </c>
      <c r="I974" s="47" t="s">
        <v>75</v>
      </c>
    </row>
    <row r="975" ht="15.75" customHeight="1">
      <c r="A975" s="47" t="s">
        <v>2195</v>
      </c>
      <c r="B975" s="47" t="s">
        <v>2196</v>
      </c>
      <c r="C975" s="47" t="s">
        <v>7756</v>
      </c>
      <c r="D975" s="47" t="s">
        <v>235</v>
      </c>
      <c r="E975" s="47" t="s">
        <v>555</v>
      </c>
      <c r="F975" s="47">
        <v>86263.0</v>
      </c>
      <c r="G975" s="47">
        <v>41.96</v>
      </c>
      <c r="H975" s="47">
        <v>2055.8</v>
      </c>
      <c r="I975" s="47" t="s">
        <v>7463</v>
      </c>
    </row>
    <row r="976" ht="15.75" customHeight="1">
      <c r="A976" s="47" t="s">
        <v>2197</v>
      </c>
      <c r="B976" s="47" t="s">
        <v>2198</v>
      </c>
      <c r="C976" s="47" t="s">
        <v>7756</v>
      </c>
      <c r="D976" s="47" t="s">
        <v>99</v>
      </c>
      <c r="E976" s="47" t="s">
        <v>98</v>
      </c>
      <c r="F976" s="47">
        <v>660.0</v>
      </c>
      <c r="G976" s="47">
        <v>9.2</v>
      </c>
      <c r="H976" s="47">
        <v>71.7</v>
      </c>
      <c r="I976" s="47" t="s">
        <v>62</v>
      </c>
    </row>
    <row r="977" ht="15.75" customHeight="1">
      <c r="A977" s="47" t="s">
        <v>2199</v>
      </c>
      <c r="B977" s="47" t="s">
        <v>2200</v>
      </c>
      <c r="C977" s="47" t="s">
        <v>7756</v>
      </c>
      <c r="D977" s="47" t="s">
        <v>72</v>
      </c>
      <c r="E977" s="47" t="s">
        <v>71</v>
      </c>
      <c r="F977" s="47">
        <v>1869.0</v>
      </c>
      <c r="G977" s="47">
        <v>4.01</v>
      </c>
      <c r="H977" s="47">
        <v>466.1</v>
      </c>
      <c r="I977" s="47" t="s">
        <v>62</v>
      </c>
    </row>
    <row r="978" ht="15.75" customHeight="1">
      <c r="A978" s="47" t="s">
        <v>2201</v>
      </c>
      <c r="B978" s="47" t="s">
        <v>2202</v>
      </c>
      <c r="C978" s="47" t="s">
        <v>7756</v>
      </c>
      <c r="D978" s="47" t="s">
        <v>149</v>
      </c>
      <c r="E978" s="47" t="s">
        <v>363</v>
      </c>
      <c r="F978" s="47">
        <v>94.0</v>
      </c>
      <c r="G978" s="47">
        <v>3.52</v>
      </c>
      <c r="H978" s="47">
        <v>26.7</v>
      </c>
      <c r="I978" s="47" t="s">
        <v>75</v>
      </c>
    </row>
    <row r="979" ht="15.75" customHeight="1">
      <c r="A979" s="47" t="s">
        <v>2203</v>
      </c>
      <c r="B979" s="47" t="s">
        <v>2204</v>
      </c>
      <c r="C979" s="47" t="s">
        <v>7756</v>
      </c>
      <c r="D979" s="47" t="s">
        <v>145</v>
      </c>
      <c r="E979" s="47" t="s">
        <v>255</v>
      </c>
      <c r="F979" s="47">
        <v>269.0</v>
      </c>
      <c r="G979" s="47">
        <v>4.87</v>
      </c>
      <c r="H979" s="47">
        <v>55.2</v>
      </c>
      <c r="I979" s="47" t="s">
        <v>75</v>
      </c>
    </row>
    <row r="980" ht="15.75" customHeight="1">
      <c r="A980" s="47" t="s">
        <v>2205</v>
      </c>
      <c r="B980" s="47" t="s">
        <v>2206</v>
      </c>
      <c r="C980" s="47" t="s">
        <v>7756</v>
      </c>
      <c r="D980" s="47" t="s">
        <v>145</v>
      </c>
      <c r="E980" s="47" t="s">
        <v>255</v>
      </c>
      <c r="F980" s="47">
        <v>145.0</v>
      </c>
      <c r="G980" s="47">
        <v>3.38</v>
      </c>
      <c r="H980" s="47">
        <v>42.9</v>
      </c>
      <c r="I980" s="47" t="s">
        <v>75</v>
      </c>
    </row>
    <row r="981" ht="15.75" customHeight="1">
      <c r="A981" s="47" t="s">
        <v>2207</v>
      </c>
      <c r="B981" s="47" t="s">
        <v>2208</v>
      </c>
      <c r="C981" s="47" t="s">
        <v>7756</v>
      </c>
      <c r="D981" s="47" t="s">
        <v>99</v>
      </c>
      <c r="E981" s="47" t="s">
        <v>98</v>
      </c>
      <c r="F981" s="47">
        <v>1213.0</v>
      </c>
      <c r="G981" s="47">
        <v>10.43</v>
      </c>
      <c r="H981" s="47">
        <v>116.3</v>
      </c>
      <c r="I981" s="47" t="s">
        <v>62</v>
      </c>
    </row>
    <row r="982" ht="15.75" customHeight="1">
      <c r="A982" s="47" t="s">
        <v>2209</v>
      </c>
      <c r="B982" s="47" t="s">
        <v>2210</v>
      </c>
      <c r="C982" s="47" t="s">
        <v>7756</v>
      </c>
      <c r="D982" s="47" t="s">
        <v>145</v>
      </c>
      <c r="E982" s="47" t="s">
        <v>255</v>
      </c>
      <c r="F982" s="47">
        <v>1013.0</v>
      </c>
      <c r="G982" s="47">
        <v>6.26</v>
      </c>
      <c r="H982" s="47">
        <v>161.8</v>
      </c>
      <c r="I982" s="47" t="s">
        <v>62</v>
      </c>
    </row>
    <row r="983" ht="15.75" customHeight="1">
      <c r="A983" s="47" t="s">
        <v>2211</v>
      </c>
      <c r="B983" s="47" t="s">
        <v>2212</v>
      </c>
      <c r="C983" s="47" t="s">
        <v>7756</v>
      </c>
      <c r="D983" s="47" t="s">
        <v>135</v>
      </c>
      <c r="E983" s="47" t="s">
        <v>349</v>
      </c>
      <c r="F983" s="47">
        <v>606.0</v>
      </c>
      <c r="G983" s="47">
        <v>8.35</v>
      </c>
      <c r="H983" s="47">
        <v>72.6</v>
      </c>
      <c r="I983" s="47" t="s">
        <v>62</v>
      </c>
    </row>
    <row r="984" ht="15.75" customHeight="1">
      <c r="A984" s="47" t="s">
        <v>2213</v>
      </c>
      <c r="B984" s="47" t="s">
        <v>2214</v>
      </c>
      <c r="C984" s="47" t="s">
        <v>7756</v>
      </c>
      <c r="D984" s="47" t="s">
        <v>122</v>
      </c>
      <c r="E984" s="47" t="s">
        <v>328</v>
      </c>
      <c r="F984" s="47">
        <v>804.0</v>
      </c>
      <c r="G984" s="47">
        <v>5.14</v>
      </c>
      <c r="H984" s="47">
        <v>156.4</v>
      </c>
      <c r="I984" s="47" t="s">
        <v>62</v>
      </c>
    </row>
    <row r="985" ht="15.75" customHeight="1">
      <c r="A985" s="47" t="s">
        <v>2215</v>
      </c>
      <c r="B985" s="47" t="s">
        <v>2216</v>
      </c>
      <c r="C985" s="47" t="s">
        <v>7756</v>
      </c>
      <c r="D985" s="47" t="s">
        <v>236</v>
      </c>
      <c r="E985" s="47" t="s">
        <v>558</v>
      </c>
      <c r="F985" s="47">
        <v>3026.0</v>
      </c>
      <c r="G985" s="47">
        <v>4.95</v>
      </c>
      <c r="H985" s="47">
        <v>611.3</v>
      </c>
      <c r="I985" s="47" t="s">
        <v>142</v>
      </c>
    </row>
    <row r="986" ht="15.75" customHeight="1">
      <c r="A986" s="47" t="s">
        <v>2217</v>
      </c>
      <c r="B986" s="47" t="s">
        <v>2218</v>
      </c>
      <c r="C986" s="47" t="s">
        <v>7756</v>
      </c>
      <c r="D986" s="47" t="s">
        <v>192</v>
      </c>
      <c r="E986" s="47" t="s">
        <v>508</v>
      </c>
      <c r="F986" s="47">
        <v>1291.0</v>
      </c>
      <c r="G986" s="47">
        <v>4.73</v>
      </c>
      <c r="H986" s="47">
        <v>272.9</v>
      </c>
      <c r="I986" s="47" t="s">
        <v>62</v>
      </c>
    </row>
    <row r="987" ht="15.75" customHeight="1">
      <c r="A987" s="47" t="s">
        <v>2219</v>
      </c>
      <c r="B987" s="47" t="s">
        <v>2220</v>
      </c>
      <c r="C987" s="47" t="s">
        <v>7756</v>
      </c>
      <c r="D987" s="47" t="s">
        <v>236</v>
      </c>
      <c r="E987" s="47" t="s">
        <v>558</v>
      </c>
      <c r="F987" s="47">
        <v>618.0</v>
      </c>
      <c r="G987" s="47">
        <v>1.34</v>
      </c>
      <c r="H987" s="47">
        <v>461.2</v>
      </c>
      <c r="I987" s="47" t="s">
        <v>62</v>
      </c>
    </row>
    <row r="988" ht="15.75" customHeight="1">
      <c r="A988" s="47" t="s">
        <v>2221</v>
      </c>
      <c r="B988" s="47" t="s">
        <v>2222</v>
      </c>
      <c r="C988" s="47" t="s">
        <v>7756</v>
      </c>
      <c r="D988" s="47" t="s">
        <v>236</v>
      </c>
      <c r="E988" s="47" t="s">
        <v>558</v>
      </c>
      <c r="F988" s="47">
        <v>1280.0</v>
      </c>
      <c r="G988" s="47">
        <v>10.47</v>
      </c>
      <c r="H988" s="47">
        <v>122.3</v>
      </c>
      <c r="I988" s="47" t="s">
        <v>62</v>
      </c>
    </row>
    <row r="989" ht="15.75" customHeight="1">
      <c r="A989" s="47" t="s">
        <v>2223</v>
      </c>
      <c r="B989" s="47" t="s">
        <v>2224</v>
      </c>
      <c r="C989" s="47" t="s">
        <v>7756</v>
      </c>
      <c r="D989" s="47" t="s">
        <v>224</v>
      </c>
      <c r="E989" s="47" t="s">
        <v>390</v>
      </c>
      <c r="F989" s="47">
        <v>2416.0</v>
      </c>
      <c r="G989" s="47">
        <v>9.97</v>
      </c>
      <c r="H989" s="47">
        <v>242.3</v>
      </c>
      <c r="I989" s="47" t="s">
        <v>142</v>
      </c>
    </row>
    <row r="990" ht="15.75" customHeight="1">
      <c r="A990" s="47" t="s">
        <v>2225</v>
      </c>
      <c r="B990" s="47" t="s">
        <v>2226</v>
      </c>
      <c r="C990" s="47" t="s">
        <v>7756</v>
      </c>
      <c r="D990" s="47" t="s">
        <v>205</v>
      </c>
      <c r="E990" s="47" t="s">
        <v>530</v>
      </c>
      <c r="F990" s="47">
        <v>237.0</v>
      </c>
      <c r="G990" s="47">
        <v>16.71</v>
      </c>
      <c r="H990" s="47">
        <v>14.2</v>
      </c>
      <c r="I990" s="47" t="s">
        <v>75</v>
      </c>
    </row>
    <row r="991" ht="15.75" customHeight="1">
      <c r="A991" s="47" t="s">
        <v>2227</v>
      </c>
      <c r="B991" s="47" t="s">
        <v>2228</v>
      </c>
      <c r="C991" s="47" t="s">
        <v>7756</v>
      </c>
      <c r="D991" s="47" t="s">
        <v>130</v>
      </c>
      <c r="E991" s="47" t="s">
        <v>180</v>
      </c>
      <c r="F991" s="47">
        <v>670.0</v>
      </c>
      <c r="G991" s="47">
        <v>5.28</v>
      </c>
      <c r="H991" s="47">
        <v>126.9</v>
      </c>
      <c r="I991" s="47" t="s">
        <v>62</v>
      </c>
    </row>
    <row r="992" ht="15.75" customHeight="1">
      <c r="A992" s="47" t="s">
        <v>2229</v>
      </c>
      <c r="B992" s="47" t="s">
        <v>2230</v>
      </c>
      <c r="C992" s="47" t="s">
        <v>7756</v>
      </c>
      <c r="D992" s="47" t="s">
        <v>171</v>
      </c>
      <c r="E992" s="47" t="s">
        <v>457</v>
      </c>
      <c r="F992" s="47">
        <v>462.0</v>
      </c>
      <c r="G992" s="47">
        <v>11.62</v>
      </c>
      <c r="H992" s="47">
        <v>39.8</v>
      </c>
      <c r="I992" s="47" t="s">
        <v>75</v>
      </c>
    </row>
    <row r="993" ht="15.75" customHeight="1">
      <c r="A993" s="47" t="s">
        <v>2231</v>
      </c>
      <c r="B993" s="47" t="s">
        <v>2232</v>
      </c>
      <c r="C993" s="47" t="s">
        <v>7756</v>
      </c>
      <c r="D993" s="47" t="s">
        <v>236</v>
      </c>
      <c r="E993" s="47" t="s">
        <v>558</v>
      </c>
      <c r="F993" s="47">
        <v>620.0</v>
      </c>
      <c r="G993" s="47">
        <v>1.75</v>
      </c>
      <c r="H993" s="47">
        <v>354.3</v>
      </c>
      <c r="I993" s="47" t="s">
        <v>62</v>
      </c>
    </row>
    <row r="994" ht="15.75" customHeight="1">
      <c r="A994" s="47" t="s">
        <v>2233</v>
      </c>
      <c r="B994" s="47" t="s">
        <v>2234</v>
      </c>
      <c r="C994" s="47" t="s">
        <v>7756</v>
      </c>
      <c r="D994" s="47" t="s">
        <v>236</v>
      </c>
      <c r="E994" s="47" t="s">
        <v>558</v>
      </c>
      <c r="F994" s="47">
        <v>5341.0</v>
      </c>
      <c r="G994" s="47">
        <v>9.08</v>
      </c>
      <c r="H994" s="47">
        <v>588.2</v>
      </c>
      <c r="I994" s="47" t="s">
        <v>142</v>
      </c>
    </row>
    <row r="995" ht="15.75" customHeight="1">
      <c r="A995" s="47" t="s">
        <v>2235</v>
      </c>
      <c r="B995" s="47" t="s">
        <v>2236</v>
      </c>
      <c r="C995" s="47" t="s">
        <v>7756</v>
      </c>
      <c r="D995" s="47" t="s">
        <v>72</v>
      </c>
      <c r="E995" s="47" t="s">
        <v>71</v>
      </c>
      <c r="F995" s="47">
        <v>1586.0</v>
      </c>
      <c r="G995" s="47">
        <v>5.86</v>
      </c>
      <c r="H995" s="47">
        <v>270.6</v>
      </c>
      <c r="I995" s="47" t="s">
        <v>62</v>
      </c>
    </row>
    <row r="996" ht="15.75" customHeight="1">
      <c r="A996" s="47" t="s">
        <v>2237</v>
      </c>
      <c r="B996" s="47" t="s">
        <v>2238</v>
      </c>
      <c r="C996" s="47" t="s">
        <v>7756</v>
      </c>
      <c r="D996" s="47" t="s">
        <v>202</v>
      </c>
      <c r="E996" s="47" t="s">
        <v>499</v>
      </c>
      <c r="F996" s="47">
        <v>479.0</v>
      </c>
      <c r="G996" s="47">
        <v>6.32</v>
      </c>
      <c r="H996" s="47">
        <v>75.8</v>
      </c>
      <c r="I996" s="47" t="s">
        <v>75</v>
      </c>
    </row>
    <row r="997" ht="15.75" customHeight="1">
      <c r="A997" s="47" t="s">
        <v>2239</v>
      </c>
      <c r="B997" s="47" t="s">
        <v>2240</v>
      </c>
      <c r="C997" s="47" t="s">
        <v>7756</v>
      </c>
      <c r="D997" s="47" t="s">
        <v>122</v>
      </c>
      <c r="E997" s="47" t="s">
        <v>328</v>
      </c>
      <c r="F997" s="47">
        <v>9039.0</v>
      </c>
      <c r="G997" s="47">
        <v>10.24</v>
      </c>
      <c r="H997" s="47">
        <v>882.7</v>
      </c>
      <c r="I997" s="47" t="s">
        <v>142</v>
      </c>
    </row>
    <row r="998" ht="15.75" customHeight="1">
      <c r="A998" s="47" t="s">
        <v>2241</v>
      </c>
      <c r="B998" s="47" t="s">
        <v>2242</v>
      </c>
      <c r="C998" s="47" t="s">
        <v>7756</v>
      </c>
      <c r="D998" s="47" t="s">
        <v>120</v>
      </c>
      <c r="E998" s="47" t="s">
        <v>312</v>
      </c>
      <c r="F998" s="47">
        <v>3171.0</v>
      </c>
      <c r="G998" s="47">
        <v>6.66</v>
      </c>
      <c r="H998" s="47">
        <v>476.1</v>
      </c>
      <c r="I998" s="47" t="s">
        <v>142</v>
      </c>
    </row>
    <row r="999" ht="15.75" customHeight="1">
      <c r="A999" s="47" t="s">
        <v>2243</v>
      </c>
      <c r="B999" s="47" t="s">
        <v>2244</v>
      </c>
      <c r="C999" s="47" t="s">
        <v>7756</v>
      </c>
      <c r="D999" s="47" t="s">
        <v>122</v>
      </c>
      <c r="E999" s="47" t="s">
        <v>328</v>
      </c>
      <c r="F999" s="47">
        <v>4202.0</v>
      </c>
      <c r="G999" s="47">
        <v>5.74</v>
      </c>
      <c r="H999" s="47">
        <v>732.1</v>
      </c>
      <c r="I999" s="47" t="s">
        <v>142</v>
      </c>
    </row>
    <row r="1000" ht="15.75" customHeight="1">
      <c r="A1000" s="47" t="s">
        <v>2245</v>
      </c>
      <c r="B1000" s="47" t="s">
        <v>2246</v>
      </c>
      <c r="C1000" s="47" t="s">
        <v>7756</v>
      </c>
      <c r="D1000" s="47" t="s">
        <v>236</v>
      </c>
      <c r="E1000" s="47" t="s">
        <v>558</v>
      </c>
      <c r="F1000" s="47">
        <v>302.0</v>
      </c>
      <c r="G1000" s="47">
        <v>1.85</v>
      </c>
      <c r="H1000" s="47">
        <v>163.2</v>
      </c>
      <c r="I1000" s="47" t="s">
        <v>75</v>
      </c>
    </row>
    <row r="1001" ht="15.75" customHeight="1">
      <c r="A1001" s="47" t="s">
        <v>2247</v>
      </c>
      <c r="B1001" s="47" t="s">
        <v>2248</v>
      </c>
      <c r="C1001" s="47" t="s">
        <v>7756</v>
      </c>
      <c r="D1001" s="47" t="s">
        <v>120</v>
      </c>
      <c r="E1001" s="47" t="s">
        <v>312</v>
      </c>
      <c r="F1001" s="47">
        <v>656.0</v>
      </c>
      <c r="G1001" s="47">
        <v>14.49</v>
      </c>
      <c r="H1001" s="47">
        <v>45.3</v>
      </c>
      <c r="I1001" s="47" t="s">
        <v>62</v>
      </c>
    </row>
    <row r="1002" ht="15.75" customHeight="1">
      <c r="A1002" s="47" t="s">
        <v>2249</v>
      </c>
      <c r="B1002" s="47" t="s">
        <v>2250</v>
      </c>
      <c r="C1002" s="47" t="s">
        <v>7756</v>
      </c>
      <c r="D1002" s="47" t="s">
        <v>171</v>
      </c>
      <c r="E1002" s="47" t="s">
        <v>457</v>
      </c>
      <c r="F1002" s="47">
        <v>2137.0</v>
      </c>
      <c r="G1002" s="47">
        <v>12.26</v>
      </c>
      <c r="H1002" s="47">
        <v>174.3</v>
      </c>
      <c r="I1002" s="47" t="s">
        <v>142</v>
      </c>
    </row>
    <row r="1003" ht="15.75" customHeight="1">
      <c r="A1003" s="47" t="s">
        <v>2251</v>
      </c>
      <c r="B1003" s="47" t="s">
        <v>2252</v>
      </c>
      <c r="C1003" s="47" t="s">
        <v>7756</v>
      </c>
      <c r="D1003" s="47" t="s">
        <v>130</v>
      </c>
      <c r="E1003" s="47" t="s">
        <v>180</v>
      </c>
      <c r="F1003" s="47">
        <v>893.0</v>
      </c>
      <c r="G1003" s="47">
        <v>5.39</v>
      </c>
      <c r="H1003" s="47">
        <v>165.7</v>
      </c>
      <c r="I1003" s="47" t="s">
        <v>62</v>
      </c>
    </row>
    <row r="1004" ht="15.75" customHeight="1">
      <c r="A1004" s="47" t="s">
        <v>2253</v>
      </c>
      <c r="B1004" s="47" t="s">
        <v>2254</v>
      </c>
      <c r="C1004" s="47" t="s">
        <v>7756</v>
      </c>
      <c r="D1004" s="47" t="s">
        <v>214</v>
      </c>
      <c r="E1004" s="47" t="s">
        <v>366</v>
      </c>
      <c r="F1004" s="47">
        <v>6525.0</v>
      </c>
      <c r="G1004" s="47">
        <v>13.4</v>
      </c>
      <c r="H1004" s="47">
        <v>486.9</v>
      </c>
      <c r="I1004" s="47" t="s">
        <v>142</v>
      </c>
    </row>
    <row r="1005" ht="15.75" customHeight="1">
      <c r="A1005" s="47" t="s">
        <v>2255</v>
      </c>
      <c r="B1005" s="47" t="s">
        <v>2256</v>
      </c>
      <c r="C1005" s="47" t="s">
        <v>7756</v>
      </c>
      <c r="D1005" s="47" t="s">
        <v>135</v>
      </c>
      <c r="E1005" s="47" t="s">
        <v>349</v>
      </c>
      <c r="F1005" s="47">
        <v>475.0</v>
      </c>
      <c r="G1005" s="47">
        <v>5.46</v>
      </c>
      <c r="H1005" s="47">
        <v>87.0</v>
      </c>
      <c r="I1005" s="47" t="s">
        <v>75</v>
      </c>
    </row>
    <row r="1006" ht="15.75" customHeight="1">
      <c r="A1006" s="47" t="s">
        <v>2257</v>
      </c>
      <c r="B1006" s="47" t="s">
        <v>811</v>
      </c>
      <c r="C1006" s="47" t="s">
        <v>7756</v>
      </c>
      <c r="D1006" s="47" t="s">
        <v>130</v>
      </c>
      <c r="E1006" s="47" t="s">
        <v>180</v>
      </c>
      <c r="F1006" s="47">
        <v>1134.0</v>
      </c>
      <c r="G1006" s="47">
        <v>5.8</v>
      </c>
      <c r="H1006" s="47">
        <v>195.5</v>
      </c>
      <c r="I1006" s="47" t="s">
        <v>62</v>
      </c>
    </row>
    <row r="1007" ht="15.75" customHeight="1">
      <c r="A1007" s="47" t="s">
        <v>2258</v>
      </c>
      <c r="B1007" s="47" t="s">
        <v>2259</v>
      </c>
      <c r="C1007" s="47" t="s">
        <v>7756</v>
      </c>
      <c r="D1007" s="47" t="s">
        <v>146</v>
      </c>
      <c r="E1007" s="47" t="s">
        <v>268</v>
      </c>
      <c r="F1007" s="47">
        <v>937.0</v>
      </c>
      <c r="G1007" s="47">
        <v>5.32</v>
      </c>
      <c r="H1007" s="47">
        <v>176.1</v>
      </c>
      <c r="I1007" s="47" t="s">
        <v>62</v>
      </c>
    </row>
    <row r="1008" ht="15.75" customHeight="1">
      <c r="A1008" s="47" t="s">
        <v>2260</v>
      </c>
      <c r="B1008" s="47" t="s">
        <v>2261</v>
      </c>
      <c r="C1008" s="47" t="s">
        <v>7756</v>
      </c>
      <c r="D1008" s="47" t="s">
        <v>120</v>
      </c>
      <c r="E1008" s="47" t="s">
        <v>312</v>
      </c>
      <c r="F1008" s="47">
        <v>363.0</v>
      </c>
      <c r="G1008" s="47">
        <v>2.77</v>
      </c>
      <c r="H1008" s="47">
        <v>131.0</v>
      </c>
      <c r="I1008" s="47" t="s">
        <v>75</v>
      </c>
    </row>
    <row r="1009" ht="15.75" customHeight="1">
      <c r="A1009" s="47" t="s">
        <v>2262</v>
      </c>
      <c r="B1009" s="47" t="s">
        <v>2263</v>
      </c>
      <c r="C1009" s="47" t="s">
        <v>7756</v>
      </c>
      <c r="D1009" s="47" t="s">
        <v>192</v>
      </c>
      <c r="E1009" s="47" t="s">
        <v>508</v>
      </c>
      <c r="F1009" s="47">
        <v>328.0</v>
      </c>
      <c r="G1009" s="47">
        <v>2.83</v>
      </c>
      <c r="H1009" s="47">
        <v>115.9</v>
      </c>
      <c r="I1009" s="47" t="s">
        <v>75</v>
      </c>
    </row>
    <row r="1010" ht="15.75" customHeight="1">
      <c r="A1010" s="47" t="s">
        <v>2264</v>
      </c>
      <c r="B1010" s="47" t="s">
        <v>2265</v>
      </c>
      <c r="C1010" s="47" t="s">
        <v>7756</v>
      </c>
      <c r="D1010" s="47" t="s">
        <v>149</v>
      </c>
      <c r="E1010" s="47" t="s">
        <v>363</v>
      </c>
      <c r="F1010" s="47">
        <v>1233.0</v>
      </c>
      <c r="G1010" s="47">
        <v>25.15</v>
      </c>
      <c r="H1010" s="47">
        <v>49.0</v>
      </c>
      <c r="I1010" s="47" t="s">
        <v>62</v>
      </c>
    </row>
    <row r="1011" ht="15.75" customHeight="1">
      <c r="A1011" s="47" t="s">
        <v>2266</v>
      </c>
      <c r="B1011" s="47" t="s">
        <v>2267</v>
      </c>
      <c r="C1011" s="47" t="s">
        <v>7756</v>
      </c>
      <c r="D1011" s="47" t="s">
        <v>120</v>
      </c>
      <c r="E1011" s="47" t="s">
        <v>312</v>
      </c>
      <c r="F1011" s="47">
        <v>725.0</v>
      </c>
      <c r="G1011" s="47">
        <v>2.82</v>
      </c>
      <c r="H1011" s="47">
        <v>257.1</v>
      </c>
      <c r="I1011" s="47" t="s">
        <v>62</v>
      </c>
    </row>
    <row r="1012" ht="15.75" customHeight="1">
      <c r="A1012" s="47" t="s">
        <v>2268</v>
      </c>
      <c r="B1012" s="47" t="s">
        <v>2269</v>
      </c>
      <c r="C1012" s="47" t="s">
        <v>7756</v>
      </c>
      <c r="D1012" s="47" t="s">
        <v>236</v>
      </c>
      <c r="E1012" s="47" t="s">
        <v>558</v>
      </c>
      <c r="F1012" s="47">
        <v>18619.0</v>
      </c>
      <c r="G1012" s="47">
        <v>4.61</v>
      </c>
      <c r="H1012" s="47">
        <v>4038.8</v>
      </c>
      <c r="I1012" s="47" t="s">
        <v>571</v>
      </c>
    </row>
    <row r="1013" ht="15.75" customHeight="1">
      <c r="A1013" s="47" t="s">
        <v>2270</v>
      </c>
      <c r="B1013" s="47" t="s">
        <v>2271</v>
      </c>
      <c r="C1013" s="47" t="s">
        <v>7756</v>
      </c>
      <c r="D1013" s="47" t="s">
        <v>146</v>
      </c>
      <c r="E1013" s="47" t="s">
        <v>268</v>
      </c>
      <c r="F1013" s="47">
        <v>2474.0</v>
      </c>
      <c r="G1013" s="47">
        <v>4.75</v>
      </c>
      <c r="H1013" s="47">
        <v>520.8</v>
      </c>
      <c r="I1013" s="47" t="s">
        <v>142</v>
      </c>
    </row>
    <row r="1014" ht="15.75" customHeight="1">
      <c r="A1014" s="47" t="s">
        <v>2272</v>
      </c>
      <c r="B1014" s="47" t="s">
        <v>2273</v>
      </c>
      <c r="C1014" s="47" t="s">
        <v>7756</v>
      </c>
      <c r="D1014" s="47" t="s">
        <v>130</v>
      </c>
      <c r="E1014" s="47" t="s">
        <v>180</v>
      </c>
      <c r="F1014" s="47">
        <v>2278.0</v>
      </c>
      <c r="G1014" s="47">
        <v>9.56</v>
      </c>
      <c r="H1014" s="47">
        <v>238.3</v>
      </c>
      <c r="I1014" s="47" t="s">
        <v>142</v>
      </c>
    </row>
    <row r="1015" ht="15.75" customHeight="1">
      <c r="A1015" s="47" t="s">
        <v>2274</v>
      </c>
      <c r="B1015" s="47" t="s">
        <v>2275</v>
      </c>
      <c r="C1015" s="47" t="s">
        <v>7756</v>
      </c>
      <c r="D1015" s="47" t="s">
        <v>192</v>
      </c>
      <c r="E1015" s="47" t="s">
        <v>508</v>
      </c>
      <c r="F1015" s="47">
        <v>506.0</v>
      </c>
      <c r="G1015" s="47">
        <v>11.47</v>
      </c>
      <c r="H1015" s="47">
        <v>44.1</v>
      </c>
      <c r="I1015" s="47" t="s">
        <v>62</v>
      </c>
    </row>
    <row r="1016" ht="15.75" customHeight="1">
      <c r="A1016" s="47" t="s">
        <v>2276</v>
      </c>
      <c r="B1016" s="47" t="s">
        <v>2277</v>
      </c>
      <c r="C1016" s="47" t="s">
        <v>7756</v>
      </c>
      <c r="D1016" s="47" t="s">
        <v>130</v>
      </c>
      <c r="E1016" s="47" t="s">
        <v>180</v>
      </c>
      <c r="F1016" s="47">
        <v>1635.0</v>
      </c>
      <c r="G1016" s="47">
        <v>5.15</v>
      </c>
      <c r="H1016" s="47">
        <v>317.5</v>
      </c>
      <c r="I1016" s="47" t="s">
        <v>62</v>
      </c>
    </row>
    <row r="1017" ht="15.75" customHeight="1">
      <c r="A1017" s="47" t="s">
        <v>2278</v>
      </c>
      <c r="B1017" s="47" t="s">
        <v>2279</v>
      </c>
      <c r="C1017" s="47" t="s">
        <v>7756</v>
      </c>
      <c r="D1017" s="47" t="s">
        <v>145</v>
      </c>
      <c r="E1017" s="47" t="s">
        <v>255</v>
      </c>
      <c r="F1017" s="47">
        <v>6703.0</v>
      </c>
      <c r="G1017" s="47">
        <v>18.77</v>
      </c>
      <c r="H1017" s="47">
        <v>357.1</v>
      </c>
      <c r="I1017" s="47" t="s">
        <v>142</v>
      </c>
    </row>
    <row r="1018" ht="15.75" customHeight="1">
      <c r="A1018" s="47" t="s">
        <v>2280</v>
      </c>
      <c r="B1018" s="47" t="s">
        <v>2281</v>
      </c>
      <c r="C1018" s="47" t="s">
        <v>7756</v>
      </c>
      <c r="D1018" s="47" t="s">
        <v>149</v>
      </c>
      <c r="E1018" s="47" t="s">
        <v>363</v>
      </c>
      <c r="F1018" s="47">
        <v>1433.0</v>
      </c>
      <c r="G1018" s="47">
        <v>19.59</v>
      </c>
      <c r="H1018" s="47">
        <v>73.1</v>
      </c>
      <c r="I1018" s="47" t="s">
        <v>62</v>
      </c>
    </row>
    <row r="1019" ht="15.75" customHeight="1">
      <c r="A1019" s="47" t="s">
        <v>2282</v>
      </c>
      <c r="B1019" s="47" t="s">
        <v>2283</v>
      </c>
      <c r="C1019" s="47" t="s">
        <v>7756</v>
      </c>
      <c r="D1019" s="47" t="s">
        <v>72</v>
      </c>
      <c r="E1019" s="47" t="s">
        <v>71</v>
      </c>
      <c r="F1019" s="47">
        <v>5441.0</v>
      </c>
      <c r="G1019" s="47">
        <v>5.82</v>
      </c>
      <c r="H1019" s="47">
        <v>934.9</v>
      </c>
      <c r="I1019" s="47" t="s">
        <v>142</v>
      </c>
    </row>
    <row r="1020" ht="15.75" customHeight="1">
      <c r="A1020" s="47" t="s">
        <v>2284</v>
      </c>
      <c r="B1020" s="47" t="s">
        <v>2285</v>
      </c>
      <c r="C1020" s="47" t="s">
        <v>7756</v>
      </c>
      <c r="D1020" s="47" t="s">
        <v>130</v>
      </c>
      <c r="E1020" s="47" t="s">
        <v>180</v>
      </c>
      <c r="F1020" s="47">
        <v>1432.0</v>
      </c>
      <c r="G1020" s="47">
        <v>5.52</v>
      </c>
      <c r="H1020" s="47">
        <v>259.4</v>
      </c>
      <c r="I1020" s="47" t="s">
        <v>62</v>
      </c>
    </row>
    <row r="1021" ht="15.75" customHeight="1">
      <c r="A1021" s="47" t="s">
        <v>2286</v>
      </c>
      <c r="B1021" s="47" t="s">
        <v>2287</v>
      </c>
      <c r="C1021" s="47" t="s">
        <v>7756</v>
      </c>
      <c r="D1021" s="47" t="s">
        <v>205</v>
      </c>
      <c r="E1021" s="47" t="s">
        <v>530</v>
      </c>
      <c r="F1021" s="47">
        <v>514.0</v>
      </c>
      <c r="G1021" s="47">
        <v>13.42</v>
      </c>
      <c r="H1021" s="47">
        <v>38.3</v>
      </c>
      <c r="I1021" s="47" t="s">
        <v>62</v>
      </c>
    </row>
    <row r="1022" ht="15.75" customHeight="1">
      <c r="A1022" s="47" t="s">
        <v>2288</v>
      </c>
      <c r="B1022" s="47" t="s">
        <v>2289</v>
      </c>
      <c r="C1022" s="47" t="s">
        <v>7756</v>
      </c>
      <c r="D1022" s="47" t="s">
        <v>145</v>
      </c>
      <c r="E1022" s="47" t="s">
        <v>255</v>
      </c>
      <c r="F1022" s="47">
        <v>5131.0</v>
      </c>
      <c r="G1022" s="47">
        <v>10.01</v>
      </c>
      <c r="H1022" s="47">
        <v>512.6</v>
      </c>
      <c r="I1022" s="47" t="s">
        <v>142</v>
      </c>
    </row>
    <row r="1023" ht="15.75" customHeight="1">
      <c r="A1023" s="47" t="s">
        <v>2290</v>
      </c>
      <c r="B1023" s="47" t="s">
        <v>2291</v>
      </c>
      <c r="C1023" s="47" t="s">
        <v>7756</v>
      </c>
      <c r="D1023" s="47" t="s">
        <v>145</v>
      </c>
      <c r="E1023" s="47" t="s">
        <v>255</v>
      </c>
      <c r="F1023" s="47">
        <v>1024.0</v>
      </c>
      <c r="G1023" s="47">
        <v>5.39</v>
      </c>
      <c r="H1023" s="47">
        <v>190.0</v>
      </c>
      <c r="I1023" s="47" t="s">
        <v>62</v>
      </c>
    </row>
    <row r="1024" ht="15.75" customHeight="1">
      <c r="A1024" s="47" t="s">
        <v>2292</v>
      </c>
      <c r="B1024" s="47" t="s">
        <v>847</v>
      </c>
      <c r="C1024" s="47" t="s">
        <v>7756</v>
      </c>
      <c r="D1024" s="47" t="s">
        <v>192</v>
      </c>
      <c r="E1024" s="47" t="s">
        <v>508</v>
      </c>
      <c r="F1024" s="47">
        <v>431.0</v>
      </c>
      <c r="G1024" s="47">
        <v>2.02</v>
      </c>
      <c r="H1024" s="47">
        <v>213.4</v>
      </c>
      <c r="I1024" s="47" t="s">
        <v>75</v>
      </c>
    </row>
    <row r="1025" ht="15.75" customHeight="1">
      <c r="A1025" s="47" t="s">
        <v>2293</v>
      </c>
      <c r="B1025" s="47" t="s">
        <v>2294</v>
      </c>
      <c r="C1025" s="47" t="s">
        <v>7756</v>
      </c>
      <c r="D1025" s="47" t="s">
        <v>149</v>
      </c>
      <c r="E1025" s="47" t="s">
        <v>363</v>
      </c>
      <c r="F1025" s="47">
        <v>342.0</v>
      </c>
      <c r="G1025" s="47">
        <v>5.66</v>
      </c>
      <c r="H1025" s="47">
        <v>60.4</v>
      </c>
      <c r="I1025" s="47" t="s">
        <v>75</v>
      </c>
    </row>
    <row r="1026" ht="15.75" customHeight="1">
      <c r="A1026" s="47" t="s">
        <v>2295</v>
      </c>
      <c r="B1026" s="47" t="s">
        <v>2296</v>
      </c>
      <c r="C1026" s="47" t="s">
        <v>7756</v>
      </c>
      <c r="D1026" s="47" t="s">
        <v>130</v>
      </c>
      <c r="E1026" s="47" t="s">
        <v>180</v>
      </c>
      <c r="F1026" s="47">
        <v>5424.0</v>
      </c>
      <c r="G1026" s="47">
        <v>7.13</v>
      </c>
      <c r="H1026" s="47">
        <v>760.7</v>
      </c>
      <c r="I1026" s="47" t="s">
        <v>142</v>
      </c>
    </row>
    <row r="1027" ht="15.75" customHeight="1">
      <c r="A1027" s="47" t="s">
        <v>2297</v>
      </c>
      <c r="B1027" s="47" t="s">
        <v>2298</v>
      </c>
      <c r="C1027" s="47" t="s">
        <v>7756</v>
      </c>
      <c r="D1027" s="47" t="s">
        <v>120</v>
      </c>
      <c r="E1027" s="47" t="s">
        <v>312</v>
      </c>
      <c r="F1027" s="47">
        <v>276.0</v>
      </c>
      <c r="G1027" s="47">
        <v>6.31</v>
      </c>
      <c r="H1027" s="47">
        <v>43.7</v>
      </c>
      <c r="I1027" s="47" t="s">
        <v>75</v>
      </c>
    </row>
    <row r="1028" ht="15.75" customHeight="1">
      <c r="A1028" s="47" t="s">
        <v>2299</v>
      </c>
      <c r="B1028" s="47" t="s">
        <v>2300</v>
      </c>
      <c r="C1028" s="47" t="s">
        <v>7756</v>
      </c>
      <c r="D1028" s="47" t="s">
        <v>99</v>
      </c>
      <c r="E1028" s="47" t="s">
        <v>98</v>
      </c>
      <c r="F1028" s="47">
        <v>923.0</v>
      </c>
      <c r="G1028" s="47">
        <v>9.01</v>
      </c>
      <c r="H1028" s="47">
        <v>102.4</v>
      </c>
      <c r="I1028" s="47" t="s">
        <v>62</v>
      </c>
    </row>
    <row r="1029" ht="15.75" customHeight="1">
      <c r="A1029" s="47" t="s">
        <v>2301</v>
      </c>
      <c r="B1029" s="47" t="s">
        <v>2302</v>
      </c>
      <c r="C1029" s="47" t="s">
        <v>7756</v>
      </c>
      <c r="D1029" s="47" t="s">
        <v>122</v>
      </c>
      <c r="E1029" s="47" t="s">
        <v>328</v>
      </c>
      <c r="F1029" s="47">
        <v>1685.0</v>
      </c>
      <c r="G1029" s="47">
        <v>14.49</v>
      </c>
      <c r="H1029" s="47">
        <v>116.3</v>
      </c>
      <c r="I1029" s="47" t="s">
        <v>62</v>
      </c>
    </row>
    <row r="1030" ht="15.75" customHeight="1">
      <c r="A1030" s="47" t="s">
        <v>2303</v>
      </c>
      <c r="B1030" s="47" t="s">
        <v>2304</v>
      </c>
      <c r="C1030" s="47" t="s">
        <v>7756</v>
      </c>
      <c r="D1030" s="47" t="s">
        <v>130</v>
      </c>
      <c r="E1030" s="47" t="s">
        <v>180</v>
      </c>
      <c r="F1030" s="47">
        <v>5745.0</v>
      </c>
      <c r="G1030" s="47">
        <v>19.16</v>
      </c>
      <c r="H1030" s="47">
        <v>299.8</v>
      </c>
      <c r="I1030" s="47" t="s">
        <v>142</v>
      </c>
    </row>
    <row r="1031" ht="15.75" customHeight="1">
      <c r="A1031" s="47" t="s">
        <v>2305</v>
      </c>
      <c r="B1031" s="47" t="s">
        <v>2306</v>
      </c>
      <c r="C1031" s="47" t="s">
        <v>7756</v>
      </c>
      <c r="D1031" s="47" t="s">
        <v>149</v>
      </c>
      <c r="E1031" s="47" t="s">
        <v>363</v>
      </c>
      <c r="F1031" s="47">
        <v>131.0</v>
      </c>
      <c r="G1031" s="47">
        <v>4.67</v>
      </c>
      <c r="H1031" s="47">
        <v>28.1</v>
      </c>
      <c r="I1031" s="47" t="s">
        <v>75</v>
      </c>
    </row>
    <row r="1032" ht="15.75" customHeight="1">
      <c r="A1032" s="47" t="s">
        <v>2307</v>
      </c>
      <c r="B1032" s="47" t="s">
        <v>2308</v>
      </c>
      <c r="C1032" s="47" t="s">
        <v>7756</v>
      </c>
      <c r="D1032" s="47" t="s">
        <v>149</v>
      </c>
      <c r="E1032" s="47" t="s">
        <v>363</v>
      </c>
      <c r="F1032" s="47">
        <v>505.0</v>
      </c>
      <c r="G1032" s="47">
        <v>17.35</v>
      </c>
      <c r="H1032" s="47">
        <v>29.1</v>
      </c>
      <c r="I1032" s="47" t="s">
        <v>62</v>
      </c>
    </row>
    <row r="1033" ht="15.75" customHeight="1">
      <c r="A1033" s="47" t="s">
        <v>2309</v>
      </c>
      <c r="B1033" s="47" t="s">
        <v>2310</v>
      </c>
      <c r="C1033" s="47" t="s">
        <v>7756</v>
      </c>
      <c r="D1033" s="47" t="s">
        <v>192</v>
      </c>
      <c r="E1033" s="47" t="s">
        <v>508</v>
      </c>
      <c r="F1033" s="47">
        <v>687.0</v>
      </c>
      <c r="G1033" s="47">
        <v>7.68</v>
      </c>
      <c r="H1033" s="47">
        <v>89.5</v>
      </c>
      <c r="I1033" s="47" t="s">
        <v>62</v>
      </c>
    </row>
    <row r="1034" ht="15.75" customHeight="1">
      <c r="A1034" s="47" t="s">
        <v>2311</v>
      </c>
      <c r="B1034" s="47" t="s">
        <v>2312</v>
      </c>
      <c r="C1034" s="47" t="s">
        <v>7756</v>
      </c>
      <c r="D1034" s="47" t="s">
        <v>135</v>
      </c>
      <c r="E1034" s="47" t="s">
        <v>349</v>
      </c>
      <c r="F1034" s="47">
        <v>1214.0</v>
      </c>
      <c r="G1034" s="47">
        <v>7.61</v>
      </c>
      <c r="H1034" s="47">
        <v>159.5</v>
      </c>
      <c r="I1034" s="47" t="s">
        <v>62</v>
      </c>
    </row>
    <row r="1035" ht="15.75" customHeight="1">
      <c r="A1035" s="47" t="s">
        <v>2313</v>
      </c>
      <c r="B1035" s="47" t="s">
        <v>865</v>
      </c>
      <c r="C1035" s="47" t="s">
        <v>7756</v>
      </c>
      <c r="D1035" s="47" t="s">
        <v>120</v>
      </c>
      <c r="E1035" s="47" t="s">
        <v>312</v>
      </c>
      <c r="F1035" s="47">
        <v>1754.0</v>
      </c>
      <c r="G1035" s="47">
        <v>10.56</v>
      </c>
      <c r="H1035" s="47">
        <v>166.1</v>
      </c>
      <c r="I1035" s="47" t="s">
        <v>62</v>
      </c>
    </row>
    <row r="1036" ht="15.75" customHeight="1">
      <c r="A1036" s="47" t="s">
        <v>2314</v>
      </c>
      <c r="B1036" s="47" t="s">
        <v>2315</v>
      </c>
      <c r="C1036" s="47" t="s">
        <v>7756</v>
      </c>
      <c r="D1036" s="47" t="s">
        <v>192</v>
      </c>
      <c r="E1036" s="47" t="s">
        <v>508</v>
      </c>
      <c r="F1036" s="47">
        <v>549.0</v>
      </c>
      <c r="G1036" s="47">
        <v>8.84</v>
      </c>
      <c r="H1036" s="47">
        <v>62.1</v>
      </c>
      <c r="I1036" s="47" t="s">
        <v>62</v>
      </c>
    </row>
    <row r="1037" ht="15.75" customHeight="1">
      <c r="A1037" s="47" t="s">
        <v>2316</v>
      </c>
      <c r="B1037" s="47" t="s">
        <v>2317</v>
      </c>
      <c r="C1037" s="47" t="s">
        <v>7756</v>
      </c>
      <c r="D1037" s="47" t="s">
        <v>236</v>
      </c>
      <c r="E1037" s="47" t="s">
        <v>558</v>
      </c>
      <c r="F1037" s="47">
        <v>1662.0</v>
      </c>
      <c r="G1037" s="47">
        <v>1.06</v>
      </c>
      <c r="H1037" s="47">
        <v>1567.9</v>
      </c>
      <c r="I1037" s="47" t="s">
        <v>62</v>
      </c>
    </row>
    <row r="1038" ht="15.75" customHeight="1">
      <c r="A1038" s="47" t="s">
        <v>2318</v>
      </c>
      <c r="B1038" s="47" t="s">
        <v>2319</v>
      </c>
      <c r="C1038" s="47" t="s">
        <v>7756</v>
      </c>
      <c r="D1038" s="47" t="s">
        <v>205</v>
      </c>
      <c r="E1038" s="47" t="s">
        <v>530</v>
      </c>
      <c r="F1038" s="47">
        <v>11449.0</v>
      </c>
      <c r="G1038" s="47">
        <v>22.97</v>
      </c>
      <c r="H1038" s="47">
        <v>498.4</v>
      </c>
      <c r="I1038" s="47" t="s">
        <v>571</v>
      </c>
    </row>
    <row r="1039" ht="15.75" customHeight="1">
      <c r="A1039" s="47" t="s">
        <v>2320</v>
      </c>
      <c r="B1039" s="47" t="s">
        <v>2321</v>
      </c>
      <c r="C1039" s="47" t="s">
        <v>7756</v>
      </c>
      <c r="D1039" s="47" t="s">
        <v>236</v>
      </c>
      <c r="E1039" s="47" t="s">
        <v>558</v>
      </c>
      <c r="F1039" s="47">
        <v>2179.0</v>
      </c>
      <c r="G1039" s="47">
        <v>8.32</v>
      </c>
      <c r="H1039" s="47">
        <v>261.9</v>
      </c>
      <c r="I1039" s="47" t="s">
        <v>142</v>
      </c>
    </row>
    <row r="1040" ht="15.75" customHeight="1">
      <c r="A1040" s="47" t="s">
        <v>2322</v>
      </c>
      <c r="B1040" s="47" t="s">
        <v>2323</v>
      </c>
      <c r="C1040" s="47" t="s">
        <v>7756</v>
      </c>
      <c r="D1040" s="47" t="s">
        <v>192</v>
      </c>
      <c r="E1040" s="47" t="s">
        <v>508</v>
      </c>
      <c r="F1040" s="47">
        <v>389.0</v>
      </c>
      <c r="G1040" s="47">
        <v>5.83</v>
      </c>
      <c r="H1040" s="47">
        <v>66.7</v>
      </c>
      <c r="I1040" s="47" t="s">
        <v>75</v>
      </c>
    </row>
    <row r="1041" ht="15.75" customHeight="1">
      <c r="A1041" s="47" t="s">
        <v>2324</v>
      </c>
      <c r="B1041" s="47" t="s">
        <v>2325</v>
      </c>
      <c r="C1041" s="47" t="s">
        <v>7756</v>
      </c>
      <c r="D1041" s="47" t="s">
        <v>236</v>
      </c>
      <c r="E1041" s="47" t="s">
        <v>558</v>
      </c>
      <c r="F1041" s="47">
        <v>2609.0</v>
      </c>
      <c r="G1041" s="47">
        <v>11.22</v>
      </c>
      <c r="H1041" s="47">
        <v>232.5</v>
      </c>
      <c r="I1041" s="47" t="s">
        <v>142</v>
      </c>
    </row>
    <row r="1042" ht="15.75" customHeight="1">
      <c r="A1042" s="47" t="s">
        <v>2326</v>
      </c>
      <c r="B1042" s="47" t="s">
        <v>2327</v>
      </c>
      <c r="C1042" s="47" t="s">
        <v>7756</v>
      </c>
      <c r="D1042" s="47" t="s">
        <v>146</v>
      </c>
      <c r="E1042" s="47" t="s">
        <v>268</v>
      </c>
      <c r="F1042" s="47">
        <v>7354.0</v>
      </c>
      <c r="G1042" s="47">
        <v>11.7</v>
      </c>
      <c r="H1042" s="47">
        <v>628.5</v>
      </c>
      <c r="I1042" s="47" t="s">
        <v>142</v>
      </c>
    </row>
    <row r="1043" ht="15.75" customHeight="1">
      <c r="A1043" s="47" t="s">
        <v>2328</v>
      </c>
      <c r="B1043" s="47" t="s">
        <v>2329</v>
      </c>
      <c r="C1043" s="47" t="s">
        <v>7756</v>
      </c>
      <c r="D1043" s="47" t="s">
        <v>130</v>
      </c>
      <c r="E1043" s="47" t="s">
        <v>180</v>
      </c>
      <c r="F1043" s="47">
        <v>919.0</v>
      </c>
      <c r="G1043" s="47">
        <v>6.41</v>
      </c>
      <c r="H1043" s="47">
        <v>143.4</v>
      </c>
      <c r="I1043" s="47" t="s">
        <v>62</v>
      </c>
    </row>
    <row r="1044" ht="15.75" customHeight="1">
      <c r="A1044" s="47" t="s">
        <v>2330</v>
      </c>
      <c r="B1044" s="47" t="s">
        <v>2331</v>
      </c>
      <c r="C1044" s="47" t="s">
        <v>7756</v>
      </c>
      <c r="D1044" s="47" t="s">
        <v>120</v>
      </c>
      <c r="E1044" s="47" t="s">
        <v>312</v>
      </c>
      <c r="F1044" s="47">
        <v>571.0</v>
      </c>
      <c r="G1044" s="47">
        <v>4.73</v>
      </c>
      <c r="H1044" s="47">
        <v>120.7</v>
      </c>
      <c r="I1044" s="47" t="s">
        <v>62</v>
      </c>
    </row>
    <row r="1045" ht="15.75" customHeight="1">
      <c r="A1045" s="47" t="s">
        <v>2332</v>
      </c>
      <c r="B1045" s="47" t="s">
        <v>2333</v>
      </c>
      <c r="C1045" s="47" t="s">
        <v>7756</v>
      </c>
      <c r="D1045" s="47" t="s">
        <v>236</v>
      </c>
      <c r="E1045" s="47" t="s">
        <v>558</v>
      </c>
      <c r="F1045" s="47">
        <v>3214.0</v>
      </c>
      <c r="G1045" s="47">
        <v>13.29</v>
      </c>
      <c r="H1045" s="47">
        <v>241.8</v>
      </c>
      <c r="I1045" s="47" t="s">
        <v>142</v>
      </c>
    </row>
    <row r="1046" ht="15.75" customHeight="1">
      <c r="A1046" s="47" t="s">
        <v>2334</v>
      </c>
      <c r="B1046" s="47" t="s">
        <v>2335</v>
      </c>
      <c r="C1046" s="47" t="s">
        <v>7756</v>
      </c>
      <c r="D1046" s="47" t="s">
        <v>236</v>
      </c>
      <c r="E1046" s="47" t="s">
        <v>558</v>
      </c>
      <c r="F1046" s="47">
        <v>1161.0</v>
      </c>
      <c r="G1046" s="47">
        <v>8.65</v>
      </c>
      <c r="H1046" s="47">
        <v>134.2</v>
      </c>
      <c r="I1046" s="47" t="s">
        <v>62</v>
      </c>
    </row>
    <row r="1047" ht="15.75" customHeight="1">
      <c r="A1047" s="47" t="s">
        <v>2336</v>
      </c>
      <c r="B1047" s="47" t="s">
        <v>2337</v>
      </c>
      <c r="C1047" s="47" t="s">
        <v>7756</v>
      </c>
      <c r="D1047" s="47" t="s">
        <v>224</v>
      </c>
      <c r="E1047" s="47" t="s">
        <v>390</v>
      </c>
      <c r="F1047" s="47">
        <v>2803.0</v>
      </c>
      <c r="G1047" s="47">
        <v>7.47</v>
      </c>
      <c r="H1047" s="47">
        <v>375.2</v>
      </c>
      <c r="I1047" s="47" t="s">
        <v>142</v>
      </c>
    </row>
    <row r="1048" ht="15.75" customHeight="1">
      <c r="A1048" s="47" t="s">
        <v>2338</v>
      </c>
      <c r="B1048" s="47" t="s">
        <v>2339</v>
      </c>
      <c r="C1048" s="47" t="s">
        <v>7756</v>
      </c>
      <c r="D1048" s="47" t="s">
        <v>192</v>
      </c>
      <c r="E1048" s="47" t="s">
        <v>508</v>
      </c>
      <c r="F1048" s="47">
        <v>505.0</v>
      </c>
      <c r="G1048" s="47">
        <v>4.5</v>
      </c>
      <c r="H1048" s="47">
        <v>112.2</v>
      </c>
      <c r="I1048" s="47" t="s">
        <v>62</v>
      </c>
    </row>
    <row r="1049" ht="15.75" customHeight="1">
      <c r="A1049" s="47" t="s">
        <v>2340</v>
      </c>
      <c r="B1049" s="47" t="s">
        <v>2341</v>
      </c>
      <c r="C1049" s="47" t="s">
        <v>7756</v>
      </c>
      <c r="D1049" s="47" t="s">
        <v>235</v>
      </c>
      <c r="E1049" s="47" t="s">
        <v>555</v>
      </c>
      <c r="F1049" s="47">
        <v>4133.0</v>
      </c>
      <c r="G1049" s="47">
        <v>35.76</v>
      </c>
      <c r="H1049" s="47">
        <v>115.6</v>
      </c>
      <c r="I1049" s="47" t="s">
        <v>142</v>
      </c>
    </row>
    <row r="1050" ht="15.75" customHeight="1">
      <c r="A1050" s="47" t="s">
        <v>2342</v>
      </c>
      <c r="B1050" s="47" t="s">
        <v>2343</v>
      </c>
      <c r="C1050" s="47" t="s">
        <v>7756</v>
      </c>
      <c r="D1050" s="47" t="s">
        <v>205</v>
      </c>
      <c r="E1050" s="47" t="s">
        <v>530</v>
      </c>
      <c r="F1050" s="47">
        <v>1699.0</v>
      </c>
      <c r="G1050" s="47">
        <v>11.79</v>
      </c>
      <c r="H1050" s="47">
        <v>144.1</v>
      </c>
      <c r="I1050" s="47" t="s">
        <v>62</v>
      </c>
    </row>
    <row r="1051" ht="15.75" customHeight="1">
      <c r="A1051" s="47" t="s">
        <v>2344</v>
      </c>
      <c r="B1051" s="47" t="s">
        <v>2345</v>
      </c>
      <c r="C1051" s="47" t="s">
        <v>7756</v>
      </c>
      <c r="D1051" s="47" t="s">
        <v>99</v>
      </c>
      <c r="E1051" s="47" t="s">
        <v>98</v>
      </c>
      <c r="F1051" s="47">
        <v>2024.0</v>
      </c>
      <c r="G1051" s="47">
        <v>11.94</v>
      </c>
      <c r="H1051" s="47">
        <v>169.5</v>
      </c>
      <c r="I1051" s="47" t="s">
        <v>142</v>
      </c>
    </row>
    <row r="1052" ht="15.75" customHeight="1">
      <c r="A1052" s="47" t="s">
        <v>2346</v>
      </c>
      <c r="B1052" s="47" t="s">
        <v>2347</v>
      </c>
      <c r="C1052" s="47" t="s">
        <v>7756</v>
      </c>
      <c r="D1052" s="47" t="s">
        <v>130</v>
      </c>
      <c r="E1052" s="47" t="s">
        <v>180</v>
      </c>
      <c r="F1052" s="47">
        <v>1070.0</v>
      </c>
      <c r="G1052" s="47">
        <v>4.77</v>
      </c>
      <c r="H1052" s="47">
        <v>224.3</v>
      </c>
      <c r="I1052" s="47" t="s">
        <v>62</v>
      </c>
    </row>
    <row r="1053" ht="15.75" customHeight="1">
      <c r="A1053" s="47" t="s">
        <v>2348</v>
      </c>
      <c r="B1053" s="47" t="s">
        <v>2349</v>
      </c>
      <c r="C1053" s="47" t="s">
        <v>7756</v>
      </c>
      <c r="D1053" s="47" t="s">
        <v>145</v>
      </c>
      <c r="E1053" s="47" t="s">
        <v>255</v>
      </c>
      <c r="F1053" s="47">
        <v>723.0</v>
      </c>
      <c r="G1053" s="47">
        <v>7.97</v>
      </c>
      <c r="H1053" s="47">
        <v>90.7</v>
      </c>
      <c r="I1053" s="47" t="s">
        <v>62</v>
      </c>
    </row>
    <row r="1054" ht="15.75" customHeight="1">
      <c r="A1054" s="47" t="s">
        <v>2350</v>
      </c>
      <c r="B1054" s="47" t="s">
        <v>2351</v>
      </c>
      <c r="C1054" s="47" t="s">
        <v>7756</v>
      </c>
      <c r="D1054" s="47" t="s">
        <v>192</v>
      </c>
      <c r="E1054" s="47" t="s">
        <v>508</v>
      </c>
      <c r="F1054" s="47">
        <v>2264.0</v>
      </c>
      <c r="G1054" s="47">
        <v>15.79</v>
      </c>
      <c r="H1054" s="47">
        <v>143.4</v>
      </c>
      <c r="I1054" s="47" t="s">
        <v>142</v>
      </c>
    </row>
    <row r="1055" ht="15.75" customHeight="1">
      <c r="A1055" s="47" t="s">
        <v>2352</v>
      </c>
      <c r="B1055" s="47" t="s">
        <v>2353</v>
      </c>
      <c r="C1055" s="47" t="s">
        <v>7756</v>
      </c>
      <c r="D1055" s="47" t="s">
        <v>224</v>
      </c>
      <c r="E1055" s="47" t="s">
        <v>390</v>
      </c>
      <c r="F1055" s="47">
        <v>4148.0</v>
      </c>
      <c r="G1055" s="47">
        <v>8.19</v>
      </c>
      <c r="H1055" s="47">
        <v>506.5</v>
      </c>
      <c r="I1055" s="47" t="s">
        <v>142</v>
      </c>
    </row>
    <row r="1056" ht="15.75" customHeight="1">
      <c r="A1056" s="47" t="s">
        <v>2354</v>
      </c>
      <c r="B1056" s="47" t="s">
        <v>2355</v>
      </c>
      <c r="C1056" s="47" t="s">
        <v>7756</v>
      </c>
      <c r="D1056" s="47" t="s">
        <v>120</v>
      </c>
      <c r="E1056" s="47" t="s">
        <v>312</v>
      </c>
      <c r="F1056" s="47">
        <v>279.0</v>
      </c>
      <c r="G1056" s="47">
        <v>4.95</v>
      </c>
      <c r="H1056" s="47">
        <v>56.4</v>
      </c>
      <c r="I1056" s="47" t="s">
        <v>75</v>
      </c>
    </row>
    <row r="1057" ht="15.75" customHeight="1">
      <c r="A1057" s="47" t="s">
        <v>2356</v>
      </c>
      <c r="B1057" s="47" t="s">
        <v>2357</v>
      </c>
      <c r="C1057" s="47" t="s">
        <v>7756</v>
      </c>
      <c r="D1057" s="47" t="s">
        <v>214</v>
      </c>
      <c r="E1057" s="47" t="s">
        <v>366</v>
      </c>
      <c r="F1057" s="47">
        <v>5616.0</v>
      </c>
      <c r="G1057" s="47">
        <v>15.03</v>
      </c>
      <c r="H1057" s="47">
        <v>373.7</v>
      </c>
      <c r="I1057" s="47" t="s">
        <v>142</v>
      </c>
    </row>
    <row r="1058" ht="15.75" customHeight="1">
      <c r="A1058" s="47" t="s">
        <v>2358</v>
      </c>
      <c r="B1058" s="47" t="s">
        <v>2359</v>
      </c>
      <c r="C1058" s="47" t="s">
        <v>7756</v>
      </c>
      <c r="D1058" s="47" t="s">
        <v>120</v>
      </c>
      <c r="E1058" s="47" t="s">
        <v>312</v>
      </c>
      <c r="F1058" s="47">
        <v>1413.0</v>
      </c>
      <c r="G1058" s="47">
        <v>12.13</v>
      </c>
      <c r="H1058" s="47">
        <v>116.5</v>
      </c>
      <c r="I1058" s="47" t="s">
        <v>62</v>
      </c>
    </row>
    <row r="1059" ht="15.75" customHeight="1">
      <c r="A1059" s="47" t="s">
        <v>2360</v>
      </c>
      <c r="B1059" s="47" t="s">
        <v>2361</v>
      </c>
      <c r="C1059" s="47" t="s">
        <v>7756</v>
      </c>
      <c r="D1059" s="47" t="s">
        <v>149</v>
      </c>
      <c r="E1059" s="47" t="s">
        <v>363</v>
      </c>
      <c r="F1059" s="47">
        <v>473.0</v>
      </c>
      <c r="G1059" s="47">
        <v>8.77</v>
      </c>
      <c r="H1059" s="47">
        <v>53.9</v>
      </c>
      <c r="I1059" s="47" t="s">
        <v>75</v>
      </c>
    </row>
    <row r="1060" ht="15.75" customHeight="1">
      <c r="A1060" s="47" t="s">
        <v>2362</v>
      </c>
      <c r="B1060" s="47" t="s">
        <v>2363</v>
      </c>
      <c r="C1060" s="47" t="s">
        <v>7756</v>
      </c>
      <c r="D1060" s="47" t="s">
        <v>235</v>
      </c>
      <c r="E1060" s="47" t="s">
        <v>555</v>
      </c>
      <c r="F1060" s="47">
        <v>20239.0</v>
      </c>
      <c r="G1060" s="47">
        <v>20.99</v>
      </c>
      <c r="H1060" s="47">
        <v>964.2</v>
      </c>
      <c r="I1060" s="47" t="s">
        <v>571</v>
      </c>
    </row>
    <row r="1061" ht="15.75" customHeight="1">
      <c r="A1061" s="47" t="s">
        <v>2364</v>
      </c>
      <c r="B1061" s="47" t="s">
        <v>2365</v>
      </c>
      <c r="C1061" s="47" t="s">
        <v>7756</v>
      </c>
      <c r="D1061" s="47" t="s">
        <v>235</v>
      </c>
      <c r="E1061" s="47" t="s">
        <v>555</v>
      </c>
      <c r="F1061" s="47">
        <v>4887.0</v>
      </c>
      <c r="G1061" s="47">
        <v>1.84</v>
      </c>
      <c r="H1061" s="47">
        <v>2656.0</v>
      </c>
      <c r="I1061" s="47" t="s">
        <v>142</v>
      </c>
    </row>
    <row r="1062" ht="15.75" customHeight="1">
      <c r="A1062" s="47" t="s">
        <v>2366</v>
      </c>
      <c r="B1062" s="47" t="s">
        <v>2367</v>
      </c>
      <c r="C1062" s="47" t="s">
        <v>7756</v>
      </c>
      <c r="D1062" s="47" t="s">
        <v>235</v>
      </c>
      <c r="E1062" s="47" t="s">
        <v>555</v>
      </c>
      <c r="F1062" s="47">
        <v>11430.0</v>
      </c>
      <c r="G1062" s="47">
        <v>20.67</v>
      </c>
      <c r="H1062" s="47">
        <v>553.0</v>
      </c>
      <c r="I1062" s="47" t="s">
        <v>571</v>
      </c>
    </row>
    <row r="1063" ht="15.75" customHeight="1">
      <c r="A1063" s="47" t="s">
        <v>2368</v>
      </c>
      <c r="B1063" s="47" t="s">
        <v>2369</v>
      </c>
      <c r="C1063" s="47" t="s">
        <v>7756</v>
      </c>
      <c r="D1063" s="47" t="s">
        <v>135</v>
      </c>
      <c r="E1063" s="47" t="s">
        <v>349</v>
      </c>
      <c r="F1063" s="47">
        <v>464.0</v>
      </c>
      <c r="G1063" s="47">
        <v>9.37</v>
      </c>
      <c r="H1063" s="47">
        <v>49.5</v>
      </c>
      <c r="I1063" s="47" t="s">
        <v>75</v>
      </c>
    </row>
    <row r="1064" ht="15.75" customHeight="1">
      <c r="A1064" s="47" t="s">
        <v>2370</v>
      </c>
      <c r="B1064" s="47" t="s">
        <v>2371</v>
      </c>
      <c r="C1064" s="47" t="s">
        <v>7756</v>
      </c>
      <c r="D1064" s="47" t="s">
        <v>236</v>
      </c>
      <c r="E1064" s="47" t="s">
        <v>558</v>
      </c>
      <c r="F1064" s="47">
        <v>1207.0</v>
      </c>
      <c r="G1064" s="47">
        <v>3.14</v>
      </c>
      <c r="H1064" s="47">
        <v>384.4</v>
      </c>
      <c r="I1064" s="47" t="s">
        <v>62</v>
      </c>
    </row>
    <row r="1065" ht="15.75" customHeight="1">
      <c r="A1065" s="47" t="s">
        <v>2372</v>
      </c>
      <c r="B1065" s="47" t="s">
        <v>2373</v>
      </c>
      <c r="C1065" s="47" t="s">
        <v>7756</v>
      </c>
      <c r="D1065" s="47" t="s">
        <v>130</v>
      </c>
      <c r="E1065" s="47" t="s">
        <v>180</v>
      </c>
      <c r="F1065" s="47">
        <v>4635.0</v>
      </c>
      <c r="G1065" s="47">
        <v>4.06</v>
      </c>
      <c r="H1065" s="47">
        <v>1141.6</v>
      </c>
      <c r="I1065" s="47" t="s">
        <v>142</v>
      </c>
    </row>
    <row r="1066" ht="15.75" customHeight="1">
      <c r="A1066" s="47" t="s">
        <v>2374</v>
      </c>
      <c r="B1066" s="47" t="s">
        <v>2375</v>
      </c>
      <c r="C1066" s="47" t="s">
        <v>7756</v>
      </c>
      <c r="D1066" s="47" t="s">
        <v>192</v>
      </c>
      <c r="E1066" s="47" t="s">
        <v>508</v>
      </c>
      <c r="F1066" s="47">
        <v>353.0</v>
      </c>
      <c r="G1066" s="47">
        <v>3.43</v>
      </c>
      <c r="H1066" s="47">
        <v>102.9</v>
      </c>
      <c r="I1066" s="47" t="s">
        <v>75</v>
      </c>
    </row>
    <row r="1067" ht="15.75" customHeight="1">
      <c r="A1067" s="47" t="s">
        <v>2376</v>
      </c>
      <c r="B1067" s="47" t="s">
        <v>2377</v>
      </c>
      <c r="C1067" s="47" t="s">
        <v>7756</v>
      </c>
      <c r="D1067" s="47" t="s">
        <v>236</v>
      </c>
      <c r="E1067" s="47" t="s">
        <v>558</v>
      </c>
      <c r="F1067" s="47">
        <v>4683.0</v>
      </c>
      <c r="G1067" s="47">
        <v>4.34</v>
      </c>
      <c r="H1067" s="47">
        <v>1079.0</v>
      </c>
      <c r="I1067" s="47" t="s">
        <v>142</v>
      </c>
    </row>
    <row r="1068" ht="15.75" customHeight="1">
      <c r="A1068" s="47" t="s">
        <v>2378</v>
      </c>
      <c r="B1068" s="47" t="s">
        <v>2379</v>
      </c>
      <c r="C1068" s="47" t="s">
        <v>7756</v>
      </c>
      <c r="D1068" s="47" t="s">
        <v>236</v>
      </c>
      <c r="E1068" s="47" t="s">
        <v>558</v>
      </c>
      <c r="F1068" s="47">
        <v>20715.0</v>
      </c>
      <c r="G1068" s="47">
        <v>12.57</v>
      </c>
      <c r="H1068" s="47">
        <v>1648.0</v>
      </c>
      <c r="I1068" s="47" t="s">
        <v>571</v>
      </c>
    </row>
    <row r="1069" ht="15.75" customHeight="1">
      <c r="A1069" s="47" t="s">
        <v>2380</v>
      </c>
      <c r="B1069" s="47" t="s">
        <v>2381</v>
      </c>
      <c r="C1069" s="47" t="s">
        <v>7756</v>
      </c>
      <c r="D1069" s="47" t="s">
        <v>130</v>
      </c>
      <c r="E1069" s="47" t="s">
        <v>180</v>
      </c>
      <c r="F1069" s="47">
        <v>797.0</v>
      </c>
      <c r="G1069" s="47">
        <v>3.58</v>
      </c>
      <c r="H1069" s="47">
        <v>222.6</v>
      </c>
      <c r="I1069" s="47" t="s">
        <v>62</v>
      </c>
    </row>
    <row r="1070" ht="15.75" customHeight="1">
      <c r="A1070" s="47" t="s">
        <v>2382</v>
      </c>
      <c r="B1070" s="47" t="s">
        <v>2383</v>
      </c>
      <c r="C1070" s="47" t="s">
        <v>7756</v>
      </c>
      <c r="D1070" s="47" t="s">
        <v>236</v>
      </c>
      <c r="E1070" s="47" t="s">
        <v>558</v>
      </c>
      <c r="F1070" s="47">
        <v>1244.0</v>
      </c>
      <c r="G1070" s="47">
        <v>2.11</v>
      </c>
      <c r="H1070" s="47">
        <v>589.6</v>
      </c>
      <c r="I1070" s="47" t="s">
        <v>62</v>
      </c>
    </row>
    <row r="1071" ht="15.75" customHeight="1">
      <c r="A1071" s="47" t="s">
        <v>2384</v>
      </c>
      <c r="B1071" s="47" t="s">
        <v>2385</v>
      </c>
      <c r="C1071" s="47" t="s">
        <v>7756</v>
      </c>
      <c r="D1071" s="47" t="s">
        <v>99</v>
      </c>
      <c r="E1071" s="47" t="s">
        <v>98</v>
      </c>
      <c r="F1071" s="47">
        <v>385.0</v>
      </c>
      <c r="G1071" s="47">
        <v>6.13</v>
      </c>
      <c r="H1071" s="47">
        <v>62.8</v>
      </c>
      <c r="I1071" s="47" t="s">
        <v>75</v>
      </c>
    </row>
    <row r="1072" ht="15.75" customHeight="1">
      <c r="A1072" s="47" t="s">
        <v>2386</v>
      </c>
      <c r="B1072" s="47" t="s">
        <v>2387</v>
      </c>
      <c r="C1072" s="47" t="s">
        <v>7756</v>
      </c>
      <c r="D1072" s="47" t="s">
        <v>192</v>
      </c>
      <c r="E1072" s="47" t="s">
        <v>508</v>
      </c>
      <c r="F1072" s="47">
        <v>599.0</v>
      </c>
      <c r="G1072" s="47">
        <v>5.17</v>
      </c>
      <c r="H1072" s="47">
        <v>115.9</v>
      </c>
      <c r="I1072" s="47" t="s">
        <v>62</v>
      </c>
    </row>
    <row r="1073" ht="15.75" customHeight="1">
      <c r="A1073" s="47" t="s">
        <v>2388</v>
      </c>
      <c r="B1073" s="47" t="s">
        <v>2389</v>
      </c>
      <c r="C1073" s="47" t="s">
        <v>7756</v>
      </c>
      <c r="D1073" s="47" t="s">
        <v>122</v>
      </c>
      <c r="E1073" s="47" t="s">
        <v>328</v>
      </c>
      <c r="F1073" s="47">
        <v>3849.0</v>
      </c>
      <c r="G1073" s="47">
        <v>12.8</v>
      </c>
      <c r="H1073" s="47">
        <v>300.7</v>
      </c>
      <c r="I1073" s="47" t="s">
        <v>142</v>
      </c>
    </row>
    <row r="1074" ht="15.75" customHeight="1">
      <c r="A1074" s="47" t="s">
        <v>2390</v>
      </c>
      <c r="B1074" s="47" t="s">
        <v>2391</v>
      </c>
      <c r="C1074" s="47" t="s">
        <v>7756</v>
      </c>
      <c r="D1074" s="47" t="s">
        <v>122</v>
      </c>
      <c r="E1074" s="47" t="s">
        <v>328</v>
      </c>
      <c r="F1074" s="47">
        <v>2626.0</v>
      </c>
      <c r="G1074" s="47">
        <v>12.23</v>
      </c>
      <c r="H1074" s="47">
        <v>214.7</v>
      </c>
      <c r="I1074" s="47" t="s">
        <v>142</v>
      </c>
    </row>
    <row r="1075" ht="15.75" customHeight="1">
      <c r="A1075" s="47" t="s">
        <v>2392</v>
      </c>
      <c r="B1075" s="47" t="s">
        <v>2393</v>
      </c>
      <c r="C1075" s="47" t="s">
        <v>7756</v>
      </c>
      <c r="D1075" s="47" t="s">
        <v>236</v>
      </c>
      <c r="E1075" s="47" t="s">
        <v>558</v>
      </c>
      <c r="F1075" s="47">
        <v>15074.0</v>
      </c>
      <c r="G1075" s="47">
        <v>5.38</v>
      </c>
      <c r="H1075" s="47">
        <v>2801.9</v>
      </c>
      <c r="I1075" s="47" t="s">
        <v>571</v>
      </c>
    </row>
    <row r="1076" ht="15.75" customHeight="1">
      <c r="A1076" s="47" t="s">
        <v>2394</v>
      </c>
      <c r="B1076" s="47" t="s">
        <v>2395</v>
      </c>
      <c r="C1076" s="47" t="s">
        <v>7756</v>
      </c>
      <c r="D1076" s="47" t="s">
        <v>135</v>
      </c>
      <c r="E1076" s="47" t="s">
        <v>349</v>
      </c>
      <c r="F1076" s="47">
        <v>193.0</v>
      </c>
      <c r="G1076" s="47">
        <v>3.56</v>
      </c>
      <c r="H1076" s="47">
        <v>54.2</v>
      </c>
      <c r="I1076" s="47" t="s">
        <v>75</v>
      </c>
    </row>
    <row r="1077" ht="15.75" customHeight="1">
      <c r="A1077" s="47" t="s">
        <v>2396</v>
      </c>
      <c r="B1077" s="47" t="s">
        <v>2397</v>
      </c>
      <c r="C1077" s="47" t="s">
        <v>7756</v>
      </c>
      <c r="D1077" s="47" t="s">
        <v>122</v>
      </c>
      <c r="E1077" s="47" t="s">
        <v>328</v>
      </c>
      <c r="F1077" s="47">
        <v>2281.0</v>
      </c>
      <c r="G1077" s="47">
        <v>5.15</v>
      </c>
      <c r="H1077" s="47">
        <v>442.9</v>
      </c>
      <c r="I1077" s="47" t="s">
        <v>142</v>
      </c>
    </row>
    <row r="1078" ht="15.75" customHeight="1">
      <c r="A1078" s="47" t="s">
        <v>2398</v>
      </c>
      <c r="B1078" s="47" t="s">
        <v>2399</v>
      </c>
      <c r="C1078" s="47" t="s">
        <v>7756</v>
      </c>
      <c r="D1078" s="47" t="s">
        <v>202</v>
      </c>
      <c r="E1078" s="47" t="s">
        <v>499</v>
      </c>
      <c r="F1078" s="47">
        <v>1451.0</v>
      </c>
      <c r="G1078" s="47">
        <v>16.13</v>
      </c>
      <c r="H1078" s="47">
        <v>90.0</v>
      </c>
      <c r="I1078" s="47" t="s">
        <v>62</v>
      </c>
    </row>
    <row r="1079" ht="15.75" customHeight="1">
      <c r="A1079" s="47" t="s">
        <v>2400</v>
      </c>
      <c r="B1079" s="47" t="s">
        <v>2401</v>
      </c>
      <c r="C1079" s="47" t="s">
        <v>7756</v>
      </c>
      <c r="D1079" s="47" t="s">
        <v>149</v>
      </c>
      <c r="E1079" s="47" t="s">
        <v>363</v>
      </c>
      <c r="F1079" s="47">
        <v>361.0</v>
      </c>
      <c r="G1079" s="47">
        <v>8.96</v>
      </c>
      <c r="H1079" s="47">
        <v>40.3</v>
      </c>
      <c r="I1079" s="47" t="s">
        <v>75</v>
      </c>
    </row>
    <row r="1080" ht="15.75" customHeight="1">
      <c r="A1080" s="47" t="s">
        <v>2402</v>
      </c>
      <c r="B1080" s="47" t="s">
        <v>2403</v>
      </c>
      <c r="C1080" s="47" t="s">
        <v>7756</v>
      </c>
      <c r="D1080" s="47" t="s">
        <v>145</v>
      </c>
      <c r="E1080" s="47" t="s">
        <v>255</v>
      </c>
      <c r="F1080" s="47">
        <v>14152.0</v>
      </c>
      <c r="G1080" s="47">
        <v>12.35</v>
      </c>
      <c r="H1080" s="47">
        <v>1145.9</v>
      </c>
      <c r="I1080" s="47" t="s">
        <v>571</v>
      </c>
    </row>
    <row r="1081" ht="15.75" customHeight="1">
      <c r="A1081" s="47" t="s">
        <v>2404</v>
      </c>
      <c r="B1081" s="47" t="s">
        <v>2405</v>
      </c>
      <c r="C1081" s="47" t="s">
        <v>7756</v>
      </c>
      <c r="D1081" s="47" t="s">
        <v>122</v>
      </c>
      <c r="E1081" s="47" t="s">
        <v>328</v>
      </c>
      <c r="F1081" s="47">
        <v>3222.0</v>
      </c>
      <c r="G1081" s="47">
        <v>4.72</v>
      </c>
      <c r="H1081" s="47">
        <v>682.6</v>
      </c>
      <c r="I1081" s="47" t="s">
        <v>142</v>
      </c>
    </row>
    <row r="1082" ht="15.75" customHeight="1">
      <c r="A1082" s="47" t="s">
        <v>2406</v>
      </c>
      <c r="B1082" s="47" t="s">
        <v>2407</v>
      </c>
      <c r="C1082" s="47" t="s">
        <v>7756</v>
      </c>
      <c r="D1082" s="47" t="s">
        <v>214</v>
      </c>
      <c r="E1082" s="47" t="s">
        <v>366</v>
      </c>
      <c r="F1082" s="47">
        <v>1376.0</v>
      </c>
      <c r="G1082" s="47">
        <v>9.27</v>
      </c>
      <c r="H1082" s="47">
        <v>148.4</v>
      </c>
      <c r="I1082" s="47" t="s">
        <v>62</v>
      </c>
    </row>
    <row r="1083" ht="15.75" customHeight="1">
      <c r="A1083" s="47" t="s">
        <v>2408</v>
      </c>
      <c r="B1083" s="47" t="s">
        <v>2409</v>
      </c>
      <c r="C1083" s="47" t="s">
        <v>7756</v>
      </c>
      <c r="D1083" s="47" t="s">
        <v>120</v>
      </c>
      <c r="E1083" s="47" t="s">
        <v>312</v>
      </c>
      <c r="F1083" s="47">
        <v>307.0</v>
      </c>
      <c r="G1083" s="47">
        <v>5.94</v>
      </c>
      <c r="H1083" s="47">
        <v>51.7</v>
      </c>
      <c r="I1083" s="47" t="s">
        <v>75</v>
      </c>
    </row>
    <row r="1084" ht="15.75" customHeight="1">
      <c r="A1084" s="47" t="s">
        <v>2410</v>
      </c>
      <c r="B1084" s="47" t="s">
        <v>2411</v>
      </c>
      <c r="C1084" s="47" t="s">
        <v>7756</v>
      </c>
      <c r="D1084" s="47" t="s">
        <v>99</v>
      </c>
      <c r="E1084" s="47" t="s">
        <v>98</v>
      </c>
      <c r="F1084" s="47">
        <v>21912.0</v>
      </c>
      <c r="G1084" s="47">
        <v>27.41</v>
      </c>
      <c r="H1084" s="47">
        <v>799.4</v>
      </c>
      <c r="I1084" s="47" t="s">
        <v>571</v>
      </c>
    </row>
    <row r="1085" ht="15.75" customHeight="1">
      <c r="A1085" s="47" t="s">
        <v>2412</v>
      </c>
      <c r="B1085" s="47" t="s">
        <v>2413</v>
      </c>
      <c r="C1085" s="47" t="s">
        <v>7756</v>
      </c>
      <c r="D1085" s="47" t="s">
        <v>192</v>
      </c>
      <c r="E1085" s="47" t="s">
        <v>508</v>
      </c>
      <c r="F1085" s="47">
        <v>353.0</v>
      </c>
      <c r="G1085" s="47">
        <v>1.36</v>
      </c>
      <c r="H1085" s="47">
        <v>259.6</v>
      </c>
      <c r="I1085" s="47" t="s">
        <v>75</v>
      </c>
    </row>
    <row r="1086" ht="15.75" customHeight="1">
      <c r="A1086" s="47" t="s">
        <v>2414</v>
      </c>
      <c r="B1086" s="47" t="s">
        <v>2415</v>
      </c>
      <c r="C1086" s="47" t="s">
        <v>7756</v>
      </c>
      <c r="D1086" s="47" t="s">
        <v>122</v>
      </c>
      <c r="E1086" s="47" t="s">
        <v>328</v>
      </c>
      <c r="F1086" s="47">
        <v>1907.0</v>
      </c>
      <c r="G1086" s="47">
        <v>7.32</v>
      </c>
      <c r="H1086" s="47">
        <v>260.5</v>
      </c>
      <c r="I1086" s="47" t="s">
        <v>62</v>
      </c>
    </row>
    <row r="1087" ht="15.75" customHeight="1">
      <c r="A1087" s="47" t="s">
        <v>2416</v>
      </c>
      <c r="B1087" s="47" t="s">
        <v>2417</v>
      </c>
      <c r="C1087" s="47" t="s">
        <v>7756</v>
      </c>
      <c r="D1087" s="47" t="s">
        <v>236</v>
      </c>
      <c r="E1087" s="47" t="s">
        <v>558</v>
      </c>
      <c r="F1087" s="47">
        <v>18582.0</v>
      </c>
      <c r="G1087" s="47">
        <v>9.67</v>
      </c>
      <c r="H1087" s="47">
        <v>1921.6</v>
      </c>
      <c r="I1087" s="47" t="s">
        <v>571</v>
      </c>
    </row>
    <row r="1088" ht="15.75" customHeight="1">
      <c r="A1088" s="47" t="s">
        <v>2418</v>
      </c>
      <c r="B1088" s="47" t="s">
        <v>2419</v>
      </c>
      <c r="C1088" s="47" t="s">
        <v>7756</v>
      </c>
      <c r="D1088" s="47" t="s">
        <v>120</v>
      </c>
      <c r="E1088" s="47" t="s">
        <v>312</v>
      </c>
      <c r="F1088" s="47">
        <v>565.0</v>
      </c>
      <c r="G1088" s="47">
        <v>4.91</v>
      </c>
      <c r="H1088" s="47">
        <v>115.1</v>
      </c>
      <c r="I1088" s="47" t="s">
        <v>62</v>
      </c>
    </row>
    <row r="1089" ht="15.75" customHeight="1">
      <c r="A1089" s="47" t="s">
        <v>2420</v>
      </c>
      <c r="B1089" s="47" t="s">
        <v>2421</v>
      </c>
      <c r="C1089" s="47" t="s">
        <v>7756</v>
      </c>
      <c r="D1089" s="47" t="s">
        <v>146</v>
      </c>
      <c r="E1089" s="47" t="s">
        <v>268</v>
      </c>
      <c r="F1089" s="47">
        <v>4479.0</v>
      </c>
      <c r="G1089" s="47">
        <v>10.74</v>
      </c>
      <c r="H1089" s="47">
        <v>417.0</v>
      </c>
      <c r="I1089" s="47" t="s">
        <v>142</v>
      </c>
    </row>
    <row r="1090" ht="15.75" customHeight="1">
      <c r="A1090" s="47" t="s">
        <v>2422</v>
      </c>
      <c r="B1090" s="47" t="s">
        <v>2423</v>
      </c>
      <c r="C1090" s="47" t="s">
        <v>7756</v>
      </c>
      <c r="D1090" s="47" t="s">
        <v>122</v>
      </c>
      <c r="E1090" s="47" t="s">
        <v>328</v>
      </c>
      <c r="F1090" s="47">
        <v>4169.0</v>
      </c>
      <c r="G1090" s="47">
        <v>4.47</v>
      </c>
      <c r="H1090" s="47">
        <v>932.7</v>
      </c>
      <c r="I1090" s="47" t="s">
        <v>142</v>
      </c>
    </row>
    <row r="1091" ht="15.75" customHeight="1">
      <c r="A1091" s="47" t="s">
        <v>2424</v>
      </c>
      <c r="B1091" s="47" t="s">
        <v>2425</v>
      </c>
      <c r="C1091" s="47" t="s">
        <v>7756</v>
      </c>
      <c r="D1091" s="47" t="s">
        <v>236</v>
      </c>
      <c r="E1091" s="47" t="s">
        <v>558</v>
      </c>
      <c r="F1091" s="47">
        <v>2267.0</v>
      </c>
      <c r="G1091" s="47">
        <v>7.12</v>
      </c>
      <c r="H1091" s="47">
        <v>318.4</v>
      </c>
      <c r="I1091" s="47" t="s">
        <v>142</v>
      </c>
    </row>
    <row r="1092" ht="15.75" customHeight="1">
      <c r="A1092" s="47" t="s">
        <v>2426</v>
      </c>
      <c r="B1092" s="47" t="s">
        <v>2427</v>
      </c>
      <c r="C1092" s="47" t="s">
        <v>7756</v>
      </c>
      <c r="D1092" s="47" t="s">
        <v>224</v>
      </c>
      <c r="E1092" s="47" t="s">
        <v>390</v>
      </c>
      <c r="F1092" s="47">
        <v>425.0</v>
      </c>
      <c r="G1092" s="47">
        <v>2.15</v>
      </c>
      <c r="H1092" s="47">
        <v>197.7</v>
      </c>
      <c r="I1092" s="47" t="s">
        <v>75</v>
      </c>
    </row>
    <row r="1093" ht="15.75" customHeight="1">
      <c r="A1093" s="47" t="s">
        <v>2428</v>
      </c>
      <c r="B1093" s="47" t="s">
        <v>2429</v>
      </c>
      <c r="C1093" s="47" t="s">
        <v>7756</v>
      </c>
      <c r="D1093" s="47" t="s">
        <v>171</v>
      </c>
      <c r="E1093" s="47" t="s">
        <v>457</v>
      </c>
      <c r="F1093" s="47">
        <v>1638.0</v>
      </c>
      <c r="G1093" s="47">
        <v>17.19</v>
      </c>
      <c r="H1093" s="47">
        <v>95.3</v>
      </c>
      <c r="I1093" s="47" t="s">
        <v>62</v>
      </c>
    </row>
    <row r="1094" ht="15.75" customHeight="1">
      <c r="A1094" s="47" t="s">
        <v>2430</v>
      </c>
      <c r="B1094" s="47" t="s">
        <v>2431</v>
      </c>
      <c r="C1094" s="47" t="s">
        <v>7756</v>
      </c>
      <c r="D1094" s="47" t="s">
        <v>149</v>
      </c>
      <c r="E1094" s="47" t="s">
        <v>363</v>
      </c>
      <c r="F1094" s="47">
        <v>288.0</v>
      </c>
      <c r="G1094" s="47">
        <v>6.08</v>
      </c>
      <c r="H1094" s="47">
        <v>47.4</v>
      </c>
      <c r="I1094" s="47" t="s">
        <v>75</v>
      </c>
    </row>
    <row r="1095" ht="15.75" customHeight="1">
      <c r="A1095" s="47" t="s">
        <v>2432</v>
      </c>
      <c r="B1095" s="47" t="s">
        <v>2433</v>
      </c>
      <c r="C1095" s="47" t="s">
        <v>7756</v>
      </c>
      <c r="D1095" s="47" t="s">
        <v>171</v>
      </c>
      <c r="E1095" s="47" t="s">
        <v>457</v>
      </c>
      <c r="F1095" s="47">
        <v>837.0</v>
      </c>
      <c r="G1095" s="47">
        <v>3.8</v>
      </c>
      <c r="H1095" s="47">
        <v>220.3</v>
      </c>
      <c r="I1095" s="47" t="s">
        <v>62</v>
      </c>
    </row>
    <row r="1096" ht="15.75" customHeight="1">
      <c r="A1096" s="47" t="s">
        <v>2434</v>
      </c>
      <c r="B1096" s="47" t="s">
        <v>2435</v>
      </c>
      <c r="C1096" s="47" t="s">
        <v>7756</v>
      </c>
      <c r="D1096" s="47" t="s">
        <v>99</v>
      </c>
      <c r="E1096" s="47" t="s">
        <v>98</v>
      </c>
      <c r="F1096" s="47">
        <v>916.0</v>
      </c>
      <c r="G1096" s="47">
        <v>12.63</v>
      </c>
      <c r="H1096" s="47">
        <v>72.5</v>
      </c>
      <c r="I1096" s="47" t="s">
        <v>62</v>
      </c>
    </row>
    <row r="1097" ht="15.75" customHeight="1">
      <c r="A1097" s="47" t="s">
        <v>2436</v>
      </c>
      <c r="B1097" s="47" t="s">
        <v>2437</v>
      </c>
      <c r="C1097" s="47" t="s">
        <v>7756</v>
      </c>
      <c r="D1097" s="47" t="s">
        <v>171</v>
      </c>
      <c r="E1097" s="47" t="s">
        <v>457</v>
      </c>
      <c r="F1097" s="47">
        <v>3957.0</v>
      </c>
      <c r="G1097" s="47">
        <v>23.62</v>
      </c>
      <c r="H1097" s="47">
        <v>167.5</v>
      </c>
      <c r="I1097" s="47" t="s">
        <v>142</v>
      </c>
    </row>
    <row r="1098" ht="15.75" customHeight="1">
      <c r="A1098" s="47" t="s">
        <v>2438</v>
      </c>
      <c r="B1098" s="47" t="s">
        <v>2439</v>
      </c>
      <c r="C1098" s="47" t="s">
        <v>7756</v>
      </c>
      <c r="D1098" s="47" t="s">
        <v>192</v>
      </c>
      <c r="E1098" s="47" t="s">
        <v>508</v>
      </c>
      <c r="F1098" s="47">
        <v>867.0</v>
      </c>
      <c r="G1098" s="47">
        <v>10.98</v>
      </c>
      <c r="H1098" s="47">
        <v>79.0</v>
      </c>
      <c r="I1098" s="47" t="s">
        <v>62</v>
      </c>
    </row>
    <row r="1099" ht="15.75" customHeight="1">
      <c r="A1099" s="47" t="s">
        <v>2440</v>
      </c>
      <c r="B1099" s="47" t="s">
        <v>2441</v>
      </c>
      <c r="C1099" s="47" t="s">
        <v>7756</v>
      </c>
      <c r="D1099" s="47" t="s">
        <v>135</v>
      </c>
      <c r="E1099" s="47" t="s">
        <v>349</v>
      </c>
      <c r="F1099" s="47">
        <v>541.0</v>
      </c>
      <c r="G1099" s="47">
        <v>6.54</v>
      </c>
      <c r="H1099" s="47">
        <v>82.7</v>
      </c>
      <c r="I1099" s="47" t="s">
        <v>62</v>
      </c>
    </row>
    <row r="1100" ht="15.75" customHeight="1">
      <c r="A1100" s="47" t="s">
        <v>2442</v>
      </c>
      <c r="B1100" s="47" t="s">
        <v>2443</v>
      </c>
      <c r="C1100" s="47" t="s">
        <v>7756</v>
      </c>
      <c r="D1100" s="47" t="s">
        <v>120</v>
      </c>
      <c r="E1100" s="47" t="s">
        <v>312</v>
      </c>
      <c r="F1100" s="47">
        <v>710.0</v>
      </c>
      <c r="G1100" s="47">
        <v>15.52</v>
      </c>
      <c r="H1100" s="47">
        <v>45.7</v>
      </c>
      <c r="I1100" s="47" t="s">
        <v>62</v>
      </c>
    </row>
    <row r="1101" ht="15.75" customHeight="1">
      <c r="A1101" s="47" t="s">
        <v>2444</v>
      </c>
      <c r="B1101" s="47" t="s">
        <v>2445</v>
      </c>
      <c r="C1101" s="47" t="s">
        <v>7756</v>
      </c>
      <c r="D1101" s="47" t="s">
        <v>122</v>
      </c>
      <c r="E1101" s="47" t="s">
        <v>328</v>
      </c>
      <c r="F1101" s="47">
        <v>1446.0</v>
      </c>
      <c r="G1101" s="47">
        <v>5.57</v>
      </c>
      <c r="H1101" s="47">
        <v>259.6</v>
      </c>
      <c r="I1101" s="47" t="s">
        <v>62</v>
      </c>
    </row>
    <row r="1102" ht="15.75" customHeight="1">
      <c r="A1102" s="47" t="s">
        <v>2446</v>
      </c>
      <c r="B1102" s="47" t="s">
        <v>2447</v>
      </c>
      <c r="C1102" s="47" t="s">
        <v>7756</v>
      </c>
      <c r="D1102" s="47" t="s">
        <v>72</v>
      </c>
      <c r="E1102" s="47" t="s">
        <v>71</v>
      </c>
      <c r="F1102" s="47">
        <v>3496.0</v>
      </c>
      <c r="G1102" s="47">
        <v>8.93</v>
      </c>
      <c r="H1102" s="47">
        <v>391.5</v>
      </c>
      <c r="I1102" s="47" t="s">
        <v>142</v>
      </c>
    </row>
    <row r="1103" ht="15.75" customHeight="1">
      <c r="A1103" s="47" t="s">
        <v>2448</v>
      </c>
      <c r="B1103" s="47" t="s">
        <v>2449</v>
      </c>
      <c r="C1103" s="47" t="s">
        <v>7756</v>
      </c>
      <c r="D1103" s="47" t="s">
        <v>192</v>
      </c>
      <c r="E1103" s="47" t="s">
        <v>508</v>
      </c>
      <c r="F1103" s="47">
        <v>902.0</v>
      </c>
      <c r="G1103" s="47">
        <v>12.14</v>
      </c>
      <c r="H1103" s="47">
        <v>74.3</v>
      </c>
      <c r="I1103" s="47" t="s">
        <v>62</v>
      </c>
    </row>
    <row r="1104" ht="15.75" customHeight="1">
      <c r="A1104" s="47" t="s">
        <v>2450</v>
      </c>
      <c r="B1104" s="47" t="s">
        <v>2451</v>
      </c>
      <c r="C1104" s="47" t="s">
        <v>7756</v>
      </c>
      <c r="D1104" s="47" t="s">
        <v>236</v>
      </c>
      <c r="E1104" s="47" t="s">
        <v>558</v>
      </c>
      <c r="F1104" s="47">
        <v>3326.0</v>
      </c>
      <c r="G1104" s="47">
        <v>6.48</v>
      </c>
      <c r="H1104" s="47">
        <v>513.3</v>
      </c>
      <c r="I1104" s="47" t="s">
        <v>142</v>
      </c>
    </row>
    <row r="1105" ht="15.75" customHeight="1">
      <c r="A1105" s="47" t="s">
        <v>2452</v>
      </c>
      <c r="B1105" s="47" t="s">
        <v>2453</v>
      </c>
      <c r="C1105" s="47" t="s">
        <v>7756</v>
      </c>
      <c r="D1105" s="47" t="s">
        <v>236</v>
      </c>
      <c r="E1105" s="47" t="s">
        <v>558</v>
      </c>
      <c r="F1105" s="47">
        <v>7921.0</v>
      </c>
      <c r="G1105" s="47">
        <v>11.27</v>
      </c>
      <c r="H1105" s="47">
        <v>702.8</v>
      </c>
      <c r="I1105" s="47" t="s">
        <v>142</v>
      </c>
    </row>
    <row r="1106" ht="15.75" customHeight="1">
      <c r="A1106" s="47" t="s">
        <v>2454</v>
      </c>
      <c r="B1106" s="47" t="s">
        <v>2455</v>
      </c>
      <c r="C1106" s="47" t="s">
        <v>7756</v>
      </c>
      <c r="D1106" s="47" t="s">
        <v>99</v>
      </c>
      <c r="E1106" s="47" t="s">
        <v>98</v>
      </c>
      <c r="F1106" s="47">
        <v>978.0</v>
      </c>
      <c r="G1106" s="47">
        <v>13.19</v>
      </c>
      <c r="H1106" s="47">
        <v>74.1</v>
      </c>
      <c r="I1106" s="47" t="s">
        <v>62</v>
      </c>
    </row>
    <row r="1107" ht="15.75" customHeight="1">
      <c r="A1107" s="47" t="s">
        <v>2456</v>
      </c>
      <c r="B1107" s="47" t="s">
        <v>2457</v>
      </c>
      <c r="C1107" s="47" t="s">
        <v>7756</v>
      </c>
      <c r="D1107" s="47" t="s">
        <v>171</v>
      </c>
      <c r="E1107" s="47" t="s">
        <v>457</v>
      </c>
      <c r="F1107" s="47">
        <v>3259.0</v>
      </c>
      <c r="G1107" s="47">
        <v>5.54</v>
      </c>
      <c r="H1107" s="47">
        <v>588.3</v>
      </c>
      <c r="I1107" s="47" t="s">
        <v>142</v>
      </c>
    </row>
    <row r="1108" ht="15.75" customHeight="1">
      <c r="A1108" s="47" t="s">
        <v>2458</v>
      </c>
      <c r="B1108" s="47" t="s">
        <v>2459</v>
      </c>
      <c r="C1108" s="47" t="s">
        <v>7756</v>
      </c>
      <c r="D1108" s="47" t="s">
        <v>236</v>
      </c>
      <c r="E1108" s="47" t="s">
        <v>558</v>
      </c>
      <c r="F1108" s="47">
        <v>1712.0</v>
      </c>
      <c r="G1108" s="47">
        <v>7.97</v>
      </c>
      <c r="H1108" s="47">
        <v>214.8</v>
      </c>
      <c r="I1108" s="47" t="s">
        <v>62</v>
      </c>
    </row>
    <row r="1109" ht="15.75" customHeight="1">
      <c r="A1109" s="47" t="s">
        <v>2460</v>
      </c>
      <c r="B1109" s="47" t="s">
        <v>2461</v>
      </c>
      <c r="C1109" s="47" t="s">
        <v>7756</v>
      </c>
      <c r="D1109" s="47" t="s">
        <v>135</v>
      </c>
      <c r="E1109" s="47" t="s">
        <v>349</v>
      </c>
      <c r="F1109" s="47">
        <v>619.0</v>
      </c>
      <c r="G1109" s="47">
        <v>3.86</v>
      </c>
      <c r="H1109" s="47">
        <v>160.4</v>
      </c>
      <c r="I1109" s="47" t="s">
        <v>62</v>
      </c>
    </row>
    <row r="1110" ht="15.75" customHeight="1">
      <c r="A1110" s="47" t="s">
        <v>2462</v>
      </c>
      <c r="B1110" s="47" t="s">
        <v>2463</v>
      </c>
      <c r="C1110" s="47" t="s">
        <v>7756</v>
      </c>
      <c r="D1110" s="47" t="s">
        <v>120</v>
      </c>
      <c r="E1110" s="47" t="s">
        <v>312</v>
      </c>
      <c r="F1110" s="47">
        <v>3403.0</v>
      </c>
      <c r="G1110" s="47">
        <v>12.75</v>
      </c>
      <c r="H1110" s="47">
        <v>266.9</v>
      </c>
      <c r="I1110" s="47" t="s">
        <v>142</v>
      </c>
    </row>
    <row r="1111" ht="15.75" customHeight="1">
      <c r="A1111" s="47" t="s">
        <v>2464</v>
      </c>
      <c r="B1111" s="47" t="s">
        <v>2465</v>
      </c>
      <c r="C1111" s="47" t="s">
        <v>7756</v>
      </c>
      <c r="D1111" s="47" t="s">
        <v>192</v>
      </c>
      <c r="E1111" s="47" t="s">
        <v>508</v>
      </c>
      <c r="F1111" s="47">
        <v>1115.0</v>
      </c>
      <c r="G1111" s="47">
        <v>5.9</v>
      </c>
      <c r="H1111" s="47">
        <v>189.0</v>
      </c>
      <c r="I1111" s="47" t="s">
        <v>62</v>
      </c>
    </row>
    <row r="1112" ht="15.75" customHeight="1">
      <c r="A1112" s="47" t="s">
        <v>2466</v>
      </c>
      <c r="B1112" s="47" t="s">
        <v>2467</v>
      </c>
      <c r="C1112" s="47" t="s">
        <v>7756</v>
      </c>
      <c r="D1112" s="47" t="s">
        <v>145</v>
      </c>
      <c r="E1112" s="47" t="s">
        <v>255</v>
      </c>
      <c r="F1112" s="47">
        <v>10160.0</v>
      </c>
      <c r="G1112" s="47">
        <v>10.23</v>
      </c>
      <c r="H1112" s="47">
        <v>993.2</v>
      </c>
      <c r="I1112" s="47" t="s">
        <v>571</v>
      </c>
    </row>
    <row r="1113" ht="15.75" customHeight="1">
      <c r="A1113" s="47" t="s">
        <v>2468</v>
      </c>
      <c r="B1113" s="47" t="s">
        <v>2469</v>
      </c>
      <c r="C1113" s="47" t="s">
        <v>7756</v>
      </c>
      <c r="D1113" s="47" t="s">
        <v>192</v>
      </c>
      <c r="E1113" s="47" t="s">
        <v>508</v>
      </c>
      <c r="F1113" s="47">
        <v>856.0</v>
      </c>
      <c r="G1113" s="47">
        <v>3.96</v>
      </c>
      <c r="H1113" s="47">
        <v>216.2</v>
      </c>
      <c r="I1113" s="47" t="s">
        <v>62</v>
      </c>
    </row>
    <row r="1114" ht="15.75" customHeight="1">
      <c r="A1114" s="47" t="s">
        <v>2470</v>
      </c>
      <c r="B1114" s="47" t="s">
        <v>2471</v>
      </c>
      <c r="C1114" s="47" t="s">
        <v>7756</v>
      </c>
      <c r="D1114" s="47" t="s">
        <v>171</v>
      </c>
      <c r="E1114" s="47" t="s">
        <v>457</v>
      </c>
      <c r="F1114" s="47">
        <v>1164.0</v>
      </c>
      <c r="G1114" s="47">
        <v>11.99</v>
      </c>
      <c r="H1114" s="47">
        <v>97.1</v>
      </c>
      <c r="I1114" s="47" t="s">
        <v>62</v>
      </c>
    </row>
    <row r="1115" ht="15.75" customHeight="1">
      <c r="A1115" s="47" t="s">
        <v>2472</v>
      </c>
      <c r="B1115" s="47" t="s">
        <v>2473</v>
      </c>
      <c r="C1115" s="47" t="s">
        <v>7756</v>
      </c>
      <c r="D1115" s="47" t="s">
        <v>130</v>
      </c>
      <c r="E1115" s="47" t="s">
        <v>180</v>
      </c>
      <c r="F1115" s="47">
        <v>6287.0</v>
      </c>
      <c r="G1115" s="47">
        <v>5.99</v>
      </c>
      <c r="H1115" s="47">
        <v>1049.6</v>
      </c>
      <c r="I1115" s="47" t="s">
        <v>142</v>
      </c>
    </row>
    <row r="1116" ht="15.75" customHeight="1">
      <c r="A1116" s="47" t="s">
        <v>2474</v>
      </c>
      <c r="B1116" s="47" t="s">
        <v>2475</v>
      </c>
      <c r="C1116" s="47" t="s">
        <v>7756</v>
      </c>
      <c r="D1116" s="47" t="s">
        <v>236</v>
      </c>
      <c r="E1116" s="47" t="s">
        <v>558</v>
      </c>
      <c r="F1116" s="47">
        <v>27090.0</v>
      </c>
      <c r="G1116" s="47">
        <v>6.07</v>
      </c>
      <c r="H1116" s="47">
        <v>4462.9</v>
      </c>
      <c r="I1116" s="47" t="s">
        <v>571</v>
      </c>
    </row>
    <row r="1117" ht="15.75" customHeight="1">
      <c r="A1117" s="47" t="s">
        <v>2476</v>
      </c>
      <c r="B1117" s="47" t="s">
        <v>2477</v>
      </c>
      <c r="C1117" s="47" t="s">
        <v>7756</v>
      </c>
      <c r="D1117" s="47" t="s">
        <v>130</v>
      </c>
      <c r="E1117" s="47" t="s">
        <v>180</v>
      </c>
      <c r="F1117" s="47">
        <v>4883.0</v>
      </c>
      <c r="G1117" s="47">
        <v>8.8</v>
      </c>
      <c r="H1117" s="47">
        <v>554.9</v>
      </c>
      <c r="I1117" s="47" t="s">
        <v>142</v>
      </c>
    </row>
    <row r="1118" ht="15.75" customHeight="1">
      <c r="A1118" s="47" t="s">
        <v>2478</v>
      </c>
      <c r="B1118" s="47" t="s">
        <v>2479</v>
      </c>
      <c r="C1118" s="47" t="s">
        <v>7756</v>
      </c>
      <c r="D1118" s="47" t="s">
        <v>224</v>
      </c>
      <c r="E1118" s="47" t="s">
        <v>390</v>
      </c>
      <c r="F1118" s="47">
        <v>2518.0</v>
      </c>
      <c r="G1118" s="47">
        <v>11.96</v>
      </c>
      <c r="H1118" s="47">
        <v>210.5</v>
      </c>
      <c r="I1118" s="47" t="s">
        <v>142</v>
      </c>
    </row>
    <row r="1119" ht="15.75" customHeight="1">
      <c r="A1119" s="47" t="s">
        <v>2480</v>
      </c>
      <c r="B1119" s="47" t="s">
        <v>2481</v>
      </c>
      <c r="C1119" s="47" t="s">
        <v>7756</v>
      </c>
      <c r="D1119" s="47" t="s">
        <v>192</v>
      </c>
      <c r="E1119" s="47" t="s">
        <v>508</v>
      </c>
      <c r="F1119" s="47">
        <v>3407.0</v>
      </c>
      <c r="G1119" s="47">
        <v>21.65</v>
      </c>
      <c r="H1119" s="47">
        <v>157.4</v>
      </c>
      <c r="I1119" s="47" t="s">
        <v>142</v>
      </c>
    </row>
    <row r="1120" ht="15.75" customHeight="1">
      <c r="A1120" s="47" t="s">
        <v>2482</v>
      </c>
      <c r="B1120" s="47" t="s">
        <v>2483</v>
      </c>
      <c r="C1120" s="47" t="s">
        <v>7756</v>
      </c>
      <c r="D1120" s="47" t="s">
        <v>236</v>
      </c>
      <c r="E1120" s="47" t="s">
        <v>558</v>
      </c>
      <c r="F1120" s="47">
        <v>1812.0</v>
      </c>
      <c r="G1120" s="47">
        <v>0.18</v>
      </c>
      <c r="H1120" s="47">
        <v>10066.7</v>
      </c>
      <c r="I1120" s="47" t="s">
        <v>62</v>
      </c>
    </row>
    <row r="1121" ht="15.75" customHeight="1">
      <c r="A1121" s="47" t="s">
        <v>2484</v>
      </c>
      <c r="B1121" s="47" t="s">
        <v>2485</v>
      </c>
      <c r="C1121" s="47" t="s">
        <v>7756</v>
      </c>
      <c r="D1121" s="47" t="s">
        <v>149</v>
      </c>
      <c r="E1121" s="47" t="s">
        <v>363</v>
      </c>
      <c r="F1121" s="47">
        <v>231.0</v>
      </c>
      <c r="G1121" s="47">
        <v>5.38</v>
      </c>
      <c r="H1121" s="47">
        <v>42.9</v>
      </c>
      <c r="I1121" s="47" t="s">
        <v>75</v>
      </c>
    </row>
    <row r="1122" ht="15.75" customHeight="1">
      <c r="A1122" s="47" t="s">
        <v>2486</v>
      </c>
      <c r="B1122" s="47" t="s">
        <v>2487</v>
      </c>
      <c r="C1122" s="47" t="s">
        <v>7756</v>
      </c>
      <c r="D1122" s="47" t="s">
        <v>130</v>
      </c>
      <c r="E1122" s="47" t="s">
        <v>180</v>
      </c>
      <c r="F1122" s="47">
        <v>1608.0</v>
      </c>
      <c r="G1122" s="47">
        <v>3.63</v>
      </c>
      <c r="H1122" s="47">
        <v>443.0</v>
      </c>
      <c r="I1122" s="47" t="s">
        <v>62</v>
      </c>
    </row>
    <row r="1123" ht="15.75" customHeight="1">
      <c r="A1123" s="47" t="s">
        <v>2488</v>
      </c>
      <c r="B1123" s="47" t="s">
        <v>2489</v>
      </c>
      <c r="C1123" s="47" t="s">
        <v>7756</v>
      </c>
      <c r="D1123" s="47" t="s">
        <v>122</v>
      </c>
      <c r="E1123" s="47" t="s">
        <v>328</v>
      </c>
      <c r="F1123" s="47">
        <v>3046.0</v>
      </c>
      <c r="G1123" s="47">
        <v>16.31</v>
      </c>
      <c r="H1123" s="47">
        <v>186.8</v>
      </c>
      <c r="I1123" s="47" t="s">
        <v>142</v>
      </c>
    </row>
    <row r="1124" ht="15.75" customHeight="1">
      <c r="A1124" s="47" t="s">
        <v>2490</v>
      </c>
      <c r="B1124" s="47" t="s">
        <v>2491</v>
      </c>
      <c r="C1124" s="47" t="s">
        <v>7756</v>
      </c>
      <c r="D1124" s="47" t="s">
        <v>130</v>
      </c>
      <c r="E1124" s="47" t="s">
        <v>180</v>
      </c>
      <c r="F1124" s="47">
        <v>1346.0</v>
      </c>
      <c r="G1124" s="47">
        <v>4.92</v>
      </c>
      <c r="H1124" s="47">
        <v>273.6</v>
      </c>
      <c r="I1124" s="47" t="s">
        <v>62</v>
      </c>
    </row>
    <row r="1125" ht="15.75" customHeight="1">
      <c r="A1125" s="47" t="s">
        <v>2492</v>
      </c>
      <c r="B1125" s="47" t="s">
        <v>2493</v>
      </c>
      <c r="C1125" s="47" t="s">
        <v>7756</v>
      </c>
      <c r="D1125" s="47" t="s">
        <v>171</v>
      </c>
      <c r="E1125" s="47" t="s">
        <v>457</v>
      </c>
      <c r="F1125" s="47">
        <v>703.0</v>
      </c>
      <c r="G1125" s="47">
        <v>8.67</v>
      </c>
      <c r="H1125" s="47">
        <v>81.1</v>
      </c>
      <c r="I1125" s="47" t="s">
        <v>62</v>
      </c>
    </row>
    <row r="1126" ht="15.75" customHeight="1">
      <c r="A1126" s="47" t="s">
        <v>2494</v>
      </c>
      <c r="B1126" s="47" t="s">
        <v>2495</v>
      </c>
      <c r="C1126" s="47" t="s">
        <v>7756</v>
      </c>
      <c r="D1126" s="47" t="s">
        <v>171</v>
      </c>
      <c r="E1126" s="47" t="s">
        <v>457</v>
      </c>
      <c r="F1126" s="47">
        <v>611.0</v>
      </c>
      <c r="G1126" s="47">
        <v>7.02</v>
      </c>
      <c r="H1126" s="47">
        <v>87.0</v>
      </c>
      <c r="I1126" s="47" t="s">
        <v>62</v>
      </c>
    </row>
    <row r="1127" ht="15.75" customHeight="1">
      <c r="A1127" s="47" t="s">
        <v>2496</v>
      </c>
      <c r="B1127" s="47" t="s">
        <v>2497</v>
      </c>
      <c r="C1127" s="47" t="s">
        <v>7756</v>
      </c>
      <c r="D1127" s="47" t="s">
        <v>236</v>
      </c>
      <c r="E1127" s="47" t="s">
        <v>558</v>
      </c>
      <c r="F1127" s="47">
        <v>9521.0</v>
      </c>
      <c r="G1127" s="47">
        <v>5.41</v>
      </c>
      <c r="H1127" s="47">
        <v>1759.9</v>
      </c>
      <c r="I1127" s="47" t="s">
        <v>142</v>
      </c>
    </row>
    <row r="1128" ht="15.75" customHeight="1">
      <c r="A1128" s="47" t="s">
        <v>2498</v>
      </c>
      <c r="B1128" s="47" t="s">
        <v>2499</v>
      </c>
      <c r="C1128" s="47" t="s">
        <v>7756</v>
      </c>
      <c r="D1128" s="47" t="s">
        <v>235</v>
      </c>
      <c r="E1128" s="47" t="s">
        <v>555</v>
      </c>
      <c r="F1128" s="47">
        <v>4078.0</v>
      </c>
      <c r="G1128" s="47">
        <v>7.19</v>
      </c>
      <c r="H1128" s="47">
        <v>567.2</v>
      </c>
      <c r="I1128" s="47" t="s">
        <v>142</v>
      </c>
    </row>
    <row r="1129" ht="15.75" customHeight="1">
      <c r="A1129" s="47" t="s">
        <v>2500</v>
      </c>
      <c r="B1129" s="47" t="s">
        <v>2501</v>
      </c>
      <c r="C1129" s="47" t="s">
        <v>7756</v>
      </c>
      <c r="D1129" s="47" t="s">
        <v>120</v>
      </c>
      <c r="E1129" s="47" t="s">
        <v>312</v>
      </c>
      <c r="F1129" s="47">
        <v>432.0</v>
      </c>
      <c r="G1129" s="47">
        <v>8.44</v>
      </c>
      <c r="H1129" s="47">
        <v>51.2</v>
      </c>
      <c r="I1129" s="47" t="s">
        <v>75</v>
      </c>
    </row>
    <row r="1130" ht="15.75" customHeight="1">
      <c r="A1130" s="47" t="s">
        <v>2502</v>
      </c>
      <c r="B1130" s="47" t="s">
        <v>2503</v>
      </c>
      <c r="C1130" s="47" t="s">
        <v>7756</v>
      </c>
      <c r="D1130" s="47" t="s">
        <v>149</v>
      </c>
      <c r="E1130" s="47" t="s">
        <v>363</v>
      </c>
      <c r="F1130" s="47">
        <v>236.0</v>
      </c>
      <c r="G1130" s="47">
        <v>4.46</v>
      </c>
      <c r="H1130" s="47">
        <v>52.9</v>
      </c>
      <c r="I1130" s="47" t="s">
        <v>75</v>
      </c>
    </row>
    <row r="1131" ht="15.75" customHeight="1">
      <c r="A1131" s="47" t="s">
        <v>2504</v>
      </c>
      <c r="B1131" s="47" t="s">
        <v>2505</v>
      </c>
      <c r="C1131" s="47" t="s">
        <v>7756</v>
      </c>
      <c r="D1131" s="47" t="s">
        <v>236</v>
      </c>
      <c r="E1131" s="47" t="s">
        <v>558</v>
      </c>
      <c r="F1131" s="47">
        <v>9600.0</v>
      </c>
      <c r="G1131" s="47">
        <v>8.47</v>
      </c>
      <c r="H1131" s="47">
        <v>1133.4</v>
      </c>
      <c r="I1131" s="47" t="s">
        <v>142</v>
      </c>
    </row>
    <row r="1132" ht="15.75" customHeight="1">
      <c r="A1132" s="47" t="s">
        <v>2506</v>
      </c>
      <c r="B1132" s="47" t="s">
        <v>2507</v>
      </c>
      <c r="C1132" s="47" t="s">
        <v>7756</v>
      </c>
      <c r="D1132" s="47" t="s">
        <v>145</v>
      </c>
      <c r="E1132" s="47" t="s">
        <v>255</v>
      </c>
      <c r="F1132" s="47">
        <v>2474.0</v>
      </c>
      <c r="G1132" s="47">
        <v>5.9</v>
      </c>
      <c r="H1132" s="47">
        <v>419.3</v>
      </c>
      <c r="I1132" s="47" t="s">
        <v>142</v>
      </c>
    </row>
    <row r="1133" ht="15.75" customHeight="1">
      <c r="A1133" s="47" t="s">
        <v>2508</v>
      </c>
      <c r="B1133" s="47" t="s">
        <v>2509</v>
      </c>
      <c r="C1133" s="47" t="s">
        <v>7756</v>
      </c>
      <c r="D1133" s="47" t="s">
        <v>72</v>
      </c>
      <c r="E1133" s="47" t="s">
        <v>71</v>
      </c>
      <c r="F1133" s="47">
        <v>2353.0</v>
      </c>
      <c r="G1133" s="47">
        <v>3.9</v>
      </c>
      <c r="H1133" s="47">
        <v>603.3</v>
      </c>
      <c r="I1133" s="47" t="s">
        <v>142</v>
      </c>
    </row>
    <row r="1134" ht="15.75" customHeight="1">
      <c r="A1134" s="47" t="s">
        <v>2510</v>
      </c>
      <c r="B1134" s="47" t="s">
        <v>2511</v>
      </c>
      <c r="C1134" s="47" t="s">
        <v>7756</v>
      </c>
      <c r="D1134" s="47" t="s">
        <v>236</v>
      </c>
      <c r="E1134" s="47" t="s">
        <v>558</v>
      </c>
      <c r="F1134" s="47">
        <v>2978.0</v>
      </c>
      <c r="G1134" s="47">
        <v>2.15</v>
      </c>
      <c r="H1134" s="47">
        <v>1385.1</v>
      </c>
      <c r="I1134" s="47" t="s">
        <v>142</v>
      </c>
    </row>
    <row r="1135" ht="15.75" customHeight="1">
      <c r="A1135" s="47" t="s">
        <v>2512</v>
      </c>
      <c r="B1135" s="47" t="s">
        <v>2513</v>
      </c>
      <c r="C1135" s="47" t="s">
        <v>7756</v>
      </c>
      <c r="D1135" s="47" t="s">
        <v>149</v>
      </c>
      <c r="E1135" s="47" t="s">
        <v>363</v>
      </c>
      <c r="F1135" s="47">
        <v>527.0</v>
      </c>
      <c r="G1135" s="47">
        <v>17.57</v>
      </c>
      <c r="H1135" s="47">
        <v>30.0</v>
      </c>
      <c r="I1135" s="47" t="s">
        <v>62</v>
      </c>
    </row>
    <row r="1136" ht="15.75" customHeight="1">
      <c r="A1136" s="47" t="s">
        <v>2514</v>
      </c>
      <c r="B1136" s="47" t="s">
        <v>2515</v>
      </c>
      <c r="C1136" s="47" t="s">
        <v>7756</v>
      </c>
      <c r="D1136" s="47" t="s">
        <v>122</v>
      </c>
      <c r="E1136" s="47" t="s">
        <v>328</v>
      </c>
      <c r="F1136" s="47">
        <v>1462.0</v>
      </c>
      <c r="G1136" s="47">
        <v>5.12</v>
      </c>
      <c r="H1136" s="47">
        <v>285.5</v>
      </c>
      <c r="I1136" s="47" t="s">
        <v>62</v>
      </c>
    </row>
    <row r="1137" ht="15.75" customHeight="1">
      <c r="A1137" s="47" t="s">
        <v>2516</v>
      </c>
      <c r="B1137" s="47" t="s">
        <v>2517</v>
      </c>
      <c r="C1137" s="47" t="s">
        <v>7756</v>
      </c>
      <c r="D1137" s="47" t="s">
        <v>135</v>
      </c>
      <c r="E1137" s="47" t="s">
        <v>349</v>
      </c>
      <c r="F1137" s="47">
        <v>1847.0</v>
      </c>
      <c r="G1137" s="47">
        <v>8.88</v>
      </c>
      <c r="H1137" s="47">
        <v>208.0</v>
      </c>
      <c r="I1137" s="47" t="s">
        <v>62</v>
      </c>
    </row>
    <row r="1138" ht="15.75" customHeight="1">
      <c r="A1138" s="47" t="s">
        <v>2518</v>
      </c>
      <c r="B1138" s="47" t="s">
        <v>2519</v>
      </c>
      <c r="C1138" s="47" t="s">
        <v>7756</v>
      </c>
      <c r="D1138" s="47" t="s">
        <v>236</v>
      </c>
      <c r="E1138" s="47" t="s">
        <v>558</v>
      </c>
      <c r="F1138" s="47">
        <v>238246.0</v>
      </c>
      <c r="G1138" s="47">
        <v>34.75</v>
      </c>
      <c r="H1138" s="47">
        <v>6856.0</v>
      </c>
      <c r="I1138" s="47" t="s">
        <v>7463</v>
      </c>
    </row>
    <row r="1139" ht="15.75" customHeight="1">
      <c r="A1139" s="47" t="s">
        <v>2520</v>
      </c>
      <c r="B1139" s="47" t="s">
        <v>2521</v>
      </c>
      <c r="C1139" s="47" t="s">
        <v>7756</v>
      </c>
      <c r="D1139" s="47" t="s">
        <v>145</v>
      </c>
      <c r="E1139" s="47" t="s">
        <v>255</v>
      </c>
      <c r="F1139" s="47">
        <v>525.0</v>
      </c>
      <c r="G1139" s="47">
        <v>6.8</v>
      </c>
      <c r="H1139" s="47">
        <v>77.2</v>
      </c>
      <c r="I1139" s="47" t="s">
        <v>62</v>
      </c>
    </row>
    <row r="1140" ht="15.75" customHeight="1">
      <c r="A1140" s="47" t="s">
        <v>2522</v>
      </c>
      <c r="B1140" s="47" t="s">
        <v>2523</v>
      </c>
      <c r="C1140" s="47" t="s">
        <v>7756</v>
      </c>
      <c r="D1140" s="47" t="s">
        <v>236</v>
      </c>
      <c r="E1140" s="47" t="s">
        <v>558</v>
      </c>
      <c r="F1140" s="47">
        <v>8161.0</v>
      </c>
      <c r="G1140" s="47">
        <v>11.7</v>
      </c>
      <c r="H1140" s="47">
        <v>697.5</v>
      </c>
      <c r="I1140" s="47" t="s">
        <v>142</v>
      </c>
    </row>
    <row r="1141" ht="15.75" customHeight="1">
      <c r="A1141" s="47" t="s">
        <v>2524</v>
      </c>
      <c r="B1141" s="47" t="s">
        <v>2525</v>
      </c>
      <c r="C1141" s="47" t="s">
        <v>7756</v>
      </c>
      <c r="D1141" s="47" t="s">
        <v>192</v>
      </c>
      <c r="E1141" s="47" t="s">
        <v>508</v>
      </c>
      <c r="F1141" s="47">
        <v>301.0</v>
      </c>
      <c r="G1141" s="47">
        <v>97.47</v>
      </c>
      <c r="H1141" s="47">
        <v>3.1</v>
      </c>
      <c r="I1141" s="47" t="s">
        <v>75</v>
      </c>
    </row>
    <row r="1142" ht="15.75" customHeight="1">
      <c r="A1142" s="47" t="s">
        <v>2526</v>
      </c>
      <c r="B1142" s="47" t="s">
        <v>2527</v>
      </c>
      <c r="C1142" s="47" t="s">
        <v>7756</v>
      </c>
      <c r="D1142" s="47" t="s">
        <v>72</v>
      </c>
      <c r="E1142" s="47" t="s">
        <v>71</v>
      </c>
      <c r="F1142" s="47">
        <v>712.0</v>
      </c>
      <c r="G1142" s="47">
        <v>2.61</v>
      </c>
      <c r="H1142" s="47">
        <v>272.8</v>
      </c>
      <c r="I1142" s="47" t="s">
        <v>62</v>
      </c>
    </row>
    <row r="1143" ht="15.75" customHeight="1">
      <c r="A1143" s="47" t="s">
        <v>2528</v>
      </c>
      <c r="B1143" s="47" t="s">
        <v>2529</v>
      </c>
      <c r="C1143" s="47" t="s">
        <v>7756</v>
      </c>
      <c r="D1143" s="47" t="s">
        <v>236</v>
      </c>
      <c r="E1143" s="47" t="s">
        <v>558</v>
      </c>
      <c r="F1143" s="47">
        <v>2155.0</v>
      </c>
      <c r="G1143" s="47">
        <v>3.1</v>
      </c>
      <c r="H1143" s="47">
        <v>695.2</v>
      </c>
      <c r="I1143" s="47" t="s">
        <v>142</v>
      </c>
    </row>
    <row r="1144" ht="15.75" customHeight="1">
      <c r="A1144" s="47" t="s">
        <v>2530</v>
      </c>
      <c r="B1144" s="47" t="s">
        <v>2531</v>
      </c>
      <c r="C1144" s="47" t="s">
        <v>7756</v>
      </c>
      <c r="D1144" s="47" t="s">
        <v>192</v>
      </c>
      <c r="E1144" s="47" t="s">
        <v>508</v>
      </c>
      <c r="F1144" s="47">
        <v>2057.0</v>
      </c>
      <c r="G1144" s="47">
        <v>17.6</v>
      </c>
      <c r="H1144" s="47">
        <v>116.9</v>
      </c>
      <c r="I1144" s="47" t="s">
        <v>142</v>
      </c>
    </row>
    <row r="1145" ht="15.75" customHeight="1">
      <c r="A1145" s="47" t="s">
        <v>2532</v>
      </c>
      <c r="B1145" s="47" t="s">
        <v>2533</v>
      </c>
      <c r="C1145" s="47" t="s">
        <v>7756</v>
      </c>
      <c r="D1145" s="47" t="s">
        <v>171</v>
      </c>
      <c r="E1145" s="47" t="s">
        <v>457</v>
      </c>
      <c r="F1145" s="47">
        <v>1228.0</v>
      </c>
      <c r="G1145" s="47">
        <v>19.5</v>
      </c>
      <c r="H1145" s="47">
        <v>63.0</v>
      </c>
      <c r="I1145" s="47" t="s">
        <v>62</v>
      </c>
    </row>
    <row r="1146" ht="15.75" customHeight="1">
      <c r="A1146" s="47" t="s">
        <v>2534</v>
      </c>
      <c r="B1146" s="47" t="s">
        <v>2535</v>
      </c>
      <c r="C1146" s="47" t="s">
        <v>7756</v>
      </c>
      <c r="D1146" s="47" t="s">
        <v>235</v>
      </c>
      <c r="E1146" s="47" t="s">
        <v>555</v>
      </c>
      <c r="F1146" s="47">
        <v>5952.0</v>
      </c>
      <c r="G1146" s="47">
        <v>42.3</v>
      </c>
      <c r="H1146" s="47">
        <v>140.7</v>
      </c>
      <c r="I1146" s="47" t="s">
        <v>142</v>
      </c>
    </row>
    <row r="1147" ht="15.75" customHeight="1">
      <c r="A1147" s="47" t="s">
        <v>2536</v>
      </c>
      <c r="B1147" s="47" t="s">
        <v>2537</v>
      </c>
      <c r="C1147" s="47" t="s">
        <v>7756</v>
      </c>
      <c r="D1147" s="47" t="s">
        <v>236</v>
      </c>
      <c r="E1147" s="47" t="s">
        <v>558</v>
      </c>
      <c r="F1147" s="47">
        <v>22567.0</v>
      </c>
      <c r="G1147" s="47">
        <v>6.9</v>
      </c>
      <c r="H1147" s="47">
        <v>3270.6</v>
      </c>
      <c r="I1147" s="47" t="s">
        <v>571</v>
      </c>
    </row>
    <row r="1148" ht="15.75" customHeight="1">
      <c r="A1148" s="47" t="s">
        <v>2538</v>
      </c>
      <c r="B1148" s="47" t="s">
        <v>2539</v>
      </c>
      <c r="C1148" s="47" t="s">
        <v>7756</v>
      </c>
      <c r="D1148" s="47" t="s">
        <v>122</v>
      </c>
      <c r="E1148" s="47" t="s">
        <v>328</v>
      </c>
      <c r="F1148" s="47">
        <v>3734.0</v>
      </c>
      <c r="G1148" s="47">
        <v>2.66</v>
      </c>
      <c r="H1148" s="47">
        <v>1403.8</v>
      </c>
      <c r="I1148" s="47" t="s">
        <v>142</v>
      </c>
    </row>
    <row r="1149" ht="15.75" customHeight="1">
      <c r="A1149" s="47" t="s">
        <v>2540</v>
      </c>
      <c r="B1149" s="47" t="s">
        <v>2541</v>
      </c>
      <c r="C1149" s="47" t="s">
        <v>7756</v>
      </c>
      <c r="D1149" s="47" t="s">
        <v>192</v>
      </c>
      <c r="E1149" s="47" t="s">
        <v>508</v>
      </c>
      <c r="F1149" s="47">
        <v>899.0</v>
      </c>
      <c r="G1149" s="47">
        <v>8.39</v>
      </c>
      <c r="H1149" s="47">
        <v>107.2</v>
      </c>
      <c r="I1149" s="47" t="s">
        <v>62</v>
      </c>
    </row>
    <row r="1150" ht="15.75" customHeight="1">
      <c r="A1150" s="47" t="s">
        <v>2542</v>
      </c>
      <c r="B1150" s="47" t="s">
        <v>2543</v>
      </c>
      <c r="C1150" s="47" t="s">
        <v>7756</v>
      </c>
      <c r="D1150" s="47" t="s">
        <v>224</v>
      </c>
      <c r="E1150" s="47" t="s">
        <v>390</v>
      </c>
      <c r="F1150" s="47">
        <v>922.0</v>
      </c>
      <c r="G1150" s="47">
        <v>2.52</v>
      </c>
      <c r="H1150" s="47">
        <v>365.9</v>
      </c>
      <c r="I1150" s="47" t="s">
        <v>62</v>
      </c>
    </row>
    <row r="1151" ht="15.75" customHeight="1">
      <c r="A1151" s="47" t="s">
        <v>2544</v>
      </c>
      <c r="B1151" s="47" t="s">
        <v>2545</v>
      </c>
      <c r="C1151" s="47" t="s">
        <v>7756</v>
      </c>
      <c r="D1151" s="47" t="s">
        <v>145</v>
      </c>
      <c r="E1151" s="47" t="s">
        <v>255</v>
      </c>
      <c r="F1151" s="47">
        <v>6294.0</v>
      </c>
      <c r="G1151" s="47">
        <v>5.96</v>
      </c>
      <c r="H1151" s="47">
        <v>1056.0</v>
      </c>
      <c r="I1151" s="47" t="s">
        <v>142</v>
      </c>
    </row>
    <row r="1152" ht="15.75" customHeight="1">
      <c r="A1152" s="47" t="s">
        <v>2546</v>
      </c>
      <c r="B1152" s="47" t="s">
        <v>2547</v>
      </c>
      <c r="C1152" s="47" t="s">
        <v>7756</v>
      </c>
      <c r="D1152" s="47" t="s">
        <v>99</v>
      </c>
      <c r="E1152" s="47" t="s">
        <v>98</v>
      </c>
      <c r="F1152" s="47">
        <v>783.0</v>
      </c>
      <c r="G1152" s="47">
        <v>9.08</v>
      </c>
      <c r="H1152" s="47">
        <v>86.2</v>
      </c>
      <c r="I1152" s="47" t="s">
        <v>62</v>
      </c>
    </row>
    <row r="1153" ht="15.75" customHeight="1">
      <c r="A1153" s="47" t="s">
        <v>2548</v>
      </c>
      <c r="B1153" s="47" t="s">
        <v>2549</v>
      </c>
      <c r="C1153" s="47" t="s">
        <v>7756</v>
      </c>
      <c r="D1153" s="47" t="s">
        <v>236</v>
      </c>
      <c r="E1153" s="47" t="s">
        <v>558</v>
      </c>
      <c r="F1153" s="47">
        <v>14050.0</v>
      </c>
      <c r="G1153" s="47">
        <v>3.27</v>
      </c>
      <c r="H1153" s="47">
        <v>4296.6</v>
      </c>
      <c r="I1153" s="47" t="s">
        <v>571</v>
      </c>
    </row>
    <row r="1154" ht="15.75" customHeight="1">
      <c r="A1154" s="47" t="s">
        <v>2550</v>
      </c>
      <c r="B1154" s="47" t="s">
        <v>2551</v>
      </c>
      <c r="C1154" s="47" t="s">
        <v>7756</v>
      </c>
      <c r="D1154" s="47" t="s">
        <v>236</v>
      </c>
      <c r="E1154" s="47" t="s">
        <v>558</v>
      </c>
      <c r="F1154" s="47">
        <v>21790.0</v>
      </c>
      <c r="G1154" s="47">
        <v>2.69</v>
      </c>
      <c r="H1154" s="47">
        <v>8100.4</v>
      </c>
      <c r="I1154" s="47" t="s">
        <v>571</v>
      </c>
    </row>
    <row r="1155" ht="15.75" customHeight="1">
      <c r="A1155" s="47" t="s">
        <v>2552</v>
      </c>
      <c r="B1155" s="47" t="s">
        <v>2553</v>
      </c>
      <c r="C1155" s="47" t="s">
        <v>7756</v>
      </c>
      <c r="D1155" s="47" t="s">
        <v>146</v>
      </c>
      <c r="E1155" s="47" t="s">
        <v>268</v>
      </c>
      <c r="F1155" s="47">
        <v>3954.0</v>
      </c>
      <c r="G1155" s="47">
        <v>11.67</v>
      </c>
      <c r="H1155" s="47">
        <v>338.8</v>
      </c>
      <c r="I1155" s="47" t="s">
        <v>142</v>
      </c>
    </row>
    <row r="1156" ht="15.75" customHeight="1">
      <c r="A1156" s="47" t="s">
        <v>2554</v>
      </c>
      <c r="B1156" s="47" t="s">
        <v>2555</v>
      </c>
      <c r="C1156" s="47" t="s">
        <v>7756</v>
      </c>
      <c r="D1156" s="47" t="s">
        <v>145</v>
      </c>
      <c r="E1156" s="47" t="s">
        <v>255</v>
      </c>
      <c r="F1156" s="47">
        <v>699.0</v>
      </c>
      <c r="G1156" s="47">
        <v>6.57</v>
      </c>
      <c r="H1156" s="47">
        <v>106.4</v>
      </c>
      <c r="I1156" s="47" t="s">
        <v>62</v>
      </c>
    </row>
    <row r="1157" ht="15.75" customHeight="1">
      <c r="A1157" s="47" t="s">
        <v>2556</v>
      </c>
      <c r="B1157" s="47" t="s">
        <v>2557</v>
      </c>
      <c r="C1157" s="47" t="s">
        <v>7756</v>
      </c>
      <c r="D1157" s="47" t="s">
        <v>236</v>
      </c>
      <c r="E1157" s="47" t="s">
        <v>558</v>
      </c>
      <c r="F1157" s="47">
        <v>628.0</v>
      </c>
      <c r="G1157" s="47">
        <v>3.51</v>
      </c>
      <c r="H1157" s="47">
        <v>178.9</v>
      </c>
      <c r="I1157" s="47" t="s">
        <v>62</v>
      </c>
    </row>
    <row r="1158" ht="15.75" customHeight="1">
      <c r="A1158" s="47" t="s">
        <v>2558</v>
      </c>
      <c r="B1158" s="47" t="s">
        <v>2559</v>
      </c>
      <c r="C1158" s="47" t="s">
        <v>7756</v>
      </c>
      <c r="D1158" s="47" t="s">
        <v>135</v>
      </c>
      <c r="E1158" s="47" t="s">
        <v>349</v>
      </c>
      <c r="F1158" s="47">
        <v>498.0</v>
      </c>
      <c r="G1158" s="47">
        <v>10.27</v>
      </c>
      <c r="H1158" s="47">
        <v>48.5</v>
      </c>
      <c r="I1158" s="47" t="s">
        <v>75</v>
      </c>
    </row>
    <row r="1159" ht="15.75" customHeight="1">
      <c r="A1159" s="47" t="s">
        <v>2560</v>
      </c>
      <c r="B1159" s="47" t="s">
        <v>2561</v>
      </c>
      <c r="C1159" s="47" t="s">
        <v>7756</v>
      </c>
      <c r="D1159" s="47" t="s">
        <v>149</v>
      </c>
      <c r="E1159" s="47" t="s">
        <v>363</v>
      </c>
      <c r="F1159" s="47">
        <v>461.0</v>
      </c>
      <c r="G1159" s="47">
        <v>6.61</v>
      </c>
      <c r="H1159" s="47">
        <v>69.7</v>
      </c>
      <c r="I1159" s="47" t="s">
        <v>75</v>
      </c>
    </row>
    <row r="1160" ht="15.75" customHeight="1">
      <c r="A1160" s="47" t="s">
        <v>2562</v>
      </c>
      <c r="B1160" s="47" t="s">
        <v>2563</v>
      </c>
      <c r="C1160" s="47" t="s">
        <v>7756</v>
      </c>
      <c r="D1160" s="47" t="s">
        <v>72</v>
      </c>
      <c r="E1160" s="47" t="s">
        <v>71</v>
      </c>
      <c r="F1160" s="47">
        <v>4507.0</v>
      </c>
      <c r="G1160" s="47">
        <v>21.45</v>
      </c>
      <c r="H1160" s="47">
        <v>210.1</v>
      </c>
      <c r="I1160" s="47" t="s">
        <v>142</v>
      </c>
    </row>
    <row r="1161" ht="15.75" customHeight="1">
      <c r="A1161" s="47" t="s">
        <v>2564</v>
      </c>
      <c r="B1161" s="47" t="s">
        <v>2565</v>
      </c>
      <c r="C1161" s="47" t="s">
        <v>7756</v>
      </c>
      <c r="D1161" s="47" t="s">
        <v>120</v>
      </c>
      <c r="E1161" s="47" t="s">
        <v>312</v>
      </c>
      <c r="F1161" s="47">
        <v>1841.0</v>
      </c>
      <c r="G1161" s="47">
        <v>15.07</v>
      </c>
      <c r="H1161" s="47">
        <v>122.2</v>
      </c>
      <c r="I1161" s="47" t="s">
        <v>62</v>
      </c>
    </row>
    <row r="1162" ht="15.75" customHeight="1">
      <c r="A1162" s="47" t="s">
        <v>2566</v>
      </c>
      <c r="B1162" s="47" t="s">
        <v>2567</v>
      </c>
      <c r="C1162" s="47" t="s">
        <v>7756</v>
      </c>
      <c r="D1162" s="47" t="s">
        <v>236</v>
      </c>
      <c r="E1162" s="47" t="s">
        <v>558</v>
      </c>
      <c r="F1162" s="47">
        <v>40184.0</v>
      </c>
      <c r="G1162" s="47">
        <v>13.97</v>
      </c>
      <c r="H1162" s="47">
        <v>2876.4</v>
      </c>
      <c r="I1162" s="47" t="s">
        <v>571</v>
      </c>
    </row>
    <row r="1163" ht="15.75" customHeight="1">
      <c r="A1163" s="47" t="s">
        <v>2568</v>
      </c>
      <c r="B1163" s="47" t="s">
        <v>2569</v>
      </c>
      <c r="C1163" s="47" t="s">
        <v>7756</v>
      </c>
      <c r="D1163" s="47" t="s">
        <v>130</v>
      </c>
      <c r="E1163" s="47" t="s">
        <v>180</v>
      </c>
      <c r="F1163" s="47">
        <v>741.0</v>
      </c>
      <c r="G1163" s="47">
        <v>6.21</v>
      </c>
      <c r="H1163" s="47">
        <v>119.3</v>
      </c>
      <c r="I1163" s="47" t="s">
        <v>62</v>
      </c>
    </row>
    <row r="1164" ht="15.75" customHeight="1">
      <c r="A1164" s="47" t="s">
        <v>2570</v>
      </c>
      <c r="B1164" s="47" t="s">
        <v>2571</v>
      </c>
      <c r="C1164" s="47" t="s">
        <v>7756</v>
      </c>
      <c r="D1164" s="47" t="s">
        <v>192</v>
      </c>
      <c r="E1164" s="47" t="s">
        <v>508</v>
      </c>
      <c r="F1164" s="47">
        <v>808.0</v>
      </c>
      <c r="G1164" s="47">
        <v>4.79</v>
      </c>
      <c r="H1164" s="47">
        <v>168.7</v>
      </c>
      <c r="I1164" s="47" t="s">
        <v>62</v>
      </c>
    </row>
    <row r="1165" ht="15.75" customHeight="1">
      <c r="A1165" s="47" t="s">
        <v>2572</v>
      </c>
      <c r="B1165" s="47" t="s">
        <v>2573</v>
      </c>
      <c r="C1165" s="47" t="s">
        <v>7756</v>
      </c>
      <c r="D1165" s="47" t="s">
        <v>135</v>
      </c>
      <c r="E1165" s="47" t="s">
        <v>349</v>
      </c>
      <c r="F1165" s="47">
        <v>1402.0</v>
      </c>
      <c r="G1165" s="47">
        <v>11.24</v>
      </c>
      <c r="H1165" s="47">
        <v>124.7</v>
      </c>
      <c r="I1165" s="47" t="s">
        <v>62</v>
      </c>
    </row>
    <row r="1166" ht="15.75" customHeight="1">
      <c r="A1166" s="47" t="s">
        <v>2574</v>
      </c>
      <c r="B1166" s="47" t="s">
        <v>2575</v>
      </c>
      <c r="C1166" s="47" t="s">
        <v>7756</v>
      </c>
      <c r="D1166" s="47" t="s">
        <v>146</v>
      </c>
      <c r="E1166" s="47" t="s">
        <v>268</v>
      </c>
      <c r="F1166" s="47">
        <v>11995.0</v>
      </c>
      <c r="G1166" s="47">
        <v>8.03</v>
      </c>
      <c r="H1166" s="47">
        <v>1493.8</v>
      </c>
      <c r="I1166" s="47" t="s">
        <v>571</v>
      </c>
    </row>
    <row r="1167" ht="15.75" customHeight="1">
      <c r="A1167" s="47" t="s">
        <v>2576</v>
      </c>
      <c r="B1167" s="47" t="s">
        <v>2577</v>
      </c>
      <c r="C1167" s="47" t="s">
        <v>7756</v>
      </c>
      <c r="D1167" s="47" t="s">
        <v>192</v>
      </c>
      <c r="E1167" s="47" t="s">
        <v>508</v>
      </c>
      <c r="F1167" s="47">
        <v>1454.0</v>
      </c>
      <c r="G1167" s="47">
        <v>22.05</v>
      </c>
      <c r="H1167" s="47">
        <v>65.9</v>
      </c>
      <c r="I1167" s="47" t="s">
        <v>62</v>
      </c>
    </row>
    <row r="1168" ht="15.75" customHeight="1">
      <c r="A1168" s="47" t="s">
        <v>2578</v>
      </c>
      <c r="B1168" s="47" t="s">
        <v>2579</v>
      </c>
      <c r="C1168" s="47" t="s">
        <v>7756</v>
      </c>
      <c r="D1168" s="47" t="s">
        <v>145</v>
      </c>
      <c r="E1168" s="47" t="s">
        <v>255</v>
      </c>
      <c r="F1168" s="47">
        <v>2653.0</v>
      </c>
      <c r="G1168" s="47">
        <v>4.82</v>
      </c>
      <c r="H1168" s="47">
        <v>550.4</v>
      </c>
      <c r="I1168" s="47" t="s">
        <v>142</v>
      </c>
    </row>
    <row r="1169" ht="15.75" customHeight="1">
      <c r="A1169" s="47" t="s">
        <v>2580</v>
      </c>
      <c r="B1169" s="47" t="s">
        <v>2581</v>
      </c>
      <c r="C1169" s="47" t="s">
        <v>7756</v>
      </c>
      <c r="D1169" s="47" t="s">
        <v>236</v>
      </c>
      <c r="E1169" s="47" t="s">
        <v>558</v>
      </c>
      <c r="F1169" s="47">
        <v>12622.0</v>
      </c>
      <c r="G1169" s="47">
        <v>4.85</v>
      </c>
      <c r="H1169" s="47">
        <v>2602.5</v>
      </c>
      <c r="I1169" s="47" t="s">
        <v>571</v>
      </c>
    </row>
    <row r="1170" ht="15.75" customHeight="1">
      <c r="A1170" s="47" t="s">
        <v>2582</v>
      </c>
      <c r="B1170" s="47" t="s">
        <v>2583</v>
      </c>
      <c r="C1170" s="47" t="s">
        <v>7756</v>
      </c>
      <c r="D1170" s="47" t="s">
        <v>122</v>
      </c>
      <c r="E1170" s="47" t="s">
        <v>328</v>
      </c>
      <c r="F1170" s="47">
        <v>1943.0</v>
      </c>
      <c r="G1170" s="47">
        <v>7.48</v>
      </c>
      <c r="H1170" s="47">
        <v>259.8</v>
      </c>
      <c r="I1170" s="47" t="s">
        <v>62</v>
      </c>
    </row>
    <row r="1171" ht="15.75" customHeight="1">
      <c r="A1171" s="47" t="s">
        <v>2584</v>
      </c>
      <c r="B1171" s="47" t="s">
        <v>2585</v>
      </c>
      <c r="C1171" s="47" t="s">
        <v>7756</v>
      </c>
      <c r="D1171" s="47" t="s">
        <v>236</v>
      </c>
      <c r="E1171" s="47" t="s">
        <v>558</v>
      </c>
      <c r="F1171" s="47">
        <v>1961.0</v>
      </c>
      <c r="G1171" s="47">
        <v>6.81</v>
      </c>
      <c r="H1171" s="47">
        <v>288.0</v>
      </c>
      <c r="I1171" s="47" t="s">
        <v>62</v>
      </c>
    </row>
    <row r="1172" ht="15.75" customHeight="1">
      <c r="A1172" s="47" t="s">
        <v>2586</v>
      </c>
      <c r="B1172" s="47" t="s">
        <v>2587</v>
      </c>
      <c r="C1172" s="47" t="s">
        <v>7756</v>
      </c>
      <c r="D1172" s="47" t="s">
        <v>120</v>
      </c>
      <c r="E1172" s="47" t="s">
        <v>312</v>
      </c>
      <c r="F1172" s="47">
        <v>2689.0</v>
      </c>
      <c r="G1172" s="47">
        <v>11.0</v>
      </c>
      <c r="H1172" s="47">
        <v>244.5</v>
      </c>
      <c r="I1172" s="47" t="s">
        <v>142</v>
      </c>
    </row>
    <row r="1173" ht="15.75" customHeight="1">
      <c r="A1173" s="47" t="s">
        <v>2588</v>
      </c>
      <c r="B1173" s="47" t="s">
        <v>2589</v>
      </c>
      <c r="C1173" s="47" t="s">
        <v>7756</v>
      </c>
      <c r="D1173" s="47" t="s">
        <v>72</v>
      </c>
      <c r="E1173" s="47" t="s">
        <v>71</v>
      </c>
      <c r="F1173" s="47">
        <v>3999.0</v>
      </c>
      <c r="G1173" s="47">
        <v>7.11</v>
      </c>
      <c r="H1173" s="47">
        <v>562.4</v>
      </c>
      <c r="I1173" s="47" t="s">
        <v>142</v>
      </c>
    </row>
    <row r="1174" ht="15.75" customHeight="1">
      <c r="A1174" s="47" t="s">
        <v>2590</v>
      </c>
      <c r="B1174" s="47" t="s">
        <v>2591</v>
      </c>
      <c r="C1174" s="47" t="s">
        <v>7756</v>
      </c>
      <c r="D1174" s="47" t="s">
        <v>122</v>
      </c>
      <c r="E1174" s="47" t="s">
        <v>328</v>
      </c>
      <c r="F1174" s="47">
        <v>911.0</v>
      </c>
      <c r="G1174" s="47">
        <v>6.23</v>
      </c>
      <c r="H1174" s="47">
        <v>146.2</v>
      </c>
      <c r="I1174" s="47" t="s">
        <v>62</v>
      </c>
    </row>
    <row r="1175" ht="15.75" customHeight="1">
      <c r="A1175" s="47" t="s">
        <v>2592</v>
      </c>
      <c r="B1175" s="47" t="s">
        <v>2593</v>
      </c>
      <c r="C1175" s="47" t="s">
        <v>7756</v>
      </c>
      <c r="D1175" s="47" t="s">
        <v>145</v>
      </c>
      <c r="E1175" s="47" t="s">
        <v>255</v>
      </c>
      <c r="F1175" s="47">
        <v>28767.0</v>
      </c>
      <c r="G1175" s="47">
        <v>18.86</v>
      </c>
      <c r="H1175" s="47">
        <v>1525.3</v>
      </c>
      <c r="I1175" s="47" t="s">
        <v>571</v>
      </c>
    </row>
    <row r="1176" ht="15.75" customHeight="1">
      <c r="A1176" s="47" t="s">
        <v>2594</v>
      </c>
      <c r="B1176" s="47" t="s">
        <v>2595</v>
      </c>
      <c r="C1176" s="47" t="s">
        <v>7756</v>
      </c>
      <c r="D1176" s="47" t="s">
        <v>122</v>
      </c>
      <c r="E1176" s="47" t="s">
        <v>328</v>
      </c>
      <c r="F1176" s="47">
        <v>949.0</v>
      </c>
      <c r="G1176" s="47">
        <v>5.15</v>
      </c>
      <c r="H1176" s="47">
        <v>184.3</v>
      </c>
      <c r="I1176" s="47" t="s">
        <v>62</v>
      </c>
    </row>
    <row r="1177" ht="15.75" customHeight="1">
      <c r="A1177" s="47" t="s">
        <v>2596</v>
      </c>
      <c r="B1177" s="47" t="s">
        <v>2597</v>
      </c>
      <c r="C1177" s="47" t="s">
        <v>7756</v>
      </c>
      <c r="D1177" s="47" t="s">
        <v>135</v>
      </c>
      <c r="E1177" s="47" t="s">
        <v>349</v>
      </c>
      <c r="F1177" s="47">
        <v>405.0</v>
      </c>
      <c r="G1177" s="47">
        <v>2.1</v>
      </c>
      <c r="H1177" s="47">
        <v>192.9</v>
      </c>
      <c r="I1177" s="47" t="s">
        <v>75</v>
      </c>
    </row>
    <row r="1178" ht="15.75" customHeight="1">
      <c r="A1178" s="47" t="s">
        <v>2598</v>
      </c>
      <c r="B1178" s="47" t="s">
        <v>2599</v>
      </c>
      <c r="C1178" s="47" t="s">
        <v>7756</v>
      </c>
      <c r="D1178" s="47" t="s">
        <v>135</v>
      </c>
      <c r="E1178" s="47" t="s">
        <v>349</v>
      </c>
      <c r="F1178" s="47">
        <v>279.0</v>
      </c>
      <c r="G1178" s="47">
        <v>8.99</v>
      </c>
      <c r="H1178" s="47">
        <v>31.0</v>
      </c>
      <c r="I1178" s="47" t="s">
        <v>75</v>
      </c>
    </row>
    <row r="1179" ht="15.75" customHeight="1">
      <c r="A1179" s="47" t="s">
        <v>2600</v>
      </c>
      <c r="B1179" s="47" t="s">
        <v>2601</v>
      </c>
      <c r="C1179" s="47" t="s">
        <v>7756</v>
      </c>
      <c r="D1179" s="47" t="s">
        <v>192</v>
      </c>
      <c r="E1179" s="47" t="s">
        <v>508</v>
      </c>
      <c r="F1179" s="47">
        <v>695.0</v>
      </c>
      <c r="G1179" s="47">
        <v>4.75</v>
      </c>
      <c r="H1179" s="47">
        <v>146.3</v>
      </c>
      <c r="I1179" s="47" t="s">
        <v>62</v>
      </c>
    </row>
    <row r="1180" ht="15.75" customHeight="1">
      <c r="A1180" s="47" t="s">
        <v>2602</v>
      </c>
      <c r="B1180" s="47" t="s">
        <v>2603</v>
      </c>
      <c r="C1180" s="47" t="s">
        <v>7756</v>
      </c>
      <c r="D1180" s="47" t="s">
        <v>171</v>
      </c>
      <c r="E1180" s="47" t="s">
        <v>457</v>
      </c>
      <c r="F1180" s="47">
        <v>615.0</v>
      </c>
      <c r="G1180" s="47">
        <v>10.72</v>
      </c>
      <c r="H1180" s="47">
        <v>57.4</v>
      </c>
      <c r="I1180" s="47" t="s">
        <v>62</v>
      </c>
    </row>
    <row r="1181" ht="15.75" customHeight="1">
      <c r="A1181" s="47" t="s">
        <v>2604</v>
      </c>
      <c r="B1181" s="47" t="s">
        <v>2605</v>
      </c>
      <c r="C1181" s="47" t="s">
        <v>7756</v>
      </c>
      <c r="D1181" s="47" t="s">
        <v>224</v>
      </c>
      <c r="E1181" s="47" t="s">
        <v>390</v>
      </c>
      <c r="F1181" s="47">
        <v>3527.0</v>
      </c>
      <c r="G1181" s="47">
        <v>8.64</v>
      </c>
      <c r="H1181" s="47">
        <v>408.2</v>
      </c>
      <c r="I1181" s="47" t="s">
        <v>142</v>
      </c>
    </row>
    <row r="1182" ht="15.75" customHeight="1">
      <c r="A1182" s="47" t="s">
        <v>2606</v>
      </c>
      <c r="B1182" s="47" t="s">
        <v>2607</v>
      </c>
      <c r="C1182" s="47" t="s">
        <v>7756</v>
      </c>
      <c r="D1182" s="47" t="s">
        <v>99</v>
      </c>
      <c r="E1182" s="47" t="s">
        <v>98</v>
      </c>
      <c r="F1182" s="47">
        <v>1106.0</v>
      </c>
      <c r="G1182" s="47">
        <v>10.14</v>
      </c>
      <c r="H1182" s="47">
        <v>109.1</v>
      </c>
      <c r="I1182" s="47" t="s">
        <v>62</v>
      </c>
    </row>
    <row r="1183" ht="15.75" customHeight="1">
      <c r="A1183" s="47" t="s">
        <v>2608</v>
      </c>
      <c r="B1183" s="47" t="s">
        <v>2609</v>
      </c>
      <c r="C1183" s="47" t="s">
        <v>7756</v>
      </c>
      <c r="D1183" s="47" t="s">
        <v>214</v>
      </c>
      <c r="E1183" s="47" t="s">
        <v>366</v>
      </c>
      <c r="F1183" s="47">
        <v>9808.0</v>
      </c>
      <c r="G1183" s="47">
        <v>27.0</v>
      </c>
      <c r="H1183" s="47">
        <v>363.3</v>
      </c>
      <c r="I1183" s="47" t="s">
        <v>142</v>
      </c>
    </row>
    <row r="1184" ht="15.75" customHeight="1">
      <c r="A1184" s="47" t="s">
        <v>2610</v>
      </c>
      <c r="B1184" s="47" t="s">
        <v>2611</v>
      </c>
      <c r="C1184" s="47" t="s">
        <v>7756</v>
      </c>
      <c r="D1184" s="47" t="s">
        <v>99</v>
      </c>
      <c r="E1184" s="47" t="s">
        <v>98</v>
      </c>
      <c r="F1184" s="47">
        <v>2231.0</v>
      </c>
      <c r="G1184" s="47">
        <v>18.49</v>
      </c>
      <c r="H1184" s="47">
        <v>120.7</v>
      </c>
      <c r="I1184" s="47" t="s">
        <v>142</v>
      </c>
    </row>
    <row r="1185" ht="15.75" customHeight="1">
      <c r="A1185" s="47" t="s">
        <v>2612</v>
      </c>
      <c r="B1185" s="47" t="s">
        <v>2613</v>
      </c>
      <c r="C1185" s="47" t="s">
        <v>7756</v>
      </c>
      <c r="D1185" s="47" t="s">
        <v>171</v>
      </c>
      <c r="E1185" s="47" t="s">
        <v>457</v>
      </c>
      <c r="F1185" s="47">
        <v>838.0</v>
      </c>
      <c r="G1185" s="47">
        <v>12.33</v>
      </c>
      <c r="H1185" s="47">
        <v>68.0</v>
      </c>
      <c r="I1185" s="47" t="s">
        <v>62</v>
      </c>
    </row>
    <row r="1186" ht="15.75" customHeight="1">
      <c r="A1186" s="47" t="s">
        <v>2614</v>
      </c>
      <c r="B1186" s="47" t="s">
        <v>2615</v>
      </c>
      <c r="C1186" s="47" t="s">
        <v>7756</v>
      </c>
      <c r="D1186" s="47" t="s">
        <v>122</v>
      </c>
      <c r="E1186" s="47" t="s">
        <v>328</v>
      </c>
      <c r="F1186" s="47">
        <v>705.0</v>
      </c>
      <c r="G1186" s="47">
        <v>3.47</v>
      </c>
      <c r="H1186" s="47">
        <v>203.2</v>
      </c>
      <c r="I1186" s="47" t="s">
        <v>62</v>
      </c>
    </row>
    <row r="1187" ht="15.75" customHeight="1">
      <c r="A1187" s="47" t="s">
        <v>2616</v>
      </c>
      <c r="B1187" s="47" t="s">
        <v>2617</v>
      </c>
      <c r="C1187" s="47" t="s">
        <v>7756</v>
      </c>
      <c r="D1187" s="47" t="s">
        <v>120</v>
      </c>
      <c r="E1187" s="47" t="s">
        <v>312</v>
      </c>
      <c r="F1187" s="47">
        <v>490.0</v>
      </c>
      <c r="G1187" s="47">
        <v>7.4</v>
      </c>
      <c r="H1187" s="47">
        <v>66.2</v>
      </c>
      <c r="I1187" s="47" t="s">
        <v>75</v>
      </c>
    </row>
    <row r="1188" ht="15.75" customHeight="1">
      <c r="A1188" s="47" t="s">
        <v>2618</v>
      </c>
      <c r="B1188" s="47" t="s">
        <v>2619</v>
      </c>
      <c r="C1188" s="47" t="s">
        <v>7756</v>
      </c>
      <c r="D1188" s="47" t="s">
        <v>145</v>
      </c>
      <c r="E1188" s="47" t="s">
        <v>255</v>
      </c>
      <c r="F1188" s="47">
        <v>419.0</v>
      </c>
      <c r="G1188" s="47">
        <v>5.96</v>
      </c>
      <c r="H1188" s="47">
        <v>70.3</v>
      </c>
      <c r="I1188" s="47" t="s">
        <v>75</v>
      </c>
    </row>
    <row r="1189" ht="15.75" customHeight="1">
      <c r="A1189" s="47" t="s">
        <v>2620</v>
      </c>
      <c r="B1189" s="47" t="s">
        <v>2621</v>
      </c>
      <c r="C1189" s="47" t="s">
        <v>7756</v>
      </c>
      <c r="D1189" s="47" t="s">
        <v>146</v>
      </c>
      <c r="E1189" s="47" t="s">
        <v>268</v>
      </c>
      <c r="F1189" s="47">
        <v>616.0</v>
      </c>
      <c r="G1189" s="47">
        <v>4.5</v>
      </c>
      <c r="H1189" s="47">
        <v>136.9</v>
      </c>
      <c r="I1189" s="47" t="s">
        <v>62</v>
      </c>
    </row>
    <row r="1190" ht="15.75" customHeight="1">
      <c r="A1190" s="47" t="s">
        <v>2622</v>
      </c>
      <c r="B1190" s="47" t="s">
        <v>2623</v>
      </c>
      <c r="C1190" s="47" t="s">
        <v>7756</v>
      </c>
      <c r="D1190" s="47" t="s">
        <v>224</v>
      </c>
      <c r="E1190" s="47" t="s">
        <v>390</v>
      </c>
      <c r="F1190" s="47">
        <v>1663.0</v>
      </c>
      <c r="G1190" s="47">
        <v>4.96</v>
      </c>
      <c r="H1190" s="47">
        <v>335.3</v>
      </c>
      <c r="I1190" s="47" t="s">
        <v>62</v>
      </c>
    </row>
    <row r="1191" ht="15.75" customHeight="1">
      <c r="A1191" s="47" t="s">
        <v>2624</v>
      </c>
      <c r="B1191" s="47" t="s">
        <v>2625</v>
      </c>
      <c r="C1191" s="47" t="s">
        <v>7756</v>
      </c>
      <c r="D1191" s="47" t="s">
        <v>72</v>
      </c>
      <c r="E1191" s="47" t="s">
        <v>71</v>
      </c>
      <c r="F1191" s="47">
        <v>2516.0</v>
      </c>
      <c r="G1191" s="47">
        <v>6.84</v>
      </c>
      <c r="H1191" s="47">
        <v>367.8</v>
      </c>
      <c r="I1191" s="47" t="s">
        <v>142</v>
      </c>
    </row>
    <row r="1192" ht="15.75" customHeight="1">
      <c r="A1192" s="47" t="s">
        <v>2626</v>
      </c>
      <c r="B1192" s="47" t="s">
        <v>2627</v>
      </c>
      <c r="C1192" s="47" t="s">
        <v>7756</v>
      </c>
      <c r="D1192" s="47" t="s">
        <v>236</v>
      </c>
      <c r="E1192" s="47" t="s">
        <v>558</v>
      </c>
      <c r="F1192" s="47">
        <v>21105.0</v>
      </c>
      <c r="G1192" s="47">
        <v>2.88</v>
      </c>
      <c r="H1192" s="47">
        <v>7328.1</v>
      </c>
      <c r="I1192" s="47" t="s">
        <v>571</v>
      </c>
    </row>
    <row r="1193" ht="15.75" customHeight="1">
      <c r="A1193" s="47" t="s">
        <v>2628</v>
      </c>
      <c r="B1193" s="47" t="s">
        <v>2629</v>
      </c>
      <c r="C1193" s="47" t="s">
        <v>7756</v>
      </c>
      <c r="D1193" s="47" t="s">
        <v>224</v>
      </c>
      <c r="E1193" s="47" t="s">
        <v>390</v>
      </c>
      <c r="F1193" s="47">
        <v>2075.0</v>
      </c>
      <c r="G1193" s="47">
        <v>12.29</v>
      </c>
      <c r="H1193" s="47">
        <v>168.8</v>
      </c>
      <c r="I1193" s="47" t="s">
        <v>142</v>
      </c>
    </row>
    <row r="1194" ht="15.75" customHeight="1">
      <c r="A1194" s="47" t="s">
        <v>2630</v>
      </c>
      <c r="B1194" s="47" t="s">
        <v>2631</v>
      </c>
      <c r="C1194" s="47" t="s">
        <v>7756</v>
      </c>
      <c r="D1194" s="47" t="s">
        <v>135</v>
      </c>
      <c r="E1194" s="47" t="s">
        <v>349</v>
      </c>
      <c r="F1194" s="47">
        <v>276.0</v>
      </c>
      <c r="G1194" s="47">
        <v>5.53</v>
      </c>
      <c r="H1194" s="47">
        <v>49.9</v>
      </c>
      <c r="I1194" s="47" t="s">
        <v>75</v>
      </c>
    </row>
    <row r="1195" ht="15.75" customHeight="1">
      <c r="A1195" s="47" t="s">
        <v>2632</v>
      </c>
      <c r="B1195" s="47" t="s">
        <v>2633</v>
      </c>
      <c r="C1195" s="47" t="s">
        <v>7756</v>
      </c>
      <c r="D1195" s="47" t="s">
        <v>135</v>
      </c>
      <c r="E1195" s="47" t="s">
        <v>349</v>
      </c>
      <c r="F1195" s="47">
        <v>552.0</v>
      </c>
      <c r="G1195" s="47">
        <v>5.84</v>
      </c>
      <c r="H1195" s="47">
        <v>94.5</v>
      </c>
      <c r="I1195" s="47" t="s">
        <v>62</v>
      </c>
    </row>
    <row r="1196" ht="15.75" customHeight="1">
      <c r="A1196" s="47" t="s">
        <v>2634</v>
      </c>
      <c r="B1196" s="47" t="s">
        <v>2635</v>
      </c>
      <c r="C1196" s="47" t="s">
        <v>7756</v>
      </c>
      <c r="D1196" s="47" t="s">
        <v>72</v>
      </c>
      <c r="E1196" s="47" t="s">
        <v>71</v>
      </c>
      <c r="F1196" s="47">
        <v>4495.0</v>
      </c>
      <c r="G1196" s="47">
        <v>5.44</v>
      </c>
      <c r="H1196" s="47">
        <v>826.3</v>
      </c>
      <c r="I1196" s="47" t="s">
        <v>142</v>
      </c>
    </row>
    <row r="1197" ht="15.75" customHeight="1">
      <c r="A1197" s="47" t="s">
        <v>2636</v>
      </c>
      <c r="B1197" s="47" t="s">
        <v>2637</v>
      </c>
      <c r="C1197" s="47" t="s">
        <v>7756</v>
      </c>
      <c r="D1197" s="47" t="s">
        <v>202</v>
      </c>
      <c r="E1197" s="47" t="s">
        <v>499</v>
      </c>
      <c r="F1197" s="47">
        <v>228.0</v>
      </c>
      <c r="G1197" s="47">
        <v>3.53</v>
      </c>
      <c r="H1197" s="47">
        <v>64.6</v>
      </c>
      <c r="I1197" s="47" t="s">
        <v>75</v>
      </c>
    </row>
    <row r="1198" ht="15.75" customHeight="1">
      <c r="A1198" s="47" t="s">
        <v>2638</v>
      </c>
      <c r="B1198" s="47" t="s">
        <v>2639</v>
      </c>
      <c r="C1198" s="47" t="s">
        <v>7756</v>
      </c>
      <c r="D1198" s="47" t="s">
        <v>99</v>
      </c>
      <c r="E1198" s="47" t="s">
        <v>98</v>
      </c>
      <c r="F1198" s="47">
        <v>2573.0</v>
      </c>
      <c r="G1198" s="47">
        <v>44.33</v>
      </c>
      <c r="H1198" s="47">
        <v>58.0</v>
      </c>
      <c r="I1198" s="47" t="s">
        <v>142</v>
      </c>
    </row>
    <row r="1199" ht="15.75" customHeight="1">
      <c r="A1199" s="47" t="s">
        <v>2640</v>
      </c>
      <c r="B1199" s="47" t="s">
        <v>2641</v>
      </c>
      <c r="C1199" s="47" t="s">
        <v>7756</v>
      </c>
      <c r="D1199" s="47" t="s">
        <v>122</v>
      </c>
      <c r="E1199" s="47" t="s">
        <v>328</v>
      </c>
      <c r="F1199" s="47">
        <v>1599.0</v>
      </c>
      <c r="G1199" s="47">
        <v>2.17</v>
      </c>
      <c r="H1199" s="47">
        <v>736.9</v>
      </c>
      <c r="I1199" s="47" t="s">
        <v>62</v>
      </c>
    </row>
    <row r="1200" ht="15.75" customHeight="1">
      <c r="A1200" s="47" t="s">
        <v>2642</v>
      </c>
      <c r="B1200" s="47" t="s">
        <v>2643</v>
      </c>
      <c r="C1200" s="47" t="s">
        <v>7756</v>
      </c>
      <c r="D1200" s="47" t="s">
        <v>224</v>
      </c>
      <c r="E1200" s="47" t="s">
        <v>390</v>
      </c>
      <c r="F1200" s="47">
        <v>1491.0</v>
      </c>
      <c r="G1200" s="47">
        <v>9.21</v>
      </c>
      <c r="H1200" s="47">
        <v>161.9</v>
      </c>
      <c r="I1200" s="47" t="s">
        <v>62</v>
      </c>
    </row>
    <row r="1201" ht="15.75" customHeight="1">
      <c r="A1201" s="47" t="s">
        <v>2644</v>
      </c>
      <c r="B1201" s="47" t="s">
        <v>2645</v>
      </c>
      <c r="C1201" s="47" t="s">
        <v>7756</v>
      </c>
      <c r="D1201" s="47" t="s">
        <v>205</v>
      </c>
      <c r="E1201" s="47" t="s">
        <v>530</v>
      </c>
      <c r="F1201" s="47">
        <v>61.0</v>
      </c>
      <c r="G1201" s="47">
        <v>7.16</v>
      </c>
      <c r="H1201" s="47">
        <v>8.5</v>
      </c>
      <c r="I1201" s="47" t="s">
        <v>75</v>
      </c>
    </row>
    <row r="1202" ht="15.75" customHeight="1">
      <c r="A1202" s="47" t="s">
        <v>2646</v>
      </c>
      <c r="B1202" s="47" t="s">
        <v>2647</v>
      </c>
      <c r="C1202" s="47" t="s">
        <v>7756</v>
      </c>
      <c r="D1202" s="47" t="s">
        <v>236</v>
      </c>
      <c r="E1202" s="47" t="s">
        <v>558</v>
      </c>
      <c r="F1202" s="47">
        <v>13369.0</v>
      </c>
      <c r="G1202" s="47">
        <v>4.16</v>
      </c>
      <c r="H1202" s="47">
        <v>3213.7</v>
      </c>
      <c r="I1202" s="47" t="s">
        <v>571</v>
      </c>
    </row>
    <row r="1203" ht="15.75" customHeight="1">
      <c r="A1203" s="47" t="s">
        <v>2648</v>
      </c>
      <c r="B1203" s="47" t="s">
        <v>2649</v>
      </c>
      <c r="C1203" s="47" t="s">
        <v>7756</v>
      </c>
      <c r="D1203" s="47" t="s">
        <v>120</v>
      </c>
      <c r="E1203" s="47" t="s">
        <v>312</v>
      </c>
      <c r="F1203" s="47">
        <v>620.0</v>
      </c>
      <c r="G1203" s="47">
        <v>5.21</v>
      </c>
      <c r="H1203" s="47">
        <v>119.0</v>
      </c>
      <c r="I1203" s="47" t="s">
        <v>62</v>
      </c>
    </row>
    <row r="1204" ht="15.75" customHeight="1">
      <c r="A1204" s="47" t="s">
        <v>2650</v>
      </c>
      <c r="B1204" s="47" t="s">
        <v>2651</v>
      </c>
      <c r="C1204" s="47" t="s">
        <v>7756</v>
      </c>
      <c r="D1204" s="47" t="s">
        <v>99</v>
      </c>
      <c r="E1204" s="47" t="s">
        <v>98</v>
      </c>
      <c r="F1204" s="47">
        <v>1417.0</v>
      </c>
      <c r="G1204" s="47">
        <v>6.42</v>
      </c>
      <c r="H1204" s="47">
        <v>220.7</v>
      </c>
      <c r="I1204" s="47" t="s">
        <v>62</v>
      </c>
    </row>
    <row r="1205" ht="15.75" customHeight="1">
      <c r="A1205" s="47" t="s">
        <v>2652</v>
      </c>
      <c r="B1205" s="47" t="s">
        <v>2653</v>
      </c>
      <c r="C1205" s="47" t="s">
        <v>7756</v>
      </c>
      <c r="D1205" s="47" t="s">
        <v>145</v>
      </c>
      <c r="E1205" s="47" t="s">
        <v>255</v>
      </c>
      <c r="F1205" s="47">
        <v>1286.0</v>
      </c>
      <c r="G1205" s="47">
        <v>1.26</v>
      </c>
      <c r="H1205" s="47">
        <v>1020.6</v>
      </c>
      <c r="I1205" s="47" t="s">
        <v>62</v>
      </c>
    </row>
    <row r="1206" ht="15.75" customHeight="1">
      <c r="A1206" s="47" t="s">
        <v>2654</v>
      </c>
      <c r="B1206" s="47" t="s">
        <v>2655</v>
      </c>
      <c r="C1206" s="47" t="s">
        <v>7756</v>
      </c>
      <c r="D1206" s="47" t="s">
        <v>192</v>
      </c>
      <c r="E1206" s="47" t="s">
        <v>508</v>
      </c>
      <c r="F1206" s="47">
        <v>298.0</v>
      </c>
      <c r="G1206" s="47">
        <v>3.16</v>
      </c>
      <c r="H1206" s="47">
        <v>94.3</v>
      </c>
      <c r="I1206" s="47" t="s">
        <v>75</v>
      </c>
    </row>
    <row r="1207" ht="15.75" customHeight="1">
      <c r="A1207" s="47" t="s">
        <v>2656</v>
      </c>
      <c r="B1207" s="47" t="s">
        <v>2657</v>
      </c>
      <c r="C1207" s="47" t="s">
        <v>7756</v>
      </c>
      <c r="D1207" s="47" t="s">
        <v>236</v>
      </c>
      <c r="E1207" s="47" t="s">
        <v>558</v>
      </c>
      <c r="F1207" s="47">
        <v>10002.0</v>
      </c>
      <c r="G1207" s="47">
        <v>6.18</v>
      </c>
      <c r="H1207" s="47">
        <v>1618.4</v>
      </c>
      <c r="I1207" s="47" t="s">
        <v>571</v>
      </c>
    </row>
    <row r="1208" ht="15.75" customHeight="1">
      <c r="A1208" s="47" t="s">
        <v>2658</v>
      </c>
      <c r="B1208" s="47" t="s">
        <v>2659</v>
      </c>
      <c r="C1208" s="47" t="s">
        <v>7756</v>
      </c>
      <c r="D1208" s="47" t="s">
        <v>224</v>
      </c>
      <c r="E1208" s="47" t="s">
        <v>390</v>
      </c>
      <c r="F1208" s="47">
        <v>593.0</v>
      </c>
      <c r="G1208" s="47">
        <v>3.96</v>
      </c>
      <c r="H1208" s="47">
        <v>149.7</v>
      </c>
      <c r="I1208" s="47" t="s">
        <v>62</v>
      </c>
    </row>
    <row r="1209" ht="15.75" customHeight="1">
      <c r="A1209" s="47" t="s">
        <v>2660</v>
      </c>
      <c r="B1209" s="47" t="s">
        <v>2661</v>
      </c>
      <c r="C1209" s="47" t="s">
        <v>7756</v>
      </c>
      <c r="D1209" s="47" t="s">
        <v>120</v>
      </c>
      <c r="E1209" s="47" t="s">
        <v>312</v>
      </c>
      <c r="F1209" s="47">
        <v>4012.0</v>
      </c>
      <c r="G1209" s="47">
        <v>2.37</v>
      </c>
      <c r="H1209" s="47">
        <v>1692.8</v>
      </c>
      <c r="I1209" s="47" t="s">
        <v>142</v>
      </c>
    </row>
    <row r="1210" ht="15.75" customHeight="1">
      <c r="A1210" s="47" t="s">
        <v>2662</v>
      </c>
      <c r="B1210" s="47" t="s">
        <v>2663</v>
      </c>
      <c r="C1210" s="47" t="s">
        <v>7756</v>
      </c>
      <c r="D1210" s="47" t="s">
        <v>122</v>
      </c>
      <c r="E1210" s="47" t="s">
        <v>328</v>
      </c>
      <c r="F1210" s="47">
        <v>2901.0</v>
      </c>
      <c r="G1210" s="47">
        <v>4.76</v>
      </c>
      <c r="H1210" s="47">
        <v>609.5</v>
      </c>
      <c r="I1210" s="47" t="s">
        <v>142</v>
      </c>
    </row>
    <row r="1211" ht="15.75" customHeight="1">
      <c r="A1211" s="47" t="s">
        <v>2664</v>
      </c>
      <c r="B1211" s="47" t="s">
        <v>2665</v>
      </c>
      <c r="C1211" s="47" t="s">
        <v>7756</v>
      </c>
      <c r="D1211" s="47" t="s">
        <v>135</v>
      </c>
      <c r="E1211" s="47" t="s">
        <v>349</v>
      </c>
      <c r="F1211" s="47">
        <v>1103.0</v>
      </c>
      <c r="G1211" s="47">
        <v>12.53</v>
      </c>
      <c r="H1211" s="47">
        <v>88.0</v>
      </c>
      <c r="I1211" s="47" t="s">
        <v>62</v>
      </c>
    </row>
    <row r="1212" ht="15.75" customHeight="1">
      <c r="A1212" s="47" t="s">
        <v>2666</v>
      </c>
      <c r="B1212" s="47" t="s">
        <v>2667</v>
      </c>
      <c r="C1212" s="47" t="s">
        <v>7756</v>
      </c>
      <c r="D1212" s="47" t="s">
        <v>99</v>
      </c>
      <c r="E1212" s="47" t="s">
        <v>98</v>
      </c>
      <c r="F1212" s="47">
        <v>7764.0</v>
      </c>
      <c r="G1212" s="47">
        <v>17.12</v>
      </c>
      <c r="H1212" s="47">
        <v>453.5</v>
      </c>
      <c r="I1212" s="47" t="s">
        <v>142</v>
      </c>
    </row>
    <row r="1213" ht="15.75" customHeight="1">
      <c r="A1213" s="47" t="s">
        <v>2668</v>
      </c>
      <c r="B1213" s="47" t="s">
        <v>2669</v>
      </c>
      <c r="C1213" s="47" t="s">
        <v>7756</v>
      </c>
      <c r="D1213" s="47" t="s">
        <v>120</v>
      </c>
      <c r="E1213" s="47" t="s">
        <v>312</v>
      </c>
      <c r="F1213" s="47">
        <v>509.0</v>
      </c>
      <c r="G1213" s="47">
        <v>4.35</v>
      </c>
      <c r="H1213" s="47">
        <v>117.0</v>
      </c>
      <c r="I1213" s="47" t="s">
        <v>62</v>
      </c>
    </row>
    <row r="1214" ht="15.75" customHeight="1">
      <c r="A1214" s="47" t="s">
        <v>2670</v>
      </c>
      <c r="B1214" s="47" t="s">
        <v>2671</v>
      </c>
      <c r="C1214" s="47" t="s">
        <v>7756</v>
      </c>
      <c r="D1214" s="47" t="s">
        <v>171</v>
      </c>
      <c r="E1214" s="47" t="s">
        <v>457</v>
      </c>
      <c r="F1214" s="47">
        <v>908.0</v>
      </c>
      <c r="G1214" s="47">
        <v>10.29</v>
      </c>
      <c r="H1214" s="47">
        <v>88.2</v>
      </c>
      <c r="I1214" s="47" t="s">
        <v>62</v>
      </c>
    </row>
    <row r="1215" ht="15.75" customHeight="1">
      <c r="A1215" s="47" t="s">
        <v>2672</v>
      </c>
      <c r="B1215" s="47" t="s">
        <v>2673</v>
      </c>
      <c r="C1215" s="47" t="s">
        <v>7756</v>
      </c>
      <c r="D1215" s="47" t="s">
        <v>122</v>
      </c>
      <c r="E1215" s="47" t="s">
        <v>328</v>
      </c>
      <c r="F1215" s="47">
        <v>1406.0</v>
      </c>
      <c r="G1215" s="47">
        <v>5.9</v>
      </c>
      <c r="H1215" s="47">
        <v>238.3</v>
      </c>
      <c r="I1215" s="47" t="s">
        <v>62</v>
      </c>
    </row>
    <row r="1216" ht="15.75" customHeight="1">
      <c r="A1216" s="47" t="s">
        <v>2674</v>
      </c>
      <c r="B1216" s="47" t="s">
        <v>2675</v>
      </c>
      <c r="C1216" s="47" t="s">
        <v>7756</v>
      </c>
      <c r="D1216" s="47" t="s">
        <v>224</v>
      </c>
      <c r="E1216" s="47" t="s">
        <v>390</v>
      </c>
      <c r="F1216" s="47">
        <v>2651.0</v>
      </c>
      <c r="G1216" s="47">
        <v>19.07</v>
      </c>
      <c r="H1216" s="47">
        <v>139.0</v>
      </c>
      <c r="I1216" s="47" t="s">
        <v>142</v>
      </c>
    </row>
    <row r="1217" ht="15.75" customHeight="1">
      <c r="A1217" s="47" t="s">
        <v>2676</v>
      </c>
      <c r="B1217" s="47" t="s">
        <v>2677</v>
      </c>
      <c r="C1217" s="47" t="s">
        <v>7756</v>
      </c>
      <c r="D1217" s="47" t="s">
        <v>99</v>
      </c>
      <c r="E1217" s="47" t="s">
        <v>98</v>
      </c>
      <c r="F1217" s="47">
        <v>825.0</v>
      </c>
      <c r="G1217" s="47">
        <v>17.23</v>
      </c>
      <c r="H1217" s="47">
        <v>47.9</v>
      </c>
      <c r="I1217" s="47" t="s">
        <v>62</v>
      </c>
    </row>
    <row r="1218" ht="15.75" customHeight="1">
      <c r="A1218" s="47" t="s">
        <v>2678</v>
      </c>
      <c r="B1218" s="47" t="s">
        <v>2679</v>
      </c>
      <c r="C1218" s="47" t="s">
        <v>7756</v>
      </c>
      <c r="D1218" s="47" t="s">
        <v>236</v>
      </c>
      <c r="E1218" s="47" t="s">
        <v>558</v>
      </c>
      <c r="F1218" s="47">
        <v>838.0</v>
      </c>
      <c r="G1218" s="47">
        <v>2.38</v>
      </c>
      <c r="H1218" s="47">
        <v>352.1</v>
      </c>
      <c r="I1218" s="47" t="s">
        <v>62</v>
      </c>
    </row>
    <row r="1219" ht="15.75" customHeight="1">
      <c r="A1219" s="47" t="s">
        <v>2680</v>
      </c>
      <c r="B1219" s="47" t="s">
        <v>2681</v>
      </c>
      <c r="C1219" s="47" t="s">
        <v>7756</v>
      </c>
      <c r="D1219" s="47" t="s">
        <v>120</v>
      </c>
      <c r="E1219" s="47" t="s">
        <v>312</v>
      </c>
      <c r="F1219" s="47">
        <v>816.0</v>
      </c>
      <c r="G1219" s="47">
        <v>4.98</v>
      </c>
      <c r="H1219" s="47">
        <v>163.9</v>
      </c>
      <c r="I1219" s="47" t="s">
        <v>62</v>
      </c>
    </row>
    <row r="1220" ht="15.75" customHeight="1">
      <c r="A1220" s="47" t="s">
        <v>2682</v>
      </c>
      <c r="B1220" s="47" t="s">
        <v>2683</v>
      </c>
      <c r="C1220" s="47" t="s">
        <v>7756</v>
      </c>
      <c r="D1220" s="47" t="s">
        <v>145</v>
      </c>
      <c r="E1220" s="47" t="s">
        <v>255</v>
      </c>
      <c r="F1220" s="47">
        <v>283.0</v>
      </c>
      <c r="G1220" s="47">
        <v>6.54</v>
      </c>
      <c r="H1220" s="47">
        <v>43.3</v>
      </c>
      <c r="I1220" s="47" t="s">
        <v>75</v>
      </c>
    </row>
    <row r="1221" ht="15.75" customHeight="1">
      <c r="A1221" s="47" t="s">
        <v>2684</v>
      </c>
      <c r="B1221" s="47" t="s">
        <v>2685</v>
      </c>
      <c r="C1221" s="47" t="s">
        <v>7756</v>
      </c>
      <c r="D1221" s="47" t="s">
        <v>122</v>
      </c>
      <c r="E1221" s="47" t="s">
        <v>328</v>
      </c>
      <c r="F1221" s="47">
        <v>657.0</v>
      </c>
      <c r="G1221" s="47">
        <v>5.05</v>
      </c>
      <c r="H1221" s="47">
        <v>130.1</v>
      </c>
      <c r="I1221" s="47" t="s">
        <v>62</v>
      </c>
    </row>
    <row r="1222" ht="15.75" customHeight="1">
      <c r="A1222" s="47" t="s">
        <v>2686</v>
      </c>
      <c r="B1222" s="47" t="s">
        <v>2687</v>
      </c>
      <c r="C1222" s="47" t="s">
        <v>7756</v>
      </c>
      <c r="D1222" s="47" t="s">
        <v>192</v>
      </c>
      <c r="E1222" s="47" t="s">
        <v>508</v>
      </c>
      <c r="F1222" s="47">
        <v>660.0</v>
      </c>
      <c r="G1222" s="47">
        <v>5.41</v>
      </c>
      <c r="H1222" s="47">
        <v>122.0</v>
      </c>
      <c r="I1222" s="47" t="s">
        <v>62</v>
      </c>
    </row>
    <row r="1223" ht="15.75" customHeight="1">
      <c r="A1223" s="47" t="s">
        <v>2688</v>
      </c>
      <c r="B1223" s="47" t="s">
        <v>2689</v>
      </c>
      <c r="C1223" s="47" t="s">
        <v>7756</v>
      </c>
      <c r="D1223" s="47" t="s">
        <v>145</v>
      </c>
      <c r="E1223" s="47" t="s">
        <v>255</v>
      </c>
      <c r="F1223" s="47">
        <v>283.0</v>
      </c>
      <c r="G1223" s="47">
        <v>5.46</v>
      </c>
      <c r="H1223" s="47">
        <v>51.8</v>
      </c>
      <c r="I1223" s="47" t="s">
        <v>75</v>
      </c>
    </row>
    <row r="1224" ht="15.75" customHeight="1">
      <c r="A1224" s="47" t="s">
        <v>2690</v>
      </c>
      <c r="B1224" s="47" t="s">
        <v>2691</v>
      </c>
      <c r="C1224" s="47" t="s">
        <v>7756</v>
      </c>
      <c r="D1224" s="47" t="s">
        <v>99</v>
      </c>
      <c r="E1224" s="47" t="s">
        <v>98</v>
      </c>
      <c r="F1224" s="47">
        <v>351.0</v>
      </c>
      <c r="G1224" s="47">
        <v>5.62</v>
      </c>
      <c r="H1224" s="47">
        <v>62.5</v>
      </c>
      <c r="I1224" s="47" t="s">
        <v>75</v>
      </c>
    </row>
    <row r="1225" ht="15.75" customHeight="1">
      <c r="A1225" s="47" t="s">
        <v>2692</v>
      </c>
      <c r="B1225" s="47" t="s">
        <v>2693</v>
      </c>
      <c r="C1225" s="47" t="s">
        <v>7756</v>
      </c>
      <c r="D1225" s="47" t="s">
        <v>146</v>
      </c>
      <c r="E1225" s="47" t="s">
        <v>268</v>
      </c>
      <c r="F1225" s="47">
        <v>945.0</v>
      </c>
      <c r="G1225" s="47">
        <v>4.86</v>
      </c>
      <c r="H1225" s="47">
        <v>194.4</v>
      </c>
      <c r="I1225" s="47" t="s">
        <v>62</v>
      </c>
    </row>
    <row r="1226" ht="15.75" customHeight="1">
      <c r="A1226" s="47" t="s">
        <v>2694</v>
      </c>
      <c r="B1226" s="47" t="s">
        <v>2695</v>
      </c>
      <c r="C1226" s="47" t="s">
        <v>7756</v>
      </c>
      <c r="D1226" s="47" t="s">
        <v>205</v>
      </c>
      <c r="E1226" s="47" t="s">
        <v>530</v>
      </c>
      <c r="F1226" s="47">
        <v>1171.0</v>
      </c>
      <c r="G1226" s="47">
        <v>11.84</v>
      </c>
      <c r="H1226" s="47">
        <v>98.9</v>
      </c>
      <c r="I1226" s="47" t="s">
        <v>62</v>
      </c>
    </row>
    <row r="1227" ht="15.75" customHeight="1">
      <c r="A1227" s="47" t="s">
        <v>2696</v>
      </c>
      <c r="B1227" s="47" t="s">
        <v>1339</v>
      </c>
      <c r="C1227" s="47" t="s">
        <v>7756</v>
      </c>
      <c r="D1227" s="47" t="s">
        <v>122</v>
      </c>
      <c r="E1227" s="47" t="s">
        <v>328</v>
      </c>
      <c r="F1227" s="47">
        <v>699.0</v>
      </c>
      <c r="G1227" s="47">
        <v>2.55</v>
      </c>
      <c r="H1227" s="47">
        <v>274.1</v>
      </c>
      <c r="I1227" s="47" t="s">
        <v>62</v>
      </c>
    </row>
    <row r="1228" ht="15.75" customHeight="1">
      <c r="A1228" s="47" t="s">
        <v>2697</v>
      </c>
      <c r="B1228" s="47" t="s">
        <v>2698</v>
      </c>
      <c r="C1228" s="47" t="s">
        <v>7756</v>
      </c>
      <c r="D1228" s="47" t="s">
        <v>146</v>
      </c>
      <c r="E1228" s="47" t="s">
        <v>268</v>
      </c>
      <c r="F1228" s="47">
        <v>8479.0</v>
      </c>
      <c r="G1228" s="47">
        <v>12.95</v>
      </c>
      <c r="H1228" s="47">
        <v>654.7</v>
      </c>
      <c r="I1228" s="47" t="s">
        <v>142</v>
      </c>
    </row>
    <row r="1229" ht="15.75" customHeight="1">
      <c r="A1229" s="47" t="s">
        <v>2699</v>
      </c>
      <c r="B1229" s="47" t="s">
        <v>2700</v>
      </c>
      <c r="C1229" s="47" t="s">
        <v>7756</v>
      </c>
      <c r="D1229" s="47" t="s">
        <v>171</v>
      </c>
      <c r="E1229" s="47" t="s">
        <v>457</v>
      </c>
      <c r="F1229" s="47">
        <v>463.0</v>
      </c>
      <c r="G1229" s="47">
        <v>4.03</v>
      </c>
      <c r="H1229" s="47">
        <v>114.9</v>
      </c>
      <c r="I1229" s="47" t="s">
        <v>75</v>
      </c>
    </row>
    <row r="1230" ht="15.75" customHeight="1">
      <c r="A1230" s="47" t="s">
        <v>2701</v>
      </c>
      <c r="B1230" s="47" t="s">
        <v>2702</v>
      </c>
      <c r="C1230" s="47" t="s">
        <v>7756</v>
      </c>
      <c r="D1230" s="47" t="s">
        <v>224</v>
      </c>
      <c r="E1230" s="47" t="s">
        <v>390</v>
      </c>
      <c r="F1230" s="47">
        <v>8396.0</v>
      </c>
      <c r="G1230" s="47">
        <v>10.92</v>
      </c>
      <c r="H1230" s="47">
        <v>768.9</v>
      </c>
      <c r="I1230" s="47" t="s">
        <v>142</v>
      </c>
    </row>
    <row r="1231" ht="15.75" customHeight="1">
      <c r="A1231" s="47" t="s">
        <v>2703</v>
      </c>
      <c r="B1231" s="47" t="s">
        <v>2704</v>
      </c>
      <c r="C1231" s="47" t="s">
        <v>7756</v>
      </c>
      <c r="D1231" s="47" t="s">
        <v>135</v>
      </c>
      <c r="E1231" s="47" t="s">
        <v>349</v>
      </c>
      <c r="F1231" s="47">
        <v>644.0</v>
      </c>
      <c r="G1231" s="47">
        <v>17.7</v>
      </c>
      <c r="H1231" s="47">
        <v>36.4</v>
      </c>
      <c r="I1231" s="47" t="s">
        <v>62</v>
      </c>
    </row>
    <row r="1232" ht="15.75" customHeight="1">
      <c r="A1232" s="47" t="s">
        <v>2705</v>
      </c>
      <c r="B1232" s="47" t="s">
        <v>2706</v>
      </c>
      <c r="C1232" s="47" t="s">
        <v>7756</v>
      </c>
      <c r="D1232" s="47" t="s">
        <v>192</v>
      </c>
      <c r="E1232" s="47" t="s">
        <v>508</v>
      </c>
      <c r="F1232" s="47">
        <v>564.0</v>
      </c>
      <c r="G1232" s="47">
        <v>3.34</v>
      </c>
      <c r="H1232" s="47">
        <v>168.9</v>
      </c>
      <c r="I1232" s="47" t="s">
        <v>62</v>
      </c>
    </row>
    <row r="1233" ht="15.75" customHeight="1">
      <c r="A1233" s="47" t="s">
        <v>2707</v>
      </c>
      <c r="B1233" s="47" t="s">
        <v>2708</v>
      </c>
      <c r="C1233" s="47" t="s">
        <v>7756</v>
      </c>
      <c r="D1233" s="47" t="s">
        <v>224</v>
      </c>
      <c r="E1233" s="47" t="s">
        <v>390</v>
      </c>
      <c r="F1233" s="47">
        <v>6097.0</v>
      </c>
      <c r="G1233" s="47">
        <v>7.58</v>
      </c>
      <c r="H1233" s="47">
        <v>804.4</v>
      </c>
      <c r="I1233" s="47" t="s">
        <v>142</v>
      </c>
    </row>
    <row r="1234" ht="15.75" customHeight="1">
      <c r="A1234" s="47" t="s">
        <v>2709</v>
      </c>
      <c r="B1234" s="47" t="s">
        <v>2710</v>
      </c>
      <c r="C1234" s="47" t="s">
        <v>7756</v>
      </c>
      <c r="D1234" s="47" t="s">
        <v>99</v>
      </c>
      <c r="E1234" s="47" t="s">
        <v>98</v>
      </c>
      <c r="F1234" s="47">
        <v>690.0</v>
      </c>
      <c r="G1234" s="47">
        <v>9.42</v>
      </c>
      <c r="H1234" s="47">
        <v>73.2</v>
      </c>
      <c r="I1234" s="47" t="s">
        <v>62</v>
      </c>
    </row>
    <row r="1235" ht="15.75" customHeight="1">
      <c r="A1235" s="47" t="s">
        <v>2711</v>
      </c>
      <c r="B1235" s="47" t="s">
        <v>2712</v>
      </c>
      <c r="C1235" s="47" t="s">
        <v>7756</v>
      </c>
      <c r="D1235" s="47" t="s">
        <v>99</v>
      </c>
      <c r="E1235" s="47" t="s">
        <v>98</v>
      </c>
      <c r="F1235" s="47">
        <v>540.0</v>
      </c>
      <c r="G1235" s="47">
        <v>4.7</v>
      </c>
      <c r="H1235" s="47">
        <v>114.9</v>
      </c>
      <c r="I1235" s="47" t="s">
        <v>62</v>
      </c>
    </row>
    <row r="1236" ht="15.75" customHeight="1">
      <c r="A1236" s="47" t="s">
        <v>2713</v>
      </c>
      <c r="B1236" s="47" t="s">
        <v>2714</v>
      </c>
      <c r="C1236" s="47" t="s">
        <v>7756</v>
      </c>
      <c r="D1236" s="47" t="s">
        <v>120</v>
      </c>
      <c r="E1236" s="47" t="s">
        <v>312</v>
      </c>
      <c r="F1236" s="47">
        <v>1030.0</v>
      </c>
      <c r="G1236" s="47">
        <v>7.59</v>
      </c>
      <c r="H1236" s="47">
        <v>135.7</v>
      </c>
      <c r="I1236" s="47" t="s">
        <v>62</v>
      </c>
    </row>
    <row r="1237" ht="15.75" customHeight="1">
      <c r="A1237" s="47" t="s">
        <v>2715</v>
      </c>
      <c r="B1237" s="47" t="s">
        <v>2716</v>
      </c>
      <c r="C1237" s="47" t="s">
        <v>7756</v>
      </c>
      <c r="D1237" s="47" t="s">
        <v>72</v>
      </c>
      <c r="E1237" s="47" t="s">
        <v>71</v>
      </c>
      <c r="F1237" s="47">
        <v>6092.0</v>
      </c>
      <c r="G1237" s="47">
        <v>9.6</v>
      </c>
      <c r="H1237" s="47">
        <v>634.6</v>
      </c>
      <c r="I1237" s="47" t="s">
        <v>142</v>
      </c>
    </row>
    <row r="1238" ht="15.75" customHeight="1">
      <c r="A1238" s="47" t="s">
        <v>2717</v>
      </c>
      <c r="B1238" s="47" t="s">
        <v>2718</v>
      </c>
      <c r="C1238" s="47" t="s">
        <v>7756</v>
      </c>
      <c r="D1238" s="47" t="s">
        <v>236</v>
      </c>
      <c r="E1238" s="47" t="s">
        <v>558</v>
      </c>
      <c r="F1238" s="47">
        <v>8455.0</v>
      </c>
      <c r="G1238" s="47">
        <v>3.04</v>
      </c>
      <c r="H1238" s="47">
        <v>2781.2</v>
      </c>
      <c r="I1238" s="47" t="s">
        <v>142</v>
      </c>
    </row>
    <row r="1239" ht="15.75" customHeight="1">
      <c r="A1239" s="47" t="s">
        <v>2719</v>
      </c>
      <c r="B1239" s="47" t="s">
        <v>2720</v>
      </c>
      <c r="C1239" s="47" t="s">
        <v>7756</v>
      </c>
      <c r="D1239" s="47" t="s">
        <v>236</v>
      </c>
      <c r="E1239" s="47" t="s">
        <v>558</v>
      </c>
      <c r="F1239" s="47">
        <v>1025.0</v>
      </c>
      <c r="G1239" s="47">
        <v>1.14</v>
      </c>
      <c r="H1239" s="47">
        <v>899.1</v>
      </c>
      <c r="I1239" s="47" t="s">
        <v>62</v>
      </c>
    </row>
    <row r="1240" ht="15.75" customHeight="1">
      <c r="A1240" s="47" t="s">
        <v>2721</v>
      </c>
      <c r="B1240" s="47" t="s">
        <v>2722</v>
      </c>
      <c r="C1240" s="47" t="s">
        <v>7756</v>
      </c>
      <c r="D1240" s="47" t="s">
        <v>146</v>
      </c>
      <c r="E1240" s="47" t="s">
        <v>268</v>
      </c>
      <c r="F1240" s="47">
        <v>5054.0</v>
      </c>
      <c r="G1240" s="47">
        <v>4.52</v>
      </c>
      <c r="H1240" s="47">
        <v>1118.1</v>
      </c>
      <c r="I1240" s="47" t="s">
        <v>142</v>
      </c>
    </row>
    <row r="1241" ht="15.75" customHeight="1">
      <c r="A1241" s="47" t="s">
        <v>2723</v>
      </c>
      <c r="B1241" s="47" t="s">
        <v>2724</v>
      </c>
      <c r="C1241" s="47" t="s">
        <v>7756</v>
      </c>
      <c r="D1241" s="47" t="s">
        <v>149</v>
      </c>
      <c r="E1241" s="47" t="s">
        <v>363</v>
      </c>
      <c r="F1241" s="47">
        <v>286.0</v>
      </c>
      <c r="G1241" s="47">
        <v>8.17</v>
      </c>
      <c r="H1241" s="47">
        <v>35.0</v>
      </c>
      <c r="I1241" s="47" t="s">
        <v>75</v>
      </c>
    </row>
    <row r="1242" ht="15.75" customHeight="1">
      <c r="A1242" s="47" t="s">
        <v>2725</v>
      </c>
      <c r="B1242" s="47" t="s">
        <v>2726</v>
      </c>
      <c r="C1242" s="47" t="s">
        <v>7756</v>
      </c>
      <c r="D1242" s="47" t="s">
        <v>224</v>
      </c>
      <c r="E1242" s="47" t="s">
        <v>390</v>
      </c>
      <c r="F1242" s="47">
        <v>4847.0</v>
      </c>
      <c r="G1242" s="47">
        <v>8.0</v>
      </c>
      <c r="H1242" s="47">
        <v>605.9</v>
      </c>
      <c r="I1242" s="47" t="s">
        <v>142</v>
      </c>
    </row>
    <row r="1243" ht="15.75" customHeight="1">
      <c r="A1243" s="47" t="s">
        <v>2727</v>
      </c>
      <c r="B1243" s="47" t="s">
        <v>2728</v>
      </c>
      <c r="C1243" s="47" t="s">
        <v>7756</v>
      </c>
      <c r="D1243" s="47" t="s">
        <v>171</v>
      </c>
      <c r="E1243" s="47" t="s">
        <v>457</v>
      </c>
      <c r="F1243" s="47">
        <v>1007.0</v>
      </c>
      <c r="G1243" s="47">
        <v>23.33</v>
      </c>
      <c r="H1243" s="47">
        <v>43.2</v>
      </c>
      <c r="I1243" s="47" t="s">
        <v>62</v>
      </c>
    </row>
    <row r="1244" ht="15.75" customHeight="1">
      <c r="A1244" s="47" t="s">
        <v>2729</v>
      </c>
      <c r="B1244" s="47" t="s">
        <v>2730</v>
      </c>
      <c r="C1244" s="47" t="s">
        <v>7756</v>
      </c>
      <c r="D1244" s="47" t="s">
        <v>192</v>
      </c>
      <c r="E1244" s="47" t="s">
        <v>508</v>
      </c>
      <c r="F1244" s="47">
        <v>2126.0</v>
      </c>
      <c r="G1244" s="47">
        <v>8.64</v>
      </c>
      <c r="H1244" s="47">
        <v>246.1</v>
      </c>
      <c r="I1244" s="47" t="s">
        <v>142</v>
      </c>
    </row>
    <row r="1245" ht="15.75" customHeight="1">
      <c r="A1245" s="47" t="s">
        <v>2731</v>
      </c>
      <c r="B1245" s="47" t="s">
        <v>2732</v>
      </c>
      <c r="C1245" s="47" t="s">
        <v>7756</v>
      </c>
      <c r="D1245" s="47" t="s">
        <v>135</v>
      </c>
      <c r="E1245" s="47" t="s">
        <v>349</v>
      </c>
      <c r="F1245" s="47">
        <v>765.0</v>
      </c>
      <c r="G1245" s="47">
        <v>6.46</v>
      </c>
      <c r="H1245" s="47">
        <v>118.4</v>
      </c>
      <c r="I1245" s="47" t="s">
        <v>62</v>
      </c>
    </row>
    <row r="1246" ht="15.75" customHeight="1">
      <c r="A1246" s="47" t="s">
        <v>2733</v>
      </c>
      <c r="B1246" s="47" t="s">
        <v>2734</v>
      </c>
      <c r="C1246" s="47" t="s">
        <v>7756</v>
      </c>
      <c r="D1246" s="47" t="s">
        <v>224</v>
      </c>
      <c r="E1246" s="47" t="s">
        <v>390</v>
      </c>
      <c r="F1246" s="47">
        <v>3016.0</v>
      </c>
      <c r="G1246" s="47">
        <v>2.24</v>
      </c>
      <c r="H1246" s="47">
        <v>1346.4</v>
      </c>
      <c r="I1246" s="47" t="s">
        <v>142</v>
      </c>
    </row>
    <row r="1247" ht="15.75" customHeight="1">
      <c r="A1247" s="47" t="s">
        <v>2735</v>
      </c>
      <c r="B1247" s="47" t="s">
        <v>2736</v>
      </c>
      <c r="C1247" s="47" t="s">
        <v>7756</v>
      </c>
      <c r="D1247" s="47" t="s">
        <v>145</v>
      </c>
      <c r="E1247" s="47" t="s">
        <v>255</v>
      </c>
      <c r="F1247" s="47">
        <v>2371.0</v>
      </c>
      <c r="G1247" s="47">
        <v>11.31</v>
      </c>
      <c r="H1247" s="47">
        <v>209.6</v>
      </c>
      <c r="I1247" s="47" t="s">
        <v>142</v>
      </c>
    </row>
    <row r="1248" ht="15.75" customHeight="1">
      <c r="A1248" s="47" t="s">
        <v>2737</v>
      </c>
      <c r="B1248" s="47" t="s">
        <v>2738</v>
      </c>
      <c r="C1248" s="47" t="s">
        <v>7756</v>
      </c>
      <c r="D1248" s="47" t="s">
        <v>192</v>
      </c>
      <c r="E1248" s="47" t="s">
        <v>508</v>
      </c>
      <c r="F1248" s="47">
        <v>439.0</v>
      </c>
      <c r="G1248" s="47">
        <v>4.02</v>
      </c>
      <c r="H1248" s="47">
        <v>109.2</v>
      </c>
      <c r="I1248" s="47" t="s">
        <v>75</v>
      </c>
    </row>
    <row r="1249" ht="15.75" customHeight="1">
      <c r="A1249" s="47" t="s">
        <v>2739</v>
      </c>
      <c r="B1249" s="47" t="s">
        <v>2740</v>
      </c>
      <c r="C1249" s="47" t="s">
        <v>7756</v>
      </c>
      <c r="D1249" s="47" t="s">
        <v>99</v>
      </c>
      <c r="E1249" s="47" t="s">
        <v>98</v>
      </c>
      <c r="F1249" s="47">
        <v>399.0</v>
      </c>
      <c r="G1249" s="47">
        <v>3.26</v>
      </c>
      <c r="H1249" s="47">
        <v>122.4</v>
      </c>
      <c r="I1249" s="47" t="s">
        <v>75</v>
      </c>
    </row>
    <row r="1250" ht="15.75" customHeight="1">
      <c r="A1250" s="47" t="s">
        <v>2741</v>
      </c>
      <c r="B1250" s="47" t="s">
        <v>2742</v>
      </c>
      <c r="C1250" s="47" t="s">
        <v>7756</v>
      </c>
      <c r="D1250" s="47" t="s">
        <v>236</v>
      </c>
      <c r="E1250" s="47" t="s">
        <v>558</v>
      </c>
      <c r="F1250" s="47">
        <v>2031.0</v>
      </c>
      <c r="G1250" s="47">
        <v>5.05</v>
      </c>
      <c r="H1250" s="47">
        <v>402.2</v>
      </c>
      <c r="I1250" s="47" t="s">
        <v>142</v>
      </c>
    </row>
    <row r="1251" ht="15.75" customHeight="1">
      <c r="A1251" s="47" t="s">
        <v>2743</v>
      </c>
      <c r="B1251" s="47" t="s">
        <v>2744</v>
      </c>
      <c r="C1251" s="47" t="s">
        <v>7756</v>
      </c>
      <c r="D1251" s="47" t="s">
        <v>146</v>
      </c>
      <c r="E1251" s="47" t="s">
        <v>268</v>
      </c>
      <c r="F1251" s="47">
        <v>2100.0</v>
      </c>
      <c r="G1251" s="47">
        <v>6.36</v>
      </c>
      <c r="H1251" s="47">
        <v>330.2</v>
      </c>
      <c r="I1251" s="47" t="s">
        <v>142</v>
      </c>
    </row>
    <row r="1252" ht="15.75" customHeight="1">
      <c r="A1252" s="47" t="s">
        <v>2745</v>
      </c>
      <c r="B1252" s="47" t="s">
        <v>2746</v>
      </c>
      <c r="C1252" s="47" t="s">
        <v>7756</v>
      </c>
      <c r="D1252" s="47" t="s">
        <v>192</v>
      </c>
      <c r="E1252" s="47" t="s">
        <v>508</v>
      </c>
      <c r="F1252" s="47">
        <v>832.0</v>
      </c>
      <c r="G1252" s="47">
        <v>3.98</v>
      </c>
      <c r="H1252" s="47">
        <v>209.0</v>
      </c>
      <c r="I1252" s="47" t="s">
        <v>62</v>
      </c>
    </row>
    <row r="1253" ht="15.75" customHeight="1">
      <c r="A1253" s="47" t="s">
        <v>2747</v>
      </c>
      <c r="B1253" s="47" t="s">
        <v>2748</v>
      </c>
      <c r="C1253" s="47" t="s">
        <v>7756</v>
      </c>
      <c r="D1253" s="47" t="s">
        <v>192</v>
      </c>
      <c r="E1253" s="47" t="s">
        <v>508</v>
      </c>
      <c r="F1253" s="47">
        <v>300.0</v>
      </c>
      <c r="G1253" s="47">
        <v>5.1</v>
      </c>
      <c r="H1253" s="47">
        <v>58.8</v>
      </c>
      <c r="I1253" s="47" t="s">
        <v>75</v>
      </c>
    </row>
    <row r="1254" ht="15.75" customHeight="1">
      <c r="A1254" s="47" t="s">
        <v>2749</v>
      </c>
      <c r="B1254" s="47" t="s">
        <v>2750</v>
      </c>
      <c r="C1254" s="47" t="s">
        <v>7756</v>
      </c>
      <c r="D1254" s="47" t="s">
        <v>149</v>
      </c>
      <c r="E1254" s="47" t="s">
        <v>363</v>
      </c>
      <c r="F1254" s="47">
        <v>1000.0</v>
      </c>
      <c r="G1254" s="47">
        <v>23.11</v>
      </c>
      <c r="H1254" s="47">
        <v>43.3</v>
      </c>
      <c r="I1254" s="47" t="s">
        <v>62</v>
      </c>
    </row>
    <row r="1255" ht="15.75" customHeight="1">
      <c r="A1255" s="47" t="s">
        <v>2751</v>
      </c>
      <c r="B1255" s="47" t="s">
        <v>2752</v>
      </c>
      <c r="C1255" s="47" t="s">
        <v>7756</v>
      </c>
      <c r="D1255" s="47" t="s">
        <v>146</v>
      </c>
      <c r="E1255" s="47" t="s">
        <v>268</v>
      </c>
      <c r="F1255" s="47">
        <v>2178.0</v>
      </c>
      <c r="G1255" s="47">
        <v>4.38</v>
      </c>
      <c r="H1255" s="47">
        <v>497.3</v>
      </c>
      <c r="I1255" s="47" t="s">
        <v>142</v>
      </c>
    </row>
    <row r="1256" ht="15.75" customHeight="1">
      <c r="A1256" s="47" t="s">
        <v>2753</v>
      </c>
      <c r="B1256" s="47" t="s">
        <v>2754</v>
      </c>
      <c r="C1256" s="47" t="s">
        <v>7756</v>
      </c>
      <c r="D1256" s="47" t="s">
        <v>120</v>
      </c>
      <c r="E1256" s="47" t="s">
        <v>312</v>
      </c>
      <c r="F1256" s="47">
        <v>3206.0</v>
      </c>
      <c r="G1256" s="47">
        <v>6.3</v>
      </c>
      <c r="H1256" s="47">
        <v>508.9</v>
      </c>
      <c r="I1256" s="47" t="s">
        <v>142</v>
      </c>
    </row>
    <row r="1257" ht="15.75" customHeight="1">
      <c r="A1257" s="47" t="s">
        <v>2755</v>
      </c>
      <c r="B1257" s="47" t="s">
        <v>2756</v>
      </c>
      <c r="C1257" s="47" t="s">
        <v>7756</v>
      </c>
      <c r="D1257" s="47" t="s">
        <v>236</v>
      </c>
      <c r="E1257" s="47" t="s">
        <v>558</v>
      </c>
      <c r="F1257" s="47">
        <v>4428.0</v>
      </c>
      <c r="G1257" s="47">
        <v>3.39</v>
      </c>
      <c r="H1257" s="47">
        <v>1306.2</v>
      </c>
      <c r="I1257" s="47" t="s">
        <v>142</v>
      </c>
    </row>
    <row r="1258" ht="15.75" customHeight="1">
      <c r="A1258" s="47" t="s">
        <v>2757</v>
      </c>
      <c r="B1258" s="47" t="s">
        <v>2758</v>
      </c>
      <c r="C1258" s="47" t="s">
        <v>7756</v>
      </c>
      <c r="D1258" s="47" t="s">
        <v>171</v>
      </c>
      <c r="E1258" s="47" t="s">
        <v>457</v>
      </c>
      <c r="F1258" s="47">
        <v>1108.0</v>
      </c>
      <c r="G1258" s="47">
        <v>18.77</v>
      </c>
      <c r="H1258" s="47">
        <v>59.0</v>
      </c>
      <c r="I1258" s="47" t="s">
        <v>62</v>
      </c>
    </row>
    <row r="1259" ht="15.75" customHeight="1">
      <c r="A1259" s="47" t="s">
        <v>2759</v>
      </c>
      <c r="B1259" s="47" t="s">
        <v>2760</v>
      </c>
      <c r="C1259" s="47" t="s">
        <v>7756</v>
      </c>
      <c r="D1259" s="47" t="s">
        <v>146</v>
      </c>
      <c r="E1259" s="47" t="s">
        <v>268</v>
      </c>
      <c r="F1259" s="47">
        <v>3145.0</v>
      </c>
      <c r="G1259" s="47">
        <v>12.22</v>
      </c>
      <c r="H1259" s="47">
        <v>257.4</v>
      </c>
      <c r="I1259" s="47" t="s">
        <v>142</v>
      </c>
    </row>
    <row r="1260" ht="15.75" customHeight="1">
      <c r="A1260" s="47" t="s">
        <v>2761</v>
      </c>
      <c r="B1260" s="47" t="s">
        <v>2762</v>
      </c>
      <c r="C1260" s="47" t="s">
        <v>7756</v>
      </c>
      <c r="D1260" s="47" t="s">
        <v>146</v>
      </c>
      <c r="E1260" s="47" t="s">
        <v>268</v>
      </c>
      <c r="F1260" s="47">
        <v>865.0</v>
      </c>
      <c r="G1260" s="47">
        <v>4.26</v>
      </c>
      <c r="H1260" s="47">
        <v>203.1</v>
      </c>
      <c r="I1260" s="47" t="s">
        <v>62</v>
      </c>
    </row>
    <row r="1261" ht="15.75" customHeight="1">
      <c r="A1261" s="47" t="s">
        <v>2763</v>
      </c>
      <c r="B1261" s="47" t="s">
        <v>2764</v>
      </c>
      <c r="C1261" s="47" t="s">
        <v>7756</v>
      </c>
      <c r="D1261" s="47" t="s">
        <v>192</v>
      </c>
      <c r="E1261" s="47" t="s">
        <v>508</v>
      </c>
      <c r="F1261" s="47">
        <v>4878.0</v>
      </c>
      <c r="G1261" s="47">
        <v>14.22</v>
      </c>
      <c r="H1261" s="47">
        <v>343.0</v>
      </c>
      <c r="I1261" s="47" t="s">
        <v>142</v>
      </c>
    </row>
    <row r="1262" ht="15.75" customHeight="1">
      <c r="A1262" s="47" t="s">
        <v>2765</v>
      </c>
      <c r="B1262" s="47" t="s">
        <v>2766</v>
      </c>
      <c r="C1262" s="47" t="s">
        <v>7756</v>
      </c>
      <c r="D1262" s="47" t="s">
        <v>236</v>
      </c>
      <c r="E1262" s="47" t="s">
        <v>558</v>
      </c>
      <c r="F1262" s="47">
        <v>6805.0</v>
      </c>
      <c r="G1262" s="47">
        <v>14.41</v>
      </c>
      <c r="H1262" s="47">
        <v>472.2</v>
      </c>
      <c r="I1262" s="47" t="s">
        <v>142</v>
      </c>
    </row>
    <row r="1263" ht="15.75" customHeight="1">
      <c r="A1263" s="47" t="s">
        <v>2767</v>
      </c>
      <c r="B1263" s="47" t="s">
        <v>2768</v>
      </c>
      <c r="C1263" s="47" t="s">
        <v>7756</v>
      </c>
      <c r="D1263" s="47" t="s">
        <v>145</v>
      </c>
      <c r="E1263" s="47" t="s">
        <v>255</v>
      </c>
      <c r="F1263" s="47">
        <v>135.0</v>
      </c>
      <c r="G1263" s="47">
        <v>4.36</v>
      </c>
      <c r="H1263" s="47">
        <v>31.0</v>
      </c>
      <c r="I1263" s="47" t="s">
        <v>75</v>
      </c>
    </row>
    <row r="1264" ht="15.75" customHeight="1">
      <c r="A1264" s="47" t="s">
        <v>2769</v>
      </c>
      <c r="B1264" s="47" t="s">
        <v>2770</v>
      </c>
      <c r="C1264" s="47" t="s">
        <v>7756</v>
      </c>
      <c r="D1264" s="47" t="s">
        <v>146</v>
      </c>
      <c r="E1264" s="47" t="s">
        <v>268</v>
      </c>
      <c r="F1264" s="47">
        <v>5949.0</v>
      </c>
      <c r="G1264" s="47">
        <v>4.69</v>
      </c>
      <c r="H1264" s="47">
        <v>1268.4</v>
      </c>
      <c r="I1264" s="47" t="s">
        <v>142</v>
      </c>
    </row>
    <row r="1265" ht="15.75" customHeight="1">
      <c r="A1265" s="47" t="s">
        <v>2771</v>
      </c>
      <c r="B1265" s="47" t="s">
        <v>2772</v>
      </c>
      <c r="C1265" s="47" t="s">
        <v>7756</v>
      </c>
      <c r="D1265" s="47" t="s">
        <v>135</v>
      </c>
      <c r="E1265" s="47" t="s">
        <v>349</v>
      </c>
      <c r="F1265" s="47">
        <v>1803.0</v>
      </c>
      <c r="G1265" s="47">
        <v>6.82</v>
      </c>
      <c r="H1265" s="47">
        <v>264.4</v>
      </c>
      <c r="I1265" s="47" t="s">
        <v>62</v>
      </c>
    </row>
    <row r="1266" ht="15.75" customHeight="1">
      <c r="A1266" s="47" t="s">
        <v>2773</v>
      </c>
      <c r="B1266" s="47" t="s">
        <v>2774</v>
      </c>
      <c r="C1266" s="47" t="s">
        <v>7756</v>
      </c>
      <c r="D1266" s="47" t="s">
        <v>130</v>
      </c>
      <c r="E1266" s="47" t="s">
        <v>180</v>
      </c>
      <c r="F1266" s="47">
        <v>2672.0</v>
      </c>
      <c r="G1266" s="47">
        <v>4.85</v>
      </c>
      <c r="H1266" s="47">
        <v>550.9</v>
      </c>
      <c r="I1266" s="47" t="s">
        <v>142</v>
      </c>
    </row>
    <row r="1267" ht="15.75" customHeight="1">
      <c r="A1267" s="47" t="s">
        <v>2775</v>
      </c>
      <c r="B1267" s="47" t="s">
        <v>2776</v>
      </c>
      <c r="C1267" s="47" t="s">
        <v>7756</v>
      </c>
      <c r="D1267" s="47" t="s">
        <v>236</v>
      </c>
      <c r="E1267" s="47" t="s">
        <v>558</v>
      </c>
      <c r="F1267" s="47">
        <v>1410.0</v>
      </c>
      <c r="G1267" s="47">
        <v>6.83</v>
      </c>
      <c r="H1267" s="47">
        <v>206.4</v>
      </c>
      <c r="I1267" s="47" t="s">
        <v>62</v>
      </c>
    </row>
    <row r="1268" ht="15.75" customHeight="1">
      <c r="A1268" s="47" t="s">
        <v>2777</v>
      </c>
      <c r="B1268" s="47" t="s">
        <v>2778</v>
      </c>
      <c r="C1268" s="47" t="s">
        <v>7756</v>
      </c>
      <c r="D1268" s="47" t="s">
        <v>120</v>
      </c>
      <c r="E1268" s="47" t="s">
        <v>312</v>
      </c>
      <c r="F1268" s="47">
        <v>2127.0</v>
      </c>
      <c r="G1268" s="47">
        <v>7.11</v>
      </c>
      <c r="H1268" s="47">
        <v>299.2</v>
      </c>
      <c r="I1268" s="47" t="s">
        <v>142</v>
      </c>
    </row>
    <row r="1269" ht="15.75" customHeight="1">
      <c r="A1269" s="47" t="s">
        <v>2779</v>
      </c>
      <c r="B1269" s="47" t="s">
        <v>2780</v>
      </c>
      <c r="C1269" s="47" t="s">
        <v>7756</v>
      </c>
      <c r="D1269" s="47" t="s">
        <v>130</v>
      </c>
      <c r="E1269" s="47" t="s">
        <v>180</v>
      </c>
      <c r="F1269" s="47">
        <v>4000.0</v>
      </c>
      <c r="G1269" s="47">
        <v>11.07</v>
      </c>
      <c r="H1269" s="47">
        <v>361.3</v>
      </c>
      <c r="I1269" s="47" t="s">
        <v>142</v>
      </c>
    </row>
    <row r="1270" ht="15.75" customHeight="1">
      <c r="A1270" s="47" t="s">
        <v>2781</v>
      </c>
      <c r="B1270" s="47" t="s">
        <v>2782</v>
      </c>
      <c r="C1270" s="47" t="s">
        <v>7756</v>
      </c>
      <c r="D1270" s="47" t="s">
        <v>149</v>
      </c>
      <c r="E1270" s="47" t="s">
        <v>363</v>
      </c>
      <c r="F1270" s="47">
        <v>197.0</v>
      </c>
      <c r="G1270" s="47">
        <v>6.18</v>
      </c>
      <c r="H1270" s="47">
        <v>31.9</v>
      </c>
      <c r="I1270" s="47" t="s">
        <v>75</v>
      </c>
    </row>
    <row r="1271" ht="15.75" customHeight="1">
      <c r="A1271" s="47" t="s">
        <v>2783</v>
      </c>
      <c r="B1271" s="47" t="s">
        <v>2784</v>
      </c>
      <c r="C1271" s="47" t="s">
        <v>7756</v>
      </c>
      <c r="D1271" s="47" t="s">
        <v>122</v>
      </c>
      <c r="E1271" s="47" t="s">
        <v>328</v>
      </c>
      <c r="F1271" s="47">
        <v>12199.0</v>
      </c>
      <c r="G1271" s="47">
        <v>33.33</v>
      </c>
      <c r="H1271" s="47">
        <v>366.0</v>
      </c>
      <c r="I1271" s="47" t="s">
        <v>571</v>
      </c>
    </row>
    <row r="1272" ht="15.75" customHeight="1">
      <c r="A1272" s="47" t="s">
        <v>2785</v>
      </c>
      <c r="B1272" s="47" t="s">
        <v>2786</v>
      </c>
      <c r="C1272" s="47" t="s">
        <v>7756</v>
      </c>
      <c r="D1272" s="47" t="s">
        <v>120</v>
      </c>
      <c r="E1272" s="47" t="s">
        <v>312</v>
      </c>
      <c r="F1272" s="47">
        <v>579.0</v>
      </c>
      <c r="G1272" s="47">
        <v>5.1</v>
      </c>
      <c r="H1272" s="47">
        <v>113.5</v>
      </c>
      <c r="I1272" s="47" t="s">
        <v>62</v>
      </c>
    </row>
    <row r="1273" ht="15.75" customHeight="1">
      <c r="A1273" s="47" t="s">
        <v>2787</v>
      </c>
      <c r="B1273" s="47" t="s">
        <v>2788</v>
      </c>
      <c r="C1273" s="47" t="s">
        <v>7756</v>
      </c>
      <c r="D1273" s="47" t="s">
        <v>149</v>
      </c>
      <c r="E1273" s="47" t="s">
        <v>363</v>
      </c>
      <c r="F1273" s="47">
        <v>220.0</v>
      </c>
      <c r="G1273" s="47">
        <v>9.54</v>
      </c>
      <c r="H1273" s="47">
        <v>23.1</v>
      </c>
      <c r="I1273" s="47" t="s">
        <v>75</v>
      </c>
    </row>
    <row r="1274" ht="15.75" customHeight="1">
      <c r="A1274" s="47" t="s">
        <v>2789</v>
      </c>
      <c r="B1274" s="47" t="s">
        <v>2790</v>
      </c>
      <c r="C1274" s="47" t="s">
        <v>7756</v>
      </c>
      <c r="D1274" s="47" t="s">
        <v>192</v>
      </c>
      <c r="E1274" s="47" t="s">
        <v>508</v>
      </c>
      <c r="F1274" s="47">
        <v>150.0</v>
      </c>
      <c r="G1274" s="47">
        <v>1.04</v>
      </c>
      <c r="H1274" s="47">
        <v>144.2</v>
      </c>
      <c r="I1274" s="47" t="s">
        <v>75</v>
      </c>
    </row>
    <row r="1275" ht="15.75" customHeight="1">
      <c r="A1275" s="47" t="s">
        <v>2791</v>
      </c>
      <c r="B1275" s="47" t="s">
        <v>2792</v>
      </c>
      <c r="C1275" s="47" t="s">
        <v>7756</v>
      </c>
      <c r="D1275" s="47" t="s">
        <v>145</v>
      </c>
      <c r="E1275" s="47" t="s">
        <v>255</v>
      </c>
      <c r="F1275" s="47">
        <v>2338.0</v>
      </c>
      <c r="G1275" s="47">
        <v>6.14</v>
      </c>
      <c r="H1275" s="47">
        <v>380.8</v>
      </c>
      <c r="I1275" s="47" t="s">
        <v>142</v>
      </c>
    </row>
    <row r="1276" ht="15.75" customHeight="1">
      <c r="A1276" s="47" t="s">
        <v>2793</v>
      </c>
      <c r="B1276" s="47" t="s">
        <v>2794</v>
      </c>
      <c r="C1276" s="47" t="s">
        <v>7756</v>
      </c>
      <c r="D1276" s="47" t="s">
        <v>135</v>
      </c>
      <c r="E1276" s="47" t="s">
        <v>349</v>
      </c>
      <c r="F1276" s="47">
        <v>241.0</v>
      </c>
      <c r="G1276" s="47">
        <v>6.35</v>
      </c>
      <c r="H1276" s="47">
        <v>38.0</v>
      </c>
      <c r="I1276" s="47" t="s">
        <v>75</v>
      </c>
    </row>
    <row r="1277" ht="15.75" customHeight="1">
      <c r="A1277" s="47" t="s">
        <v>2795</v>
      </c>
      <c r="B1277" s="47" t="s">
        <v>2796</v>
      </c>
      <c r="C1277" s="47" t="s">
        <v>7756</v>
      </c>
      <c r="D1277" s="47" t="s">
        <v>99</v>
      </c>
      <c r="E1277" s="47" t="s">
        <v>98</v>
      </c>
      <c r="F1277" s="47">
        <v>2113.0</v>
      </c>
      <c r="G1277" s="47">
        <v>18.95</v>
      </c>
      <c r="H1277" s="47">
        <v>111.5</v>
      </c>
      <c r="I1277" s="47" t="s">
        <v>142</v>
      </c>
    </row>
    <row r="1278" ht="15.75" customHeight="1">
      <c r="A1278" s="47" t="s">
        <v>2797</v>
      </c>
      <c r="B1278" s="47" t="s">
        <v>2798</v>
      </c>
      <c r="C1278" s="47" t="s">
        <v>7756</v>
      </c>
      <c r="D1278" s="47" t="s">
        <v>135</v>
      </c>
      <c r="E1278" s="47" t="s">
        <v>349</v>
      </c>
      <c r="F1278" s="47">
        <v>337.0</v>
      </c>
      <c r="G1278" s="47">
        <v>2.77</v>
      </c>
      <c r="H1278" s="47">
        <v>121.7</v>
      </c>
      <c r="I1278" s="47" t="s">
        <v>75</v>
      </c>
    </row>
    <row r="1279" ht="15.75" customHeight="1">
      <c r="A1279" s="47" t="s">
        <v>2799</v>
      </c>
      <c r="B1279" s="47" t="s">
        <v>2800</v>
      </c>
      <c r="C1279" s="47" t="s">
        <v>7756</v>
      </c>
      <c r="D1279" s="47" t="s">
        <v>171</v>
      </c>
      <c r="E1279" s="47" t="s">
        <v>457</v>
      </c>
      <c r="F1279" s="47">
        <v>1976.0</v>
      </c>
      <c r="G1279" s="47">
        <v>13.36</v>
      </c>
      <c r="H1279" s="47">
        <v>147.9</v>
      </c>
      <c r="I1279" s="47" t="s">
        <v>62</v>
      </c>
    </row>
    <row r="1280" ht="15.75" customHeight="1">
      <c r="A1280" s="47" t="s">
        <v>2801</v>
      </c>
      <c r="B1280" s="47" t="s">
        <v>2802</v>
      </c>
      <c r="C1280" s="47" t="s">
        <v>7756</v>
      </c>
      <c r="D1280" s="47" t="s">
        <v>120</v>
      </c>
      <c r="E1280" s="47" t="s">
        <v>312</v>
      </c>
      <c r="F1280" s="47">
        <v>380.0</v>
      </c>
      <c r="G1280" s="47">
        <v>8.78</v>
      </c>
      <c r="H1280" s="47">
        <v>43.3</v>
      </c>
      <c r="I1280" s="47" t="s">
        <v>75</v>
      </c>
    </row>
    <row r="1281" ht="15.75" customHeight="1">
      <c r="A1281" s="47" t="s">
        <v>2803</v>
      </c>
      <c r="B1281" s="47" t="s">
        <v>2804</v>
      </c>
      <c r="C1281" s="47" t="s">
        <v>7756</v>
      </c>
      <c r="D1281" s="47" t="s">
        <v>72</v>
      </c>
      <c r="E1281" s="47" t="s">
        <v>71</v>
      </c>
      <c r="F1281" s="47">
        <v>1261.0</v>
      </c>
      <c r="G1281" s="47">
        <v>7.35</v>
      </c>
      <c r="H1281" s="47">
        <v>171.6</v>
      </c>
      <c r="I1281" s="47" t="s">
        <v>62</v>
      </c>
    </row>
    <row r="1282" ht="15.75" customHeight="1">
      <c r="A1282" s="47" t="s">
        <v>2805</v>
      </c>
      <c r="B1282" s="47" t="s">
        <v>2806</v>
      </c>
      <c r="C1282" s="47" t="s">
        <v>7756</v>
      </c>
      <c r="D1282" s="47" t="s">
        <v>120</v>
      </c>
      <c r="E1282" s="47" t="s">
        <v>312</v>
      </c>
      <c r="F1282" s="47">
        <v>1425.0</v>
      </c>
      <c r="G1282" s="47">
        <v>7.63</v>
      </c>
      <c r="H1282" s="47">
        <v>186.8</v>
      </c>
      <c r="I1282" s="47" t="s">
        <v>62</v>
      </c>
    </row>
    <row r="1283" ht="15.75" customHeight="1">
      <c r="A1283" s="47" t="s">
        <v>2807</v>
      </c>
      <c r="B1283" s="47" t="s">
        <v>2808</v>
      </c>
      <c r="C1283" s="47" t="s">
        <v>7756</v>
      </c>
      <c r="D1283" s="47" t="s">
        <v>192</v>
      </c>
      <c r="E1283" s="47" t="s">
        <v>508</v>
      </c>
      <c r="F1283" s="47">
        <v>201.0</v>
      </c>
      <c r="G1283" s="47">
        <v>2.32</v>
      </c>
      <c r="H1283" s="47">
        <v>86.6</v>
      </c>
      <c r="I1283" s="47" t="s">
        <v>75</v>
      </c>
    </row>
    <row r="1284" ht="15.75" customHeight="1">
      <c r="A1284" s="47" t="s">
        <v>2809</v>
      </c>
      <c r="B1284" s="47" t="s">
        <v>2810</v>
      </c>
      <c r="C1284" s="47" t="s">
        <v>7756</v>
      </c>
      <c r="D1284" s="47" t="s">
        <v>122</v>
      </c>
      <c r="E1284" s="47" t="s">
        <v>328</v>
      </c>
      <c r="F1284" s="47">
        <v>3743.0</v>
      </c>
      <c r="G1284" s="47">
        <v>4.05</v>
      </c>
      <c r="H1284" s="47">
        <v>924.2</v>
      </c>
      <c r="I1284" s="47" t="s">
        <v>142</v>
      </c>
    </row>
    <row r="1285" ht="15.75" customHeight="1">
      <c r="A1285" s="47" t="s">
        <v>2811</v>
      </c>
      <c r="B1285" s="47" t="s">
        <v>2812</v>
      </c>
      <c r="C1285" s="47" t="s">
        <v>7756</v>
      </c>
      <c r="D1285" s="47" t="s">
        <v>146</v>
      </c>
      <c r="E1285" s="47" t="s">
        <v>268</v>
      </c>
      <c r="F1285" s="47">
        <v>741.0</v>
      </c>
      <c r="G1285" s="47">
        <v>4.79</v>
      </c>
      <c r="H1285" s="47">
        <v>154.7</v>
      </c>
      <c r="I1285" s="47" t="s">
        <v>62</v>
      </c>
    </row>
    <row r="1286" ht="15.75" customHeight="1">
      <c r="A1286" s="47" t="s">
        <v>2813</v>
      </c>
      <c r="B1286" s="47" t="s">
        <v>2814</v>
      </c>
      <c r="C1286" s="47" t="s">
        <v>7756</v>
      </c>
      <c r="D1286" s="47" t="s">
        <v>202</v>
      </c>
      <c r="E1286" s="47" t="s">
        <v>499</v>
      </c>
      <c r="F1286" s="47">
        <v>471.0</v>
      </c>
      <c r="G1286" s="47">
        <v>5.99</v>
      </c>
      <c r="H1286" s="47">
        <v>78.6</v>
      </c>
      <c r="I1286" s="47" t="s">
        <v>75</v>
      </c>
    </row>
    <row r="1287" ht="15.75" customHeight="1">
      <c r="A1287" s="47" t="s">
        <v>2815</v>
      </c>
      <c r="B1287" s="47" t="s">
        <v>2816</v>
      </c>
      <c r="C1287" s="47" t="s">
        <v>7756</v>
      </c>
      <c r="D1287" s="47" t="s">
        <v>236</v>
      </c>
      <c r="E1287" s="47" t="s">
        <v>558</v>
      </c>
      <c r="F1287" s="47">
        <v>19787.0</v>
      </c>
      <c r="G1287" s="47">
        <v>5.43</v>
      </c>
      <c r="H1287" s="47">
        <v>3644.0</v>
      </c>
      <c r="I1287" s="47" t="s">
        <v>571</v>
      </c>
    </row>
    <row r="1288" ht="15.75" customHeight="1">
      <c r="A1288" s="47" t="s">
        <v>2817</v>
      </c>
      <c r="B1288" s="47" t="s">
        <v>2818</v>
      </c>
      <c r="C1288" s="47" t="s">
        <v>7756</v>
      </c>
      <c r="D1288" s="47" t="s">
        <v>236</v>
      </c>
      <c r="E1288" s="47" t="s">
        <v>558</v>
      </c>
      <c r="F1288" s="47">
        <v>14075.0</v>
      </c>
      <c r="G1288" s="47">
        <v>10.56</v>
      </c>
      <c r="H1288" s="47">
        <v>1332.9</v>
      </c>
      <c r="I1288" s="47" t="s">
        <v>571</v>
      </c>
    </row>
    <row r="1289" ht="15.75" customHeight="1">
      <c r="A1289" s="47" t="s">
        <v>2819</v>
      </c>
      <c r="B1289" s="47" t="s">
        <v>2820</v>
      </c>
      <c r="C1289" s="47" t="s">
        <v>7756</v>
      </c>
      <c r="D1289" s="47" t="s">
        <v>130</v>
      </c>
      <c r="E1289" s="47" t="s">
        <v>180</v>
      </c>
      <c r="F1289" s="47">
        <v>5956.0</v>
      </c>
      <c r="G1289" s="47">
        <v>7.15</v>
      </c>
      <c r="H1289" s="47">
        <v>833.0</v>
      </c>
      <c r="I1289" s="47" t="s">
        <v>142</v>
      </c>
    </row>
    <row r="1290" ht="15.75" customHeight="1">
      <c r="A1290" s="47" t="s">
        <v>2821</v>
      </c>
      <c r="B1290" s="47" t="s">
        <v>2822</v>
      </c>
      <c r="C1290" s="47" t="s">
        <v>7756</v>
      </c>
      <c r="D1290" s="47" t="s">
        <v>122</v>
      </c>
      <c r="E1290" s="47" t="s">
        <v>328</v>
      </c>
      <c r="F1290" s="47">
        <v>2022.0</v>
      </c>
      <c r="G1290" s="47">
        <v>8.11</v>
      </c>
      <c r="H1290" s="47">
        <v>249.3</v>
      </c>
      <c r="I1290" s="47" t="s">
        <v>142</v>
      </c>
    </row>
    <row r="1291" ht="15.75" customHeight="1">
      <c r="A1291" s="47" t="s">
        <v>2823</v>
      </c>
      <c r="B1291" s="47" t="s">
        <v>2824</v>
      </c>
      <c r="C1291" s="47" t="s">
        <v>7756</v>
      </c>
      <c r="D1291" s="47" t="s">
        <v>236</v>
      </c>
      <c r="E1291" s="47" t="s">
        <v>558</v>
      </c>
      <c r="F1291" s="47">
        <v>98286.0</v>
      </c>
      <c r="G1291" s="47">
        <v>13.12</v>
      </c>
      <c r="H1291" s="47">
        <v>7491.3</v>
      </c>
      <c r="I1291" s="47" t="s">
        <v>7463</v>
      </c>
    </row>
    <row r="1292" ht="15.75" customHeight="1">
      <c r="A1292" s="47" t="s">
        <v>2825</v>
      </c>
      <c r="B1292" s="47" t="s">
        <v>2826</v>
      </c>
      <c r="C1292" s="47" t="s">
        <v>7756</v>
      </c>
      <c r="D1292" s="47" t="s">
        <v>130</v>
      </c>
      <c r="E1292" s="47" t="s">
        <v>180</v>
      </c>
      <c r="F1292" s="47">
        <v>456.0</v>
      </c>
      <c r="G1292" s="47">
        <v>3.19</v>
      </c>
      <c r="H1292" s="47">
        <v>142.9</v>
      </c>
      <c r="I1292" s="47" t="s">
        <v>75</v>
      </c>
    </row>
    <row r="1293" ht="15.75" customHeight="1">
      <c r="A1293" s="47" t="s">
        <v>2827</v>
      </c>
      <c r="B1293" s="47" t="s">
        <v>2828</v>
      </c>
      <c r="C1293" s="47" t="s">
        <v>7756</v>
      </c>
      <c r="D1293" s="47" t="s">
        <v>145</v>
      </c>
      <c r="E1293" s="47" t="s">
        <v>255</v>
      </c>
      <c r="F1293" s="47">
        <v>3980.0</v>
      </c>
      <c r="G1293" s="47">
        <v>5.78</v>
      </c>
      <c r="H1293" s="47">
        <v>688.6</v>
      </c>
      <c r="I1293" s="47" t="s">
        <v>142</v>
      </c>
    </row>
    <row r="1294" ht="15.75" customHeight="1">
      <c r="A1294" s="47" t="s">
        <v>2829</v>
      </c>
      <c r="B1294" s="47" t="s">
        <v>2830</v>
      </c>
      <c r="C1294" s="47" t="s">
        <v>7756</v>
      </c>
      <c r="D1294" s="47" t="s">
        <v>146</v>
      </c>
      <c r="E1294" s="47" t="s">
        <v>268</v>
      </c>
      <c r="F1294" s="47">
        <v>655.0</v>
      </c>
      <c r="G1294" s="47">
        <v>3.26</v>
      </c>
      <c r="H1294" s="47">
        <v>200.9</v>
      </c>
      <c r="I1294" s="47" t="s">
        <v>62</v>
      </c>
    </row>
    <row r="1295" ht="15.75" customHeight="1">
      <c r="A1295" s="47" t="s">
        <v>2831</v>
      </c>
      <c r="B1295" s="47" t="s">
        <v>2832</v>
      </c>
      <c r="C1295" s="47" t="s">
        <v>7756</v>
      </c>
      <c r="D1295" s="47" t="s">
        <v>99</v>
      </c>
      <c r="E1295" s="47" t="s">
        <v>98</v>
      </c>
      <c r="F1295" s="47">
        <v>899.0</v>
      </c>
      <c r="G1295" s="47">
        <v>14.97</v>
      </c>
      <c r="H1295" s="47">
        <v>60.1</v>
      </c>
      <c r="I1295" s="47" t="s">
        <v>62</v>
      </c>
    </row>
    <row r="1296" ht="15.75" customHeight="1">
      <c r="A1296" s="47" t="s">
        <v>2833</v>
      </c>
      <c r="B1296" s="47" t="s">
        <v>2834</v>
      </c>
      <c r="C1296" s="47" t="s">
        <v>7756</v>
      </c>
      <c r="D1296" s="47" t="s">
        <v>120</v>
      </c>
      <c r="E1296" s="47" t="s">
        <v>312</v>
      </c>
      <c r="F1296" s="47">
        <v>737.0</v>
      </c>
      <c r="G1296" s="47">
        <v>17.7</v>
      </c>
      <c r="H1296" s="47">
        <v>41.6</v>
      </c>
      <c r="I1296" s="47" t="s">
        <v>62</v>
      </c>
    </row>
    <row r="1297" ht="15.75" customHeight="1">
      <c r="A1297" s="47" t="s">
        <v>2835</v>
      </c>
      <c r="B1297" s="47" t="s">
        <v>2836</v>
      </c>
      <c r="C1297" s="47" t="s">
        <v>7756</v>
      </c>
      <c r="D1297" s="47" t="s">
        <v>192</v>
      </c>
      <c r="E1297" s="47" t="s">
        <v>508</v>
      </c>
      <c r="F1297" s="47">
        <v>448.0</v>
      </c>
      <c r="G1297" s="47">
        <v>6.76</v>
      </c>
      <c r="H1297" s="47">
        <v>66.3</v>
      </c>
      <c r="I1297" s="47" t="s">
        <v>75</v>
      </c>
    </row>
    <row r="1298" ht="15.75" customHeight="1">
      <c r="A1298" s="47" t="s">
        <v>2837</v>
      </c>
      <c r="B1298" s="47" t="s">
        <v>2838</v>
      </c>
      <c r="C1298" s="47" t="s">
        <v>7756</v>
      </c>
      <c r="D1298" s="47" t="s">
        <v>122</v>
      </c>
      <c r="E1298" s="47" t="s">
        <v>328</v>
      </c>
      <c r="F1298" s="47">
        <v>1722.0</v>
      </c>
      <c r="G1298" s="47">
        <v>7.66</v>
      </c>
      <c r="H1298" s="47">
        <v>224.8</v>
      </c>
      <c r="I1298" s="47" t="s">
        <v>62</v>
      </c>
    </row>
    <row r="1299" ht="15.75" customHeight="1">
      <c r="A1299" s="47" t="s">
        <v>2839</v>
      </c>
      <c r="B1299" s="47" t="s">
        <v>2840</v>
      </c>
      <c r="C1299" s="47" t="s">
        <v>7756</v>
      </c>
      <c r="D1299" s="47" t="s">
        <v>120</v>
      </c>
      <c r="E1299" s="47" t="s">
        <v>312</v>
      </c>
      <c r="F1299" s="47">
        <v>1431.0</v>
      </c>
      <c r="G1299" s="47">
        <v>6.68</v>
      </c>
      <c r="H1299" s="47">
        <v>214.2</v>
      </c>
      <c r="I1299" s="47" t="s">
        <v>62</v>
      </c>
    </row>
    <row r="1300" ht="15.75" customHeight="1">
      <c r="A1300" s="47" t="s">
        <v>2841</v>
      </c>
      <c r="B1300" s="47" t="s">
        <v>2842</v>
      </c>
      <c r="C1300" s="47" t="s">
        <v>7756</v>
      </c>
      <c r="D1300" s="47" t="s">
        <v>120</v>
      </c>
      <c r="E1300" s="47" t="s">
        <v>312</v>
      </c>
      <c r="F1300" s="47">
        <v>409.0</v>
      </c>
      <c r="G1300" s="47">
        <v>3.27</v>
      </c>
      <c r="H1300" s="47">
        <v>125.1</v>
      </c>
      <c r="I1300" s="47" t="s">
        <v>75</v>
      </c>
    </row>
    <row r="1301" ht="15.75" customHeight="1">
      <c r="A1301" s="47" t="s">
        <v>2843</v>
      </c>
      <c r="B1301" s="47" t="s">
        <v>2844</v>
      </c>
      <c r="C1301" s="47" t="s">
        <v>7756</v>
      </c>
      <c r="D1301" s="47" t="s">
        <v>236</v>
      </c>
      <c r="E1301" s="47" t="s">
        <v>558</v>
      </c>
      <c r="F1301" s="47">
        <v>1923.0</v>
      </c>
      <c r="G1301" s="47">
        <v>4.43</v>
      </c>
      <c r="H1301" s="47">
        <v>434.1</v>
      </c>
      <c r="I1301" s="47" t="s">
        <v>62</v>
      </c>
    </row>
    <row r="1302" ht="15.75" customHeight="1">
      <c r="A1302" s="47" t="s">
        <v>2845</v>
      </c>
      <c r="B1302" s="47" t="s">
        <v>2846</v>
      </c>
      <c r="C1302" s="47" t="s">
        <v>7756</v>
      </c>
      <c r="D1302" s="47" t="s">
        <v>236</v>
      </c>
      <c r="E1302" s="47" t="s">
        <v>558</v>
      </c>
      <c r="F1302" s="47">
        <v>2840.0</v>
      </c>
      <c r="G1302" s="47">
        <v>10.53</v>
      </c>
      <c r="H1302" s="47">
        <v>269.7</v>
      </c>
      <c r="I1302" s="47" t="s">
        <v>142</v>
      </c>
    </row>
    <row r="1303" ht="15.75" customHeight="1">
      <c r="A1303" s="47" t="s">
        <v>2847</v>
      </c>
      <c r="B1303" s="47" t="s">
        <v>2848</v>
      </c>
      <c r="C1303" s="47" t="s">
        <v>7756</v>
      </c>
      <c r="D1303" s="47" t="s">
        <v>236</v>
      </c>
      <c r="E1303" s="47" t="s">
        <v>558</v>
      </c>
      <c r="F1303" s="47">
        <v>5638.0</v>
      </c>
      <c r="G1303" s="47">
        <v>7.8</v>
      </c>
      <c r="H1303" s="47">
        <v>722.8</v>
      </c>
      <c r="I1303" s="47" t="s">
        <v>142</v>
      </c>
    </row>
    <row r="1304" ht="15.75" customHeight="1">
      <c r="A1304" s="47" t="s">
        <v>2849</v>
      </c>
      <c r="B1304" s="47" t="s">
        <v>2850</v>
      </c>
      <c r="C1304" s="47" t="s">
        <v>7756</v>
      </c>
      <c r="D1304" s="47" t="s">
        <v>149</v>
      </c>
      <c r="E1304" s="47" t="s">
        <v>363</v>
      </c>
      <c r="F1304" s="47">
        <v>2755.0</v>
      </c>
      <c r="G1304" s="47">
        <v>16.02</v>
      </c>
      <c r="H1304" s="47">
        <v>172.0</v>
      </c>
      <c r="I1304" s="47" t="s">
        <v>142</v>
      </c>
    </row>
    <row r="1305" ht="15.75" customHeight="1">
      <c r="A1305" s="47" t="s">
        <v>2851</v>
      </c>
      <c r="B1305" s="47" t="s">
        <v>2852</v>
      </c>
      <c r="C1305" s="47" t="s">
        <v>7756</v>
      </c>
      <c r="D1305" s="47" t="s">
        <v>122</v>
      </c>
      <c r="E1305" s="47" t="s">
        <v>328</v>
      </c>
      <c r="F1305" s="47">
        <v>15974.0</v>
      </c>
      <c r="G1305" s="47">
        <v>33.94</v>
      </c>
      <c r="H1305" s="47">
        <v>470.7</v>
      </c>
      <c r="I1305" s="47" t="s">
        <v>571</v>
      </c>
    </row>
    <row r="1306" ht="15.75" customHeight="1">
      <c r="A1306" s="47" t="s">
        <v>2853</v>
      </c>
      <c r="B1306" s="47" t="s">
        <v>2854</v>
      </c>
      <c r="C1306" s="47" t="s">
        <v>7756</v>
      </c>
      <c r="D1306" s="47" t="s">
        <v>236</v>
      </c>
      <c r="E1306" s="47" t="s">
        <v>558</v>
      </c>
      <c r="F1306" s="47">
        <v>13233.0</v>
      </c>
      <c r="G1306" s="47">
        <v>3.16</v>
      </c>
      <c r="H1306" s="47">
        <v>4187.7</v>
      </c>
      <c r="I1306" s="47" t="s">
        <v>571</v>
      </c>
    </row>
    <row r="1307" ht="15.75" customHeight="1">
      <c r="A1307" s="47" t="s">
        <v>2855</v>
      </c>
      <c r="B1307" s="47" t="s">
        <v>2856</v>
      </c>
      <c r="C1307" s="47" t="s">
        <v>7756</v>
      </c>
      <c r="D1307" s="47" t="s">
        <v>135</v>
      </c>
      <c r="E1307" s="47" t="s">
        <v>349</v>
      </c>
      <c r="F1307" s="47">
        <v>1570.0</v>
      </c>
      <c r="G1307" s="47">
        <v>8.1</v>
      </c>
      <c r="H1307" s="47">
        <v>193.8</v>
      </c>
      <c r="I1307" s="47" t="s">
        <v>62</v>
      </c>
    </row>
    <row r="1308" ht="15.75" customHeight="1">
      <c r="A1308" s="47" t="s">
        <v>2857</v>
      </c>
      <c r="B1308" s="47" t="s">
        <v>1531</v>
      </c>
      <c r="C1308" s="47" t="s">
        <v>7756</v>
      </c>
      <c r="D1308" s="47" t="s">
        <v>149</v>
      </c>
      <c r="E1308" s="47" t="s">
        <v>363</v>
      </c>
      <c r="F1308" s="47">
        <v>328.0</v>
      </c>
      <c r="G1308" s="47">
        <v>10.14</v>
      </c>
      <c r="H1308" s="47">
        <v>32.3</v>
      </c>
      <c r="I1308" s="47" t="s">
        <v>75</v>
      </c>
    </row>
    <row r="1309" ht="15.75" customHeight="1">
      <c r="A1309" s="47" t="s">
        <v>2858</v>
      </c>
      <c r="B1309" s="47" t="s">
        <v>2859</v>
      </c>
      <c r="C1309" s="47" t="s">
        <v>7756</v>
      </c>
      <c r="D1309" s="47" t="s">
        <v>146</v>
      </c>
      <c r="E1309" s="47" t="s">
        <v>268</v>
      </c>
      <c r="F1309" s="47">
        <v>328.0</v>
      </c>
      <c r="G1309" s="47">
        <v>4.18</v>
      </c>
      <c r="H1309" s="47">
        <v>78.5</v>
      </c>
      <c r="I1309" s="47" t="s">
        <v>75</v>
      </c>
    </row>
    <row r="1310" ht="15.75" customHeight="1">
      <c r="A1310" s="47" t="s">
        <v>2860</v>
      </c>
      <c r="B1310" s="47" t="s">
        <v>2861</v>
      </c>
      <c r="C1310" s="47" t="s">
        <v>7756</v>
      </c>
      <c r="D1310" s="47" t="s">
        <v>135</v>
      </c>
      <c r="E1310" s="47" t="s">
        <v>349</v>
      </c>
      <c r="F1310" s="47">
        <v>343.0</v>
      </c>
      <c r="G1310" s="47">
        <v>4.66</v>
      </c>
      <c r="H1310" s="47">
        <v>73.6</v>
      </c>
      <c r="I1310" s="47" t="s">
        <v>75</v>
      </c>
    </row>
    <row r="1311" ht="15.75" customHeight="1">
      <c r="A1311" s="47" t="s">
        <v>2862</v>
      </c>
      <c r="B1311" s="47" t="s">
        <v>2863</v>
      </c>
      <c r="C1311" s="47" t="s">
        <v>7756</v>
      </c>
      <c r="D1311" s="47" t="s">
        <v>235</v>
      </c>
      <c r="E1311" s="47" t="s">
        <v>555</v>
      </c>
      <c r="F1311" s="47">
        <v>287.0</v>
      </c>
      <c r="G1311" s="47">
        <v>8.09</v>
      </c>
      <c r="H1311" s="47">
        <v>35.5</v>
      </c>
      <c r="I1311" s="47" t="s">
        <v>75</v>
      </c>
    </row>
    <row r="1312" ht="15.75" customHeight="1">
      <c r="A1312" s="47" t="s">
        <v>2864</v>
      </c>
      <c r="B1312" s="47" t="s">
        <v>2865</v>
      </c>
      <c r="C1312" s="47" t="s">
        <v>7756</v>
      </c>
      <c r="D1312" s="47" t="s">
        <v>135</v>
      </c>
      <c r="E1312" s="47" t="s">
        <v>349</v>
      </c>
      <c r="F1312" s="47">
        <v>1558.0</v>
      </c>
      <c r="G1312" s="47">
        <v>6.52</v>
      </c>
      <c r="H1312" s="47">
        <v>239.0</v>
      </c>
      <c r="I1312" s="47" t="s">
        <v>62</v>
      </c>
    </row>
    <row r="1313" ht="15.75" customHeight="1">
      <c r="A1313" s="47" t="s">
        <v>2866</v>
      </c>
      <c r="B1313" s="47" t="s">
        <v>2867</v>
      </c>
      <c r="C1313" s="47" t="s">
        <v>7756</v>
      </c>
      <c r="D1313" s="47" t="s">
        <v>149</v>
      </c>
      <c r="E1313" s="47" t="s">
        <v>363</v>
      </c>
      <c r="F1313" s="47">
        <v>733.0</v>
      </c>
      <c r="G1313" s="47">
        <v>15.44</v>
      </c>
      <c r="H1313" s="47">
        <v>47.5</v>
      </c>
      <c r="I1313" s="47" t="s">
        <v>62</v>
      </c>
    </row>
    <row r="1314" ht="15.75" customHeight="1">
      <c r="A1314" s="47" t="s">
        <v>2868</v>
      </c>
      <c r="B1314" s="47" t="s">
        <v>2869</v>
      </c>
      <c r="C1314" s="47" t="s">
        <v>7756</v>
      </c>
      <c r="D1314" s="47" t="s">
        <v>99</v>
      </c>
      <c r="E1314" s="47" t="s">
        <v>98</v>
      </c>
      <c r="F1314" s="47">
        <v>1598.0</v>
      </c>
      <c r="G1314" s="47">
        <v>7.96</v>
      </c>
      <c r="H1314" s="47">
        <v>200.8</v>
      </c>
      <c r="I1314" s="47" t="s">
        <v>62</v>
      </c>
    </row>
    <row r="1315" ht="15.75" customHeight="1">
      <c r="A1315" s="47" t="s">
        <v>2870</v>
      </c>
      <c r="B1315" s="47" t="s">
        <v>2871</v>
      </c>
      <c r="C1315" s="47" t="s">
        <v>7756</v>
      </c>
      <c r="D1315" s="47" t="s">
        <v>99</v>
      </c>
      <c r="E1315" s="47" t="s">
        <v>98</v>
      </c>
      <c r="F1315" s="47">
        <v>825.0</v>
      </c>
      <c r="G1315" s="47">
        <v>7.55</v>
      </c>
      <c r="H1315" s="47">
        <v>109.3</v>
      </c>
      <c r="I1315" s="47" t="s">
        <v>62</v>
      </c>
    </row>
    <row r="1316" ht="15.75" customHeight="1">
      <c r="A1316" s="47" t="s">
        <v>2872</v>
      </c>
      <c r="B1316" s="47" t="s">
        <v>2873</v>
      </c>
      <c r="C1316" s="47" t="s">
        <v>7756</v>
      </c>
      <c r="D1316" s="47" t="s">
        <v>202</v>
      </c>
      <c r="E1316" s="47" t="s">
        <v>499</v>
      </c>
      <c r="F1316" s="47">
        <v>483.0</v>
      </c>
      <c r="G1316" s="47">
        <v>5.28</v>
      </c>
      <c r="H1316" s="47">
        <v>91.5</v>
      </c>
      <c r="I1316" s="47" t="s">
        <v>75</v>
      </c>
    </row>
    <row r="1317" ht="15.75" customHeight="1">
      <c r="A1317" s="47" t="s">
        <v>2874</v>
      </c>
      <c r="B1317" s="47" t="s">
        <v>2875</v>
      </c>
      <c r="C1317" s="47" t="s">
        <v>7756</v>
      </c>
      <c r="D1317" s="47" t="s">
        <v>171</v>
      </c>
      <c r="E1317" s="47" t="s">
        <v>457</v>
      </c>
      <c r="F1317" s="47">
        <v>410.0</v>
      </c>
      <c r="G1317" s="47">
        <v>6.0</v>
      </c>
      <c r="H1317" s="47">
        <v>68.3</v>
      </c>
      <c r="I1317" s="47" t="s">
        <v>75</v>
      </c>
    </row>
    <row r="1318" ht="15.75" customHeight="1">
      <c r="A1318" s="47" t="s">
        <v>2876</v>
      </c>
      <c r="B1318" s="47" t="s">
        <v>2877</v>
      </c>
      <c r="C1318" s="47" t="s">
        <v>7756</v>
      </c>
      <c r="D1318" s="47" t="s">
        <v>171</v>
      </c>
      <c r="E1318" s="47" t="s">
        <v>457</v>
      </c>
      <c r="F1318" s="47">
        <v>989.0</v>
      </c>
      <c r="G1318" s="47">
        <v>8.84</v>
      </c>
      <c r="H1318" s="47">
        <v>111.9</v>
      </c>
      <c r="I1318" s="47" t="s">
        <v>62</v>
      </c>
    </row>
    <row r="1319" ht="15.75" customHeight="1">
      <c r="A1319" s="47" t="s">
        <v>2878</v>
      </c>
      <c r="B1319" s="47" t="s">
        <v>2879</v>
      </c>
      <c r="C1319" s="47" t="s">
        <v>7756</v>
      </c>
      <c r="D1319" s="47" t="s">
        <v>202</v>
      </c>
      <c r="E1319" s="47" t="s">
        <v>499</v>
      </c>
      <c r="F1319" s="47">
        <v>978.0</v>
      </c>
      <c r="G1319" s="47">
        <v>7.42</v>
      </c>
      <c r="H1319" s="47">
        <v>131.8</v>
      </c>
      <c r="I1319" s="47" t="s">
        <v>62</v>
      </c>
    </row>
    <row r="1320" ht="15.75" customHeight="1">
      <c r="A1320" s="47" t="s">
        <v>2880</v>
      </c>
      <c r="B1320" s="47" t="s">
        <v>2881</v>
      </c>
      <c r="C1320" s="47" t="s">
        <v>7756</v>
      </c>
      <c r="D1320" s="47" t="s">
        <v>145</v>
      </c>
      <c r="E1320" s="47" t="s">
        <v>255</v>
      </c>
      <c r="F1320" s="47">
        <v>469.0</v>
      </c>
      <c r="G1320" s="47">
        <v>5.18</v>
      </c>
      <c r="H1320" s="47">
        <v>90.5</v>
      </c>
      <c r="I1320" s="47" t="s">
        <v>75</v>
      </c>
    </row>
    <row r="1321" ht="15.75" customHeight="1">
      <c r="A1321" s="47" t="s">
        <v>2882</v>
      </c>
      <c r="B1321" s="47" t="s">
        <v>2883</v>
      </c>
      <c r="C1321" s="47" t="s">
        <v>7756</v>
      </c>
      <c r="D1321" s="47" t="s">
        <v>145</v>
      </c>
      <c r="E1321" s="47" t="s">
        <v>255</v>
      </c>
      <c r="F1321" s="47">
        <v>1054.0</v>
      </c>
      <c r="G1321" s="47">
        <v>5.95</v>
      </c>
      <c r="H1321" s="47">
        <v>177.1</v>
      </c>
      <c r="I1321" s="47" t="s">
        <v>62</v>
      </c>
    </row>
    <row r="1322" ht="15.75" customHeight="1">
      <c r="A1322" s="47" t="s">
        <v>2884</v>
      </c>
      <c r="B1322" s="47" t="s">
        <v>2885</v>
      </c>
      <c r="C1322" s="47" t="s">
        <v>7756</v>
      </c>
      <c r="D1322" s="47" t="s">
        <v>146</v>
      </c>
      <c r="E1322" s="47" t="s">
        <v>268</v>
      </c>
      <c r="F1322" s="47">
        <v>10947.0</v>
      </c>
      <c r="G1322" s="47">
        <v>12.04</v>
      </c>
      <c r="H1322" s="47">
        <v>909.2</v>
      </c>
      <c r="I1322" s="47" t="s">
        <v>571</v>
      </c>
    </row>
    <row r="1323" ht="15.75" customHeight="1">
      <c r="A1323" s="47" t="s">
        <v>2886</v>
      </c>
      <c r="B1323" s="47" t="s">
        <v>2887</v>
      </c>
      <c r="C1323" s="47" t="s">
        <v>7756</v>
      </c>
      <c r="D1323" s="47" t="s">
        <v>135</v>
      </c>
      <c r="E1323" s="47" t="s">
        <v>349</v>
      </c>
      <c r="F1323" s="47">
        <v>1191.0</v>
      </c>
      <c r="G1323" s="47">
        <v>12.66</v>
      </c>
      <c r="H1323" s="47">
        <v>94.1</v>
      </c>
      <c r="I1323" s="47" t="s">
        <v>62</v>
      </c>
    </row>
    <row r="1324" ht="15.75" customHeight="1">
      <c r="A1324" s="47" t="s">
        <v>2888</v>
      </c>
      <c r="B1324" s="47" t="s">
        <v>2889</v>
      </c>
      <c r="C1324" s="47" t="s">
        <v>7756</v>
      </c>
      <c r="D1324" s="47" t="s">
        <v>99</v>
      </c>
      <c r="E1324" s="47" t="s">
        <v>98</v>
      </c>
      <c r="F1324" s="47">
        <v>1144.0</v>
      </c>
      <c r="G1324" s="47">
        <v>8.12</v>
      </c>
      <c r="H1324" s="47">
        <v>140.9</v>
      </c>
      <c r="I1324" s="47" t="s">
        <v>62</v>
      </c>
    </row>
    <row r="1325" ht="15.75" customHeight="1">
      <c r="A1325" s="47" t="s">
        <v>2890</v>
      </c>
      <c r="B1325" s="47" t="s">
        <v>2891</v>
      </c>
      <c r="C1325" s="47" t="s">
        <v>7756</v>
      </c>
      <c r="D1325" s="47" t="s">
        <v>135</v>
      </c>
      <c r="E1325" s="47" t="s">
        <v>349</v>
      </c>
      <c r="F1325" s="47">
        <v>871.0</v>
      </c>
      <c r="G1325" s="47">
        <v>4.38</v>
      </c>
      <c r="H1325" s="47">
        <v>198.9</v>
      </c>
      <c r="I1325" s="47" t="s">
        <v>62</v>
      </c>
    </row>
    <row r="1326" ht="15.75" customHeight="1">
      <c r="A1326" s="47" t="s">
        <v>2892</v>
      </c>
      <c r="B1326" s="47" t="s">
        <v>2893</v>
      </c>
      <c r="C1326" s="47" t="s">
        <v>7756</v>
      </c>
      <c r="D1326" s="47" t="s">
        <v>192</v>
      </c>
      <c r="E1326" s="47" t="s">
        <v>508</v>
      </c>
      <c r="F1326" s="47">
        <v>686.0</v>
      </c>
      <c r="G1326" s="47">
        <v>5.87</v>
      </c>
      <c r="H1326" s="47">
        <v>116.9</v>
      </c>
      <c r="I1326" s="47" t="s">
        <v>62</v>
      </c>
    </row>
    <row r="1327" ht="15.75" customHeight="1">
      <c r="A1327" s="47" t="s">
        <v>2894</v>
      </c>
      <c r="B1327" s="47" t="s">
        <v>2895</v>
      </c>
      <c r="C1327" s="47" t="s">
        <v>7756</v>
      </c>
      <c r="D1327" s="47" t="s">
        <v>192</v>
      </c>
      <c r="E1327" s="47" t="s">
        <v>508</v>
      </c>
      <c r="F1327" s="47">
        <v>327.0</v>
      </c>
      <c r="G1327" s="47">
        <v>4.58</v>
      </c>
      <c r="H1327" s="47">
        <v>71.4</v>
      </c>
      <c r="I1327" s="47" t="s">
        <v>75</v>
      </c>
    </row>
    <row r="1328" ht="15.75" customHeight="1">
      <c r="A1328" s="47" t="s">
        <v>2896</v>
      </c>
      <c r="B1328" s="47" t="s">
        <v>2897</v>
      </c>
      <c r="C1328" s="47" t="s">
        <v>7756</v>
      </c>
      <c r="D1328" s="47" t="s">
        <v>236</v>
      </c>
      <c r="E1328" s="47" t="s">
        <v>558</v>
      </c>
      <c r="F1328" s="47">
        <v>3182.0</v>
      </c>
      <c r="G1328" s="47">
        <v>5.3</v>
      </c>
      <c r="H1328" s="47">
        <v>600.4</v>
      </c>
      <c r="I1328" s="47" t="s">
        <v>142</v>
      </c>
    </row>
    <row r="1329" ht="15.75" customHeight="1">
      <c r="A1329" s="47" t="s">
        <v>2898</v>
      </c>
      <c r="B1329" s="47" t="s">
        <v>2899</v>
      </c>
      <c r="C1329" s="47" t="s">
        <v>7756</v>
      </c>
      <c r="D1329" s="47" t="s">
        <v>224</v>
      </c>
      <c r="E1329" s="47" t="s">
        <v>390</v>
      </c>
      <c r="F1329" s="47">
        <v>1704.0</v>
      </c>
      <c r="G1329" s="47">
        <v>8.83</v>
      </c>
      <c r="H1329" s="47">
        <v>193.0</v>
      </c>
      <c r="I1329" s="47" t="s">
        <v>62</v>
      </c>
    </row>
    <row r="1330" ht="15.75" customHeight="1">
      <c r="A1330" s="47" t="s">
        <v>2900</v>
      </c>
      <c r="B1330" s="47" t="s">
        <v>2901</v>
      </c>
      <c r="C1330" s="47" t="s">
        <v>7756</v>
      </c>
      <c r="D1330" s="47" t="s">
        <v>120</v>
      </c>
      <c r="E1330" s="47" t="s">
        <v>312</v>
      </c>
      <c r="F1330" s="47">
        <v>190.0</v>
      </c>
      <c r="G1330" s="47">
        <v>3.94</v>
      </c>
      <c r="H1330" s="47">
        <v>48.2</v>
      </c>
      <c r="I1330" s="47" t="s">
        <v>75</v>
      </c>
    </row>
    <row r="1331" ht="15.75" customHeight="1">
      <c r="A1331" s="47" t="s">
        <v>2902</v>
      </c>
      <c r="B1331" s="47" t="s">
        <v>2903</v>
      </c>
      <c r="C1331" s="47" t="s">
        <v>7756</v>
      </c>
      <c r="D1331" s="47" t="s">
        <v>236</v>
      </c>
      <c r="E1331" s="47" t="s">
        <v>558</v>
      </c>
      <c r="F1331" s="47">
        <v>5652.0</v>
      </c>
      <c r="G1331" s="47">
        <v>7.54</v>
      </c>
      <c r="H1331" s="47">
        <v>749.6</v>
      </c>
      <c r="I1331" s="47" t="s">
        <v>142</v>
      </c>
    </row>
    <row r="1332" ht="15.75" customHeight="1">
      <c r="A1332" s="47" t="s">
        <v>2904</v>
      </c>
      <c r="B1332" s="47" t="s">
        <v>2905</v>
      </c>
      <c r="C1332" s="47" t="s">
        <v>7756</v>
      </c>
      <c r="D1332" s="47" t="s">
        <v>122</v>
      </c>
      <c r="E1332" s="47" t="s">
        <v>328</v>
      </c>
      <c r="F1332" s="47">
        <v>620.0</v>
      </c>
      <c r="G1332" s="47">
        <v>2.58</v>
      </c>
      <c r="H1332" s="47">
        <v>240.3</v>
      </c>
      <c r="I1332" s="47" t="s">
        <v>62</v>
      </c>
    </row>
    <row r="1333" ht="15.75" customHeight="1">
      <c r="A1333" s="47" t="s">
        <v>2906</v>
      </c>
      <c r="B1333" s="47" t="s">
        <v>2907</v>
      </c>
      <c r="C1333" s="47" t="s">
        <v>7756</v>
      </c>
      <c r="D1333" s="47" t="s">
        <v>149</v>
      </c>
      <c r="E1333" s="47" t="s">
        <v>363</v>
      </c>
      <c r="F1333" s="47">
        <v>1402.0</v>
      </c>
      <c r="G1333" s="47">
        <v>7.83</v>
      </c>
      <c r="H1333" s="47">
        <v>179.1</v>
      </c>
      <c r="I1333" s="47" t="s">
        <v>62</v>
      </c>
    </row>
    <row r="1334" ht="15.75" customHeight="1">
      <c r="A1334" s="47" t="s">
        <v>2908</v>
      </c>
      <c r="B1334" s="47" t="s">
        <v>2909</v>
      </c>
      <c r="C1334" s="47" t="s">
        <v>7756</v>
      </c>
      <c r="D1334" s="47" t="s">
        <v>145</v>
      </c>
      <c r="E1334" s="47" t="s">
        <v>255</v>
      </c>
      <c r="F1334" s="47">
        <v>260.0</v>
      </c>
      <c r="G1334" s="47">
        <v>4.16</v>
      </c>
      <c r="H1334" s="47">
        <v>62.5</v>
      </c>
      <c r="I1334" s="47" t="s">
        <v>75</v>
      </c>
    </row>
    <row r="1335" ht="15.75" customHeight="1">
      <c r="A1335" s="47" t="s">
        <v>2910</v>
      </c>
      <c r="B1335" s="47" t="s">
        <v>2911</v>
      </c>
      <c r="C1335" s="47" t="s">
        <v>7756</v>
      </c>
      <c r="D1335" s="47" t="s">
        <v>146</v>
      </c>
      <c r="E1335" s="47" t="s">
        <v>268</v>
      </c>
      <c r="F1335" s="47">
        <v>2499.0</v>
      </c>
      <c r="G1335" s="47">
        <v>6.44</v>
      </c>
      <c r="H1335" s="47">
        <v>388.0</v>
      </c>
      <c r="I1335" s="47" t="s">
        <v>142</v>
      </c>
    </row>
    <row r="1336" ht="15.75" customHeight="1">
      <c r="A1336" s="47" t="s">
        <v>2912</v>
      </c>
      <c r="B1336" s="47" t="s">
        <v>2913</v>
      </c>
      <c r="C1336" s="47" t="s">
        <v>7756</v>
      </c>
      <c r="D1336" s="47" t="s">
        <v>202</v>
      </c>
      <c r="E1336" s="47" t="s">
        <v>499</v>
      </c>
      <c r="F1336" s="47">
        <v>1672.0</v>
      </c>
      <c r="G1336" s="47">
        <v>10.08</v>
      </c>
      <c r="H1336" s="47">
        <v>165.9</v>
      </c>
      <c r="I1336" s="47" t="s">
        <v>62</v>
      </c>
    </row>
    <row r="1337" ht="15.75" customHeight="1">
      <c r="A1337" s="47" t="s">
        <v>2914</v>
      </c>
      <c r="B1337" s="47" t="s">
        <v>2915</v>
      </c>
      <c r="C1337" s="47" t="s">
        <v>7756</v>
      </c>
      <c r="D1337" s="47" t="s">
        <v>146</v>
      </c>
      <c r="E1337" s="47" t="s">
        <v>268</v>
      </c>
      <c r="F1337" s="47">
        <v>1967.0</v>
      </c>
      <c r="G1337" s="47">
        <v>14.18</v>
      </c>
      <c r="H1337" s="47">
        <v>138.7</v>
      </c>
      <c r="I1337" s="47" t="s">
        <v>62</v>
      </c>
    </row>
    <row r="1338" ht="15.75" customHeight="1">
      <c r="A1338" s="47" t="s">
        <v>2916</v>
      </c>
      <c r="B1338" s="47" t="s">
        <v>2917</v>
      </c>
      <c r="C1338" s="47" t="s">
        <v>7756</v>
      </c>
      <c r="D1338" s="47" t="s">
        <v>236</v>
      </c>
      <c r="E1338" s="47" t="s">
        <v>558</v>
      </c>
      <c r="F1338" s="47">
        <v>13261.0</v>
      </c>
      <c r="G1338" s="47">
        <v>17.42</v>
      </c>
      <c r="H1338" s="47">
        <v>761.3</v>
      </c>
      <c r="I1338" s="47" t="s">
        <v>571</v>
      </c>
    </row>
    <row r="1339" ht="15.75" customHeight="1">
      <c r="A1339" s="47" t="s">
        <v>2918</v>
      </c>
      <c r="B1339" s="47" t="s">
        <v>2919</v>
      </c>
      <c r="C1339" s="47" t="s">
        <v>7756</v>
      </c>
      <c r="D1339" s="47" t="s">
        <v>149</v>
      </c>
      <c r="E1339" s="47" t="s">
        <v>363</v>
      </c>
      <c r="F1339" s="47">
        <v>520.0</v>
      </c>
      <c r="G1339" s="47">
        <v>13.48</v>
      </c>
      <c r="H1339" s="47">
        <v>38.6</v>
      </c>
      <c r="I1339" s="47" t="s">
        <v>62</v>
      </c>
    </row>
    <row r="1340" ht="15.75" customHeight="1">
      <c r="A1340" s="47" t="s">
        <v>2920</v>
      </c>
      <c r="B1340" s="47" t="s">
        <v>2921</v>
      </c>
      <c r="C1340" s="47" t="s">
        <v>7756</v>
      </c>
      <c r="D1340" s="47" t="s">
        <v>149</v>
      </c>
      <c r="E1340" s="47" t="s">
        <v>363</v>
      </c>
      <c r="F1340" s="47">
        <v>227.0</v>
      </c>
      <c r="G1340" s="47">
        <v>3.07</v>
      </c>
      <c r="H1340" s="47">
        <v>73.9</v>
      </c>
      <c r="I1340" s="47" t="s">
        <v>75</v>
      </c>
    </row>
    <row r="1341" ht="15.75" customHeight="1">
      <c r="A1341" s="47" t="s">
        <v>2922</v>
      </c>
      <c r="B1341" s="47" t="s">
        <v>2923</v>
      </c>
      <c r="C1341" s="47" t="s">
        <v>7756</v>
      </c>
      <c r="D1341" s="47" t="s">
        <v>122</v>
      </c>
      <c r="E1341" s="47" t="s">
        <v>328</v>
      </c>
      <c r="F1341" s="47">
        <v>3103.0</v>
      </c>
      <c r="G1341" s="47">
        <v>3.87</v>
      </c>
      <c r="H1341" s="47">
        <v>801.8</v>
      </c>
      <c r="I1341" s="47" t="s">
        <v>142</v>
      </c>
    </row>
    <row r="1342" ht="15.75" customHeight="1">
      <c r="A1342" s="47" t="s">
        <v>2924</v>
      </c>
      <c r="B1342" s="47" t="s">
        <v>2925</v>
      </c>
      <c r="C1342" s="47" t="s">
        <v>7756</v>
      </c>
      <c r="D1342" s="47" t="s">
        <v>192</v>
      </c>
      <c r="E1342" s="47" t="s">
        <v>508</v>
      </c>
      <c r="F1342" s="47">
        <v>640.0</v>
      </c>
      <c r="G1342" s="47">
        <v>5.97</v>
      </c>
      <c r="H1342" s="47">
        <v>107.2</v>
      </c>
      <c r="I1342" s="47" t="s">
        <v>62</v>
      </c>
    </row>
    <row r="1343" ht="15.75" customHeight="1">
      <c r="A1343" s="47" t="s">
        <v>2926</v>
      </c>
      <c r="B1343" s="47" t="s">
        <v>2927</v>
      </c>
      <c r="C1343" s="47" t="s">
        <v>7756</v>
      </c>
      <c r="D1343" s="47" t="s">
        <v>236</v>
      </c>
      <c r="E1343" s="47" t="s">
        <v>558</v>
      </c>
      <c r="F1343" s="47">
        <v>4675.0</v>
      </c>
      <c r="G1343" s="47">
        <v>3.97</v>
      </c>
      <c r="H1343" s="47">
        <v>1177.6</v>
      </c>
      <c r="I1343" s="47" t="s">
        <v>142</v>
      </c>
    </row>
    <row r="1344" ht="15.75" customHeight="1">
      <c r="A1344" s="47" t="s">
        <v>2928</v>
      </c>
      <c r="B1344" s="47" t="s">
        <v>2929</v>
      </c>
      <c r="C1344" s="47" t="s">
        <v>7756</v>
      </c>
      <c r="D1344" s="47" t="s">
        <v>120</v>
      </c>
      <c r="E1344" s="47" t="s">
        <v>312</v>
      </c>
      <c r="F1344" s="47">
        <v>416.0</v>
      </c>
      <c r="G1344" s="47">
        <v>7.28</v>
      </c>
      <c r="H1344" s="47">
        <v>57.1</v>
      </c>
      <c r="I1344" s="47" t="s">
        <v>75</v>
      </c>
    </row>
    <row r="1345" ht="15.75" customHeight="1">
      <c r="A1345" s="47" t="s">
        <v>2930</v>
      </c>
      <c r="B1345" s="47" t="s">
        <v>2931</v>
      </c>
      <c r="C1345" s="47" t="s">
        <v>7756</v>
      </c>
      <c r="D1345" s="47" t="s">
        <v>99</v>
      </c>
      <c r="E1345" s="47" t="s">
        <v>98</v>
      </c>
      <c r="F1345" s="47">
        <v>486.0</v>
      </c>
      <c r="G1345" s="47">
        <v>4.96</v>
      </c>
      <c r="H1345" s="47">
        <v>98.0</v>
      </c>
      <c r="I1345" s="47" t="s">
        <v>75</v>
      </c>
    </row>
    <row r="1346" ht="15.75" customHeight="1">
      <c r="A1346" s="47" t="s">
        <v>2932</v>
      </c>
      <c r="B1346" s="47" t="s">
        <v>2933</v>
      </c>
      <c r="C1346" s="47" t="s">
        <v>7756</v>
      </c>
      <c r="D1346" s="47" t="s">
        <v>130</v>
      </c>
      <c r="E1346" s="47" t="s">
        <v>180</v>
      </c>
      <c r="F1346" s="47">
        <v>16076.0</v>
      </c>
      <c r="G1346" s="47">
        <v>11.51</v>
      </c>
      <c r="H1346" s="47">
        <v>1396.7</v>
      </c>
      <c r="I1346" s="47" t="s">
        <v>571</v>
      </c>
    </row>
    <row r="1347" ht="15.75" customHeight="1">
      <c r="A1347" s="47" t="s">
        <v>2934</v>
      </c>
      <c r="B1347" s="47" t="s">
        <v>2935</v>
      </c>
      <c r="C1347" s="47" t="s">
        <v>7756</v>
      </c>
      <c r="D1347" s="47" t="s">
        <v>171</v>
      </c>
      <c r="E1347" s="47" t="s">
        <v>457</v>
      </c>
      <c r="F1347" s="47">
        <v>869.0</v>
      </c>
      <c r="G1347" s="47">
        <v>8.02</v>
      </c>
      <c r="H1347" s="47">
        <v>108.4</v>
      </c>
      <c r="I1347" s="47" t="s">
        <v>62</v>
      </c>
    </row>
    <row r="1348" ht="15.75" customHeight="1">
      <c r="A1348" s="47" t="s">
        <v>2936</v>
      </c>
      <c r="B1348" s="47" t="s">
        <v>2937</v>
      </c>
      <c r="C1348" s="47" t="s">
        <v>7756</v>
      </c>
      <c r="D1348" s="47" t="s">
        <v>202</v>
      </c>
      <c r="E1348" s="47" t="s">
        <v>499</v>
      </c>
      <c r="F1348" s="47">
        <v>4142.0</v>
      </c>
      <c r="G1348" s="47">
        <v>23.19</v>
      </c>
      <c r="H1348" s="47">
        <v>178.6</v>
      </c>
      <c r="I1348" s="47" t="s">
        <v>142</v>
      </c>
    </row>
    <row r="1349" ht="15.75" customHeight="1">
      <c r="A1349" s="47" t="s">
        <v>2938</v>
      </c>
      <c r="B1349" s="47" t="s">
        <v>2939</v>
      </c>
      <c r="C1349" s="47" t="s">
        <v>7756</v>
      </c>
      <c r="D1349" s="47" t="s">
        <v>149</v>
      </c>
      <c r="E1349" s="47" t="s">
        <v>363</v>
      </c>
      <c r="F1349" s="47">
        <v>1796.0</v>
      </c>
      <c r="G1349" s="47">
        <v>13.74</v>
      </c>
      <c r="H1349" s="47">
        <v>130.7</v>
      </c>
      <c r="I1349" s="47" t="s">
        <v>62</v>
      </c>
    </row>
    <row r="1350" ht="15.75" customHeight="1">
      <c r="A1350" s="47" t="s">
        <v>2940</v>
      </c>
      <c r="B1350" s="47" t="s">
        <v>2941</v>
      </c>
      <c r="C1350" s="47" t="s">
        <v>7756</v>
      </c>
      <c r="D1350" s="47" t="s">
        <v>149</v>
      </c>
      <c r="E1350" s="47" t="s">
        <v>363</v>
      </c>
      <c r="F1350" s="47">
        <v>142.0</v>
      </c>
      <c r="G1350" s="47">
        <v>5.4</v>
      </c>
      <c r="H1350" s="47">
        <v>26.3</v>
      </c>
      <c r="I1350" s="47" t="s">
        <v>75</v>
      </c>
    </row>
    <row r="1351" ht="15.75" customHeight="1">
      <c r="A1351" s="47" t="s">
        <v>2942</v>
      </c>
      <c r="B1351" s="47" t="s">
        <v>2943</v>
      </c>
      <c r="C1351" s="47" t="s">
        <v>7756</v>
      </c>
      <c r="D1351" s="47" t="s">
        <v>72</v>
      </c>
      <c r="E1351" s="47" t="s">
        <v>71</v>
      </c>
      <c r="F1351" s="47">
        <v>11766.0</v>
      </c>
      <c r="G1351" s="47">
        <v>12.28</v>
      </c>
      <c r="H1351" s="47">
        <v>958.1</v>
      </c>
      <c r="I1351" s="47" t="s">
        <v>571</v>
      </c>
    </row>
    <row r="1352" ht="15.75" customHeight="1">
      <c r="A1352" s="47" t="s">
        <v>2944</v>
      </c>
      <c r="B1352" s="47" t="s">
        <v>2945</v>
      </c>
      <c r="C1352" s="47" t="s">
        <v>7756</v>
      </c>
      <c r="D1352" s="47" t="s">
        <v>202</v>
      </c>
      <c r="E1352" s="47" t="s">
        <v>499</v>
      </c>
      <c r="F1352" s="47">
        <v>397.0</v>
      </c>
      <c r="G1352" s="47">
        <v>3.59</v>
      </c>
      <c r="H1352" s="47">
        <v>110.6</v>
      </c>
      <c r="I1352" s="47" t="s">
        <v>75</v>
      </c>
    </row>
    <row r="1353" ht="15.75" customHeight="1">
      <c r="A1353" s="47" t="s">
        <v>2946</v>
      </c>
      <c r="B1353" s="47" t="s">
        <v>2947</v>
      </c>
      <c r="C1353" s="47" t="s">
        <v>7756</v>
      </c>
      <c r="D1353" s="47" t="s">
        <v>235</v>
      </c>
      <c r="E1353" s="47" t="s">
        <v>555</v>
      </c>
      <c r="F1353" s="47">
        <v>1718.0</v>
      </c>
      <c r="G1353" s="47">
        <v>9.46</v>
      </c>
      <c r="H1353" s="47">
        <v>181.6</v>
      </c>
      <c r="I1353" s="47" t="s">
        <v>62</v>
      </c>
    </row>
    <row r="1354" ht="15.75" customHeight="1">
      <c r="A1354" s="47" t="s">
        <v>2948</v>
      </c>
      <c r="B1354" s="47" t="s">
        <v>2949</v>
      </c>
      <c r="C1354" s="47" t="s">
        <v>7756</v>
      </c>
      <c r="D1354" s="47" t="s">
        <v>99</v>
      </c>
      <c r="E1354" s="47" t="s">
        <v>98</v>
      </c>
      <c r="F1354" s="47">
        <v>756.0</v>
      </c>
      <c r="G1354" s="47">
        <v>9.98</v>
      </c>
      <c r="H1354" s="47">
        <v>75.8</v>
      </c>
      <c r="I1354" s="47" t="s">
        <v>62</v>
      </c>
    </row>
    <row r="1355" ht="15.75" customHeight="1">
      <c r="A1355" s="47" t="s">
        <v>2950</v>
      </c>
      <c r="B1355" s="47" t="s">
        <v>2951</v>
      </c>
      <c r="C1355" s="47" t="s">
        <v>7756</v>
      </c>
      <c r="D1355" s="47" t="s">
        <v>99</v>
      </c>
      <c r="E1355" s="47" t="s">
        <v>98</v>
      </c>
      <c r="F1355" s="47">
        <v>1602.0</v>
      </c>
      <c r="G1355" s="47">
        <v>11.97</v>
      </c>
      <c r="H1355" s="47">
        <v>133.8</v>
      </c>
      <c r="I1355" s="47" t="s">
        <v>62</v>
      </c>
    </row>
    <row r="1356" ht="15.75" customHeight="1">
      <c r="A1356" s="47" t="s">
        <v>2952</v>
      </c>
      <c r="B1356" s="47" t="s">
        <v>2953</v>
      </c>
      <c r="C1356" s="47" t="s">
        <v>7756</v>
      </c>
      <c r="D1356" s="47" t="s">
        <v>171</v>
      </c>
      <c r="E1356" s="47" t="s">
        <v>457</v>
      </c>
      <c r="F1356" s="47">
        <v>1405.0</v>
      </c>
      <c r="G1356" s="47">
        <v>10.3</v>
      </c>
      <c r="H1356" s="47">
        <v>136.4</v>
      </c>
      <c r="I1356" s="47" t="s">
        <v>62</v>
      </c>
    </row>
    <row r="1357" ht="15.75" customHeight="1">
      <c r="A1357" s="47" t="s">
        <v>2954</v>
      </c>
      <c r="B1357" s="47" t="s">
        <v>2955</v>
      </c>
      <c r="C1357" s="47" t="s">
        <v>7756</v>
      </c>
      <c r="D1357" s="47" t="s">
        <v>99</v>
      </c>
      <c r="E1357" s="47" t="s">
        <v>98</v>
      </c>
      <c r="F1357" s="47">
        <v>4332.0</v>
      </c>
      <c r="G1357" s="47">
        <v>30.12</v>
      </c>
      <c r="H1357" s="47">
        <v>143.8</v>
      </c>
      <c r="I1357" s="47" t="s">
        <v>142</v>
      </c>
    </row>
    <row r="1358" ht="15.75" customHeight="1">
      <c r="A1358" s="47" t="s">
        <v>2956</v>
      </c>
      <c r="B1358" s="47" t="s">
        <v>2957</v>
      </c>
      <c r="C1358" s="47" t="s">
        <v>7756</v>
      </c>
      <c r="D1358" s="47" t="s">
        <v>99</v>
      </c>
      <c r="E1358" s="47" t="s">
        <v>98</v>
      </c>
      <c r="F1358" s="47">
        <v>3450.0</v>
      </c>
      <c r="G1358" s="47">
        <v>27.48</v>
      </c>
      <c r="H1358" s="47">
        <v>125.5</v>
      </c>
      <c r="I1358" s="47" t="s">
        <v>142</v>
      </c>
    </row>
    <row r="1359" ht="15.75" customHeight="1">
      <c r="A1359" s="47" t="s">
        <v>2958</v>
      </c>
      <c r="B1359" s="47" t="s">
        <v>2959</v>
      </c>
      <c r="C1359" s="47" t="s">
        <v>7756</v>
      </c>
      <c r="D1359" s="47" t="s">
        <v>99</v>
      </c>
      <c r="E1359" s="47" t="s">
        <v>98</v>
      </c>
      <c r="F1359" s="47">
        <v>942.0</v>
      </c>
      <c r="G1359" s="47">
        <v>4.7</v>
      </c>
      <c r="H1359" s="47">
        <v>200.4</v>
      </c>
      <c r="I1359" s="47" t="s">
        <v>62</v>
      </c>
    </row>
    <row r="1360" ht="15.75" customHeight="1">
      <c r="A1360" s="47" t="s">
        <v>2960</v>
      </c>
      <c r="B1360" s="47" t="s">
        <v>2961</v>
      </c>
      <c r="C1360" s="47" t="s">
        <v>7756</v>
      </c>
      <c r="D1360" s="47" t="s">
        <v>149</v>
      </c>
      <c r="E1360" s="47" t="s">
        <v>363</v>
      </c>
      <c r="F1360" s="47">
        <v>475.0</v>
      </c>
      <c r="G1360" s="47">
        <v>8.53</v>
      </c>
      <c r="H1360" s="47">
        <v>55.7</v>
      </c>
      <c r="I1360" s="47" t="s">
        <v>75</v>
      </c>
    </row>
    <row r="1361" ht="15.75" customHeight="1">
      <c r="A1361" s="47" t="s">
        <v>2962</v>
      </c>
      <c r="B1361" s="47" t="s">
        <v>2963</v>
      </c>
      <c r="C1361" s="47" t="s">
        <v>7756</v>
      </c>
      <c r="D1361" s="47" t="s">
        <v>192</v>
      </c>
      <c r="E1361" s="47" t="s">
        <v>508</v>
      </c>
      <c r="F1361" s="47">
        <v>963.0</v>
      </c>
      <c r="G1361" s="47">
        <v>16.18</v>
      </c>
      <c r="H1361" s="47">
        <v>59.5</v>
      </c>
      <c r="I1361" s="47" t="s">
        <v>62</v>
      </c>
    </row>
    <row r="1362" ht="15.75" customHeight="1">
      <c r="A1362" s="47" t="s">
        <v>2964</v>
      </c>
      <c r="B1362" s="47" t="s">
        <v>2965</v>
      </c>
      <c r="C1362" s="47" t="s">
        <v>7756</v>
      </c>
      <c r="D1362" s="47" t="s">
        <v>236</v>
      </c>
      <c r="E1362" s="47" t="s">
        <v>558</v>
      </c>
      <c r="F1362" s="47">
        <v>3669.0</v>
      </c>
      <c r="G1362" s="47">
        <v>4.6</v>
      </c>
      <c r="H1362" s="47">
        <v>797.6</v>
      </c>
      <c r="I1362" s="47" t="s">
        <v>142</v>
      </c>
    </row>
    <row r="1363" ht="15.75" customHeight="1">
      <c r="A1363" s="47" t="s">
        <v>2966</v>
      </c>
      <c r="B1363" s="47" t="s">
        <v>2967</v>
      </c>
      <c r="C1363" s="47" t="s">
        <v>7756</v>
      </c>
      <c r="D1363" s="47" t="s">
        <v>224</v>
      </c>
      <c r="E1363" s="47" t="s">
        <v>390</v>
      </c>
      <c r="F1363" s="47">
        <v>7202.0</v>
      </c>
      <c r="G1363" s="47">
        <v>15.85</v>
      </c>
      <c r="H1363" s="47">
        <v>454.4</v>
      </c>
      <c r="I1363" s="47" t="s">
        <v>142</v>
      </c>
    </row>
    <row r="1364" ht="15.75" customHeight="1">
      <c r="A1364" s="47" t="s">
        <v>2968</v>
      </c>
      <c r="B1364" s="47" t="s">
        <v>2969</v>
      </c>
      <c r="C1364" s="47" t="s">
        <v>7756</v>
      </c>
      <c r="D1364" s="47" t="s">
        <v>99</v>
      </c>
      <c r="E1364" s="47" t="s">
        <v>98</v>
      </c>
      <c r="F1364" s="47">
        <v>519.0</v>
      </c>
      <c r="G1364" s="47">
        <v>8.9</v>
      </c>
      <c r="H1364" s="47">
        <v>58.3</v>
      </c>
      <c r="I1364" s="47" t="s">
        <v>62</v>
      </c>
    </row>
    <row r="1365" ht="15.75" customHeight="1">
      <c r="A1365" s="47" t="s">
        <v>2970</v>
      </c>
      <c r="B1365" s="47" t="s">
        <v>2971</v>
      </c>
      <c r="C1365" s="47" t="s">
        <v>7756</v>
      </c>
      <c r="D1365" s="47" t="s">
        <v>235</v>
      </c>
      <c r="E1365" s="47" t="s">
        <v>555</v>
      </c>
      <c r="F1365" s="47">
        <v>8247.0</v>
      </c>
      <c r="G1365" s="47">
        <v>30.62</v>
      </c>
      <c r="H1365" s="47">
        <v>269.3</v>
      </c>
      <c r="I1365" s="47" t="s">
        <v>142</v>
      </c>
    </row>
    <row r="1366" ht="15.75" customHeight="1">
      <c r="A1366" s="47" t="s">
        <v>2972</v>
      </c>
      <c r="B1366" s="47" t="s">
        <v>2973</v>
      </c>
      <c r="C1366" s="47" t="s">
        <v>7756</v>
      </c>
      <c r="D1366" s="47" t="s">
        <v>122</v>
      </c>
      <c r="E1366" s="47" t="s">
        <v>328</v>
      </c>
      <c r="F1366" s="47">
        <v>2914.0</v>
      </c>
      <c r="G1366" s="47">
        <v>8.38</v>
      </c>
      <c r="H1366" s="47">
        <v>347.7</v>
      </c>
      <c r="I1366" s="47" t="s">
        <v>142</v>
      </c>
    </row>
    <row r="1367" ht="15.75" customHeight="1">
      <c r="A1367" s="47" t="s">
        <v>2974</v>
      </c>
      <c r="B1367" s="47" t="s">
        <v>2975</v>
      </c>
      <c r="C1367" s="47" t="s">
        <v>7756</v>
      </c>
      <c r="D1367" s="47" t="s">
        <v>99</v>
      </c>
      <c r="E1367" s="47" t="s">
        <v>98</v>
      </c>
      <c r="F1367" s="47">
        <v>920.0</v>
      </c>
      <c r="G1367" s="47">
        <v>7.55</v>
      </c>
      <c r="H1367" s="47">
        <v>121.9</v>
      </c>
      <c r="I1367" s="47" t="s">
        <v>62</v>
      </c>
    </row>
    <row r="1368" ht="15.75" customHeight="1">
      <c r="A1368" s="47" t="s">
        <v>2976</v>
      </c>
      <c r="B1368" s="47" t="s">
        <v>2977</v>
      </c>
      <c r="C1368" s="47" t="s">
        <v>7756</v>
      </c>
      <c r="D1368" s="47" t="s">
        <v>146</v>
      </c>
      <c r="E1368" s="47" t="s">
        <v>268</v>
      </c>
      <c r="F1368" s="47">
        <v>817.0</v>
      </c>
      <c r="G1368" s="47">
        <v>4.0</v>
      </c>
      <c r="H1368" s="47">
        <v>204.2</v>
      </c>
      <c r="I1368" s="47" t="s">
        <v>62</v>
      </c>
    </row>
    <row r="1369" ht="15.75" customHeight="1">
      <c r="A1369" s="47" t="s">
        <v>2978</v>
      </c>
      <c r="B1369" s="47" t="s">
        <v>2979</v>
      </c>
      <c r="C1369" s="47" t="s">
        <v>7756</v>
      </c>
      <c r="D1369" s="47" t="s">
        <v>224</v>
      </c>
      <c r="E1369" s="47" t="s">
        <v>390</v>
      </c>
      <c r="F1369" s="47">
        <v>4170.0</v>
      </c>
      <c r="G1369" s="47">
        <v>7.06</v>
      </c>
      <c r="H1369" s="47">
        <v>590.7</v>
      </c>
      <c r="I1369" s="47" t="s">
        <v>142</v>
      </c>
    </row>
    <row r="1370" ht="15.75" customHeight="1">
      <c r="A1370" s="47" t="s">
        <v>2980</v>
      </c>
      <c r="B1370" s="47" t="s">
        <v>2981</v>
      </c>
      <c r="C1370" s="47" t="s">
        <v>7756</v>
      </c>
      <c r="D1370" s="47" t="s">
        <v>120</v>
      </c>
      <c r="E1370" s="47" t="s">
        <v>312</v>
      </c>
      <c r="F1370" s="47">
        <v>788.0</v>
      </c>
      <c r="G1370" s="47">
        <v>5.69</v>
      </c>
      <c r="H1370" s="47">
        <v>138.5</v>
      </c>
      <c r="I1370" s="47" t="s">
        <v>62</v>
      </c>
    </row>
    <row r="1371" ht="15.75" customHeight="1">
      <c r="A1371" s="47" t="s">
        <v>2982</v>
      </c>
      <c r="B1371" s="47" t="s">
        <v>2983</v>
      </c>
      <c r="C1371" s="47" t="s">
        <v>7756</v>
      </c>
      <c r="D1371" s="47" t="s">
        <v>122</v>
      </c>
      <c r="E1371" s="47" t="s">
        <v>328</v>
      </c>
      <c r="F1371" s="47">
        <v>1106.0</v>
      </c>
      <c r="G1371" s="47">
        <v>3.69</v>
      </c>
      <c r="H1371" s="47">
        <v>299.7</v>
      </c>
      <c r="I1371" s="47" t="s">
        <v>62</v>
      </c>
    </row>
    <row r="1372" ht="15.75" customHeight="1">
      <c r="A1372" s="47" t="s">
        <v>2984</v>
      </c>
      <c r="B1372" s="47" t="s">
        <v>2985</v>
      </c>
      <c r="C1372" s="47" t="s">
        <v>7756</v>
      </c>
      <c r="D1372" s="47" t="s">
        <v>120</v>
      </c>
      <c r="E1372" s="47" t="s">
        <v>312</v>
      </c>
      <c r="F1372" s="47">
        <v>543.0</v>
      </c>
      <c r="G1372" s="47">
        <v>6.0</v>
      </c>
      <c r="H1372" s="47">
        <v>90.5</v>
      </c>
      <c r="I1372" s="47" t="s">
        <v>62</v>
      </c>
    </row>
    <row r="1373" ht="15.75" customHeight="1">
      <c r="A1373" s="47" t="s">
        <v>2986</v>
      </c>
      <c r="B1373" s="47" t="s">
        <v>2987</v>
      </c>
      <c r="C1373" s="47" t="s">
        <v>7756</v>
      </c>
      <c r="D1373" s="47" t="s">
        <v>72</v>
      </c>
      <c r="E1373" s="47" t="s">
        <v>71</v>
      </c>
      <c r="F1373" s="47">
        <v>536.0</v>
      </c>
      <c r="G1373" s="47">
        <v>5.5</v>
      </c>
      <c r="H1373" s="47">
        <v>97.5</v>
      </c>
      <c r="I1373" s="47" t="s">
        <v>62</v>
      </c>
    </row>
    <row r="1374" ht="15.75" customHeight="1">
      <c r="A1374" s="47" t="s">
        <v>2988</v>
      </c>
      <c r="B1374" s="47" t="s">
        <v>2989</v>
      </c>
      <c r="C1374" s="47" t="s">
        <v>7756</v>
      </c>
      <c r="D1374" s="47" t="s">
        <v>120</v>
      </c>
      <c r="E1374" s="47" t="s">
        <v>312</v>
      </c>
      <c r="F1374" s="47">
        <v>695.0</v>
      </c>
      <c r="G1374" s="47">
        <v>3.28</v>
      </c>
      <c r="H1374" s="47">
        <v>211.9</v>
      </c>
      <c r="I1374" s="47" t="s">
        <v>62</v>
      </c>
    </row>
    <row r="1375" ht="15.75" customHeight="1">
      <c r="A1375" s="47" t="s">
        <v>2990</v>
      </c>
      <c r="B1375" s="47" t="s">
        <v>2991</v>
      </c>
      <c r="C1375" s="47" t="s">
        <v>7756</v>
      </c>
      <c r="D1375" s="47" t="s">
        <v>236</v>
      </c>
      <c r="E1375" s="47" t="s">
        <v>558</v>
      </c>
      <c r="F1375" s="47">
        <v>3957.0</v>
      </c>
      <c r="G1375" s="47">
        <v>2.39</v>
      </c>
      <c r="H1375" s="47">
        <v>1655.6</v>
      </c>
      <c r="I1375" s="47" t="s">
        <v>142</v>
      </c>
    </row>
    <row r="1376" ht="15.75" customHeight="1">
      <c r="A1376" s="47" t="s">
        <v>2992</v>
      </c>
      <c r="B1376" s="47" t="s">
        <v>2993</v>
      </c>
      <c r="C1376" s="47" t="s">
        <v>7756</v>
      </c>
      <c r="D1376" s="47" t="s">
        <v>236</v>
      </c>
      <c r="E1376" s="47" t="s">
        <v>558</v>
      </c>
      <c r="F1376" s="47">
        <v>98772.0</v>
      </c>
      <c r="G1376" s="47">
        <v>15.13</v>
      </c>
      <c r="H1376" s="47">
        <v>6528.2</v>
      </c>
      <c r="I1376" s="47" t="s">
        <v>7463</v>
      </c>
    </row>
    <row r="1377" ht="15.75" customHeight="1">
      <c r="A1377" s="47" t="s">
        <v>2994</v>
      </c>
      <c r="B1377" s="47" t="s">
        <v>2995</v>
      </c>
      <c r="C1377" s="47" t="s">
        <v>7756</v>
      </c>
      <c r="D1377" s="47" t="s">
        <v>224</v>
      </c>
      <c r="E1377" s="47" t="s">
        <v>390</v>
      </c>
      <c r="F1377" s="47">
        <v>936.0</v>
      </c>
      <c r="G1377" s="47">
        <v>2.06</v>
      </c>
      <c r="H1377" s="47">
        <v>454.4</v>
      </c>
      <c r="I1377" s="47" t="s">
        <v>62</v>
      </c>
    </row>
    <row r="1378" ht="15.75" customHeight="1">
      <c r="A1378" s="47" t="s">
        <v>2996</v>
      </c>
      <c r="B1378" s="47" t="s">
        <v>2997</v>
      </c>
      <c r="C1378" s="47" t="s">
        <v>7756</v>
      </c>
      <c r="D1378" s="47" t="s">
        <v>205</v>
      </c>
      <c r="E1378" s="47" t="s">
        <v>530</v>
      </c>
      <c r="F1378" s="47">
        <v>2604.0</v>
      </c>
      <c r="G1378" s="47">
        <v>39.13</v>
      </c>
      <c r="H1378" s="47">
        <v>66.5</v>
      </c>
      <c r="I1378" s="47" t="s">
        <v>142</v>
      </c>
    </row>
    <row r="1379" ht="15.75" customHeight="1">
      <c r="A1379" s="47" t="s">
        <v>2998</v>
      </c>
      <c r="B1379" s="47" t="s">
        <v>2999</v>
      </c>
      <c r="C1379" s="47" t="s">
        <v>7756</v>
      </c>
      <c r="D1379" s="47" t="s">
        <v>236</v>
      </c>
      <c r="E1379" s="47" t="s">
        <v>558</v>
      </c>
      <c r="F1379" s="47">
        <v>1386.0</v>
      </c>
      <c r="G1379" s="47">
        <v>1.9</v>
      </c>
      <c r="H1379" s="47">
        <v>729.5</v>
      </c>
      <c r="I1379" s="47" t="s">
        <v>62</v>
      </c>
    </row>
    <row r="1380" ht="15.75" customHeight="1">
      <c r="A1380" s="47" t="s">
        <v>3000</v>
      </c>
      <c r="B1380" s="47" t="s">
        <v>3001</v>
      </c>
      <c r="C1380" s="47" t="s">
        <v>7756</v>
      </c>
      <c r="D1380" s="47" t="s">
        <v>122</v>
      </c>
      <c r="E1380" s="47" t="s">
        <v>328</v>
      </c>
      <c r="F1380" s="47">
        <v>6019.0</v>
      </c>
      <c r="G1380" s="47">
        <v>6.87</v>
      </c>
      <c r="H1380" s="47">
        <v>876.1</v>
      </c>
      <c r="I1380" s="47" t="s">
        <v>142</v>
      </c>
    </row>
    <row r="1381" ht="15.75" customHeight="1">
      <c r="A1381" s="47" t="s">
        <v>3002</v>
      </c>
      <c r="B1381" s="47" t="s">
        <v>3003</v>
      </c>
      <c r="C1381" s="47" t="s">
        <v>7756</v>
      </c>
      <c r="D1381" s="47" t="s">
        <v>135</v>
      </c>
      <c r="E1381" s="47" t="s">
        <v>349</v>
      </c>
      <c r="F1381" s="47">
        <v>805.0</v>
      </c>
      <c r="G1381" s="47">
        <v>8.46</v>
      </c>
      <c r="H1381" s="47">
        <v>95.2</v>
      </c>
      <c r="I1381" s="47" t="s">
        <v>62</v>
      </c>
    </row>
    <row r="1382" ht="15.75" customHeight="1">
      <c r="A1382" s="47" t="s">
        <v>3004</v>
      </c>
      <c r="B1382" s="47" t="s">
        <v>3005</v>
      </c>
      <c r="C1382" s="47" t="s">
        <v>7756</v>
      </c>
      <c r="D1382" s="47" t="s">
        <v>171</v>
      </c>
      <c r="E1382" s="47" t="s">
        <v>457</v>
      </c>
      <c r="F1382" s="47">
        <v>1518.0</v>
      </c>
      <c r="G1382" s="47">
        <v>8.03</v>
      </c>
      <c r="H1382" s="47">
        <v>189.0</v>
      </c>
      <c r="I1382" s="47" t="s">
        <v>62</v>
      </c>
    </row>
    <row r="1383" ht="15.75" customHeight="1">
      <c r="A1383" s="47" t="s">
        <v>3006</v>
      </c>
      <c r="B1383" s="47" t="s">
        <v>3007</v>
      </c>
      <c r="C1383" s="47" t="s">
        <v>7756</v>
      </c>
      <c r="D1383" s="47" t="s">
        <v>146</v>
      </c>
      <c r="E1383" s="47" t="s">
        <v>268</v>
      </c>
      <c r="F1383" s="47">
        <v>43468.0</v>
      </c>
      <c r="G1383" s="47">
        <v>13.82</v>
      </c>
      <c r="H1383" s="47">
        <v>3145.3</v>
      </c>
      <c r="I1383" s="47" t="s">
        <v>571</v>
      </c>
    </row>
    <row r="1384" ht="15.75" customHeight="1">
      <c r="A1384" s="47" t="s">
        <v>3008</v>
      </c>
      <c r="B1384" s="47" t="s">
        <v>3009</v>
      </c>
      <c r="C1384" s="47" t="s">
        <v>7756</v>
      </c>
      <c r="D1384" s="47" t="s">
        <v>192</v>
      </c>
      <c r="E1384" s="47" t="s">
        <v>508</v>
      </c>
      <c r="F1384" s="47">
        <v>482.0</v>
      </c>
      <c r="G1384" s="47">
        <v>9.94</v>
      </c>
      <c r="H1384" s="47">
        <v>48.5</v>
      </c>
      <c r="I1384" s="47" t="s">
        <v>75</v>
      </c>
    </row>
    <row r="1385" ht="15.75" customHeight="1">
      <c r="A1385" s="47" t="s">
        <v>3010</v>
      </c>
      <c r="B1385" s="47" t="s">
        <v>3011</v>
      </c>
      <c r="C1385" s="47" t="s">
        <v>7756</v>
      </c>
      <c r="D1385" s="47" t="s">
        <v>202</v>
      </c>
      <c r="E1385" s="47" t="s">
        <v>499</v>
      </c>
      <c r="F1385" s="47">
        <v>1123.0</v>
      </c>
      <c r="G1385" s="47">
        <v>6.55</v>
      </c>
      <c r="H1385" s="47">
        <v>171.5</v>
      </c>
      <c r="I1385" s="47" t="s">
        <v>62</v>
      </c>
    </row>
    <row r="1386" ht="15.75" customHeight="1">
      <c r="A1386" s="47" t="s">
        <v>3012</v>
      </c>
      <c r="B1386" s="47" t="s">
        <v>3013</v>
      </c>
      <c r="C1386" s="47" t="s">
        <v>7756</v>
      </c>
      <c r="D1386" s="47" t="s">
        <v>236</v>
      </c>
      <c r="E1386" s="47" t="s">
        <v>558</v>
      </c>
      <c r="F1386" s="47">
        <v>1654.0</v>
      </c>
      <c r="G1386" s="47">
        <v>2.56</v>
      </c>
      <c r="H1386" s="47">
        <v>646.1</v>
      </c>
      <c r="I1386" s="47" t="s">
        <v>62</v>
      </c>
    </row>
    <row r="1387" ht="15.75" customHeight="1">
      <c r="A1387" s="47" t="s">
        <v>3014</v>
      </c>
      <c r="B1387" s="47" t="s">
        <v>3015</v>
      </c>
      <c r="C1387" s="47" t="s">
        <v>7756</v>
      </c>
      <c r="D1387" s="47" t="s">
        <v>146</v>
      </c>
      <c r="E1387" s="47" t="s">
        <v>268</v>
      </c>
      <c r="F1387" s="47">
        <v>1103.0</v>
      </c>
      <c r="G1387" s="47">
        <v>9.61</v>
      </c>
      <c r="H1387" s="47">
        <v>114.8</v>
      </c>
      <c r="I1387" s="47" t="s">
        <v>62</v>
      </c>
    </row>
    <row r="1388" ht="15.75" customHeight="1">
      <c r="A1388" s="47" t="s">
        <v>3016</v>
      </c>
      <c r="B1388" s="47" t="s">
        <v>3017</v>
      </c>
      <c r="C1388" s="47" t="s">
        <v>7756</v>
      </c>
      <c r="D1388" s="47" t="s">
        <v>236</v>
      </c>
      <c r="E1388" s="47" t="s">
        <v>558</v>
      </c>
      <c r="F1388" s="47">
        <v>2682.0</v>
      </c>
      <c r="G1388" s="47">
        <v>10.08</v>
      </c>
      <c r="H1388" s="47">
        <v>266.1</v>
      </c>
      <c r="I1388" s="47" t="s">
        <v>142</v>
      </c>
    </row>
    <row r="1389" ht="15.75" customHeight="1">
      <c r="A1389" s="47" t="s">
        <v>3018</v>
      </c>
      <c r="B1389" s="47" t="s">
        <v>3019</v>
      </c>
      <c r="C1389" s="47" t="s">
        <v>7756</v>
      </c>
      <c r="D1389" s="47" t="s">
        <v>202</v>
      </c>
      <c r="E1389" s="47" t="s">
        <v>499</v>
      </c>
      <c r="F1389" s="47">
        <v>535.0</v>
      </c>
      <c r="G1389" s="47">
        <v>5.79</v>
      </c>
      <c r="H1389" s="47">
        <v>92.4</v>
      </c>
      <c r="I1389" s="47" t="s">
        <v>62</v>
      </c>
    </row>
    <row r="1390" ht="15.75" customHeight="1">
      <c r="A1390" s="47" t="s">
        <v>3020</v>
      </c>
      <c r="B1390" s="47" t="s">
        <v>3021</v>
      </c>
      <c r="C1390" s="47" t="s">
        <v>7756</v>
      </c>
      <c r="D1390" s="47" t="s">
        <v>146</v>
      </c>
      <c r="E1390" s="47" t="s">
        <v>268</v>
      </c>
      <c r="F1390" s="47">
        <v>1464.0</v>
      </c>
      <c r="G1390" s="47">
        <v>4.0</v>
      </c>
      <c r="H1390" s="47">
        <v>366.0</v>
      </c>
      <c r="I1390" s="47" t="s">
        <v>62</v>
      </c>
    </row>
    <row r="1391" ht="15.75" customHeight="1">
      <c r="A1391" s="47" t="s">
        <v>3022</v>
      </c>
      <c r="B1391" s="47" t="s">
        <v>3023</v>
      </c>
      <c r="C1391" s="47" t="s">
        <v>7756</v>
      </c>
      <c r="D1391" s="47" t="s">
        <v>202</v>
      </c>
      <c r="E1391" s="47" t="s">
        <v>499</v>
      </c>
      <c r="F1391" s="47">
        <v>1364.0</v>
      </c>
      <c r="G1391" s="47">
        <v>10.62</v>
      </c>
      <c r="H1391" s="47">
        <v>128.4</v>
      </c>
      <c r="I1391" s="47" t="s">
        <v>62</v>
      </c>
    </row>
    <row r="1392" ht="15.75" customHeight="1">
      <c r="A1392" s="47" t="s">
        <v>3024</v>
      </c>
      <c r="B1392" s="47" t="s">
        <v>3025</v>
      </c>
      <c r="C1392" s="47" t="s">
        <v>7756</v>
      </c>
      <c r="D1392" s="47" t="s">
        <v>99</v>
      </c>
      <c r="E1392" s="47" t="s">
        <v>98</v>
      </c>
      <c r="F1392" s="47">
        <v>2628.0</v>
      </c>
      <c r="G1392" s="47">
        <v>25.98</v>
      </c>
      <c r="H1392" s="47">
        <v>101.2</v>
      </c>
      <c r="I1392" s="47" t="s">
        <v>142</v>
      </c>
    </row>
    <row r="1393" ht="15.75" customHeight="1">
      <c r="A1393" s="47" t="s">
        <v>3026</v>
      </c>
      <c r="B1393" s="47" t="s">
        <v>3027</v>
      </c>
      <c r="C1393" s="47" t="s">
        <v>7756</v>
      </c>
      <c r="D1393" s="47" t="s">
        <v>146</v>
      </c>
      <c r="E1393" s="47" t="s">
        <v>268</v>
      </c>
      <c r="F1393" s="47">
        <v>10617.0</v>
      </c>
      <c r="G1393" s="47">
        <v>11.02</v>
      </c>
      <c r="H1393" s="47">
        <v>963.4</v>
      </c>
      <c r="I1393" s="47" t="s">
        <v>571</v>
      </c>
    </row>
    <row r="1394" ht="15.75" customHeight="1">
      <c r="A1394" s="47" t="s">
        <v>3028</v>
      </c>
      <c r="B1394" s="47" t="s">
        <v>3029</v>
      </c>
      <c r="C1394" s="47" t="s">
        <v>7756</v>
      </c>
      <c r="D1394" s="47" t="s">
        <v>145</v>
      </c>
      <c r="E1394" s="47" t="s">
        <v>255</v>
      </c>
      <c r="F1394" s="47">
        <v>641.0</v>
      </c>
      <c r="G1394" s="47">
        <v>5.94</v>
      </c>
      <c r="H1394" s="47">
        <v>107.9</v>
      </c>
      <c r="I1394" s="47" t="s">
        <v>62</v>
      </c>
    </row>
    <row r="1395" ht="15.75" customHeight="1">
      <c r="A1395" s="47" t="s">
        <v>3030</v>
      </c>
      <c r="B1395" s="47" t="s">
        <v>3031</v>
      </c>
      <c r="C1395" s="47" t="s">
        <v>7756</v>
      </c>
      <c r="D1395" s="47" t="s">
        <v>145</v>
      </c>
      <c r="E1395" s="47" t="s">
        <v>255</v>
      </c>
      <c r="F1395" s="47">
        <v>938.0</v>
      </c>
      <c r="G1395" s="47">
        <v>11.69</v>
      </c>
      <c r="H1395" s="47">
        <v>80.2</v>
      </c>
      <c r="I1395" s="47" t="s">
        <v>62</v>
      </c>
    </row>
    <row r="1396" ht="15.75" customHeight="1">
      <c r="A1396" s="47" t="s">
        <v>3032</v>
      </c>
      <c r="B1396" s="47" t="s">
        <v>3033</v>
      </c>
      <c r="C1396" s="47" t="s">
        <v>7756</v>
      </c>
      <c r="D1396" s="47" t="s">
        <v>192</v>
      </c>
      <c r="E1396" s="47" t="s">
        <v>508</v>
      </c>
      <c r="F1396" s="47">
        <v>1084.0</v>
      </c>
      <c r="G1396" s="47">
        <v>5.72</v>
      </c>
      <c r="H1396" s="47">
        <v>189.5</v>
      </c>
      <c r="I1396" s="47" t="s">
        <v>62</v>
      </c>
    </row>
    <row r="1397" ht="15.75" customHeight="1">
      <c r="A1397" s="47" t="s">
        <v>3034</v>
      </c>
      <c r="B1397" s="47" t="s">
        <v>3035</v>
      </c>
      <c r="C1397" s="47" t="s">
        <v>7756</v>
      </c>
      <c r="D1397" s="47" t="s">
        <v>130</v>
      </c>
      <c r="E1397" s="47" t="s">
        <v>180</v>
      </c>
      <c r="F1397" s="47">
        <v>670.0</v>
      </c>
      <c r="G1397" s="47">
        <v>4.56</v>
      </c>
      <c r="H1397" s="47">
        <v>146.9</v>
      </c>
      <c r="I1397" s="47" t="s">
        <v>62</v>
      </c>
    </row>
    <row r="1398" ht="15.75" customHeight="1">
      <c r="A1398" s="47" t="s">
        <v>3036</v>
      </c>
      <c r="B1398" s="47" t="s">
        <v>3037</v>
      </c>
      <c r="C1398" s="47" t="s">
        <v>7756</v>
      </c>
      <c r="D1398" s="47" t="s">
        <v>120</v>
      </c>
      <c r="E1398" s="47" t="s">
        <v>312</v>
      </c>
      <c r="F1398" s="47">
        <v>1151.0</v>
      </c>
      <c r="G1398" s="47">
        <v>8.94</v>
      </c>
      <c r="H1398" s="47">
        <v>128.7</v>
      </c>
      <c r="I1398" s="47" t="s">
        <v>62</v>
      </c>
    </row>
    <row r="1399" ht="15.75" customHeight="1">
      <c r="A1399" s="47" t="s">
        <v>3038</v>
      </c>
      <c r="B1399" s="47" t="s">
        <v>3039</v>
      </c>
      <c r="C1399" s="47" t="s">
        <v>7756</v>
      </c>
      <c r="D1399" s="47" t="s">
        <v>120</v>
      </c>
      <c r="E1399" s="47" t="s">
        <v>312</v>
      </c>
      <c r="F1399" s="47">
        <v>684.0</v>
      </c>
      <c r="G1399" s="47">
        <v>11.3</v>
      </c>
      <c r="H1399" s="47">
        <v>60.5</v>
      </c>
      <c r="I1399" s="47" t="s">
        <v>62</v>
      </c>
    </row>
    <row r="1400" ht="15.75" customHeight="1">
      <c r="A1400" s="47" t="s">
        <v>3040</v>
      </c>
      <c r="B1400" s="47" t="s">
        <v>3041</v>
      </c>
      <c r="C1400" s="47" t="s">
        <v>7756</v>
      </c>
      <c r="D1400" s="47" t="s">
        <v>135</v>
      </c>
      <c r="E1400" s="47" t="s">
        <v>349</v>
      </c>
      <c r="F1400" s="47">
        <v>2117.0</v>
      </c>
      <c r="G1400" s="47">
        <v>7.09</v>
      </c>
      <c r="H1400" s="47">
        <v>298.6</v>
      </c>
      <c r="I1400" s="47" t="s">
        <v>142</v>
      </c>
    </row>
    <row r="1401" ht="15.75" customHeight="1">
      <c r="A1401" s="47" t="s">
        <v>3042</v>
      </c>
      <c r="B1401" s="47" t="s">
        <v>3043</v>
      </c>
      <c r="C1401" s="47" t="s">
        <v>7756</v>
      </c>
      <c r="D1401" s="47" t="s">
        <v>120</v>
      </c>
      <c r="E1401" s="47" t="s">
        <v>312</v>
      </c>
      <c r="F1401" s="47">
        <v>390.0</v>
      </c>
      <c r="G1401" s="47">
        <v>11.0</v>
      </c>
      <c r="H1401" s="47">
        <v>35.5</v>
      </c>
      <c r="I1401" s="47" t="s">
        <v>75</v>
      </c>
    </row>
    <row r="1402" ht="15.75" customHeight="1">
      <c r="A1402" s="47" t="s">
        <v>3044</v>
      </c>
      <c r="B1402" s="47" t="s">
        <v>3045</v>
      </c>
      <c r="C1402" s="47" t="s">
        <v>7756</v>
      </c>
      <c r="D1402" s="47" t="s">
        <v>192</v>
      </c>
      <c r="E1402" s="47" t="s">
        <v>508</v>
      </c>
      <c r="F1402" s="47">
        <v>1197.0</v>
      </c>
      <c r="G1402" s="47">
        <v>12.15</v>
      </c>
      <c r="H1402" s="47">
        <v>98.5</v>
      </c>
      <c r="I1402" s="47" t="s">
        <v>62</v>
      </c>
    </row>
    <row r="1403" ht="15.75" customHeight="1">
      <c r="A1403" s="47" t="s">
        <v>3046</v>
      </c>
      <c r="B1403" s="47" t="s">
        <v>3047</v>
      </c>
      <c r="C1403" s="47" t="s">
        <v>7756</v>
      </c>
      <c r="D1403" s="47" t="s">
        <v>145</v>
      </c>
      <c r="E1403" s="47" t="s">
        <v>255</v>
      </c>
      <c r="F1403" s="47">
        <v>1009.0</v>
      </c>
      <c r="G1403" s="47">
        <v>8.5</v>
      </c>
      <c r="H1403" s="47">
        <v>118.7</v>
      </c>
      <c r="I1403" s="47" t="s">
        <v>62</v>
      </c>
    </row>
    <row r="1404" ht="15.75" customHeight="1">
      <c r="A1404" s="47" t="s">
        <v>3048</v>
      </c>
      <c r="B1404" s="47" t="s">
        <v>3049</v>
      </c>
      <c r="C1404" s="47" t="s">
        <v>7756</v>
      </c>
      <c r="D1404" s="47" t="s">
        <v>171</v>
      </c>
      <c r="E1404" s="47" t="s">
        <v>457</v>
      </c>
      <c r="F1404" s="47">
        <v>573.0</v>
      </c>
      <c r="G1404" s="47">
        <v>9.92</v>
      </c>
      <c r="H1404" s="47">
        <v>57.8</v>
      </c>
      <c r="I1404" s="47" t="s">
        <v>62</v>
      </c>
    </row>
    <row r="1405" ht="15.75" customHeight="1">
      <c r="A1405" s="47" t="s">
        <v>3050</v>
      </c>
      <c r="B1405" s="47" t="s">
        <v>3051</v>
      </c>
      <c r="C1405" s="47" t="s">
        <v>7756</v>
      </c>
      <c r="D1405" s="47" t="s">
        <v>72</v>
      </c>
      <c r="E1405" s="47" t="s">
        <v>71</v>
      </c>
      <c r="F1405" s="47">
        <v>1302.0</v>
      </c>
      <c r="G1405" s="47">
        <v>3.43</v>
      </c>
      <c r="H1405" s="47">
        <v>379.6</v>
      </c>
      <c r="I1405" s="47" t="s">
        <v>62</v>
      </c>
    </row>
    <row r="1406" ht="15.75" customHeight="1">
      <c r="A1406" s="47" t="s">
        <v>3052</v>
      </c>
      <c r="B1406" s="47" t="s">
        <v>3053</v>
      </c>
      <c r="C1406" s="47" t="s">
        <v>7756</v>
      </c>
      <c r="D1406" s="47" t="s">
        <v>224</v>
      </c>
      <c r="E1406" s="47" t="s">
        <v>390</v>
      </c>
      <c r="F1406" s="47">
        <v>2613.0</v>
      </c>
      <c r="G1406" s="47">
        <v>5.69</v>
      </c>
      <c r="H1406" s="47">
        <v>459.2</v>
      </c>
      <c r="I1406" s="47" t="s">
        <v>142</v>
      </c>
    </row>
    <row r="1407" ht="15.75" customHeight="1">
      <c r="A1407" s="47" t="s">
        <v>3054</v>
      </c>
      <c r="B1407" s="47" t="s">
        <v>3055</v>
      </c>
      <c r="C1407" s="47" t="s">
        <v>7756</v>
      </c>
      <c r="D1407" s="47" t="s">
        <v>135</v>
      </c>
      <c r="E1407" s="47" t="s">
        <v>349</v>
      </c>
      <c r="F1407" s="47">
        <v>2081.0</v>
      </c>
      <c r="G1407" s="47">
        <v>15.12</v>
      </c>
      <c r="H1407" s="47">
        <v>137.6</v>
      </c>
      <c r="I1407" s="47" t="s">
        <v>142</v>
      </c>
    </row>
    <row r="1408" ht="15.75" customHeight="1">
      <c r="A1408" s="47" t="s">
        <v>3056</v>
      </c>
      <c r="B1408" s="47" t="s">
        <v>3057</v>
      </c>
      <c r="C1408" s="47" t="s">
        <v>7756</v>
      </c>
      <c r="D1408" s="47" t="s">
        <v>122</v>
      </c>
      <c r="E1408" s="47" t="s">
        <v>328</v>
      </c>
      <c r="F1408" s="47">
        <v>5633.0</v>
      </c>
      <c r="G1408" s="47">
        <v>21.0</v>
      </c>
      <c r="H1408" s="47">
        <v>268.2</v>
      </c>
      <c r="I1408" s="47" t="s">
        <v>142</v>
      </c>
    </row>
    <row r="1409" ht="15.75" customHeight="1">
      <c r="A1409" s="47" t="s">
        <v>3058</v>
      </c>
      <c r="B1409" s="47" t="s">
        <v>3059</v>
      </c>
      <c r="C1409" s="47" t="s">
        <v>7756</v>
      </c>
      <c r="D1409" s="47" t="s">
        <v>205</v>
      </c>
      <c r="E1409" s="47" t="s">
        <v>530</v>
      </c>
      <c r="F1409" s="47">
        <v>284.0</v>
      </c>
      <c r="G1409" s="47">
        <v>7.78</v>
      </c>
      <c r="H1409" s="47">
        <v>36.5</v>
      </c>
      <c r="I1409" s="47" t="s">
        <v>75</v>
      </c>
    </row>
    <row r="1410" ht="15.75" customHeight="1">
      <c r="A1410" s="47" t="s">
        <v>3060</v>
      </c>
      <c r="B1410" s="47" t="s">
        <v>3061</v>
      </c>
      <c r="C1410" s="47" t="s">
        <v>7756</v>
      </c>
      <c r="D1410" s="47" t="s">
        <v>99</v>
      </c>
      <c r="E1410" s="47" t="s">
        <v>98</v>
      </c>
      <c r="F1410" s="47">
        <v>808.0</v>
      </c>
      <c r="G1410" s="47">
        <v>5.45</v>
      </c>
      <c r="H1410" s="47">
        <v>148.3</v>
      </c>
      <c r="I1410" s="47" t="s">
        <v>62</v>
      </c>
    </row>
    <row r="1411" ht="15.75" customHeight="1">
      <c r="A1411" s="47" t="s">
        <v>3062</v>
      </c>
      <c r="B1411" s="47" t="s">
        <v>3063</v>
      </c>
      <c r="C1411" s="47" t="s">
        <v>7756</v>
      </c>
      <c r="D1411" s="47" t="s">
        <v>120</v>
      </c>
      <c r="E1411" s="47" t="s">
        <v>312</v>
      </c>
      <c r="F1411" s="47">
        <v>381.0</v>
      </c>
      <c r="G1411" s="47">
        <v>6.23</v>
      </c>
      <c r="H1411" s="47">
        <v>61.2</v>
      </c>
      <c r="I1411" s="47" t="s">
        <v>75</v>
      </c>
    </row>
    <row r="1412" ht="15.75" customHeight="1">
      <c r="A1412" s="47" t="s">
        <v>3064</v>
      </c>
      <c r="B1412" s="47" t="s">
        <v>3065</v>
      </c>
      <c r="C1412" s="47" t="s">
        <v>7756</v>
      </c>
      <c r="D1412" s="47" t="s">
        <v>236</v>
      </c>
      <c r="E1412" s="47" t="s">
        <v>558</v>
      </c>
      <c r="F1412" s="47">
        <v>11012.0</v>
      </c>
      <c r="G1412" s="47">
        <v>15.46</v>
      </c>
      <c r="H1412" s="47">
        <v>712.3</v>
      </c>
      <c r="I1412" s="47" t="s">
        <v>571</v>
      </c>
    </row>
    <row r="1413" ht="15.75" customHeight="1">
      <c r="A1413" s="47" t="s">
        <v>3066</v>
      </c>
      <c r="B1413" s="47" t="s">
        <v>3067</v>
      </c>
      <c r="C1413" s="47" t="s">
        <v>7756</v>
      </c>
      <c r="D1413" s="47" t="s">
        <v>72</v>
      </c>
      <c r="E1413" s="47" t="s">
        <v>71</v>
      </c>
      <c r="F1413" s="47">
        <v>1301.0</v>
      </c>
      <c r="G1413" s="47">
        <v>6.27</v>
      </c>
      <c r="H1413" s="47">
        <v>207.5</v>
      </c>
      <c r="I1413" s="47" t="s">
        <v>62</v>
      </c>
    </row>
    <row r="1414" ht="15.75" customHeight="1">
      <c r="A1414" s="47" t="s">
        <v>3068</v>
      </c>
      <c r="B1414" s="47" t="s">
        <v>3069</v>
      </c>
      <c r="C1414" s="47" t="s">
        <v>7756</v>
      </c>
      <c r="D1414" s="47" t="s">
        <v>224</v>
      </c>
      <c r="E1414" s="47" t="s">
        <v>390</v>
      </c>
      <c r="F1414" s="47">
        <v>1338.0</v>
      </c>
      <c r="G1414" s="47">
        <v>3.72</v>
      </c>
      <c r="H1414" s="47">
        <v>359.7</v>
      </c>
      <c r="I1414" s="47" t="s">
        <v>62</v>
      </c>
    </row>
    <row r="1415" ht="15.75" customHeight="1">
      <c r="A1415" s="47" t="s">
        <v>3070</v>
      </c>
      <c r="B1415" s="47" t="s">
        <v>3071</v>
      </c>
      <c r="C1415" s="47" t="s">
        <v>7756</v>
      </c>
      <c r="D1415" s="47" t="s">
        <v>192</v>
      </c>
      <c r="E1415" s="47" t="s">
        <v>508</v>
      </c>
      <c r="F1415" s="47">
        <v>1125.0</v>
      </c>
      <c r="G1415" s="47">
        <v>5.68</v>
      </c>
      <c r="H1415" s="47">
        <v>198.1</v>
      </c>
      <c r="I1415" s="47" t="s">
        <v>62</v>
      </c>
    </row>
    <row r="1416" ht="15.75" customHeight="1">
      <c r="A1416" s="47" t="s">
        <v>3072</v>
      </c>
      <c r="B1416" s="47" t="s">
        <v>3073</v>
      </c>
      <c r="C1416" s="47" t="s">
        <v>7756</v>
      </c>
      <c r="D1416" s="47" t="s">
        <v>192</v>
      </c>
      <c r="E1416" s="47" t="s">
        <v>508</v>
      </c>
      <c r="F1416" s="47">
        <v>771.0</v>
      </c>
      <c r="G1416" s="47">
        <v>5.21</v>
      </c>
      <c r="H1416" s="47">
        <v>148.0</v>
      </c>
      <c r="I1416" s="47" t="s">
        <v>62</v>
      </c>
    </row>
    <row r="1417" ht="15.75" customHeight="1">
      <c r="A1417" s="47" t="s">
        <v>3074</v>
      </c>
      <c r="B1417" s="47" t="s">
        <v>3075</v>
      </c>
      <c r="C1417" s="47" t="s">
        <v>7756</v>
      </c>
      <c r="D1417" s="47" t="s">
        <v>171</v>
      </c>
      <c r="E1417" s="47" t="s">
        <v>457</v>
      </c>
      <c r="F1417" s="47">
        <v>2020.0</v>
      </c>
      <c r="G1417" s="47">
        <v>27.76</v>
      </c>
      <c r="H1417" s="47">
        <v>72.8</v>
      </c>
      <c r="I1417" s="47" t="s">
        <v>142</v>
      </c>
    </row>
    <row r="1418" ht="15.75" customHeight="1">
      <c r="A1418" s="47" t="s">
        <v>3076</v>
      </c>
      <c r="B1418" s="47" t="s">
        <v>3077</v>
      </c>
      <c r="C1418" s="47" t="s">
        <v>7756</v>
      </c>
      <c r="D1418" s="47" t="s">
        <v>72</v>
      </c>
      <c r="E1418" s="47" t="s">
        <v>71</v>
      </c>
      <c r="F1418" s="47">
        <v>603.0</v>
      </c>
      <c r="G1418" s="47">
        <v>3.94</v>
      </c>
      <c r="H1418" s="47">
        <v>153.0</v>
      </c>
      <c r="I1418" s="47" t="s">
        <v>62</v>
      </c>
    </row>
    <row r="1419" ht="15.75" customHeight="1">
      <c r="A1419" s="47" t="s">
        <v>3078</v>
      </c>
      <c r="B1419" s="47" t="s">
        <v>3079</v>
      </c>
      <c r="C1419" s="47" t="s">
        <v>7756</v>
      </c>
      <c r="D1419" s="47" t="s">
        <v>236</v>
      </c>
      <c r="E1419" s="47" t="s">
        <v>558</v>
      </c>
      <c r="F1419" s="47">
        <v>231.0</v>
      </c>
      <c r="G1419" s="47">
        <v>4.18</v>
      </c>
      <c r="H1419" s="47">
        <v>55.3</v>
      </c>
      <c r="I1419" s="47" t="s">
        <v>75</v>
      </c>
    </row>
    <row r="1420" ht="15.75" customHeight="1">
      <c r="A1420" s="47" t="s">
        <v>3080</v>
      </c>
      <c r="B1420" s="47" t="s">
        <v>3081</v>
      </c>
      <c r="C1420" s="47" t="s">
        <v>7756</v>
      </c>
      <c r="D1420" s="47" t="s">
        <v>122</v>
      </c>
      <c r="E1420" s="47" t="s">
        <v>328</v>
      </c>
      <c r="F1420" s="47">
        <v>604.0</v>
      </c>
      <c r="G1420" s="47">
        <v>5.22</v>
      </c>
      <c r="H1420" s="47">
        <v>115.7</v>
      </c>
      <c r="I1420" s="47" t="s">
        <v>62</v>
      </c>
    </row>
    <row r="1421" ht="15.75" customHeight="1">
      <c r="A1421" s="47" t="s">
        <v>3082</v>
      </c>
      <c r="B1421" s="47" t="s">
        <v>3083</v>
      </c>
      <c r="C1421" s="47" t="s">
        <v>7756</v>
      </c>
      <c r="D1421" s="47" t="s">
        <v>236</v>
      </c>
      <c r="E1421" s="47" t="s">
        <v>558</v>
      </c>
      <c r="F1421" s="47">
        <v>20726.0</v>
      </c>
      <c r="G1421" s="47">
        <v>6.87</v>
      </c>
      <c r="H1421" s="47">
        <v>3016.9</v>
      </c>
      <c r="I1421" s="47" t="s">
        <v>571</v>
      </c>
    </row>
    <row r="1422" ht="15.75" customHeight="1">
      <c r="A1422" s="47" t="s">
        <v>3084</v>
      </c>
      <c r="B1422" s="47" t="s">
        <v>3085</v>
      </c>
      <c r="C1422" s="47" t="s">
        <v>7756</v>
      </c>
      <c r="D1422" s="47" t="s">
        <v>171</v>
      </c>
      <c r="E1422" s="47" t="s">
        <v>457</v>
      </c>
      <c r="F1422" s="47">
        <v>2564.0</v>
      </c>
      <c r="G1422" s="47">
        <v>7.77</v>
      </c>
      <c r="H1422" s="47">
        <v>330.0</v>
      </c>
      <c r="I1422" s="47" t="s">
        <v>142</v>
      </c>
    </row>
    <row r="1423" ht="15.75" customHeight="1">
      <c r="A1423" s="47" t="s">
        <v>3086</v>
      </c>
      <c r="B1423" s="47" t="s">
        <v>3087</v>
      </c>
      <c r="C1423" s="47" t="s">
        <v>7756</v>
      </c>
      <c r="D1423" s="47" t="s">
        <v>236</v>
      </c>
      <c r="E1423" s="47" t="s">
        <v>558</v>
      </c>
      <c r="F1423" s="47">
        <v>15525.0</v>
      </c>
      <c r="G1423" s="47">
        <v>6.3</v>
      </c>
      <c r="H1423" s="47">
        <v>2464.3</v>
      </c>
      <c r="I1423" s="47" t="s">
        <v>571</v>
      </c>
    </row>
    <row r="1424" ht="15.75" customHeight="1">
      <c r="A1424" s="47" t="s">
        <v>3088</v>
      </c>
      <c r="B1424" s="47" t="s">
        <v>3089</v>
      </c>
      <c r="C1424" s="47" t="s">
        <v>7756</v>
      </c>
      <c r="D1424" s="47" t="s">
        <v>149</v>
      </c>
      <c r="E1424" s="47" t="s">
        <v>363</v>
      </c>
      <c r="F1424" s="47">
        <v>240.0</v>
      </c>
      <c r="G1424" s="47">
        <v>6.33</v>
      </c>
      <c r="H1424" s="47">
        <v>37.9</v>
      </c>
      <c r="I1424" s="47" t="s">
        <v>75</v>
      </c>
    </row>
    <row r="1425" ht="15.75" customHeight="1">
      <c r="A1425" s="47" t="s">
        <v>3090</v>
      </c>
      <c r="B1425" s="47" t="s">
        <v>3091</v>
      </c>
      <c r="C1425" s="47" t="s">
        <v>7756</v>
      </c>
      <c r="D1425" s="47" t="s">
        <v>236</v>
      </c>
      <c r="E1425" s="47" t="s">
        <v>558</v>
      </c>
      <c r="F1425" s="47">
        <v>40847.0</v>
      </c>
      <c r="G1425" s="47">
        <v>13.66</v>
      </c>
      <c r="H1425" s="47">
        <v>2990.3</v>
      </c>
      <c r="I1425" s="47" t="s">
        <v>571</v>
      </c>
    </row>
    <row r="1426" ht="15.75" customHeight="1">
      <c r="A1426" s="47" t="s">
        <v>3092</v>
      </c>
      <c r="B1426" s="47" t="s">
        <v>3093</v>
      </c>
      <c r="C1426" s="47" t="s">
        <v>7756</v>
      </c>
      <c r="D1426" s="47" t="s">
        <v>122</v>
      </c>
      <c r="E1426" s="47" t="s">
        <v>328</v>
      </c>
      <c r="F1426" s="47">
        <v>1599.0</v>
      </c>
      <c r="G1426" s="47">
        <v>2.37</v>
      </c>
      <c r="H1426" s="47">
        <v>674.7</v>
      </c>
      <c r="I1426" s="47" t="s">
        <v>62</v>
      </c>
    </row>
    <row r="1427" ht="15.75" customHeight="1">
      <c r="A1427" s="47" t="s">
        <v>3094</v>
      </c>
      <c r="B1427" s="47" t="s">
        <v>3095</v>
      </c>
      <c r="C1427" s="47" t="s">
        <v>7756</v>
      </c>
      <c r="D1427" s="47" t="s">
        <v>122</v>
      </c>
      <c r="E1427" s="47" t="s">
        <v>328</v>
      </c>
      <c r="F1427" s="47">
        <v>440.0</v>
      </c>
      <c r="G1427" s="47">
        <v>3.82</v>
      </c>
      <c r="H1427" s="47">
        <v>115.2</v>
      </c>
      <c r="I1427" s="47" t="s">
        <v>75</v>
      </c>
    </row>
    <row r="1428" ht="15.75" customHeight="1">
      <c r="A1428" s="47" t="s">
        <v>3096</v>
      </c>
      <c r="B1428" s="47" t="s">
        <v>3097</v>
      </c>
      <c r="C1428" s="47" t="s">
        <v>7756</v>
      </c>
      <c r="D1428" s="47" t="s">
        <v>236</v>
      </c>
      <c r="E1428" s="47" t="s">
        <v>558</v>
      </c>
      <c r="F1428" s="47">
        <v>7758.0</v>
      </c>
      <c r="G1428" s="47">
        <v>13.59</v>
      </c>
      <c r="H1428" s="47">
        <v>570.9</v>
      </c>
      <c r="I1428" s="47" t="s">
        <v>142</v>
      </c>
    </row>
    <row r="1429" ht="15.75" customHeight="1">
      <c r="A1429" s="47" t="s">
        <v>3098</v>
      </c>
      <c r="B1429" s="47" t="s">
        <v>3099</v>
      </c>
      <c r="C1429" s="47" t="s">
        <v>7756</v>
      </c>
      <c r="D1429" s="47" t="s">
        <v>130</v>
      </c>
      <c r="E1429" s="47" t="s">
        <v>180</v>
      </c>
      <c r="F1429" s="47">
        <v>7266.0</v>
      </c>
      <c r="G1429" s="47">
        <v>4.33</v>
      </c>
      <c r="H1429" s="47">
        <v>1678.1</v>
      </c>
      <c r="I1429" s="47" t="s">
        <v>142</v>
      </c>
    </row>
    <row r="1430" ht="15.75" customHeight="1">
      <c r="A1430" s="47" t="s">
        <v>3100</v>
      </c>
      <c r="B1430" s="47" t="s">
        <v>3101</v>
      </c>
      <c r="C1430" s="47" t="s">
        <v>7756</v>
      </c>
      <c r="D1430" s="47" t="s">
        <v>99</v>
      </c>
      <c r="E1430" s="47" t="s">
        <v>98</v>
      </c>
      <c r="F1430" s="47">
        <v>225.0</v>
      </c>
      <c r="G1430" s="47">
        <v>4.16</v>
      </c>
      <c r="H1430" s="47">
        <v>54.1</v>
      </c>
      <c r="I1430" s="47" t="s">
        <v>75</v>
      </c>
    </row>
    <row r="1431" ht="15.75" customHeight="1">
      <c r="A1431" s="47" t="s">
        <v>3102</v>
      </c>
      <c r="B1431" s="47" t="s">
        <v>3103</v>
      </c>
      <c r="C1431" s="47" t="s">
        <v>7756</v>
      </c>
      <c r="D1431" s="47" t="s">
        <v>236</v>
      </c>
      <c r="E1431" s="47" t="s">
        <v>558</v>
      </c>
      <c r="F1431" s="47">
        <v>5426.0</v>
      </c>
      <c r="G1431" s="47">
        <v>5.09</v>
      </c>
      <c r="H1431" s="47">
        <v>1066.0</v>
      </c>
      <c r="I1431" s="47" t="s">
        <v>142</v>
      </c>
    </row>
    <row r="1432" ht="15.75" customHeight="1">
      <c r="A1432" s="47" t="s">
        <v>3104</v>
      </c>
      <c r="B1432" s="47" t="s">
        <v>3105</v>
      </c>
      <c r="C1432" s="47" t="s">
        <v>7756</v>
      </c>
      <c r="D1432" s="47" t="s">
        <v>171</v>
      </c>
      <c r="E1432" s="47" t="s">
        <v>457</v>
      </c>
      <c r="F1432" s="47">
        <v>644.0</v>
      </c>
      <c r="G1432" s="47">
        <v>7.63</v>
      </c>
      <c r="H1432" s="47">
        <v>84.4</v>
      </c>
      <c r="I1432" s="47" t="s">
        <v>62</v>
      </c>
    </row>
    <row r="1433" ht="15.75" customHeight="1">
      <c r="A1433" s="47" t="s">
        <v>3106</v>
      </c>
      <c r="B1433" s="47" t="s">
        <v>3107</v>
      </c>
      <c r="C1433" s="47" t="s">
        <v>7756</v>
      </c>
      <c r="D1433" s="47" t="s">
        <v>236</v>
      </c>
      <c r="E1433" s="47" t="s">
        <v>558</v>
      </c>
      <c r="F1433" s="47">
        <v>581.0</v>
      </c>
      <c r="G1433" s="47">
        <v>2.81</v>
      </c>
      <c r="H1433" s="47">
        <v>206.8</v>
      </c>
      <c r="I1433" s="47" t="s">
        <v>62</v>
      </c>
    </row>
    <row r="1434" ht="15.75" customHeight="1">
      <c r="A1434" s="47" t="s">
        <v>3108</v>
      </c>
      <c r="B1434" s="47" t="s">
        <v>3109</v>
      </c>
      <c r="C1434" s="47" t="s">
        <v>7756</v>
      </c>
      <c r="D1434" s="47" t="s">
        <v>205</v>
      </c>
      <c r="E1434" s="47" t="s">
        <v>530</v>
      </c>
      <c r="F1434" s="47">
        <v>2804.0</v>
      </c>
      <c r="G1434" s="47">
        <v>13.89</v>
      </c>
      <c r="H1434" s="47">
        <v>201.9</v>
      </c>
      <c r="I1434" s="47" t="s">
        <v>142</v>
      </c>
    </row>
    <row r="1435" ht="15.75" customHeight="1">
      <c r="A1435" s="47" t="s">
        <v>3110</v>
      </c>
      <c r="B1435" s="47" t="s">
        <v>3111</v>
      </c>
      <c r="C1435" s="47" t="s">
        <v>7756</v>
      </c>
      <c r="D1435" s="47" t="s">
        <v>236</v>
      </c>
      <c r="E1435" s="47" t="s">
        <v>558</v>
      </c>
      <c r="F1435" s="47">
        <v>2941.0</v>
      </c>
      <c r="G1435" s="47">
        <v>5.81</v>
      </c>
      <c r="H1435" s="47">
        <v>506.2</v>
      </c>
      <c r="I1435" s="47" t="s">
        <v>142</v>
      </c>
    </row>
    <row r="1436" ht="15.75" customHeight="1">
      <c r="A1436" s="47" t="s">
        <v>3112</v>
      </c>
      <c r="B1436" s="47" t="s">
        <v>3113</v>
      </c>
      <c r="C1436" s="47" t="s">
        <v>7756</v>
      </c>
      <c r="D1436" s="47" t="s">
        <v>205</v>
      </c>
      <c r="E1436" s="47" t="s">
        <v>530</v>
      </c>
      <c r="F1436" s="47">
        <v>128.0</v>
      </c>
      <c r="G1436" s="47">
        <v>4.12</v>
      </c>
      <c r="H1436" s="47">
        <v>31.1</v>
      </c>
      <c r="I1436" s="47" t="s">
        <v>75</v>
      </c>
    </row>
    <row r="1437" ht="15.75" customHeight="1">
      <c r="A1437" s="47" t="s">
        <v>3114</v>
      </c>
      <c r="B1437" s="47" t="s">
        <v>3115</v>
      </c>
      <c r="C1437" s="47" t="s">
        <v>7756</v>
      </c>
      <c r="D1437" s="47" t="s">
        <v>99</v>
      </c>
      <c r="E1437" s="47" t="s">
        <v>98</v>
      </c>
      <c r="F1437" s="47">
        <v>1261.0</v>
      </c>
      <c r="G1437" s="47">
        <v>15.73</v>
      </c>
      <c r="H1437" s="47">
        <v>80.2</v>
      </c>
      <c r="I1437" s="47" t="s">
        <v>62</v>
      </c>
    </row>
    <row r="1438" ht="15.75" customHeight="1">
      <c r="A1438" s="47" t="s">
        <v>3116</v>
      </c>
      <c r="B1438" s="47" t="s">
        <v>3117</v>
      </c>
      <c r="C1438" s="47" t="s">
        <v>7756</v>
      </c>
      <c r="D1438" s="47" t="s">
        <v>171</v>
      </c>
      <c r="E1438" s="47" t="s">
        <v>457</v>
      </c>
      <c r="F1438" s="47">
        <v>5584.0</v>
      </c>
      <c r="G1438" s="47">
        <v>27.37</v>
      </c>
      <c r="H1438" s="47">
        <v>204.0</v>
      </c>
      <c r="I1438" s="47" t="s">
        <v>142</v>
      </c>
    </row>
    <row r="1439" ht="15.75" customHeight="1">
      <c r="A1439" s="47" t="s">
        <v>3118</v>
      </c>
      <c r="B1439" s="47" t="s">
        <v>3119</v>
      </c>
      <c r="C1439" s="47" t="s">
        <v>7756</v>
      </c>
      <c r="D1439" s="47" t="s">
        <v>171</v>
      </c>
      <c r="E1439" s="47" t="s">
        <v>457</v>
      </c>
      <c r="F1439" s="47">
        <v>334.0</v>
      </c>
      <c r="G1439" s="47">
        <v>2.92</v>
      </c>
      <c r="H1439" s="47">
        <v>114.4</v>
      </c>
      <c r="I1439" s="47" t="s">
        <v>75</v>
      </c>
    </row>
    <row r="1440" ht="15.75" customHeight="1">
      <c r="A1440" s="47" t="s">
        <v>3120</v>
      </c>
      <c r="B1440" s="47" t="s">
        <v>3121</v>
      </c>
      <c r="C1440" s="47" t="s">
        <v>7756</v>
      </c>
      <c r="D1440" s="47" t="s">
        <v>171</v>
      </c>
      <c r="E1440" s="47" t="s">
        <v>457</v>
      </c>
      <c r="F1440" s="47">
        <v>298.0</v>
      </c>
      <c r="G1440" s="47">
        <v>2.56</v>
      </c>
      <c r="H1440" s="47">
        <v>116.4</v>
      </c>
      <c r="I1440" s="47" t="s">
        <v>75</v>
      </c>
    </row>
    <row r="1441" ht="15.75" customHeight="1">
      <c r="A1441" s="47" t="s">
        <v>3122</v>
      </c>
      <c r="B1441" s="47" t="s">
        <v>3123</v>
      </c>
      <c r="C1441" s="47" t="s">
        <v>7756</v>
      </c>
      <c r="D1441" s="47" t="s">
        <v>171</v>
      </c>
      <c r="E1441" s="47" t="s">
        <v>457</v>
      </c>
      <c r="F1441" s="47">
        <v>1562.0</v>
      </c>
      <c r="G1441" s="47">
        <v>17.48</v>
      </c>
      <c r="H1441" s="47">
        <v>89.4</v>
      </c>
      <c r="I1441" s="47" t="s">
        <v>62</v>
      </c>
    </row>
    <row r="1442" ht="15.75" customHeight="1">
      <c r="A1442" s="47" t="s">
        <v>3124</v>
      </c>
      <c r="B1442" s="47" t="s">
        <v>3125</v>
      </c>
      <c r="C1442" s="47" t="s">
        <v>7756</v>
      </c>
      <c r="D1442" s="47" t="s">
        <v>99</v>
      </c>
      <c r="E1442" s="47" t="s">
        <v>98</v>
      </c>
      <c r="F1442" s="47">
        <v>252.0</v>
      </c>
      <c r="G1442" s="47">
        <v>4.93</v>
      </c>
      <c r="H1442" s="47">
        <v>51.1</v>
      </c>
      <c r="I1442" s="47" t="s">
        <v>75</v>
      </c>
    </row>
    <row r="1443" ht="15.75" customHeight="1">
      <c r="A1443" s="47" t="s">
        <v>3126</v>
      </c>
      <c r="B1443" s="47" t="s">
        <v>3127</v>
      </c>
      <c r="C1443" s="47" t="s">
        <v>7756</v>
      </c>
      <c r="D1443" s="47" t="s">
        <v>235</v>
      </c>
      <c r="E1443" s="47" t="s">
        <v>555</v>
      </c>
      <c r="F1443" s="47">
        <v>1630.0</v>
      </c>
      <c r="G1443" s="47">
        <v>2.6</v>
      </c>
      <c r="H1443" s="47">
        <v>626.9</v>
      </c>
      <c r="I1443" s="47" t="s">
        <v>62</v>
      </c>
    </row>
    <row r="1444" ht="15.75" customHeight="1">
      <c r="A1444" s="47" t="s">
        <v>3128</v>
      </c>
      <c r="B1444" s="47" t="s">
        <v>3129</v>
      </c>
      <c r="C1444" s="47" t="s">
        <v>7756</v>
      </c>
      <c r="D1444" s="47" t="s">
        <v>99</v>
      </c>
      <c r="E1444" s="47" t="s">
        <v>98</v>
      </c>
      <c r="F1444" s="47">
        <v>557.0</v>
      </c>
      <c r="G1444" s="47">
        <v>11.86</v>
      </c>
      <c r="H1444" s="47">
        <v>47.0</v>
      </c>
      <c r="I1444" s="47" t="s">
        <v>62</v>
      </c>
    </row>
    <row r="1445" ht="15.75" customHeight="1">
      <c r="A1445" s="47" t="s">
        <v>3130</v>
      </c>
      <c r="B1445" s="47" t="s">
        <v>3131</v>
      </c>
      <c r="C1445" s="47" t="s">
        <v>7756</v>
      </c>
      <c r="D1445" s="47" t="s">
        <v>236</v>
      </c>
      <c r="E1445" s="47" t="s">
        <v>558</v>
      </c>
      <c r="F1445" s="47">
        <v>1387.0</v>
      </c>
      <c r="G1445" s="47">
        <v>2.31</v>
      </c>
      <c r="H1445" s="47">
        <v>600.4</v>
      </c>
      <c r="I1445" s="47" t="s">
        <v>62</v>
      </c>
    </row>
    <row r="1446" ht="15.75" customHeight="1">
      <c r="A1446" s="47" t="s">
        <v>3132</v>
      </c>
      <c r="B1446" s="47" t="s">
        <v>1845</v>
      </c>
      <c r="C1446" s="47" t="s">
        <v>7757</v>
      </c>
      <c r="D1446" s="47" t="s">
        <v>159</v>
      </c>
      <c r="E1446" s="47" t="s">
        <v>430</v>
      </c>
      <c r="F1446" s="47">
        <v>569.0</v>
      </c>
      <c r="G1446" s="47">
        <v>5.98</v>
      </c>
      <c r="H1446" s="47">
        <v>95.2</v>
      </c>
      <c r="I1446" s="47" t="s">
        <v>62</v>
      </c>
    </row>
    <row r="1447" ht="15.75" customHeight="1">
      <c r="A1447" s="47" t="s">
        <v>3133</v>
      </c>
      <c r="B1447" s="47" t="s">
        <v>3134</v>
      </c>
      <c r="C1447" s="47" t="s">
        <v>7757</v>
      </c>
      <c r="D1447" s="47" t="s">
        <v>231</v>
      </c>
      <c r="E1447" s="47" t="s">
        <v>406</v>
      </c>
      <c r="F1447" s="47">
        <v>879.0</v>
      </c>
      <c r="G1447" s="47">
        <v>7.46</v>
      </c>
      <c r="H1447" s="47">
        <v>117.8</v>
      </c>
      <c r="I1447" s="47" t="s">
        <v>62</v>
      </c>
    </row>
    <row r="1448" ht="15.75" customHeight="1">
      <c r="A1448" s="47" t="s">
        <v>3135</v>
      </c>
      <c r="B1448" s="47" t="s">
        <v>3136</v>
      </c>
      <c r="C1448" s="47" t="s">
        <v>7757</v>
      </c>
      <c r="D1448" s="47" t="s">
        <v>155</v>
      </c>
      <c r="E1448" s="47" t="s">
        <v>420</v>
      </c>
      <c r="F1448" s="47">
        <v>499.0</v>
      </c>
      <c r="G1448" s="47">
        <v>5.26</v>
      </c>
      <c r="H1448" s="47">
        <v>94.9</v>
      </c>
      <c r="I1448" s="47" t="s">
        <v>75</v>
      </c>
    </row>
    <row r="1449" ht="15.75" customHeight="1">
      <c r="A1449" s="47" t="s">
        <v>3137</v>
      </c>
      <c r="B1449" s="47" t="s">
        <v>3138</v>
      </c>
      <c r="C1449" s="47" t="s">
        <v>7757</v>
      </c>
      <c r="D1449" s="47" t="s">
        <v>159</v>
      </c>
      <c r="E1449" s="47" t="s">
        <v>430</v>
      </c>
      <c r="F1449" s="47">
        <v>408.0</v>
      </c>
      <c r="G1449" s="47">
        <v>12.73</v>
      </c>
      <c r="H1449" s="47">
        <v>32.1</v>
      </c>
      <c r="I1449" s="47" t="s">
        <v>75</v>
      </c>
    </row>
    <row r="1450" ht="15.75" customHeight="1">
      <c r="A1450" s="47" t="s">
        <v>3139</v>
      </c>
      <c r="B1450" s="47" t="s">
        <v>3140</v>
      </c>
      <c r="C1450" s="47" t="s">
        <v>7757</v>
      </c>
      <c r="D1450" s="47" t="s">
        <v>195</v>
      </c>
      <c r="E1450" s="47" t="s">
        <v>509</v>
      </c>
      <c r="F1450" s="47">
        <v>821.0</v>
      </c>
      <c r="G1450" s="47">
        <v>11.45</v>
      </c>
      <c r="H1450" s="47">
        <v>71.7</v>
      </c>
      <c r="I1450" s="47" t="s">
        <v>62</v>
      </c>
    </row>
    <row r="1451" ht="15.75" customHeight="1">
      <c r="A1451" s="47" t="s">
        <v>3141</v>
      </c>
      <c r="B1451" s="47" t="s">
        <v>3142</v>
      </c>
      <c r="C1451" s="47" t="s">
        <v>7757</v>
      </c>
      <c r="D1451" s="47" t="s">
        <v>175</v>
      </c>
      <c r="E1451" s="47" t="s">
        <v>463</v>
      </c>
      <c r="F1451" s="47">
        <v>1153.0</v>
      </c>
      <c r="G1451" s="47">
        <v>5.1</v>
      </c>
      <c r="H1451" s="47">
        <v>226.1</v>
      </c>
      <c r="I1451" s="47" t="s">
        <v>62</v>
      </c>
    </row>
    <row r="1452" ht="15.75" customHeight="1">
      <c r="A1452" s="47" t="s">
        <v>3143</v>
      </c>
      <c r="B1452" s="47" t="s">
        <v>3144</v>
      </c>
      <c r="C1452" s="47" t="s">
        <v>7757</v>
      </c>
      <c r="D1452" s="47" t="s">
        <v>183</v>
      </c>
      <c r="E1452" s="47" t="s">
        <v>482</v>
      </c>
      <c r="F1452" s="47">
        <v>3058.0</v>
      </c>
      <c r="G1452" s="47">
        <v>13.28</v>
      </c>
      <c r="H1452" s="47">
        <v>230.3</v>
      </c>
      <c r="I1452" s="47" t="s">
        <v>142</v>
      </c>
    </row>
    <row r="1453" ht="15.75" customHeight="1">
      <c r="A1453" s="47" t="s">
        <v>3145</v>
      </c>
      <c r="B1453" s="47" t="s">
        <v>3146</v>
      </c>
      <c r="C1453" s="47" t="s">
        <v>7757</v>
      </c>
      <c r="D1453" s="47" t="s">
        <v>203</v>
      </c>
      <c r="E1453" s="47" t="s">
        <v>524</v>
      </c>
      <c r="F1453" s="47">
        <v>409.0</v>
      </c>
      <c r="G1453" s="47">
        <v>6.82</v>
      </c>
      <c r="H1453" s="47">
        <v>60.0</v>
      </c>
      <c r="I1453" s="47" t="s">
        <v>75</v>
      </c>
    </row>
    <row r="1454" ht="15.75" customHeight="1">
      <c r="A1454" s="47" t="s">
        <v>3147</v>
      </c>
      <c r="B1454" s="47" t="s">
        <v>3148</v>
      </c>
      <c r="C1454" s="47" t="s">
        <v>7757</v>
      </c>
      <c r="D1454" s="47" t="s">
        <v>131</v>
      </c>
      <c r="E1454" s="47" t="s">
        <v>341</v>
      </c>
      <c r="F1454" s="47">
        <v>1767.0</v>
      </c>
      <c r="G1454" s="47">
        <v>15.37</v>
      </c>
      <c r="H1454" s="47">
        <v>115.0</v>
      </c>
      <c r="I1454" s="47" t="s">
        <v>62</v>
      </c>
    </row>
    <row r="1455" ht="15.75" customHeight="1">
      <c r="A1455" s="47" t="s">
        <v>3149</v>
      </c>
      <c r="B1455" s="47" t="s">
        <v>3150</v>
      </c>
      <c r="C1455" s="47" t="s">
        <v>7757</v>
      </c>
      <c r="D1455" s="47" t="s">
        <v>176</v>
      </c>
      <c r="E1455" s="47" t="s">
        <v>470</v>
      </c>
      <c r="F1455" s="47">
        <v>1805.0</v>
      </c>
      <c r="G1455" s="47">
        <v>20.99</v>
      </c>
      <c r="H1455" s="47">
        <v>86.0</v>
      </c>
      <c r="I1455" s="47" t="s">
        <v>62</v>
      </c>
    </row>
    <row r="1456" ht="15.75" customHeight="1">
      <c r="A1456" s="47" t="s">
        <v>3151</v>
      </c>
      <c r="B1456" s="47" t="s">
        <v>3152</v>
      </c>
      <c r="C1456" s="47" t="s">
        <v>7757</v>
      </c>
      <c r="D1456" s="47" t="s">
        <v>196</v>
      </c>
      <c r="E1456" s="47" t="s">
        <v>514</v>
      </c>
      <c r="F1456" s="47">
        <v>419.0</v>
      </c>
      <c r="G1456" s="47">
        <v>12.64</v>
      </c>
      <c r="H1456" s="47">
        <v>33.1</v>
      </c>
      <c r="I1456" s="47" t="s">
        <v>75</v>
      </c>
    </row>
    <row r="1457" ht="15.75" customHeight="1">
      <c r="A1457" s="47" t="s">
        <v>3153</v>
      </c>
      <c r="B1457" s="47" t="s">
        <v>3154</v>
      </c>
      <c r="C1457" s="47" t="s">
        <v>7757</v>
      </c>
      <c r="D1457" s="47" t="s">
        <v>176</v>
      </c>
      <c r="E1457" s="47" t="s">
        <v>470</v>
      </c>
      <c r="F1457" s="47">
        <v>3434.0</v>
      </c>
      <c r="G1457" s="47">
        <v>4.21</v>
      </c>
      <c r="H1457" s="47">
        <v>815.7</v>
      </c>
      <c r="I1457" s="47" t="s">
        <v>142</v>
      </c>
    </row>
    <row r="1458" ht="15.75" customHeight="1">
      <c r="A1458" s="47" t="s">
        <v>3155</v>
      </c>
      <c r="B1458" s="47" t="s">
        <v>3156</v>
      </c>
      <c r="C1458" s="47" t="s">
        <v>7757</v>
      </c>
      <c r="D1458" s="47" t="s">
        <v>175</v>
      </c>
      <c r="E1458" s="47" t="s">
        <v>463</v>
      </c>
      <c r="F1458" s="47">
        <v>1345.0</v>
      </c>
      <c r="G1458" s="47">
        <v>4.96</v>
      </c>
      <c r="H1458" s="47">
        <v>271.2</v>
      </c>
      <c r="I1458" s="47" t="s">
        <v>62</v>
      </c>
    </row>
    <row r="1459" ht="15.75" customHeight="1">
      <c r="A1459" s="47" t="s">
        <v>3157</v>
      </c>
      <c r="B1459" s="47" t="s">
        <v>3158</v>
      </c>
      <c r="C1459" s="47" t="s">
        <v>7757</v>
      </c>
      <c r="D1459" s="47" t="s">
        <v>203</v>
      </c>
      <c r="E1459" s="47" t="s">
        <v>524</v>
      </c>
      <c r="F1459" s="47">
        <v>155.0</v>
      </c>
      <c r="G1459" s="47">
        <v>6.25</v>
      </c>
      <c r="H1459" s="47">
        <v>24.8</v>
      </c>
      <c r="I1459" s="47" t="s">
        <v>75</v>
      </c>
    </row>
    <row r="1460" ht="15.75" customHeight="1">
      <c r="A1460" s="47" t="s">
        <v>3159</v>
      </c>
      <c r="B1460" s="47" t="s">
        <v>3160</v>
      </c>
      <c r="C1460" s="47" t="s">
        <v>7757</v>
      </c>
      <c r="D1460" s="47" t="s">
        <v>231</v>
      </c>
      <c r="E1460" s="47" t="s">
        <v>406</v>
      </c>
      <c r="F1460" s="47">
        <v>1124.0</v>
      </c>
      <c r="G1460" s="47">
        <v>3.58</v>
      </c>
      <c r="H1460" s="47">
        <v>314.0</v>
      </c>
      <c r="I1460" s="47" t="s">
        <v>62</v>
      </c>
    </row>
    <row r="1461" ht="15.75" customHeight="1">
      <c r="A1461" s="47" t="s">
        <v>3161</v>
      </c>
      <c r="B1461" s="47" t="s">
        <v>3162</v>
      </c>
      <c r="C1461" s="47" t="s">
        <v>7757</v>
      </c>
      <c r="D1461" s="47" t="s">
        <v>231</v>
      </c>
      <c r="E1461" s="47" t="s">
        <v>406</v>
      </c>
      <c r="F1461" s="47">
        <v>273.0</v>
      </c>
      <c r="G1461" s="47">
        <v>8.41</v>
      </c>
      <c r="H1461" s="47">
        <v>32.5</v>
      </c>
      <c r="I1461" s="47" t="s">
        <v>75</v>
      </c>
    </row>
    <row r="1462" ht="15.75" customHeight="1">
      <c r="A1462" s="47" t="s">
        <v>3163</v>
      </c>
      <c r="B1462" s="47" t="s">
        <v>3164</v>
      </c>
      <c r="C1462" s="47" t="s">
        <v>7757</v>
      </c>
      <c r="D1462" s="47" t="s">
        <v>155</v>
      </c>
      <c r="E1462" s="47" t="s">
        <v>420</v>
      </c>
      <c r="F1462" s="47">
        <v>1134.0</v>
      </c>
      <c r="G1462" s="47">
        <v>7.05</v>
      </c>
      <c r="H1462" s="47">
        <v>160.9</v>
      </c>
      <c r="I1462" s="47" t="s">
        <v>62</v>
      </c>
    </row>
    <row r="1463" ht="15.75" customHeight="1">
      <c r="A1463" s="47" t="s">
        <v>3165</v>
      </c>
      <c r="B1463" s="47" t="s">
        <v>3166</v>
      </c>
      <c r="C1463" s="47" t="s">
        <v>7757</v>
      </c>
      <c r="D1463" s="47" t="s">
        <v>196</v>
      </c>
      <c r="E1463" s="47" t="s">
        <v>514</v>
      </c>
      <c r="F1463" s="47">
        <v>408.0</v>
      </c>
      <c r="G1463" s="47">
        <v>10.81</v>
      </c>
      <c r="H1463" s="47">
        <v>37.7</v>
      </c>
      <c r="I1463" s="47" t="s">
        <v>75</v>
      </c>
    </row>
    <row r="1464" ht="15.75" customHeight="1">
      <c r="A1464" s="47" t="s">
        <v>3167</v>
      </c>
      <c r="B1464" s="47" t="s">
        <v>3168</v>
      </c>
      <c r="C1464" s="47" t="s">
        <v>7757</v>
      </c>
      <c r="D1464" s="47" t="s">
        <v>195</v>
      </c>
      <c r="E1464" s="47" t="s">
        <v>509</v>
      </c>
      <c r="F1464" s="47">
        <v>273.0</v>
      </c>
      <c r="G1464" s="47">
        <v>3.66</v>
      </c>
      <c r="H1464" s="47">
        <v>74.6</v>
      </c>
      <c r="I1464" s="47" t="s">
        <v>75</v>
      </c>
    </row>
    <row r="1465" ht="15.75" customHeight="1">
      <c r="A1465" s="47" t="s">
        <v>3169</v>
      </c>
      <c r="B1465" s="47" t="s">
        <v>3170</v>
      </c>
      <c r="C1465" s="47" t="s">
        <v>7757</v>
      </c>
      <c r="D1465" s="47" t="s">
        <v>200</v>
      </c>
      <c r="E1465" s="47" t="s">
        <v>494</v>
      </c>
      <c r="F1465" s="47">
        <v>498.0</v>
      </c>
      <c r="G1465" s="47">
        <v>4.47</v>
      </c>
      <c r="H1465" s="47">
        <v>111.4</v>
      </c>
      <c r="I1465" s="47" t="s">
        <v>75</v>
      </c>
    </row>
    <row r="1466" ht="15.75" customHeight="1">
      <c r="A1466" s="47" t="s">
        <v>3171</v>
      </c>
      <c r="B1466" s="47" t="s">
        <v>3172</v>
      </c>
      <c r="C1466" s="47" t="s">
        <v>7757</v>
      </c>
      <c r="D1466" s="47" t="s">
        <v>151</v>
      </c>
      <c r="E1466" s="47" t="s">
        <v>414</v>
      </c>
      <c r="F1466" s="47">
        <v>636.0</v>
      </c>
      <c r="G1466" s="47">
        <v>13.69</v>
      </c>
      <c r="H1466" s="47">
        <v>46.5</v>
      </c>
      <c r="I1466" s="47" t="s">
        <v>62</v>
      </c>
    </row>
    <row r="1467" ht="15.75" customHeight="1">
      <c r="A1467" s="47" t="s">
        <v>3173</v>
      </c>
      <c r="B1467" s="47" t="s">
        <v>3174</v>
      </c>
      <c r="C1467" s="47" t="s">
        <v>7757</v>
      </c>
      <c r="D1467" s="47" t="s">
        <v>124</v>
      </c>
      <c r="E1467" s="47" t="s">
        <v>333</v>
      </c>
      <c r="F1467" s="47">
        <v>548.0</v>
      </c>
      <c r="G1467" s="47">
        <v>2.05</v>
      </c>
      <c r="H1467" s="47">
        <v>267.3</v>
      </c>
      <c r="I1467" s="47" t="s">
        <v>62</v>
      </c>
    </row>
    <row r="1468" ht="15.75" customHeight="1">
      <c r="A1468" s="47" t="s">
        <v>3175</v>
      </c>
      <c r="B1468" s="47" t="s">
        <v>3176</v>
      </c>
      <c r="C1468" s="47" t="s">
        <v>7757</v>
      </c>
      <c r="D1468" s="47" t="s">
        <v>160</v>
      </c>
      <c r="E1468" s="47" t="s">
        <v>435</v>
      </c>
      <c r="F1468" s="47">
        <v>832.0</v>
      </c>
      <c r="G1468" s="47">
        <v>7.35</v>
      </c>
      <c r="H1468" s="47">
        <v>113.2</v>
      </c>
      <c r="I1468" s="47" t="s">
        <v>62</v>
      </c>
    </row>
    <row r="1469" ht="15.75" customHeight="1">
      <c r="A1469" s="47" t="s">
        <v>3177</v>
      </c>
      <c r="B1469" s="47" t="s">
        <v>3178</v>
      </c>
      <c r="C1469" s="47" t="s">
        <v>7757</v>
      </c>
      <c r="D1469" s="47" t="s">
        <v>173</v>
      </c>
      <c r="E1469" s="47" t="s">
        <v>460</v>
      </c>
      <c r="F1469" s="47">
        <v>1857.0</v>
      </c>
      <c r="G1469" s="47">
        <v>14.77</v>
      </c>
      <c r="H1469" s="47">
        <v>125.7</v>
      </c>
      <c r="I1469" s="47" t="s">
        <v>62</v>
      </c>
    </row>
    <row r="1470" ht="15.75" customHeight="1">
      <c r="A1470" s="47" t="s">
        <v>3179</v>
      </c>
      <c r="B1470" s="47" t="s">
        <v>3180</v>
      </c>
      <c r="C1470" s="47" t="s">
        <v>7757</v>
      </c>
      <c r="D1470" s="47" t="s">
        <v>131</v>
      </c>
      <c r="E1470" s="47" t="s">
        <v>341</v>
      </c>
      <c r="F1470" s="47">
        <v>562.0</v>
      </c>
      <c r="G1470" s="47">
        <v>8.04</v>
      </c>
      <c r="H1470" s="47">
        <v>69.9</v>
      </c>
      <c r="I1470" s="47" t="s">
        <v>62</v>
      </c>
    </row>
    <row r="1471" ht="15.75" customHeight="1">
      <c r="A1471" s="47" t="s">
        <v>3181</v>
      </c>
      <c r="B1471" s="47" t="s">
        <v>3182</v>
      </c>
      <c r="C1471" s="47" t="s">
        <v>7757</v>
      </c>
      <c r="D1471" s="47" t="s">
        <v>195</v>
      </c>
      <c r="E1471" s="47" t="s">
        <v>509</v>
      </c>
      <c r="F1471" s="47">
        <v>515.0</v>
      </c>
      <c r="G1471" s="47">
        <v>14.16</v>
      </c>
      <c r="H1471" s="47">
        <v>36.4</v>
      </c>
      <c r="I1471" s="47" t="s">
        <v>62</v>
      </c>
    </row>
    <row r="1472" ht="15.75" customHeight="1">
      <c r="A1472" s="47" t="s">
        <v>3183</v>
      </c>
      <c r="B1472" s="47" t="s">
        <v>3184</v>
      </c>
      <c r="C1472" s="47" t="s">
        <v>7757</v>
      </c>
      <c r="D1472" s="47" t="s">
        <v>228</v>
      </c>
      <c r="E1472" s="47" t="s">
        <v>396</v>
      </c>
      <c r="F1472" s="47">
        <v>567.0</v>
      </c>
      <c r="G1472" s="47">
        <v>6.83</v>
      </c>
      <c r="H1472" s="47">
        <v>83.0</v>
      </c>
      <c r="I1472" s="47" t="s">
        <v>62</v>
      </c>
    </row>
    <row r="1473" ht="15.75" customHeight="1">
      <c r="A1473" s="47" t="s">
        <v>3185</v>
      </c>
      <c r="B1473" s="47" t="s">
        <v>3186</v>
      </c>
      <c r="C1473" s="47" t="s">
        <v>7757</v>
      </c>
      <c r="D1473" s="47" t="s">
        <v>131</v>
      </c>
      <c r="E1473" s="47" t="s">
        <v>341</v>
      </c>
      <c r="F1473" s="47">
        <v>2898.0</v>
      </c>
      <c r="G1473" s="47">
        <v>27.57</v>
      </c>
      <c r="H1473" s="47">
        <v>105.1</v>
      </c>
      <c r="I1473" s="47" t="s">
        <v>142</v>
      </c>
    </row>
    <row r="1474" ht="15.75" customHeight="1">
      <c r="A1474" s="47" t="s">
        <v>3187</v>
      </c>
      <c r="B1474" s="47" t="s">
        <v>3188</v>
      </c>
      <c r="C1474" s="47" t="s">
        <v>7757</v>
      </c>
      <c r="D1474" s="47" t="s">
        <v>131</v>
      </c>
      <c r="E1474" s="47" t="s">
        <v>341</v>
      </c>
      <c r="F1474" s="47">
        <v>554.0</v>
      </c>
      <c r="G1474" s="47">
        <v>12.13</v>
      </c>
      <c r="H1474" s="47">
        <v>45.7</v>
      </c>
      <c r="I1474" s="47" t="s">
        <v>62</v>
      </c>
    </row>
    <row r="1475" ht="15.75" customHeight="1">
      <c r="A1475" s="47" t="s">
        <v>3189</v>
      </c>
      <c r="B1475" s="47" t="s">
        <v>3190</v>
      </c>
      <c r="C1475" s="47" t="s">
        <v>7757</v>
      </c>
      <c r="D1475" s="47" t="s">
        <v>195</v>
      </c>
      <c r="E1475" s="47" t="s">
        <v>509</v>
      </c>
      <c r="F1475" s="47">
        <v>265.0</v>
      </c>
      <c r="G1475" s="47">
        <v>9.29</v>
      </c>
      <c r="H1475" s="47">
        <v>28.5</v>
      </c>
      <c r="I1475" s="47" t="s">
        <v>75</v>
      </c>
    </row>
    <row r="1476" ht="15.75" customHeight="1">
      <c r="A1476" s="47" t="s">
        <v>3191</v>
      </c>
      <c r="B1476" s="47" t="s">
        <v>3192</v>
      </c>
      <c r="C1476" s="47" t="s">
        <v>7757</v>
      </c>
      <c r="D1476" s="47" t="s">
        <v>173</v>
      </c>
      <c r="E1476" s="47" t="s">
        <v>460</v>
      </c>
      <c r="F1476" s="47">
        <v>738.0</v>
      </c>
      <c r="G1476" s="47">
        <v>13.03</v>
      </c>
      <c r="H1476" s="47">
        <v>56.6</v>
      </c>
      <c r="I1476" s="47" t="s">
        <v>62</v>
      </c>
    </row>
    <row r="1477" ht="15.75" customHeight="1">
      <c r="A1477" s="47" t="s">
        <v>3193</v>
      </c>
      <c r="B1477" s="47" t="s">
        <v>3194</v>
      </c>
      <c r="C1477" s="47" t="s">
        <v>7757</v>
      </c>
      <c r="D1477" s="47" t="s">
        <v>151</v>
      </c>
      <c r="E1477" s="47" t="s">
        <v>414</v>
      </c>
      <c r="F1477" s="47">
        <v>852.0</v>
      </c>
      <c r="G1477" s="47">
        <v>12.19</v>
      </c>
      <c r="H1477" s="47">
        <v>69.9</v>
      </c>
      <c r="I1477" s="47" t="s">
        <v>62</v>
      </c>
    </row>
    <row r="1478" ht="15.75" customHeight="1">
      <c r="A1478" s="47" t="s">
        <v>3195</v>
      </c>
      <c r="B1478" s="47" t="s">
        <v>3196</v>
      </c>
      <c r="C1478" s="47" t="s">
        <v>7757</v>
      </c>
      <c r="D1478" s="47" t="s">
        <v>203</v>
      </c>
      <c r="E1478" s="47" t="s">
        <v>524</v>
      </c>
      <c r="F1478" s="47">
        <v>1147.0</v>
      </c>
      <c r="G1478" s="47">
        <v>12.52</v>
      </c>
      <c r="H1478" s="47">
        <v>91.6</v>
      </c>
      <c r="I1478" s="47" t="s">
        <v>62</v>
      </c>
    </row>
    <row r="1479" ht="15.75" customHeight="1">
      <c r="A1479" s="47" t="s">
        <v>3197</v>
      </c>
      <c r="B1479" s="47" t="s">
        <v>3198</v>
      </c>
      <c r="C1479" s="47" t="s">
        <v>7757</v>
      </c>
      <c r="D1479" s="47" t="s">
        <v>196</v>
      </c>
      <c r="E1479" s="47" t="s">
        <v>514</v>
      </c>
      <c r="F1479" s="47">
        <v>232.0</v>
      </c>
      <c r="G1479" s="47">
        <v>7.06</v>
      </c>
      <c r="H1479" s="47">
        <v>32.9</v>
      </c>
      <c r="I1479" s="47" t="s">
        <v>75</v>
      </c>
    </row>
    <row r="1480" ht="15.75" customHeight="1">
      <c r="A1480" s="47" t="s">
        <v>3199</v>
      </c>
      <c r="B1480" s="47" t="s">
        <v>3200</v>
      </c>
      <c r="C1480" s="47" t="s">
        <v>7757</v>
      </c>
      <c r="D1480" s="47" t="s">
        <v>160</v>
      </c>
      <c r="E1480" s="47" t="s">
        <v>435</v>
      </c>
      <c r="F1480" s="47">
        <v>404.0</v>
      </c>
      <c r="G1480" s="47">
        <v>6.09</v>
      </c>
      <c r="H1480" s="47">
        <v>66.3</v>
      </c>
      <c r="I1480" s="47" t="s">
        <v>75</v>
      </c>
    </row>
    <row r="1481" ht="15.75" customHeight="1">
      <c r="A1481" s="47" t="s">
        <v>3201</v>
      </c>
      <c r="B1481" s="47" t="s">
        <v>3202</v>
      </c>
      <c r="C1481" s="47" t="s">
        <v>7757</v>
      </c>
      <c r="D1481" s="47" t="s">
        <v>200</v>
      </c>
      <c r="E1481" s="47" t="s">
        <v>494</v>
      </c>
      <c r="F1481" s="47">
        <v>508.0</v>
      </c>
      <c r="G1481" s="47">
        <v>7.23</v>
      </c>
      <c r="H1481" s="47">
        <v>70.3</v>
      </c>
      <c r="I1481" s="47" t="s">
        <v>62</v>
      </c>
    </row>
    <row r="1482" ht="15.75" customHeight="1">
      <c r="A1482" s="47" t="s">
        <v>3203</v>
      </c>
      <c r="B1482" s="47" t="s">
        <v>3204</v>
      </c>
      <c r="C1482" s="47" t="s">
        <v>7757</v>
      </c>
      <c r="D1482" s="47" t="s">
        <v>155</v>
      </c>
      <c r="E1482" s="47" t="s">
        <v>420</v>
      </c>
      <c r="F1482" s="47">
        <v>477.0</v>
      </c>
      <c r="G1482" s="47">
        <v>5.61</v>
      </c>
      <c r="H1482" s="47">
        <v>85.0</v>
      </c>
      <c r="I1482" s="47" t="s">
        <v>75</v>
      </c>
    </row>
    <row r="1483" ht="15.75" customHeight="1">
      <c r="A1483" s="47" t="s">
        <v>3205</v>
      </c>
      <c r="B1483" s="47" t="s">
        <v>3206</v>
      </c>
      <c r="C1483" s="47" t="s">
        <v>7757</v>
      </c>
      <c r="D1483" s="47" t="s">
        <v>160</v>
      </c>
      <c r="E1483" s="47" t="s">
        <v>435</v>
      </c>
      <c r="F1483" s="47">
        <v>645.0</v>
      </c>
      <c r="G1483" s="47">
        <v>14.38</v>
      </c>
      <c r="H1483" s="47">
        <v>44.9</v>
      </c>
      <c r="I1483" s="47" t="s">
        <v>62</v>
      </c>
    </row>
    <row r="1484" ht="15.75" customHeight="1">
      <c r="A1484" s="47" t="s">
        <v>3207</v>
      </c>
      <c r="B1484" s="47" t="s">
        <v>3208</v>
      </c>
      <c r="C1484" s="47" t="s">
        <v>7757</v>
      </c>
      <c r="D1484" s="47" t="s">
        <v>131</v>
      </c>
      <c r="E1484" s="47" t="s">
        <v>341</v>
      </c>
      <c r="F1484" s="47">
        <v>2330.0</v>
      </c>
      <c r="G1484" s="47">
        <v>9.58</v>
      </c>
      <c r="H1484" s="47">
        <v>243.2</v>
      </c>
      <c r="I1484" s="47" t="s">
        <v>142</v>
      </c>
    </row>
    <row r="1485" ht="15.75" customHeight="1">
      <c r="A1485" s="47" t="s">
        <v>3209</v>
      </c>
      <c r="B1485" s="47" t="s">
        <v>3210</v>
      </c>
      <c r="C1485" s="47" t="s">
        <v>7757</v>
      </c>
      <c r="D1485" s="47" t="s">
        <v>188</v>
      </c>
      <c r="E1485" s="47" t="s">
        <v>491</v>
      </c>
      <c r="F1485" s="47">
        <v>1483.0</v>
      </c>
      <c r="G1485" s="47">
        <v>8.02</v>
      </c>
      <c r="H1485" s="47">
        <v>184.9</v>
      </c>
      <c r="I1485" s="47" t="s">
        <v>62</v>
      </c>
    </row>
    <row r="1486" ht="15.75" customHeight="1">
      <c r="A1486" s="47" t="s">
        <v>3211</v>
      </c>
      <c r="B1486" s="47" t="s">
        <v>3212</v>
      </c>
      <c r="C1486" s="47" t="s">
        <v>7757</v>
      </c>
      <c r="D1486" s="47" t="s">
        <v>170</v>
      </c>
      <c r="E1486" s="47" t="s">
        <v>452</v>
      </c>
      <c r="F1486" s="47">
        <v>599.0</v>
      </c>
      <c r="G1486" s="47">
        <v>4.28</v>
      </c>
      <c r="H1486" s="47">
        <v>140.0</v>
      </c>
      <c r="I1486" s="47" t="s">
        <v>62</v>
      </c>
    </row>
    <row r="1487" ht="15.75" customHeight="1">
      <c r="A1487" s="47" t="s">
        <v>3213</v>
      </c>
      <c r="B1487" s="47" t="s">
        <v>3214</v>
      </c>
      <c r="C1487" s="47" t="s">
        <v>7757</v>
      </c>
      <c r="D1487" s="47" t="s">
        <v>231</v>
      </c>
      <c r="E1487" s="47" t="s">
        <v>406</v>
      </c>
      <c r="F1487" s="47">
        <v>1628.0</v>
      </c>
      <c r="G1487" s="47">
        <v>6.81</v>
      </c>
      <c r="H1487" s="47">
        <v>239.1</v>
      </c>
      <c r="I1487" s="47" t="s">
        <v>62</v>
      </c>
    </row>
    <row r="1488" ht="15.75" customHeight="1">
      <c r="A1488" s="47" t="s">
        <v>3215</v>
      </c>
      <c r="B1488" s="47" t="s">
        <v>3216</v>
      </c>
      <c r="C1488" s="47" t="s">
        <v>7757</v>
      </c>
      <c r="D1488" s="47" t="s">
        <v>228</v>
      </c>
      <c r="E1488" s="47" t="s">
        <v>396</v>
      </c>
      <c r="F1488" s="47">
        <v>528.0</v>
      </c>
      <c r="G1488" s="47">
        <v>7.63</v>
      </c>
      <c r="H1488" s="47">
        <v>69.2</v>
      </c>
      <c r="I1488" s="47" t="s">
        <v>62</v>
      </c>
    </row>
    <row r="1489" ht="15.75" customHeight="1">
      <c r="A1489" s="47" t="s">
        <v>3217</v>
      </c>
      <c r="B1489" s="47" t="s">
        <v>3218</v>
      </c>
      <c r="C1489" s="47" t="s">
        <v>7757</v>
      </c>
      <c r="D1489" s="47" t="s">
        <v>195</v>
      </c>
      <c r="E1489" s="47" t="s">
        <v>509</v>
      </c>
      <c r="F1489" s="47">
        <v>324.0</v>
      </c>
      <c r="G1489" s="47">
        <v>7.6</v>
      </c>
      <c r="H1489" s="47">
        <v>42.6</v>
      </c>
      <c r="I1489" s="47" t="s">
        <v>75</v>
      </c>
    </row>
    <row r="1490" ht="15.75" customHeight="1">
      <c r="A1490" s="47" t="s">
        <v>3219</v>
      </c>
      <c r="B1490" s="47" t="s">
        <v>3220</v>
      </c>
      <c r="C1490" s="47" t="s">
        <v>7757</v>
      </c>
      <c r="D1490" s="47" t="s">
        <v>195</v>
      </c>
      <c r="E1490" s="47" t="s">
        <v>509</v>
      </c>
      <c r="F1490" s="47">
        <v>729.0</v>
      </c>
      <c r="G1490" s="47">
        <v>21.63</v>
      </c>
      <c r="H1490" s="47">
        <v>33.7</v>
      </c>
      <c r="I1490" s="47" t="s">
        <v>62</v>
      </c>
    </row>
    <row r="1491" ht="15.75" customHeight="1">
      <c r="A1491" s="47" t="s">
        <v>3221</v>
      </c>
      <c r="B1491" s="47" t="s">
        <v>3222</v>
      </c>
      <c r="C1491" s="47" t="s">
        <v>7757</v>
      </c>
      <c r="D1491" s="47" t="s">
        <v>196</v>
      </c>
      <c r="E1491" s="47" t="s">
        <v>514</v>
      </c>
      <c r="F1491" s="47">
        <v>286.0</v>
      </c>
      <c r="G1491" s="47">
        <v>7.25</v>
      </c>
      <c r="H1491" s="47">
        <v>39.4</v>
      </c>
      <c r="I1491" s="47" t="s">
        <v>75</v>
      </c>
    </row>
    <row r="1492" ht="15.75" customHeight="1">
      <c r="A1492" s="47" t="s">
        <v>3223</v>
      </c>
      <c r="B1492" s="47" t="s">
        <v>3224</v>
      </c>
      <c r="C1492" s="47" t="s">
        <v>7757</v>
      </c>
      <c r="D1492" s="47" t="s">
        <v>159</v>
      </c>
      <c r="E1492" s="47" t="s">
        <v>430</v>
      </c>
      <c r="F1492" s="47">
        <v>100.0</v>
      </c>
      <c r="G1492" s="47">
        <v>3.19</v>
      </c>
      <c r="H1492" s="47">
        <v>31.3</v>
      </c>
      <c r="I1492" s="47" t="s">
        <v>75</v>
      </c>
    </row>
    <row r="1493" ht="15.75" customHeight="1">
      <c r="A1493" s="47" t="s">
        <v>3225</v>
      </c>
      <c r="B1493" s="47" t="s">
        <v>3226</v>
      </c>
      <c r="C1493" s="47" t="s">
        <v>7757</v>
      </c>
      <c r="D1493" s="47" t="s">
        <v>175</v>
      </c>
      <c r="E1493" s="47" t="s">
        <v>463</v>
      </c>
      <c r="F1493" s="47">
        <v>388.0</v>
      </c>
      <c r="G1493" s="47">
        <v>3.83</v>
      </c>
      <c r="H1493" s="47">
        <v>101.3</v>
      </c>
      <c r="I1493" s="47" t="s">
        <v>75</v>
      </c>
    </row>
    <row r="1494" ht="15.75" customHeight="1">
      <c r="A1494" s="47" t="s">
        <v>3227</v>
      </c>
      <c r="B1494" s="47" t="s">
        <v>3228</v>
      </c>
      <c r="C1494" s="47" t="s">
        <v>7757</v>
      </c>
      <c r="D1494" s="47" t="s">
        <v>159</v>
      </c>
      <c r="E1494" s="47" t="s">
        <v>430</v>
      </c>
      <c r="F1494" s="47">
        <v>173.0</v>
      </c>
      <c r="G1494" s="47">
        <v>3.72</v>
      </c>
      <c r="H1494" s="47">
        <v>46.5</v>
      </c>
      <c r="I1494" s="47" t="s">
        <v>75</v>
      </c>
    </row>
    <row r="1495" ht="15.75" customHeight="1">
      <c r="A1495" s="47" t="s">
        <v>3229</v>
      </c>
      <c r="B1495" s="47" t="s">
        <v>3230</v>
      </c>
      <c r="C1495" s="47" t="s">
        <v>7757</v>
      </c>
      <c r="D1495" s="47" t="s">
        <v>200</v>
      </c>
      <c r="E1495" s="47" t="s">
        <v>494</v>
      </c>
      <c r="F1495" s="47">
        <v>104.0</v>
      </c>
      <c r="G1495" s="47">
        <v>3.9</v>
      </c>
      <c r="H1495" s="47">
        <v>26.7</v>
      </c>
      <c r="I1495" s="47" t="s">
        <v>75</v>
      </c>
    </row>
    <row r="1496" ht="15.75" customHeight="1">
      <c r="A1496" s="47" t="s">
        <v>3231</v>
      </c>
      <c r="B1496" s="47" t="s">
        <v>3232</v>
      </c>
      <c r="C1496" s="47" t="s">
        <v>7757</v>
      </c>
      <c r="D1496" s="47" t="s">
        <v>196</v>
      </c>
      <c r="E1496" s="47" t="s">
        <v>514</v>
      </c>
      <c r="F1496" s="47">
        <v>563.0</v>
      </c>
      <c r="G1496" s="47">
        <v>12.68</v>
      </c>
      <c r="H1496" s="47">
        <v>44.4</v>
      </c>
      <c r="I1496" s="47" t="s">
        <v>62</v>
      </c>
    </row>
    <row r="1497" ht="15.75" customHeight="1">
      <c r="A1497" s="47" t="s">
        <v>3233</v>
      </c>
      <c r="B1497" s="47" t="s">
        <v>3234</v>
      </c>
      <c r="C1497" s="47" t="s">
        <v>7757</v>
      </c>
      <c r="D1497" s="47" t="s">
        <v>176</v>
      </c>
      <c r="E1497" s="47" t="s">
        <v>470</v>
      </c>
      <c r="F1497" s="47">
        <v>339.0</v>
      </c>
      <c r="G1497" s="47">
        <v>9.65</v>
      </c>
      <c r="H1497" s="47">
        <v>35.1</v>
      </c>
      <c r="I1497" s="47" t="s">
        <v>75</v>
      </c>
    </row>
    <row r="1498" ht="15.75" customHeight="1">
      <c r="A1498" s="47" t="s">
        <v>3235</v>
      </c>
      <c r="B1498" s="47" t="s">
        <v>3236</v>
      </c>
      <c r="C1498" s="47" t="s">
        <v>7757</v>
      </c>
      <c r="D1498" s="47" t="s">
        <v>200</v>
      </c>
      <c r="E1498" s="47" t="s">
        <v>494</v>
      </c>
      <c r="F1498" s="47">
        <v>341.0</v>
      </c>
      <c r="G1498" s="47">
        <v>3.82</v>
      </c>
      <c r="H1498" s="47">
        <v>89.3</v>
      </c>
      <c r="I1498" s="47" t="s">
        <v>75</v>
      </c>
    </row>
    <row r="1499" ht="15.75" customHeight="1">
      <c r="A1499" s="47" t="s">
        <v>3237</v>
      </c>
      <c r="B1499" s="47" t="s">
        <v>3238</v>
      </c>
      <c r="C1499" s="47" t="s">
        <v>7757</v>
      </c>
      <c r="D1499" s="47" t="s">
        <v>175</v>
      </c>
      <c r="E1499" s="47" t="s">
        <v>463</v>
      </c>
      <c r="F1499" s="47">
        <v>63.0</v>
      </c>
      <c r="G1499" s="47">
        <v>5.15</v>
      </c>
      <c r="H1499" s="47">
        <v>12.2</v>
      </c>
      <c r="I1499" s="47" t="s">
        <v>75</v>
      </c>
    </row>
    <row r="1500" ht="15.75" customHeight="1">
      <c r="A1500" s="47" t="s">
        <v>3239</v>
      </c>
      <c r="B1500" s="47" t="s">
        <v>3240</v>
      </c>
      <c r="C1500" s="47" t="s">
        <v>7757</v>
      </c>
      <c r="D1500" s="47" t="s">
        <v>131</v>
      </c>
      <c r="E1500" s="47" t="s">
        <v>341</v>
      </c>
      <c r="F1500" s="47">
        <v>55550.0</v>
      </c>
      <c r="G1500" s="47">
        <v>32.94</v>
      </c>
      <c r="H1500" s="47">
        <v>1686.4</v>
      </c>
      <c r="I1500" s="47" t="s">
        <v>7463</v>
      </c>
    </row>
    <row r="1501" ht="15.75" customHeight="1">
      <c r="A1501" s="47" t="s">
        <v>3241</v>
      </c>
      <c r="B1501" s="47" t="s">
        <v>3242</v>
      </c>
      <c r="C1501" s="47" t="s">
        <v>7757</v>
      </c>
      <c r="D1501" s="47" t="s">
        <v>155</v>
      </c>
      <c r="E1501" s="47" t="s">
        <v>420</v>
      </c>
      <c r="F1501" s="47">
        <v>239.0</v>
      </c>
      <c r="G1501" s="47">
        <v>10.28</v>
      </c>
      <c r="H1501" s="47">
        <v>23.2</v>
      </c>
      <c r="I1501" s="47" t="s">
        <v>75</v>
      </c>
    </row>
    <row r="1502" ht="15.75" customHeight="1">
      <c r="A1502" s="47" t="s">
        <v>3243</v>
      </c>
      <c r="B1502" s="47" t="s">
        <v>3244</v>
      </c>
      <c r="C1502" s="47" t="s">
        <v>7757</v>
      </c>
      <c r="D1502" s="47" t="s">
        <v>200</v>
      </c>
      <c r="E1502" s="47" t="s">
        <v>494</v>
      </c>
      <c r="F1502" s="47">
        <v>192.0</v>
      </c>
      <c r="G1502" s="47">
        <v>5.29</v>
      </c>
      <c r="H1502" s="47">
        <v>36.3</v>
      </c>
      <c r="I1502" s="47" t="s">
        <v>75</v>
      </c>
    </row>
    <row r="1503" ht="15.75" customHeight="1">
      <c r="A1503" s="47" t="s">
        <v>3245</v>
      </c>
      <c r="B1503" s="47" t="s">
        <v>3246</v>
      </c>
      <c r="C1503" s="47" t="s">
        <v>7757</v>
      </c>
      <c r="D1503" s="47" t="s">
        <v>231</v>
      </c>
      <c r="E1503" s="47" t="s">
        <v>406</v>
      </c>
      <c r="F1503" s="47">
        <v>730.0</v>
      </c>
      <c r="G1503" s="47">
        <v>7.82</v>
      </c>
      <c r="H1503" s="47">
        <v>93.4</v>
      </c>
      <c r="I1503" s="47" t="s">
        <v>62</v>
      </c>
    </row>
    <row r="1504" ht="15.75" customHeight="1">
      <c r="A1504" s="47" t="s">
        <v>3247</v>
      </c>
      <c r="B1504" s="47" t="s">
        <v>3248</v>
      </c>
      <c r="C1504" s="47" t="s">
        <v>7757</v>
      </c>
      <c r="D1504" s="47" t="s">
        <v>196</v>
      </c>
      <c r="E1504" s="47" t="s">
        <v>514</v>
      </c>
      <c r="F1504" s="47">
        <v>68.0</v>
      </c>
      <c r="G1504" s="47">
        <v>3.01</v>
      </c>
      <c r="H1504" s="47">
        <v>22.6</v>
      </c>
      <c r="I1504" s="47" t="s">
        <v>75</v>
      </c>
    </row>
    <row r="1505" ht="15.75" customHeight="1">
      <c r="A1505" s="47" t="s">
        <v>3249</v>
      </c>
      <c r="B1505" s="47" t="s">
        <v>317</v>
      </c>
      <c r="C1505" s="47" t="s">
        <v>7757</v>
      </c>
      <c r="D1505" s="47" t="s">
        <v>200</v>
      </c>
      <c r="E1505" s="47" t="s">
        <v>494</v>
      </c>
      <c r="F1505" s="47">
        <v>310.0</v>
      </c>
      <c r="G1505" s="47">
        <v>7.13</v>
      </c>
      <c r="H1505" s="47">
        <v>43.5</v>
      </c>
      <c r="I1505" s="47" t="s">
        <v>75</v>
      </c>
    </row>
    <row r="1506" ht="15.75" customHeight="1">
      <c r="A1506" s="47" t="s">
        <v>3250</v>
      </c>
      <c r="B1506" s="47" t="s">
        <v>3251</v>
      </c>
      <c r="C1506" s="47" t="s">
        <v>7757</v>
      </c>
      <c r="D1506" s="47" t="s">
        <v>131</v>
      </c>
      <c r="E1506" s="47" t="s">
        <v>341</v>
      </c>
      <c r="F1506" s="47">
        <v>813.0</v>
      </c>
      <c r="G1506" s="47">
        <v>15.18</v>
      </c>
      <c r="H1506" s="47">
        <v>53.6</v>
      </c>
      <c r="I1506" s="47" t="s">
        <v>62</v>
      </c>
    </row>
    <row r="1507" ht="15.75" customHeight="1">
      <c r="A1507" s="47" t="s">
        <v>3252</v>
      </c>
      <c r="B1507" s="47" t="s">
        <v>3253</v>
      </c>
      <c r="C1507" s="47" t="s">
        <v>7757</v>
      </c>
      <c r="D1507" s="47" t="s">
        <v>173</v>
      </c>
      <c r="E1507" s="47" t="s">
        <v>460</v>
      </c>
      <c r="F1507" s="47">
        <v>912.0</v>
      </c>
      <c r="G1507" s="47">
        <v>10.52</v>
      </c>
      <c r="H1507" s="47">
        <v>86.7</v>
      </c>
      <c r="I1507" s="47" t="s">
        <v>62</v>
      </c>
    </row>
    <row r="1508" ht="15.75" customHeight="1">
      <c r="A1508" s="47" t="s">
        <v>3254</v>
      </c>
      <c r="B1508" s="47" t="s">
        <v>3255</v>
      </c>
      <c r="C1508" s="47" t="s">
        <v>7757</v>
      </c>
      <c r="D1508" s="47" t="s">
        <v>231</v>
      </c>
      <c r="E1508" s="47" t="s">
        <v>406</v>
      </c>
      <c r="F1508" s="47">
        <v>1564.0</v>
      </c>
      <c r="G1508" s="47">
        <v>7.04</v>
      </c>
      <c r="H1508" s="47">
        <v>222.2</v>
      </c>
      <c r="I1508" s="47" t="s">
        <v>62</v>
      </c>
    </row>
    <row r="1509" ht="15.75" customHeight="1">
      <c r="A1509" s="47" t="s">
        <v>3256</v>
      </c>
      <c r="B1509" s="47" t="s">
        <v>3257</v>
      </c>
      <c r="C1509" s="47" t="s">
        <v>7757</v>
      </c>
      <c r="D1509" s="47" t="s">
        <v>195</v>
      </c>
      <c r="E1509" s="47" t="s">
        <v>509</v>
      </c>
      <c r="F1509" s="47">
        <v>214.0</v>
      </c>
      <c r="G1509" s="47">
        <v>4.13</v>
      </c>
      <c r="H1509" s="47">
        <v>51.8</v>
      </c>
      <c r="I1509" s="47" t="s">
        <v>75</v>
      </c>
    </row>
    <row r="1510" ht="15.75" customHeight="1">
      <c r="A1510" s="47" t="s">
        <v>3258</v>
      </c>
      <c r="B1510" s="47" t="s">
        <v>3259</v>
      </c>
      <c r="C1510" s="47" t="s">
        <v>7757</v>
      </c>
      <c r="D1510" s="47" t="s">
        <v>124</v>
      </c>
      <c r="E1510" s="47" t="s">
        <v>333</v>
      </c>
      <c r="F1510" s="47">
        <v>996.0</v>
      </c>
      <c r="G1510" s="47">
        <v>9.82</v>
      </c>
      <c r="H1510" s="47">
        <v>101.4</v>
      </c>
      <c r="I1510" s="47" t="s">
        <v>62</v>
      </c>
    </row>
    <row r="1511" ht="15.75" customHeight="1">
      <c r="A1511" s="47" t="s">
        <v>3260</v>
      </c>
      <c r="B1511" s="47" t="s">
        <v>3261</v>
      </c>
      <c r="C1511" s="47" t="s">
        <v>7757</v>
      </c>
      <c r="D1511" s="47" t="s">
        <v>124</v>
      </c>
      <c r="E1511" s="47" t="s">
        <v>333</v>
      </c>
      <c r="F1511" s="47">
        <v>3111.0</v>
      </c>
      <c r="G1511" s="47">
        <v>6.51</v>
      </c>
      <c r="H1511" s="47">
        <v>477.9</v>
      </c>
      <c r="I1511" s="47" t="s">
        <v>142</v>
      </c>
    </row>
    <row r="1512" ht="15.75" customHeight="1">
      <c r="A1512" s="47" t="s">
        <v>3262</v>
      </c>
      <c r="B1512" s="47" t="s">
        <v>3263</v>
      </c>
      <c r="C1512" s="47" t="s">
        <v>7757</v>
      </c>
      <c r="D1512" s="47" t="s">
        <v>195</v>
      </c>
      <c r="E1512" s="47" t="s">
        <v>509</v>
      </c>
      <c r="F1512" s="47">
        <v>1100.0</v>
      </c>
      <c r="G1512" s="47">
        <v>15.54</v>
      </c>
      <c r="H1512" s="47">
        <v>70.8</v>
      </c>
      <c r="I1512" s="47" t="s">
        <v>62</v>
      </c>
    </row>
    <row r="1513" ht="15.75" customHeight="1">
      <c r="A1513" s="47" t="s">
        <v>3264</v>
      </c>
      <c r="B1513" s="47" t="s">
        <v>3265</v>
      </c>
      <c r="C1513" s="47" t="s">
        <v>7757</v>
      </c>
      <c r="D1513" s="47" t="s">
        <v>124</v>
      </c>
      <c r="E1513" s="47" t="s">
        <v>333</v>
      </c>
      <c r="F1513" s="47">
        <v>495.0</v>
      </c>
      <c r="G1513" s="47">
        <v>3.54</v>
      </c>
      <c r="H1513" s="47">
        <v>139.8</v>
      </c>
      <c r="I1513" s="47" t="s">
        <v>75</v>
      </c>
    </row>
    <row r="1514" ht="15.75" customHeight="1">
      <c r="A1514" s="47" t="s">
        <v>3266</v>
      </c>
      <c r="B1514" s="47" t="s">
        <v>3267</v>
      </c>
      <c r="C1514" s="47" t="s">
        <v>7757</v>
      </c>
      <c r="D1514" s="47" t="s">
        <v>196</v>
      </c>
      <c r="E1514" s="47" t="s">
        <v>514</v>
      </c>
      <c r="F1514" s="47">
        <v>160.0</v>
      </c>
      <c r="G1514" s="47">
        <v>3.96</v>
      </c>
      <c r="H1514" s="47">
        <v>40.4</v>
      </c>
      <c r="I1514" s="47" t="s">
        <v>75</v>
      </c>
    </row>
    <row r="1515" ht="15.75" customHeight="1">
      <c r="A1515" s="47" t="s">
        <v>3268</v>
      </c>
      <c r="B1515" s="47" t="s">
        <v>3269</v>
      </c>
      <c r="C1515" s="47" t="s">
        <v>7757</v>
      </c>
      <c r="D1515" s="47" t="s">
        <v>173</v>
      </c>
      <c r="E1515" s="47" t="s">
        <v>460</v>
      </c>
      <c r="F1515" s="47">
        <v>308.0</v>
      </c>
      <c r="G1515" s="47">
        <v>6.6</v>
      </c>
      <c r="H1515" s="47">
        <v>46.7</v>
      </c>
      <c r="I1515" s="47" t="s">
        <v>75</v>
      </c>
    </row>
    <row r="1516" ht="15.75" customHeight="1">
      <c r="A1516" s="47" t="s">
        <v>3270</v>
      </c>
      <c r="B1516" s="47" t="s">
        <v>3271</v>
      </c>
      <c r="C1516" s="47" t="s">
        <v>7757</v>
      </c>
      <c r="D1516" s="47" t="s">
        <v>190</v>
      </c>
      <c r="E1516" s="47" t="s">
        <v>501</v>
      </c>
      <c r="F1516" s="47">
        <v>592.0</v>
      </c>
      <c r="G1516" s="47">
        <v>11.51</v>
      </c>
      <c r="H1516" s="47">
        <v>51.4</v>
      </c>
      <c r="I1516" s="47" t="s">
        <v>62</v>
      </c>
    </row>
    <row r="1517" ht="15.75" customHeight="1">
      <c r="A1517" s="47" t="s">
        <v>3272</v>
      </c>
      <c r="B1517" s="47" t="s">
        <v>3273</v>
      </c>
      <c r="C1517" s="47" t="s">
        <v>7757</v>
      </c>
      <c r="D1517" s="47" t="s">
        <v>231</v>
      </c>
      <c r="E1517" s="47" t="s">
        <v>406</v>
      </c>
      <c r="F1517" s="47">
        <v>1189.0</v>
      </c>
      <c r="G1517" s="47">
        <v>8.27</v>
      </c>
      <c r="H1517" s="47">
        <v>143.8</v>
      </c>
      <c r="I1517" s="47" t="s">
        <v>62</v>
      </c>
    </row>
    <row r="1518" ht="15.75" customHeight="1">
      <c r="A1518" s="47" t="s">
        <v>3274</v>
      </c>
      <c r="B1518" s="47" t="s">
        <v>3275</v>
      </c>
      <c r="C1518" s="47" t="s">
        <v>7757</v>
      </c>
      <c r="D1518" s="47" t="s">
        <v>155</v>
      </c>
      <c r="E1518" s="47" t="s">
        <v>420</v>
      </c>
      <c r="F1518" s="47">
        <v>143.0</v>
      </c>
      <c r="G1518" s="47">
        <v>5.17</v>
      </c>
      <c r="H1518" s="47">
        <v>27.7</v>
      </c>
      <c r="I1518" s="47" t="s">
        <v>75</v>
      </c>
    </row>
    <row r="1519" ht="15.75" customHeight="1">
      <c r="A1519" s="47" t="s">
        <v>3276</v>
      </c>
      <c r="B1519" s="47" t="s">
        <v>3277</v>
      </c>
      <c r="C1519" s="47" t="s">
        <v>7757</v>
      </c>
      <c r="D1519" s="47" t="s">
        <v>159</v>
      </c>
      <c r="E1519" s="47" t="s">
        <v>430</v>
      </c>
      <c r="F1519" s="47">
        <v>498.0</v>
      </c>
      <c r="G1519" s="47">
        <v>10.04</v>
      </c>
      <c r="H1519" s="47">
        <v>49.6</v>
      </c>
      <c r="I1519" s="47" t="s">
        <v>75</v>
      </c>
    </row>
    <row r="1520" ht="15.75" customHeight="1">
      <c r="A1520" s="47" t="s">
        <v>3278</v>
      </c>
      <c r="B1520" s="47" t="s">
        <v>3279</v>
      </c>
      <c r="C1520" s="47" t="s">
        <v>7757</v>
      </c>
      <c r="D1520" s="47" t="s">
        <v>159</v>
      </c>
      <c r="E1520" s="47" t="s">
        <v>430</v>
      </c>
      <c r="F1520" s="47">
        <v>356.0</v>
      </c>
      <c r="G1520" s="47">
        <v>14.62</v>
      </c>
      <c r="H1520" s="47">
        <v>24.4</v>
      </c>
      <c r="I1520" s="47" t="s">
        <v>75</v>
      </c>
    </row>
    <row r="1521" ht="15.75" customHeight="1">
      <c r="A1521" s="47" t="s">
        <v>3280</v>
      </c>
      <c r="B1521" s="47" t="s">
        <v>3281</v>
      </c>
      <c r="C1521" s="47" t="s">
        <v>7757</v>
      </c>
      <c r="D1521" s="47" t="s">
        <v>160</v>
      </c>
      <c r="E1521" s="47" t="s">
        <v>435</v>
      </c>
      <c r="F1521" s="47">
        <v>125.0</v>
      </c>
      <c r="G1521" s="47">
        <v>2.83</v>
      </c>
      <c r="H1521" s="47">
        <v>44.2</v>
      </c>
      <c r="I1521" s="47" t="s">
        <v>75</v>
      </c>
    </row>
    <row r="1522" ht="15.75" customHeight="1">
      <c r="A1522" s="47" t="s">
        <v>3282</v>
      </c>
      <c r="B1522" s="47" t="s">
        <v>3283</v>
      </c>
      <c r="C1522" s="47" t="s">
        <v>7757</v>
      </c>
      <c r="D1522" s="47" t="s">
        <v>195</v>
      </c>
      <c r="E1522" s="47" t="s">
        <v>509</v>
      </c>
      <c r="F1522" s="47">
        <v>942.0</v>
      </c>
      <c r="G1522" s="47">
        <v>16.0</v>
      </c>
      <c r="H1522" s="47">
        <v>58.9</v>
      </c>
      <c r="I1522" s="47" t="s">
        <v>62</v>
      </c>
    </row>
    <row r="1523" ht="15.75" customHeight="1">
      <c r="A1523" s="47" t="s">
        <v>3284</v>
      </c>
      <c r="B1523" s="47" t="s">
        <v>3285</v>
      </c>
      <c r="C1523" s="47" t="s">
        <v>7757</v>
      </c>
      <c r="D1523" s="47" t="s">
        <v>131</v>
      </c>
      <c r="E1523" s="47" t="s">
        <v>341</v>
      </c>
      <c r="F1523" s="47">
        <v>467.0</v>
      </c>
      <c r="G1523" s="47">
        <v>4.48</v>
      </c>
      <c r="H1523" s="47">
        <v>104.2</v>
      </c>
      <c r="I1523" s="47" t="s">
        <v>75</v>
      </c>
    </row>
    <row r="1524" ht="15.75" customHeight="1">
      <c r="A1524" s="47" t="s">
        <v>3286</v>
      </c>
      <c r="B1524" s="47" t="s">
        <v>3287</v>
      </c>
      <c r="C1524" s="47" t="s">
        <v>7757</v>
      </c>
      <c r="D1524" s="47" t="s">
        <v>155</v>
      </c>
      <c r="E1524" s="47" t="s">
        <v>420</v>
      </c>
      <c r="F1524" s="47">
        <v>787.0</v>
      </c>
      <c r="G1524" s="47">
        <v>18.37</v>
      </c>
      <c r="H1524" s="47">
        <v>42.8</v>
      </c>
      <c r="I1524" s="47" t="s">
        <v>62</v>
      </c>
    </row>
    <row r="1525" ht="15.75" customHeight="1">
      <c r="A1525" s="47" t="s">
        <v>3288</v>
      </c>
      <c r="B1525" s="47" t="s">
        <v>3289</v>
      </c>
      <c r="C1525" s="47" t="s">
        <v>7757</v>
      </c>
      <c r="D1525" s="47" t="s">
        <v>195</v>
      </c>
      <c r="E1525" s="47" t="s">
        <v>509</v>
      </c>
      <c r="F1525" s="47">
        <v>986.0</v>
      </c>
      <c r="G1525" s="47">
        <v>12.94</v>
      </c>
      <c r="H1525" s="47">
        <v>76.2</v>
      </c>
      <c r="I1525" s="47" t="s">
        <v>62</v>
      </c>
    </row>
    <row r="1526" ht="15.75" customHeight="1">
      <c r="A1526" s="47" t="s">
        <v>3290</v>
      </c>
      <c r="B1526" s="47" t="s">
        <v>3291</v>
      </c>
      <c r="C1526" s="47" t="s">
        <v>7757</v>
      </c>
      <c r="D1526" s="47" t="s">
        <v>159</v>
      </c>
      <c r="E1526" s="47" t="s">
        <v>430</v>
      </c>
      <c r="F1526" s="47">
        <v>201.0</v>
      </c>
      <c r="G1526" s="47">
        <v>8.47</v>
      </c>
      <c r="H1526" s="47">
        <v>23.7</v>
      </c>
      <c r="I1526" s="47" t="s">
        <v>75</v>
      </c>
    </row>
    <row r="1527" ht="15.75" customHeight="1">
      <c r="A1527" s="47" t="s">
        <v>3292</v>
      </c>
      <c r="B1527" s="47" t="s">
        <v>3293</v>
      </c>
      <c r="C1527" s="47" t="s">
        <v>7757</v>
      </c>
      <c r="D1527" s="47" t="s">
        <v>155</v>
      </c>
      <c r="E1527" s="47" t="s">
        <v>420</v>
      </c>
      <c r="F1527" s="47">
        <v>189.0</v>
      </c>
      <c r="G1527" s="47">
        <v>5.88</v>
      </c>
      <c r="H1527" s="47">
        <v>32.1</v>
      </c>
      <c r="I1527" s="47" t="s">
        <v>75</v>
      </c>
    </row>
    <row r="1528" ht="15.75" customHeight="1">
      <c r="A1528" s="47" t="s">
        <v>3294</v>
      </c>
      <c r="B1528" s="47" t="s">
        <v>3295</v>
      </c>
      <c r="C1528" s="47" t="s">
        <v>7757</v>
      </c>
      <c r="D1528" s="47" t="s">
        <v>231</v>
      </c>
      <c r="E1528" s="47" t="s">
        <v>406</v>
      </c>
      <c r="F1528" s="47">
        <v>2135.0</v>
      </c>
      <c r="G1528" s="47">
        <v>11.56</v>
      </c>
      <c r="H1528" s="47">
        <v>184.7</v>
      </c>
      <c r="I1528" s="47" t="s">
        <v>142</v>
      </c>
    </row>
    <row r="1529" ht="15.75" customHeight="1">
      <c r="A1529" s="47" t="s">
        <v>3296</v>
      </c>
      <c r="B1529" s="47" t="s">
        <v>3297</v>
      </c>
      <c r="C1529" s="47" t="s">
        <v>7757</v>
      </c>
      <c r="D1529" s="47" t="s">
        <v>228</v>
      </c>
      <c r="E1529" s="47" t="s">
        <v>396</v>
      </c>
      <c r="F1529" s="47">
        <v>367.0</v>
      </c>
      <c r="G1529" s="47">
        <v>12.85</v>
      </c>
      <c r="H1529" s="47">
        <v>28.6</v>
      </c>
      <c r="I1529" s="47" t="s">
        <v>75</v>
      </c>
    </row>
    <row r="1530" ht="15.75" customHeight="1">
      <c r="A1530" s="47" t="s">
        <v>3298</v>
      </c>
      <c r="B1530" s="47" t="s">
        <v>3299</v>
      </c>
      <c r="C1530" s="47" t="s">
        <v>7757</v>
      </c>
      <c r="D1530" s="47" t="s">
        <v>176</v>
      </c>
      <c r="E1530" s="47" t="s">
        <v>470</v>
      </c>
      <c r="F1530" s="47">
        <v>4832.0</v>
      </c>
      <c r="G1530" s="47">
        <v>23.78</v>
      </c>
      <c r="H1530" s="47">
        <v>203.2</v>
      </c>
      <c r="I1530" s="47" t="s">
        <v>142</v>
      </c>
    </row>
    <row r="1531" ht="15.75" customHeight="1">
      <c r="A1531" s="47" t="s">
        <v>3300</v>
      </c>
      <c r="B1531" s="47" t="s">
        <v>3301</v>
      </c>
      <c r="C1531" s="47" t="s">
        <v>7757</v>
      </c>
      <c r="D1531" s="47" t="s">
        <v>211</v>
      </c>
      <c r="E1531" s="47" t="s">
        <v>544</v>
      </c>
      <c r="F1531" s="47">
        <v>382.0</v>
      </c>
      <c r="G1531" s="47">
        <v>10.36</v>
      </c>
      <c r="H1531" s="47">
        <v>36.9</v>
      </c>
      <c r="I1531" s="47" t="s">
        <v>75</v>
      </c>
    </row>
    <row r="1532" ht="15.75" customHeight="1">
      <c r="A1532" s="47" t="s">
        <v>3302</v>
      </c>
      <c r="B1532" s="47" t="s">
        <v>3303</v>
      </c>
      <c r="C1532" s="47" t="s">
        <v>7757</v>
      </c>
      <c r="D1532" s="47" t="s">
        <v>211</v>
      </c>
      <c r="E1532" s="47" t="s">
        <v>544</v>
      </c>
      <c r="F1532" s="47">
        <v>423.0</v>
      </c>
      <c r="G1532" s="47">
        <v>4.8</v>
      </c>
      <c r="H1532" s="47">
        <v>88.1</v>
      </c>
      <c r="I1532" s="47" t="s">
        <v>75</v>
      </c>
    </row>
    <row r="1533" ht="15.75" customHeight="1">
      <c r="A1533" s="47" t="s">
        <v>3304</v>
      </c>
      <c r="B1533" s="47" t="s">
        <v>3305</v>
      </c>
      <c r="C1533" s="47" t="s">
        <v>7757</v>
      </c>
      <c r="D1533" s="47" t="s">
        <v>195</v>
      </c>
      <c r="E1533" s="47" t="s">
        <v>509</v>
      </c>
      <c r="F1533" s="47">
        <v>429.0</v>
      </c>
      <c r="G1533" s="47">
        <v>13.59</v>
      </c>
      <c r="H1533" s="47">
        <v>31.6</v>
      </c>
      <c r="I1533" s="47" t="s">
        <v>75</v>
      </c>
    </row>
    <row r="1534" ht="15.75" customHeight="1">
      <c r="A1534" s="47" t="s">
        <v>3306</v>
      </c>
      <c r="B1534" s="47" t="s">
        <v>3307</v>
      </c>
      <c r="C1534" s="47" t="s">
        <v>7757</v>
      </c>
      <c r="D1534" s="47" t="s">
        <v>195</v>
      </c>
      <c r="E1534" s="47" t="s">
        <v>509</v>
      </c>
      <c r="F1534" s="47">
        <v>194.0</v>
      </c>
      <c r="G1534" s="47">
        <v>7.56</v>
      </c>
      <c r="H1534" s="47">
        <v>25.7</v>
      </c>
      <c r="I1534" s="47" t="s">
        <v>75</v>
      </c>
    </row>
    <row r="1535" ht="15.75" customHeight="1">
      <c r="A1535" s="47" t="s">
        <v>3308</v>
      </c>
      <c r="B1535" s="47" t="s">
        <v>3309</v>
      </c>
      <c r="C1535" s="47" t="s">
        <v>7757</v>
      </c>
      <c r="D1535" s="47" t="s">
        <v>196</v>
      </c>
      <c r="E1535" s="47" t="s">
        <v>514</v>
      </c>
      <c r="F1535" s="47">
        <v>472.0</v>
      </c>
      <c r="G1535" s="47">
        <v>9.45</v>
      </c>
      <c r="H1535" s="47">
        <v>49.9</v>
      </c>
      <c r="I1535" s="47" t="s">
        <v>75</v>
      </c>
    </row>
    <row r="1536" ht="15.75" customHeight="1">
      <c r="A1536" s="47" t="s">
        <v>3310</v>
      </c>
      <c r="B1536" s="47" t="s">
        <v>3311</v>
      </c>
      <c r="C1536" s="47" t="s">
        <v>7757</v>
      </c>
      <c r="D1536" s="47" t="s">
        <v>195</v>
      </c>
      <c r="E1536" s="47" t="s">
        <v>509</v>
      </c>
      <c r="F1536" s="47">
        <v>303.0</v>
      </c>
      <c r="G1536" s="47">
        <v>3.5</v>
      </c>
      <c r="H1536" s="47">
        <v>86.6</v>
      </c>
      <c r="I1536" s="47" t="s">
        <v>75</v>
      </c>
    </row>
    <row r="1537" ht="15.75" customHeight="1">
      <c r="A1537" s="47" t="s">
        <v>3312</v>
      </c>
      <c r="B1537" s="47" t="s">
        <v>3313</v>
      </c>
      <c r="C1537" s="47" t="s">
        <v>7757</v>
      </c>
      <c r="D1537" s="47" t="s">
        <v>211</v>
      </c>
      <c r="E1537" s="47" t="s">
        <v>544</v>
      </c>
      <c r="F1537" s="47">
        <v>343.0</v>
      </c>
      <c r="G1537" s="47">
        <v>11.16</v>
      </c>
      <c r="H1537" s="47">
        <v>30.7</v>
      </c>
      <c r="I1537" s="47" t="s">
        <v>75</v>
      </c>
    </row>
    <row r="1538" ht="15.75" customHeight="1">
      <c r="A1538" s="47" t="s">
        <v>3314</v>
      </c>
      <c r="B1538" s="47" t="s">
        <v>3315</v>
      </c>
      <c r="C1538" s="47" t="s">
        <v>7757</v>
      </c>
      <c r="D1538" s="47" t="s">
        <v>211</v>
      </c>
      <c r="E1538" s="47" t="s">
        <v>544</v>
      </c>
      <c r="F1538" s="47">
        <v>213.0</v>
      </c>
      <c r="G1538" s="47">
        <v>7.57</v>
      </c>
      <c r="H1538" s="47">
        <v>28.1</v>
      </c>
      <c r="I1538" s="47" t="s">
        <v>75</v>
      </c>
    </row>
    <row r="1539" ht="15.75" customHeight="1">
      <c r="A1539" s="47" t="s">
        <v>3316</v>
      </c>
      <c r="B1539" s="47" t="s">
        <v>3317</v>
      </c>
      <c r="C1539" s="47" t="s">
        <v>7757</v>
      </c>
      <c r="D1539" s="47" t="s">
        <v>159</v>
      </c>
      <c r="E1539" s="47" t="s">
        <v>430</v>
      </c>
      <c r="F1539" s="47">
        <v>170.0</v>
      </c>
      <c r="G1539" s="47">
        <v>2.81</v>
      </c>
      <c r="H1539" s="47">
        <v>60.5</v>
      </c>
      <c r="I1539" s="47" t="s">
        <v>75</v>
      </c>
    </row>
    <row r="1540" ht="15.75" customHeight="1">
      <c r="A1540" s="47" t="s">
        <v>3318</v>
      </c>
      <c r="B1540" s="47" t="s">
        <v>3319</v>
      </c>
      <c r="C1540" s="47" t="s">
        <v>7757</v>
      </c>
      <c r="D1540" s="47" t="s">
        <v>196</v>
      </c>
      <c r="E1540" s="47" t="s">
        <v>514</v>
      </c>
      <c r="F1540" s="47">
        <v>174.0</v>
      </c>
      <c r="G1540" s="47">
        <v>2.63</v>
      </c>
      <c r="H1540" s="47">
        <v>66.2</v>
      </c>
      <c r="I1540" s="47" t="s">
        <v>75</v>
      </c>
    </row>
    <row r="1541" ht="15.75" customHeight="1">
      <c r="A1541" s="47" t="s">
        <v>3320</v>
      </c>
      <c r="B1541" s="47" t="s">
        <v>3321</v>
      </c>
      <c r="C1541" s="47" t="s">
        <v>7757</v>
      </c>
      <c r="D1541" s="47" t="s">
        <v>228</v>
      </c>
      <c r="E1541" s="47" t="s">
        <v>396</v>
      </c>
      <c r="F1541" s="47">
        <v>110.0</v>
      </c>
      <c r="G1541" s="47">
        <v>8.32</v>
      </c>
      <c r="H1541" s="47">
        <v>13.2</v>
      </c>
      <c r="I1541" s="47" t="s">
        <v>75</v>
      </c>
    </row>
    <row r="1542" ht="15.75" customHeight="1">
      <c r="A1542" s="47" t="s">
        <v>3322</v>
      </c>
      <c r="B1542" s="47" t="s">
        <v>3323</v>
      </c>
      <c r="C1542" s="47" t="s">
        <v>7757</v>
      </c>
      <c r="D1542" s="47" t="s">
        <v>195</v>
      </c>
      <c r="E1542" s="47" t="s">
        <v>509</v>
      </c>
      <c r="F1542" s="47">
        <v>627.0</v>
      </c>
      <c r="G1542" s="47">
        <v>13.17</v>
      </c>
      <c r="H1542" s="47">
        <v>47.6</v>
      </c>
      <c r="I1542" s="47" t="s">
        <v>62</v>
      </c>
    </row>
    <row r="1543" ht="15.75" customHeight="1">
      <c r="A1543" s="47" t="s">
        <v>3324</v>
      </c>
      <c r="B1543" s="47" t="s">
        <v>3325</v>
      </c>
      <c r="C1543" s="47" t="s">
        <v>7757</v>
      </c>
      <c r="D1543" s="47" t="s">
        <v>175</v>
      </c>
      <c r="E1543" s="47" t="s">
        <v>463</v>
      </c>
      <c r="F1543" s="47">
        <v>2105.0</v>
      </c>
      <c r="G1543" s="47">
        <v>4.31</v>
      </c>
      <c r="H1543" s="47">
        <v>488.4</v>
      </c>
      <c r="I1543" s="47" t="s">
        <v>142</v>
      </c>
    </row>
    <row r="1544" ht="15.75" customHeight="1">
      <c r="A1544" s="47" t="s">
        <v>3326</v>
      </c>
      <c r="B1544" s="47" t="s">
        <v>3327</v>
      </c>
      <c r="C1544" s="47" t="s">
        <v>7757</v>
      </c>
      <c r="D1544" s="47" t="s">
        <v>131</v>
      </c>
      <c r="E1544" s="47" t="s">
        <v>341</v>
      </c>
      <c r="F1544" s="47">
        <v>4029.0</v>
      </c>
      <c r="G1544" s="47">
        <v>21.13</v>
      </c>
      <c r="H1544" s="47">
        <v>190.7</v>
      </c>
      <c r="I1544" s="47" t="s">
        <v>142</v>
      </c>
    </row>
    <row r="1545" ht="15.75" customHeight="1">
      <c r="A1545" s="47" t="s">
        <v>3328</v>
      </c>
      <c r="B1545" s="47" t="s">
        <v>3329</v>
      </c>
      <c r="C1545" s="47" t="s">
        <v>7757</v>
      </c>
      <c r="D1545" s="47" t="s">
        <v>155</v>
      </c>
      <c r="E1545" s="47" t="s">
        <v>420</v>
      </c>
      <c r="F1545" s="47">
        <v>4222.0</v>
      </c>
      <c r="G1545" s="47">
        <v>17.25</v>
      </c>
      <c r="H1545" s="47">
        <v>244.8</v>
      </c>
      <c r="I1545" s="47" t="s">
        <v>142</v>
      </c>
    </row>
    <row r="1546" ht="15.75" customHeight="1">
      <c r="A1546" s="47" t="s">
        <v>3330</v>
      </c>
      <c r="B1546" s="47" t="s">
        <v>3331</v>
      </c>
      <c r="C1546" s="47" t="s">
        <v>7757</v>
      </c>
      <c r="D1546" s="47" t="s">
        <v>200</v>
      </c>
      <c r="E1546" s="47" t="s">
        <v>494</v>
      </c>
      <c r="F1546" s="47">
        <v>435.0</v>
      </c>
      <c r="G1546" s="47">
        <v>5.18</v>
      </c>
      <c r="H1546" s="47">
        <v>84.0</v>
      </c>
      <c r="I1546" s="47" t="s">
        <v>75</v>
      </c>
    </row>
    <row r="1547" ht="15.75" customHeight="1">
      <c r="A1547" s="47" t="s">
        <v>3332</v>
      </c>
      <c r="B1547" s="47" t="s">
        <v>3333</v>
      </c>
      <c r="C1547" s="47" t="s">
        <v>7757</v>
      </c>
      <c r="D1547" s="47" t="s">
        <v>183</v>
      </c>
      <c r="E1547" s="47" t="s">
        <v>482</v>
      </c>
      <c r="F1547" s="47">
        <v>2467.0</v>
      </c>
      <c r="G1547" s="47">
        <v>8.97</v>
      </c>
      <c r="H1547" s="47">
        <v>275.0</v>
      </c>
      <c r="I1547" s="47" t="s">
        <v>142</v>
      </c>
    </row>
    <row r="1548" ht="15.75" customHeight="1">
      <c r="A1548" s="47" t="s">
        <v>3334</v>
      </c>
      <c r="B1548" s="47" t="s">
        <v>3335</v>
      </c>
      <c r="C1548" s="47" t="s">
        <v>7757</v>
      </c>
      <c r="D1548" s="47" t="s">
        <v>183</v>
      </c>
      <c r="E1548" s="47" t="s">
        <v>482</v>
      </c>
      <c r="F1548" s="47">
        <v>3183.0</v>
      </c>
      <c r="G1548" s="47">
        <v>7.36</v>
      </c>
      <c r="H1548" s="47">
        <v>432.5</v>
      </c>
      <c r="I1548" s="47" t="s">
        <v>142</v>
      </c>
    </row>
    <row r="1549" ht="15.75" customHeight="1">
      <c r="A1549" s="47" t="s">
        <v>3336</v>
      </c>
      <c r="B1549" s="47" t="s">
        <v>3337</v>
      </c>
      <c r="C1549" s="47" t="s">
        <v>7757</v>
      </c>
      <c r="D1549" s="47" t="s">
        <v>159</v>
      </c>
      <c r="E1549" s="47" t="s">
        <v>430</v>
      </c>
      <c r="F1549" s="47">
        <v>302.0</v>
      </c>
      <c r="G1549" s="47">
        <v>6.47</v>
      </c>
      <c r="H1549" s="47">
        <v>46.7</v>
      </c>
      <c r="I1549" s="47" t="s">
        <v>75</v>
      </c>
    </row>
    <row r="1550" ht="15.75" customHeight="1">
      <c r="A1550" s="47" t="s">
        <v>3338</v>
      </c>
      <c r="B1550" s="47" t="s">
        <v>3339</v>
      </c>
      <c r="C1550" s="47" t="s">
        <v>7757</v>
      </c>
      <c r="D1550" s="47" t="s">
        <v>159</v>
      </c>
      <c r="E1550" s="47" t="s">
        <v>430</v>
      </c>
      <c r="F1550" s="47">
        <v>244.0</v>
      </c>
      <c r="G1550" s="47">
        <v>6.86</v>
      </c>
      <c r="H1550" s="47">
        <v>35.6</v>
      </c>
      <c r="I1550" s="47" t="s">
        <v>75</v>
      </c>
    </row>
    <row r="1551" ht="15.75" customHeight="1">
      <c r="A1551" s="47" t="s">
        <v>3340</v>
      </c>
      <c r="B1551" s="47" t="s">
        <v>3341</v>
      </c>
      <c r="C1551" s="47" t="s">
        <v>7757</v>
      </c>
      <c r="D1551" s="47" t="s">
        <v>159</v>
      </c>
      <c r="E1551" s="47" t="s">
        <v>430</v>
      </c>
      <c r="F1551" s="47">
        <v>231.0</v>
      </c>
      <c r="G1551" s="47">
        <v>2.92</v>
      </c>
      <c r="H1551" s="47">
        <v>79.1</v>
      </c>
      <c r="I1551" s="47" t="s">
        <v>75</v>
      </c>
    </row>
    <row r="1552" ht="15.75" customHeight="1">
      <c r="A1552" s="47" t="s">
        <v>3342</v>
      </c>
      <c r="B1552" s="47" t="s">
        <v>3343</v>
      </c>
      <c r="C1552" s="47" t="s">
        <v>7757</v>
      </c>
      <c r="D1552" s="47" t="s">
        <v>155</v>
      </c>
      <c r="E1552" s="47" t="s">
        <v>420</v>
      </c>
      <c r="F1552" s="47">
        <v>150.0</v>
      </c>
      <c r="G1552" s="47">
        <v>4.79</v>
      </c>
      <c r="H1552" s="47">
        <v>31.3</v>
      </c>
      <c r="I1552" s="47" t="s">
        <v>75</v>
      </c>
    </row>
    <row r="1553" ht="15.75" customHeight="1">
      <c r="A1553" s="47" t="s">
        <v>3344</v>
      </c>
      <c r="B1553" s="47" t="s">
        <v>3345</v>
      </c>
      <c r="C1553" s="47" t="s">
        <v>7757</v>
      </c>
      <c r="D1553" s="47" t="s">
        <v>203</v>
      </c>
      <c r="E1553" s="47" t="s">
        <v>524</v>
      </c>
      <c r="F1553" s="47">
        <v>335.0</v>
      </c>
      <c r="G1553" s="47">
        <v>6.5</v>
      </c>
      <c r="H1553" s="47">
        <v>51.5</v>
      </c>
      <c r="I1553" s="47" t="s">
        <v>75</v>
      </c>
    </row>
    <row r="1554" ht="15.75" customHeight="1">
      <c r="A1554" s="47" t="s">
        <v>3346</v>
      </c>
      <c r="B1554" s="47" t="s">
        <v>3347</v>
      </c>
      <c r="C1554" s="47" t="s">
        <v>7757</v>
      </c>
      <c r="D1554" s="47" t="s">
        <v>155</v>
      </c>
      <c r="E1554" s="47" t="s">
        <v>420</v>
      </c>
      <c r="F1554" s="47">
        <v>209.0</v>
      </c>
      <c r="G1554" s="47">
        <v>5.85</v>
      </c>
      <c r="H1554" s="47">
        <v>35.7</v>
      </c>
      <c r="I1554" s="47" t="s">
        <v>75</v>
      </c>
    </row>
    <row r="1555" ht="15.75" customHeight="1">
      <c r="A1555" s="47" t="s">
        <v>3348</v>
      </c>
      <c r="B1555" s="47" t="s">
        <v>3349</v>
      </c>
      <c r="C1555" s="47" t="s">
        <v>7757</v>
      </c>
      <c r="D1555" s="47" t="s">
        <v>159</v>
      </c>
      <c r="E1555" s="47" t="s">
        <v>430</v>
      </c>
      <c r="F1555" s="47">
        <v>143.0</v>
      </c>
      <c r="G1555" s="47">
        <v>3.51</v>
      </c>
      <c r="H1555" s="47">
        <v>40.7</v>
      </c>
      <c r="I1555" s="47" t="s">
        <v>75</v>
      </c>
    </row>
    <row r="1556" ht="15.75" customHeight="1">
      <c r="A1556" s="47" t="s">
        <v>3350</v>
      </c>
      <c r="B1556" s="47" t="s">
        <v>3351</v>
      </c>
      <c r="C1556" s="47" t="s">
        <v>7757</v>
      </c>
      <c r="D1556" s="47" t="s">
        <v>203</v>
      </c>
      <c r="E1556" s="47" t="s">
        <v>524</v>
      </c>
      <c r="F1556" s="47">
        <v>830.0</v>
      </c>
      <c r="G1556" s="47">
        <v>16.79</v>
      </c>
      <c r="H1556" s="47">
        <v>49.4</v>
      </c>
      <c r="I1556" s="47" t="s">
        <v>62</v>
      </c>
    </row>
    <row r="1557" ht="15.75" customHeight="1">
      <c r="A1557" s="47" t="s">
        <v>3352</v>
      </c>
      <c r="B1557" s="47" t="s">
        <v>3353</v>
      </c>
      <c r="C1557" s="47" t="s">
        <v>7757</v>
      </c>
      <c r="D1557" s="47" t="s">
        <v>183</v>
      </c>
      <c r="E1557" s="47" t="s">
        <v>482</v>
      </c>
      <c r="F1557" s="47">
        <v>2838.0</v>
      </c>
      <c r="G1557" s="47">
        <v>17.02</v>
      </c>
      <c r="H1557" s="47">
        <v>166.7</v>
      </c>
      <c r="I1557" s="47" t="s">
        <v>142</v>
      </c>
    </row>
    <row r="1558" ht="15.75" customHeight="1">
      <c r="A1558" s="47" t="s">
        <v>3354</v>
      </c>
      <c r="B1558" s="47" t="s">
        <v>3355</v>
      </c>
      <c r="C1558" s="47" t="s">
        <v>7757</v>
      </c>
      <c r="D1558" s="47" t="s">
        <v>200</v>
      </c>
      <c r="E1558" s="47" t="s">
        <v>494</v>
      </c>
      <c r="F1558" s="47">
        <v>305.0</v>
      </c>
      <c r="G1558" s="47">
        <v>3.88</v>
      </c>
      <c r="H1558" s="47">
        <v>78.6</v>
      </c>
      <c r="I1558" s="47" t="s">
        <v>75</v>
      </c>
    </row>
    <row r="1559" ht="15.75" customHeight="1">
      <c r="A1559" s="47" t="s">
        <v>3356</v>
      </c>
      <c r="B1559" s="47" t="s">
        <v>3357</v>
      </c>
      <c r="C1559" s="47" t="s">
        <v>7757</v>
      </c>
      <c r="D1559" s="47" t="s">
        <v>200</v>
      </c>
      <c r="E1559" s="47" t="s">
        <v>494</v>
      </c>
      <c r="F1559" s="47">
        <v>518.0</v>
      </c>
      <c r="G1559" s="47">
        <v>6.22</v>
      </c>
      <c r="H1559" s="47">
        <v>83.3</v>
      </c>
      <c r="I1559" s="47" t="s">
        <v>62</v>
      </c>
    </row>
    <row r="1560" ht="15.75" customHeight="1">
      <c r="A1560" s="47" t="s">
        <v>3358</v>
      </c>
      <c r="B1560" s="47" t="s">
        <v>3359</v>
      </c>
      <c r="C1560" s="47" t="s">
        <v>7757</v>
      </c>
      <c r="D1560" s="47" t="s">
        <v>170</v>
      </c>
      <c r="E1560" s="47" t="s">
        <v>452</v>
      </c>
      <c r="F1560" s="47">
        <v>1831.0</v>
      </c>
      <c r="G1560" s="47">
        <v>6.95</v>
      </c>
      <c r="H1560" s="47">
        <v>263.5</v>
      </c>
      <c r="I1560" s="47" t="s">
        <v>62</v>
      </c>
    </row>
    <row r="1561" ht="15.75" customHeight="1">
      <c r="A1561" s="47" t="s">
        <v>3360</v>
      </c>
      <c r="B1561" s="47" t="s">
        <v>3361</v>
      </c>
      <c r="C1561" s="47" t="s">
        <v>7757</v>
      </c>
      <c r="D1561" s="47" t="s">
        <v>183</v>
      </c>
      <c r="E1561" s="47" t="s">
        <v>482</v>
      </c>
      <c r="F1561" s="47">
        <v>1146.0</v>
      </c>
      <c r="G1561" s="47">
        <v>9.36</v>
      </c>
      <c r="H1561" s="47">
        <v>122.4</v>
      </c>
      <c r="I1561" s="47" t="s">
        <v>62</v>
      </c>
    </row>
    <row r="1562" ht="15.75" customHeight="1">
      <c r="A1562" s="47" t="s">
        <v>3362</v>
      </c>
      <c r="B1562" s="47" t="s">
        <v>3363</v>
      </c>
      <c r="C1562" s="47" t="s">
        <v>7757</v>
      </c>
      <c r="D1562" s="47" t="s">
        <v>200</v>
      </c>
      <c r="E1562" s="47" t="s">
        <v>494</v>
      </c>
      <c r="F1562" s="47">
        <v>160.0</v>
      </c>
      <c r="G1562" s="47">
        <v>4.55</v>
      </c>
      <c r="H1562" s="47">
        <v>35.2</v>
      </c>
      <c r="I1562" s="47" t="s">
        <v>75</v>
      </c>
    </row>
    <row r="1563" ht="15.75" customHeight="1">
      <c r="A1563" s="47" t="s">
        <v>3364</v>
      </c>
      <c r="B1563" s="47" t="s">
        <v>3365</v>
      </c>
      <c r="C1563" s="47" t="s">
        <v>7757</v>
      </c>
      <c r="D1563" s="47" t="s">
        <v>159</v>
      </c>
      <c r="E1563" s="47" t="s">
        <v>430</v>
      </c>
      <c r="F1563" s="47">
        <v>483.0</v>
      </c>
      <c r="G1563" s="47">
        <v>11.42</v>
      </c>
      <c r="H1563" s="47">
        <v>42.3</v>
      </c>
      <c r="I1563" s="47" t="s">
        <v>75</v>
      </c>
    </row>
    <row r="1564" ht="15.75" customHeight="1">
      <c r="A1564" s="47" t="s">
        <v>3366</v>
      </c>
      <c r="B1564" s="47" t="s">
        <v>3367</v>
      </c>
      <c r="C1564" s="47" t="s">
        <v>7757</v>
      </c>
      <c r="D1564" s="47" t="s">
        <v>155</v>
      </c>
      <c r="E1564" s="47" t="s">
        <v>420</v>
      </c>
      <c r="F1564" s="47">
        <v>469.0</v>
      </c>
      <c r="G1564" s="47">
        <v>10.27</v>
      </c>
      <c r="H1564" s="47">
        <v>45.7</v>
      </c>
      <c r="I1564" s="47" t="s">
        <v>75</v>
      </c>
    </row>
    <row r="1565" ht="15.75" customHeight="1">
      <c r="A1565" s="47" t="s">
        <v>3368</v>
      </c>
      <c r="B1565" s="47" t="s">
        <v>3369</v>
      </c>
      <c r="C1565" s="47" t="s">
        <v>7757</v>
      </c>
      <c r="D1565" s="47" t="s">
        <v>196</v>
      </c>
      <c r="E1565" s="47" t="s">
        <v>514</v>
      </c>
      <c r="F1565" s="47">
        <v>321.0</v>
      </c>
      <c r="G1565" s="47">
        <v>9.04</v>
      </c>
      <c r="H1565" s="47">
        <v>35.5</v>
      </c>
      <c r="I1565" s="47" t="s">
        <v>75</v>
      </c>
    </row>
    <row r="1566" ht="15.75" customHeight="1">
      <c r="A1566" s="47" t="s">
        <v>3370</v>
      </c>
      <c r="B1566" s="47" t="s">
        <v>3371</v>
      </c>
      <c r="C1566" s="47" t="s">
        <v>7757</v>
      </c>
      <c r="D1566" s="47" t="s">
        <v>160</v>
      </c>
      <c r="E1566" s="47" t="s">
        <v>435</v>
      </c>
      <c r="F1566" s="47">
        <v>741.0</v>
      </c>
      <c r="G1566" s="47">
        <v>8.11</v>
      </c>
      <c r="H1566" s="47">
        <v>91.4</v>
      </c>
      <c r="I1566" s="47" t="s">
        <v>62</v>
      </c>
    </row>
    <row r="1567" ht="15.75" customHeight="1">
      <c r="A1567" s="47" t="s">
        <v>3372</v>
      </c>
      <c r="B1567" s="47" t="s">
        <v>3373</v>
      </c>
      <c r="C1567" s="47" t="s">
        <v>7757</v>
      </c>
      <c r="D1567" s="47" t="s">
        <v>196</v>
      </c>
      <c r="E1567" s="47" t="s">
        <v>514</v>
      </c>
      <c r="F1567" s="47">
        <v>515.0</v>
      </c>
      <c r="G1567" s="47">
        <v>7.58</v>
      </c>
      <c r="H1567" s="47">
        <v>67.9</v>
      </c>
      <c r="I1567" s="47" t="s">
        <v>62</v>
      </c>
    </row>
    <row r="1568" ht="15.75" customHeight="1">
      <c r="A1568" s="47" t="s">
        <v>3374</v>
      </c>
      <c r="B1568" s="47" t="s">
        <v>3375</v>
      </c>
      <c r="C1568" s="47" t="s">
        <v>7757</v>
      </c>
      <c r="D1568" s="47" t="s">
        <v>196</v>
      </c>
      <c r="E1568" s="47" t="s">
        <v>514</v>
      </c>
      <c r="F1568" s="47">
        <v>415.0</v>
      </c>
      <c r="G1568" s="47">
        <v>6.92</v>
      </c>
      <c r="H1568" s="47">
        <v>60.0</v>
      </c>
      <c r="I1568" s="47" t="s">
        <v>75</v>
      </c>
    </row>
    <row r="1569" ht="15.75" customHeight="1">
      <c r="A1569" s="47" t="s">
        <v>3376</v>
      </c>
      <c r="B1569" s="47" t="s">
        <v>3377</v>
      </c>
      <c r="C1569" s="47" t="s">
        <v>7757</v>
      </c>
      <c r="D1569" s="47" t="s">
        <v>159</v>
      </c>
      <c r="E1569" s="47" t="s">
        <v>430</v>
      </c>
      <c r="F1569" s="47">
        <v>222.0</v>
      </c>
      <c r="G1569" s="47">
        <v>5.96</v>
      </c>
      <c r="H1569" s="47">
        <v>37.2</v>
      </c>
      <c r="I1569" s="47" t="s">
        <v>75</v>
      </c>
    </row>
    <row r="1570" ht="15.75" customHeight="1">
      <c r="A1570" s="47" t="s">
        <v>3378</v>
      </c>
      <c r="B1570" s="47" t="s">
        <v>3379</v>
      </c>
      <c r="C1570" s="47" t="s">
        <v>7757</v>
      </c>
      <c r="D1570" s="47" t="s">
        <v>200</v>
      </c>
      <c r="E1570" s="47" t="s">
        <v>494</v>
      </c>
      <c r="F1570" s="47">
        <v>1393.0</v>
      </c>
      <c r="G1570" s="47">
        <v>19.56</v>
      </c>
      <c r="H1570" s="47">
        <v>71.2</v>
      </c>
      <c r="I1570" s="47" t="s">
        <v>62</v>
      </c>
    </row>
    <row r="1571" ht="15.75" customHeight="1">
      <c r="A1571" s="47" t="s">
        <v>3380</v>
      </c>
      <c r="B1571" s="47" t="s">
        <v>3381</v>
      </c>
      <c r="C1571" s="47" t="s">
        <v>7757</v>
      </c>
      <c r="D1571" s="47" t="s">
        <v>183</v>
      </c>
      <c r="E1571" s="47" t="s">
        <v>482</v>
      </c>
      <c r="F1571" s="47">
        <v>1125.0</v>
      </c>
      <c r="G1571" s="47">
        <v>12.61</v>
      </c>
      <c r="H1571" s="47">
        <v>89.2</v>
      </c>
      <c r="I1571" s="47" t="s">
        <v>62</v>
      </c>
    </row>
    <row r="1572" ht="15.75" customHeight="1">
      <c r="A1572" s="47" t="s">
        <v>3382</v>
      </c>
      <c r="B1572" s="47" t="s">
        <v>3383</v>
      </c>
      <c r="C1572" s="47" t="s">
        <v>7757</v>
      </c>
      <c r="D1572" s="47" t="s">
        <v>155</v>
      </c>
      <c r="E1572" s="47" t="s">
        <v>420</v>
      </c>
      <c r="F1572" s="47">
        <v>100.0</v>
      </c>
      <c r="G1572" s="47">
        <v>11.85</v>
      </c>
      <c r="H1572" s="47">
        <v>8.4</v>
      </c>
      <c r="I1572" s="47" t="s">
        <v>75</v>
      </c>
    </row>
    <row r="1573" ht="15.75" customHeight="1">
      <c r="A1573" s="47" t="s">
        <v>3384</v>
      </c>
      <c r="B1573" s="47" t="s">
        <v>3385</v>
      </c>
      <c r="C1573" s="47" t="s">
        <v>7757</v>
      </c>
      <c r="D1573" s="47" t="s">
        <v>200</v>
      </c>
      <c r="E1573" s="47" t="s">
        <v>494</v>
      </c>
      <c r="F1573" s="47">
        <v>176.0</v>
      </c>
      <c r="G1573" s="47">
        <v>6.67</v>
      </c>
      <c r="H1573" s="47">
        <v>26.4</v>
      </c>
      <c r="I1573" s="47" t="s">
        <v>75</v>
      </c>
    </row>
    <row r="1574" ht="15.75" customHeight="1">
      <c r="A1574" s="47" t="s">
        <v>3386</v>
      </c>
      <c r="B1574" s="47" t="s">
        <v>3387</v>
      </c>
      <c r="C1574" s="47" t="s">
        <v>7757</v>
      </c>
      <c r="D1574" s="47" t="s">
        <v>203</v>
      </c>
      <c r="E1574" s="47" t="s">
        <v>524</v>
      </c>
      <c r="F1574" s="47">
        <v>542.0</v>
      </c>
      <c r="G1574" s="47">
        <v>13.3</v>
      </c>
      <c r="H1574" s="47">
        <v>40.8</v>
      </c>
      <c r="I1574" s="47" t="s">
        <v>62</v>
      </c>
    </row>
    <row r="1575" ht="15.75" customHeight="1">
      <c r="A1575" s="47" t="s">
        <v>3388</v>
      </c>
      <c r="B1575" s="47" t="s">
        <v>3389</v>
      </c>
      <c r="C1575" s="47" t="s">
        <v>7757</v>
      </c>
      <c r="D1575" s="47" t="s">
        <v>188</v>
      </c>
      <c r="E1575" s="47" t="s">
        <v>491</v>
      </c>
      <c r="F1575" s="47">
        <v>2649.0</v>
      </c>
      <c r="G1575" s="47">
        <v>4.74</v>
      </c>
      <c r="H1575" s="47">
        <v>558.9</v>
      </c>
      <c r="I1575" s="47" t="s">
        <v>142</v>
      </c>
    </row>
    <row r="1576" ht="15.75" customHeight="1">
      <c r="A1576" s="47" t="s">
        <v>3390</v>
      </c>
      <c r="B1576" s="47" t="s">
        <v>3391</v>
      </c>
      <c r="C1576" s="47" t="s">
        <v>7757</v>
      </c>
      <c r="D1576" s="47" t="s">
        <v>231</v>
      </c>
      <c r="E1576" s="47" t="s">
        <v>406</v>
      </c>
      <c r="F1576" s="47">
        <v>1669.0</v>
      </c>
      <c r="G1576" s="47">
        <v>17.5</v>
      </c>
      <c r="H1576" s="47">
        <v>95.4</v>
      </c>
      <c r="I1576" s="47" t="s">
        <v>62</v>
      </c>
    </row>
    <row r="1577" ht="15.75" customHeight="1">
      <c r="A1577" s="47" t="s">
        <v>3392</v>
      </c>
      <c r="B1577" s="47" t="s">
        <v>3393</v>
      </c>
      <c r="C1577" s="47" t="s">
        <v>7757</v>
      </c>
      <c r="D1577" s="47" t="s">
        <v>159</v>
      </c>
      <c r="E1577" s="47" t="s">
        <v>430</v>
      </c>
      <c r="F1577" s="47">
        <v>467.0</v>
      </c>
      <c r="G1577" s="47">
        <v>9.39</v>
      </c>
      <c r="H1577" s="47">
        <v>49.7</v>
      </c>
      <c r="I1577" s="47" t="s">
        <v>75</v>
      </c>
    </row>
    <row r="1578" ht="15.75" customHeight="1">
      <c r="A1578" s="47" t="s">
        <v>3394</v>
      </c>
      <c r="B1578" s="47" t="s">
        <v>3395</v>
      </c>
      <c r="C1578" s="47" t="s">
        <v>7757</v>
      </c>
      <c r="D1578" s="47" t="s">
        <v>203</v>
      </c>
      <c r="E1578" s="47" t="s">
        <v>524</v>
      </c>
      <c r="F1578" s="47">
        <v>288.0</v>
      </c>
      <c r="G1578" s="47">
        <v>4.95</v>
      </c>
      <c r="H1578" s="47">
        <v>58.2</v>
      </c>
      <c r="I1578" s="47" t="s">
        <v>75</v>
      </c>
    </row>
    <row r="1579" ht="15.75" customHeight="1">
      <c r="A1579" s="47" t="s">
        <v>3396</v>
      </c>
      <c r="B1579" s="47" t="s">
        <v>3397</v>
      </c>
      <c r="C1579" s="47" t="s">
        <v>7757</v>
      </c>
      <c r="D1579" s="47" t="s">
        <v>228</v>
      </c>
      <c r="E1579" s="47" t="s">
        <v>396</v>
      </c>
      <c r="F1579" s="47">
        <v>1043.0</v>
      </c>
      <c r="G1579" s="47">
        <v>12.08</v>
      </c>
      <c r="H1579" s="47">
        <v>86.3</v>
      </c>
      <c r="I1579" s="47" t="s">
        <v>62</v>
      </c>
    </row>
    <row r="1580" ht="15.75" customHeight="1">
      <c r="A1580" s="47" t="s">
        <v>3398</v>
      </c>
      <c r="B1580" s="47" t="s">
        <v>3399</v>
      </c>
      <c r="C1580" s="47" t="s">
        <v>7757</v>
      </c>
      <c r="D1580" s="47" t="s">
        <v>231</v>
      </c>
      <c r="E1580" s="47" t="s">
        <v>406</v>
      </c>
      <c r="F1580" s="47">
        <v>9959.0</v>
      </c>
      <c r="G1580" s="47">
        <v>12.89</v>
      </c>
      <c r="H1580" s="47">
        <v>772.6</v>
      </c>
      <c r="I1580" s="47" t="s">
        <v>142</v>
      </c>
    </row>
    <row r="1581" ht="15.75" customHeight="1">
      <c r="A1581" s="47" t="s">
        <v>3400</v>
      </c>
      <c r="B1581" s="47" t="s">
        <v>3401</v>
      </c>
      <c r="C1581" s="47" t="s">
        <v>7757</v>
      </c>
      <c r="D1581" s="47" t="s">
        <v>211</v>
      </c>
      <c r="E1581" s="47" t="s">
        <v>544</v>
      </c>
      <c r="F1581" s="47">
        <v>300.0</v>
      </c>
      <c r="G1581" s="47">
        <v>6.7</v>
      </c>
      <c r="H1581" s="47">
        <v>44.8</v>
      </c>
      <c r="I1581" s="47" t="s">
        <v>75</v>
      </c>
    </row>
    <row r="1582" ht="15.75" customHeight="1">
      <c r="A1582" s="47" t="s">
        <v>3402</v>
      </c>
      <c r="B1582" s="47" t="s">
        <v>3403</v>
      </c>
      <c r="C1582" s="47" t="s">
        <v>7757</v>
      </c>
      <c r="D1582" s="47" t="s">
        <v>151</v>
      </c>
      <c r="E1582" s="47" t="s">
        <v>414</v>
      </c>
      <c r="F1582" s="47">
        <v>10591.0</v>
      </c>
      <c r="G1582" s="47">
        <v>16.04</v>
      </c>
      <c r="H1582" s="47">
        <v>660.3</v>
      </c>
      <c r="I1582" s="47" t="s">
        <v>571</v>
      </c>
    </row>
    <row r="1583" ht="15.75" customHeight="1">
      <c r="A1583" s="47" t="s">
        <v>3404</v>
      </c>
      <c r="B1583" s="47" t="s">
        <v>3405</v>
      </c>
      <c r="C1583" s="47" t="s">
        <v>7757</v>
      </c>
      <c r="D1583" s="47" t="s">
        <v>151</v>
      </c>
      <c r="E1583" s="47" t="s">
        <v>414</v>
      </c>
      <c r="F1583" s="47">
        <v>3084.0</v>
      </c>
      <c r="G1583" s="47">
        <v>10.82</v>
      </c>
      <c r="H1583" s="47">
        <v>285.0</v>
      </c>
      <c r="I1583" s="47" t="s">
        <v>142</v>
      </c>
    </row>
    <row r="1584" ht="15.75" customHeight="1">
      <c r="A1584" s="47" t="s">
        <v>3406</v>
      </c>
      <c r="B1584" s="47" t="s">
        <v>3407</v>
      </c>
      <c r="C1584" s="47" t="s">
        <v>7757</v>
      </c>
      <c r="D1584" s="47" t="s">
        <v>211</v>
      </c>
      <c r="E1584" s="47" t="s">
        <v>544</v>
      </c>
      <c r="F1584" s="47">
        <v>3338.0</v>
      </c>
      <c r="G1584" s="47">
        <v>18.54</v>
      </c>
      <c r="H1584" s="47">
        <v>180.0</v>
      </c>
      <c r="I1584" s="47" t="s">
        <v>142</v>
      </c>
    </row>
    <row r="1585" ht="15.75" customHeight="1">
      <c r="A1585" s="47" t="s">
        <v>3408</v>
      </c>
      <c r="B1585" s="47" t="s">
        <v>3409</v>
      </c>
      <c r="C1585" s="47" t="s">
        <v>7757</v>
      </c>
      <c r="D1585" s="47" t="s">
        <v>176</v>
      </c>
      <c r="E1585" s="47" t="s">
        <v>470</v>
      </c>
      <c r="F1585" s="47">
        <v>159.0</v>
      </c>
      <c r="G1585" s="47">
        <v>5.78</v>
      </c>
      <c r="H1585" s="47">
        <v>27.5</v>
      </c>
      <c r="I1585" s="47" t="s">
        <v>75</v>
      </c>
    </row>
    <row r="1586" ht="15.75" customHeight="1">
      <c r="A1586" s="47" t="s">
        <v>3410</v>
      </c>
      <c r="B1586" s="47" t="s">
        <v>3411</v>
      </c>
      <c r="C1586" s="47" t="s">
        <v>7757</v>
      </c>
      <c r="D1586" s="47" t="s">
        <v>173</v>
      </c>
      <c r="E1586" s="47" t="s">
        <v>460</v>
      </c>
      <c r="F1586" s="47">
        <v>471.0</v>
      </c>
      <c r="G1586" s="47">
        <v>9.09</v>
      </c>
      <c r="H1586" s="47">
        <v>51.8</v>
      </c>
      <c r="I1586" s="47" t="s">
        <v>75</v>
      </c>
    </row>
    <row r="1587" ht="15.75" customHeight="1">
      <c r="A1587" s="47" t="s">
        <v>3412</v>
      </c>
      <c r="B1587" s="47" t="s">
        <v>3413</v>
      </c>
      <c r="C1587" s="47" t="s">
        <v>7757</v>
      </c>
      <c r="D1587" s="47" t="s">
        <v>155</v>
      </c>
      <c r="E1587" s="47" t="s">
        <v>420</v>
      </c>
      <c r="F1587" s="47">
        <v>442.0</v>
      </c>
      <c r="G1587" s="47">
        <v>8.97</v>
      </c>
      <c r="H1587" s="47">
        <v>49.3</v>
      </c>
      <c r="I1587" s="47" t="s">
        <v>75</v>
      </c>
    </row>
    <row r="1588" ht="15.75" customHeight="1">
      <c r="A1588" s="47" t="s">
        <v>3414</v>
      </c>
      <c r="B1588" s="47" t="s">
        <v>3415</v>
      </c>
      <c r="C1588" s="47" t="s">
        <v>7757</v>
      </c>
      <c r="D1588" s="47" t="s">
        <v>170</v>
      </c>
      <c r="E1588" s="47" t="s">
        <v>452</v>
      </c>
      <c r="F1588" s="47">
        <v>772.0</v>
      </c>
      <c r="G1588" s="47">
        <v>8.12</v>
      </c>
      <c r="H1588" s="47">
        <v>95.1</v>
      </c>
      <c r="I1588" s="47" t="s">
        <v>62</v>
      </c>
    </row>
    <row r="1589" ht="15.75" customHeight="1">
      <c r="A1589" s="47" t="s">
        <v>3416</v>
      </c>
      <c r="B1589" s="47" t="s">
        <v>3417</v>
      </c>
      <c r="C1589" s="47" t="s">
        <v>7757</v>
      </c>
      <c r="D1589" s="47" t="s">
        <v>195</v>
      </c>
      <c r="E1589" s="47" t="s">
        <v>509</v>
      </c>
      <c r="F1589" s="47">
        <v>399.0</v>
      </c>
      <c r="G1589" s="47">
        <v>10.47</v>
      </c>
      <c r="H1589" s="47">
        <v>38.1</v>
      </c>
      <c r="I1589" s="47" t="s">
        <v>75</v>
      </c>
    </row>
    <row r="1590" ht="15.75" customHeight="1">
      <c r="A1590" s="47" t="s">
        <v>3418</v>
      </c>
      <c r="B1590" s="47" t="s">
        <v>3419</v>
      </c>
      <c r="C1590" s="47" t="s">
        <v>7757</v>
      </c>
      <c r="D1590" s="47" t="s">
        <v>160</v>
      </c>
      <c r="E1590" s="47" t="s">
        <v>435</v>
      </c>
      <c r="F1590" s="47">
        <v>2036.0</v>
      </c>
      <c r="G1590" s="47">
        <v>12.65</v>
      </c>
      <c r="H1590" s="47">
        <v>160.9</v>
      </c>
      <c r="I1590" s="47" t="s">
        <v>142</v>
      </c>
    </row>
    <row r="1591" ht="15.75" customHeight="1">
      <c r="A1591" s="47" t="s">
        <v>3420</v>
      </c>
      <c r="B1591" s="47" t="s">
        <v>3421</v>
      </c>
      <c r="C1591" s="47" t="s">
        <v>7757</v>
      </c>
      <c r="D1591" s="47" t="s">
        <v>170</v>
      </c>
      <c r="E1591" s="47" t="s">
        <v>452</v>
      </c>
      <c r="F1591" s="47">
        <v>1093.0</v>
      </c>
      <c r="G1591" s="47">
        <v>13.36</v>
      </c>
      <c r="H1591" s="47">
        <v>81.8</v>
      </c>
      <c r="I1591" s="47" t="s">
        <v>62</v>
      </c>
    </row>
    <row r="1592" ht="15.75" customHeight="1">
      <c r="A1592" s="47" t="s">
        <v>3422</v>
      </c>
      <c r="B1592" s="47" t="s">
        <v>3423</v>
      </c>
      <c r="C1592" s="47" t="s">
        <v>7757</v>
      </c>
      <c r="D1592" s="47" t="s">
        <v>124</v>
      </c>
      <c r="E1592" s="47" t="s">
        <v>333</v>
      </c>
      <c r="F1592" s="47">
        <v>3449.0</v>
      </c>
      <c r="G1592" s="47">
        <v>15.94</v>
      </c>
      <c r="H1592" s="47">
        <v>216.4</v>
      </c>
      <c r="I1592" s="47" t="s">
        <v>142</v>
      </c>
    </row>
    <row r="1593" ht="15.75" customHeight="1">
      <c r="A1593" s="47" t="s">
        <v>3424</v>
      </c>
      <c r="B1593" s="47" t="s">
        <v>3425</v>
      </c>
      <c r="C1593" s="47" t="s">
        <v>7757</v>
      </c>
      <c r="D1593" s="47" t="s">
        <v>160</v>
      </c>
      <c r="E1593" s="47" t="s">
        <v>435</v>
      </c>
      <c r="F1593" s="47">
        <v>252.0</v>
      </c>
      <c r="G1593" s="47">
        <v>10.11</v>
      </c>
      <c r="H1593" s="47">
        <v>24.9</v>
      </c>
      <c r="I1593" s="47" t="s">
        <v>75</v>
      </c>
    </row>
    <row r="1594" ht="15.75" customHeight="1">
      <c r="A1594" s="47" t="s">
        <v>3426</v>
      </c>
      <c r="B1594" s="47" t="s">
        <v>3427</v>
      </c>
      <c r="C1594" s="47" t="s">
        <v>7757</v>
      </c>
      <c r="D1594" s="47" t="s">
        <v>155</v>
      </c>
      <c r="E1594" s="47" t="s">
        <v>420</v>
      </c>
      <c r="F1594" s="47">
        <v>98.0</v>
      </c>
      <c r="G1594" s="47">
        <v>4.17</v>
      </c>
      <c r="H1594" s="47">
        <v>23.5</v>
      </c>
      <c r="I1594" s="47" t="s">
        <v>75</v>
      </c>
    </row>
    <row r="1595" ht="15.75" customHeight="1">
      <c r="A1595" s="47" t="s">
        <v>3428</v>
      </c>
      <c r="B1595" s="47" t="s">
        <v>3429</v>
      </c>
      <c r="C1595" s="47" t="s">
        <v>7757</v>
      </c>
      <c r="D1595" s="47" t="s">
        <v>175</v>
      </c>
      <c r="E1595" s="47" t="s">
        <v>463</v>
      </c>
      <c r="F1595" s="47">
        <v>1630.0</v>
      </c>
      <c r="G1595" s="47">
        <v>6.79</v>
      </c>
      <c r="H1595" s="47">
        <v>240.1</v>
      </c>
      <c r="I1595" s="47" t="s">
        <v>62</v>
      </c>
    </row>
    <row r="1596" ht="15.75" customHeight="1">
      <c r="A1596" s="47" t="s">
        <v>3430</v>
      </c>
      <c r="B1596" s="47" t="s">
        <v>3431</v>
      </c>
      <c r="C1596" s="47" t="s">
        <v>7757</v>
      </c>
      <c r="D1596" s="47" t="s">
        <v>231</v>
      </c>
      <c r="E1596" s="47" t="s">
        <v>406</v>
      </c>
      <c r="F1596" s="47">
        <v>3978.0</v>
      </c>
      <c r="G1596" s="47">
        <v>16.78</v>
      </c>
      <c r="H1596" s="47">
        <v>237.1</v>
      </c>
      <c r="I1596" s="47" t="s">
        <v>142</v>
      </c>
    </row>
    <row r="1597" ht="15.75" customHeight="1">
      <c r="A1597" s="47" t="s">
        <v>3432</v>
      </c>
      <c r="B1597" s="47" t="s">
        <v>3433</v>
      </c>
      <c r="C1597" s="47" t="s">
        <v>7757</v>
      </c>
      <c r="D1597" s="47" t="s">
        <v>124</v>
      </c>
      <c r="E1597" s="47" t="s">
        <v>333</v>
      </c>
      <c r="F1597" s="47">
        <v>2208.0</v>
      </c>
      <c r="G1597" s="47">
        <v>4.74</v>
      </c>
      <c r="H1597" s="47">
        <v>465.8</v>
      </c>
      <c r="I1597" s="47" t="s">
        <v>142</v>
      </c>
    </row>
    <row r="1598" ht="15.75" customHeight="1">
      <c r="A1598" s="47" t="s">
        <v>3434</v>
      </c>
      <c r="B1598" s="47" t="s">
        <v>3435</v>
      </c>
      <c r="C1598" s="47" t="s">
        <v>7757</v>
      </c>
      <c r="D1598" s="47" t="s">
        <v>183</v>
      </c>
      <c r="E1598" s="47" t="s">
        <v>482</v>
      </c>
      <c r="F1598" s="47">
        <v>10564.0</v>
      </c>
      <c r="G1598" s="47">
        <v>5.81</v>
      </c>
      <c r="H1598" s="47">
        <v>1818.2</v>
      </c>
      <c r="I1598" s="47" t="s">
        <v>571</v>
      </c>
    </row>
    <row r="1599" ht="15.75" customHeight="1">
      <c r="A1599" s="47" t="s">
        <v>3436</v>
      </c>
      <c r="B1599" s="47" t="s">
        <v>3437</v>
      </c>
      <c r="C1599" s="47" t="s">
        <v>7757</v>
      </c>
      <c r="D1599" s="47" t="s">
        <v>203</v>
      </c>
      <c r="E1599" s="47" t="s">
        <v>524</v>
      </c>
      <c r="F1599" s="47">
        <v>249.0</v>
      </c>
      <c r="G1599" s="47">
        <v>6.15</v>
      </c>
      <c r="H1599" s="47">
        <v>40.5</v>
      </c>
      <c r="I1599" s="47" t="s">
        <v>75</v>
      </c>
    </row>
    <row r="1600" ht="15.75" customHeight="1">
      <c r="A1600" s="47" t="s">
        <v>3438</v>
      </c>
      <c r="B1600" s="47" t="s">
        <v>3439</v>
      </c>
      <c r="C1600" s="47" t="s">
        <v>7757</v>
      </c>
      <c r="D1600" s="47" t="s">
        <v>124</v>
      </c>
      <c r="E1600" s="47" t="s">
        <v>333</v>
      </c>
      <c r="F1600" s="47">
        <v>40761.0</v>
      </c>
      <c r="G1600" s="47">
        <v>53.09</v>
      </c>
      <c r="H1600" s="47">
        <v>767.8</v>
      </c>
      <c r="I1600" s="47" t="s">
        <v>571</v>
      </c>
    </row>
    <row r="1601" ht="15.75" customHeight="1">
      <c r="A1601" s="47" t="s">
        <v>3440</v>
      </c>
      <c r="B1601" s="47" t="s">
        <v>3441</v>
      </c>
      <c r="C1601" s="47" t="s">
        <v>7757</v>
      </c>
      <c r="D1601" s="47" t="s">
        <v>196</v>
      </c>
      <c r="E1601" s="47" t="s">
        <v>514</v>
      </c>
      <c r="F1601" s="47">
        <v>734.0</v>
      </c>
      <c r="G1601" s="47">
        <v>9.73</v>
      </c>
      <c r="H1601" s="47">
        <v>75.4</v>
      </c>
      <c r="I1601" s="47" t="s">
        <v>62</v>
      </c>
    </row>
    <row r="1602" ht="15.75" customHeight="1">
      <c r="A1602" s="47" t="s">
        <v>3442</v>
      </c>
      <c r="B1602" s="47" t="s">
        <v>3443</v>
      </c>
      <c r="C1602" s="47" t="s">
        <v>7757</v>
      </c>
      <c r="D1602" s="47" t="s">
        <v>155</v>
      </c>
      <c r="E1602" s="47" t="s">
        <v>420</v>
      </c>
      <c r="F1602" s="47">
        <v>71.0</v>
      </c>
      <c r="G1602" s="47">
        <v>3.65</v>
      </c>
      <c r="H1602" s="47">
        <v>19.5</v>
      </c>
      <c r="I1602" s="47" t="s">
        <v>75</v>
      </c>
    </row>
    <row r="1603" ht="15.75" customHeight="1">
      <c r="A1603" s="47" t="s">
        <v>3444</v>
      </c>
      <c r="B1603" s="47" t="s">
        <v>3445</v>
      </c>
      <c r="C1603" s="47" t="s">
        <v>7757</v>
      </c>
      <c r="D1603" s="47" t="s">
        <v>176</v>
      </c>
      <c r="E1603" s="47" t="s">
        <v>470</v>
      </c>
      <c r="F1603" s="47">
        <v>357.0</v>
      </c>
      <c r="G1603" s="47">
        <v>3.94</v>
      </c>
      <c r="H1603" s="47">
        <v>90.6</v>
      </c>
      <c r="I1603" s="47" t="s">
        <v>75</v>
      </c>
    </row>
    <row r="1604" ht="15.75" customHeight="1">
      <c r="A1604" s="47" t="s">
        <v>3446</v>
      </c>
      <c r="B1604" s="47" t="s">
        <v>3447</v>
      </c>
      <c r="C1604" s="47" t="s">
        <v>7757</v>
      </c>
      <c r="D1604" s="47" t="s">
        <v>155</v>
      </c>
      <c r="E1604" s="47" t="s">
        <v>420</v>
      </c>
      <c r="F1604" s="47">
        <v>392.0</v>
      </c>
      <c r="G1604" s="47">
        <v>7.21</v>
      </c>
      <c r="H1604" s="47">
        <v>54.4</v>
      </c>
      <c r="I1604" s="47" t="s">
        <v>75</v>
      </c>
    </row>
    <row r="1605" ht="15.75" customHeight="1">
      <c r="A1605" s="47" t="s">
        <v>3448</v>
      </c>
      <c r="B1605" s="47" t="s">
        <v>3449</v>
      </c>
      <c r="C1605" s="47" t="s">
        <v>7757</v>
      </c>
      <c r="D1605" s="47" t="s">
        <v>190</v>
      </c>
      <c r="E1605" s="47" t="s">
        <v>501</v>
      </c>
      <c r="F1605" s="47">
        <v>870.0</v>
      </c>
      <c r="G1605" s="47">
        <v>13.57</v>
      </c>
      <c r="H1605" s="47">
        <v>64.1</v>
      </c>
      <c r="I1605" s="47" t="s">
        <v>62</v>
      </c>
    </row>
    <row r="1606" ht="15.75" customHeight="1">
      <c r="A1606" s="47" t="s">
        <v>3450</v>
      </c>
      <c r="B1606" s="47" t="s">
        <v>3451</v>
      </c>
      <c r="C1606" s="47" t="s">
        <v>7757</v>
      </c>
      <c r="D1606" s="47" t="s">
        <v>231</v>
      </c>
      <c r="E1606" s="47" t="s">
        <v>406</v>
      </c>
      <c r="F1606" s="47">
        <v>554.0</v>
      </c>
      <c r="G1606" s="47">
        <v>3.78</v>
      </c>
      <c r="H1606" s="47">
        <v>146.6</v>
      </c>
      <c r="I1606" s="47" t="s">
        <v>62</v>
      </c>
    </row>
    <row r="1607" ht="15.75" customHeight="1">
      <c r="A1607" s="47" t="s">
        <v>3452</v>
      </c>
      <c r="B1607" s="47" t="s">
        <v>3453</v>
      </c>
      <c r="C1607" s="47" t="s">
        <v>7757</v>
      </c>
      <c r="D1607" s="47" t="s">
        <v>196</v>
      </c>
      <c r="E1607" s="47" t="s">
        <v>514</v>
      </c>
      <c r="F1607" s="47">
        <v>1050.0</v>
      </c>
      <c r="G1607" s="47">
        <v>10.52</v>
      </c>
      <c r="H1607" s="47">
        <v>99.8</v>
      </c>
      <c r="I1607" s="47" t="s">
        <v>62</v>
      </c>
    </row>
    <row r="1608" ht="15.75" customHeight="1">
      <c r="A1608" s="47" t="s">
        <v>3454</v>
      </c>
      <c r="B1608" s="47" t="s">
        <v>3455</v>
      </c>
      <c r="C1608" s="47" t="s">
        <v>7757</v>
      </c>
      <c r="D1608" s="47" t="s">
        <v>173</v>
      </c>
      <c r="E1608" s="47" t="s">
        <v>460</v>
      </c>
      <c r="F1608" s="47">
        <v>592.0</v>
      </c>
      <c r="G1608" s="47">
        <v>3.77</v>
      </c>
      <c r="H1608" s="47">
        <v>157.0</v>
      </c>
      <c r="I1608" s="47" t="s">
        <v>62</v>
      </c>
    </row>
    <row r="1609" ht="15.75" customHeight="1">
      <c r="A1609" s="47" t="s">
        <v>3456</v>
      </c>
      <c r="B1609" s="47" t="s">
        <v>3457</v>
      </c>
      <c r="C1609" s="47" t="s">
        <v>7757</v>
      </c>
      <c r="D1609" s="47" t="s">
        <v>203</v>
      </c>
      <c r="E1609" s="47" t="s">
        <v>524</v>
      </c>
      <c r="F1609" s="47">
        <v>210.0</v>
      </c>
      <c r="G1609" s="47">
        <v>6.43</v>
      </c>
      <c r="H1609" s="47">
        <v>32.7</v>
      </c>
      <c r="I1609" s="47" t="s">
        <v>75</v>
      </c>
    </row>
    <row r="1610" ht="15.75" customHeight="1">
      <c r="A1610" s="47" t="s">
        <v>3458</v>
      </c>
      <c r="B1610" s="47" t="s">
        <v>3459</v>
      </c>
      <c r="C1610" s="47" t="s">
        <v>7757</v>
      </c>
      <c r="D1610" s="47" t="s">
        <v>211</v>
      </c>
      <c r="E1610" s="47" t="s">
        <v>544</v>
      </c>
      <c r="F1610" s="47">
        <v>809.0</v>
      </c>
      <c r="G1610" s="47">
        <v>6.92</v>
      </c>
      <c r="H1610" s="47">
        <v>116.9</v>
      </c>
      <c r="I1610" s="47" t="s">
        <v>62</v>
      </c>
    </row>
    <row r="1611" ht="15.75" customHeight="1">
      <c r="A1611" s="47" t="s">
        <v>3460</v>
      </c>
      <c r="B1611" s="47" t="s">
        <v>3461</v>
      </c>
      <c r="C1611" s="47" t="s">
        <v>7757</v>
      </c>
      <c r="D1611" s="47" t="s">
        <v>228</v>
      </c>
      <c r="E1611" s="47" t="s">
        <v>396</v>
      </c>
      <c r="F1611" s="47">
        <v>581.0</v>
      </c>
      <c r="G1611" s="47">
        <v>5.34</v>
      </c>
      <c r="H1611" s="47">
        <v>108.8</v>
      </c>
      <c r="I1611" s="47" t="s">
        <v>62</v>
      </c>
    </row>
    <row r="1612" ht="15.75" customHeight="1">
      <c r="A1612" s="47" t="s">
        <v>3462</v>
      </c>
      <c r="B1612" s="47" t="s">
        <v>3463</v>
      </c>
      <c r="C1612" s="47" t="s">
        <v>7757</v>
      </c>
      <c r="D1612" s="47" t="s">
        <v>173</v>
      </c>
      <c r="E1612" s="47" t="s">
        <v>460</v>
      </c>
      <c r="F1612" s="47">
        <v>171.0</v>
      </c>
      <c r="G1612" s="47">
        <v>2.62</v>
      </c>
      <c r="H1612" s="47">
        <v>65.3</v>
      </c>
      <c r="I1612" s="47" t="s">
        <v>75</v>
      </c>
    </row>
    <row r="1613" ht="15.75" customHeight="1">
      <c r="A1613" s="47" t="s">
        <v>3464</v>
      </c>
      <c r="B1613" s="47" t="s">
        <v>3465</v>
      </c>
      <c r="C1613" s="47" t="s">
        <v>7757</v>
      </c>
      <c r="D1613" s="47" t="s">
        <v>151</v>
      </c>
      <c r="E1613" s="47" t="s">
        <v>414</v>
      </c>
      <c r="F1613" s="47">
        <v>3915.0</v>
      </c>
      <c r="G1613" s="47">
        <v>7.04</v>
      </c>
      <c r="H1613" s="47">
        <v>556.1</v>
      </c>
      <c r="I1613" s="47" t="s">
        <v>142</v>
      </c>
    </row>
    <row r="1614" ht="15.75" customHeight="1">
      <c r="A1614" s="47" t="s">
        <v>3466</v>
      </c>
      <c r="B1614" s="47" t="s">
        <v>3467</v>
      </c>
      <c r="C1614" s="47" t="s">
        <v>7757</v>
      </c>
      <c r="D1614" s="47" t="s">
        <v>115</v>
      </c>
      <c r="E1614" s="47" t="s">
        <v>129</v>
      </c>
      <c r="F1614" s="47">
        <v>803.0</v>
      </c>
      <c r="G1614" s="47">
        <v>6.35</v>
      </c>
      <c r="H1614" s="47">
        <v>126.5</v>
      </c>
      <c r="I1614" s="47" t="s">
        <v>62</v>
      </c>
    </row>
    <row r="1615" ht="15.75" customHeight="1">
      <c r="A1615" s="47" t="s">
        <v>3468</v>
      </c>
      <c r="B1615" s="47" t="s">
        <v>3469</v>
      </c>
      <c r="C1615" s="47" t="s">
        <v>7757</v>
      </c>
      <c r="D1615" s="47" t="s">
        <v>196</v>
      </c>
      <c r="E1615" s="47" t="s">
        <v>514</v>
      </c>
      <c r="F1615" s="47">
        <v>225.0</v>
      </c>
      <c r="G1615" s="47">
        <v>4.85</v>
      </c>
      <c r="H1615" s="47">
        <v>46.4</v>
      </c>
      <c r="I1615" s="47" t="s">
        <v>75</v>
      </c>
    </row>
    <row r="1616" ht="15.75" customHeight="1">
      <c r="A1616" s="47" t="s">
        <v>3470</v>
      </c>
      <c r="B1616" s="47" t="s">
        <v>3471</v>
      </c>
      <c r="C1616" s="47" t="s">
        <v>7757</v>
      </c>
      <c r="D1616" s="47" t="s">
        <v>115</v>
      </c>
      <c r="E1616" s="47" t="s">
        <v>129</v>
      </c>
      <c r="F1616" s="47">
        <v>36301.0</v>
      </c>
      <c r="G1616" s="47">
        <v>11.07</v>
      </c>
      <c r="H1616" s="47">
        <v>3279.2</v>
      </c>
      <c r="I1616" s="47" t="s">
        <v>571</v>
      </c>
    </row>
    <row r="1617" ht="15.75" customHeight="1">
      <c r="A1617" s="47" t="s">
        <v>3472</v>
      </c>
      <c r="B1617" s="47" t="s">
        <v>3473</v>
      </c>
      <c r="C1617" s="47" t="s">
        <v>7757</v>
      </c>
      <c r="D1617" s="47" t="s">
        <v>195</v>
      </c>
      <c r="E1617" s="47" t="s">
        <v>509</v>
      </c>
      <c r="F1617" s="47">
        <v>14351.0</v>
      </c>
      <c r="G1617" s="47">
        <v>16.46</v>
      </c>
      <c r="H1617" s="47">
        <v>871.9</v>
      </c>
      <c r="I1617" s="47" t="s">
        <v>571</v>
      </c>
    </row>
    <row r="1618" ht="15.75" customHeight="1">
      <c r="A1618" s="47" t="s">
        <v>3474</v>
      </c>
      <c r="B1618" s="47" t="s">
        <v>3475</v>
      </c>
      <c r="C1618" s="47" t="s">
        <v>7757</v>
      </c>
      <c r="D1618" s="47" t="s">
        <v>203</v>
      </c>
      <c r="E1618" s="47" t="s">
        <v>524</v>
      </c>
      <c r="F1618" s="47">
        <v>435.0</v>
      </c>
      <c r="G1618" s="47">
        <v>6.55</v>
      </c>
      <c r="H1618" s="47">
        <v>66.4</v>
      </c>
      <c r="I1618" s="47" t="s">
        <v>75</v>
      </c>
    </row>
    <row r="1619" ht="15.75" customHeight="1">
      <c r="A1619" s="47" t="s">
        <v>3476</v>
      </c>
      <c r="B1619" s="47" t="s">
        <v>3477</v>
      </c>
      <c r="C1619" s="47" t="s">
        <v>7757</v>
      </c>
      <c r="D1619" s="47" t="s">
        <v>131</v>
      </c>
      <c r="E1619" s="47" t="s">
        <v>341</v>
      </c>
      <c r="F1619" s="47">
        <v>3462.0</v>
      </c>
      <c r="G1619" s="47">
        <v>12.33</v>
      </c>
      <c r="H1619" s="47">
        <v>280.8</v>
      </c>
      <c r="I1619" s="47" t="s">
        <v>142</v>
      </c>
    </row>
    <row r="1620" ht="15.75" customHeight="1">
      <c r="A1620" s="47" t="s">
        <v>3478</v>
      </c>
      <c r="B1620" s="47" t="s">
        <v>3479</v>
      </c>
      <c r="C1620" s="47" t="s">
        <v>7757</v>
      </c>
      <c r="D1620" s="47" t="s">
        <v>203</v>
      </c>
      <c r="E1620" s="47" t="s">
        <v>524</v>
      </c>
      <c r="F1620" s="47">
        <v>159.0</v>
      </c>
      <c r="G1620" s="47">
        <v>3.32</v>
      </c>
      <c r="H1620" s="47">
        <v>47.9</v>
      </c>
      <c r="I1620" s="47" t="s">
        <v>75</v>
      </c>
    </row>
    <row r="1621" ht="15.75" customHeight="1">
      <c r="A1621" s="47" t="s">
        <v>3480</v>
      </c>
      <c r="B1621" s="47" t="s">
        <v>3481</v>
      </c>
      <c r="C1621" s="47" t="s">
        <v>7757</v>
      </c>
      <c r="D1621" s="47" t="s">
        <v>159</v>
      </c>
      <c r="E1621" s="47" t="s">
        <v>430</v>
      </c>
      <c r="F1621" s="47">
        <v>488.0</v>
      </c>
      <c r="G1621" s="47">
        <v>8.62</v>
      </c>
      <c r="H1621" s="47">
        <v>56.6</v>
      </c>
      <c r="I1621" s="47" t="s">
        <v>75</v>
      </c>
    </row>
    <row r="1622" ht="15.75" customHeight="1">
      <c r="A1622" s="47" t="s">
        <v>3482</v>
      </c>
      <c r="B1622" s="47" t="s">
        <v>3483</v>
      </c>
      <c r="C1622" s="47" t="s">
        <v>7757</v>
      </c>
      <c r="D1622" s="47" t="s">
        <v>200</v>
      </c>
      <c r="E1622" s="47" t="s">
        <v>494</v>
      </c>
      <c r="F1622" s="47">
        <v>917.0</v>
      </c>
      <c r="G1622" s="47">
        <v>10.67</v>
      </c>
      <c r="H1622" s="47">
        <v>85.9</v>
      </c>
      <c r="I1622" s="47" t="s">
        <v>62</v>
      </c>
    </row>
    <row r="1623" ht="15.75" customHeight="1">
      <c r="A1623" s="47" t="s">
        <v>3484</v>
      </c>
      <c r="B1623" s="47" t="s">
        <v>3485</v>
      </c>
      <c r="C1623" s="47" t="s">
        <v>7757</v>
      </c>
      <c r="D1623" s="47" t="s">
        <v>155</v>
      </c>
      <c r="E1623" s="47" t="s">
        <v>420</v>
      </c>
      <c r="F1623" s="47">
        <v>178.0</v>
      </c>
      <c r="G1623" s="47">
        <v>3.11</v>
      </c>
      <c r="H1623" s="47">
        <v>57.2</v>
      </c>
      <c r="I1623" s="47" t="s">
        <v>75</v>
      </c>
    </row>
    <row r="1624" ht="15.75" customHeight="1">
      <c r="A1624" s="47" t="s">
        <v>3486</v>
      </c>
      <c r="B1624" s="47" t="s">
        <v>3487</v>
      </c>
      <c r="C1624" s="47" t="s">
        <v>7757</v>
      </c>
      <c r="D1624" s="47" t="s">
        <v>155</v>
      </c>
      <c r="E1624" s="47" t="s">
        <v>420</v>
      </c>
      <c r="F1624" s="47">
        <v>231.0</v>
      </c>
      <c r="G1624" s="47">
        <v>11.06</v>
      </c>
      <c r="H1624" s="47">
        <v>20.9</v>
      </c>
      <c r="I1624" s="47" t="s">
        <v>75</v>
      </c>
    </row>
    <row r="1625" ht="15.75" customHeight="1">
      <c r="A1625" s="47" t="s">
        <v>3488</v>
      </c>
      <c r="B1625" s="47" t="s">
        <v>3489</v>
      </c>
      <c r="C1625" s="47" t="s">
        <v>7757</v>
      </c>
      <c r="D1625" s="47" t="s">
        <v>173</v>
      </c>
      <c r="E1625" s="47" t="s">
        <v>460</v>
      </c>
      <c r="F1625" s="47">
        <v>203.0</v>
      </c>
      <c r="G1625" s="47">
        <v>3.28</v>
      </c>
      <c r="H1625" s="47">
        <v>61.9</v>
      </c>
      <c r="I1625" s="47" t="s">
        <v>75</v>
      </c>
    </row>
    <row r="1626" ht="15.75" customHeight="1">
      <c r="A1626" s="47" t="s">
        <v>3490</v>
      </c>
      <c r="B1626" s="47" t="s">
        <v>3491</v>
      </c>
      <c r="C1626" s="47" t="s">
        <v>7757</v>
      </c>
      <c r="D1626" s="47" t="s">
        <v>231</v>
      </c>
      <c r="E1626" s="47" t="s">
        <v>406</v>
      </c>
      <c r="F1626" s="47">
        <v>1092.0</v>
      </c>
      <c r="G1626" s="47">
        <v>5.88</v>
      </c>
      <c r="H1626" s="47">
        <v>185.7</v>
      </c>
      <c r="I1626" s="47" t="s">
        <v>62</v>
      </c>
    </row>
    <row r="1627" ht="15.75" customHeight="1">
      <c r="A1627" s="47" t="s">
        <v>3492</v>
      </c>
      <c r="B1627" s="47" t="s">
        <v>3493</v>
      </c>
      <c r="C1627" s="47" t="s">
        <v>7757</v>
      </c>
      <c r="D1627" s="47" t="s">
        <v>203</v>
      </c>
      <c r="E1627" s="47" t="s">
        <v>524</v>
      </c>
      <c r="F1627" s="47">
        <v>274.0</v>
      </c>
      <c r="G1627" s="47">
        <v>6.29</v>
      </c>
      <c r="H1627" s="47">
        <v>43.6</v>
      </c>
      <c r="I1627" s="47" t="s">
        <v>75</v>
      </c>
    </row>
    <row r="1628" ht="15.75" customHeight="1">
      <c r="A1628" s="47" t="s">
        <v>3494</v>
      </c>
      <c r="B1628" s="47" t="s">
        <v>3495</v>
      </c>
      <c r="C1628" s="47" t="s">
        <v>7757</v>
      </c>
      <c r="D1628" s="47" t="s">
        <v>190</v>
      </c>
      <c r="E1628" s="47" t="s">
        <v>501</v>
      </c>
      <c r="F1628" s="47">
        <v>987.0</v>
      </c>
      <c r="G1628" s="47">
        <v>9.83</v>
      </c>
      <c r="H1628" s="47">
        <v>100.4</v>
      </c>
      <c r="I1628" s="47" t="s">
        <v>62</v>
      </c>
    </row>
    <row r="1629" ht="15.75" customHeight="1">
      <c r="A1629" s="47" t="s">
        <v>3496</v>
      </c>
      <c r="B1629" s="47" t="s">
        <v>3497</v>
      </c>
      <c r="C1629" s="47" t="s">
        <v>7757</v>
      </c>
      <c r="D1629" s="47" t="s">
        <v>173</v>
      </c>
      <c r="E1629" s="47" t="s">
        <v>460</v>
      </c>
      <c r="F1629" s="47">
        <v>2042.0</v>
      </c>
      <c r="G1629" s="47">
        <v>10.08</v>
      </c>
      <c r="H1629" s="47">
        <v>202.6</v>
      </c>
      <c r="I1629" s="47" t="s">
        <v>142</v>
      </c>
    </row>
    <row r="1630" ht="15.75" customHeight="1">
      <c r="A1630" s="47" t="s">
        <v>3498</v>
      </c>
      <c r="B1630" s="47" t="s">
        <v>3499</v>
      </c>
      <c r="C1630" s="47" t="s">
        <v>7757</v>
      </c>
      <c r="D1630" s="47" t="s">
        <v>200</v>
      </c>
      <c r="E1630" s="47" t="s">
        <v>494</v>
      </c>
      <c r="F1630" s="47">
        <v>949.0</v>
      </c>
      <c r="G1630" s="47">
        <v>10.84</v>
      </c>
      <c r="H1630" s="47">
        <v>87.5</v>
      </c>
      <c r="I1630" s="47" t="s">
        <v>62</v>
      </c>
    </row>
    <row r="1631" ht="15.75" customHeight="1">
      <c r="A1631" s="47" t="s">
        <v>3500</v>
      </c>
      <c r="B1631" s="47" t="s">
        <v>3501</v>
      </c>
      <c r="C1631" s="47" t="s">
        <v>7757</v>
      </c>
      <c r="D1631" s="47" t="s">
        <v>195</v>
      </c>
      <c r="E1631" s="47" t="s">
        <v>509</v>
      </c>
      <c r="F1631" s="47">
        <v>323.0</v>
      </c>
      <c r="G1631" s="47">
        <v>7.34</v>
      </c>
      <c r="H1631" s="47">
        <v>44.0</v>
      </c>
      <c r="I1631" s="47" t="s">
        <v>75</v>
      </c>
    </row>
    <row r="1632" ht="15.75" customHeight="1">
      <c r="A1632" s="47" t="s">
        <v>3502</v>
      </c>
      <c r="B1632" s="47" t="s">
        <v>3503</v>
      </c>
      <c r="C1632" s="47" t="s">
        <v>7757</v>
      </c>
      <c r="D1632" s="47" t="s">
        <v>196</v>
      </c>
      <c r="E1632" s="47" t="s">
        <v>514</v>
      </c>
      <c r="F1632" s="47">
        <v>620.0</v>
      </c>
      <c r="G1632" s="47">
        <v>8.59</v>
      </c>
      <c r="H1632" s="47">
        <v>72.2</v>
      </c>
      <c r="I1632" s="47" t="s">
        <v>62</v>
      </c>
    </row>
    <row r="1633" ht="15.75" customHeight="1">
      <c r="A1633" s="47" t="s">
        <v>3504</v>
      </c>
      <c r="B1633" s="47" t="s">
        <v>3505</v>
      </c>
      <c r="C1633" s="47" t="s">
        <v>7757</v>
      </c>
      <c r="D1633" s="47" t="s">
        <v>196</v>
      </c>
      <c r="E1633" s="47" t="s">
        <v>514</v>
      </c>
      <c r="F1633" s="47">
        <v>215.0</v>
      </c>
      <c r="G1633" s="47">
        <v>4.33</v>
      </c>
      <c r="H1633" s="47">
        <v>49.7</v>
      </c>
      <c r="I1633" s="47" t="s">
        <v>75</v>
      </c>
    </row>
    <row r="1634" ht="15.75" customHeight="1">
      <c r="A1634" s="47" t="s">
        <v>3506</v>
      </c>
      <c r="B1634" s="47" t="s">
        <v>3507</v>
      </c>
      <c r="C1634" s="47" t="s">
        <v>7757</v>
      </c>
      <c r="D1634" s="47" t="s">
        <v>159</v>
      </c>
      <c r="E1634" s="47" t="s">
        <v>430</v>
      </c>
      <c r="F1634" s="47">
        <v>198.0</v>
      </c>
      <c r="G1634" s="47">
        <v>8.55</v>
      </c>
      <c r="H1634" s="47">
        <v>23.2</v>
      </c>
      <c r="I1634" s="47" t="s">
        <v>75</v>
      </c>
    </row>
    <row r="1635" ht="15.75" customHeight="1">
      <c r="A1635" s="47" t="s">
        <v>3508</v>
      </c>
      <c r="B1635" s="47" t="s">
        <v>3509</v>
      </c>
      <c r="C1635" s="47" t="s">
        <v>7757</v>
      </c>
      <c r="D1635" s="47" t="s">
        <v>159</v>
      </c>
      <c r="E1635" s="47" t="s">
        <v>430</v>
      </c>
      <c r="F1635" s="47">
        <v>239.0</v>
      </c>
      <c r="G1635" s="47">
        <v>14.44</v>
      </c>
      <c r="H1635" s="47">
        <v>16.6</v>
      </c>
      <c r="I1635" s="47" t="s">
        <v>75</v>
      </c>
    </row>
    <row r="1636" ht="15.75" customHeight="1">
      <c r="A1636" s="47" t="s">
        <v>3510</v>
      </c>
      <c r="B1636" s="47" t="s">
        <v>3511</v>
      </c>
      <c r="C1636" s="47" t="s">
        <v>7757</v>
      </c>
      <c r="D1636" s="47" t="s">
        <v>211</v>
      </c>
      <c r="E1636" s="47" t="s">
        <v>544</v>
      </c>
      <c r="F1636" s="47">
        <v>537.0</v>
      </c>
      <c r="G1636" s="47">
        <v>8.02</v>
      </c>
      <c r="H1636" s="47">
        <v>67.0</v>
      </c>
      <c r="I1636" s="47" t="s">
        <v>62</v>
      </c>
    </row>
    <row r="1637" ht="15.75" customHeight="1">
      <c r="A1637" s="47" t="s">
        <v>3512</v>
      </c>
      <c r="B1637" s="47" t="s">
        <v>3513</v>
      </c>
      <c r="C1637" s="47" t="s">
        <v>7757</v>
      </c>
      <c r="D1637" s="47" t="s">
        <v>176</v>
      </c>
      <c r="E1637" s="47" t="s">
        <v>470</v>
      </c>
      <c r="F1637" s="47">
        <v>1080.0</v>
      </c>
      <c r="G1637" s="47">
        <v>13.97</v>
      </c>
      <c r="H1637" s="47">
        <v>77.3</v>
      </c>
      <c r="I1637" s="47" t="s">
        <v>62</v>
      </c>
    </row>
    <row r="1638" ht="15.75" customHeight="1">
      <c r="A1638" s="47" t="s">
        <v>3514</v>
      </c>
      <c r="B1638" s="47" t="s">
        <v>3515</v>
      </c>
      <c r="C1638" s="47" t="s">
        <v>7757</v>
      </c>
      <c r="D1638" s="47" t="s">
        <v>231</v>
      </c>
      <c r="E1638" s="47" t="s">
        <v>406</v>
      </c>
      <c r="F1638" s="47">
        <v>987.0</v>
      </c>
      <c r="G1638" s="47">
        <v>10.42</v>
      </c>
      <c r="H1638" s="47">
        <v>94.7</v>
      </c>
      <c r="I1638" s="47" t="s">
        <v>62</v>
      </c>
    </row>
    <row r="1639" ht="15.75" customHeight="1">
      <c r="A1639" s="47" t="s">
        <v>3516</v>
      </c>
      <c r="B1639" s="47" t="s">
        <v>3517</v>
      </c>
      <c r="C1639" s="47" t="s">
        <v>7757</v>
      </c>
      <c r="D1639" s="47" t="s">
        <v>196</v>
      </c>
      <c r="E1639" s="47" t="s">
        <v>514</v>
      </c>
      <c r="F1639" s="47">
        <v>376.0</v>
      </c>
      <c r="G1639" s="47">
        <v>8.31</v>
      </c>
      <c r="H1639" s="47">
        <v>45.2</v>
      </c>
      <c r="I1639" s="47" t="s">
        <v>75</v>
      </c>
    </row>
    <row r="1640" ht="15.75" customHeight="1">
      <c r="A1640" s="47" t="s">
        <v>3518</v>
      </c>
      <c r="B1640" s="47" t="s">
        <v>3519</v>
      </c>
      <c r="C1640" s="47" t="s">
        <v>7757</v>
      </c>
      <c r="D1640" s="47" t="s">
        <v>155</v>
      </c>
      <c r="E1640" s="47" t="s">
        <v>420</v>
      </c>
      <c r="F1640" s="47">
        <v>250.0</v>
      </c>
      <c r="G1640" s="47">
        <v>6.12</v>
      </c>
      <c r="H1640" s="47">
        <v>40.8</v>
      </c>
      <c r="I1640" s="47" t="s">
        <v>75</v>
      </c>
    </row>
    <row r="1641" ht="15.75" customHeight="1">
      <c r="A1641" s="47" t="s">
        <v>3520</v>
      </c>
      <c r="B1641" s="47" t="s">
        <v>3521</v>
      </c>
      <c r="C1641" s="47" t="s">
        <v>7757</v>
      </c>
      <c r="D1641" s="47" t="s">
        <v>203</v>
      </c>
      <c r="E1641" s="47" t="s">
        <v>524</v>
      </c>
      <c r="F1641" s="47">
        <v>310.0</v>
      </c>
      <c r="G1641" s="47">
        <v>2.74</v>
      </c>
      <c r="H1641" s="47">
        <v>113.1</v>
      </c>
      <c r="I1641" s="47" t="s">
        <v>75</v>
      </c>
    </row>
    <row r="1642" ht="15.75" customHeight="1">
      <c r="A1642" s="47" t="s">
        <v>3522</v>
      </c>
      <c r="B1642" s="47" t="s">
        <v>3523</v>
      </c>
      <c r="C1642" s="47" t="s">
        <v>7757</v>
      </c>
      <c r="D1642" s="47" t="s">
        <v>203</v>
      </c>
      <c r="E1642" s="47" t="s">
        <v>524</v>
      </c>
      <c r="F1642" s="47">
        <v>248.0</v>
      </c>
      <c r="G1642" s="47">
        <v>2.76</v>
      </c>
      <c r="H1642" s="47">
        <v>89.9</v>
      </c>
      <c r="I1642" s="47" t="s">
        <v>75</v>
      </c>
    </row>
    <row r="1643" ht="15.75" customHeight="1">
      <c r="A1643" s="47" t="s">
        <v>3524</v>
      </c>
      <c r="B1643" s="47" t="s">
        <v>3525</v>
      </c>
      <c r="C1643" s="47" t="s">
        <v>7757</v>
      </c>
      <c r="D1643" s="47" t="s">
        <v>195</v>
      </c>
      <c r="E1643" s="47" t="s">
        <v>509</v>
      </c>
      <c r="F1643" s="47">
        <v>412.0</v>
      </c>
      <c r="G1643" s="47">
        <v>8.58</v>
      </c>
      <c r="H1643" s="47">
        <v>48.0</v>
      </c>
      <c r="I1643" s="47" t="s">
        <v>75</v>
      </c>
    </row>
    <row r="1644" ht="15.75" customHeight="1">
      <c r="A1644" s="47" t="s">
        <v>3526</v>
      </c>
      <c r="B1644" s="47" t="s">
        <v>3527</v>
      </c>
      <c r="C1644" s="47" t="s">
        <v>7757</v>
      </c>
      <c r="D1644" s="47" t="s">
        <v>196</v>
      </c>
      <c r="E1644" s="47" t="s">
        <v>514</v>
      </c>
      <c r="F1644" s="47">
        <v>297.0</v>
      </c>
      <c r="G1644" s="47">
        <v>5.77</v>
      </c>
      <c r="H1644" s="47">
        <v>51.5</v>
      </c>
      <c r="I1644" s="47" t="s">
        <v>75</v>
      </c>
    </row>
    <row r="1645" ht="15.75" customHeight="1">
      <c r="A1645" s="47" t="s">
        <v>3528</v>
      </c>
      <c r="B1645" s="47" t="s">
        <v>3529</v>
      </c>
      <c r="C1645" s="47" t="s">
        <v>7757</v>
      </c>
      <c r="D1645" s="47" t="s">
        <v>159</v>
      </c>
      <c r="E1645" s="47" t="s">
        <v>430</v>
      </c>
      <c r="F1645" s="47">
        <v>48.0</v>
      </c>
      <c r="G1645" s="47">
        <v>1.33</v>
      </c>
      <c r="H1645" s="47">
        <v>36.1</v>
      </c>
      <c r="I1645" s="47" t="s">
        <v>75</v>
      </c>
    </row>
    <row r="1646" ht="15.75" customHeight="1">
      <c r="A1646" s="47" t="s">
        <v>3530</v>
      </c>
      <c r="B1646" s="47" t="s">
        <v>3531</v>
      </c>
      <c r="C1646" s="47" t="s">
        <v>7757</v>
      </c>
      <c r="D1646" s="47" t="s">
        <v>196</v>
      </c>
      <c r="E1646" s="47" t="s">
        <v>514</v>
      </c>
      <c r="F1646" s="47">
        <v>922.0</v>
      </c>
      <c r="G1646" s="47">
        <v>10.97</v>
      </c>
      <c r="H1646" s="47">
        <v>84.0</v>
      </c>
      <c r="I1646" s="47" t="s">
        <v>62</v>
      </c>
    </row>
    <row r="1647" ht="15.75" customHeight="1">
      <c r="A1647" s="47" t="s">
        <v>3532</v>
      </c>
      <c r="B1647" s="47" t="s">
        <v>3533</v>
      </c>
      <c r="C1647" s="47" t="s">
        <v>7757</v>
      </c>
      <c r="D1647" s="47" t="s">
        <v>195</v>
      </c>
      <c r="E1647" s="47" t="s">
        <v>509</v>
      </c>
      <c r="F1647" s="47">
        <v>283.0</v>
      </c>
      <c r="G1647" s="47">
        <v>1.85</v>
      </c>
      <c r="H1647" s="47">
        <v>153.0</v>
      </c>
      <c r="I1647" s="47" t="s">
        <v>75</v>
      </c>
    </row>
    <row r="1648" ht="15.75" customHeight="1">
      <c r="A1648" s="47" t="s">
        <v>3534</v>
      </c>
      <c r="B1648" s="47" t="s">
        <v>3535</v>
      </c>
      <c r="C1648" s="47" t="s">
        <v>7757</v>
      </c>
      <c r="D1648" s="47" t="s">
        <v>211</v>
      </c>
      <c r="E1648" s="47" t="s">
        <v>544</v>
      </c>
      <c r="F1648" s="47">
        <v>121.0</v>
      </c>
      <c r="G1648" s="47">
        <v>4.51</v>
      </c>
      <c r="H1648" s="47">
        <v>26.8</v>
      </c>
      <c r="I1648" s="47" t="s">
        <v>75</v>
      </c>
    </row>
    <row r="1649" ht="15.75" customHeight="1">
      <c r="A1649" s="47" t="s">
        <v>3536</v>
      </c>
      <c r="B1649" s="47" t="s">
        <v>3537</v>
      </c>
      <c r="C1649" s="47" t="s">
        <v>7757</v>
      </c>
      <c r="D1649" s="47" t="s">
        <v>211</v>
      </c>
      <c r="E1649" s="47" t="s">
        <v>544</v>
      </c>
      <c r="F1649" s="47">
        <v>544.0</v>
      </c>
      <c r="G1649" s="47">
        <v>16.99</v>
      </c>
      <c r="H1649" s="47">
        <v>32.0</v>
      </c>
      <c r="I1649" s="47" t="s">
        <v>62</v>
      </c>
    </row>
    <row r="1650" ht="15.75" customHeight="1">
      <c r="A1650" s="47" t="s">
        <v>3538</v>
      </c>
      <c r="B1650" s="47" t="s">
        <v>3539</v>
      </c>
      <c r="C1650" s="47" t="s">
        <v>7757</v>
      </c>
      <c r="D1650" s="47" t="s">
        <v>160</v>
      </c>
      <c r="E1650" s="47" t="s">
        <v>435</v>
      </c>
      <c r="F1650" s="47">
        <v>281.0</v>
      </c>
      <c r="G1650" s="47">
        <v>7.22</v>
      </c>
      <c r="H1650" s="47">
        <v>38.9</v>
      </c>
      <c r="I1650" s="47" t="s">
        <v>75</v>
      </c>
    </row>
    <row r="1651" ht="15.75" customHeight="1">
      <c r="A1651" s="47" t="s">
        <v>3540</v>
      </c>
      <c r="B1651" s="47" t="s">
        <v>3541</v>
      </c>
      <c r="C1651" s="47" t="s">
        <v>7757</v>
      </c>
      <c r="D1651" s="47" t="s">
        <v>211</v>
      </c>
      <c r="E1651" s="47" t="s">
        <v>544</v>
      </c>
      <c r="F1651" s="47">
        <v>598.0</v>
      </c>
      <c r="G1651" s="47">
        <v>8.62</v>
      </c>
      <c r="H1651" s="47">
        <v>69.4</v>
      </c>
      <c r="I1651" s="47" t="s">
        <v>62</v>
      </c>
    </row>
    <row r="1652" ht="15.75" customHeight="1">
      <c r="A1652" s="47" t="s">
        <v>3542</v>
      </c>
      <c r="B1652" s="47" t="s">
        <v>3543</v>
      </c>
      <c r="C1652" s="47" t="s">
        <v>7757</v>
      </c>
      <c r="D1652" s="47" t="s">
        <v>231</v>
      </c>
      <c r="E1652" s="47" t="s">
        <v>406</v>
      </c>
      <c r="F1652" s="47">
        <v>1603.0</v>
      </c>
      <c r="G1652" s="47">
        <v>4.38</v>
      </c>
      <c r="H1652" s="47">
        <v>366.0</v>
      </c>
      <c r="I1652" s="47" t="s">
        <v>62</v>
      </c>
    </row>
    <row r="1653" ht="15.75" customHeight="1">
      <c r="A1653" s="47" t="s">
        <v>3544</v>
      </c>
      <c r="B1653" s="47" t="s">
        <v>3545</v>
      </c>
      <c r="C1653" s="47" t="s">
        <v>7757</v>
      </c>
      <c r="D1653" s="47" t="s">
        <v>195</v>
      </c>
      <c r="E1653" s="47" t="s">
        <v>509</v>
      </c>
      <c r="F1653" s="47">
        <v>906.0</v>
      </c>
      <c r="G1653" s="47">
        <v>16.69</v>
      </c>
      <c r="H1653" s="47">
        <v>54.3</v>
      </c>
      <c r="I1653" s="47" t="s">
        <v>62</v>
      </c>
    </row>
    <row r="1654" ht="15.75" customHeight="1">
      <c r="A1654" s="47" t="s">
        <v>3546</v>
      </c>
      <c r="B1654" s="47" t="s">
        <v>3547</v>
      </c>
      <c r="C1654" s="47" t="s">
        <v>7757</v>
      </c>
      <c r="D1654" s="47" t="s">
        <v>159</v>
      </c>
      <c r="E1654" s="47" t="s">
        <v>430</v>
      </c>
      <c r="F1654" s="47">
        <v>172.0</v>
      </c>
      <c r="G1654" s="47">
        <v>9.03</v>
      </c>
      <c r="H1654" s="47">
        <v>19.0</v>
      </c>
      <c r="I1654" s="47" t="s">
        <v>75</v>
      </c>
    </row>
    <row r="1655" ht="15.75" customHeight="1">
      <c r="A1655" s="47" t="s">
        <v>3548</v>
      </c>
      <c r="B1655" s="47" t="s">
        <v>3549</v>
      </c>
      <c r="C1655" s="47" t="s">
        <v>7757</v>
      </c>
      <c r="D1655" s="47" t="s">
        <v>183</v>
      </c>
      <c r="E1655" s="47" t="s">
        <v>482</v>
      </c>
      <c r="F1655" s="47">
        <v>589.0</v>
      </c>
      <c r="G1655" s="47">
        <v>5.92</v>
      </c>
      <c r="H1655" s="47">
        <v>99.5</v>
      </c>
      <c r="I1655" s="47" t="s">
        <v>62</v>
      </c>
    </row>
    <row r="1656" ht="15.75" customHeight="1">
      <c r="A1656" s="47" t="s">
        <v>3550</v>
      </c>
      <c r="B1656" s="47" t="s">
        <v>3551</v>
      </c>
      <c r="C1656" s="47" t="s">
        <v>7757</v>
      </c>
      <c r="D1656" s="47" t="s">
        <v>203</v>
      </c>
      <c r="E1656" s="47" t="s">
        <v>524</v>
      </c>
      <c r="F1656" s="47">
        <v>185.0</v>
      </c>
      <c r="G1656" s="47">
        <v>3.79</v>
      </c>
      <c r="H1656" s="47">
        <v>48.8</v>
      </c>
      <c r="I1656" s="47" t="s">
        <v>75</v>
      </c>
    </row>
    <row r="1657" ht="15.75" customHeight="1">
      <c r="A1657" s="47" t="s">
        <v>3552</v>
      </c>
      <c r="B1657" s="47" t="s">
        <v>3553</v>
      </c>
      <c r="C1657" s="47" t="s">
        <v>7757</v>
      </c>
      <c r="D1657" s="47" t="s">
        <v>159</v>
      </c>
      <c r="E1657" s="47" t="s">
        <v>430</v>
      </c>
      <c r="F1657" s="47">
        <v>226.0</v>
      </c>
      <c r="G1657" s="47">
        <v>11.76</v>
      </c>
      <c r="H1657" s="47">
        <v>19.2</v>
      </c>
      <c r="I1657" s="47" t="s">
        <v>75</v>
      </c>
    </row>
    <row r="1658" ht="15.75" customHeight="1">
      <c r="A1658" s="47" t="s">
        <v>3554</v>
      </c>
      <c r="B1658" s="47" t="s">
        <v>3555</v>
      </c>
      <c r="C1658" s="47" t="s">
        <v>7757</v>
      </c>
      <c r="D1658" s="47" t="s">
        <v>176</v>
      </c>
      <c r="E1658" s="47" t="s">
        <v>470</v>
      </c>
      <c r="F1658" s="47">
        <v>1623.0</v>
      </c>
      <c r="G1658" s="47">
        <v>7.73</v>
      </c>
      <c r="H1658" s="47">
        <v>210.0</v>
      </c>
      <c r="I1658" s="47" t="s">
        <v>62</v>
      </c>
    </row>
    <row r="1659" ht="15.75" customHeight="1">
      <c r="A1659" s="47" t="s">
        <v>3556</v>
      </c>
      <c r="B1659" s="47" t="s">
        <v>3557</v>
      </c>
      <c r="C1659" s="47" t="s">
        <v>7757</v>
      </c>
      <c r="D1659" s="47" t="s">
        <v>159</v>
      </c>
      <c r="E1659" s="47" t="s">
        <v>430</v>
      </c>
      <c r="F1659" s="47">
        <v>176.0</v>
      </c>
      <c r="G1659" s="47">
        <v>3.36</v>
      </c>
      <c r="H1659" s="47">
        <v>52.4</v>
      </c>
      <c r="I1659" s="47" t="s">
        <v>75</v>
      </c>
    </row>
    <row r="1660" ht="15.75" customHeight="1">
      <c r="A1660" s="47" t="s">
        <v>3558</v>
      </c>
      <c r="B1660" s="47" t="s">
        <v>3559</v>
      </c>
      <c r="C1660" s="47" t="s">
        <v>7757</v>
      </c>
      <c r="D1660" s="47" t="s">
        <v>190</v>
      </c>
      <c r="E1660" s="47" t="s">
        <v>501</v>
      </c>
      <c r="F1660" s="47">
        <v>507.0</v>
      </c>
      <c r="G1660" s="47">
        <v>6.05</v>
      </c>
      <c r="H1660" s="47">
        <v>83.8</v>
      </c>
      <c r="I1660" s="47" t="s">
        <v>62</v>
      </c>
    </row>
    <row r="1661" ht="15.75" customHeight="1">
      <c r="A1661" s="47" t="s">
        <v>3560</v>
      </c>
      <c r="B1661" s="47" t="s">
        <v>3561</v>
      </c>
      <c r="C1661" s="47" t="s">
        <v>7757</v>
      </c>
      <c r="D1661" s="47" t="s">
        <v>155</v>
      </c>
      <c r="E1661" s="47" t="s">
        <v>420</v>
      </c>
      <c r="F1661" s="47">
        <v>732.0</v>
      </c>
      <c r="G1661" s="47">
        <v>9.87</v>
      </c>
      <c r="H1661" s="47">
        <v>74.2</v>
      </c>
      <c r="I1661" s="47" t="s">
        <v>62</v>
      </c>
    </row>
    <row r="1662" ht="15.75" customHeight="1">
      <c r="A1662" s="47" t="s">
        <v>3562</v>
      </c>
      <c r="B1662" s="47" t="s">
        <v>3563</v>
      </c>
      <c r="C1662" s="47" t="s">
        <v>7757</v>
      </c>
      <c r="D1662" s="47" t="s">
        <v>203</v>
      </c>
      <c r="E1662" s="47" t="s">
        <v>524</v>
      </c>
      <c r="F1662" s="47">
        <v>505.0</v>
      </c>
      <c r="G1662" s="47">
        <v>13.64</v>
      </c>
      <c r="H1662" s="47">
        <v>37.0</v>
      </c>
      <c r="I1662" s="47" t="s">
        <v>62</v>
      </c>
    </row>
    <row r="1663" ht="15.75" customHeight="1">
      <c r="A1663" s="47" t="s">
        <v>3564</v>
      </c>
      <c r="B1663" s="47" t="s">
        <v>3565</v>
      </c>
      <c r="C1663" s="47" t="s">
        <v>7757</v>
      </c>
      <c r="D1663" s="47" t="s">
        <v>160</v>
      </c>
      <c r="E1663" s="47" t="s">
        <v>435</v>
      </c>
      <c r="F1663" s="47">
        <v>3664.0</v>
      </c>
      <c r="G1663" s="47">
        <v>8.11</v>
      </c>
      <c r="H1663" s="47">
        <v>451.8</v>
      </c>
      <c r="I1663" s="47" t="s">
        <v>142</v>
      </c>
    </row>
    <row r="1664" ht="15.75" customHeight="1">
      <c r="A1664" s="47" t="s">
        <v>3566</v>
      </c>
      <c r="B1664" s="47" t="s">
        <v>3567</v>
      </c>
      <c r="C1664" s="47" t="s">
        <v>7757</v>
      </c>
      <c r="D1664" s="47" t="s">
        <v>195</v>
      </c>
      <c r="E1664" s="47" t="s">
        <v>509</v>
      </c>
      <c r="F1664" s="47">
        <v>180.0</v>
      </c>
      <c r="G1664" s="47">
        <v>7.19</v>
      </c>
      <c r="H1664" s="47">
        <v>25.0</v>
      </c>
      <c r="I1664" s="47" t="s">
        <v>75</v>
      </c>
    </row>
    <row r="1665" ht="15.75" customHeight="1">
      <c r="A1665" s="47" t="s">
        <v>3568</v>
      </c>
      <c r="B1665" s="47" t="s">
        <v>3569</v>
      </c>
      <c r="C1665" s="47" t="s">
        <v>7757</v>
      </c>
      <c r="D1665" s="47" t="s">
        <v>183</v>
      </c>
      <c r="E1665" s="47" t="s">
        <v>482</v>
      </c>
      <c r="F1665" s="47">
        <v>844.0</v>
      </c>
      <c r="G1665" s="47">
        <v>9.58</v>
      </c>
      <c r="H1665" s="47">
        <v>88.1</v>
      </c>
      <c r="I1665" s="47" t="s">
        <v>62</v>
      </c>
    </row>
    <row r="1666" ht="15.75" customHeight="1">
      <c r="A1666" s="47" t="s">
        <v>3570</v>
      </c>
      <c r="B1666" s="47" t="s">
        <v>3571</v>
      </c>
      <c r="C1666" s="47" t="s">
        <v>7757</v>
      </c>
      <c r="D1666" s="47" t="s">
        <v>195</v>
      </c>
      <c r="E1666" s="47" t="s">
        <v>509</v>
      </c>
      <c r="F1666" s="47">
        <v>411.0</v>
      </c>
      <c r="G1666" s="47">
        <v>10.5</v>
      </c>
      <c r="H1666" s="47">
        <v>39.1</v>
      </c>
      <c r="I1666" s="47" t="s">
        <v>75</v>
      </c>
    </row>
    <row r="1667" ht="15.75" customHeight="1">
      <c r="A1667" s="47" t="s">
        <v>3572</v>
      </c>
      <c r="B1667" s="47" t="s">
        <v>3573</v>
      </c>
      <c r="C1667" s="47" t="s">
        <v>7757</v>
      </c>
      <c r="D1667" s="47" t="s">
        <v>196</v>
      </c>
      <c r="E1667" s="47" t="s">
        <v>514</v>
      </c>
      <c r="F1667" s="47">
        <v>209.0</v>
      </c>
      <c r="G1667" s="47">
        <v>3.03</v>
      </c>
      <c r="H1667" s="47">
        <v>69.0</v>
      </c>
      <c r="I1667" s="47" t="s">
        <v>75</v>
      </c>
    </row>
    <row r="1668" ht="15.75" customHeight="1">
      <c r="A1668" s="47" t="s">
        <v>3574</v>
      </c>
      <c r="B1668" s="47" t="s">
        <v>3575</v>
      </c>
      <c r="C1668" s="47" t="s">
        <v>7757</v>
      </c>
      <c r="D1668" s="47" t="s">
        <v>211</v>
      </c>
      <c r="E1668" s="47" t="s">
        <v>544</v>
      </c>
      <c r="F1668" s="47">
        <v>473.0</v>
      </c>
      <c r="G1668" s="47">
        <v>8.6</v>
      </c>
      <c r="H1668" s="47">
        <v>55.0</v>
      </c>
      <c r="I1668" s="47" t="s">
        <v>75</v>
      </c>
    </row>
    <row r="1669" ht="15.75" customHeight="1">
      <c r="A1669" s="47" t="s">
        <v>3576</v>
      </c>
      <c r="B1669" s="47" t="s">
        <v>3577</v>
      </c>
      <c r="C1669" s="47" t="s">
        <v>7757</v>
      </c>
      <c r="D1669" s="47" t="s">
        <v>160</v>
      </c>
      <c r="E1669" s="47" t="s">
        <v>435</v>
      </c>
      <c r="F1669" s="47">
        <v>233.0</v>
      </c>
      <c r="G1669" s="47">
        <v>2.6</v>
      </c>
      <c r="H1669" s="47">
        <v>89.6</v>
      </c>
      <c r="I1669" s="47" t="s">
        <v>75</v>
      </c>
    </row>
    <row r="1670" ht="15.75" customHeight="1">
      <c r="A1670" s="47" t="s">
        <v>3578</v>
      </c>
      <c r="B1670" s="47" t="s">
        <v>3579</v>
      </c>
      <c r="C1670" s="47" t="s">
        <v>7757</v>
      </c>
      <c r="D1670" s="47" t="s">
        <v>131</v>
      </c>
      <c r="E1670" s="47" t="s">
        <v>341</v>
      </c>
      <c r="F1670" s="47">
        <v>531.0</v>
      </c>
      <c r="G1670" s="47">
        <v>7.24</v>
      </c>
      <c r="H1670" s="47">
        <v>73.3</v>
      </c>
      <c r="I1670" s="47" t="s">
        <v>62</v>
      </c>
    </row>
    <row r="1671" ht="15.75" customHeight="1">
      <c r="A1671" s="47" t="s">
        <v>3580</v>
      </c>
      <c r="B1671" s="47" t="s">
        <v>3581</v>
      </c>
      <c r="C1671" s="47" t="s">
        <v>7757</v>
      </c>
      <c r="D1671" s="47" t="s">
        <v>195</v>
      </c>
      <c r="E1671" s="47" t="s">
        <v>509</v>
      </c>
      <c r="F1671" s="47">
        <v>465.0</v>
      </c>
      <c r="G1671" s="47">
        <v>11.54</v>
      </c>
      <c r="H1671" s="47">
        <v>40.3</v>
      </c>
      <c r="I1671" s="47" t="s">
        <v>75</v>
      </c>
    </row>
    <row r="1672" ht="15.75" customHeight="1">
      <c r="A1672" s="47" t="s">
        <v>3582</v>
      </c>
      <c r="B1672" s="47" t="s">
        <v>3583</v>
      </c>
      <c r="C1672" s="47" t="s">
        <v>7757</v>
      </c>
      <c r="D1672" s="47" t="s">
        <v>203</v>
      </c>
      <c r="E1672" s="47" t="s">
        <v>524</v>
      </c>
      <c r="F1672" s="47">
        <v>435.0</v>
      </c>
      <c r="G1672" s="47">
        <v>4.83</v>
      </c>
      <c r="H1672" s="47">
        <v>90.1</v>
      </c>
      <c r="I1672" s="47" t="s">
        <v>75</v>
      </c>
    </row>
    <row r="1673" ht="15.75" customHeight="1">
      <c r="A1673" s="47" t="s">
        <v>3584</v>
      </c>
      <c r="B1673" s="47" t="s">
        <v>3585</v>
      </c>
      <c r="C1673" s="47" t="s">
        <v>7757</v>
      </c>
      <c r="D1673" s="47" t="s">
        <v>159</v>
      </c>
      <c r="E1673" s="47" t="s">
        <v>430</v>
      </c>
      <c r="F1673" s="47">
        <v>1437.0</v>
      </c>
      <c r="G1673" s="47">
        <v>12.23</v>
      </c>
      <c r="H1673" s="47">
        <v>117.5</v>
      </c>
      <c r="I1673" s="47" t="s">
        <v>62</v>
      </c>
    </row>
    <row r="1674" ht="15.75" customHeight="1">
      <c r="A1674" s="47" t="s">
        <v>3586</v>
      </c>
      <c r="B1674" s="47" t="s">
        <v>3587</v>
      </c>
      <c r="C1674" s="47" t="s">
        <v>7757</v>
      </c>
      <c r="D1674" s="47" t="s">
        <v>183</v>
      </c>
      <c r="E1674" s="47" t="s">
        <v>482</v>
      </c>
      <c r="F1674" s="47">
        <v>2514.0</v>
      </c>
      <c r="G1674" s="47">
        <v>9.84</v>
      </c>
      <c r="H1674" s="47">
        <v>255.5</v>
      </c>
      <c r="I1674" s="47" t="s">
        <v>142</v>
      </c>
    </row>
    <row r="1675" ht="15.75" customHeight="1">
      <c r="A1675" s="47" t="s">
        <v>3588</v>
      </c>
      <c r="B1675" s="47" t="s">
        <v>3589</v>
      </c>
      <c r="C1675" s="47" t="s">
        <v>7757</v>
      </c>
      <c r="D1675" s="47" t="s">
        <v>190</v>
      </c>
      <c r="E1675" s="47" t="s">
        <v>501</v>
      </c>
      <c r="F1675" s="47">
        <v>684.0</v>
      </c>
      <c r="G1675" s="47">
        <v>18.57</v>
      </c>
      <c r="H1675" s="47">
        <v>36.8</v>
      </c>
      <c r="I1675" s="47" t="s">
        <v>62</v>
      </c>
    </row>
    <row r="1676" ht="15.75" customHeight="1">
      <c r="A1676" s="47" t="s">
        <v>3590</v>
      </c>
      <c r="B1676" s="47" t="s">
        <v>3591</v>
      </c>
      <c r="C1676" s="47" t="s">
        <v>7757</v>
      </c>
      <c r="D1676" s="47" t="s">
        <v>200</v>
      </c>
      <c r="E1676" s="47" t="s">
        <v>494</v>
      </c>
      <c r="F1676" s="47">
        <v>225.0</v>
      </c>
      <c r="G1676" s="47">
        <v>3.17</v>
      </c>
      <c r="H1676" s="47">
        <v>71.0</v>
      </c>
      <c r="I1676" s="47" t="s">
        <v>75</v>
      </c>
    </row>
    <row r="1677" ht="15.75" customHeight="1">
      <c r="A1677" s="47" t="s">
        <v>3592</v>
      </c>
      <c r="B1677" s="47" t="s">
        <v>3593</v>
      </c>
      <c r="C1677" s="47" t="s">
        <v>7757</v>
      </c>
      <c r="D1677" s="47" t="s">
        <v>155</v>
      </c>
      <c r="E1677" s="47" t="s">
        <v>420</v>
      </c>
      <c r="F1677" s="47">
        <v>84.0</v>
      </c>
      <c r="G1677" s="47">
        <v>4.8</v>
      </c>
      <c r="H1677" s="47">
        <v>17.5</v>
      </c>
      <c r="I1677" s="47" t="s">
        <v>75</v>
      </c>
    </row>
    <row r="1678" ht="15.75" customHeight="1">
      <c r="A1678" s="47" t="s">
        <v>3594</v>
      </c>
      <c r="B1678" s="47" t="s">
        <v>3595</v>
      </c>
      <c r="C1678" s="47" t="s">
        <v>7757</v>
      </c>
      <c r="D1678" s="47" t="s">
        <v>228</v>
      </c>
      <c r="E1678" s="47" t="s">
        <v>396</v>
      </c>
      <c r="F1678" s="47">
        <v>1910.0</v>
      </c>
      <c r="G1678" s="47">
        <v>12.02</v>
      </c>
      <c r="H1678" s="47">
        <v>158.9</v>
      </c>
      <c r="I1678" s="47" t="s">
        <v>62</v>
      </c>
    </row>
    <row r="1679" ht="15.75" customHeight="1">
      <c r="A1679" s="47" t="s">
        <v>3596</v>
      </c>
      <c r="B1679" s="47" t="s">
        <v>853</v>
      </c>
      <c r="C1679" s="47" t="s">
        <v>7757</v>
      </c>
      <c r="D1679" s="47" t="s">
        <v>211</v>
      </c>
      <c r="E1679" s="47" t="s">
        <v>544</v>
      </c>
      <c r="F1679" s="47">
        <v>592.0</v>
      </c>
      <c r="G1679" s="47">
        <v>6.31</v>
      </c>
      <c r="H1679" s="47">
        <v>93.8</v>
      </c>
      <c r="I1679" s="47" t="s">
        <v>62</v>
      </c>
    </row>
    <row r="1680" ht="15.75" customHeight="1">
      <c r="A1680" s="47" t="s">
        <v>3597</v>
      </c>
      <c r="B1680" s="47" t="s">
        <v>3598</v>
      </c>
      <c r="C1680" s="47" t="s">
        <v>7757</v>
      </c>
      <c r="D1680" s="47" t="s">
        <v>155</v>
      </c>
      <c r="E1680" s="47" t="s">
        <v>420</v>
      </c>
      <c r="F1680" s="47">
        <v>236.0</v>
      </c>
      <c r="G1680" s="47">
        <v>16.36</v>
      </c>
      <c r="H1680" s="47">
        <v>14.4</v>
      </c>
      <c r="I1680" s="47" t="s">
        <v>75</v>
      </c>
    </row>
    <row r="1681" ht="15.75" customHeight="1">
      <c r="A1681" s="47" t="s">
        <v>3599</v>
      </c>
      <c r="B1681" s="47" t="s">
        <v>3600</v>
      </c>
      <c r="C1681" s="47" t="s">
        <v>7757</v>
      </c>
      <c r="D1681" s="47" t="s">
        <v>228</v>
      </c>
      <c r="E1681" s="47" t="s">
        <v>396</v>
      </c>
      <c r="F1681" s="47">
        <v>318.0</v>
      </c>
      <c r="G1681" s="47">
        <v>33.36</v>
      </c>
      <c r="H1681" s="47">
        <v>9.5</v>
      </c>
      <c r="I1681" s="47" t="s">
        <v>75</v>
      </c>
    </row>
    <row r="1682" ht="15.75" customHeight="1">
      <c r="A1682" s="47" t="s">
        <v>3601</v>
      </c>
      <c r="B1682" s="47" t="s">
        <v>3602</v>
      </c>
      <c r="C1682" s="47" t="s">
        <v>7757</v>
      </c>
      <c r="D1682" s="47" t="s">
        <v>159</v>
      </c>
      <c r="E1682" s="47" t="s">
        <v>430</v>
      </c>
      <c r="F1682" s="47">
        <v>502.0</v>
      </c>
      <c r="G1682" s="47">
        <v>6.74</v>
      </c>
      <c r="H1682" s="47">
        <v>74.5</v>
      </c>
      <c r="I1682" s="47" t="s">
        <v>62</v>
      </c>
    </row>
    <row r="1683" ht="15.75" customHeight="1">
      <c r="A1683" s="47" t="s">
        <v>3603</v>
      </c>
      <c r="B1683" s="47" t="s">
        <v>3604</v>
      </c>
      <c r="C1683" s="47" t="s">
        <v>7757</v>
      </c>
      <c r="D1683" s="47" t="s">
        <v>131</v>
      </c>
      <c r="E1683" s="47" t="s">
        <v>341</v>
      </c>
      <c r="F1683" s="47">
        <v>176.0</v>
      </c>
      <c r="G1683" s="47">
        <v>7.28</v>
      </c>
      <c r="H1683" s="47">
        <v>24.2</v>
      </c>
      <c r="I1683" s="47" t="s">
        <v>75</v>
      </c>
    </row>
    <row r="1684" ht="15.75" customHeight="1">
      <c r="A1684" s="47" t="s">
        <v>3605</v>
      </c>
      <c r="B1684" s="47" t="s">
        <v>3606</v>
      </c>
      <c r="C1684" s="47" t="s">
        <v>7757</v>
      </c>
      <c r="D1684" s="47" t="s">
        <v>159</v>
      </c>
      <c r="E1684" s="47" t="s">
        <v>430</v>
      </c>
      <c r="F1684" s="47">
        <v>143.0</v>
      </c>
      <c r="G1684" s="47">
        <v>5.97</v>
      </c>
      <c r="H1684" s="47">
        <v>24.0</v>
      </c>
      <c r="I1684" s="47" t="s">
        <v>75</v>
      </c>
    </row>
    <row r="1685" ht="15.75" customHeight="1">
      <c r="A1685" s="47" t="s">
        <v>3607</v>
      </c>
      <c r="B1685" s="47" t="s">
        <v>3608</v>
      </c>
      <c r="C1685" s="47" t="s">
        <v>7757</v>
      </c>
      <c r="D1685" s="47" t="s">
        <v>159</v>
      </c>
      <c r="E1685" s="47" t="s">
        <v>430</v>
      </c>
      <c r="F1685" s="47">
        <v>2097.0</v>
      </c>
      <c r="G1685" s="47">
        <v>12.73</v>
      </c>
      <c r="H1685" s="47">
        <v>164.7</v>
      </c>
      <c r="I1685" s="47" t="s">
        <v>142</v>
      </c>
    </row>
    <row r="1686" ht="15.75" customHeight="1">
      <c r="A1686" s="47" t="s">
        <v>3609</v>
      </c>
      <c r="B1686" s="47" t="s">
        <v>3610</v>
      </c>
      <c r="C1686" s="47" t="s">
        <v>7757</v>
      </c>
      <c r="D1686" s="47" t="s">
        <v>183</v>
      </c>
      <c r="E1686" s="47" t="s">
        <v>482</v>
      </c>
      <c r="F1686" s="47">
        <v>143.0</v>
      </c>
      <c r="G1686" s="47">
        <v>2.98</v>
      </c>
      <c r="H1686" s="47">
        <v>48.0</v>
      </c>
      <c r="I1686" s="47" t="s">
        <v>75</v>
      </c>
    </row>
    <row r="1687" ht="15.75" customHeight="1">
      <c r="A1687" s="47" t="s">
        <v>3611</v>
      </c>
      <c r="B1687" s="47" t="s">
        <v>3612</v>
      </c>
      <c r="C1687" s="47" t="s">
        <v>7757</v>
      </c>
      <c r="D1687" s="47" t="s">
        <v>159</v>
      </c>
      <c r="E1687" s="47" t="s">
        <v>430</v>
      </c>
      <c r="F1687" s="47">
        <v>210.0</v>
      </c>
      <c r="G1687" s="47">
        <v>4.64</v>
      </c>
      <c r="H1687" s="47">
        <v>45.3</v>
      </c>
      <c r="I1687" s="47" t="s">
        <v>75</v>
      </c>
    </row>
    <row r="1688" ht="15.75" customHeight="1">
      <c r="A1688" s="47" t="s">
        <v>3613</v>
      </c>
      <c r="B1688" s="47" t="s">
        <v>3614</v>
      </c>
      <c r="C1688" s="47" t="s">
        <v>7757</v>
      </c>
      <c r="D1688" s="47" t="s">
        <v>231</v>
      </c>
      <c r="E1688" s="47" t="s">
        <v>406</v>
      </c>
      <c r="F1688" s="47">
        <v>193.0</v>
      </c>
      <c r="G1688" s="47">
        <v>5.18</v>
      </c>
      <c r="H1688" s="47">
        <v>37.3</v>
      </c>
      <c r="I1688" s="47" t="s">
        <v>75</v>
      </c>
    </row>
    <row r="1689" ht="15.75" customHeight="1">
      <c r="A1689" s="47" t="s">
        <v>3615</v>
      </c>
      <c r="B1689" s="47" t="s">
        <v>3616</v>
      </c>
      <c r="C1689" s="47" t="s">
        <v>7757</v>
      </c>
      <c r="D1689" s="47" t="s">
        <v>131</v>
      </c>
      <c r="E1689" s="47" t="s">
        <v>341</v>
      </c>
      <c r="F1689" s="47">
        <v>406.0</v>
      </c>
      <c r="G1689" s="47">
        <v>6.36</v>
      </c>
      <c r="H1689" s="47">
        <v>63.8</v>
      </c>
      <c r="I1689" s="47" t="s">
        <v>75</v>
      </c>
    </row>
    <row r="1690" ht="15.75" customHeight="1">
      <c r="A1690" s="47" t="s">
        <v>3617</v>
      </c>
      <c r="B1690" s="47" t="s">
        <v>3618</v>
      </c>
      <c r="C1690" s="47" t="s">
        <v>7757</v>
      </c>
      <c r="D1690" s="47" t="s">
        <v>131</v>
      </c>
      <c r="E1690" s="47" t="s">
        <v>341</v>
      </c>
      <c r="F1690" s="47">
        <v>305.0</v>
      </c>
      <c r="G1690" s="47">
        <v>10.31</v>
      </c>
      <c r="H1690" s="47">
        <v>29.6</v>
      </c>
      <c r="I1690" s="47" t="s">
        <v>75</v>
      </c>
    </row>
    <row r="1691" ht="15.75" customHeight="1">
      <c r="A1691" s="47" t="s">
        <v>3619</v>
      </c>
      <c r="B1691" s="47" t="s">
        <v>3620</v>
      </c>
      <c r="C1691" s="47" t="s">
        <v>7757</v>
      </c>
      <c r="D1691" s="47" t="s">
        <v>203</v>
      </c>
      <c r="E1691" s="47" t="s">
        <v>524</v>
      </c>
      <c r="F1691" s="47">
        <v>519.0</v>
      </c>
      <c r="G1691" s="47">
        <v>10.93</v>
      </c>
      <c r="H1691" s="47">
        <v>47.5</v>
      </c>
      <c r="I1691" s="47" t="s">
        <v>62</v>
      </c>
    </row>
    <row r="1692" ht="15.75" customHeight="1">
      <c r="A1692" s="47" t="s">
        <v>3621</v>
      </c>
      <c r="B1692" s="47" t="s">
        <v>3622</v>
      </c>
      <c r="C1692" s="47" t="s">
        <v>7757</v>
      </c>
      <c r="D1692" s="47" t="s">
        <v>131</v>
      </c>
      <c r="E1692" s="47" t="s">
        <v>341</v>
      </c>
      <c r="F1692" s="47">
        <v>497.0</v>
      </c>
      <c r="G1692" s="47">
        <v>12.59</v>
      </c>
      <c r="H1692" s="47">
        <v>39.5</v>
      </c>
      <c r="I1692" s="47" t="s">
        <v>75</v>
      </c>
    </row>
    <row r="1693" ht="15.75" customHeight="1">
      <c r="A1693" s="47" t="s">
        <v>3623</v>
      </c>
      <c r="B1693" s="47" t="s">
        <v>3624</v>
      </c>
      <c r="C1693" s="47" t="s">
        <v>7757</v>
      </c>
      <c r="D1693" s="47" t="s">
        <v>160</v>
      </c>
      <c r="E1693" s="47" t="s">
        <v>435</v>
      </c>
      <c r="F1693" s="47">
        <v>543.0</v>
      </c>
      <c r="G1693" s="47">
        <v>8.46</v>
      </c>
      <c r="H1693" s="47">
        <v>64.2</v>
      </c>
      <c r="I1693" s="47" t="s">
        <v>62</v>
      </c>
    </row>
    <row r="1694" ht="15.75" customHeight="1">
      <c r="A1694" s="47" t="s">
        <v>3625</v>
      </c>
      <c r="B1694" s="47" t="s">
        <v>3626</v>
      </c>
      <c r="C1694" s="47" t="s">
        <v>7757</v>
      </c>
      <c r="D1694" s="47" t="s">
        <v>200</v>
      </c>
      <c r="E1694" s="47" t="s">
        <v>494</v>
      </c>
      <c r="F1694" s="47">
        <v>323.0</v>
      </c>
      <c r="G1694" s="47">
        <v>5.98</v>
      </c>
      <c r="H1694" s="47">
        <v>54.0</v>
      </c>
      <c r="I1694" s="47" t="s">
        <v>75</v>
      </c>
    </row>
    <row r="1695" ht="15.75" customHeight="1">
      <c r="A1695" s="47" t="s">
        <v>3627</v>
      </c>
      <c r="B1695" s="47" t="s">
        <v>3628</v>
      </c>
      <c r="C1695" s="47" t="s">
        <v>7757</v>
      </c>
      <c r="D1695" s="47" t="s">
        <v>176</v>
      </c>
      <c r="E1695" s="47" t="s">
        <v>470</v>
      </c>
      <c r="F1695" s="47">
        <v>1326.0</v>
      </c>
      <c r="G1695" s="47">
        <v>17.18</v>
      </c>
      <c r="H1695" s="47">
        <v>77.2</v>
      </c>
      <c r="I1695" s="47" t="s">
        <v>62</v>
      </c>
    </row>
    <row r="1696" ht="15.75" customHeight="1">
      <c r="A1696" s="47" t="s">
        <v>3629</v>
      </c>
      <c r="B1696" s="47" t="s">
        <v>3630</v>
      </c>
      <c r="C1696" s="47" t="s">
        <v>7757</v>
      </c>
      <c r="D1696" s="47" t="s">
        <v>211</v>
      </c>
      <c r="E1696" s="47" t="s">
        <v>544</v>
      </c>
      <c r="F1696" s="47">
        <v>440.0</v>
      </c>
      <c r="G1696" s="47">
        <v>7.38</v>
      </c>
      <c r="H1696" s="47">
        <v>59.6</v>
      </c>
      <c r="I1696" s="47" t="s">
        <v>75</v>
      </c>
    </row>
    <row r="1697" ht="15.75" customHeight="1">
      <c r="A1697" s="47" t="s">
        <v>3631</v>
      </c>
      <c r="B1697" s="47" t="s">
        <v>3632</v>
      </c>
      <c r="C1697" s="47" t="s">
        <v>7757</v>
      </c>
      <c r="D1697" s="47" t="s">
        <v>196</v>
      </c>
      <c r="E1697" s="47" t="s">
        <v>514</v>
      </c>
      <c r="F1697" s="47">
        <v>154.0</v>
      </c>
      <c r="G1697" s="47">
        <v>3.0</v>
      </c>
      <c r="H1697" s="47">
        <v>51.3</v>
      </c>
      <c r="I1697" s="47" t="s">
        <v>75</v>
      </c>
    </row>
    <row r="1698" ht="15.75" customHeight="1">
      <c r="A1698" s="47" t="s">
        <v>3633</v>
      </c>
      <c r="B1698" s="47" t="s">
        <v>3634</v>
      </c>
      <c r="C1698" s="47" t="s">
        <v>7757</v>
      </c>
      <c r="D1698" s="47" t="s">
        <v>231</v>
      </c>
      <c r="E1698" s="47" t="s">
        <v>406</v>
      </c>
      <c r="F1698" s="47">
        <v>871.0</v>
      </c>
      <c r="G1698" s="47">
        <v>6.3</v>
      </c>
      <c r="H1698" s="47">
        <v>138.3</v>
      </c>
      <c r="I1698" s="47" t="s">
        <v>62</v>
      </c>
    </row>
    <row r="1699" ht="15.75" customHeight="1">
      <c r="A1699" s="47" t="s">
        <v>3635</v>
      </c>
      <c r="B1699" s="47" t="s">
        <v>3636</v>
      </c>
      <c r="C1699" s="47" t="s">
        <v>7757</v>
      </c>
      <c r="D1699" s="47" t="s">
        <v>195</v>
      </c>
      <c r="E1699" s="47" t="s">
        <v>509</v>
      </c>
      <c r="F1699" s="47">
        <v>670.0</v>
      </c>
      <c r="G1699" s="47">
        <v>6.82</v>
      </c>
      <c r="H1699" s="47">
        <v>98.2</v>
      </c>
      <c r="I1699" s="47" t="s">
        <v>62</v>
      </c>
    </row>
    <row r="1700" ht="15.75" customHeight="1">
      <c r="A1700" s="47" t="s">
        <v>3637</v>
      </c>
      <c r="B1700" s="47" t="s">
        <v>3638</v>
      </c>
      <c r="C1700" s="47" t="s">
        <v>7757</v>
      </c>
      <c r="D1700" s="47" t="s">
        <v>195</v>
      </c>
      <c r="E1700" s="47" t="s">
        <v>509</v>
      </c>
      <c r="F1700" s="47">
        <v>551.0</v>
      </c>
      <c r="G1700" s="47">
        <v>11.59</v>
      </c>
      <c r="H1700" s="47">
        <v>47.5</v>
      </c>
      <c r="I1700" s="47" t="s">
        <v>62</v>
      </c>
    </row>
    <row r="1701" ht="15.75" customHeight="1">
      <c r="A1701" s="47" t="s">
        <v>3639</v>
      </c>
      <c r="B1701" s="47" t="s">
        <v>3640</v>
      </c>
      <c r="C1701" s="47" t="s">
        <v>7757</v>
      </c>
      <c r="D1701" s="47" t="s">
        <v>203</v>
      </c>
      <c r="E1701" s="47" t="s">
        <v>524</v>
      </c>
      <c r="F1701" s="47">
        <v>224.0</v>
      </c>
      <c r="G1701" s="47">
        <v>8.78</v>
      </c>
      <c r="H1701" s="47">
        <v>25.5</v>
      </c>
      <c r="I1701" s="47" t="s">
        <v>75</v>
      </c>
    </row>
    <row r="1702" ht="15.75" customHeight="1">
      <c r="A1702" s="47" t="s">
        <v>3641</v>
      </c>
      <c r="B1702" s="47" t="s">
        <v>3642</v>
      </c>
      <c r="C1702" s="47" t="s">
        <v>7757</v>
      </c>
      <c r="D1702" s="47" t="s">
        <v>200</v>
      </c>
      <c r="E1702" s="47" t="s">
        <v>494</v>
      </c>
      <c r="F1702" s="47">
        <v>264.0</v>
      </c>
      <c r="G1702" s="47">
        <v>4.99</v>
      </c>
      <c r="H1702" s="47">
        <v>52.9</v>
      </c>
      <c r="I1702" s="47" t="s">
        <v>75</v>
      </c>
    </row>
    <row r="1703" ht="15.75" customHeight="1">
      <c r="A1703" s="47" t="s">
        <v>3643</v>
      </c>
      <c r="B1703" s="47" t="s">
        <v>3644</v>
      </c>
      <c r="C1703" s="47" t="s">
        <v>7757</v>
      </c>
      <c r="D1703" s="47" t="s">
        <v>131</v>
      </c>
      <c r="E1703" s="47" t="s">
        <v>341</v>
      </c>
      <c r="F1703" s="47">
        <v>528.0</v>
      </c>
      <c r="G1703" s="47">
        <v>6.46</v>
      </c>
      <c r="H1703" s="47">
        <v>81.7</v>
      </c>
      <c r="I1703" s="47" t="s">
        <v>62</v>
      </c>
    </row>
    <row r="1704" ht="15.75" customHeight="1">
      <c r="A1704" s="47" t="s">
        <v>3645</v>
      </c>
      <c r="B1704" s="47" t="s">
        <v>3646</v>
      </c>
      <c r="C1704" s="47" t="s">
        <v>7757</v>
      </c>
      <c r="D1704" s="47" t="s">
        <v>155</v>
      </c>
      <c r="E1704" s="47" t="s">
        <v>420</v>
      </c>
      <c r="F1704" s="47">
        <v>962.0</v>
      </c>
      <c r="G1704" s="47">
        <v>6.63</v>
      </c>
      <c r="H1704" s="47">
        <v>145.1</v>
      </c>
      <c r="I1704" s="47" t="s">
        <v>62</v>
      </c>
    </row>
    <row r="1705" ht="15.75" customHeight="1">
      <c r="A1705" s="47" t="s">
        <v>3647</v>
      </c>
      <c r="B1705" s="47" t="s">
        <v>3648</v>
      </c>
      <c r="C1705" s="47" t="s">
        <v>7757</v>
      </c>
      <c r="D1705" s="47" t="s">
        <v>155</v>
      </c>
      <c r="E1705" s="47" t="s">
        <v>420</v>
      </c>
      <c r="F1705" s="47">
        <v>154.0</v>
      </c>
      <c r="G1705" s="47">
        <v>3.49</v>
      </c>
      <c r="H1705" s="47">
        <v>44.1</v>
      </c>
      <c r="I1705" s="47" t="s">
        <v>75</v>
      </c>
    </row>
    <row r="1706" ht="15.75" customHeight="1">
      <c r="A1706" s="47" t="s">
        <v>3649</v>
      </c>
      <c r="B1706" s="47" t="s">
        <v>3650</v>
      </c>
      <c r="C1706" s="47" t="s">
        <v>7757</v>
      </c>
      <c r="D1706" s="47" t="s">
        <v>203</v>
      </c>
      <c r="E1706" s="47" t="s">
        <v>524</v>
      </c>
      <c r="F1706" s="47">
        <v>365.0</v>
      </c>
      <c r="G1706" s="47">
        <v>8.55</v>
      </c>
      <c r="H1706" s="47">
        <v>42.7</v>
      </c>
      <c r="I1706" s="47" t="s">
        <v>75</v>
      </c>
    </row>
    <row r="1707" ht="15.75" customHeight="1">
      <c r="A1707" s="47" t="s">
        <v>3651</v>
      </c>
      <c r="B1707" s="47" t="s">
        <v>3652</v>
      </c>
      <c r="C1707" s="47" t="s">
        <v>7757</v>
      </c>
      <c r="D1707" s="47" t="s">
        <v>159</v>
      </c>
      <c r="E1707" s="47" t="s">
        <v>430</v>
      </c>
      <c r="F1707" s="47">
        <v>347.0</v>
      </c>
      <c r="G1707" s="47">
        <v>5.74</v>
      </c>
      <c r="H1707" s="47">
        <v>60.5</v>
      </c>
      <c r="I1707" s="47" t="s">
        <v>75</v>
      </c>
    </row>
    <row r="1708" ht="15.75" customHeight="1">
      <c r="A1708" s="47" t="s">
        <v>3653</v>
      </c>
      <c r="B1708" s="47" t="s">
        <v>3654</v>
      </c>
      <c r="C1708" s="47" t="s">
        <v>7757</v>
      </c>
      <c r="D1708" s="47" t="s">
        <v>200</v>
      </c>
      <c r="E1708" s="47" t="s">
        <v>494</v>
      </c>
      <c r="F1708" s="47">
        <v>317.0</v>
      </c>
      <c r="G1708" s="47">
        <v>5.16</v>
      </c>
      <c r="H1708" s="47">
        <v>61.4</v>
      </c>
      <c r="I1708" s="47" t="s">
        <v>75</v>
      </c>
    </row>
    <row r="1709" ht="15.75" customHeight="1">
      <c r="A1709" s="47" t="s">
        <v>3655</v>
      </c>
      <c r="B1709" s="47" t="s">
        <v>3656</v>
      </c>
      <c r="C1709" s="47" t="s">
        <v>7757</v>
      </c>
      <c r="D1709" s="47" t="s">
        <v>159</v>
      </c>
      <c r="E1709" s="47" t="s">
        <v>430</v>
      </c>
      <c r="F1709" s="47">
        <v>82.0</v>
      </c>
      <c r="G1709" s="47">
        <v>4.53</v>
      </c>
      <c r="H1709" s="47">
        <v>18.1</v>
      </c>
      <c r="I1709" s="47" t="s">
        <v>75</v>
      </c>
    </row>
    <row r="1710" ht="15.75" customHeight="1">
      <c r="A1710" s="47" t="s">
        <v>3657</v>
      </c>
      <c r="B1710" s="47" t="s">
        <v>3658</v>
      </c>
      <c r="C1710" s="47" t="s">
        <v>7757</v>
      </c>
      <c r="D1710" s="47" t="s">
        <v>195</v>
      </c>
      <c r="E1710" s="47" t="s">
        <v>509</v>
      </c>
      <c r="F1710" s="47">
        <v>626.0</v>
      </c>
      <c r="G1710" s="47">
        <v>6.97</v>
      </c>
      <c r="H1710" s="47">
        <v>89.8</v>
      </c>
      <c r="I1710" s="47" t="s">
        <v>62</v>
      </c>
    </row>
    <row r="1711" ht="15.75" customHeight="1">
      <c r="A1711" s="47" t="s">
        <v>3659</v>
      </c>
      <c r="B1711" s="47" t="s">
        <v>3660</v>
      </c>
      <c r="C1711" s="47" t="s">
        <v>7757</v>
      </c>
      <c r="D1711" s="47" t="s">
        <v>196</v>
      </c>
      <c r="E1711" s="47" t="s">
        <v>514</v>
      </c>
      <c r="F1711" s="47">
        <v>518.0</v>
      </c>
      <c r="G1711" s="47">
        <v>3.58</v>
      </c>
      <c r="H1711" s="47">
        <v>144.7</v>
      </c>
      <c r="I1711" s="47" t="s">
        <v>62</v>
      </c>
    </row>
    <row r="1712" ht="15.75" customHeight="1">
      <c r="A1712" s="47" t="s">
        <v>3661</v>
      </c>
      <c r="B1712" s="47" t="s">
        <v>3662</v>
      </c>
      <c r="C1712" s="47" t="s">
        <v>7757</v>
      </c>
      <c r="D1712" s="47" t="s">
        <v>195</v>
      </c>
      <c r="E1712" s="47" t="s">
        <v>509</v>
      </c>
      <c r="F1712" s="47">
        <v>356.0</v>
      </c>
      <c r="G1712" s="47">
        <v>5.42</v>
      </c>
      <c r="H1712" s="47">
        <v>65.7</v>
      </c>
      <c r="I1712" s="47" t="s">
        <v>75</v>
      </c>
    </row>
    <row r="1713" ht="15.75" customHeight="1">
      <c r="A1713" s="47" t="s">
        <v>3663</v>
      </c>
      <c r="B1713" s="47" t="s">
        <v>3664</v>
      </c>
      <c r="C1713" s="47" t="s">
        <v>7757</v>
      </c>
      <c r="D1713" s="47" t="s">
        <v>159</v>
      </c>
      <c r="E1713" s="47" t="s">
        <v>430</v>
      </c>
      <c r="F1713" s="47">
        <v>216.0</v>
      </c>
      <c r="G1713" s="47">
        <v>3.64</v>
      </c>
      <c r="H1713" s="47">
        <v>59.3</v>
      </c>
      <c r="I1713" s="47" t="s">
        <v>75</v>
      </c>
    </row>
    <row r="1714" ht="15.75" customHeight="1">
      <c r="A1714" s="47" t="s">
        <v>3665</v>
      </c>
      <c r="B1714" s="47" t="s">
        <v>3666</v>
      </c>
      <c r="C1714" s="47" t="s">
        <v>7757</v>
      </c>
      <c r="D1714" s="47" t="s">
        <v>203</v>
      </c>
      <c r="E1714" s="47" t="s">
        <v>524</v>
      </c>
      <c r="F1714" s="47">
        <v>196.0</v>
      </c>
      <c r="G1714" s="47">
        <v>5.17</v>
      </c>
      <c r="H1714" s="47">
        <v>37.9</v>
      </c>
      <c r="I1714" s="47" t="s">
        <v>75</v>
      </c>
    </row>
    <row r="1715" ht="15.75" customHeight="1">
      <c r="A1715" s="47" t="s">
        <v>3667</v>
      </c>
      <c r="B1715" s="47" t="s">
        <v>3668</v>
      </c>
      <c r="C1715" s="47" t="s">
        <v>7757</v>
      </c>
      <c r="D1715" s="47" t="s">
        <v>131</v>
      </c>
      <c r="E1715" s="47" t="s">
        <v>341</v>
      </c>
      <c r="F1715" s="47">
        <v>1552.0</v>
      </c>
      <c r="G1715" s="47">
        <v>6.55</v>
      </c>
      <c r="H1715" s="47">
        <v>236.9</v>
      </c>
      <c r="I1715" s="47" t="s">
        <v>62</v>
      </c>
    </row>
    <row r="1716" ht="15.75" customHeight="1">
      <c r="A1716" s="47" t="s">
        <v>3669</v>
      </c>
      <c r="B1716" s="47" t="s">
        <v>3670</v>
      </c>
      <c r="C1716" s="47" t="s">
        <v>7757</v>
      </c>
      <c r="D1716" s="47" t="s">
        <v>200</v>
      </c>
      <c r="E1716" s="47" t="s">
        <v>494</v>
      </c>
      <c r="F1716" s="47">
        <v>409.0</v>
      </c>
      <c r="G1716" s="47">
        <v>4.13</v>
      </c>
      <c r="H1716" s="47">
        <v>99.0</v>
      </c>
      <c r="I1716" s="47" t="s">
        <v>75</v>
      </c>
    </row>
    <row r="1717" ht="15.75" customHeight="1">
      <c r="A1717" s="47" t="s">
        <v>3671</v>
      </c>
      <c r="B1717" s="47" t="s">
        <v>3672</v>
      </c>
      <c r="C1717" s="47" t="s">
        <v>7757</v>
      </c>
      <c r="D1717" s="47" t="s">
        <v>195</v>
      </c>
      <c r="E1717" s="47" t="s">
        <v>509</v>
      </c>
      <c r="F1717" s="47">
        <v>233.0</v>
      </c>
      <c r="G1717" s="47">
        <v>7.09</v>
      </c>
      <c r="H1717" s="47">
        <v>32.9</v>
      </c>
      <c r="I1717" s="47" t="s">
        <v>75</v>
      </c>
    </row>
    <row r="1718" ht="15.75" customHeight="1">
      <c r="A1718" s="47" t="s">
        <v>3673</v>
      </c>
      <c r="B1718" s="47" t="s">
        <v>3674</v>
      </c>
      <c r="C1718" s="47" t="s">
        <v>7757</v>
      </c>
      <c r="D1718" s="47" t="s">
        <v>159</v>
      </c>
      <c r="E1718" s="47" t="s">
        <v>430</v>
      </c>
      <c r="F1718" s="47">
        <v>102.0</v>
      </c>
      <c r="G1718" s="47">
        <v>2.22</v>
      </c>
      <c r="H1718" s="47">
        <v>45.9</v>
      </c>
      <c r="I1718" s="47" t="s">
        <v>75</v>
      </c>
    </row>
    <row r="1719" ht="15.75" customHeight="1">
      <c r="A1719" s="47" t="s">
        <v>3675</v>
      </c>
      <c r="B1719" s="47" t="s">
        <v>3676</v>
      </c>
      <c r="C1719" s="47" t="s">
        <v>7757</v>
      </c>
      <c r="D1719" s="47" t="s">
        <v>196</v>
      </c>
      <c r="E1719" s="47" t="s">
        <v>514</v>
      </c>
      <c r="F1719" s="47">
        <v>515.0</v>
      </c>
      <c r="G1719" s="47">
        <v>14.87</v>
      </c>
      <c r="H1719" s="47">
        <v>34.6</v>
      </c>
      <c r="I1719" s="47" t="s">
        <v>62</v>
      </c>
    </row>
    <row r="1720" ht="15.75" customHeight="1">
      <c r="A1720" s="47" t="s">
        <v>3677</v>
      </c>
      <c r="B1720" s="47" t="s">
        <v>3678</v>
      </c>
      <c r="C1720" s="47" t="s">
        <v>7757</v>
      </c>
      <c r="D1720" s="47" t="s">
        <v>151</v>
      </c>
      <c r="E1720" s="47" t="s">
        <v>414</v>
      </c>
      <c r="F1720" s="47">
        <v>8867.0</v>
      </c>
      <c r="G1720" s="47">
        <v>23.35</v>
      </c>
      <c r="H1720" s="47">
        <v>379.7</v>
      </c>
      <c r="I1720" s="47" t="s">
        <v>142</v>
      </c>
    </row>
    <row r="1721" ht="15.75" customHeight="1">
      <c r="A1721" s="47" t="s">
        <v>3679</v>
      </c>
      <c r="B1721" s="47" t="s">
        <v>3680</v>
      </c>
      <c r="C1721" s="47" t="s">
        <v>7757</v>
      </c>
      <c r="D1721" s="47" t="s">
        <v>155</v>
      </c>
      <c r="E1721" s="47" t="s">
        <v>420</v>
      </c>
      <c r="F1721" s="47">
        <v>15.0</v>
      </c>
      <c r="G1721" s="47">
        <v>3.05</v>
      </c>
      <c r="H1721" s="47">
        <v>4.9</v>
      </c>
      <c r="I1721" s="47" t="s">
        <v>75</v>
      </c>
    </row>
    <row r="1722" ht="15.75" customHeight="1">
      <c r="A1722" s="47" t="s">
        <v>3681</v>
      </c>
      <c r="B1722" s="47" t="s">
        <v>3682</v>
      </c>
      <c r="C1722" s="47" t="s">
        <v>7757</v>
      </c>
      <c r="D1722" s="47" t="s">
        <v>160</v>
      </c>
      <c r="E1722" s="47" t="s">
        <v>435</v>
      </c>
      <c r="F1722" s="47">
        <v>1829.0</v>
      </c>
      <c r="G1722" s="47">
        <v>10.73</v>
      </c>
      <c r="H1722" s="47">
        <v>170.5</v>
      </c>
      <c r="I1722" s="47" t="s">
        <v>62</v>
      </c>
    </row>
    <row r="1723" ht="15.75" customHeight="1">
      <c r="A1723" s="47" t="s">
        <v>3683</v>
      </c>
      <c r="B1723" s="47" t="s">
        <v>3684</v>
      </c>
      <c r="C1723" s="47" t="s">
        <v>7757</v>
      </c>
      <c r="D1723" s="47" t="s">
        <v>203</v>
      </c>
      <c r="E1723" s="47" t="s">
        <v>524</v>
      </c>
      <c r="F1723" s="47">
        <v>297.0</v>
      </c>
      <c r="G1723" s="47">
        <v>6.65</v>
      </c>
      <c r="H1723" s="47">
        <v>44.7</v>
      </c>
      <c r="I1723" s="47" t="s">
        <v>75</v>
      </c>
    </row>
    <row r="1724" ht="15.75" customHeight="1">
      <c r="A1724" s="47" t="s">
        <v>3685</v>
      </c>
      <c r="B1724" s="47" t="s">
        <v>3686</v>
      </c>
      <c r="C1724" s="47" t="s">
        <v>7757</v>
      </c>
      <c r="D1724" s="47" t="s">
        <v>159</v>
      </c>
      <c r="E1724" s="47" t="s">
        <v>430</v>
      </c>
      <c r="F1724" s="47">
        <v>2786.0</v>
      </c>
      <c r="G1724" s="47">
        <v>6.63</v>
      </c>
      <c r="H1724" s="47">
        <v>420.2</v>
      </c>
      <c r="I1724" s="47" t="s">
        <v>142</v>
      </c>
    </row>
    <row r="1725" ht="15.75" customHeight="1">
      <c r="A1725" s="47" t="s">
        <v>3687</v>
      </c>
      <c r="B1725" s="47" t="s">
        <v>3688</v>
      </c>
      <c r="C1725" s="47" t="s">
        <v>7757</v>
      </c>
      <c r="D1725" s="47" t="s">
        <v>200</v>
      </c>
      <c r="E1725" s="47" t="s">
        <v>494</v>
      </c>
      <c r="F1725" s="47">
        <v>371.0</v>
      </c>
      <c r="G1725" s="47">
        <v>7.39</v>
      </c>
      <c r="H1725" s="47">
        <v>50.2</v>
      </c>
      <c r="I1725" s="47" t="s">
        <v>75</v>
      </c>
    </row>
    <row r="1726" ht="15.75" customHeight="1">
      <c r="A1726" s="47" t="s">
        <v>3689</v>
      </c>
      <c r="B1726" s="47" t="s">
        <v>3690</v>
      </c>
      <c r="C1726" s="47" t="s">
        <v>7757</v>
      </c>
      <c r="D1726" s="47" t="s">
        <v>159</v>
      </c>
      <c r="E1726" s="47" t="s">
        <v>430</v>
      </c>
      <c r="F1726" s="47">
        <v>478.0</v>
      </c>
      <c r="G1726" s="47">
        <v>6.86</v>
      </c>
      <c r="H1726" s="47">
        <v>69.7</v>
      </c>
      <c r="I1726" s="47" t="s">
        <v>75</v>
      </c>
    </row>
    <row r="1727" ht="15.75" customHeight="1">
      <c r="A1727" s="47" t="s">
        <v>3691</v>
      </c>
      <c r="B1727" s="47" t="s">
        <v>3692</v>
      </c>
      <c r="C1727" s="47" t="s">
        <v>7757</v>
      </c>
      <c r="D1727" s="47" t="s">
        <v>159</v>
      </c>
      <c r="E1727" s="47" t="s">
        <v>430</v>
      </c>
      <c r="F1727" s="47">
        <v>272.0</v>
      </c>
      <c r="G1727" s="47">
        <v>5.88</v>
      </c>
      <c r="H1727" s="47">
        <v>46.3</v>
      </c>
      <c r="I1727" s="47" t="s">
        <v>75</v>
      </c>
    </row>
    <row r="1728" ht="15.75" customHeight="1">
      <c r="A1728" s="47" t="s">
        <v>3693</v>
      </c>
      <c r="B1728" s="47" t="s">
        <v>3694</v>
      </c>
      <c r="C1728" s="47" t="s">
        <v>7757</v>
      </c>
      <c r="D1728" s="47" t="s">
        <v>131</v>
      </c>
      <c r="E1728" s="47" t="s">
        <v>341</v>
      </c>
      <c r="F1728" s="47">
        <v>385.0</v>
      </c>
      <c r="G1728" s="47">
        <v>4.6</v>
      </c>
      <c r="H1728" s="47">
        <v>83.7</v>
      </c>
      <c r="I1728" s="47" t="s">
        <v>75</v>
      </c>
    </row>
    <row r="1729" ht="15.75" customHeight="1">
      <c r="A1729" s="47" t="s">
        <v>3695</v>
      </c>
      <c r="B1729" s="47" t="s">
        <v>3696</v>
      </c>
      <c r="C1729" s="47" t="s">
        <v>7757</v>
      </c>
      <c r="D1729" s="47" t="s">
        <v>200</v>
      </c>
      <c r="E1729" s="47" t="s">
        <v>494</v>
      </c>
      <c r="F1729" s="47">
        <v>1749.0</v>
      </c>
      <c r="G1729" s="47">
        <v>20.52</v>
      </c>
      <c r="H1729" s="47">
        <v>85.2</v>
      </c>
      <c r="I1729" s="47" t="s">
        <v>62</v>
      </c>
    </row>
    <row r="1730" ht="15.75" customHeight="1">
      <c r="A1730" s="47" t="s">
        <v>3697</v>
      </c>
      <c r="B1730" s="47" t="s">
        <v>3698</v>
      </c>
      <c r="C1730" s="47" t="s">
        <v>7757</v>
      </c>
      <c r="D1730" s="47" t="s">
        <v>196</v>
      </c>
      <c r="E1730" s="47" t="s">
        <v>514</v>
      </c>
      <c r="F1730" s="47">
        <v>232.0</v>
      </c>
      <c r="G1730" s="47">
        <v>5.03</v>
      </c>
      <c r="H1730" s="47">
        <v>46.1</v>
      </c>
      <c r="I1730" s="47" t="s">
        <v>75</v>
      </c>
    </row>
    <row r="1731" ht="15.75" customHeight="1">
      <c r="A1731" s="47" t="s">
        <v>3699</v>
      </c>
      <c r="B1731" s="47" t="s">
        <v>3700</v>
      </c>
      <c r="C1731" s="47" t="s">
        <v>7757</v>
      </c>
      <c r="D1731" s="47" t="s">
        <v>211</v>
      </c>
      <c r="E1731" s="47" t="s">
        <v>544</v>
      </c>
      <c r="F1731" s="47">
        <v>376.0</v>
      </c>
      <c r="G1731" s="47">
        <v>8.63</v>
      </c>
      <c r="H1731" s="47">
        <v>43.6</v>
      </c>
      <c r="I1731" s="47" t="s">
        <v>75</v>
      </c>
    </row>
    <row r="1732" ht="15.75" customHeight="1">
      <c r="A1732" s="47" t="s">
        <v>3701</v>
      </c>
      <c r="B1732" s="47" t="s">
        <v>3702</v>
      </c>
      <c r="C1732" s="47" t="s">
        <v>7757</v>
      </c>
      <c r="D1732" s="47" t="s">
        <v>196</v>
      </c>
      <c r="E1732" s="47" t="s">
        <v>514</v>
      </c>
      <c r="F1732" s="47">
        <v>82.0</v>
      </c>
      <c r="G1732" s="47">
        <v>3.0</v>
      </c>
      <c r="H1732" s="47">
        <v>27.3</v>
      </c>
      <c r="I1732" s="47" t="s">
        <v>75</v>
      </c>
    </row>
    <row r="1733" ht="15.75" customHeight="1">
      <c r="A1733" s="47" t="s">
        <v>3703</v>
      </c>
      <c r="B1733" s="47" t="s">
        <v>3704</v>
      </c>
      <c r="C1733" s="47" t="s">
        <v>7757</v>
      </c>
      <c r="D1733" s="47" t="s">
        <v>159</v>
      </c>
      <c r="E1733" s="47" t="s">
        <v>430</v>
      </c>
      <c r="F1733" s="47">
        <v>438.0</v>
      </c>
      <c r="G1733" s="47">
        <v>3.83</v>
      </c>
      <c r="H1733" s="47">
        <v>114.4</v>
      </c>
      <c r="I1733" s="47" t="s">
        <v>75</v>
      </c>
    </row>
    <row r="1734" ht="15.75" customHeight="1">
      <c r="A1734" s="47" t="s">
        <v>3705</v>
      </c>
      <c r="B1734" s="47" t="s">
        <v>3706</v>
      </c>
      <c r="C1734" s="47" t="s">
        <v>7757</v>
      </c>
      <c r="D1734" s="47" t="s">
        <v>159</v>
      </c>
      <c r="E1734" s="47" t="s">
        <v>430</v>
      </c>
      <c r="F1734" s="47">
        <v>132.0</v>
      </c>
      <c r="G1734" s="47">
        <v>9.55</v>
      </c>
      <c r="H1734" s="47">
        <v>13.8</v>
      </c>
      <c r="I1734" s="47" t="s">
        <v>75</v>
      </c>
    </row>
    <row r="1735" ht="15.75" customHeight="1">
      <c r="A1735" s="47" t="s">
        <v>3707</v>
      </c>
      <c r="B1735" s="47" t="s">
        <v>3708</v>
      </c>
      <c r="C1735" s="47" t="s">
        <v>7757</v>
      </c>
      <c r="D1735" s="47" t="s">
        <v>159</v>
      </c>
      <c r="E1735" s="47" t="s">
        <v>430</v>
      </c>
      <c r="F1735" s="47">
        <v>180.0</v>
      </c>
      <c r="G1735" s="47">
        <v>7.85</v>
      </c>
      <c r="H1735" s="47">
        <v>22.9</v>
      </c>
      <c r="I1735" s="47" t="s">
        <v>75</v>
      </c>
    </row>
    <row r="1736" ht="15.75" customHeight="1">
      <c r="A1736" s="47" t="s">
        <v>3709</v>
      </c>
      <c r="B1736" s="47" t="s">
        <v>3710</v>
      </c>
      <c r="C1736" s="47" t="s">
        <v>7757</v>
      </c>
      <c r="D1736" s="47" t="s">
        <v>159</v>
      </c>
      <c r="E1736" s="47" t="s">
        <v>430</v>
      </c>
      <c r="F1736" s="47">
        <v>654.0</v>
      </c>
      <c r="G1736" s="47">
        <v>5.87</v>
      </c>
      <c r="H1736" s="47">
        <v>111.4</v>
      </c>
      <c r="I1736" s="47" t="s">
        <v>62</v>
      </c>
    </row>
    <row r="1737" ht="15.75" customHeight="1">
      <c r="A1737" s="47" t="s">
        <v>3711</v>
      </c>
      <c r="B1737" s="47" t="s">
        <v>3712</v>
      </c>
      <c r="C1737" s="47" t="s">
        <v>7757</v>
      </c>
      <c r="D1737" s="47" t="s">
        <v>155</v>
      </c>
      <c r="E1737" s="47" t="s">
        <v>420</v>
      </c>
      <c r="F1737" s="47">
        <v>548.0</v>
      </c>
      <c r="G1737" s="47">
        <v>9.69</v>
      </c>
      <c r="H1737" s="47">
        <v>56.6</v>
      </c>
      <c r="I1737" s="47" t="s">
        <v>62</v>
      </c>
    </row>
    <row r="1738" ht="15.75" customHeight="1">
      <c r="A1738" s="47" t="s">
        <v>3713</v>
      </c>
      <c r="B1738" s="47" t="s">
        <v>3714</v>
      </c>
      <c r="C1738" s="47" t="s">
        <v>7757</v>
      </c>
      <c r="D1738" s="47" t="s">
        <v>159</v>
      </c>
      <c r="E1738" s="47" t="s">
        <v>430</v>
      </c>
      <c r="F1738" s="47">
        <v>133.0</v>
      </c>
      <c r="G1738" s="47">
        <v>3.91</v>
      </c>
      <c r="H1738" s="47">
        <v>34.0</v>
      </c>
      <c r="I1738" s="47" t="s">
        <v>75</v>
      </c>
    </row>
    <row r="1739" ht="15.75" customHeight="1">
      <c r="A1739" s="47" t="s">
        <v>3715</v>
      </c>
      <c r="B1739" s="47" t="s">
        <v>3716</v>
      </c>
      <c r="C1739" s="47" t="s">
        <v>7757</v>
      </c>
      <c r="D1739" s="47" t="s">
        <v>131</v>
      </c>
      <c r="E1739" s="47" t="s">
        <v>341</v>
      </c>
      <c r="F1739" s="47">
        <v>773.0</v>
      </c>
      <c r="G1739" s="47">
        <v>9.85</v>
      </c>
      <c r="H1739" s="47">
        <v>78.5</v>
      </c>
      <c r="I1739" s="47" t="s">
        <v>62</v>
      </c>
    </row>
    <row r="1740" ht="15.75" customHeight="1">
      <c r="A1740" s="47" t="s">
        <v>3717</v>
      </c>
      <c r="B1740" s="47" t="s">
        <v>3718</v>
      </c>
      <c r="C1740" s="47" t="s">
        <v>7757</v>
      </c>
      <c r="D1740" s="47" t="s">
        <v>159</v>
      </c>
      <c r="E1740" s="47" t="s">
        <v>430</v>
      </c>
      <c r="F1740" s="47">
        <v>187.0</v>
      </c>
      <c r="G1740" s="47">
        <v>4.29</v>
      </c>
      <c r="H1740" s="47">
        <v>43.6</v>
      </c>
      <c r="I1740" s="47" t="s">
        <v>75</v>
      </c>
    </row>
    <row r="1741" ht="15.75" customHeight="1">
      <c r="A1741" s="47" t="s">
        <v>3719</v>
      </c>
      <c r="B1741" s="47" t="s">
        <v>3720</v>
      </c>
      <c r="C1741" s="47" t="s">
        <v>7757</v>
      </c>
      <c r="D1741" s="47" t="s">
        <v>159</v>
      </c>
      <c r="E1741" s="47" t="s">
        <v>430</v>
      </c>
      <c r="F1741" s="47">
        <v>253.0</v>
      </c>
      <c r="G1741" s="47">
        <v>6.79</v>
      </c>
      <c r="H1741" s="47">
        <v>37.3</v>
      </c>
      <c r="I1741" s="47" t="s">
        <v>75</v>
      </c>
    </row>
    <row r="1742" ht="15.75" customHeight="1">
      <c r="A1742" s="47" t="s">
        <v>3721</v>
      </c>
      <c r="B1742" s="47" t="s">
        <v>3722</v>
      </c>
      <c r="C1742" s="47" t="s">
        <v>7757</v>
      </c>
      <c r="D1742" s="47" t="s">
        <v>173</v>
      </c>
      <c r="E1742" s="47" t="s">
        <v>460</v>
      </c>
      <c r="F1742" s="47">
        <v>345.0</v>
      </c>
      <c r="G1742" s="47">
        <v>5.56</v>
      </c>
      <c r="H1742" s="47">
        <v>62.1</v>
      </c>
      <c r="I1742" s="47" t="s">
        <v>75</v>
      </c>
    </row>
    <row r="1743" ht="15.75" customHeight="1">
      <c r="A1743" s="47" t="s">
        <v>3723</v>
      </c>
      <c r="B1743" s="47" t="s">
        <v>3724</v>
      </c>
      <c r="C1743" s="47" t="s">
        <v>7757</v>
      </c>
      <c r="D1743" s="47" t="s">
        <v>159</v>
      </c>
      <c r="E1743" s="47" t="s">
        <v>430</v>
      </c>
      <c r="F1743" s="47">
        <v>149.0</v>
      </c>
      <c r="G1743" s="47">
        <v>7.5</v>
      </c>
      <c r="H1743" s="47">
        <v>19.9</v>
      </c>
      <c r="I1743" s="47" t="s">
        <v>75</v>
      </c>
    </row>
    <row r="1744" ht="15.75" customHeight="1">
      <c r="A1744" s="47" t="s">
        <v>3725</v>
      </c>
      <c r="B1744" s="47" t="s">
        <v>3726</v>
      </c>
      <c r="C1744" s="47" t="s">
        <v>7757</v>
      </c>
      <c r="D1744" s="47" t="s">
        <v>231</v>
      </c>
      <c r="E1744" s="47" t="s">
        <v>406</v>
      </c>
      <c r="F1744" s="47">
        <v>644.0</v>
      </c>
      <c r="G1744" s="47">
        <v>6.03</v>
      </c>
      <c r="H1744" s="47">
        <v>106.8</v>
      </c>
      <c r="I1744" s="47" t="s">
        <v>62</v>
      </c>
    </row>
    <row r="1745" ht="15.75" customHeight="1">
      <c r="A1745" s="47" t="s">
        <v>3727</v>
      </c>
      <c r="B1745" s="47" t="s">
        <v>3728</v>
      </c>
      <c r="C1745" s="47" t="s">
        <v>7757</v>
      </c>
      <c r="D1745" s="47" t="s">
        <v>160</v>
      </c>
      <c r="E1745" s="47" t="s">
        <v>435</v>
      </c>
      <c r="F1745" s="47">
        <v>463.0</v>
      </c>
      <c r="G1745" s="47">
        <v>6.98</v>
      </c>
      <c r="H1745" s="47">
        <v>66.3</v>
      </c>
      <c r="I1745" s="47" t="s">
        <v>75</v>
      </c>
    </row>
    <row r="1746" ht="15.75" customHeight="1">
      <c r="A1746" s="47" t="s">
        <v>3729</v>
      </c>
      <c r="B1746" s="47" t="s">
        <v>3730</v>
      </c>
      <c r="C1746" s="47" t="s">
        <v>7757</v>
      </c>
      <c r="D1746" s="47" t="s">
        <v>176</v>
      </c>
      <c r="E1746" s="47" t="s">
        <v>470</v>
      </c>
      <c r="F1746" s="47">
        <v>925.0</v>
      </c>
      <c r="G1746" s="47">
        <v>6.9</v>
      </c>
      <c r="H1746" s="47">
        <v>134.1</v>
      </c>
      <c r="I1746" s="47" t="s">
        <v>62</v>
      </c>
    </row>
    <row r="1747" ht="15.75" customHeight="1">
      <c r="A1747" s="47" t="s">
        <v>3731</v>
      </c>
      <c r="B1747" s="47" t="s">
        <v>3732</v>
      </c>
      <c r="C1747" s="47" t="s">
        <v>7757</v>
      </c>
      <c r="D1747" s="47" t="s">
        <v>131</v>
      </c>
      <c r="E1747" s="47" t="s">
        <v>341</v>
      </c>
      <c r="F1747" s="47">
        <v>582.0</v>
      </c>
      <c r="G1747" s="47">
        <v>4.4</v>
      </c>
      <c r="H1747" s="47">
        <v>132.3</v>
      </c>
      <c r="I1747" s="47" t="s">
        <v>62</v>
      </c>
    </row>
    <row r="1748" ht="15.75" customHeight="1">
      <c r="A1748" s="47" t="s">
        <v>3733</v>
      </c>
      <c r="B1748" s="47" t="s">
        <v>3734</v>
      </c>
      <c r="C1748" s="47" t="s">
        <v>7757</v>
      </c>
      <c r="D1748" s="47" t="s">
        <v>155</v>
      </c>
      <c r="E1748" s="47" t="s">
        <v>420</v>
      </c>
      <c r="F1748" s="47">
        <v>237.0</v>
      </c>
      <c r="G1748" s="47">
        <v>5.15</v>
      </c>
      <c r="H1748" s="47">
        <v>46.0</v>
      </c>
      <c r="I1748" s="47" t="s">
        <v>75</v>
      </c>
    </row>
    <row r="1749" ht="15.75" customHeight="1">
      <c r="A1749" s="47" t="s">
        <v>3735</v>
      </c>
      <c r="B1749" s="47" t="s">
        <v>3736</v>
      </c>
      <c r="C1749" s="47" t="s">
        <v>7757</v>
      </c>
      <c r="D1749" s="47" t="s">
        <v>159</v>
      </c>
      <c r="E1749" s="47" t="s">
        <v>430</v>
      </c>
      <c r="F1749" s="47">
        <v>113.0</v>
      </c>
      <c r="G1749" s="47">
        <v>4.33</v>
      </c>
      <c r="H1749" s="47">
        <v>26.1</v>
      </c>
      <c r="I1749" s="47" t="s">
        <v>75</v>
      </c>
    </row>
    <row r="1750" ht="15.75" customHeight="1">
      <c r="A1750" s="47" t="s">
        <v>3737</v>
      </c>
      <c r="B1750" s="47" t="s">
        <v>3738</v>
      </c>
      <c r="C1750" s="47" t="s">
        <v>7757</v>
      </c>
      <c r="D1750" s="47" t="s">
        <v>131</v>
      </c>
      <c r="E1750" s="47" t="s">
        <v>341</v>
      </c>
      <c r="F1750" s="47">
        <v>2466.0</v>
      </c>
      <c r="G1750" s="47">
        <v>11.84</v>
      </c>
      <c r="H1750" s="47">
        <v>208.3</v>
      </c>
      <c r="I1750" s="47" t="s">
        <v>142</v>
      </c>
    </row>
    <row r="1751" ht="15.75" customHeight="1">
      <c r="A1751" s="47" t="s">
        <v>3739</v>
      </c>
      <c r="B1751" s="47" t="s">
        <v>3740</v>
      </c>
      <c r="C1751" s="47" t="s">
        <v>7757</v>
      </c>
      <c r="D1751" s="47" t="s">
        <v>159</v>
      </c>
      <c r="E1751" s="47" t="s">
        <v>430</v>
      </c>
      <c r="F1751" s="47">
        <v>309.0</v>
      </c>
      <c r="G1751" s="47">
        <v>7.81</v>
      </c>
      <c r="H1751" s="47">
        <v>39.6</v>
      </c>
      <c r="I1751" s="47" t="s">
        <v>75</v>
      </c>
    </row>
    <row r="1752" ht="15.75" customHeight="1">
      <c r="A1752" s="47" t="s">
        <v>3741</v>
      </c>
      <c r="B1752" s="47" t="s">
        <v>3742</v>
      </c>
      <c r="C1752" s="47" t="s">
        <v>7757</v>
      </c>
      <c r="D1752" s="47" t="s">
        <v>190</v>
      </c>
      <c r="E1752" s="47" t="s">
        <v>501</v>
      </c>
      <c r="F1752" s="47">
        <v>478.0</v>
      </c>
      <c r="G1752" s="47">
        <v>9.96</v>
      </c>
      <c r="H1752" s="47">
        <v>48.0</v>
      </c>
      <c r="I1752" s="47" t="s">
        <v>75</v>
      </c>
    </row>
    <row r="1753" ht="15.75" customHeight="1">
      <c r="A1753" s="47" t="s">
        <v>3743</v>
      </c>
      <c r="B1753" s="47" t="s">
        <v>3744</v>
      </c>
      <c r="C1753" s="47" t="s">
        <v>7757</v>
      </c>
      <c r="D1753" s="47" t="s">
        <v>231</v>
      </c>
      <c r="E1753" s="47" t="s">
        <v>406</v>
      </c>
      <c r="F1753" s="47">
        <v>238.0</v>
      </c>
      <c r="G1753" s="47">
        <v>3.47</v>
      </c>
      <c r="H1753" s="47">
        <v>68.6</v>
      </c>
      <c r="I1753" s="47" t="s">
        <v>75</v>
      </c>
    </row>
    <row r="1754" ht="15.75" customHeight="1">
      <c r="A1754" s="47" t="s">
        <v>3745</v>
      </c>
      <c r="B1754" s="47" t="s">
        <v>3746</v>
      </c>
      <c r="C1754" s="47" t="s">
        <v>7757</v>
      </c>
      <c r="D1754" s="47" t="s">
        <v>231</v>
      </c>
      <c r="E1754" s="47" t="s">
        <v>406</v>
      </c>
      <c r="F1754" s="47">
        <v>704.0</v>
      </c>
      <c r="G1754" s="47">
        <v>6.14</v>
      </c>
      <c r="H1754" s="47">
        <v>114.7</v>
      </c>
      <c r="I1754" s="47" t="s">
        <v>62</v>
      </c>
    </row>
    <row r="1755" ht="15.75" customHeight="1">
      <c r="A1755" s="47" t="s">
        <v>3747</v>
      </c>
      <c r="B1755" s="47" t="s">
        <v>3748</v>
      </c>
      <c r="C1755" s="47" t="s">
        <v>7757</v>
      </c>
      <c r="D1755" s="47" t="s">
        <v>160</v>
      </c>
      <c r="E1755" s="47" t="s">
        <v>435</v>
      </c>
      <c r="F1755" s="47">
        <v>680.0</v>
      </c>
      <c r="G1755" s="47">
        <v>6.81</v>
      </c>
      <c r="H1755" s="47">
        <v>99.9</v>
      </c>
      <c r="I1755" s="47" t="s">
        <v>62</v>
      </c>
    </row>
    <row r="1756" ht="15.75" customHeight="1">
      <c r="A1756" s="47" t="s">
        <v>3749</v>
      </c>
      <c r="B1756" s="47" t="s">
        <v>3750</v>
      </c>
      <c r="C1756" s="47" t="s">
        <v>7757</v>
      </c>
      <c r="D1756" s="47" t="s">
        <v>211</v>
      </c>
      <c r="E1756" s="47" t="s">
        <v>544</v>
      </c>
      <c r="F1756" s="47">
        <v>591.0</v>
      </c>
      <c r="G1756" s="47">
        <v>6.6</v>
      </c>
      <c r="H1756" s="47">
        <v>89.5</v>
      </c>
      <c r="I1756" s="47" t="s">
        <v>62</v>
      </c>
    </row>
    <row r="1757" ht="15.75" customHeight="1">
      <c r="A1757" s="47" t="s">
        <v>3751</v>
      </c>
      <c r="B1757" s="47" t="s">
        <v>3752</v>
      </c>
      <c r="C1757" s="47" t="s">
        <v>7757</v>
      </c>
      <c r="D1757" s="47" t="s">
        <v>195</v>
      </c>
      <c r="E1757" s="47" t="s">
        <v>509</v>
      </c>
      <c r="F1757" s="47">
        <v>250.0</v>
      </c>
      <c r="G1757" s="47">
        <v>8.34</v>
      </c>
      <c r="H1757" s="47">
        <v>30.0</v>
      </c>
      <c r="I1757" s="47" t="s">
        <v>75</v>
      </c>
    </row>
    <row r="1758" ht="15.75" customHeight="1">
      <c r="A1758" s="47" t="s">
        <v>3753</v>
      </c>
      <c r="B1758" s="47" t="s">
        <v>3754</v>
      </c>
      <c r="C1758" s="47" t="s">
        <v>7757</v>
      </c>
      <c r="D1758" s="47" t="s">
        <v>176</v>
      </c>
      <c r="E1758" s="47" t="s">
        <v>470</v>
      </c>
      <c r="F1758" s="47">
        <v>878.0</v>
      </c>
      <c r="G1758" s="47">
        <v>12.53</v>
      </c>
      <c r="H1758" s="47">
        <v>70.1</v>
      </c>
      <c r="I1758" s="47" t="s">
        <v>62</v>
      </c>
    </row>
    <row r="1759" ht="15.75" customHeight="1">
      <c r="A1759" s="47" t="s">
        <v>3755</v>
      </c>
      <c r="B1759" s="47" t="s">
        <v>3756</v>
      </c>
      <c r="C1759" s="47" t="s">
        <v>7757</v>
      </c>
      <c r="D1759" s="47" t="s">
        <v>211</v>
      </c>
      <c r="E1759" s="47" t="s">
        <v>544</v>
      </c>
      <c r="F1759" s="47">
        <v>302.0</v>
      </c>
      <c r="G1759" s="47">
        <v>4.28</v>
      </c>
      <c r="H1759" s="47">
        <v>70.6</v>
      </c>
      <c r="I1759" s="47" t="s">
        <v>75</v>
      </c>
    </row>
    <row r="1760" ht="15.75" customHeight="1">
      <c r="A1760" s="47" t="s">
        <v>3757</v>
      </c>
      <c r="B1760" s="47" t="s">
        <v>3758</v>
      </c>
      <c r="C1760" s="47" t="s">
        <v>7757</v>
      </c>
      <c r="D1760" s="47" t="s">
        <v>124</v>
      </c>
      <c r="E1760" s="47" t="s">
        <v>333</v>
      </c>
      <c r="F1760" s="47">
        <v>640.0</v>
      </c>
      <c r="G1760" s="47">
        <v>0.95</v>
      </c>
      <c r="H1760" s="47">
        <v>673.7</v>
      </c>
      <c r="I1760" s="47" t="s">
        <v>62</v>
      </c>
    </row>
    <row r="1761" ht="15.75" customHeight="1">
      <c r="A1761" s="47" t="s">
        <v>3759</v>
      </c>
      <c r="B1761" s="47" t="s">
        <v>3760</v>
      </c>
      <c r="C1761" s="47" t="s">
        <v>7757</v>
      </c>
      <c r="D1761" s="47" t="s">
        <v>173</v>
      </c>
      <c r="E1761" s="47" t="s">
        <v>460</v>
      </c>
      <c r="F1761" s="47">
        <v>851.0</v>
      </c>
      <c r="G1761" s="47">
        <v>7.59</v>
      </c>
      <c r="H1761" s="47">
        <v>112.1</v>
      </c>
      <c r="I1761" s="47" t="s">
        <v>62</v>
      </c>
    </row>
    <row r="1762" ht="15.75" customHeight="1">
      <c r="A1762" s="47" t="s">
        <v>3761</v>
      </c>
      <c r="B1762" s="47" t="s">
        <v>3762</v>
      </c>
      <c r="C1762" s="47" t="s">
        <v>7757</v>
      </c>
      <c r="D1762" s="47" t="s">
        <v>124</v>
      </c>
      <c r="E1762" s="47" t="s">
        <v>333</v>
      </c>
      <c r="F1762" s="47">
        <v>2243.0</v>
      </c>
      <c r="G1762" s="47">
        <v>8.67</v>
      </c>
      <c r="H1762" s="47">
        <v>258.7</v>
      </c>
      <c r="I1762" s="47" t="s">
        <v>142</v>
      </c>
    </row>
    <row r="1763" ht="15.75" customHeight="1">
      <c r="A1763" s="47" t="s">
        <v>3763</v>
      </c>
      <c r="B1763" s="47" t="s">
        <v>3764</v>
      </c>
      <c r="C1763" s="47" t="s">
        <v>7757</v>
      </c>
      <c r="D1763" s="47" t="s">
        <v>124</v>
      </c>
      <c r="E1763" s="47" t="s">
        <v>333</v>
      </c>
      <c r="F1763" s="47">
        <v>588.0</v>
      </c>
      <c r="G1763" s="47">
        <v>7.36</v>
      </c>
      <c r="H1763" s="47">
        <v>79.9</v>
      </c>
      <c r="I1763" s="47" t="s">
        <v>62</v>
      </c>
    </row>
    <row r="1764" ht="15.75" customHeight="1">
      <c r="A1764" s="47" t="s">
        <v>3765</v>
      </c>
      <c r="B1764" s="47" t="s">
        <v>3766</v>
      </c>
      <c r="C1764" s="47" t="s">
        <v>7757</v>
      </c>
      <c r="D1764" s="47" t="s">
        <v>211</v>
      </c>
      <c r="E1764" s="47" t="s">
        <v>544</v>
      </c>
      <c r="F1764" s="47">
        <v>1071.0</v>
      </c>
      <c r="G1764" s="47">
        <v>13.0</v>
      </c>
      <c r="H1764" s="47">
        <v>82.4</v>
      </c>
      <c r="I1764" s="47" t="s">
        <v>62</v>
      </c>
    </row>
    <row r="1765" ht="15.75" customHeight="1">
      <c r="A1765" s="47" t="s">
        <v>3767</v>
      </c>
      <c r="B1765" s="47" t="s">
        <v>3768</v>
      </c>
      <c r="C1765" s="47" t="s">
        <v>7757</v>
      </c>
      <c r="D1765" s="47" t="s">
        <v>131</v>
      </c>
      <c r="E1765" s="47" t="s">
        <v>341</v>
      </c>
      <c r="F1765" s="47">
        <v>294.0</v>
      </c>
      <c r="G1765" s="47">
        <v>8.12</v>
      </c>
      <c r="H1765" s="47">
        <v>36.2</v>
      </c>
      <c r="I1765" s="47" t="s">
        <v>75</v>
      </c>
    </row>
    <row r="1766" ht="15.75" customHeight="1">
      <c r="A1766" s="47" t="s">
        <v>3769</v>
      </c>
      <c r="B1766" s="47" t="s">
        <v>3770</v>
      </c>
      <c r="C1766" s="47" t="s">
        <v>7757</v>
      </c>
      <c r="D1766" s="47" t="s">
        <v>196</v>
      </c>
      <c r="E1766" s="47" t="s">
        <v>514</v>
      </c>
      <c r="F1766" s="47">
        <v>196.0</v>
      </c>
      <c r="G1766" s="47">
        <v>3.5</v>
      </c>
      <c r="H1766" s="47">
        <v>56.0</v>
      </c>
      <c r="I1766" s="47" t="s">
        <v>75</v>
      </c>
    </row>
    <row r="1767" ht="15.75" customHeight="1">
      <c r="A1767" s="47" t="s">
        <v>3771</v>
      </c>
      <c r="B1767" s="47" t="s">
        <v>3772</v>
      </c>
      <c r="C1767" s="47" t="s">
        <v>7757</v>
      </c>
      <c r="D1767" s="47" t="s">
        <v>176</v>
      </c>
      <c r="E1767" s="47" t="s">
        <v>470</v>
      </c>
      <c r="F1767" s="47">
        <v>1326.0</v>
      </c>
      <c r="G1767" s="47">
        <v>9.68</v>
      </c>
      <c r="H1767" s="47">
        <v>137.0</v>
      </c>
      <c r="I1767" s="47" t="s">
        <v>62</v>
      </c>
    </row>
    <row r="1768" ht="15.75" customHeight="1">
      <c r="A1768" s="47" t="s">
        <v>3773</v>
      </c>
      <c r="B1768" s="47" t="s">
        <v>3774</v>
      </c>
      <c r="C1768" s="47" t="s">
        <v>7757</v>
      </c>
      <c r="D1768" s="47" t="s">
        <v>190</v>
      </c>
      <c r="E1768" s="47" t="s">
        <v>501</v>
      </c>
      <c r="F1768" s="47">
        <v>456.0</v>
      </c>
      <c r="G1768" s="47">
        <v>14.32</v>
      </c>
      <c r="H1768" s="47">
        <v>31.8</v>
      </c>
      <c r="I1768" s="47" t="s">
        <v>75</v>
      </c>
    </row>
    <row r="1769" ht="15.75" customHeight="1">
      <c r="A1769" s="47" t="s">
        <v>3775</v>
      </c>
      <c r="B1769" s="47" t="s">
        <v>3776</v>
      </c>
      <c r="C1769" s="47" t="s">
        <v>7757</v>
      </c>
      <c r="D1769" s="47" t="s">
        <v>188</v>
      </c>
      <c r="E1769" s="47" t="s">
        <v>491</v>
      </c>
      <c r="F1769" s="47">
        <v>687.0</v>
      </c>
      <c r="G1769" s="47">
        <v>2.43</v>
      </c>
      <c r="H1769" s="47">
        <v>282.7</v>
      </c>
      <c r="I1769" s="47" t="s">
        <v>62</v>
      </c>
    </row>
    <row r="1770" ht="15.75" customHeight="1">
      <c r="A1770" s="47" t="s">
        <v>3777</v>
      </c>
      <c r="B1770" s="47" t="s">
        <v>3778</v>
      </c>
      <c r="C1770" s="47" t="s">
        <v>7757</v>
      </c>
      <c r="D1770" s="47" t="s">
        <v>190</v>
      </c>
      <c r="E1770" s="47" t="s">
        <v>501</v>
      </c>
      <c r="F1770" s="47">
        <v>1512.0</v>
      </c>
      <c r="G1770" s="47">
        <v>9.93</v>
      </c>
      <c r="H1770" s="47">
        <v>152.3</v>
      </c>
      <c r="I1770" s="47" t="s">
        <v>62</v>
      </c>
    </row>
    <row r="1771" ht="15.75" customHeight="1">
      <c r="A1771" s="47" t="s">
        <v>3779</v>
      </c>
      <c r="B1771" s="47" t="s">
        <v>3780</v>
      </c>
      <c r="C1771" s="47" t="s">
        <v>7757</v>
      </c>
      <c r="D1771" s="47" t="s">
        <v>231</v>
      </c>
      <c r="E1771" s="47" t="s">
        <v>406</v>
      </c>
      <c r="F1771" s="47">
        <v>827.0</v>
      </c>
      <c r="G1771" s="47">
        <v>4.24</v>
      </c>
      <c r="H1771" s="47">
        <v>195.0</v>
      </c>
      <c r="I1771" s="47" t="s">
        <v>62</v>
      </c>
    </row>
    <row r="1772" ht="15.75" customHeight="1">
      <c r="A1772" s="47" t="s">
        <v>3781</v>
      </c>
      <c r="B1772" s="47" t="s">
        <v>3782</v>
      </c>
      <c r="C1772" s="47" t="s">
        <v>7757</v>
      </c>
      <c r="D1772" s="47" t="s">
        <v>159</v>
      </c>
      <c r="E1772" s="47" t="s">
        <v>430</v>
      </c>
      <c r="F1772" s="47">
        <v>165.0</v>
      </c>
      <c r="G1772" s="47">
        <v>4.96</v>
      </c>
      <c r="H1772" s="47">
        <v>33.3</v>
      </c>
      <c r="I1772" s="47" t="s">
        <v>75</v>
      </c>
    </row>
    <row r="1773" ht="15.75" customHeight="1">
      <c r="A1773" s="47" t="s">
        <v>3783</v>
      </c>
      <c r="B1773" s="47" t="s">
        <v>3784</v>
      </c>
      <c r="C1773" s="47" t="s">
        <v>7757</v>
      </c>
      <c r="D1773" s="47" t="s">
        <v>131</v>
      </c>
      <c r="E1773" s="47" t="s">
        <v>341</v>
      </c>
      <c r="F1773" s="47">
        <v>182.0</v>
      </c>
      <c r="G1773" s="47">
        <v>5.93</v>
      </c>
      <c r="H1773" s="47">
        <v>30.7</v>
      </c>
      <c r="I1773" s="47" t="s">
        <v>75</v>
      </c>
    </row>
    <row r="1774" ht="15.75" customHeight="1">
      <c r="A1774" s="47" t="s">
        <v>3785</v>
      </c>
      <c r="B1774" s="47" t="s">
        <v>3786</v>
      </c>
      <c r="C1774" s="47" t="s">
        <v>7757</v>
      </c>
      <c r="D1774" s="47" t="s">
        <v>124</v>
      </c>
      <c r="E1774" s="47" t="s">
        <v>333</v>
      </c>
      <c r="F1774" s="47">
        <v>805.0</v>
      </c>
      <c r="G1774" s="47">
        <v>9.19</v>
      </c>
      <c r="H1774" s="47">
        <v>87.6</v>
      </c>
      <c r="I1774" s="47" t="s">
        <v>62</v>
      </c>
    </row>
    <row r="1775" ht="15.75" customHeight="1">
      <c r="A1775" s="47" t="s">
        <v>3787</v>
      </c>
      <c r="B1775" s="47" t="s">
        <v>3788</v>
      </c>
      <c r="C1775" s="47" t="s">
        <v>7757</v>
      </c>
      <c r="D1775" s="47" t="s">
        <v>124</v>
      </c>
      <c r="E1775" s="47" t="s">
        <v>333</v>
      </c>
      <c r="F1775" s="47">
        <v>5415.0</v>
      </c>
      <c r="G1775" s="47">
        <v>20.84</v>
      </c>
      <c r="H1775" s="47">
        <v>259.8</v>
      </c>
      <c r="I1775" s="47" t="s">
        <v>142</v>
      </c>
    </row>
    <row r="1776" ht="15.75" customHeight="1">
      <c r="A1776" s="47" t="s">
        <v>3789</v>
      </c>
      <c r="B1776" s="47" t="s">
        <v>3790</v>
      </c>
      <c r="C1776" s="47" t="s">
        <v>7757</v>
      </c>
      <c r="D1776" s="47" t="s">
        <v>131</v>
      </c>
      <c r="E1776" s="47" t="s">
        <v>341</v>
      </c>
      <c r="F1776" s="47">
        <v>342.0</v>
      </c>
      <c r="G1776" s="47">
        <v>5.57</v>
      </c>
      <c r="H1776" s="47">
        <v>61.4</v>
      </c>
      <c r="I1776" s="47" t="s">
        <v>75</v>
      </c>
    </row>
    <row r="1777" ht="15.75" customHeight="1">
      <c r="A1777" s="47" t="s">
        <v>3791</v>
      </c>
      <c r="B1777" s="47" t="s">
        <v>3792</v>
      </c>
      <c r="C1777" s="47" t="s">
        <v>7757</v>
      </c>
      <c r="D1777" s="47" t="s">
        <v>196</v>
      </c>
      <c r="E1777" s="47" t="s">
        <v>514</v>
      </c>
      <c r="F1777" s="47">
        <v>524.0</v>
      </c>
      <c r="G1777" s="47">
        <v>10.77</v>
      </c>
      <c r="H1777" s="47">
        <v>48.7</v>
      </c>
      <c r="I1777" s="47" t="s">
        <v>62</v>
      </c>
    </row>
    <row r="1778" ht="15.75" customHeight="1">
      <c r="A1778" s="47" t="s">
        <v>3793</v>
      </c>
      <c r="B1778" s="47" t="s">
        <v>3794</v>
      </c>
      <c r="C1778" s="47" t="s">
        <v>7757</v>
      </c>
      <c r="D1778" s="47" t="s">
        <v>195</v>
      </c>
      <c r="E1778" s="47" t="s">
        <v>509</v>
      </c>
      <c r="F1778" s="47">
        <v>2043.0</v>
      </c>
      <c r="G1778" s="47">
        <v>11.3</v>
      </c>
      <c r="H1778" s="47">
        <v>180.8</v>
      </c>
      <c r="I1778" s="47" t="s">
        <v>142</v>
      </c>
    </row>
    <row r="1779" ht="15.75" customHeight="1">
      <c r="A1779" s="47" t="s">
        <v>3795</v>
      </c>
      <c r="B1779" s="47" t="s">
        <v>3796</v>
      </c>
      <c r="C1779" s="47" t="s">
        <v>7757</v>
      </c>
      <c r="D1779" s="47" t="s">
        <v>188</v>
      </c>
      <c r="E1779" s="47" t="s">
        <v>491</v>
      </c>
      <c r="F1779" s="47">
        <v>4926.0</v>
      </c>
      <c r="G1779" s="47">
        <v>8.55</v>
      </c>
      <c r="H1779" s="47">
        <v>576.1</v>
      </c>
      <c r="I1779" s="47" t="s">
        <v>142</v>
      </c>
    </row>
    <row r="1780" ht="15.75" customHeight="1">
      <c r="A1780" s="47" t="s">
        <v>3797</v>
      </c>
      <c r="B1780" s="47" t="s">
        <v>3798</v>
      </c>
      <c r="C1780" s="47" t="s">
        <v>7757</v>
      </c>
      <c r="D1780" s="47" t="s">
        <v>190</v>
      </c>
      <c r="E1780" s="47" t="s">
        <v>501</v>
      </c>
      <c r="F1780" s="47">
        <v>606.0</v>
      </c>
      <c r="G1780" s="47">
        <v>6.04</v>
      </c>
      <c r="H1780" s="47">
        <v>100.3</v>
      </c>
      <c r="I1780" s="47" t="s">
        <v>62</v>
      </c>
    </row>
    <row r="1781" ht="15.75" customHeight="1">
      <c r="A1781" s="47" t="s">
        <v>3799</v>
      </c>
      <c r="B1781" s="47" t="s">
        <v>3800</v>
      </c>
      <c r="C1781" s="47" t="s">
        <v>7757</v>
      </c>
      <c r="D1781" s="47" t="s">
        <v>190</v>
      </c>
      <c r="E1781" s="47" t="s">
        <v>501</v>
      </c>
      <c r="F1781" s="47">
        <v>504.0</v>
      </c>
      <c r="G1781" s="47">
        <v>11.29</v>
      </c>
      <c r="H1781" s="47">
        <v>44.6</v>
      </c>
      <c r="I1781" s="47" t="s">
        <v>62</v>
      </c>
    </row>
    <row r="1782" ht="15.75" customHeight="1">
      <c r="A1782" s="47" t="s">
        <v>3801</v>
      </c>
      <c r="B1782" s="47" t="s">
        <v>3802</v>
      </c>
      <c r="C1782" s="47" t="s">
        <v>7757</v>
      </c>
      <c r="D1782" s="47" t="s">
        <v>183</v>
      </c>
      <c r="E1782" s="47" t="s">
        <v>482</v>
      </c>
      <c r="F1782" s="47">
        <v>196.0</v>
      </c>
      <c r="G1782" s="47">
        <v>3.43</v>
      </c>
      <c r="H1782" s="47">
        <v>57.1</v>
      </c>
      <c r="I1782" s="47" t="s">
        <v>75</v>
      </c>
    </row>
    <row r="1783" ht="15.75" customHeight="1">
      <c r="A1783" s="47" t="s">
        <v>3803</v>
      </c>
      <c r="B1783" s="47" t="s">
        <v>3804</v>
      </c>
      <c r="C1783" s="47" t="s">
        <v>7757</v>
      </c>
      <c r="D1783" s="47" t="s">
        <v>151</v>
      </c>
      <c r="E1783" s="47" t="s">
        <v>414</v>
      </c>
      <c r="F1783" s="47">
        <v>9082.0</v>
      </c>
      <c r="G1783" s="47">
        <v>15.19</v>
      </c>
      <c r="H1783" s="47">
        <v>597.9</v>
      </c>
      <c r="I1783" s="47" t="s">
        <v>142</v>
      </c>
    </row>
    <row r="1784" ht="15.75" customHeight="1">
      <c r="A1784" s="47" t="s">
        <v>3805</v>
      </c>
      <c r="B1784" s="47" t="s">
        <v>3806</v>
      </c>
      <c r="C1784" s="47" t="s">
        <v>7757</v>
      </c>
      <c r="D1784" s="47" t="s">
        <v>159</v>
      </c>
      <c r="E1784" s="47" t="s">
        <v>430</v>
      </c>
      <c r="F1784" s="47">
        <v>278.0</v>
      </c>
      <c r="G1784" s="47">
        <v>14.96</v>
      </c>
      <c r="H1784" s="47">
        <v>18.6</v>
      </c>
      <c r="I1784" s="47" t="s">
        <v>75</v>
      </c>
    </row>
    <row r="1785" ht="15.75" customHeight="1">
      <c r="A1785" s="47" t="s">
        <v>3807</v>
      </c>
      <c r="B1785" s="47" t="s">
        <v>3808</v>
      </c>
      <c r="C1785" s="47" t="s">
        <v>7757</v>
      </c>
      <c r="D1785" s="47" t="s">
        <v>200</v>
      </c>
      <c r="E1785" s="47" t="s">
        <v>494</v>
      </c>
      <c r="F1785" s="47">
        <v>505.0</v>
      </c>
      <c r="G1785" s="47">
        <v>2.19</v>
      </c>
      <c r="H1785" s="47">
        <v>230.6</v>
      </c>
      <c r="I1785" s="47" t="s">
        <v>62</v>
      </c>
    </row>
    <row r="1786" ht="15.75" customHeight="1">
      <c r="A1786" s="47" t="s">
        <v>3809</v>
      </c>
      <c r="B1786" s="47" t="s">
        <v>3810</v>
      </c>
      <c r="C1786" s="47" t="s">
        <v>7757</v>
      </c>
      <c r="D1786" s="47" t="s">
        <v>196</v>
      </c>
      <c r="E1786" s="47" t="s">
        <v>514</v>
      </c>
      <c r="F1786" s="47">
        <v>1469.0</v>
      </c>
      <c r="G1786" s="47">
        <v>16.75</v>
      </c>
      <c r="H1786" s="47">
        <v>87.7</v>
      </c>
      <c r="I1786" s="47" t="s">
        <v>62</v>
      </c>
    </row>
    <row r="1787" ht="15.75" customHeight="1">
      <c r="A1787" s="47" t="s">
        <v>3811</v>
      </c>
      <c r="B1787" s="47" t="s">
        <v>3812</v>
      </c>
      <c r="C1787" s="47" t="s">
        <v>7757</v>
      </c>
      <c r="D1787" s="47" t="s">
        <v>196</v>
      </c>
      <c r="E1787" s="47" t="s">
        <v>514</v>
      </c>
      <c r="F1787" s="47">
        <v>115.0</v>
      </c>
      <c r="G1787" s="47">
        <v>7.38</v>
      </c>
      <c r="H1787" s="47">
        <v>15.6</v>
      </c>
      <c r="I1787" s="47" t="s">
        <v>75</v>
      </c>
    </row>
    <row r="1788" ht="15.75" customHeight="1">
      <c r="A1788" s="47" t="s">
        <v>3813</v>
      </c>
      <c r="B1788" s="47" t="s">
        <v>3814</v>
      </c>
      <c r="C1788" s="47" t="s">
        <v>7757</v>
      </c>
      <c r="D1788" s="47" t="s">
        <v>211</v>
      </c>
      <c r="E1788" s="47" t="s">
        <v>544</v>
      </c>
      <c r="F1788" s="47">
        <v>180.0</v>
      </c>
      <c r="G1788" s="47">
        <v>3.44</v>
      </c>
      <c r="H1788" s="47">
        <v>52.3</v>
      </c>
      <c r="I1788" s="47" t="s">
        <v>75</v>
      </c>
    </row>
    <row r="1789" ht="15.75" customHeight="1">
      <c r="A1789" s="47" t="s">
        <v>3815</v>
      </c>
      <c r="B1789" s="47" t="s">
        <v>3816</v>
      </c>
      <c r="C1789" s="47" t="s">
        <v>7757</v>
      </c>
      <c r="D1789" s="47" t="s">
        <v>159</v>
      </c>
      <c r="E1789" s="47" t="s">
        <v>430</v>
      </c>
      <c r="F1789" s="47">
        <v>182.0</v>
      </c>
      <c r="G1789" s="47">
        <v>8.26</v>
      </c>
      <c r="H1789" s="47">
        <v>22.0</v>
      </c>
      <c r="I1789" s="47" t="s">
        <v>75</v>
      </c>
    </row>
    <row r="1790" ht="15.75" customHeight="1">
      <c r="A1790" s="47" t="s">
        <v>3817</v>
      </c>
      <c r="B1790" s="47" t="s">
        <v>3818</v>
      </c>
      <c r="C1790" s="47" t="s">
        <v>7757</v>
      </c>
      <c r="D1790" s="47" t="s">
        <v>159</v>
      </c>
      <c r="E1790" s="47" t="s">
        <v>430</v>
      </c>
      <c r="F1790" s="47">
        <v>32.0</v>
      </c>
      <c r="G1790" s="47">
        <v>3.75</v>
      </c>
      <c r="H1790" s="47">
        <v>8.5</v>
      </c>
      <c r="I1790" s="47" t="s">
        <v>75</v>
      </c>
    </row>
    <row r="1791" ht="15.75" customHeight="1">
      <c r="A1791" s="47" t="s">
        <v>3819</v>
      </c>
      <c r="B1791" s="47" t="s">
        <v>3820</v>
      </c>
      <c r="C1791" s="47" t="s">
        <v>7757</v>
      </c>
      <c r="D1791" s="47" t="s">
        <v>131</v>
      </c>
      <c r="E1791" s="47" t="s">
        <v>341</v>
      </c>
      <c r="F1791" s="47">
        <v>1116.0</v>
      </c>
      <c r="G1791" s="47">
        <v>13.94</v>
      </c>
      <c r="H1791" s="47">
        <v>80.1</v>
      </c>
      <c r="I1791" s="47" t="s">
        <v>62</v>
      </c>
    </row>
    <row r="1792" ht="15.75" customHeight="1">
      <c r="A1792" s="47" t="s">
        <v>3821</v>
      </c>
      <c r="B1792" s="47" t="s">
        <v>3822</v>
      </c>
      <c r="C1792" s="47" t="s">
        <v>7757</v>
      </c>
      <c r="D1792" s="47" t="s">
        <v>211</v>
      </c>
      <c r="E1792" s="47" t="s">
        <v>544</v>
      </c>
      <c r="F1792" s="47">
        <v>631.0</v>
      </c>
      <c r="G1792" s="47">
        <v>16.35</v>
      </c>
      <c r="H1792" s="47">
        <v>38.6</v>
      </c>
      <c r="I1792" s="47" t="s">
        <v>62</v>
      </c>
    </row>
    <row r="1793" ht="15.75" customHeight="1">
      <c r="A1793" s="47" t="s">
        <v>3823</v>
      </c>
      <c r="B1793" s="47" t="s">
        <v>3824</v>
      </c>
      <c r="C1793" s="47" t="s">
        <v>7757</v>
      </c>
      <c r="D1793" s="47" t="s">
        <v>203</v>
      </c>
      <c r="E1793" s="47" t="s">
        <v>524</v>
      </c>
      <c r="F1793" s="47">
        <v>548.0</v>
      </c>
      <c r="G1793" s="47">
        <v>7.78</v>
      </c>
      <c r="H1793" s="47">
        <v>70.4</v>
      </c>
      <c r="I1793" s="47" t="s">
        <v>62</v>
      </c>
    </row>
    <row r="1794" ht="15.75" customHeight="1">
      <c r="A1794" s="47" t="s">
        <v>3825</v>
      </c>
      <c r="B1794" s="47" t="s">
        <v>3826</v>
      </c>
      <c r="C1794" s="47" t="s">
        <v>7757</v>
      </c>
      <c r="D1794" s="47" t="s">
        <v>195</v>
      </c>
      <c r="E1794" s="47" t="s">
        <v>509</v>
      </c>
      <c r="F1794" s="47">
        <v>1014.0</v>
      </c>
      <c r="G1794" s="47">
        <v>13.92</v>
      </c>
      <c r="H1794" s="47">
        <v>72.8</v>
      </c>
      <c r="I1794" s="47" t="s">
        <v>62</v>
      </c>
    </row>
    <row r="1795" ht="15.75" customHeight="1">
      <c r="A1795" s="47" t="s">
        <v>3827</v>
      </c>
      <c r="B1795" s="47" t="s">
        <v>3828</v>
      </c>
      <c r="C1795" s="47" t="s">
        <v>7757</v>
      </c>
      <c r="D1795" s="47" t="s">
        <v>190</v>
      </c>
      <c r="E1795" s="47" t="s">
        <v>501</v>
      </c>
      <c r="F1795" s="47">
        <v>203.0</v>
      </c>
      <c r="G1795" s="47">
        <v>2.76</v>
      </c>
      <c r="H1795" s="47">
        <v>73.6</v>
      </c>
      <c r="I1795" s="47" t="s">
        <v>75</v>
      </c>
    </row>
    <row r="1796" ht="15.75" customHeight="1">
      <c r="A1796" s="47" t="s">
        <v>3829</v>
      </c>
      <c r="B1796" s="47" t="s">
        <v>3830</v>
      </c>
      <c r="C1796" s="47" t="s">
        <v>7757</v>
      </c>
      <c r="D1796" s="47" t="s">
        <v>188</v>
      </c>
      <c r="E1796" s="47" t="s">
        <v>491</v>
      </c>
      <c r="F1796" s="47">
        <v>6785.0</v>
      </c>
      <c r="G1796" s="47">
        <v>4.73</v>
      </c>
      <c r="H1796" s="47">
        <v>1434.5</v>
      </c>
      <c r="I1796" s="47" t="s">
        <v>142</v>
      </c>
    </row>
    <row r="1797" ht="15.75" customHeight="1">
      <c r="A1797" s="47" t="s">
        <v>3831</v>
      </c>
      <c r="B1797" s="47" t="s">
        <v>3832</v>
      </c>
      <c r="C1797" s="47" t="s">
        <v>7757</v>
      </c>
      <c r="D1797" s="47" t="s">
        <v>211</v>
      </c>
      <c r="E1797" s="47" t="s">
        <v>544</v>
      </c>
      <c r="F1797" s="47">
        <v>573.0</v>
      </c>
      <c r="G1797" s="47">
        <v>12.64</v>
      </c>
      <c r="H1797" s="47">
        <v>45.3</v>
      </c>
      <c r="I1797" s="47" t="s">
        <v>62</v>
      </c>
    </row>
    <row r="1798" ht="15.75" customHeight="1">
      <c r="A1798" s="47" t="s">
        <v>3833</v>
      </c>
      <c r="B1798" s="47" t="s">
        <v>3834</v>
      </c>
      <c r="C1798" s="47" t="s">
        <v>7757</v>
      </c>
      <c r="D1798" s="47" t="s">
        <v>200</v>
      </c>
      <c r="E1798" s="47" t="s">
        <v>494</v>
      </c>
      <c r="F1798" s="47">
        <v>181.0</v>
      </c>
      <c r="G1798" s="47">
        <v>11.41</v>
      </c>
      <c r="H1798" s="47">
        <v>15.9</v>
      </c>
      <c r="I1798" s="47" t="s">
        <v>75</v>
      </c>
    </row>
    <row r="1799" ht="15.75" customHeight="1">
      <c r="A1799" s="47" t="s">
        <v>3835</v>
      </c>
      <c r="B1799" s="47" t="s">
        <v>3836</v>
      </c>
      <c r="C1799" s="47" t="s">
        <v>7757</v>
      </c>
      <c r="D1799" s="47" t="s">
        <v>211</v>
      </c>
      <c r="E1799" s="47" t="s">
        <v>544</v>
      </c>
      <c r="F1799" s="47">
        <v>224.0</v>
      </c>
      <c r="G1799" s="47">
        <v>7.79</v>
      </c>
      <c r="H1799" s="47">
        <v>28.8</v>
      </c>
      <c r="I1799" s="47" t="s">
        <v>75</v>
      </c>
    </row>
    <row r="1800" ht="15.75" customHeight="1">
      <c r="A1800" s="47" t="s">
        <v>3837</v>
      </c>
      <c r="B1800" s="47" t="s">
        <v>3838</v>
      </c>
      <c r="C1800" s="47" t="s">
        <v>7757</v>
      </c>
      <c r="D1800" s="47" t="s">
        <v>203</v>
      </c>
      <c r="E1800" s="47" t="s">
        <v>524</v>
      </c>
      <c r="F1800" s="47">
        <v>718.0</v>
      </c>
      <c r="G1800" s="47">
        <v>9.48</v>
      </c>
      <c r="H1800" s="47">
        <v>75.7</v>
      </c>
      <c r="I1800" s="47" t="s">
        <v>62</v>
      </c>
    </row>
    <row r="1801" ht="15.75" customHeight="1">
      <c r="A1801" s="47" t="s">
        <v>3839</v>
      </c>
      <c r="B1801" s="47" t="s">
        <v>3840</v>
      </c>
      <c r="C1801" s="47" t="s">
        <v>7757</v>
      </c>
      <c r="D1801" s="47" t="s">
        <v>159</v>
      </c>
      <c r="E1801" s="47" t="s">
        <v>430</v>
      </c>
      <c r="F1801" s="47">
        <v>423.0</v>
      </c>
      <c r="G1801" s="47">
        <v>15.96</v>
      </c>
      <c r="H1801" s="47">
        <v>26.5</v>
      </c>
      <c r="I1801" s="47" t="s">
        <v>75</v>
      </c>
    </row>
    <row r="1802" ht="15.75" customHeight="1">
      <c r="A1802" s="47" t="s">
        <v>3841</v>
      </c>
      <c r="B1802" s="47" t="s">
        <v>3842</v>
      </c>
      <c r="C1802" s="47" t="s">
        <v>7757</v>
      </c>
      <c r="D1802" s="47" t="s">
        <v>131</v>
      </c>
      <c r="E1802" s="47" t="s">
        <v>341</v>
      </c>
      <c r="F1802" s="47">
        <v>359.0</v>
      </c>
      <c r="G1802" s="47">
        <v>10.13</v>
      </c>
      <c r="H1802" s="47">
        <v>35.4</v>
      </c>
      <c r="I1802" s="47" t="s">
        <v>75</v>
      </c>
    </row>
    <row r="1803" ht="15.75" customHeight="1">
      <c r="A1803" s="47" t="s">
        <v>3843</v>
      </c>
      <c r="B1803" s="47" t="s">
        <v>3844</v>
      </c>
      <c r="C1803" s="47" t="s">
        <v>7757</v>
      </c>
      <c r="D1803" s="47" t="s">
        <v>211</v>
      </c>
      <c r="E1803" s="47" t="s">
        <v>544</v>
      </c>
      <c r="F1803" s="47">
        <v>329.0</v>
      </c>
      <c r="G1803" s="47">
        <v>5.54</v>
      </c>
      <c r="H1803" s="47">
        <v>59.4</v>
      </c>
      <c r="I1803" s="47" t="s">
        <v>75</v>
      </c>
    </row>
    <row r="1804" ht="15.75" customHeight="1">
      <c r="A1804" s="47" t="s">
        <v>3845</v>
      </c>
      <c r="B1804" s="47" t="s">
        <v>3846</v>
      </c>
      <c r="C1804" s="47" t="s">
        <v>7757</v>
      </c>
      <c r="D1804" s="47" t="s">
        <v>170</v>
      </c>
      <c r="E1804" s="47" t="s">
        <v>452</v>
      </c>
      <c r="F1804" s="47">
        <v>2586.0</v>
      </c>
      <c r="G1804" s="47">
        <v>5.96</v>
      </c>
      <c r="H1804" s="47">
        <v>433.9</v>
      </c>
      <c r="I1804" s="47" t="s">
        <v>142</v>
      </c>
    </row>
    <row r="1805" ht="15.75" customHeight="1">
      <c r="A1805" s="47" t="s">
        <v>3847</v>
      </c>
      <c r="B1805" s="47" t="s">
        <v>3848</v>
      </c>
      <c r="C1805" s="47" t="s">
        <v>7757</v>
      </c>
      <c r="D1805" s="47" t="s">
        <v>160</v>
      </c>
      <c r="E1805" s="47" t="s">
        <v>435</v>
      </c>
      <c r="F1805" s="47">
        <v>1895.0</v>
      </c>
      <c r="G1805" s="47">
        <v>17.24</v>
      </c>
      <c r="H1805" s="47">
        <v>109.9</v>
      </c>
      <c r="I1805" s="47" t="s">
        <v>62</v>
      </c>
    </row>
    <row r="1806" ht="15.75" customHeight="1">
      <c r="A1806" s="47" t="s">
        <v>3849</v>
      </c>
      <c r="B1806" s="47" t="s">
        <v>3850</v>
      </c>
      <c r="C1806" s="47" t="s">
        <v>7757</v>
      </c>
      <c r="D1806" s="47" t="s">
        <v>176</v>
      </c>
      <c r="E1806" s="47" t="s">
        <v>470</v>
      </c>
      <c r="F1806" s="47">
        <v>1247.0</v>
      </c>
      <c r="G1806" s="47">
        <v>5.04</v>
      </c>
      <c r="H1806" s="47">
        <v>247.4</v>
      </c>
      <c r="I1806" s="47" t="s">
        <v>62</v>
      </c>
    </row>
    <row r="1807" ht="15.75" customHeight="1">
      <c r="A1807" s="47" t="s">
        <v>3851</v>
      </c>
      <c r="B1807" s="47" t="s">
        <v>3852</v>
      </c>
      <c r="C1807" s="47" t="s">
        <v>7757</v>
      </c>
      <c r="D1807" s="47" t="s">
        <v>159</v>
      </c>
      <c r="E1807" s="47" t="s">
        <v>430</v>
      </c>
      <c r="F1807" s="47">
        <v>151.0</v>
      </c>
      <c r="G1807" s="47">
        <v>7.41</v>
      </c>
      <c r="H1807" s="47">
        <v>20.4</v>
      </c>
      <c r="I1807" s="47" t="s">
        <v>75</v>
      </c>
    </row>
    <row r="1808" ht="15.75" customHeight="1">
      <c r="A1808" s="47" t="s">
        <v>3853</v>
      </c>
      <c r="B1808" s="47" t="s">
        <v>3854</v>
      </c>
      <c r="C1808" s="47" t="s">
        <v>7757</v>
      </c>
      <c r="D1808" s="47" t="s">
        <v>131</v>
      </c>
      <c r="E1808" s="47" t="s">
        <v>341</v>
      </c>
      <c r="F1808" s="47">
        <v>682.0</v>
      </c>
      <c r="G1808" s="47">
        <v>10.79</v>
      </c>
      <c r="H1808" s="47">
        <v>63.2</v>
      </c>
      <c r="I1808" s="47" t="s">
        <v>62</v>
      </c>
    </row>
    <row r="1809" ht="15.75" customHeight="1">
      <c r="A1809" s="47" t="s">
        <v>3855</v>
      </c>
      <c r="B1809" s="47" t="s">
        <v>3856</v>
      </c>
      <c r="C1809" s="47" t="s">
        <v>7757</v>
      </c>
      <c r="D1809" s="47" t="s">
        <v>170</v>
      </c>
      <c r="E1809" s="47" t="s">
        <v>452</v>
      </c>
      <c r="F1809" s="47">
        <v>830.0</v>
      </c>
      <c r="G1809" s="47">
        <v>6.3</v>
      </c>
      <c r="H1809" s="47">
        <v>131.7</v>
      </c>
      <c r="I1809" s="47" t="s">
        <v>62</v>
      </c>
    </row>
    <row r="1810" ht="15.75" customHeight="1">
      <c r="A1810" s="47" t="s">
        <v>3857</v>
      </c>
      <c r="B1810" s="47" t="s">
        <v>3858</v>
      </c>
      <c r="C1810" s="47" t="s">
        <v>7757</v>
      </c>
      <c r="D1810" s="47" t="s">
        <v>203</v>
      </c>
      <c r="E1810" s="47" t="s">
        <v>524</v>
      </c>
      <c r="F1810" s="47">
        <v>2473.0</v>
      </c>
      <c r="G1810" s="47">
        <v>18.74</v>
      </c>
      <c r="H1810" s="47">
        <v>132.0</v>
      </c>
      <c r="I1810" s="47" t="s">
        <v>142</v>
      </c>
    </row>
    <row r="1811" ht="15.75" customHeight="1">
      <c r="A1811" s="47" t="s">
        <v>3859</v>
      </c>
      <c r="B1811" s="47" t="s">
        <v>3860</v>
      </c>
      <c r="C1811" s="47" t="s">
        <v>7757</v>
      </c>
      <c r="D1811" s="47" t="s">
        <v>183</v>
      </c>
      <c r="E1811" s="47" t="s">
        <v>482</v>
      </c>
      <c r="F1811" s="47">
        <v>381.0</v>
      </c>
      <c r="G1811" s="47">
        <v>5.82</v>
      </c>
      <c r="H1811" s="47">
        <v>65.5</v>
      </c>
      <c r="I1811" s="47" t="s">
        <v>75</v>
      </c>
    </row>
    <row r="1812" ht="15.75" customHeight="1">
      <c r="A1812" s="47" t="s">
        <v>3861</v>
      </c>
      <c r="B1812" s="47" t="s">
        <v>3862</v>
      </c>
      <c r="C1812" s="47" t="s">
        <v>7757</v>
      </c>
      <c r="D1812" s="47" t="s">
        <v>131</v>
      </c>
      <c r="E1812" s="47" t="s">
        <v>341</v>
      </c>
      <c r="F1812" s="47">
        <v>178.0</v>
      </c>
      <c r="G1812" s="47">
        <v>4.22</v>
      </c>
      <c r="H1812" s="47">
        <v>42.2</v>
      </c>
      <c r="I1812" s="47" t="s">
        <v>75</v>
      </c>
    </row>
    <row r="1813" ht="15.75" customHeight="1">
      <c r="A1813" s="47" t="s">
        <v>3863</v>
      </c>
      <c r="B1813" s="47" t="s">
        <v>3864</v>
      </c>
      <c r="C1813" s="47" t="s">
        <v>7757</v>
      </c>
      <c r="D1813" s="47" t="s">
        <v>155</v>
      </c>
      <c r="E1813" s="47" t="s">
        <v>420</v>
      </c>
      <c r="F1813" s="47">
        <v>285.0</v>
      </c>
      <c r="G1813" s="47">
        <v>7.73</v>
      </c>
      <c r="H1813" s="47">
        <v>36.9</v>
      </c>
      <c r="I1813" s="47" t="s">
        <v>75</v>
      </c>
    </row>
    <row r="1814" ht="15.75" customHeight="1">
      <c r="A1814" s="47" t="s">
        <v>3865</v>
      </c>
      <c r="B1814" s="47" t="s">
        <v>3866</v>
      </c>
      <c r="C1814" s="47" t="s">
        <v>7757</v>
      </c>
      <c r="D1814" s="47" t="s">
        <v>170</v>
      </c>
      <c r="E1814" s="47" t="s">
        <v>452</v>
      </c>
      <c r="F1814" s="47">
        <v>375.0</v>
      </c>
      <c r="G1814" s="47">
        <v>3.24</v>
      </c>
      <c r="H1814" s="47">
        <v>115.7</v>
      </c>
      <c r="I1814" s="47" t="s">
        <v>75</v>
      </c>
    </row>
    <row r="1815" ht="15.75" customHeight="1">
      <c r="A1815" s="47" t="s">
        <v>3867</v>
      </c>
      <c r="B1815" s="47" t="s">
        <v>3868</v>
      </c>
      <c r="C1815" s="47" t="s">
        <v>7757</v>
      </c>
      <c r="D1815" s="47" t="s">
        <v>196</v>
      </c>
      <c r="E1815" s="47" t="s">
        <v>514</v>
      </c>
      <c r="F1815" s="47">
        <v>616.0</v>
      </c>
      <c r="G1815" s="47">
        <v>9.15</v>
      </c>
      <c r="H1815" s="47">
        <v>67.3</v>
      </c>
      <c r="I1815" s="47" t="s">
        <v>62</v>
      </c>
    </row>
    <row r="1816" ht="15.75" customHeight="1">
      <c r="A1816" s="47" t="s">
        <v>3869</v>
      </c>
      <c r="B1816" s="47" t="s">
        <v>3870</v>
      </c>
      <c r="C1816" s="47" t="s">
        <v>7757</v>
      </c>
      <c r="D1816" s="47" t="s">
        <v>195</v>
      </c>
      <c r="E1816" s="47" t="s">
        <v>509</v>
      </c>
      <c r="F1816" s="47">
        <v>1581.0</v>
      </c>
      <c r="G1816" s="47">
        <v>10.3</v>
      </c>
      <c r="H1816" s="47">
        <v>153.5</v>
      </c>
      <c r="I1816" s="47" t="s">
        <v>62</v>
      </c>
    </row>
    <row r="1817" ht="15.75" customHeight="1">
      <c r="A1817" s="47" t="s">
        <v>3871</v>
      </c>
      <c r="B1817" s="47" t="s">
        <v>3872</v>
      </c>
      <c r="C1817" s="47" t="s">
        <v>7757</v>
      </c>
      <c r="D1817" s="47" t="s">
        <v>196</v>
      </c>
      <c r="E1817" s="47" t="s">
        <v>514</v>
      </c>
      <c r="F1817" s="47">
        <v>258.0</v>
      </c>
      <c r="G1817" s="47">
        <v>4.57</v>
      </c>
      <c r="H1817" s="47">
        <v>56.5</v>
      </c>
      <c r="I1817" s="47" t="s">
        <v>75</v>
      </c>
    </row>
    <row r="1818" ht="15.75" customHeight="1">
      <c r="A1818" s="47" t="s">
        <v>3873</v>
      </c>
      <c r="B1818" s="47" t="s">
        <v>3874</v>
      </c>
      <c r="C1818" s="47" t="s">
        <v>7757</v>
      </c>
      <c r="D1818" s="47" t="s">
        <v>124</v>
      </c>
      <c r="E1818" s="47" t="s">
        <v>333</v>
      </c>
      <c r="F1818" s="47">
        <v>8677.0</v>
      </c>
      <c r="G1818" s="47">
        <v>6.68</v>
      </c>
      <c r="H1818" s="47">
        <v>1299.0</v>
      </c>
      <c r="I1818" s="47" t="s">
        <v>142</v>
      </c>
    </row>
    <row r="1819" ht="15.75" customHeight="1">
      <c r="A1819" s="47" t="s">
        <v>3875</v>
      </c>
      <c r="B1819" s="47" t="s">
        <v>3876</v>
      </c>
      <c r="C1819" s="47" t="s">
        <v>7757</v>
      </c>
      <c r="D1819" s="47" t="s">
        <v>196</v>
      </c>
      <c r="E1819" s="47" t="s">
        <v>514</v>
      </c>
      <c r="F1819" s="47">
        <v>531.0</v>
      </c>
      <c r="G1819" s="47">
        <v>7.27</v>
      </c>
      <c r="H1819" s="47">
        <v>73.0</v>
      </c>
      <c r="I1819" s="47" t="s">
        <v>62</v>
      </c>
    </row>
    <row r="1820" ht="15.75" customHeight="1">
      <c r="A1820" s="47" t="s">
        <v>3877</v>
      </c>
      <c r="B1820" s="47" t="s">
        <v>3878</v>
      </c>
      <c r="C1820" s="47" t="s">
        <v>7757</v>
      </c>
      <c r="D1820" s="47" t="s">
        <v>195</v>
      </c>
      <c r="E1820" s="47" t="s">
        <v>509</v>
      </c>
      <c r="F1820" s="47">
        <v>641.0</v>
      </c>
      <c r="G1820" s="47">
        <v>13.29</v>
      </c>
      <c r="H1820" s="47">
        <v>48.2</v>
      </c>
      <c r="I1820" s="47" t="s">
        <v>62</v>
      </c>
    </row>
    <row r="1821" ht="15.75" customHeight="1">
      <c r="A1821" s="47" t="s">
        <v>3879</v>
      </c>
      <c r="B1821" s="47" t="s">
        <v>3880</v>
      </c>
      <c r="C1821" s="47" t="s">
        <v>7757</v>
      </c>
      <c r="D1821" s="47" t="s">
        <v>196</v>
      </c>
      <c r="E1821" s="47" t="s">
        <v>514</v>
      </c>
      <c r="F1821" s="47">
        <v>484.0</v>
      </c>
      <c r="G1821" s="47">
        <v>6.85</v>
      </c>
      <c r="H1821" s="47">
        <v>70.7</v>
      </c>
      <c r="I1821" s="47" t="s">
        <v>75</v>
      </c>
    </row>
    <row r="1822" ht="15.75" customHeight="1">
      <c r="A1822" s="47" t="s">
        <v>3881</v>
      </c>
      <c r="B1822" s="47" t="s">
        <v>3882</v>
      </c>
      <c r="C1822" s="47" t="s">
        <v>7757</v>
      </c>
      <c r="D1822" s="47" t="s">
        <v>159</v>
      </c>
      <c r="E1822" s="47" t="s">
        <v>430</v>
      </c>
      <c r="F1822" s="47">
        <v>1409.0</v>
      </c>
      <c r="G1822" s="47">
        <v>8.14</v>
      </c>
      <c r="H1822" s="47">
        <v>173.1</v>
      </c>
      <c r="I1822" s="47" t="s">
        <v>62</v>
      </c>
    </row>
    <row r="1823" ht="15.75" customHeight="1">
      <c r="A1823" s="47" t="s">
        <v>3883</v>
      </c>
      <c r="B1823" s="47" t="s">
        <v>3884</v>
      </c>
      <c r="C1823" s="47" t="s">
        <v>7757</v>
      </c>
      <c r="D1823" s="47" t="s">
        <v>159</v>
      </c>
      <c r="E1823" s="47" t="s">
        <v>430</v>
      </c>
      <c r="F1823" s="47">
        <v>136.0</v>
      </c>
      <c r="G1823" s="47">
        <v>5.11</v>
      </c>
      <c r="H1823" s="47">
        <v>26.6</v>
      </c>
      <c r="I1823" s="47" t="s">
        <v>75</v>
      </c>
    </row>
    <row r="1824" ht="15.75" customHeight="1">
      <c r="A1824" s="47" t="s">
        <v>3885</v>
      </c>
      <c r="B1824" s="47" t="s">
        <v>3886</v>
      </c>
      <c r="C1824" s="47" t="s">
        <v>7757</v>
      </c>
      <c r="D1824" s="47" t="s">
        <v>200</v>
      </c>
      <c r="E1824" s="47" t="s">
        <v>494</v>
      </c>
      <c r="F1824" s="47">
        <v>221.0</v>
      </c>
      <c r="G1824" s="47">
        <v>3.15</v>
      </c>
      <c r="H1824" s="47">
        <v>70.2</v>
      </c>
      <c r="I1824" s="47" t="s">
        <v>75</v>
      </c>
    </row>
    <row r="1825" ht="15.75" customHeight="1">
      <c r="A1825" s="47" t="s">
        <v>3887</v>
      </c>
      <c r="B1825" s="47" t="s">
        <v>3888</v>
      </c>
      <c r="C1825" s="47" t="s">
        <v>7757</v>
      </c>
      <c r="D1825" s="47" t="s">
        <v>131</v>
      </c>
      <c r="E1825" s="47" t="s">
        <v>341</v>
      </c>
      <c r="F1825" s="47">
        <v>344.0</v>
      </c>
      <c r="G1825" s="47">
        <v>7.63</v>
      </c>
      <c r="H1825" s="47">
        <v>45.1</v>
      </c>
      <c r="I1825" s="47" t="s">
        <v>75</v>
      </c>
    </row>
    <row r="1826" ht="15.75" customHeight="1">
      <c r="A1826" s="47" t="s">
        <v>3889</v>
      </c>
      <c r="B1826" s="47" t="s">
        <v>3890</v>
      </c>
      <c r="C1826" s="47" t="s">
        <v>7757</v>
      </c>
      <c r="D1826" s="47" t="s">
        <v>115</v>
      </c>
      <c r="E1826" s="47" t="s">
        <v>129</v>
      </c>
      <c r="F1826" s="47">
        <v>211.0</v>
      </c>
      <c r="G1826" s="47">
        <v>3.74</v>
      </c>
      <c r="H1826" s="47">
        <v>56.4</v>
      </c>
      <c r="I1826" s="47" t="s">
        <v>75</v>
      </c>
    </row>
    <row r="1827" ht="15.75" customHeight="1">
      <c r="A1827" s="47" t="s">
        <v>3891</v>
      </c>
      <c r="B1827" s="47" t="s">
        <v>3892</v>
      </c>
      <c r="C1827" s="47" t="s">
        <v>7757</v>
      </c>
      <c r="D1827" s="47" t="s">
        <v>170</v>
      </c>
      <c r="E1827" s="47" t="s">
        <v>452</v>
      </c>
      <c r="F1827" s="47">
        <v>789.0</v>
      </c>
      <c r="G1827" s="47">
        <v>6.57</v>
      </c>
      <c r="H1827" s="47">
        <v>120.1</v>
      </c>
      <c r="I1827" s="47" t="s">
        <v>62</v>
      </c>
    </row>
    <row r="1828" ht="15.75" customHeight="1">
      <c r="A1828" s="47" t="s">
        <v>3893</v>
      </c>
      <c r="B1828" s="47" t="s">
        <v>3894</v>
      </c>
      <c r="C1828" s="47" t="s">
        <v>7757</v>
      </c>
      <c r="D1828" s="47" t="s">
        <v>231</v>
      </c>
      <c r="E1828" s="47" t="s">
        <v>406</v>
      </c>
      <c r="F1828" s="47">
        <v>600.0</v>
      </c>
      <c r="G1828" s="47">
        <v>3.36</v>
      </c>
      <c r="H1828" s="47">
        <v>178.6</v>
      </c>
      <c r="I1828" s="47" t="s">
        <v>62</v>
      </c>
    </row>
    <row r="1829" ht="15.75" customHeight="1">
      <c r="A1829" s="47" t="s">
        <v>3895</v>
      </c>
      <c r="B1829" s="47" t="s">
        <v>3896</v>
      </c>
      <c r="C1829" s="47" t="s">
        <v>7757</v>
      </c>
      <c r="D1829" s="47" t="s">
        <v>203</v>
      </c>
      <c r="E1829" s="47" t="s">
        <v>524</v>
      </c>
      <c r="F1829" s="47">
        <v>103.0</v>
      </c>
      <c r="G1829" s="47">
        <v>4.89</v>
      </c>
      <c r="H1829" s="47">
        <v>21.1</v>
      </c>
      <c r="I1829" s="47" t="s">
        <v>75</v>
      </c>
    </row>
    <row r="1830" ht="15.75" customHeight="1">
      <c r="A1830" s="47" t="s">
        <v>3897</v>
      </c>
      <c r="B1830" s="47" t="s">
        <v>3898</v>
      </c>
      <c r="C1830" s="47" t="s">
        <v>7757</v>
      </c>
      <c r="D1830" s="47" t="s">
        <v>176</v>
      </c>
      <c r="E1830" s="47" t="s">
        <v>470</v>
      </c>
      <c r="F1830" s="47">
        <v>13897.0</v>
      </c>
      <c r="G1830" s="47">
        <v>23.06</v>
      </c>
      <c r="H1830" s="47">
        <v>602.6</v>
      </c>
      <c r="I1830" s="47" t="s">
        <v>571</v>
      </c>
    </row>
    <row r="1831" ht="15.75" customHeight="1">
      <c r="A1831" s="47" t="s">
        <v>3899</v>
      </c>
      <c r="B1831" s="47" t="s">
        <v>3900</v>
      </c>
      <c r="C1831" s="47" t="s">
        <v>7757</v>
      </c>
      <c r="D1831" s="47" t="s">
        <v>203</v>
      </c>
      <c r="E1831" s="47" t="s">
        <v>524</v>
      </c>
      <c r="F1831" s="47">
        <v>604.0</v>
      </c>
      <c r="G1831" s="47">
        <v>11.31</v>
      </c>
      <c r="H1831" s="47">
        <v>53.4</v>
      </c>
      <c r="I1831" s="47" t="s">
        <v>62</v>
      </c>
    </row>
    <row r="1832" ht="15.75" customHeight="1">
      <c r="A1832" s="47" t="s">
        <v>3901</v>
      </c>
      <c r="B1832" s="47" t="s">
        <v>3902</v>
      </c>
      <c r="C1832" s="47" t="s">
        <v>7757</v>
      </c>
      <c r="D1832" s="47" t="s">
        <v>159</v>
      </c>
      <c r="E1832" s="47" t="s">
        <v>430</v>
      </c>
      <c r="F1832" s="47">
        <v>66.0</v>
      </c>
      <c r="G1832" s="47">
        <v>3.46</v>
      </c>
      <c r="H1832" s="47">
        <v>19.1</v>
      </c>
      <c r="I1832" s="47" t="s">
        <v>75</v>
      </c>
    </row>
    <row r="1833" ht="15.75" customHeight="1">
      <c r="A1833" s="47" t="s">
        <v>3903</v>
      </c>
      <c r="B1833" s="47" t="s">
        <v>3904</v>
      </c>
      <c r="C1833" s="47" t="s">
        <v>7757</v>
      </c>
      <c r="D1833" s="47" t="s">
        <v>231</v>
      </c>
      <c r="E1833" s="47" t="s">
        <v>406</v>
      </c>
      <c r="F1833" s="47">
        <v>2439.0</v>
      </c>
      <c r="G1833" s="47">
        <v>6.05</v>
      </c>
      <c r="H1833" s="47">
        <v>403.1</v>
      </c>
      <c r="I1833" s="47" t="s">
        <v>142</v>
      </c>
    </row>
    <row r="1834" ht="15.75" customHeight="1">
      <c r="A1834" s="47" t="s">
        <v>3905</v>
      </c>
      <c r="B1834" s="47" t="s">
        <v>3906</v>
      </c>
      <c r="C1834" s="47" t="s">
        <v>7757</v>
      </c>
      <c r="D1834" s="47" t="s">
        <v>155</v>
      </c>
      <c r="E1834" s="47" t="s">
        <v>420</v>
      </c>
      <c r="F1834" s="47">
        <v>248.0</v>
      </c>
      <c r="G1834" s="47">
        <v>4.12</v>
      </c>
      <c r="H1834" s="47">
        <v>60.2</v>
      </c>
      <c r="I1834" s="47" t="s">
        <v>75</v>
      </c>
    </row>
    <row r="1835" ht="15.75" customHeight="1">
      <c r="A1835" s="47" t="s">
        <v>3907</v>
      </c>
      <c r="B1835" s="47" t="s">
        <v>3908</v>
      </c>
      <c r="C1835" s="47" t="s">
        <v>7757</v>
      </c>
      <c r="D1835" s="47" t="s">
        <v>203</v>
      </c>
      <c r="E1835" s="47" t="s">
        <v>524</v>
      </c>
      <c r="F1835" s="47">
        <v>265.0</v>
      </c>
      <c r="G1835" s="47">
        <v>6.3</v>
      </c>
      <c r="H1835" s="47">
        <v>42.1</v>
      </c>
      <c r="I1835" s="47" t="s">
        <v>75</v>
      </c>
    </row>
    <row r="1836" ht="15.75" customHeight="1">
      <c r="A1836" s="47" t="s">
        <v>3909</v>
      </c>
      <c r="B1836" s="47" t="s">
        <v>3910</v>
      </c>
      <c r="C1836" s="47" t="s">
        <v>7757</v>
      </c>
      <c r="D1836" s="47" t="s">
        <v>211</v>
      </c>
      <c r="E1836" s="47" t="s">
        <v>544</v>
      </c>
      <c r="F1836" s="47">
        <v>770.0</v>
      </c>
      <c r="G1836" s="47">
        <v>6.64</v>
      </c>
      <c r="H1836" s="47">
        <v>116.0</v>
      </c>
      <c r="I1836" s="47" t="s">
        <v>62</v>
      </c>
    </row>
    <row r="1837" ht="15.75" customHeight="1">
      <c r="A1837" s="47" t="s">
        <v>3911</v>
      </c>
      <c r="B1837" s="47" t="s">
        <v>3912</v>
      </c>
      <c r="C1837" s="47" t="s">
        <v>7757</v>
      </c>
      <c r="D1837" s="47" t="s">
        <v>124</v>
      </c>
      <c r="E1837" s="47" t="s">
        <v>333</v>
      </c>
      <c r="F1837" s="47">
        <v>2327.0</v>
      </c>
      <c r="G1837" s="47">
        <v>7.72</v>
      </c>
      <c r="H1837" s="47">
        <v>301.4</v>
      </c>
      <c r="I1837" s="47" t="s">
        <v>142</v>
      </c>
    </row>
    <row r="1838" ht="15.75" customHeight="1">
      <c r="A1838" s="47" t="s">
        <v>3913</v>
      </c>
      <c r="B1838" s="47" t="s">
        <v>3914</v>
      </c>
      <c r="C1838" s="47" t="s">
        <v>7757</v>
      </c>
      <c r="D1838" s="47" t="s">
        <v>131</v>
      </c>
      <c r="E1838" s="47" t="s">
        <v>341</v>
      </c>
      <c r="F1838" s="47">
        <v>1922.0</v>
      </c>
      <c r="G1838" s="47">
        <v>19.28</v>
      </c>
      <c r="H1838" s="47">
        <v>99.7</v>
      </c>
      <c r="I1838" s="47" t="s">
        <v>62</v>
      </c>
    </row>
    <row r="1839" ht="15.75" customHeight="1">
      <c r="A1839" s="47" t="s">
        <v>3915</v>
      </c>
      <c r="B1839" s="47" t="s">
        <v>3916</v>
      </c>
      <c r="C1839" s="47" t="s">
        <v>7757</v>
      </c>
      <c r="D1839" s="47" t="s">
        <v>188</v>
      </c>
      <c r="E1839" s="47" t="s">
        <v>491</v>
      </c>
      <c r="F1839" s="47">
        <v>1487.0</v>
      </c>
      <c r="G1839" s="47">
        <v>3.94</v>
      </c>
      <c r="H1839" s="47">
        <v>377.4</v>
      </c>
      <c r="I1839" s="47" t="s">
        <v>62</v>
      </c>
    </row>
    <row r="1840" ht="15.75" customHeight="1">
      <c r="A1840" s="47" t="s">
        <v>3917</v>
      </c>
      <c r="B1840" s="47" t="s">
        <v>3918</v>
      </c>
      <c r="C1840" s="47" t="s">
        <v>7757</v>
      </c>
      <c r="D1840" s="47" t="s">
        <v>159</v>
      </c>
      <c r="E1840" s="47" t="s">
        <v>430</v>
      </c>
      <c r="F1840" s="47">
        <v>1117.0</v>
      </c>
      <c r="G1840" s="47">
        <v>9.39</v>
      </c>
      <c r="H1840" s="47">
        <v>119.0</v>
      </c>
      <c r="I1840" s="47" t="s">
        <v>62</v>
      </c>
    </row>
    <row r="1841" ht="15.75" customHeight="1">
      <c r="A1841" s="47" t="s">
        <v>3919</v>
      </c>
      <c r="B1841" s="47" t="s">
        <v>3920</v>
      </c>
      <c r="C1841" s="47" t="s">
        <v>7757</v>
      </c>
      <c r="D1841" s="47" t="s">
        <v>175</v>
      </c>
      <c r="E1841" s="47" t="s">
        <v>463</v>
      </c>
      <c r="F1841" s="47">
        <v>947.0</v>
      </c>
      <c r="G1841" s="47">
        <v>6.61</v>
      </c>
      <c r="H1841" s="47">
        <v>143.3</v>
      </c>
      <c r="I1841" s="47" t="s">
        <v>62</v>
      </c>
    </row>
    <row r="1842" ht="15.75" customHeight="1">
      <c r="A1842" s="47" t="s">
        <v>3921</v>
      </c>
      <c r="B1842" s="47" t="s">
        <v>3922</v>
      </c>
      <c r="C1842" s="47" t="s">
        <v>7757</v>
      </c>
      <c r="D1842" s="47" t="s">
        <v>159</v>
      </c>
      <c r="E1842" s="47" t="s">
        <v>430</v>
      </c>
      <c r="F1842" s="47">
        <v>211.0</v>
      </c>
      <c r="G1842" s="47">
        <v>4.55</v>
      </c>
      <c r="H1842" s="47">
        <v>46.4</v>
      </c>
      <c r="I1842" s="47" t="s">
        <v>75</v>
      </c>
    </row>
    <row r="1843" ht="15.75" customHeight="1">
      <c r="A1843" s="47" t="s">
        <v>3923</v>
      </c>
      <c r="B1843" s="47" t="s">
        <v>3924</v>
      </c>
      <c r="C1843" s="47" t="s">
        <v>7757</v>
      </c>
      <c r="D1843" s="47" t="s">
        <v>196</v>
      </c>
      <c r="E1843" s="47" t="s">
        <v>514</v>
      </c>
      <c r="F1843" s="47">
        <v>772.0</v>
      </c>
      <c r="G1843" s="47">
        <v>7.99</v>
      </c>
      <c r="H1843" s="47">
        <v>96.6</v>
      </c>
      <c r="I1843" s="47" t="s">
        <v>62</v>
      </c>
    </row>
    <row r="1844" ht="15.75" customHeight="1">
      <c r="A1844" s="47" t="s">
        <v>3925</v>
      </c>
      <c r="B1844" s="47" t="s">
        <v>3926</v>
      </c>
      <c r="C1844" s="47" t="s">
        <v>7757</v>
      </c>
      <c r="D1844" s="47" t="s">
        <v>188</v>
      </c>
      <c r="E1844" s="47" t="s">
        <v>491</v>
      </c>
      <c r="F1844" s="47">
        <v>2155.0</v>
      </c>
      <c r="G1844" s="47">
        <v>3.94</v>
      </c>
      <c r="H1844" s="47">
        <v>547.0</v>
      </c>
      <c r="I1844" s="47" t="s">
        <v>142</v>
      </c>
    </row>
    <row r="1845" ht="15.75" customHeight="1">
      <c r="A1845" s="47" t="s">
        <v>3927</v>
      </c>
      <c r="B1845" s="47" t="s">
        <v>3928</v>
      </c>
      <c r="C1845" s="47" t="s">
        <v>7757</v>
      </c>
      <c r="D1845" s="47" t="s">
        <v>200</v>
      </c>
      <c r="E1845" s="47" t="s">
        <v>494</v>
      </c>
      <c r="F1845" s="47">
        <v>247.0</v>
      </c>
      <c r="G1845" s="47">
        <v>3.2</v>
      </c>
      <c r="H1845" s="47">
        <v>77.2</v>
      </c>
      <c r="I1845" s="47" t="s">
        <v>75</v>
      </c>
    </row>
    <row r="1846" ht="15.75" customHeight="1">
      <c r="A1846" s="47" t="s">
        <v>3929</v>
      </c>
      <c r="B1846" s="47" t="s">
        <v>3930</v>
      </c>
      <c r="C1846" s="47" t="s">
        <v>7757</v>
      </c>
      <c r="D1846" s="47" t="s">
        <v>211</v>
      </c>
      <c r="E1846" s="47" t="s">
        <v>544</v>
      </c>
      <c r="F1846" s="47">
        <v>765.0</v>
      </c>
      <c r="G1846" s="47">
        <v>9.21</v>
      </c>
      <c r="H1846" s="47">
        <v>83.1</v>
      </c>
      <c r="I1846" s="47" t="s">
        <v>62</v>
      </c>
    </row>
    <row r="1847" ht="15.75" customHeight="1">
      <c r="A1847" s="47" t="s">
        <v>3931</v>
      </c>
      <c r="B1847" s="47" t="s">
        <v>3932</v>
      </c>
      <c r="C1847" s="47" t="s">
        <v>7757</v>
      </c>
      <c r="D1847" s="47" t="s">
        <v>211</v>
      </c>
      <c r="E1847" s="47" t="s">
        <v>544</v>
      </c>
      <c r="F1847" s="47">
        <v>672.0</v>
      </c>
      <c r="G1847" s="47">
        <v>4.07</v>
      </c>
      <c r="H1847" s="47">
        <v>165.1</v>
      </c>
      <c r="I1847" s="47" t="s">
        <v>62</v>
      </c>
    </row>
    <row r="1848" ht="15.75" customHeight="1">
      <c r="A1848" s="47" t="s">
        <v>3933</v>
      </c>
      <c r="B1848" s="47" t="s">
        <v>3934</v>
      </c>
      <c r="C1848" s="47" t="s">
        <v>7757</v>
      </c>
      <c r="D1848" s="47" t="s">
        <v>195</v>
      </c>
      <c r="E1848" s="47" t="s">
        <v>509</v>
      </c>
      <c r="F1848" s="47">
        <v>425.0</v>
      </c>
      <c r="G1848" s="47">
        <v>5.58</v>
      </c>
      <c r="H1848" s="47">
        <v>76.2</v>
      </c>
      <c r="I1848" s="47" t="s">
        <v>75</v>
      </c>
    </row>
    <row r="1849" ht="15.75" customHeight="1">
      <c r="A1849" s="47" t="s">
        <v>3935</v>
      </c>
      <c r="B1849" s="47" t="s">
        <v>3936</v>
      </c>
      <c r="C1849" s="47" t="s">
        <v>7757</v>
      </c>
      <c r="D1849" s="47" t="s">
        <v>115</v>
      </c>
      <c r="E1849" s="47" t="s">
        <v>129</v>
      </c>
      <c r="F1849" s="47">
        <v>14257.0</v>
      </c>
      <c r="G1849" s="47">
        <v>10.63</v>
      </c>
      <c r="H1849" s="47">
        <v>1341.2</v>
      </c>
      <c r="I1849" s="47" t="s">
        <v>571</v>
      </c>
    </row>
    <row r="1850" ht="15.75" customHeight="1">
      <c r="A1850" s="47" t="s">
        <v>3937</v>
      </c>
      <c r="B1850" s="47" t="s">
        <v>3938</v>
      </c>
      <c r="C1850" s="47" t="s">
        <v>7757</v>
      </c>
      <c r="D1850" s="47" t="s">
        <v>228</v>
      </c>
      <c r="E1850" s="47" t="s">
        <v>396</v>
      </c>
      <c r="F1850" s="47">
        <v>159.0</v>
      </c>
      <c r="G1850" s="47">
        <v>5.91</v>
      </c>
      <c r="H1850" s="47">
        <v>26.9</v>
      </c>
      <c r="I1850" s="47" t="s">
        <v>75</v>
      </c>
    </row>
    <row r="1851" ht="15.75" customHeight="1">
      <c r="A1851" s="47" t="s">
        <v>3939</v>
      </c>
      <c r="B1851" s="47" t="s">
        <v>3940</v>
      </c>
      <c r="C1851" s="47" t="s">
        <v>7757</v>
      </c>
      <c r="D1851" s="47" t="s">
        <v>203</v>
      </c>
      <c r="E1851" s="47" t="s">
        <v>524</v>
      </c>
      <c r="F1851" s="47">
        <v>166.0</v>
      </c>
      <c r="G1851" s="47">
        <v>4.92</v>
      </c>
      <c r="H1851" s="47">
        <v>33.7</v>
      </c>
      <c r="I1851" s="47" t="s">
        <v>75</v>
      </c>
    </row>
    <row r="1852" ht="15.75" customHeight="1">
      <c r="A1852" s="47" t="s">
        <v>3941</v>
      </c>
      <c r="B1852" s="47" t="s">
        <v>3942</v>
      </c>
      <c r="C1852" s="47" t="s">
        <v>7757</v>
      </c>
      <c r="D1852" s="47" t="s">
        <v>203</v>
      </c>
      <c r="E1852" s="47" t="s">
        <v>524</v>
      </c>
      <c r="F1852" s="47">
        <v>392.0</v>
      </c>
      <c r="G1852" s="47">
        <v>7.91</v>
      </c>
      <c r="H1852" s="47">
        <v>49.6</v>
      </c>
      <c r="I1852" s="47" t="s">
        <v>75</v>
      </c>
    </row>
    <row r="1853" ht="15.75" customHeight="1">
      <c r="A1853" s="47" t="s">
        <v>3943</v>
      </c>
      <c r="B1853" s="47" t="s">
        <v>3944</v>
      </c>
      <c r="C1853" s="47" t="s">
        <v>7757</v>
      </c>
      <c r="D1853" s="47" t="s">
        <v>211</v>
      </c>
      <c r="E1853" s="47" t="s">
        <v>544</v>
      </c>
      <c r="F1853" s="47">
        <v>530.0</v>
      </c>
      <c r="G1853" s="47">
        <v>16.76</v>
      </c>
      <c r="H1853" s="47">
        <v>31.6</v>
      </c>
      <c r="I1853" s="47" t="s">
        <v>62</v>
      </c>
    </row>
    <row r="1854" ht="15.75" customHeight="1">
      <c r="A1854" s="47" t="s">
        <v>3945</v>
      </c>
      <c r="B1854" s="47" t="s">
        <v>3946</v>
      </c>
      <c r="C1854" s="47" t="s">
        <v>7757</v>
      </c>
      <c r="D1854" s="47" t="s">
        <v>228</v>
      </c>
      <c r="E1854" s="47" t="s">
        <v>396</v>
      </c>
      <c r="F1854" s="47">
        <v>416.0</v>
      </c>
      <c r="G1854" s="47">
        <v>14.36</v>
      </c>
      <c r="H1854" s="47">
        <v>29.0</v>
      </c>
      <c r="I1854" s="47" t="s">
        <v>75</v>
      </c>
    </row>
    <row r="1855" ht="15.75" customHeight="1">
      <c r="A1855" s="47" t="s">
        <v>3947</v>
      </c>
      <c r="B1855" s="47" t="s">
        <v>3948</v>
      </c>
      <c r="C1855" s="47" t="s">
        <v>7757</v>
      </c>
      <c r="D1855" s="47" t="s">
        <v>228</v>
      </c>
      <c r="E1855" s="47" t="s">
        <v>396</v>
      </c>
      <c r="F1855" s="47">
        <v>207.0</v>
      </c>
      <c r="G1855" s="47">
        <v>5.19</v>
      </c>
      <c r="H1855" s="47">
        <v>39.9</v>
      </c>
      <c r="I1855" s="47" t="s">
        <v>75</v>
      </c>
    </row>
    <row r="1856" ht="15.75" customHeight="1">
      <c r="A1856" s="47" t="s">
        <v>3949</v>
      </c>
      <c r="B1856" s="47" t="s">
        <v>3950</v>
      </c>
      <c r="C1856" s="47" t="s">
        <v>7757</v>
      </c>
      <c r="D1856" s="47" t="s">
        <v>170</v>
      </c>
      <c r="E1856" s="47" t="s">
        <v>452</v>
      </c>
      <c r="F1856" s="47">
        <v>1142.0</v>
      </c>
      <c r="G1856" s="47">
        <v>7.28</v>
      </c>
      <c r="H1856" s="47">
        <v>156.9</v>
      </c>
      <c r="I1856" s="47" t="s">
        <v>62</v>
      </c>
    </row>
    <row r="1857" ht="15.75" customHeight="1">
      <c r="A1857" s="47" t="s">
        <v>3951</v>
      </c>
      <c r="B1857" s="47" t="s">
        <v>3952</v>
      </c>
      <c r="C1857" s="47" t="s">
        <v>7757</v>
      </c>
      <c r="D1857" s="47" t="s">
        <v>160</v>
      </c>
      <c r="E1857" s="47" t="s">
        <v>435</v>
      </c>
      <c r="F1857" s="47">
        <v>294.0</v>
      </c>
      <c r="G1857" s="47">
        <v>3.39</v>
      </c>
      <c r="H1857" s="47">
        <v>86.7</v>
      </c>
      <c r="I1857" s="47" t="s">
        <v>75</v>
      </c>
    </row>
    <row r="1858" ht="15.75" customHeight="1">
      <c r="A1858" s="47" t="s">
        <v>3953</v>
      </c>
      <c r="B1858" s="47" t="s">
        <v>3954</v>
      </c>
      <c r="C1858" s="47" t="s">
        <v>7757</v>
      </c>
      <c r="D1858" s="47" t="s">
        <v>155</v>
      </c>
      <c r="E1858" s="47" t="s">
        <v>420</v>
      </c>
      <c r="F1858" s="47">
        <v>497.0</v>
      </c>
      <c r="G1858" s="47">
        <v>10.6</v>
      </c>
      <c r="H1858" s="47">
        <v>46.9</v>
      </c>
      <c r="I1858" s="47" t="s">
        <v>75</v>
      </c>
    </row>
    <row r="1859" ht="15.75" customHeight="1">
      <c r="A1859" s="47" t="s">
        <v>3955</v>
      </c>
      <c r="B1859" s="47" t="s">
        <v>3956</v>
      </c>
      <c r="C1859" s="47" t="s">
        <v>7757</v>
      </c>
      <c r="D1859" s="47" t="s">
        <v>231</v>
      </c>
      <c r="E1859" s="47" t="s">
        <v>406</v>
      </c>
      <c r="F1859" s="47">
        <v>239.0</v>
      </c>
      <c r="G1859" s="47">
        <v>1.49</v>
      </c>
      <c r="H1859" s="47">
        <v>160.4</v>
      </c>
      <c r="I1859" s="47" t="s">
        <v>75</v>
      </c>
    </row>
    <row r="1860" ht="15.75" customHeight="1">
      <c r="A1860" s="47" t="s">
        <v>3957</v>
      </c>
      <c r="B1860" s="47" t="s">
        <v>3958</v>
      </c>
      <c r="C1860" s="47" t="s">
        <v>7757</v>
      </c>
      <c r="D1860" s="47" t="s">
        <v>176</v>
      </c>
      <c r="E1860" s="47" t="s">
        <v>470</v>
      </c>
      <c r="F1860" s="47">
        <v>187.0</v>
      </c>
      <c r="G1860" s="47">
        <v>3.67</v>
      </c>
      <c r="H1860" s="47">
        <v>51.0</v>
      </c>
      <c r="I1860" s="47" t="s">
        <v>75</v>
      </c>
    </row>
    <row r="1861" ht="15.75" customHeight="1">
      <c r="A1861" s="47" t="s">
        <v>3959</v>
      </c>
      <c r="B1861" s="47" t="s">
        <v>3960</v>
      </c>
      <c r="C1861" s="47" t="s">
        <v>7757</v>
      </c>
      <c r="D1861" s="47" t="s">
        <v>131</v>
      </c>
      <c r="E1861" s="47" t="s">
        <v>341</v>
      </c>
      <c r="F1861" s="47">
        <v>652.0</v>
      </c>
      <c r="G1861" s="47">
        <v>7.73</v>
      </c>
      <c r="H1861" s="47">
        <v>84.3</v>
      </c>
      <c r="I1861" s="47" t="s">
        <v>62</v>
      </c>
    </row>
    <row r="1862" ht="15.75" customHeight="1">
      <c r="A1862" s="47" t="s">
        <v>3961</v>
      </c>
      <c r="B1862" s="47" t="s">
        <v>3962</v>
      </c>
      <c r="C1862" s="47" t="s">
        <v>7757</v>
      </c>
      <c r="D1862" s="47" t="s">
        <v>231</v>
      </c>
      <c r="E1862" s="47" t="s">
        <v>406</v>
      </c>
      <c r="F1862" s="47">
        <v>412.0</v>
      </c>
      <c r="G1862" s="47">
        <v>5.97</v>
      </c>
      <c r="H1862" s="47">
        <v>69.0</v>
      </c>
      <c r="I1862" s="47" t="s">
        <v>75</v>
      </c>
    </row>
    <row r="1863" ht="15.75" customHeight="1">
      <c r="A1863" s="47" t="s">
        <v>3963</v>
      </c>
      <c r="B1863" s="47" t="s">
        <v>3964</v>
      </c>
      <c r="C1863" s="47" t="s">
        <v>7757</v>
      </c>
      <c r="D1863" s="47" t="s">
        <v>195</v>
      </c>
      <c r="E1863" s="47" t="s">
        <v>509</v>
      </c>
      <c r="F1863" s="47">
        <v>1035.0</v>
      </c>
      <c r="G1863" s="47">
        <v>25.94</v>
      </c>
      <c r="H1863" s="47">
        <v>39.9</v>
      </c>
      <c r="I1863" s="47" t="s">
        <v>62</v>
      </c>
    </row>
    <row r="1864" ht="15.75" customHeight="1">
      <c r="A1864" s="47" t="s">
        <v>3965</v>
      </c>
      <c r="B1864" s="47" t="s">
        <v>3966</v>
      </c>
      <c r="C1864" s="47" t="s">
        <v>7757</v>
      </c>
      <c r="D1864" s="47" t="s">
        <v>200</v>
      </c>
      <c r="E1864" s="47" t="s">
        <v>494</v>
      </c>
      <c r="F1864" s="47">
        <v>500.0</v>
      </c>
      <c r="G1864" s="47">
        <v>3.31</v>
      </c>
      <c r="H1864" s="47">
        <v>151.1</v>
      </c>
      <c r="I1864" s="47" t="s">
        <v>62</v>
      </c>
    </row>
    <row r="1865" ht="15.75" customHeight="1">
      <c r="A1865" s="47" t="s">
        <v>3967</v>
      </c>
      <c r="B1865" s="47" t="s">
        <v>1257</v>
      </c>
      <c r="C1865" s="47" t="s">
        <v>7757</v>
      </c>
      <c r="D1865" s="47" t="s">
        <v>151</v>
      </c>
      <c r="E1865" s="47" t="s">
        <v>414</v>
      </c>
      <c r="F1865" s="47">
        <v>834.0</v>
      </c>
      <c r="G1865" s="47">
        <v>15.35</v>
      </c>
      <c r="H1865" s="47">
        <v>54.3</v>
      </c>
      <c r="I1865" s="47" t="s">
        <v>62</v>
      </c>
    </row>
    <row r="1866" ht="15.75" customHeight="1">
      <c r="A1866" s="47" t="s">
        <v>3968</v>
      </c>
      <c r="B1866" s="47" t="s">
        <v>3969</v>
      </c>
      <c r="C1866" s="47" t="s">
        <v>7757</v>
      </c>
      <c r="D1866" s="47" t="s">
        <v>231</v>
      </c>
      <c r="E1866" s="47" t="s">
        <v>406</v>
      </c>
      <c r="F1866" s="47">
        <v>958.0</v>
      </c>
      <c r="G1866" s="47">
        <v>6.02</v>
      </c>
      <c r="H1866" s="47">
        <v>159.1</v>
      </c>
      <c r="I1866" s="47" t="s">
        <v>62</v>
      </c>
    </row>
    <row r="1867" ht="15.75" customHeight="1">
      <c r="A1867" s="47" t="s">
        <v>3970</v>
      </c>
      <c r="B1867" s="47" t="s">
        <v>3971</v>
      </c>
      <c r="C1867" s="47" t="s">
        <v>7757</v>
      </c>
      <c r="D1867" s="47" t="s">
        <v>196</v>
      </c>
      <c r="E1867" s="47" t="s">
        <v>514</v>
      </c>
      <c r="F1867" s="47">
        <v>220.0</v>
      </c>
      <c r="G1867" s="47">
        <v>6.6</v>
      </c>
      <c r="H1867" s="47">
        <v>33.3</v>
      </c>
      <c r="I1867" s="47" t="s">
        <v>75</v>
      </c>
    </row>
    <row r="1868" ht="15.75" customHeight="1">
      <c r="A1868" s="47" t="s">
        <v>3972</v>
      </c>
      <c r="B1868" s="47" t="s">
        <v>3973</v>
      </c>
      <c r="C1868" s="47" t="s">
        <v>7757</v>
      </c>
      <c r="D1868" s="47" t="s">
        <v>159</v>
      </c>
      <c r="E1868" s="47" t="s">
        <v>430</v>
      </c>
      <c r="F1868" s="47">
        <v>506.0</v>
      </c>
      <c r="G1868" s="47">
        <v>5.16</v>
      </c>
      <c r="H1868" s="47">
        <v>98.1</v>
      </c>
      <c r="I1868" s="47" t="s">
        <v>62</v>
      </c>
    </row>
    <row r="1869" ht="15.75" customHeight="1">
      <c r="A1869" s="47" t="s">
        <v>3974</v>
      </c>
      <c r="B1869" s="47" t="s">
        <v>3975</v>
      </c>
      <c r="C1869" s="47" t="s">
        <v>7757</v>
      </c>
      <c r="D1869" s="47" t="s">
        <v>155</v>
      </c>
      <c r="E1869" s="47" t="s">
        <v>420</v>
      </c>
      <c r="F1869" s="47">
        <v>84.0</v>
      </c>
      <c r="G1869" s="47">
        <v>4.64</v>
      </c>
      <c r="H1869" s="47">
        <v>18.1</v>
      </c>
      <c r="I1869" s="47" t="s">
        <v>75</v>
      </c>
    </row>
    <row r="1870" ht="15.75" customHeight="1">
      <c r="A1870" s="47" t="s">
        <v>3976</v>
      </c>
      <c r="B1870" s="47" t="s">
        <v>3977</v>
      </c>
      <c r="C1870" s="47" t="s">
        <v>7757</v>
      </c>
      <c r="D1870" s="47" t="s">
        <v>231</v>
      </c>
      <c r="E1870" s="47" t="s">
        <v>406</v>
      </c>
      <c r="F1870" s="47">
        <v>72.0</v>
      </c>
      <c r="G1870" s="47">
        <v>3.23</v>
      </c>
      <c r="H1870" s="47">
        <v>22.3</v>
      </c>
      <c r="I1870" s="47" t="s">
        <v>75</v>
      </c>
    </row>
    <row r="1871" ht="15.75" customHeight="1">
      <c r="A1871" s="47" t="s">
        <v>3978</v>
      </c>
      <c r="B1871" s="47" t="s">
        <v>3979</v>
      </c>
      <c r="C1871" s="47" t="s">
        <v>7757</v>
      </c>
      <c r="D1871" s="47" t="s">
        <v>173</v>
      </c>
      <c r="E1871" s="47" t="s">
        <v>460</v>
      </c>
      <c r="F1871" s="47">
        <v>185.0</v>
      </c>
      <c r="G1871" s="47">
        <v>18.18</v>
      </c>
      <c r="H1871" s="47">
        <v>10.2</v>
      </c>
      <c r="I1871" s="47" t="s">
        <v>75</v>
      </c>
    </row>
    <row r="1872" ht="15.75" customHeight="1">
      <c r="A1872" s="47" t="s">
        <v>3980</v>
      </c>
      <c r="B1872" s="47" t="s">
        <v>3981</v>
      </c>
      <c r="C1872" s="47" t="s">
        <v>7757</v>
      </c>
      <c r="D1872" s="47" t="s">
        <v>183</v>
      </c>
      <c r="E1872" s="47" t="s">
        <v>482</v>
      </c>
      <c r="F1872" s="47">
        <v>5319.0</v>
      </c>
      <c r="G1872" s="47">
        <v>10.21</v>
      </c>
      <c r="H1872" s="47">
        <v>521.0</v>
      </c>
      <c r="I1872" s="47" t="s">
        <v>142</v>
      </c>
    </row>
    <row r="1873" ht="15.75" customHeight="1">
      <c r="A1873" s="47" t="s">
        <v>3982</v>
      </c>
      <c r="B1873" s="47" t="s">
        <v>3983</v>
      </c>
      <c r="C1873" s="47" t="s">
        <v>7757</v>
      </c>
      <c r="D1873" s="47" t="s">
        <v>203</v>
      </c>
      <c r="E1873" s="47" t="s">
        <v>524</v>
      </c>
      <c r="F1873" s="47">
        <v>575.0</v>
      </c>
      <c r="G1873" s="47">
        <v>7.22</v>
      </c>
      <c r="H1873" s="47">
        <v>79.6</v>
      </c>
      <c r="I1873" s="47" t="s">
        <v>62</v>
      </c>
    </row>
    <row r="1874" ht="15.75" customHeight="1">
      <c r="A1874" s="47" t="s">
        <v>3984</v>
      </c>
      <c r="B1874" s="47" t="s">
        <v>3985</v>
      </c>
      <c r="C1874" s="47" t="s">
        <v>7757</v>
      </c>
      <c r="D1874" s="47" t="s">
        <v>160</v>
      </c>
      <c r="E1874" s="47" t="s">
        <v>435</v>
      </c>
      <c r="F1874" s="47">
        <v>647.0</v>
      </c>
      <c r="G1874" s="47">
        <v>9.21</v>
      </c>
      <c r="H1874" s="47">
        <v>70.2</v>
      </c>
      <c r="I1874" s="47" t="s">
        <v>62</v>
      </c>
    </row>
    <row r="1875" ht="15.75" customHeight="1">
      <c r="A1875" s="47" t="s">
        <v>3986</v>
      </c>
      <c r="B1875" s="47" t="s">
        <v>3987</v>
      </c>
      <c r="C1875" s="47" t="s">
        <v>7757</v>
      </c>
      <c r="D1875" s="47" t="s">
        <v>131</v>
      </c>
      <c r="E1875" s="47" t="s">
        <v>341</v>
      </c>
      <c r="F1875" s="47">
        <v>133.0</v>
      </c>
      <c r="G1875" s="47">
        <v>5.39</v>
      </c>
      <c r="H1875" s="47">
        <v>24.7</v>
      </c>
      <c r="I1875" s="47" t="s">
        <v>75</v>
      </c>
    </row>
    <row r="1876" ht="15.75" customHeight="1">
      <c r="A1876" s="47" t="s">
        <v>3988</v>
      </c>
      <c r="B1876" s="47" t="s">
        <v>3989</v>
      </c>
      <c r="C1876" s="47" t="s">
        <v>7757</v>
      </c>
      <c r="D1876" s="47" t="s">
        <v>200</v>
      </c>
      <c r="E1876" s="47" t="s">
        <v>494</v>
      </c>
      <c r="F1876" s="47">
        <v>587.0</v>
      </c>
      <c r="G1876" s="47">
        <v>5.67</v>
      </c>
      <c r="H1876" s="47">
        <v>103.5</v>
      </c>
      <c r="I1876" s="47" t="s">
        <v>62</v>
      </c>
    </row>
    <row r="1877" ht="15.75" customHeight="1">
      <c r="A1877" s="47" t="s">
        <v>3990</v>
      </c>
      <c r="B1877" s="47" t="s">
        <v>3991</v>
      </c>
      <c r="C1877" s="47" t="s">
        <v>7757</v>
      </c>
      <c r="D1877" s="47" t="s">
        <v>159</v>
      </c>
      <c r="E1877" s="47" t="s">
        <v>430</v>
      </c>
      <c r="F1877" s="47">
        <v>141.0</v>
      </c>
      <c r="G1877" s="47">
        <v>4.76</v>
      </c>
      <c r="H1877" s="47">
        <v>29.6</v>
      </c>
      <c r="I1877" s="47" t="s">
        <v>75</v>
      </c>
    </row>
    <row r="1878" ht="15.75" customHeight="1">
      <c r="A1878" s="47" t="s">
        <v>3992</v>
      </c>
      <c r="B1878" s="47" t="s">
        <v>3993</v>
      </c>
      <c r="C1878" s="47" t="s">
        <v>7757</v>
      </c>
      <c r="D1878" s="47" t="s">
        <v>173</v>
      </c>
      <c r="E1878" s="47" t="s">
        <v>460</v>
      </c>
      <c r="F1878" s="47">
        <v>293.0</v>
      </c>
      <c r="G1878" s="47">
        <v>16.69</v>
      </c>
      <c r="H1878" s="47">
        <v>17.6</v>
      </c>
      <c r="I1878" s="47" t="s">
        <v>75</v>
      </c>
    </row>
    <row r="1879" ht="15.75" customHeight="1">
      <c r="A1879" s="47" t="s">
        <v>3994</v>
      </c>
      <c r="B1879" s="47" t="s">
        <v>3995</v>
      </c>
      <c r="C1879" s="47" t="s">
        <v>7757</v>
      </c>
      <c r="D1879" s="47" t="s">
        <v>195</v>
      </c>
      <c r="E1879" s="47" t="s">
        <v>509</v>
      </c>
      <c r="F1879" s="47">
        <v>4258.0</v>
      </c>
      <c r="G1879" s="47">
        <v>20.93</v>
      </c>
      <c r="H1879" s="47">
        <v>203.4</v>
      </c>
      <c r="I1879" s="47" t="s">
        <v>142</v>
      </c>
    </row>
    <row r="1880" ht="15.75" customHeight="1">
      <c r="A1880" s="47" t="s">
        <v>3996</v>
      </c>
      <c r="B1880" s="47" t="s">
        <v>3997</v>
      </c>
      <c r="C1880" s="47" t="s">
        <v>7757</v>
      </c>
      <c r="D1880" s="47" t="s">
        <v>124</v>
      </c>
      <c r="E1880" s="47" t="s">
        <v>333</v>
      </c>
      <c r="F1880" s="47">
        <v>670.0</v>
      </c>
      <c r="G1880" s="47">
        <v>16.44</v>
      </c>
      <c r="H1880" s="47">
        <v>40.8</v>
      </c>
      <c r="I1880" s="47" t="s">
        <v>62</v>
      </c>
    </row>
    <row r="1881" ht="15.75" customHeight="1">
      <c r="A1881" s="47" t="s">
        <v>3998</v>
      </c>
      <c r="B1881" s="47" t="s">
        <v>3999</v>
      </c>
      <c r="C1881" s="47" t="s">
        <v>7757</v>
      </c>
      <c r="D1881" s="47" t="s">
        <v>195</v>
      </c>
      <c r="E1881" s="47" t="s">
        <v>509</v>
      </c>
      <c r="F1881" s="47">
        <v>386.0</v>
      </c>
      <c r="G1881" s="47">
        <v>6.46</v>
      </c>
      <c r="H1881" s="47">
        <v>59.8</v>
      </c>
      <c r="I1881" s="47" t="s">
        <v>75</v>
      </c>
    </row>
    <row r="1882" ht="15.75" customHeight="1">
      <c r="A1882" s="47" t="s">
        <v>4000</v>
      </c>
      <c r="B1882" s="47" t="s">
        <v>4001</v>
      </c>
      <c r="C1882" s="47" t="s">
        <v>7757</v>
      </c>
      <c r="D1882" s="47" t="s">
        <v>196</v>
      </c>
      <c r="E1882" s="47" t="s">
        <v>514</v>
      </c>
      <c r="F1882" s="47">
        <v>280.0</v>
      </c>
      <c r="G1882" s="47">
        <v>7.48</v>
      </c>
      <c r="H1882" s="47">
        <v>37.4</v>
      </c>
      <c r="I1882" s="47" t="s">
        <v>75</v>
      </c>
    </row>
    <row r="1883" ht="15.75" customHeight="1">
      <c r="A1883" s="47" t="s">
        <v>4002</v>
      </c>
      <c r="B1883" s="47" t="s">
        <v>4003</v>
      </c>
      <c r="C1883" s="47" t="s">
        <v>7757</v>
      </c>
      <c r="D1883" s="47" t="s">
        <v>231</v>
      </c>
      <c r="E1883" s="47" t="s">
        <v>406</v>
      </c>
      <c r="F1883" s="47">
        <v>4127.0</v>
      </c>
      <c r="G1883" s="47">
        <v>15.79</v>
      </c>
      <c r="H1883" s="47">
        <v>261.4</v>
      </c>
      <c r="I1883" s="47" t="s">
        <v>142</v>
      </c>
    </row>
    <row r="1884" ht="15.75" customHeight="1">
      <c r="A1884" s="47" t="s">
        <v>4004</v>
      </c>
      <c r="B1884" s="47" t="s">
        <v>4005</v>
      </c>
      <c r="C1884" s="47" t="s">
        <v>7757</v>
      </c>
      <c r="D1884" s="47" t="s">
        <v>183</v>
      </c>
      <c r="E1884" s="47" t="s">
        <v>482</v>
      </c>
      <c r="F1884" s="47">
        <v>1571.0</v>
      </c>
      <c r="G1884" s="47">
        <v>7.76</v>
      </c>
      <c r="H1884" s="47">
        <v>202.4</v>
      </c>
      <c r="I1884" s="47" t="s">
        <v>62</v>
      </c>
    </row>
    <row r="1885" ht="15.75" customHeight="1">
      <c r="A1885" s="47" t="s">
        <v>4006</v>
      </c>
      <c r="B1885" s="47" t="s">
        <v>4007</v>
      </c>
      <c r="C1885" s="47" t="s">
        <v>7757</v>
      </c>
      <c r="D1885" s="47" t="s">
        <v>176</v>
      </c>
      <c r="E1885" s="47" t="s">
        <v>470</v>
      </c>
      <c r="F1885" s="47">
        <v>472.0</v>
      </c>
      <c r="G1885" s="47">
        <v>8.94</v>
      </c>
      <c r="H1885" s="47">
        <v>52.8</v>
      </c>
      <c r="I1885" s="47" t="s">
        <v>75</v>
      </c>
    </row>
    <row r="1886" ht="15.75" customHeight="1">
      <c r="A1886" s="47" t="s">
        <v>4008</v>
      </c>
      <c r="B1886" s="47" t="s">
        <v>4009</v>
      </c>
      <c r="C1886" s="47" t="s">
        <v>7757</v>
      </c>
      <c r="D1886" s="47" t="s">
        <v>131</v>
      </c>
      <c r="E1886" s="47" t="s">
        <v>341</v>
      </c>
      <c r="F1886" s="47">
        <v>961.0</v>
      </c>
      <c r="G1886" s="47">
        <v>28.64</v>
      </c>
      <c r="H1886" s="47">
        <v>33.6</v>
      </c>
      <c r="I1886" s="47" t="s">
        <v>62</v>
      </c>
    </row>
    <row r="1887" ht="15.75" customHeight="1">
      <c r="A1887" s="47" t="s">
        <v>4010</v>
      </c>
      <c r="B1887" s="47" t="s">
        <v>4011</v>
      </c>
      <c r="C1887" s="47" t="s">
        <v>7757</v>
      </c>
      <c r="D1887" s="47" t="s">
        <v>203</v>
      </c>
      <c r="E1887" s="47" t="s">
        <v>524</v>
      </c>
      <c r="F1887" s="47">
        <v>897.0</v>
      </c>
      <c r="G1887" s="47">
        <v>12.6</v>
      </c>
      <c r="H1887" s="47">
        <v>71.2</v>
      </c>
      <c r="I1887" s="47" t="s">
        <v>62</v>
      </c>
    </row>
    <row r="1888" ht="15.75" customHeight="1">
      <c r="A1888" s="47" t="s">
        <v>4012</v>
      </c>
      <c r="B1888" s="47" t="s">
        <v>4013</v>
      </c>
      <c r="C1888" s="47" t="s">
        <v>7757</v>
      </c>
      <c r="D1888" s="47" t="s">
        <v>155</v>
      </c>
      <c r="E1888" s="47" t="s">
        <v>420</v>
      </c>
      <c r="F1888" s="47">
        <v>162.0</v>
      </c>
      <c r="G1888" s="47">
        <v>4.16</v>
      </c>
      <c r="H1888" s="47">
        <v>38.9</v>
      </c>
      <c r="I1888" s="47" t="s">
        <v>75</v>
      </c>
    </row>
    <row r="1889" ht="15.75" customHeight="1">
      <c r="A1889" s="47" t="s">
        <v>4014</v>
      </c>
      <c r="B1889" s="47" t="s">
        <v>4015</v>
      </c>
      <c r="C1889" s="47" t="s">
        <v>7757</v>
      </c>
      <c r="D1889" s="47" t="s">
        <v>159</v>
      </c>
      <c r="E1889" s="47" t="s">
        <v>430</v>
      </c>
      <c r="F1889" s="47">
        <v>301.0</v>
      </c>
      <c r="G1889" s="47">
        <v>3.71</v>
      </c>
      <c r="H1889" s="47">
        <v>81.1</v>
      </c>
      <c r="I1889" s="47" t="s">
        <v>75</v>
      </c>
    </row>
    <row r="1890" ht="15.75" customHeight="1">
      <c r="A1890" s="47" t="s">
        <v>4016</v>
      </c>
      <c r="B1890" s="47" t="s">
        <v>4017</v>
      </c>
      <c r="C1890" s="47" t="s">
        <v>7757</v>
      </c>
      <c r="D1890" s="47" t="s">
        <v>196</v>
      </c>
      <c r="E1890" s="47" t="s">
        <v>514</v>
      </c>
      <c r="F1890" s="47">
        <v>200.0</v>
      </c>
      <c r="G1890" s="47">
        <v>2.73</v>
      </c>
      <c r="H1890" s="47">
        <v>73.3</v>
      </c>
      <c r="I1890" s="47" t="s">
        <v>75</v>
      </c>
    </row>
    <row r="1891" ht="15.75" customHeight="1">
      <c r="A1891" s="47" t="s">
        <v>4018</v>
      </c>
      <c r="B1891" s="47" t="s">
        <v>4019</v>
      </c>
      <c r="C1891" s="47" t="s">
        <v>7757</v>
      </c>
      <c r="D1891" s="47" t="s">
        <v>159</v>
      </c>
      <c r="E1891" s="47" t="s">
        <v>430</v>
      </c>
      <c r="F1891" s="47">
        <v>213.0</v>
      </c>
      <c r="G1891" s="47">
        <v>4.54</v>
      </c>
      <c r="H1891" s="47">
        <v>46.9</v>
      </c>
      <c r="I1891" s="47" t="s">
        <v>75</v>
      </c>
    </row>
    <row r="1892" ht="15.75" customHeight="1">
      <c r="A1892" s="47" t="s">
        <v>4020</v>
      </c>
      <c r="B1892" s="47" t="s">
        <v>4021</v>
      </c>
      <c r="C1892" s="47" t="s">
        <v>7757</v>
      </c>
      <c r="D1892" s="47" t="s">
        <v>131</v>
      </c>
      <c r="E1892" s="47" t="s">
        <v>341</v>
      </c>
      <c r="F1892" s="47">
        <v>213.0</v>
      </c>
      <c r="G1892" s="47">
        <v>7.76</v>
      </c>
      <c r="H1892" s="47">
        <v>27.4</v>
      </c>
      <c r="I1892" s="47" t="s">
        <v>75</v>
      </c>
    </row>
    <row r="1893" ht="15.75" customHeight="1">
      <c r="A1893" s="47" t="s">
        <v>4022</v>
      </c>
      <c r="B1893" s="47" t="s">
        <v>4023</v>
      </c>
      <c r="C1893" s="47" t="s">
        <v>7757</v>
      </c>
      <c r="D1893" s="47" t="s">
        <v>231</v>
      </c>
      <c r="E1893" s="47" t="s">
        <v>406</v>
      </c>
      <c r="F1893" s="47">
        <v>2877.0</v>
      </c>
      <c r="G1893" s="47">
        <v>10.09</v>
      </c>
      <c r="H1893" s="47">
        <v>285.1</v>
      </c>
      <c r="I1893" s="47" t="s">
        <v>142</v>
      </c>
    </row>
    <row r="1894" ht="15.75" customHeight="1">
      <c r="A1894" s="47" t="s">
        <v>4024</v>
      </c>
      <c r="B1894" s="47" t="s">
        <v>4025</v>
      </c>
      <c r="C1894" s="47" t="s">
        <v>7757</v>
      </c>
      <c r="D1894" s="47" t="s">
        <v>115</v>
      </c>
      <c r="E1894" s="47" t="s">
        <v>129</v>
      </c>
      <c r="F1894" s="47">
        <v>21907.0</v>
      </c>
      <c r="G1894" s="47">
        <v>7.4</v>
      </c>
      <c r="H1894" s="47">
        <v>2960.4</v>
      </c>
      <c r="I1894" s="47" t="s">
        <v>571</v>
      </c>
    </row>
    <row r="1895" ht="15.75" customHeight="1">
      <c r="A1895" s="47" t="s">
        <v>4026</v>
      </c>
      <c r="B1895" s="47" t="s">
        <v>4027</v>
      </c>
      <c r="C1895" s="47" t="s">
        <v>7757</v>
      </c>
      <c r="D1895" s="47" t="s">
        <v>183</v>
      </c>
      <c r="E1895" s="47" t="s">
        <v>482</v>
      </c>
      <c r="F1895" s="47">
        <v>1170.0</v>
      </c>
      <c r="G1895" s="47">
        <v>9.37</v>
      </c>
      <c r="H1895" s="47">
        <v>124.9</v>
      </c>
      <c r="I1895" s="47" t="s">
        <v>62</v>
      </c>
    </row>
    <row r="1896" ht="15.75" customHeight="1">
      <c r="A1896" s="47" t="s">
        <v>4028</v>
      </c>
      <c r="B1896" s="47" t="s">
        <v>4029</v>
      </c>
      <c r="C1896" s="47" t="s">
        <v>7757</v>
      </c>
      <c r="D1896" s="47" t="s">
        <v>155</v>
      </c>
      <c r="E1896" s="47" t="s">
        <v>420</v>
      </c>
      <c r="F1896" s="47">
        <v>194.0</v>
      </c>
      <c r="G1896" s="47">
        <v>6.41</v>
      </c>
      <c r="H1896" s="47">
        <v>30.3</v>
      </c>
      <c r="I1896" s="47" t="s">
        <v>75</v>
      </c>
    </row>
    <row r="1897" ht="15.75" customHeight="1">
      <c r="A1897" s="47" t="s">
        <v>4030</v>
      </c>
      <c r="B1897" s="47" t="s">
        <v>4031</v>
      </c>
      <c r="C1897" s="47" t="s">
        <v>7757</v>
      </c>
      <c r="D1897" s="47" t="s">
        <v>203</v>
      </c>
      <c r="E1897" s="47" t="s">
        <v>524</v>
      </c>
      <c r="F1897" s="47">
        <v>247.0</v>
      </c>
      <c r="G1897" s="47">
        <v>5.5</v>
      </c>
      <c r="H1897" s="47">
        <v>44.9</v>
      </c>
      <c r="I1897" s="47" t="s">
        <v>75</v>
      </c>
    </row>
    <row r="1898" ht="15.75" customHeight="1">
      <c r="A1898" s="47" t="s">
        <v>4032</v>
      </c>
      <c r="B1898" s="47" t="s">
        <v>4033</v>
      </c>
      <c r="C1898" s="47" t="s">
        <v>7757</v>
      </c>
      <c r="D1898" s="47" t="s">
        <v>203</v>
      </c>
      <c r="E1898" s="47" t="s">
        <v>524</v>
      </c>
      <c r="F1898" s="47">
        <v>301.0</v>
      </c>
      <c r="G1898" s="47">
        <v>11.44</v>
      </c>
      <c r="H1898" s="47">
        <v>26.3</v>
      </c>
      <c r="I1898" s="47" t="s">
        <v>75</v>
      </c>
    </row>
    <row r="1899" ht="15.75" customHeight="1">
      <c r="A1899" s="47" t="s">
        <v>4034</v>
      </c>
      <c r="B1899" s="47" t="s">
        <v>4035</v>
      </c>
      <c r="C1899" s="47" t="s">
        <v>7757</v>
      </c>
      <c r="D1899" s="47" t="s">
        <v>231</v>
      </c>
      <c r="E1899" s="47" t="s">
        <v>406</v>
      </c>
      <c r="F1899" s="47">
        <v>392.0</v>
      </c>
      <c r="G1899" s="47">
        <v>4.79</v>
      </c>
      <c r="H1899" s="47">
        <v>81.8</v>
      </c>
      <c r="I1899" s="47" t="s">
        <v>75</v>
      </c>
    </row>
    <row r="1900" ht="15.75" customHeight="1">
      <c r="A1900" s="47" t="s">
        <v>4036</v>
      </c>
      <c r="B1900" s="47" t="s">
        <v>4037</v>
      </c>
      <c r="C1900" s="47" t="s">
        <v>7757</v>
      </c>
      <c r="D1900" s="47" t="s">
        <v>155</v>
      </c>
      <c r="E1900" s="47" t="s">
        <v>420</v>
      </c>
      <c r="F1900" s="47">
        <v>887.0</v>
      </c>
      <c r="G1900" s="47">
        <v>13.29</v>
      </c>
      <c r="H1900" s="47">
        <v>66.7</v>
      </c>
      <c r="I1900" s="47" t="s">
        <v>62</v>
      </c>
    </row>
    <row r="1901" ht="15.75" customHeight="1">
      <c r="A1901" s="47" t="s">
        <v>4038</v>
      </c>
      <c r="B1901" s="47" t="s">
        <v>4039</v>
      </c>
      <c r="C1901" s="47" t="s">
        <v>7757</v>
      </c>
      <c r="D1901" s="47" t="s">
        <v>200</v>
      </c>
      <c r="E1901" s="47" t="s">
        <v>494</v>
      </c>
      <c r="F1901" s="47">
        <v>12971.0</v>
      </c>
      <c r="G1901" s="47">
        <v>18.07</v>
      </c>
      <c r="H1901" s="47">
        <v>717.8</v>
      </c>
      <c r="I1901" s="47" t="s">
        <v>571</v>
      </c>
    </row>
    <row r="1902" ht="15.75" customHeight="1">
      <c r="A1902" s="47" t="s">
        <v>4040</v>
      </c>
      <c r="B1902" s="47" t="s">
        <v>4041</v>
      </c>
      <c r="C1902" s="47" t="s">
        <v>7757</v>
      </c>
      <c r="D1902" s="47" t="s">
        <v>159</v>
      </c>
      <c r="E1902" s="47" t="s">
        <v>430</v>
      </c>
      <c r="F1902" s="47">
        <v>109.0</v>
      </c>
      <c r="G1902" s="47">
        <v>4.21</v>
      </c>
      <c r="H1902" s="47">
        <v>25.9</v>
      </c>
      <c r="I1902" s="47" t="s">
        <v>75</v>
      </c>
    </row>
    <row r="1903" ht="15.75" customHeight="1">
      <c r="A1903" s="47" t="s">
        <v>4042</v>
      </c>
      <c r="B1903" s="47" t="s">
        <v>1333</v>
      </c>
      <c r="C1903" s="47" t="s">
        <v>7757</v>
      </c>
      <c r="D1903" s="47" t="s">
        <v>195</v>
      </c>
      <c r="E1903" s="47" t="s">
        <v>509</v>
      </c>
      <c r="F1903" s="47">
        <v>346.0</v>
      </c>
      <c r="G1903" s="47">
        <v>6.82</v>
      </c>
      <c r="H1903" s="47">
        <v>50.7</v>
      </c>
      <c r="I1903" s="47" t="s">
        <v>75</v>
      </c>
    </row>
    <row r="1904" ht="15.75" customHeight="1">
      <c r="A1904" s="47" t="s">
        <v>4043</v>
      </c>
      <c r="B1904" s="47" t="s">
        <v>4044</v>
      </c>
      <c r="C1904" s="47" t="s">
        <v>7757</v>
      </c>
      <c r="D1904" s="47" t="s">
        <v>196</v>
      </c>
      <c r="E1904" s="47" t="s">
        <v>514</v>
      </c>
      <c r="F1904" s="47">
        <v>285.0</v>
      </c>
      <c r="G1904" s="47">
        <v>6.58</v>
      </c>
      <c r="H1904" s="47">
        <v>43.3</v>
      </c>
      <c r="I1904" s="47" t="s">
        <v>75</v>
      </c>
    </row>
    <row r="1905" ht="15.75" customHeight="1">
      <c r="A1905" s="47" t="s">
        <v>4045</v>
      </c>
      <c r="B1905" s="47" t="s">
        <v>4046</v>
      </c>
      <c r="C1905" s="47" t="s">
        <v>7757</v>
      </c>
      <c r="D1905" s="47" t="s">
        <v>159</v>
      </c>
      <c r="E1905" s="47" t="s">
        <v>430</v>
      </c>
      <c r="F1905" s="47">
        <v>201.0</v>
      </c>
      <c r="G1905" s="47">
        <v>8.67</v>
      </c>
      <c r="H1905" s="47">
        <v>23.2</v>
      </c>
      <c r="I1905" s="47" t="s">
        <v>75</v>
      </c>
    </row>
    <row r="1906" ht="15.75" customHeight="1">
      <c r="A1906" s="47" t="s">
        <v>4047</v>
      </c>
      <c r="B1906" s="47" t="s">
        <v>4048</v>
      </c>
      <c r="C1906" s="47" t="s">
        <v>7757</v>
      </c>
      <c r="D1906" s="47" t="s">
        <v>190</v>
      </c>
      <c r="E1906" s="47" t="s">
        <v>501</v>
      </c>
      <c r="F1906" s="47">
        <v>1367.0</v>
      </c>
      <c r="G1906" s="47">
        <v>14.03</v>
      </c>
      <c r="H1906" s="47">
        <v>97.4</v>
      </c>
      <c r="I1906" s="47" t="s">
        <v>62</v>
      </c>
    </row>
    <row r="1907" ht="15.75" customHeight="1">
      <c r="A1907" s="47" t="s">
        <v>4049</v>
      </c>
      <c r="B1907" s="47" t="s">
        <v>4050</v>
      </c>
      <c r="C1907" s="47" t="s">
        <v>7757</v>
      </c>
      <c r="D1907" s="47" t="s">
        <v>195</v>
      </c>
      <c r="E1907" s="47" t="s">
        <v>509</v>
      </c>
      <c r="F1907" s="47">
        <v>375.0</v>
      </c>
      <c r="G1907" s="47">
        <v>3.97</v>
      </c>
      <c r="H1907" s="47">
        <v>94.5</v>
      </c>
      <c r="I1907" s="47" t="s">
        <v>75</v>
      </c>
    </row>
    <row r="1908" ht="15.75" customHeight="1">
      <c r="A1908" s="47" t="s">
        <v>4051</v>
      </c>
      <c r="B1908" s="47" t="s">
        <v>4052</v>
      </c>
      <c r="C1908" s="47" t="s">
        <v>7757</v>
      </c>
      <c r="D1908" s="47" t="s">
        <v>195</v>
      </c>
      <c r="E1908" s="47" t="s">
        <v>509</v>
      </c>
      <c r="F1908" s="47">
        <v>805.0</v>
      </c>
      <c r="G1908" s="47">
        <v>10.46</v>
      </c>
      <c r="H1908" s="47">
        <v>77.0</v>
      </c>
      <c r="I1908" s="47" t="s">
        <v>62</v>
      </c>
    </row>
    <row r="1909" ht="15.75" customHeight="1">
      <c r="A1909" s="47" t="s">
        <v>4053</v>
      </c>
      <c r="B1909" s="47" t="s">
        <v>4054</v>
      </c>
      <c r="C1909" s="47" t="s">
        <v>7757</v>
      </c>
      <c r="D1909" s="47" t="s">
        <v>155</v>
      </c>
      <c r="E1909" s="47" t="s">
        <v>420</v>
      </c>
      <c r="F1909" s="47">
        <v>537.0</v>
      </c>
      <c r="G1909" s="47">
        <v>9.12</v>
      </c>
      <c r="H1909" s="47">
        <v>58.9</v>
      </c>
      <c r="I1909" s="47" t="s">
        <v>62</v>
      </c>
    </row>
    <row r="1910" ht="15.75" customHeight="1">
      <c r="A1910" s="47" t="s">
        <v>4055</v>
      </c>
      <c r="B1910" s="47" t="s">
        <v>4056</v>
      </c>
      <c r="C1910" s="47" t="s">
        <v>7757</v>
      </c>
      <c r="D1910" s="47" t="s">
        <v>195</v>
      </c>
      <c r="E1910" s="47" t="s">
        <v>509</v>
      </c>
      <c r="F1910" s="47">
        <v>572.0</v>
      </c>
      <c r="G1910" s="47">
        <v>16.36</v>
      </c>
      <c r="H1910" s="47">
        <v>35.0</v>
      </c>
      <c r="I1910" s="47" t="s">
        <v>62</v>
      </c>
    </row>
    <row r="1911" ht="15.75" customHeight="1">
      <c r="A1911" s="47" t="s">
        <v>4057</v>
      </c>
      <c r="B1911" s="47" t="s">
        <v>4058</v>
      </c>
      <c r="C1911" s="47" t="s">
        <v>7757</v>
      </c>
      <c r="D1911" s="47" t="s">
        <v>151</v>
      </c>
      <c r="E1911" s="47" t="s">
        <v>414</v>
      </c>
      <c r="F1911" s="47">
        <v>3583.0</v>
      </c>
      <c r="G1911" s="47">
        <v>11.99</v>
      </c>
      <c r="H1911" s="47">
        <v>298.8</v>
      </c>
      <c r="I1911" s="47" t="s">
        <v>142</v>
      </c>
    </row>
    <row r="1912" ht="15.75" customHeight="1">
      <c r="A1912" s="47" t="s">
        <v>4059</v>
      </c>
      <c r="B1912" s="47" t="s">
        <v>4060</v>
      </c>
      <c r="C1912" s="47" t="s">
        <v>7757</v>
      </c>
      <c r="D1912" s="47" t="s">
        <v>196</v>
      </c>
      <c r="E1912" s="47" t="s">
        <v>514</v>
      </c>
      <c r="F1912" s="47">
        <v>513.0</v>
      </c>
      <c r="G1912" s="47">
        <v>8.53</v>
      </c>
      <c r="H1912" s="47">
        <v>60.1</v>
      </c>
      <c r="I1912" s="47" t="s">
        <v>62</v>
      </c>
    </row>
    <row r="1913" ht="15.75" customHeight="1">
      <c r="A1913" s="47" t="s">
        <v>4061</v>
      </c>
      <c r="B1913" s="47" t="s">
        <v>4062</v>
      </c>
      <c r="C1913" s="47" t="s">
        <v>7757</v>
      </c>
      <c r="D1913" s="47" t="s">
        <v>159</v>
      </c>
      <c r="E1913" s="47" t="s">
        <v>430</v>
      </c>
      <c r="F1913" s="47">
        <v>293.0</v>
      </c>
      <c r="G1913" s="47">
        <v>6.12</v>
      </c>
      <c r="H1913" s="47">
        <v>47.9</v>
      </c>
      <c r="I1913" s="47" t="s">
        <v>75</v>
      </c>
    </row>
    <row r="1914" ht="15.75" customHeight="1">
      <c r="A1914" s="47" t="s">
        <v>4063</v>
      </c>
      <c r="B1914" s="47" t="s">
        <v>4064</v>
      </c>
      <c r="C1914" s="47" t="s">
        <v>7757</v>
      </c>
      <c r="D1914" s="47" t="s">
        <v>155</v>
      </c>
      <c r="E1914" s="47" t="s">
        <v>420</v>
      </c>
      <c r="F1914" s="47">
        <v>248.0</v>
      </c>
      <c r="G1914" s="47">
        <v>7.03</v>
      </c>
      <c r="H1914" s="47">
        <v>35.3</v>
      </c>
      <c r="I1914" s="47" t="s">
        <v>75</v>
      </c>
    </row>
    <row r="1915" ht="15.75" customHeight="1">
      <c r="A1915" s="47" t="s">
        <v>4065</v>
      </c>
      <c r="B1915" s="47" t="s">
        <v>4066</v>
      </c>
      <c r="C1915" s="47" t="s">
        <v>7757</v>
      </c>
      <c r="D1915" s="47" t="s">
        <v>155</v>
      </c>
      <c r="E1915" s="47" t="s">
        <v>420</v>
      </c>
      <c r="F1915" s="47">
        <v>576.0</v>
      </c>
      <c r="G1915" s="47">
        <v>14.34</v>
      </c>
      <c r="H1915" s="47">
        <v>40.2</v>
      </c>
      <c r="I1915" s="47" t="s">
        <v>62</v>
      </c>
    </row>
    <row r="1916" ht="15.75" customHeight="1">
      <c r="A1916" s="47" t="s">
        <v>4067</v>
      </c>
      <c r="B1916" s="47" t="s">
        <v>4068</v>
      </c>
      <c r="C1916" s="47" t="s">
        <v>7757</v>
      </c>
      <c r="D1916" s="47" t="s">
        <v>211</v>
      </c>
      <c r="E1916" s="47" t="s">
        <v>544</v>
      </c>
      <c r="F1916" s="47">
        <v>313.0</v>
      </c>
      <c r="G1916" s="47">
        <v>12.72</v>
      </c>
      <c r="H1916" s="47">
        <v>24.6</v>
      </c>
      <c r="I1916" s="47" t="s">
        <v>75</v>
      </c>
    </row>
    <row r="1917" ht="15.75" customHeight="1">
      <c r="A1917" s="47" t="s">
        <v>4069</v>
      </c>
      <c r="B1917" s="47" t="s">
        <v>4070</v>
      </c>
      <c r="C1917" s="47" t="s">
        <v>7757</v>
      </c>
      <c r="D1917" s="47" t="s">
        <v>200</v>
      </c>
      <c r="E1917" s="47" t="s">
        <v>494</v>
      </c>
      <c r="F1917" s="47">
        <v>271.0</v>
      </c>
      <c r="G1917" s="47">
        <v>3.67</v>
      </c>
      <c r="H1917" s="47">
        <v>73.8</v>
      </c>
      <c r="I1917" s="47" t="s">
        <v>75</v>
      </c>
    </row>
    <row r="1918" ht="15.75" customHeight="1">
      <c r="A1918" s="47" t="s">
        <v>4071</v>
      </c>
      <c r="B1918" s="47" t="s">
        <v>4072</v>
      </c>
      <c r="C1918" s="47" t="s">
        <v>7757</v>
      </c>
      <c r="D1918" s="47" t="s">
        <v>195</v>
      </c>
      <c r="E1918" s="47" t="s">
        <v>509</v>
      </c>
      <c r="F1918" s="47">
        <v>1224.0</v>
      </c>
      <c r="G1918" s="47">
        <v>11.19</v>
      </c>
      <c r="H1918" s="47">
        <v>109.4</v>
      </c>
      <c r="I1918" s="47" t="s">
        <v>62</v>
      </c>
    </row>
    <row r="1919" ht="15.75" customHeight="1">
      <c r="A1919" s="47" t="s">
        <v>4073</v>
      </c>
      <c r="B1919" s="47" t="s">
        <v>4074</v>
      </c>
      <c r="C1919" s="47" t="s">
        <v>7757</v>
      </c>
      <c r="D1919" s="47" t="s">
        <v>131</v>
      </c>
      <c r="E1919" s="47" t="s">
        <v>341</v>
      </c>
      <c r="F1919" s="47">
        <v>365.0</v>
      </c>
      <c r="G1919" s="47">
        <v>5.67</v>
      </c>
      <c r="H1919" s="47">
        <v>64.4</v>
      </c>
      <c r="I1919" s="47" t="s">
        <v>75</v>
      </c>
    </row>
    <row r="1920" ht="15.75" customHeight="1">
      <c r="A1920" s="47" t="s">
        <v>4075</v>
      </c>
      <c r="B1920" s="47" t="s">
        <v>4076</v>
      </c>
      <c r="C1920" s="47" t="s">
        <v>7757</v>
      </c>
      <c r="D1920" s="47" t="s">
        <v>173</v>
      </c>
      <c r="E1920" s="47" t="s">
        <v>460</v>
      </c>
      <c r="F1920" s="47">
        <v>1877.0</v>
      </c>
      <c r="G1920" s="47">
        <v>22.39</v>
      </c>
      <c r="H1920" s="47">
        <v>83.8</v>
      </c>
      <c r="I1920" s="47" t="s">
        <v>62</v>
      </c>
    </row>
    <row r="1921" ht="15.75" customHeight="1">
      <c r="A1921" s="47" t="s">
        <v>4077</v>
      </c>
      <c r="B1921" s="47" t="s">
        <v>4078</v>
      </c>
      <c r="C1921" s="47" t="s">
        <v>7757</v>
      </c>
      <c r="D1921" s="47" t="s">
        <v>170</v>
      </c>
      <c r="E1921" s="47" t="s">
        <v>452</v>
      </c>
      <c r="F1921" s="47">
        <v>848.0</v>
      </c>
      <c r="G1921" s="47">
        <v>9.49</v>
      </c>
      <c r="H1921" s="47">
        <v>89.4</v>
      </c>
      <c r="I1921" s="47" t="s">
        <v>62</v>
      </c>
    </row>
    <row r="1922" ht="15.75" customHeight="1">
      <c r="A1922" s="47" t="s">
        <v>4079</v>
      </c>
      <c r="B1922" s="47" t="s">
        <v>4080</v>
      </c>
      <c r="C1922" s="47" t="s">
        <v>7757</v>
      </c>
      <c r="D1922" s="47" t="s">
        <v>159</v>
      </c>
      <c r="E1922" s="47" t="s">
        <v>430</v>
      </c>
      <c r="F1922" s="47">
        <v>519.0</v>
      </c>
      <c r="G1922" s="47">
        <v>2.89</v>
      </c>
      <c r="H1922" s="47">
        <v>179.6</v>
      </c>
      <c r="I1922" s="47" t="s">
        <v>62</v>
      </c>
    </row>
    <row r="1923" ht="15.75" customHeight="1">
      <c r="A1923" s="47" t="s">
        <v>4081</v>
      </c>
      <c r="B1923" s="47" t="s">
        <v>4082</v>
      </c>
      <c r="C1923" s="47" t="s">
        <v>7757</v>
      </c>
      <c r="D1923" s="47" t="s">
        <v>151</v>
      </c>
      <c r="E1923" s="47" t="s">
        <v>414</v>
      </c>
      <c r="F1923" s="47">
        <v>1786.0</v>
      </c>
      <c r="G1923" s="47">
        <v>16.36</v>
      </c>
      <c r="H1923" s="47">
        <v>109.2</v>
      </c>
      <c r="I1923" s="47" t="s">
        <v>62</v>
      </c>
    </row>
    <row r="1924" ht="15.75" customHeight="1">
      <c r="A1924" s="47" t="s">
        <v>4083</v>
      </c>
      <c r="B1924" s="47" t="s">
        <v>4084</v>
      </c>
      <c r="C1924" s="47" t="s">
        <v>7757</v>
      </c>
      <c r="D1924" s="47" t="s">
        <v>203</v>
      </c>
      <c r="E1924" s="47" t="s">
        <v>524</v>
      </c>
      <c r="F1924" s="47">
        <v>422.0</v>
      </c>
      <c r="G1924" s="47">
        <v>9.13</v>
      </c>
      <c r="H1924" s="47">
        <v>46.2</v>
      </c>
      <c r="I1924" s="47" t="s">
        <v>75</v>
      </c>
    </row>
    <row r="1925" ht="15.75" customHeight="1">
      <c r="A1925" s="47" t="s">
        <v>4085</v>
      </c>
      <c r="B1925" s="47" t="s">
        <v>4086</v>
      </c>
      <c r="C1925" s="47" t="s">
        <v>7757</v>
      </c>
      <c r="D1925" s="47" t="s">
        <v>155</v>
      </c>
      <c r="E1925" s="47" t="s">
        <v>420</v>
      </c>
      <c r="F1925" s="47">
        <v>159.0</v>
      </c>
      <c r="G1925" s="47">
        <v>4.31</v>
      </c>
      <c r="H1925" s="47">
        <v>36.9</v>
      </c>
      <c r="I1925" s="47" t="s">
        <v>75</v>
      </c>
    </row>
    <row r="1926" ht="15.75" customHeight="1">
      <c r="A1926" s="47" t="s">
        <v>4087</v>
      </c>
      <c r="B1926" s="47" t="s">
        <v>4088</v>
      </c>
      <c r="C1926" s="47" t="s">
        <v>7757</v>
      </c>
      <c r="D1926" s="47" t="s">
        <v>203</v>
      </c>
      <c r="E1926" s="47" t="s">
        <v>524</v>
      </c>
      <c r="F1926" s="47">
        <v>213.0</v>
      </c>
      <c r="G1926" s="47">
        <v>3.96</v>
      </c>
      <c r="H1926" s="47">
        <v>53.8</v>
      </c>
      <c r="I1926" s="47" t="s">
        <v>75</v>
      </c>
    </row>
    <row r="1927" ht="15.75" customHeight="1">
      <c r="A1927" s="47" t="s">
        <v>4089</v>
      </c>
      <c r="B1927" s="47" t="s">
        <v>4090</v>
      </c>
      <c r="C1927" s="47" t="s">
        <v>7757</v>
      </c>
      <c r="D1927" s="47" t="s">
        <v>203</v>
      </c>
      <c r="E1927" s="47" t="s">
        <v>524</v>
      </c>
      <c r="F1927" s="47">
        <v>521.0</v>
      </c>
      <c r="G1927" s="47">
        <v>7.71</v>
      </c>
      <c r="H1927" s="47">
        <v>67.6</v>
      </c>
      <c r="I1927" s="47" t="s">
        <v>62</v>
      </c>
    </row>
    <row r="1928" ht="15.75" customHeight="1">
      <c r="A1928" s="47" t="s">
        <v>4091</v>
      </c>
      <c r="B1928" s="47" t="s">
        <v>4092</v>
      </c>
      <c r="C1928" s="47" t="s">
        <v>7757</v>
      </c>
      <c r="D1928" s="47" t="s">
        <v>196</v>
      </c>
      <c r="E1928" s="47" t="s">
        <v>514</v>
      </c>
      <c r="F1928" s="47">
        <v>245.0</v>
      </c>
      <c r="G1928" s="47">
        <v>6.23</v>
      </c>
      <c r="H1928" s="47">
        <v>39.3</v>
      </c>
      <c r="I1928" s="47" t="s">
        <v>75</v>
      </c>
    </row>
    <row r="1929" ht="15.75" customHeight="1">
      <c r="A1929" s="47" t="s">
        <v>4093</v>
      </c>
      <c r="B1929" s="47" t="s">
        <v>4094</v>
      </c>
      <c r="C1929" s="47" t="s">
        <v>7757</v>
      </c>
      <c r="D1929" s="47" t="s">
        <v>195</v>
      </c>
      <c r="E1929" s="47" t="s">
        <v>509</v>
      </c>
      <c r="F1929" s="47">
        <v>4009.0</v>
      </c>
      <c r="G1929" s="47">
        <v>6.92</v>
      </c>
      <c r="H1929" s="47">
        <v>579.3</v>
      </c>
      <c r="I1929" s="47" t="s">
        <v>142</v>
      </c>
    </row>
    <row r="1930" ht="15.75" customHeight="1">
      <c r="A1930" s="47" t="s">
        <v>4095</v>
      </c>
      <c r="B1930" s="47" t="s">
        <v>4096</v>
      </c>
      <c r="C1930" s="47" t="s">
        <v>7757</v>
      </c>
      <c r="D1930" s="47" t="s">
        <v>170</v>
      </c>
      <c r="E1930" s="47" t="s">
        <v>452</v>
      </c>
      <c r="F1930" s="47">
        <v>1298.0</v>
      </c>
      <c r="G1930" s="47">
        <v>7.5</v>
      </c>
      <c r="H1930" s="47">
        <v>173.1</v>
      </c>
      <c r="I1930" s="47" t="s">
        <v>62</v>
      </c>
    </row>
    <row r="1931" ht="15.75" customHeight="1">
      <c r="A1931" s="47" t="s">
        <v>4097</v>
      </c>
      <c r="B1931" s="47" t="s">
        <v>4098</v>
      </c>
      <c r="C1931" s="47" t="s">
        <v>7757</v>
      </c>
      <c r="D1931" s="47" t="s">
        <v>200</v>
      </c>
      <c r="E1931" s="47" t="s">
        <v>494</v>
      </c>
      <c r="F1931" s="47">
        <v>113.0</v>
      </c>
      <c r="G1931" s="47">
        <v>2.81</v>
      </c>
      <c r="H1931" s="47">
        <v>40.2</v>
      </c>
      <c r="I1931" s="47" t="s">
        <v>75</v>
      </c>
    </row>
    <row r="1932" ht="15.75" customHeight="1">
      <c r="A1932" s="47" t="s">
        <v>4099</v>
      </c>
      <c r="B1932" s="47" t="s">
        <v>4100</v>
      </c>
      <c r="C1932" s="47" t="s">
        <v>7757</v>
      </c>
      <c r="D1932" s="47" t="s">
        <v>203</v>
      </c>
      <c r="E1932" s="47" t="s">
        <v>524</v>
      </c>
      <c r="F1932" s="47">
        <v>112.0</v>
      </c>
      <c r="G1932" s="47">
        <v>4.21</v>
      </c>
      <c r="H1932" s="47">
        <v>26.6</v>
      </c>
      <c r="I1932" s="47" t="s">
        <v>75</v>
      </c>
    </row>
    <row r="1933" ht="15.75" customHeight="1">
      <c r="A1933" s="47" t="s">
        <v>4101</v>
      </c>
      <c r="B1933" s="47" t="s">
        <v>4102</v>
      </c>
      <c r="C1933" s="47" t="s">
        <v>7757</v>
      </c>
      <c r="D1933" s="47" t="s">
        <v>231</v>
      </c>
      <c r="E1933" s="47" t="s">
        <v>406</v>
      </c>
      <c r="F1933" s="47">
        <v>1163.0</v>
      </c>
      <c r="G1933" s="47">
        <v>9.83</v>
      </c>
      <c r="H1933" s="47">
        <v>118.3</v>
      </c>
      <c r="I1933" s="47" t="s">
        <v>62</v>
      </c>
    </row>
    <row r="1934" ht="15.75" customHeight="1">
      <c r="A1934" s="47" t="s">
        <v>4103</v>
      </c>
      <c r="B1934" s="47" t="s">
        <v>4104</v>
      </c>
      <c r="C1934" s="47" t="s">
        <v>7757</v>
      </c>
      <c r="D1934" s="47" t="s">
        <v>228</v>
      </c>
      <c r="E1934" s="47" t="s">
        <v>396</v>
      </c>
      <c r="F1934" s="47">
        <v>905.0</v>
      </c>
      <c r="G1934" s="47">
        <v>13.26</v>
      </c>
      <c r="H1934" s="47">
        <v>68.3</v>
      </c>
      <c r="I1934" s="47" t="s">
        <v>62</v>
      </c>
    </row>
    <row r="1935" ht="15.75" customHeight="1">
      <c r="A1935" s="47" t="s">
        <v>4105</v>
      </c>
      <c r="B1935" s="47" t="s">
        <v>4106</v>
      </c>
      <c r="C1935" s="47" t="s">
        <v>7757</v>
      </c>
      <c r="D1935" s="47" t="s">
        <v>200</v>
      </c>
      <c r="E1935" s="47" t="s">
        <v>494</v>
      </c>
      <c r="F1935" s="47">
        <v>648.0</v>
      </c>
      <c r="G1935" s="47">
        <v>1.14</v>
      </c>
      <c r="H1935" s="47">
        <v>568.4</v>
      </c>
      <c r="I1935" s="47" t="s">
        <v>62</v>
      </c>
    </row>
    <row r="1936" ht="15.75" customHeight="1">
      <c r="A1936" s="47" t="s">
        <v>4107</v>
      </c>
      <c r="B1936" s="47" t="s">
        <v>4108</v>
      </c>
      <c r="C1936" s="47" t="s">
        <v>7757</v>
      </c>
      <c r="D1936" s="47" t="s">
        <v>200</v>
      </c>
      <c r="E1936" s="47" t="s">
        <v>494</v>
      </c>
      <c r="F1936" s="47">
        <v>427.0</v>
      </c>
      <c r="G1936" s="47">
        <v>6.61</v>
      </c>
      <c r="H1936" s="47">
        <v>64.6</v>
      </c>
      <c r="I1936" s="47" t="s">
        <v>75</v>
      </c>
    </row>
    <row r="1937" ht="15.75" customHeight="1">
      <c r="A1937" s="47" t="s">
        <v>4109</v>
      </c>
      <c r="B1937" s="47" t="s">
        <v>4110</v>
      </c>
      <c r="C1937" s="47" t="s">
        <v>7757</v>
      </c>
      <c r="D1937" s="47" t="s">
        <v>175</v>
      </c>
      <c r="E1937" s="47" t="s">
        <v>463</v>
      </c>
      <c r="F1937" s="47">
        <v>3275.0</v>
      </c>
      <c r="G1937" s="47">
        <v>19.2</v>
      </c>
      <c r="H1937" s="47">
        <v>170.6</v>
      </c>
      <c r="I1937" s="47" t="s">
        <v>142</v>
      </c>
    </row>
    <row r="1938" ht="15.75" customHeight="1">
      <c r="A1938" s="47" t="s">
        <v>4111</v>
      </c>
      <c r="B1938" s="47" t="s">
        <v>4112</v>
      </c>
      <c r="C1938" s="47" t="s">
        <v>7757</v>
      </c>
      <c r="D1938" s="47" t="s">
        <v>175</v>
      </c>
      <c r="E1938" s="47" t="s">
        <v>463</v>
      </c>
      <c r="F1938" s="47">
        <v>12361.0</v>
      </c>
      <c r="G1938" s="47">
        <v>14.79</v>
      </c>
      <c r="H1938" s="47">
        <v>835.8</v>
      </c>
      <c r="I1938" s="47" t="s">
        <v>571</v>
      </c>
    </row>
    <row r="1939" ht="15.75" customHeight="1">
      <c r="A1939" s="47" t="s">
        <v>4113</v>
      </c>
      <c r="B1939" s="47" t="s">
        <v>4114</v>
      </c>
      <c r="C1939" s="47" t="s">
        <v>7757</v>
      </c>
      <c r="D1939" s="47" t="s">
        <v>211</v>
      </c>
      <c r="E1939" s="47" t="s">
        <v>544</v>
      </c>
      <c r="F1939" s="47">
        <v>677.0</v>
      </c>
      <c r="G1939" s="47">
        <v>4.72</v>
      </c>
      <c r="H1939" s="47">
        <v>143.4</v>
      </c>
      <c r="I1939" s="47" t="s">
        <v>62</v>
      </c>
    </row>
    <row r="1940" ht="15.75" customHeight="1">
      <c r="A1940" s="47" t="s">
        <v>4115</v>
      </c>
      <c r="B1940" s="47" t="s">
        <v>4116</v>
      </c>
      <c r="C1940" s="47" t="s">
        <v>7757</v>
      </c>
      <c r="D1940" s="47" t="s">
        <v>200</v>
      </c>
      <c r="E1940" s="47" t="s">
        <v>494</v>
      </c>
      <c r="F1940" s="47">
        <v>416.0</v>
      </c>
      <c r="G1940" s="47">
        <v>3.77</v>
      </c>
      <c r="H1940" s="47">
        <v>110.3</v>
      </c>
      <c r="I1940" s="47" t="s">
        <v>75</v>
      </c>
    </row>
    <row r="1941" ht="15.75" customHeight="1">
      <c r="A1941" s="47" t="s">
        <v>4117</v>
      </c>
      <c r="B1941" s="47" t="s">
        <v>4118</v>
      </c>
      <c r="C1941" s="47" t="s">
        <v>7757</v>
      </c>
      <c r="D1941" s="47" t="s">
        <v>176</v>
      </c>
      <c r="E1941" s="47" t="s">
        <v>470</v>
      </c>
      <c r="F1941" s="47">
        <v>148.0</v>
      </c>
      <c r="G1941" s="47">
        <v>3.83</v>
      </c>
      <c r="H1941" s="47">
        <v>38.6</v>
      </c>
      <c r="I1941" s="47" t="s">
        <v>75</v>
      </c>
    </row>
    <row r="1942" ht="15.75" customHeight="1">
      <c r="A1942" s="47" t="s">
        <v>4119</v>
      </c>
      <c r="B1942" s="47" t="s">
        <v>4120</v>
      </c>
      <c r="C1942" s="47" t="s">
        <v>7757</v>
      </c>
      <c r="D1942" s="47" t="s">
        <v>231</v>
      </c>
      <c r="E1942" s="47" t="s">
        <v>406</v>
      </c>
      <c r="F1942" s="47">
        <v>3332.0</v>
      </c>
      <c r="G1942" s="47">
        <v>9.81</v>
      </c>
      <c r="H1942" s="47">
        <v>339.7</v>
      </c>
      <c r="I1942" s="47" t="s">
        <v>142</v>
      </c>
    </row>
    <row r="1943" ht="15.75" customHeight="1">
      <c r="A1943" s="47" t="s">
        <v>4121</v>
      </c>
      <c r="B1943" s="47" t="s">
        <v>4122</v>
      </c>
      <c r="C1943" s="47" t="s">
        <v>7757</v>
      </c>
      <c r="D1943" s="47" t="s">
        <v>159</v>
      </c>
      <c r="E1943" s="47" t="s">
        <v>430</v>
      </c>
      <c r="F1943" s="47">
        <v>251.0</v>
      </c>
      <c r="G1943" s="47">
        <v>5.21</v>
      </c>
      <c r="H1943" s="47">
        <v>48.2</v>
      </c>
      <c r="I1943" s="47" t="s">
        <v>75</v>
      </c>
    </row>
    <row r="1944" ht="15.75" customHeight="1">
      <c r="A1944" s="47" t="s">
        <v>4123</v>
      </c>
      <c r="B1944" s="47" t="s">
        <v>4124</v>
      </c>
      <c r="C1944" s="47" t="s">
        <v>7757</v>
      </c>
      <c r="D1944" s="47" t="s">
        <v>203</v>
      </c>
      <c r="E1944" s="47" t="s">
        <v>524</v>
      </c>
      <c r="F1944" s="47">
        <v>365.0</v>
      </c>
      <c r="G1944" s="47">
        <v>9.07</v>
      </c>
      <c r="H1944" s="47">
        <v>40.2</v>
      </c>
      <c r="I1944" s="47" t="s">
        <v>75</v>
      </c>
    </row>
    <row r="1945" ht="15.75" customHeight="1">
      <c r="A1945" s="47" t="s">
        <v>4125</v>
      </c>
      <c r="B1945" s="47" t="s">
        <v>4126</v>
      </c>
      <c r="C1945" s="47" t="s">
        <v>7757</v>
      </c>
      <c r="D1945" s="47" t="s">
        <v>190</v>
      </c>
      <c r="E1945" s="47" t="s">
        <v>501</v>
      </c>
      <c r="F1945" s="47">
        <v>398.0</v>
      </c>
      <c r="G1945" s="47">
        <v>8.04</v>
      </c>
      <c r="H1945" s="47">
        <v>49.5</v>
      </c>
      <c r="I1945" s="47" t="s">
        <v>75</v>
      </c>
    </row>
    <row r="1946" ht="15.75" customHeight="1">
      <c r="A1946" s="47" t="s">
        <v>4127</v>
      </c>
      <c r="B1946" s="47" t="s">
        <v>4128</v>
      </c>
      <c r="C1946" s="47" t="s">
        <v>7757</v>
      </c>
      <c r="D1946" s="47" t="s">
        <v>231</v>
      </c>
      <c r="E1946" s="47" t="s">
        <v>406</v>
      </c>
      <c r="F1946" s="47">
        <v>877.0</v>
      </c>
      <c r="G1946" s="47">
        <v>5.4</v>
      </c>
      <c r="H1946" s="47">
        <v>162.4</v>
      </c>
      <c r="I1946" s="47" t="s">
        <v>62</v>
      </c>
    </row>
    <row r="1947" ht="15.75" customHeight="1">
      <c r="A1947" s="47" t="s">
        <v>4129</v>
      </c>
      <c r="B1947" s="47" t="s">
        <v>4130</v>
      </c>
      <c r="C1947" s="47" t="s">
        <v>7757</v>
      </c>
      <c r="D1947" s="47" t="s">
        <v>155</v>
      </c>
      <c r="E1947" s="47" t="s">
        <v>420</v>
      </c>
      <c r="F1947" s="47">
        <v>203.0</v>
      </c>
      <c r="G1947" s="47">
        <v>4.32</v>
      </c>
      <c r="H1947" s="47">
        <v>47.0</v>
      </c>
      <c r="I1947" s="47" t="s">
        <v>75</v>
      </c>
    </row>
    <row r="1948" ht="15.75" customHeight="1">
      <c r="A1948" s="47" t="s">
        <v>4131</v>
      </c>
      <c r="B1948" s="47" t="s">
        <v>4132</v>
      </c>
      <c r="C1948" s="47" t="s">
        <v>7757</v>
      </c>
      <c r="D1948" s="47" t="s">
        <v>200</v>
      </c>
      <c r="E1948" s="47" t="s">
        <v>494</v>
      </c>
      <c r="F1948" s="47">
        <v>171.0</v>
      </c>
      <c r="G1948" s="47">
        <v>4.85</v>
      </c>
      <c r="H1948" s="47">
        <v>35.3</v>
      </c>
      <c r="I1948" s="47" t="s">
        <v>75</v>
      </c>
    </row>
    <row r="1949" ht="15.75" customHeight="1">
      <c r="A1949" s="47" t="s">
        <v>4133</v>
      </c>
      <c r="B1949" s="47" t="s">
        <v>4134</v>
      </c>
      <c r="C1949" s="47" t="s">
        <v>7757</v>
      </c>
      <c r="D1949" s="47" t="s">
        <v>155</v>
      </c>
      <c r="E1949" s="47" t="s">
        <v>420</v>
      </c>
      <c r="F1949" s="47">
        <v>217.0</v>
      </c>
      <c r="G1949" s="47">
        <v>4.74</v>
      </c>
      <c r="H1949" s="47">
        <v>45.8</v>
      </c>
      <c r="I1949" s="47" t="s">
        <v>75</v>
      </c>
    </row>
    <row r="1950" ht="15.75" customHeight="1">
      <c r="A1950" s="47" t="s">
        <v>4135</v>
      </c>
      <c r="B1950" s="47" t="s">
        <v>4136</v>
      </c>
      <c r="C1950" s="47" t="s">
        <v>7757</v>
      </c>
      <c r="D1950" s="47" t="s">
        <v>159</v>
      </c>
      <c r="E1950" s="47" t="s">
        <v>430</v>
      </c>
      <c r="F1950" s="47">
        <v>410.0</v>
      </c>
      <c r="G1950" s="47">
        <v>9.26</v>
      </c>
      <c r="H1950" s="47">
        <v>44.3</v>
      </c>
      <c r="I1950" s="47" t="s">
        <v>75</v>
      </c>
    </row>
    <row r="1951" ht="15.75" customHeight="1">
      <c r="A1951" s="47" t="s">
        <v>4137</v>
      </c>
      <c r="B1951" s="47" t="s">
        <v>4138</v>
      </c>
      <c r="C1951" s="47" t="s">
        <v>7757</v>
      </c>
      <c r="D1951" s="47" t="s">
        <v>203</v>
      </c>
      <c r="E1951" s="47" t="s">
        <v>524</v>
      </c>
      <c r="F1951" s="47">
        <v>320.0</v>
      </c>
      <c r="G1951" s="47">
        <v>5.89</v>
      </c>
      <c r="H1951" s="47">
        <v>54.3</v>
      </c>
      <c r="I1951" s="47" t="s">
        <v>75</v>
      </c>
    </row>
    <row r="1952" ht="15.75" customHeight="1">
      <c r="A1952" s="47" t="s">
        <v>4139</v>
      </c>
      <c r="B1952" s="47" t="s">
        <v>4140</v>
      </c>
      <c r="C1952" s="47" t="s">
        <v>7757</v>
      </c>
      <c r="D1952" s="47" t="s">
        <v>131</v>
      </c>
      <c r="E1952" s="47" t="s">
        <v>341</v>
      </c>
      <c r="F1952" s="47">
        <v>895.0</v>
      </c>
      <c r="G1952" s="47">
        <v>6.6</v>
      </c>
      <c r="H1952" s="47">
        <v>135.6</v>
      </c>
      <c r="I1952" s="47" t="s">
        <v>62</v>
      </c>
    </row>
    <row r="1953" ht="15.75" customHeight="1">
      <c r="A1953" s="47" t="s">
        <v>4141</v>
      </c>
      <c r="B1953" s="47" t="s">
        <v>4142</v>
      </c>
      <c r="C1953" s="47" t="s">
        <v>7757</v>
      </c>
      <c r="D1953" s="47" t="s">
        <v>188</v>
      </c>
      <c r="E1953" s="47" t="s">
        <v>491</v>
      </c>
      <c r="F1953" s="47">
        <v>2524.0</v>
      </c>
      <c r="G1953" s="47">
        <v>4.2</v>
      </c>
      <c r="H1953" s="47">
        <v>601.0</v>
      </c>
      <c r="I1953" s="47" t="s">
        <v>142</v>
      </c>
    </row>
    <row r="1954" ht="15.75" customHeight="1">
      <c r="A1954" s="47" t="s">
        <v>4143</v>
      </c>
      <c r="B1954" s="47" t="s">
        <v>4144</v>
      </c>
      <c r="C1954" s="47" t="s">
        <v>7757</v>
      </c>
      <c r="D1954" s="47" t="s">
        <v>228</v>
      </c>
      <c r="E1954" s="47" t="s">
        <v>396</v>
      </c>
      <c r="F1954" s="47">
        <v>127.0</v>
      </c>
      <c r="G1954" s="47">
        <v>6.75</v>
      </c>
      <c r="H1954" s="47">
        <v>18.8</v>
      </c>
      <c r="I1954" s="47" t="s">
        <v>75</v>
      </c>
    </row>
    <row r="1955" ht="15.75" customHeight="1">
      <c r="A1955" s="47" t="s">
        <v>4145</v>
      </c>
      <c r="B1955" s="47" t="s">
        <v>4146</v>
      </c>
      <c r="C1955" s="47" t="s">
        <v>7757</v>
      </c>
      <c r="D1955" s="47" t="s">
        <v>203</v>
      </c>
      <c r="E1955" s="47" t="s">
        <v>524</v>
      </c>
      <c r="F1955" s="47">
        <v>1041.0</v>
      </c>
      <c r="G1955" s="47">
        <v>11.62</v>
      </c>
      <c r="H1955" s="47">
        <v>89.6</v>
      </c>
      <c r="I1955" s="47" t="s">
        <v>62</v>
      </c>
    </row>
    <row r="1956" ht="15.75" customHeight="1">
      <c r="A1956" s="47" t="s">
        <v>4147</v>
      </c>
      <c r="B1956" s="47" t="s">
        <v>4148</v>
      </c>
      <c r="C1956" s="47" t="s">
        <v>7757</v>
      </c>
      <c r="D1956" s="47" t="s">
        <v>195</v>
      </c>
      <c r="E1956" s="47" t="s">
        <v>509</v>
      </c>
      <c r="F1956" s="47">
        <v>140.0</v>
      </c>
      <c r="G1956" s="47">
        <v>7.15</v>
      </c>
      <c r="H1956" s="47">
        <v>19.6</v>
      </c>
      <c r="I1956" s="47" t="s">
        <v>75</v>
      </c>
    </row>
    <row r="1957" ht="15.75" customHeight="1">
      <c r="A1957" s="47" t="s">
        <v>4149</v>
      </c>
      <c r="B1957" s="47" t="s">
        <v>4150</v>
      </c>
      <c r="C1957" s="47" t="s">
        <v>7757</v>
      </c>
      <c r="D1957" s="47" t="s">
        <v>211</v>
      </c>
      <c r="E1957" s="47" t="s">
        <v>544</v>
      </c>
      <c r="F1957" s="47">
        <v>115.0</v>
      </c>
      <c r="G1957" s="47">
        <v>8.26</v>
      </c>
      <c r="H1957" s="47">
        <v>13.9</v>
      </c>
      <c r="I1957" s="47" t="s">
        <v>75</v>
      </c>
    </row>
    <row r="1958" ht="15.75" customHeight="1">
      <c r="A1958" s="47" t="s">
        <v>4151</v>
      </c>
      <c r="B1958" s="47" t="s">
        <v>4152</v>
      </c>
      <c r="C1958" s="47" t="s">
        <v>7757</v>
      </c>
      <c r="D1958" s="47" t="s">
        <v>183</v>
      </c>
      <c r="E1958" s="47" t="s">
        <v>482</v>
      </c>
      <c r="F1958" s="47">
        <v>78.0</v>
      </c>
      <c r="G1958" s="47">
        <v>2.8</v>
      </c>
      <c r="H1958" s="47">
        <v>27.9</v>
      </c>
      <c r="I1958" s="47" t="s">
        <v>75</v>
      </c>
    </row>
    <row r="1959" ht="15.75" customHeight="1">
      <c r="A1959" s="47" t="s">
        <v>4153</v>
      </c>
      <c r="B1959" s="47" t="s">
        <v>4154</v>
      </c>
      <c r="C1959" s="47" t="s">
        <v>7757</v>
      </c>
      <c r="D1959" s="47" t="s">
        <v>131</v>
      </c>
      <c r="E1959" s="47" t="s">
        <v>341</v>
      </c>
      <c r="F1959" s="47">
        <v>210.0</v>
      </c>
      <c r="G1959" s="47">
        <v>8.64</v>
      </c>
      <c r="H1959" s="47">
        <v>24.3</v>
      </c>
      <c r="I1959" s="47" t="s">
        <v>75</v>
      </c>
    </row>
    <row r="1960" ht="15.75" customHeight="1">
      <c r="A1960" s="47" t="s">
        <v>4155</v>
      </c>
      <c r="B1960" s="47" t="s">
        <v>4156</v>
      </c>
      <c r="C1960" s="47" t="s">
        <v>7757</v>
      </c>
      <c r="D1960" s="47" t="s">
        <v>160</v>
      </c>
      <c r="E1960" s="47" t="s">
        <v>435</v>
      </c>
      <c r="F1960" s="47">
        <v>1928.0</v>
      </c>
      <c r="G1960" s="47">
        <v>20.46</v>
      </c>
      <c r="H1960" s="47">
        <v>94.2</v>
      </c>
      <c r="I1960" s="47" t="s">
        <v>62</v>
      </c>
    </row>
    <row r="1961" ht="15.75" customHeight="1">
      <c r="A1961" s="47" t="s">
        <v>4157</v>
      </c>
      <c r="B1961" s="47" t="s">
        <v>4158</v>
      </c>
      <c r="C1961" s="47" t="s">
        <v>7757</v>
      </c>
      <c r="D1961" s="47" t="s">
        <v>196</v>
      </c>
      <c r="E1961" s="47" t="s">
        <v>514</v>
      </c>
      <c r="F1961" s="47">
        <v>1727.0</v>
      </c>
      <c r="G1961" s="47">
        <v>9.32</v>
      </c>
      <c r="H1961" s="47">
        <v>185.3</v>
      </c>
      <c r="I1961" s="47" t="s">
        <v>62</v>
      </c>
    </row>
    <row r="1962" ht="15.75" customHeight="1">
      <c r="A1962" s="47" t="s">
        <v>4159</v>
      </c>
      <c r="B1962" s="47" t="s">
        <v>4160</v>
      </c>
      <c r="C1962" s="47" t="s">
        <v>7757</v>
      </c>
      <c r="D1962" s="47" t="s">
        <v>173</v>
      </c>
      <c r="E1962" s="47" t="s">
        <v>460</v>
      </c>
      <c r="F1962" s="47">
        <v>647.0</v>
      </c>
      <c r="G1962" s="47">
        <v>9.48</v>
      </c>
      <c r="H1962" s="47">
        <v>68.2</v>
      </c>
      <c r="I1962" s="47" t="s">
        <v>62</v>
      </c>
    </row>
    <row r="1963" ht="15.75" customHeight="1">
      <c r="A1963" s="47" t="s">
        <v>4161</v>
      </c>
      <c r="B1963" s="47" t="s">
        <v>4162</v>
      </c>
      <c r="C1963" s="47" t="s">
        <v>7757</v>
      </c>
      <c r="D1963" s="47" t="s">
        <v>155</v>
      </c>
      <c r="E1963" s="47" t="s">
        <v>420</v>
      </c>
      <c r="F1963" s="47">
        <v>329.0</v>
      </c>
      <c r="G1963" s="47">
        <v>12.71</v>
      </c>
      <c r="H1963" s="47">
        <v>25.9</v>
      </c>
      <c r="I1963" s="47" t="s">
        <v>75</v>
      </c>
    </row>
    <row r="1964" ht="15.75" customHeight="1">
      <c r="A1964" s="47" t="s">
        <v>4163</v>
      </c>
      <c r="B1964" s="47" t="s">
        <v>4164</v>
      </c>
      <c r="C1964" s="47" t="s">
        <v>7757</v>
      </c>
      <c r="D1964" s="47" t="s">
        <v>175</v>
      </c>
      <c r="E1964" s="47" t="s">
        <v>463</v>
      </c>
      <c r="F1964" s="47">
        <v>134.0</v>
      </c>
      <c r="G1964" s="47">
        <v>2.71</v>
      </c>
      <c r="H1964" s="47">
        <v>49.4</v>
      </c>
      <c r="I1964" s="47" t="s">
        <v>75</v>
      </c>
    </row>
    <row r="1965" ht="15.75" customHeight="1">
      <c r="A1965" s="47" t="s">
        <v>4165</v>
      </c>
      <c r="B1965" s="47" t="s">
        <v>4166</v>
      </c>
      <c r="C1965" s="47" t="s">
        <v>7757</v>
      </c>
      <c r="D1965" s="47" t="s">
        <v>170</v>
      </c>
      <c r="E1965" s="47" t="s">
        <v>452</v>
      </c>
      <c r="F1965" s="47">
        <v>3871.0</v>
      </c>
      <c r="G1965" s="47">
        <v>13.02</v>
      </c>
      <c r="H1965" s="47">
        <v>297.3</v>
      </c>
      <c r="I1965" s="47" t="s">
        <v>142</v>
      </c>
    </row>
    <row r="1966" ht="15.75" customHeight="1">
      <c r="A1966" s="47" t="s">
        <v>4167</v>
      </c>
      <c r="B1966" s="47" t="s">
        <v>4168</v>
      </c>
      <c r="C1966" s="47" t="s">
        <v>7757</v>
      </c>
      <c r="D1966" s="47" t="s">
        <v>196</v>
      </c>
      <c r="E1966" s="47" t="s">
        <v>514</v>
      </c>
      <c r="F1966" s="47">
        <v>298.0</v>
      </c>
      <c r="G1966" s="47">
        <v>5.13</v>
      </c>
      <c r="H1966" s="47">
        <v>58.1</v>
      </c>
      <c r="I1966" s="47" t="s">
        <v>75</v>
      </c>
    </row>
    <row r="1967" ht="15.75" customHeight="1">
      <c r="A1967" s="47" t="s">
        <v>4169</v>
      </c>
      <c r="B1967" s="47" t="s">
        <v>4170</v>
      </c>
      <c r="C1967" s="47" t="s">
        <v>7757</v>
      </c>
      <c r="D1967" s="47" t="s">
        <v>175</v>
      </c>
      <c r="E1967" s="47" t="s">
        <v>463</v>
      </c>
      <c r="F1967" s="47">
        <v>1559.0</v>
      </c>
      <c r="G1967" s="47">
        <v>2.34</v>
      </c>
      <c r="H1967" s="47">
        <v>666.2</v>
      </c>
      <c r="I1967" s="47" t="s">
        <v>62</v>
      </c>
    </row>
    <row r="1968" ht="15.75" customHeight="1">
      <c r="A1968" s="47" t="s">
        <v>4171</v>
      </c>
      <c r="B1968" s="47" t="s">
        <v>4172</v>
      </c>
      <c r="C1968" s="47" t="s">
        <v>7757</v>
      </c>
      <c r="D1968" s="47" t="s">
        <v>160</v>
      </c>
      <c r="E1968" s="47" t="s">
        <v>435</v>
      </c>
      <c r="F1968" s="47">
        <v>639.0</v>
      </c>
      <c r="G1968" s="47">
        <v>3.99</v>
      </c>
      <c r="H1968" s="47">
        <v>160.2</v>
      </c>
      <c r="I1968" s="47" t="s">
        <v>62</v>
      </c>
    </row>
    <row r="1969" ht="15.75" customHeight="1">
      <c r="A1969" s="47" t="s">
        <v>4173</v>
      </c>
      <c r="B1969" s="47" t="s">
        <v>4174</v>
      </c>
      <c r="C1969" s="47" t="s">
        <v>7757</v>
      </c>
      <c r="D1969" s="47" t="s">
        <v>175</v>
      </c>
      <c r="E1969" s="47" t="s">
        <v>463</v>
      </c>
      <c r="F1969" s="47">
        <v>350.0</v>
      </c>
      <c r="G1969" s="47">
        <v>4.85</v>
      </c>
      <c r="H1969" s="47">
        <v>72.2</v>
      </c>
      <c r="I1969" s="47" t="s">
        <v>75</v>
      </c>
    </row>
    <row r="1970" ht="15.75" customHeight="1">
      <c r="A1970" s="47" t="s">
        <v>4175</v>
      </c>
      <c r="B1970" s="47" t="s">
        <v>4176</v>
      </c>
      <c r="C1970" s="47" t="s">
        <v>7757</v>
      </c>
      <c r="D1970" s="47" t="s">
        <v>131</v>
      </c>
      <c r="E1970" s="47" t="s">
        <v>341</v>
      </c>
      <c r="F1970" s="47">
        <v>995.0</v>
      </c>
      <c r="G1970" s="47">
        <v>6.41</v>
      </c>
      <c r="H1970" s="47">
        <v>155.2</v>
      </c>
      <c r="I1970" s="47" t="s">
        <v>62</v>
      </c>
    </row>
    <row r="1971" ht="15.75" customHeight="1">
      <c r="A1971" s="47" t="s">
        <v>4177</v>
      </c>
      <c r="B1971" s="47" t="s">
        <v>4178</v>
      </c>
      <c r="C1971" s="47" t="s">
        <v>7757</v>
      </c>
      <c r="D1971" s="47" t="s">
        <v>195</v>
      </c>
      <c r="E1971" s="47" t="s">
        <v>509</v>
      </c>
      <c r="F1971" s="47">
        <v>117.0</v>
      </c>
      <c r="G1971" s="47">
        <v>6.29</v>
      </c>
      <c r="H1971" s="47">
        <v>18.6</v>
      </c>
      <c r="I1971" s="47" t="s">
        <v>75</v>
      </c>
    </row>
    <row r="1972" ht="15.75" customHeight="1">
      <c r="A1972" s="47" t="s">
        <v>4179</v>
      </c>
      <c r="B1972" s="47" t="s">
        <v>4180</v>
      </c>
      <c r="C1972" s="47" t="s">
        <v>7757</v>
      </c>
      <c r="D1972" s="47" t="s">
        <v>155</v>
      </c>
      <c r="E1972" s="47" t="s">
        <v>420</v>
      </c>
      <c r="F1972" s="47">
        <v>184.0</v>
      </c>
      <c r="G1972" s="47">
        <v>9.82</v>
      </c>
      <c r="H1972" s="47">
        <v>18.7</v>
      </c>
      <c r="I1972" s="47" t="s">
        <v>75</v>
      </c>
    </row>
    <row r="1973" ht="15.75" customHeight="1">
      <c r="A1973" s="47" t="s">
        <v>4181</v>
      </c>
      <c r="B1973" s="47" t="s">
        <v>4182</v>
      </c>
      <c r="C1973" s="47" t="s">
        <v>7757</v>
      </c>
      <c r="D1973" s="47" t="s">
        <v>159</v>
      </c>
      <c r="E1973" s="47" t="s">
        <v>430</v>
      </c>
      <c r="F1973" s="47">
        <v>560.0</v>
      </c>
      <c r="G1973" s="47">
        <v>10.52</v>
      </c>
      <c r="H1973" s="47">
        <v>53.2</v>
      </c>
      <c r="I1973" s="47" t="s">
        <v>62</v>
      </c>
    </row>
    <row r="1974" ht="15.75" customHeight="1">
      <c r="A1974" s="47" t="s">
        <v>4183</v>
      </c>
      <c r="B1974" s="47" t="s">
        <v>4184</v>
      </c>
      <c r="C1974" s="47" t="s">
        <v>7757</v>
      </c>
      <c r="D1974" s="47" t="s">
        <v>195</v>
      </c>
      <c r="E1974" s="47" t="s">
        <v>509</v>
      </c>
      <c r="F1974" s="47">
        <v>139.0</v>
      </c>
      <c r="G1974" s="47">
        <v>9.34</v>
      </c>
      <c r="H1974" s="47">
        <v>14.9</v>
      </c>
      <c r="I1974" s="47" t="s">
        <v>75</v>
      </c>
    </row>
    <row r="1975" ht="15.75" customHeight="1">
      <c r="A1975" s="47" t="s">
        <v>4185</v>
      </c>
      <c r="B1975" s="47" t="s">
        <v>4186</v>
      </c>
      <c r="C1975" s="47" t="s">
        <v>7757</v>
      </c>
      <c r="D1975" s="47" t="s">
        <v>188</v>
      </c>
      <c r="E1975" s="47" t="s">
        <v>491</v>
      </c>
      <c r="F1975" s="47">
        <v>622.0</v>
      </c>
      <c r="G1975" s="47">
        <v>4.95</v>
      </c>
      <c r="H1975" s="47">
        <v>125.7</v>
      </c>
      <c r="I1975" s="47" t="s">
        <v>62</v>
      </c>
    </row>
    <row r="1976" ht="15.75" customHeight="1">
      <c r="A1976" s="47" t="s">
        <v>4187</v>
      </c>
      <c r="B1976" s="47" t="s">
        <v>4188</v>
      </c>
      <c r="C1976" s="47" t="s">
        <v>7757</v>
      </c>
      <c r="D1976" s="47" t="s">
        <v>195</v>
      </c>
      <c r="E1976" s="47" t="s">
        <v>509</v>
      </c>
      <c r="F1976" s="47">
        <v>604.0</v>
      </c>
      <c r="G1976" s="47">
        <v>8.53</v>
      </c>
      <c r="H1976" s="47">
        <v>70.8</v>
      </c>
      <c r="I1976" s="47" t="s">
        <v>62</v>
      </c>
    </row>
    <row r="1977" ht="15.75" customHeight="1">
      <c r="A1977" s="47" t="s">
        <v>4189</v>
      </c>
      <c r="B1977" s="47" t="s">
        <v>4190</v>
      </c>
      <c r="C1977" s="47" t="s">
        <v>7757</v>
      </c>
      <c r="D1977" s="47" t="s">
        <v>131</v>
      </c>
      <c r="E1977" s="47" t="s">
        <v>341</v>
      </c>
      <c r="F1977" s="47">
        <v>235.0</v>
      </c>
      <c r="G1977" s="47">
        <v>9.82</v>
      </c>
      <c r="H1977" s="47">
        <v>23.9</v>
      </c>
      <c r="I1977" s="47" t="s">
        <v>75</v>
      </c>
    </row>
    <row r="1978" ht="15.75" customHeight="1">
      <c r="A1978" s="47" t="s">
        <v>4191</v>
      </c>
      <c r="B1978" s="47" t="s">
        <v>4192</v>
      </c>
      <c r="C1978" s="47" t="s">
        <v>7757</v>
      </c>
      <c r="D1978" s="47" t="s">
        <v>159</v>
      </c>
      <c r="E1978" s="47" t="s">
        <v>430</v>
      </c>
      <c r="F1978" s="47">
        <v>227.0</v>
      </c>
      <c r="G1978" s="47">
        <v>3.18</v>
      </c>
      <c r="H1978" s="47">
        <v>71.4</v>
      </c>
      <c r="I1978" s="47" t="s">
        <v>75</v>
      </c>
    </row>
    <row r="1979" ht="15.75" customHeight="1">
      <c r="A1979" s="47" t="s">
        <v>4193</v>
      </c>
      <c r="B1979" s="47" t="s">
        <v>4194</v>
      </c>
      <c r="C1979" s="47" t="s">
        <v>7757</v>
      </c>
      <c r="D1979" s="47" t="s">
        <v>115</v>
      </c>
      <c r="E1979" s="47" t="s">
        <v>129</v>
      </c>
      <c r="F1979" s="47">
        <v>277.0</v>
      </c>
      <c r="G1979" s="47">
        <v>3.89</v>
      </c>
      <c r="H1979" s="47">
        <v>71.2</v>
      </c>
      <c r="I1979" s="47" t="s">
        <v>75</v>
      </c>
    </row>
    <row r="1980" ht="15.75" customHeight="1">
      <c r="A1980" s="47" t="s">
        <v>4195</v>
      </c>
      <c r="B1980" s="47" t="s">
        <v>4196</v>
      </c>
      <c r="C1980" s="47" t="s">
        <v>7757</v>
      </c>
      <c r="D1980" s="47" t="s">
        <v>195</v>
      </c>
      <c r="E1980" s="47" t="s">
        <v>509</v>
      </c>
      <c r="F1980" s="47">
        <v>254.0</v>
      </c>
      <c r="G1980" s="47">
        <v>7.01</v>
      </c>
      <c r="H1980" s="47">
        <v>36.2</v>
      </c>
      <c r="I1980" s="47" t="s">
        <v>75</v>
      </c>
    </row>
    <row r="1981" ht="15.75" customHeight="1">
      <c r="A1981" s="47" t="s">
        <v>4197</v>
      </c>
      <c r="B1981" s="47" t="s">
        <v>4198</v>
      </c>
      <c r="C1981" s="47" t="s">
        <v>7757</v>
      </c>
      <c r="D1981" s="47" t="s">
        <v>203</v>
      </c>
      <c r="E1981" s="47" t="s">
        <v>524</v>
      </c>
      <c r="F1981" s="47">
        <v>277.0</v>
      </c>
      <c r="G1981" s="47">
        <v>12.04</v>
      </c>
      <c r="H1981" s="47">
        <v>23.0</v>
      </c>
      <c r="I1981" s="47" t="s">
        <v>75</v>
      </c>
    </row>
    <row r="1982" ht="15.75" customHeight="1">
      <c r="A1982" s="47" t="s">
        <v>4199</v>
      </c>
      <c r="B1982" s="47" t="s">
        <v>4200</v>
      </c>
      <c r="C1982" s="47" t="s">
        <v>7757</v>
      </c>
      <c r="D1982" s="47" t="s">
        <v>195</v>
      </c>
      <c r="E1982" s="47" t="s">
        <v>509</v>
      </c>
      <c r="F1982" s="47">
        <v>471.0</v>
      </c>
      <c r="G1982" s="47">
        <v>8.14</v>
      </c>
      <c r="H1982" s="47">
        <v>57.9</v>
      </c>
      <c r="I1982" s="47" t="s">
        <v>75</v>
      </c>
    </row>
    <row r="1983" ht="15.75" customHeight="1">
      <c r="A1983" s="47" t="s">
        <v>4201</v>
      </c>
      <c r="B1983" s="47" t="s">
        <v>4202</v>
      </c>
      <c r="C1983" s="47" t="s">
        <v>7757</v>
      </c>
      <c r="D1983" s="47" t="s">
        <v>155</v>
      </c>
      <c r="E1983" s="47" t="s">
        <v>420</v>
      </c>
      <c r="F1983" s="47">
        <v>71.0</v>
      </c>
      <c r="G1983" s="47">
        <v>4.07</v>
      </c>
      <c r="H1983" s="47">
        <v>17.4</v>
      </c>
      <c r="I1983" s="47" t="s">
        <v>75</v>
      </c>
    </row>
    <row r="1984" ht="15.75" customHeight="1">
      <c r="A1984" s="47" t="s">
        <v>4203</v>
      </c>
      <c r="B1984" s="47" t="s">
        <v>4204</v>
      </c>
      <c r="C1984" s="47" t="s">
        <v>7757</v>
      </c>
      <c r="D1984" s="47" t="s">
        <v>203</v>
      </c>
      <c r="E1984" s="47" t="s">
        <v>524</v>
      </c>
      <c r="F1984" s="47">
        <v>215.0</v>
      </c>
      <c r="G1984" s="47">
        <v>9.47</v>
      </c>
      <c r="H1984" s="47">
        <v>22.7</v>
      </c>
      <c r="I1984" s="47" t="s">
        <v>75</v>
      </c>
    </row>
    <row r="1985" ht="15.75" customHeight="1">
      <c r="A1985" s="47" t="s">
        <v>4205</v>
      </c>
      <c r="B1985" s="47" t="s">
        <v>4206</v>
      </c>
      <c r="C1985" s="47" t="s">
        <v>7757</v>
      </c>
      <c r="D1985" s="47" t="s">
        <v>159</v>
      </c>
      <c r="E1985" s="47" t="s">
        <v>430</v>
      </c>
      <c r="F1985" s="47">
        <v>328.0</v>
      </c>
      <c r="G1985" s="47">
        <v>10.99</v>
      </c>
      <c r="H1985" s="47">
        <v>29.8</v>
      </c>
      <c r="I1985" s="47" t="s">
        <v>75</v>
      </c>
    </row>
    <row r="1986" ht="15.75" customHeight="1">
      <c r="A1986" s="47" t="s">
        <v>4207</v>
      </c>
      <c r="B1986" s="47" t="s">
        <v>4208</v>
      </c>
      <c r="C1986" s="47" t="s">
        <v>7757</v>
      </c>
      <c r="D1986" s="47" t="s">
        <v>196</v>
      </c>
      <c r="E1986" s="47" t="s">
        <v>514</v>
      </c>
      <c r="F1986" s="47">
        <v>448.0</v>
      </c>
      <c r="G1986" s="47">
        <v>10.85</v>
      </c>
      <c r="H1986" s="47">
        <v>41.3</v>
      </c>
      <c r="I1986" s="47" t="s">
        <v>75</v>
      </c>
    </row>
    <row r="1987" ht="15.75" customHeight="1">
      <c r="A1987" s="47" t="s">
        <v>4209</v>
      </c>
      <c r="B1987" s="47" t="s">
        <v>4210</v>
      </c>
      <c r="C1987" s="47" t="s">
        <v>7757</v>
      </c>
      <c r="D1987" s="47" t="s">
        <v>131</v>
      </c>
      <c r="E1987" s="47" t="s">
        <v>341</v>
      </c>
      <c r="F1987" s="47">
        <v>855.0</v>
      </c>
      <c r="G1987" s="47">
        <v>8.13</v>
      </c>
      <c r="H1987" s="47">
        <v>105.2</v>
      </c>
      <c r="I1987" s="47" t="s">
        <v>62</v>
      </c>
    </row>
    <row r="1988" ht="15.75" customHeight="1">
      <c r="A1988" s="47" t="s">
        <v>4211</v>
      </c>
      <c r="B1988" s="47" t="s">
        <v>4212</v>
      </c>
      <c r="C1988" s="47" t="s">
        <v>7757</v>
      </c>
      <c r="D1988" s="47" t="s">
        <v>228</v>
      </c>
      <c r="E1988" s="47" t="s">
        <v>396</v>
      </c>
      <c r="F1988" s="47">
        <v>757.0</v>
      </c>
      <c r="G1988" s="47">
        <v>15.59</v>
      </c>
      <c r="H1988" s="47">
        <v>48.6</v>
      </c>
      <c r="I1988" s="47" t="s">
        <v>62</v>
      </c>
    </row>
    <row r="1989" ht="15.75" customHeight="1">
      <c r="A1989" s="47" t="s">
        <v>4213</v>
      </c>
      <c r="B1989" s="47" t="s">
        <v>4214</v>
      </c>
      <c r="C1989" s="47" t="s">
        <v>7757</v>
      </c>
      <c r="D1989" s="47" t="s">
        <v>195</v>
      </c>
      <c r="E1989" s="47" t="s">
        <v>509</v>
      </c>
      <c r="F1989" s="47">
        <v>247.0</v>
      </c>
      <c r="G1989" s="47">
        <v>9.88</v>
      </c>
      <c r="H1989" s="47">
        <v>25.0</v>
      </c>
      <c r="I1989" s="47" t="s">
        <v>75</v>
      </c>
    </row>
    <row r="1990" ht="15.75" customHeight="1">
      <c r="A1990" s="47" t="s">
        <v>4215</v>
      </c>
      <c r="B1990" s="47" t="s">
        <v>4216</v>
      </c>
      <c r="C1990" s="47" t="s">
        <v>7757</v>
      </c>
      <c r="D1990" s="47" t="s">
        <v>175</v>
      </c>
      <c r="E1990" s="47" t="s">
        <v>463</v>
      </c>
      <c r="F1990" s="47">
        <v>1573.0</v>
      </c>
      <c r="G1990" s="47">
        <v>17.63</v>
      </c>
      <c r="H1990" s="47">
        <v>89.2</v>
      </c>
      <c r="I1990" s="47" t="s">
        <v>62</v>
      </c>
    </row>
    <row r="1991" ht="15.75" customHeight="1">
      <c r="A1991" s="47" t="s">
        <v>4217</v>
      </c>
      <c r="B1991" s="47" t="s">
        <v>4218</v>
      </c>
      <c r="C1991" s="47" t="s">
        <v>7757</v>
      </c>
      <c r="D1991" s="47" t="s">
        <v>175</v>
      </c>
      <c r="E1991" s="47" t="s">
        <v>463</v>
      </c>
      <c r="F1991" s="47">
        <v>638.0</v>
      </c>
      <c r="G1991" s="47">
        <v>7.46</v>
      </c>
      <c r="H1991" s="47">
        <v>85.5</v>
      </c>
      <c r="I1991" s="47" t="s">
        <v>62</v>
      </c>
    </row>
    <row r="1992" ht="15.75" customHeight="1">
      <c r="A1992" s="47" t="s">
        <v>4219</v>
      </c>
      <c r="B1992" s="47" t="s">
        <v>4220</v>
      </c>
      <c r="C1992" s="47" t="s">
        <v>7757</v>
      </c>
      <c r="D1992" s="47" t="s">
        <v>203</v>
      </c>
      <c r="E1992" s="47" t="s">
        <v>524</v>
      </c>
      <c r="F1992" s="47">
        <v>272.0</v>
      </c>
      <c r="G1992" s="47">
        <v>12.38</v>
      </c>
      <c r="H1992" s="47">
        <v>22.0</v>
      </c>
      <c r="I1992" s="47" t="s">
        <v>75</v>
      </c>
    </row>
    <row r="1993" ht="15.75" customHeight="1">
      <c r="A1993" s="47" t="s">
        <v>4221</v>
      </c>
      <c r="B1993" s="47" t="s">
        <v>4222</v>
      </c>
      <c r="C1993" s="47" t="s">
        <v>7757</v>
      </c>
      <c r="D1993" s="47" t="s">
        <v>155</v>
      </c>
      <c r="E1993" s="47" t="s">
        <v>420</v>
      </c>
      <c r="F1993" s="47">
        <v>514.0</v>
      </c>
      <c r="G1993" s="47">
        <v>11.45</v>
      </c>
      <c r="H1993" s="47">
        <v>44.9</v>
      </c>
      <c r="I1993" s="47" t="s">
        <v>62</v>
      </c>
    </row>
    <row r="1994" ht="15.75" customHeight="1">
      <c r="A1994" s="47" t="s">
        <v>4223</v>
      </c>
      <c r="B1994" s="47" t="s">
        <v>4224</v>
      </c>
      <c r="C1994" s="47" t="s">
        <v>7757</v>
      </c>
      <c r="D1994" s="47" t="s">
        <v>159</v>
      </c>
      <c r="E1994" s="47" t="s">
        <v>430</v>
      </c>
      <c r="F1994" s="47">
        <v>202.0</v>
      </c>
      <c r="G1994" s="47">
        <v>7.91</v>
      </c>
      <c r="H1994" s="47">
        <v>25.5</v>
      </c>
      <c r="I1994" s="47" t="s">
        <v>75</v>
      </c>
    </row>
    <row r="1995" ht="15.75" customHeight="1">
      <c r="A1995" s="47" t="s">
        <v>4225</v>
      </c>
      <c r="B1995" s="47" t="s">
        <v>4226</v>
      </c>
      <c r="C1995" s="47" t="s">
        <v>7757</v>
      </c>
      <c r="D1995" s="47" t="s">
        <v>190</v>
      </c>
      <c r="E1995" s="47" t="s">
        <v>501</v>
      </c>
      <c r="F1995" s="47">
        <v>1174.0</v>
      </c>
      <c r="G1995" s="47">
        <v>6.32</v>
      </c>
      <c r="H1995" s="47">
        <v>185.8</v>
      </c>
      <c r="I1995" s="47" t="s">
        <v>62</v>
      </c>
    </row>
    <row r="1996" ht="15.75" customHeight="1">
      <c r="A1996" s="47" t="s">
        <v>4227</v>
      </c>
      <c r="B1996" s="47" t="s">
        <v>4228</v>
      </c>
      <c r="C1996" s="47" t="s">
        <v>7757</v>
      </c>
      <c r="D1996" s="47" t="s">
        <v>183</v>
      </c>
      <c r="E1996" s="47" t="s">
        <v>482</v>
      </c>
      <c r="F1996" s="47">
        <v>349.0</v>
      </c>
      <c r="G1996" s="47">
        <v>6.36</v>
      </c>
      <c r="H1996" s="47">
        <v>54.9</v>
      </c>
      <c r="I1996" s="47" t="s">
        <v>75</v>
      </c>
    </row>
    <row r="1997" ht="15.75" customHeight="1">
      <c r="A1997" s="47" t="s">
        <v>4229</v>
      </c>
      <c r="B1997" s="47" t="s">
        <v>4230</v>
      </c>
      <c r="C1997" s="47" t="s">
        <v>7757</v>
      </c>
      <c r="D1997" s="47" t="s">
        <v>173</v>
      </c>
      <c r="E1997" s="47" t="s">
        <v>460</v>
      </c>
      <c r="F1997" s="47">
        <v>189.0</v>
      </c>
      <c r="G1997" s="47">
        <v>16.33</v>
      </c>
      <c r="H1997" s="47">
        <v>11.6</v>
      </c>
      <c r="I1997" s="47" t="s">
        <v>75</v>
      </c>
    </row>
    <row r="1998" ht="15.75" customHeight="1">
      <c r="A1998" s="47" t="s">
        <v>4231</v>
      </c>
      <c r="B1998" s="47" t="s">
        <v>4232</v>
      </c>
      <c r="C1998" s="47" t="s">
        <v>7757</v>
      </c>
      <c r="D1998" s="47" t="s">
        <v>176</v>
      </c>
      <c r="E1998" s="47" t="s">
        <v>470</v>
      </c>
      <c r="F1998" s="47">
        <v>1637.0</v>
      </c>
      <c r="G1998" s="47">
        <v>19.61</v>
      </c>
      <c r="H1998" s="47">
        <v>83.5</v>
      </c>
      <c r="I1998" s="47" t="s">
        <v>62</v>
      </c>
    </row>
    <row r="1999" ht="15.75" customHeight="1">
      <c r="A1999" s="47" t="s">
        <v>4233</v>
      </c>
      <c r="B1999" s="47" t="s">
        <v>4234</v>
      </c>
      <c r="C1999" s="47" t="s">
        <v>7757</v>
      </c>
      <c r="D1999" s="47" t="s">
        <v>159</v>
      </c>
      <c r="E1999" s="47" t="s">
        <v>430</v>
      </c>
      <c r="F1999" s="47">
        <v>80.0</v>
      </c>
      <c r="G1999" s="47">
        <v>4.75</v>
      </c>
      <c r="H1999" s="47">
        <v>16.8</v>
      </c>
      <c r="I1999" s="47" t="s">
        <v>75</v>
      </c>
    </row>
    <row r="2000" ht="15.75" customHeight="1">
      <c r="A2000" s="47" t="s">
        <v>4235</v>
      </c>
      <c r="B2000" s="47" t="s">
        <v>4236</v>
      </c>
      <c r="C2000" s="47" t="s">
        <v>7757</v>
      </c>
      <c r="D2000" s="47" t="s">
        <v>173</v>
      </c>
      <c r="E2000" s="47" t="s">
        <v>460</v>
      </c>
      <c r="F2000" s="47">
        <v>301.0</v>
      </c>
      <c r="G2000" s="47">
        <v>7.98</v>
      </c>
      <c r="H2000" s="47">
        <v>37.7</v>
      </c>
      <c r="I2000" s="47" t="s">
        <v>75</v>
      </c>
    </row>
    <row r="2001" ht="15.75" customHeight="1">
      <c r="A2001" s="47" t="s">
        <v>4237</v>
      </c>
      <c r="B2001" s="47" t="s">
        <v>4238</v>
      </c>
      <c r="C2001" s="47" t="s">
        <v>7757</v>
      </c>
      <c r="D2001" s="47" t="s">
        <v>155</v>
      </c>
      <c r="E2001" s="47" t="s">
        <v>420</v>
      </c>
      <c r="F2001" s="47">
        <v>331.0</v>
      </c>
      <c r="G2001" s="47">
        <v>8.5</v>
      </c>
      <c r="H2001" s="47">
        <v>38.9</v>
      </c>
      <c r="I2001" s="47" t="s">
        <v>75</v>
      </c>
    </row>
    <row r="2002" ht="15.75" customHeight="1">
      <c r="A2002" s="47" t="s">
        <v>4239</v>
      </c>
      <c r="B2002" s="47" t="s">
        <v>4240</v>
      </c>
      <c r="C2002" s="47" t="s">
        <v>7757</v>
      </c>
      <c r="D2002" s="47" t="s">
        <v>231</v>
      </c>
      <c r="E2002" s="47" t="s">
        <v>406</v>
      </c>
      <c r="F2002" s="47">
        <v>618.0</v>
      </c>
      <c r="G2002" s="47">
        <v>5.09</v>
      </c>
      <c r="H2002" s="47">
        <v>121.4</v>
      </c>
      <c r="I2002" s="47" t="s">
        <v>62</v>
      </c>
    </row>
    <row r="2003" ht="15.75" customHeight="1">
      <c r="A2003" s="47" t="s">
        <v>4241</v>
      </c>
      <c r="B2003" s="47" t="s">
        <v>1545</v>
      </c>
      <c r="C2003" s="47" t="s">
        <v>7757</v>
      </c>
      <c r="D2003" s="47" t="s">
        <v>231</v>
      </c>
      <c r="E2003" s="47" t="s">
        <v>406</v>
      </c>
      <c r="F2003" s="47">
        <v>3505.0</v>
      </c>
      <c r="G2003" s="47">
        <v>7.99</v>
      </c>
      <c r="H2003" s="47">
        <v>438.7</v>
      </c>
      <c r="I2003" s="47" t="s">
        <v>142</v>
      </c>
    </row>
    <row r="2004" ht="15.75" customHeight="1">
      <c r="A2004" s="47" t="s">
        <v>4242</v>
      </c>
      <c r="B2004" s="47" t="s">
        <v>4243</v>
      </c>
      <c r="C2004" s="47" t="s">
        <v>7757</v>
      </c>
      <c r="D2004" s="47" t="s">
        <v>131</v>
      </c>
      <c r="E2004" s="47" t="s">
        <v>341</v>
      </c>
      <c r="F2004" s="47">
        <v>439.0</v>
      </c>
      <c r="G2004" s="47">
        <v>6.02</v>
      </c>
      <c r="H2004" s="47">
        <v>72.9</v>
      </c>
      <c r="I2004" s="47" t="s">
        <v>75</v>
      </c>
    </row>
    <row r="2005" ht="15.75" customHeight="1">
      <c r="A2005" s="47" t="s">
        <v>4244</v>
      </c>
      <c r="B2005" s="47" t="s">
        <v>4245</v>
      </c>
      <c r="C2005" s="47" t="s">
        <v>7757</v>
      </c>
      <c r="D2005" s="47" t="s">
        <v>190</v>
      </c>
      <c r="E2005" s="47" t="s">
        <v>501</v>
      </c>
      <c r="F2005" s="47">
        <v>1662.0</v>
      </c>
      <c r="G2005" s="47">
        <v>20.01</v>
      </c>
      <c r="H2005" s="47">
        <v>83.1</v>
      </c>
      <c r="I2005" s="47" t="s">
        <v>62</v>
      </c>
    </row>
    <row r="2006" ht="15.75" customHeight="1">
      <c r="A2006" s="47" t="s">
        <v>4246</v>
      </c>
      <c r="B2006" s="47" t="s">
        <v>4247</v>
      </c>
      <c r="C2006" s="47" t="s">
        <v>7757</v>
      </c>
      <c r="D2006" s="47" t="s">
        <v>124</v>
      </c>
      <c r="E2006" s="47" t="s">
        <v>333</v>
      </c>
      <c r="F2006" s="47">
        <v>1060.0</v>
      </c>
      <c r="G2006" s="47">
        <v>2.89</v>
      </c>
      <c r="H2006" s="47">
        <v>366.8</v>
      </c>
      <c r="I2006" s="47" t="s">
        <v>62</v>
      </c>
    </row>
    <row r="2007" ht="15.75" customHeight="1">
      <c r="A2007" s="47" t="s">
        <v>4248</v>
      </c>
      <c r="B2007" s="47" t="s">
        <v>4249</v>
      </c>
      <c r="C2007" s="47" t="s">
        <v>7757</v>
      </c>
      <c r="D2007" s="47" t="s">
        <v>124</v>
      </c>
      <c r="E2007" s="47" t="s">
        <v>333</v>
      </c>
      <c r="F2007" s="47">
        <v>345.0</v>
      </c>
      <c r="G2007" s="47">
        <v>25.29</v>
      </c>
      <c r="H2007" s="47">
        <v>13.6</v>
      </c>
      <c r="I2007" s="47" t="s">
        <v>75</v>
      </c>
    </row>
    <row r="2008" ht="15.75" customHeight="1">
      <c r="A2008" s="47" t="s">
        <v>4250</v>
      </c>
      <c r="B2008" s="47" t="s">
        <v>4251</v>
      </c>
      <c r="C2008" s="47" t="s">
        <v>7757</v>
      </c>
      <c r="D2008" s="47" t="s">
        <v>203</v>
      </c>
      <c r="E2008" s="47" t="s">
        <v>524</v>
      </c>
      <c r="F2008" s="47">
        <v>5810.0</v>
      </c>
      <c r="G2008" s="47">
        <v>14.64</v>
      </c>
      <c r="H2008" s="47">
        <v>396.9</v>
      </c>
      <c r="I2008" s="47" t="s">
        <v>142</v>
      </c>
    </row>
    <row r="2009" ht="15.75" customHeight="1">
      <c r="A2009" s="47" t="s">
        <v>4252</v>
      </c>
      <c r="B2009" s="47" t="s">
        <v>4253</v>
      </c>
      <c r="C2009" s="47" t="s">
        <v>7757</v>
      </c>
      <c r="D2009" s="47" t="s">
        <v>170</v>
      </c>
      <c r="E2009" s="47" t="s">
        <v>452</v>
      </c>
      <c r="F2009" s="47">
        <v>735.0</v>
      </c>
      <c r="G2009" s="47">
        <v>8.3</v>
      </c>
      <c r="H2009" s="47">
        <v>88.6</v>
      </c>
      <c r="I2009" s="47" t="s">
        <v>62</v>
      </c>
    </row>
    <row r="2010" ht="15.75" customHeight="1">
      <c r="A2010" s="47" t="s">
        <v>4254</v>
      </c>
      <c r="B2010" s="47" t="s">
        <v>4255</v>
      </c>
      <c r="C2010" s="47" t="s">
        <v>7757</v>
      </c>
      <c r="D2010" s="47" t="s">
        <v>131</v>
      </c>
      <c r="E2010" s="47" t="s">
        <v>341</v>
      </c>
      <c r="F2010" s="47">
        <v>378.0</v>
      </c>
      <c r="G2010" s="47">
        <v>4.43</v>
      </c>
      <c r="H2010" s="47">
        <v>85.3</v>
      </c>
      <c r="I2010" s="47" t="s">
        <v>75</v>
      </c>
    </row>
    <row r="2011" ht="15.75" customHeight="1">
      <c r="A2011" s="47" t="s">
        <v>4256</v>
      </c>
      <c r="B2011" s="47" t="s">
        <v>4257</v>
      </c>
      <c r="C2011" s="47" t="s">
        <v>7757</v>
      </c>
      <c r="D2011" s="47" t="s">
        <v>115</v>
      </c>
      <c r="E2011" s="47" t="s">
        <v>129</v>
      </c>
      <c r="F2011" s="47">
        <v>4638.0</v>
      </c>
      <c r="G2011" s="47">
        <v>13.25</v>
      </c>
      <c r="H2011" s="47">
        <v>350.0</v>
      </c>
      <c r="I2011" s="47" t="s">
        <v>142</v>
      </c>
    </row>
    <row r="2012" ht="15.75" customHeight="1">
      <c r="A2012" s="47" t="s">
        <v>4258</v>
      </c>
      <c r="B2012" s="47" t="s">
        <v>4259</v>
      </c>
      <c r="C2012" s="47" t="s">
        <v>7757</v>
      </c>
      <c r="D2012" s="47" t="s">
        <v>203</v>
      </c>
      <c r="E2012" s="47" t="s">
        <v>524</v>
      </c>
      <c r="F2012" s="47">
        <v>263.0</v>
      </c>
      <c r="G2012" s="47">
        <v>9.38</v>
      </c>
      <c r="H2012" s="47">
        <v>28.0</v>
      </c>
      <c r="I2012" s="47" t="s">
        <v>75</v>
      </c>
    </row>
    <row r="2013" ht="15.75" customHeight="1">
      <c r="A2013" s="47" t="s">
        <v>4260</v>
      </c>
      <c r="B2013" s="47" t="s">
        <v>4261</v>
      </c>
      <c r="C2013" s="47" t="s">
        <v>7757</v>
      </c>
      <c r="D2013" s="47" t="s">
        <v>131</v>
      </c>
      <c r="E2013" s="47" t="s">
        <v>341</v>
      </c>
      <c r="F2013" s="47">
        <v>1108.0</v>
      </c>
      <c r="G2013" s="47">
        <v>5.5</v>
      </c>
      <c r="H2013" s="47">
        <v>201.5</v>
      </c>
      <c r="I2013" s="47" t="s">
        <v>62</v>
      </c>
    </row>
    <row r="2014" ht="15.75" customHeight="1">
      <c r="A2014" s="47" t="s">
        <v>4262</v>
      </c>
      <c r="B2014" s="47" t="s">
        <v>4263</v>
      </c>
      <c r="C2014" s="47" t="s">
        <v>7757</v>
      </c>
      <c r="D2014" s="47" t="s">
        <v>175</v>
      </c>
      <c r="E2014" s="47" t="s">
        <v>463</v>
      </c>
      <c r="F2014" s="47">
        <v>1449.0</v>
      </c>
      <c r="G2014" s="47">
        <v>3.65</v>
      </c>
      <c r="H2014" s="47">
        <v>397.0</v>
      </c>
      <c r="I2014" s="47" t="s">
        <v>62</v>
      </c>
    </row>
    <row r="2015" ht="15.75" customHeight="1">
      <c r="A2015" s="47" t="s">
        <v>4264</v>
      </c>
      <c r="B2015" s="47" t="s">
        <v>4265</v>
      </c>
      <c r="C2015" s="47" t="s">
        <v>7757</v>
      </c>
      <c r="D2015" s="47" t="s">
        <v>159</v>
      </c>
      <c r="E2015" s="47" t="s">
        <v>430</v>
      </c>
      <c r="F2015" s="47">
        <v>397.0</v>
      </c>
      <c r="G2015" s="47">
        <v>7.79</v>
      </c>
      <c r="H2015" s="47">
        <v>51.0</v>
      </c>
      <c r="I2015" s="47" t="s">
        <v>75</v>
      </c>
    </row>
    <row r="2016" ht="15.75" customHeight="1">
      <c r="A2016" s="47" t="s">
        <v>4266</v>
      </c>
      <c r="B2016" s="47" t="s">
        <v>4267</v>
      </c>
      <c r="C2016" s="47" t="s">
        <v>7757</v>
      </c>
      <c r="D2016" s="47" t="s">
        <v>115</v>
      </c>
      <c r="E2016" s="47" t="s">
        <v>129</v>
      </c>
      <c r="F2016" s="47">
        <v>3335.0</v>
      </c>
      <c r="G2016" s="47">
        <v>12.31</v>
      </c>
      <c r="H2016" s="47">
        <v>270.9</v>
      </c>
      <c r="I2016" s="47" t="s">
        <v>142</v>
      </c>
    </row>
    <row r="2017" ht="15.75" customHeight="1">
      <c r="A2017" s="47" t="s">
        <v>4268</v>
      </c>
      <c r="B2017" s="47" t="s">
        <v>4269</v>
      </c>
      <c r="C2017" s="47" t="s">
        <v>7757</v>
      </c>
      <c r="D2017" s="47" t="s">
        <v>159</v>
      </c>
      <c r="E2017" s="47" t="s">
        <v>430</v>
      </c>
      <c r="F2017" s="47">
        <v>1172.0</v>
      </c>
      <c r="G2017" s="47">
        <v>10.37</v>
      </c>
      <c r="H2017" s="47">
        <v>113.0</v>
      </c>
      <c r="I2017" s="47" t="s">
        <v>62</v>
      </c>
    </row>
    <row r="2018" ht="15.75" customHeight="1">
      <c r="A2018" s="47" t="s">
        <v>4270</v>
      </c>
      <c r="B2018" s="47" t="s">
        <v>4271</v>
      </c>
      <c r="C2018" s="47" t="s">
        <v>7757</v>
      </c>
      <c r="D2018" s="47" t="s">
        <v>131</v>
      </c>
      <c r="E2018" s="47" t="s">
        <v>341</v>
      </c>
      <c r="F2018" s="47">
        <v>1633.0</v>
      </c>
      <c r="G2018" s="47">
        <v>9.66</v>
      </c>
      <c r="H2018" s="47">
        <v>169.0</v>
      </c>
      <c r="I2018" s="47" t="s">
        <v>62</v>
      </c>
    </row>
    <row r="2019" ht="15.75" customHeight="1">
      <c r="A2019" s="47" t="s">
        <v>4272</v>
      </c>
      <c r="B2019" s="47" t="s">
        <v>4273</v>
      </c>
      <c r="C2019" s="47" t="s">
        <v>7757</v>
      </c>
      <c r="D2019" s="47" t="s">
        <v>190</v>
      </c>
      <c r="E2019" s="47" t="s">
        <v>501</v>
      </c>
      <c r="F2019" s="47">
        <v>672.0</v>
      </c>
      <c r="G2019" s="47">
        <v>10.89</v>
      </c>
      <c r="H2019" s="47">
        <v>61.7</v>
      </c>
      <c r="I2019" s="47" t="s">
        <v>62</v>
      </c>
    </row>
    <row r="2020" ht="15.75" customHeight="1">
      <c r="A2020" s="47" t="s">
        <v>4274</v>
      </c>
      <c r="B2020" s="47" t="s">
        <v>4275</v>
      </c>
      <c r="C2020" s="47" t="s">
        <v>7757</v>
      </c>
      <c r="D2020" s="47" t="s">
        <v>173</v>
      </c>
      <c r="E2020" s="47" t="s">
        <v>460</v>
      </c>
      <c r="F2020" s="47">
        <v>153.0</v>
      </c>
      <c r="G2020" s="47">
        <v>3.43</v>
      </c>
      <c r="H2020" s="47">
        <v>44.6</v>
      </c>
      <c r="I2020" s="47" t="s">
        <v>75</v>
      </c>
    </row>
    <row r="2021" ht="15.75" customHeight="1">
      <c r="A2021" s="47" t="s">
        <v>4276</v>
      </c>
      <c r="B2021" s="47" t="s">
        <v>4277</v>
      </c>
      <c r="C2021" s="47" t="s">
        <v>7757</v>
      </c>
      <c r="D2021" s="47" t="s">
        <v>159</v>
      </c>
      <c r="E2021" s="47" t="s">
        <v>430</v>
      </c>
      <c r="F2021" s="47">
        <v>285.0</v>
      </c>
      <c r="G2021" s="47">
        <v>10.85</v>
      </c>
      <c r="H2021" s="47">
        <v>26.3</v>
      </c>
      <c r="I2021" s="47" t="s">
        <v>75</v>
      </c>
    </row>
    <row r="2022" ht="15.75" customHeight="1">
      <c r="A2022" s="47" t="s">
        <v>4278</v>
      </c>
      <c r="B2022" s="47" t="s">
        <v>4279</v>
      </c>
      <c r="C2022" s="47" t="s">
        <v>7757</v>
      </c>
      <c r="D2022" s="47" t="s">
        <v>203</v>
      </c>
      <c r="E2022" s="47" t="s">
        <v>524</v>
      </c>
      <c r="F2022" s="47">
        <v>431.0</v>
      </c>
      <c r="G2022" s="47">
        <v>10.17</v>
      </c>
      <c r="H2022" s="47">
        <v>42.4</v>
      </c>
      <c r="I2022" s="47" t="s">
        <v>75</v>
      </c>
    </row>
    <row r="2023" ht="15.75" customHeight="1">
      <c r="A2023" s="47" t="s">
        <v>4280</v>
      </c>
      <c r="B2023" s="47" t="s">
        <v>4281</v>
      </c>
      <c r="C2023" s="47" t="s">
        <v>7757</v>
      </c>
      <c r="D2023" s="47" t="s">
        <v>159</v>
      </c>
      <c r="E2023" s="47" t="s">
        <v>430</v>
      </c>
      <c r="F2023" s="47">
        <v>225.0</v>
      </c>
      <c r="G2023" s="47">
        <v>4.32</v>
      </c>
      <c r="H2023" s="47">
        <v>52.1</v>
      </c>
      <c r="I2023" s="47" t="s">
        <v>75</v>
      </c>
    </row>
    <row r="2024" ht="15.75" customHeight="1">
      <c r="A2024" s="47" t="s">
        <v>4282</v>
      </c>
      <c r="B2024" s="47" t="s">
        <v>4283</v>
      </c>
      <c r="C2024" s="47" t="s">
        <v>7757</v>
      </c>
      <c r="D2024" s="47" t="s">
        <v>124</v>
      </c>
      <c r="E2024" s="47" t="s">
        <v>333</v>
      </c>
      <c r="F2024" s="47">
        <v>1751.0</v>
      </c>
      <c r="G2024" s="47">
        <v>16.56</v>
      </c>
      <c r="H2024" s="47">
        <v>105.7</v>
      </c>
      <c r="I2024" s="47" t="s">
        <v>62</v>
      </c>
    </row>
    <row r="2025" ht="15.75" customHeight="1">
      <c r="A2025" s="47" t="s">
        <v>4284</v>
      </c>
      <c r="B2025" s="47" t="s">
        <v>4285</v>
      </c>
      <c r="C2025" s="47" t="s">
        <v>7757</v>
      </c>
      <c r="D2025" s="47" t="s">
        <v>231</v>
      </c>
      <c r="E2025" s="47" t="s">
        <v>406</v>
      </c>
      <c r="F2025" s="47">
        <v>1079.0</v>
      </c>
      <c r="G2025" s="47">
        <v>8.9</v>
      </c>
      <c r="H2025" s="47">
        <v>121.2</v>
      </c>
      <c r="I2025" s="47" t="s">
        <v>62</v>
      </c>
    </row>
    <row r="2026" ht="15.75" customHeight="1">
      <c r="A2026" s="47" t="s">
        <v>4286</v>
      </c>
      <c r="B2026" s="47" t="s">
        <v>4287</v>
      </c>
      <c r="C2026" s="47" t="s">
        <v>7757</v>
      </c>
      <c r="D2026" s="47" t="s">
        <v>159</v>
      </c>
      <c r="E2026" s="47" t="s">
        <v>430</v>
      </c>
      <c r="F2026" s="47">
        <v>281.0</v>
      </c>
      <c r="G2026" s="47">
        <v>10.6</v>
      </c>
      <c r="H2026" s="47">
        <v>26.5</v>
      </c>
      <c r="I2026" s="47" t="s">
        <v>75</v>
      </c>
    </row>
    <row r="2027" ht="15.75" customHeight="1">
      <c r="A2027" s="47" t="s">
        <v>4288</v>
      </c>
      <c r="B2027" s="47" t="s">
        <v>4289</v>
      </c>
      <c r="C2027" s="47" t="s">
        <v>7757</v>
      </c>
      <c r="D2027" s="47" t="s">
        <v>124</v>
      </c>
      <c r="E2027" s="47" t="s">
        <v>333</v>
      </c>
      <c r="F2027" s="47">
        <v>654.0</v>
      </c>
      <c r="G2027" s="47">
        <v>4.9</v>
      </c>
      <c r="H2027" s="47">
        <v>133.5</v>
      </c>
      <c r="I2027" s="47" t="s">
        <v>62</v>
      </c>
    </row>
    <row r="2028" ht="15.75" customHeight="1">
      <c r="A2028" s="47" t="s">
        <v>4290</v>
      </c>
      <c r="B2028" s="47" t="s">
        <v>4291</v>
      </c>
      <c r="C2028" s="47" t="s">
        <v>7757</v>
      </c>
      <c r="D2028" s="47" t="s">
        <v>115</v>
      </c>
      <c r="E2028" s="47" t="s">
        <v>129</v>
      </c>
      <c r="F2028" s="47">
        <v>984.0</v>
      </c>
      <c r="G2028" s="47">
        <v>7.94</v>
      </c>
      <c r="H2028" s="47">
        <v>123.9</v>
      </c>
      <c r="I2028" s="47" t="s">
        <v>62</v>
      </c>
    </row>
    <row r="2029" ht="15.75" customHeight="1">
      <c r="A2029" s="47" t="s">
        <v>4292</v>
      </c>
      <c r="B2029" s="47" t="s">
        <v>4293</v>
      </c>
      <c r="C2029" s="47" t="s">
        <v>7757</v>
      </c>
      <c r="D2029" s="47" t="s">
        <v>159</v>
      </c>
      <c r="E2029" s="47" t="s">
        <v>430</v>
      </c>
      <c r="F2029" s="47">
        <v>53.0</v>
      </c>
      <c r="G2029" s="47">
        <v>4.51</v>
      </c>
      <c r="H2029" s="47">
        <v>11.8</v>
      </c>
      <c r="I2029" s="47" t="s">
        <v>75</v>
      </c>
    </row>
    <row r="2030" ht="15.75" customHeight="1">
      <c r="A2030" s="47" t="s">
        <v>4294</v>
      </c>
      <c r="B2030" s="47" t="s">
        <v>4295</v>
      </c>
      <c r="C2030" s="47" t="s">
        <v>7757</v>
      </c>
      <c r="D2030" s="47" t="s">
        <v>200</v>
      </c>
      <c r="E2030" s="47" t="s">
        <v>494</v>
      </c>
      <c r="F2030" s="47">
        <v>897.0</v>
      </c>
      <c r="G2030" s="47">
        <v>7.77</v>
      </c>
      <c r="H2030" s="47">
        <v>115.4</v>
      </c>
      <c r="I2030" s="47" t="s">
        <v>62</v>
      </c>
    </row>
    <row r="2031" ht="15.75" customHeight="1">
      <c r="A2031" s="47" t="s">
        <v>4296</v>
      </c>
      <c r="B2031" s="47" t="s">
        <v>4297</v>
      </c>
      <c r="C2031" s="47" t="s">
        <v>7757</v>
      </c>
      <c r="D2031" s="47" t="s">
        <v>159</v>
      </c>
      <c r="E2031" s="47" t="s">
        <v>430</v>
      </c>
      <c r="F2031" s="47">
        <v>262.0</v>
      </c>
      <c r="G2031" s="47">
        <v>13.01</v>
      </c>
      <c r="H2031" s="47">
        <v>20.1</v>
      </c>
      <c r="I2031" s="47" t="s">
        <v>75</v>
      </c>
    </row>
    <row r="2032" ht="15.75" customHeight="1">
      <c r="A2032" s="47" t="s">
        <v>4298</v>
      </c>
      <c r="B2032" s="47" t="s">
        <v>4299</v>
      </c>
      <c r="C2032" s="47" t="s">
        <v>7757</v>
      </c>
      <c r="D2032" s="47" t="s">
        <v>159</v>
      </c>
      <c r="E2032" s="47" t="s">
        <v>430</v>
      </c>
      <c r="F2032" s="47">
        <v>351.0</v>
      </c>
      <c r="G2032" s="47">
        <v>5.57</v>
      </c>
      <c r="H2032" s="47">
        <v>63.0</v>
      </c>
      <c r="I2032" s="47" t="s">
        <v>75</v>
      </c>
    </row>
    <row r="2033" ht="15.75" customHeight="1">
      <c r="A2033" s="47" t="s">
        <v>4300</v>
      </c>
      <c r="B2033" s="47" t="s">
        <v>4301</v>
      </c>
      <c r="C2033" s="47" t="s">
        <v>7757</v>
      </c>
      <c r="D2033" s="47" t="s">
        <v>131</v>
      </c>
      <c r="E2033" s="47" t="s">
        <v>341</v>
      </c>
      <c r="F2033" s="47">
        <v>105.0</v>
      </c>
      <c r="G2033" s="47">
        <v>4.96</v>
      </c>
      <c r="H2033" s="47">
        <v>21.2</v>
      </c>
      <c r="I2033" s="47" t="s">
        <v>75</v>
      </c>
    </row>
    <row r="2034" ht="15.75" customHeight="1">
      <c r="A2034" s="47" t="s">
        <v>4302</v>
      </c>
      <c r="B2034" s="47" t="s">
        <v>4303</v>
      </c>
      <c r="C2034" s="47" t="s">
        <v>7757</v>
      </c>
      <c r="D2034" s="47" t="s">
        <v>131</v>
      </c>
      <c r="E2034" s="47" t="s">
        <v>341</v>
      </c>
      <c r="F2034" s="47">
        <v>933.0</v>
      </c>
      <c r="G2034" s="47">
        <v>9.84</v>
      </c>
      <c r="H2034" s="47">
        <v>94.8</v>
      </c>
      <c r="I2034" s="47" t="s">
        <v>62</v>
      </c>
    </row>
    <row r="2035" ht="15.75" customHeight="1">
      <c r="A2035" s="47" t="s">
        <v>4304</v>
      </c>
      <c r="B2035" s="47" t="s">
        <v>4305</v>
      </c>
      <c r="C2035" s="47" t="s">
        <v>7757</v>
      </c>
      <c r="D2035" s="47" t="s">
        <v>200</v>
      </c>
      <c r="E2035" s="47" t="s">
        <v>494</v>
      </c>
      <c r="F2035" s="47">
        <v>760.0</v>
      </c>
      <c r="G2035" s="47">
        <v>4.45</v>
      </c>
      <c r="H2035" s="47">
        <v>170.8</v>
      </c>
      <c r="I2035" s="47" t="s">
        <v>62</v>
      </c>
    </row>
    <row r="2036" ht="15.75" customHeight="1">
      <c r="A2036" s="47" t="s">
        <v>4306</v>
      </c>
      <c r="B2036" s="47" t="s">
        <v>4307</v>
      </c>
      <c r="C2036" s="47" t="s">
        <v>7757</v>
      </c>
      <c r="D2036" s="47" t="s">
        <v>159</v>
      </c>
      <c r="E2036" s="47" t="s">
        <v>430</v>
      </c>
      <c r="F2036" s="47">
        <v>577.0</v>
      </c>
      <c r="G2036" s="47">
        <v>20.04</v>
      </c>
      <c r="H2036" s="47">
        <v>28.8</v>
      </c>
      <c r="I2036" s="47" t="s">
        <v>62</v>
      </c>
    </row>
    <row r="2037" ht="15.75" customHeight="1">
      <c r="A2037" s="47" t="s">
        <v>4308</v>
      </c>
      <c r="B2037" s="47" t="s">
        <v>4309</v>
      </c>
      <c r="C2037" s="47" t="s">
        <v>7757</v>
      </c>
      <c r="D2037" s="47" t="s">
        <v>228</v>
      </c>
      <c r="E2037" s="47" t="s">
        <v>396</v>
      </c>
      <c r="F2037" s="47">
        <v>15157.0</v>
      </c>
      <c r="G2037" s="47">
        <v>24.1</v>
      </c>
      <c r="H2037" s="47">
        <v>628.9</v>
      </c>
      <c r="I2037" s="47" t="s">
        <v>571</v>
      </c>
    </row>
    <row r="2038" ht="15.75" customHeight="1">
      <c r="A2038" s="47" t="s">
        <v>4310</v>
      </c>
      <c r="B2038" s="47" t="s">
        <v>4311</v>
      </c>
      <c r="C2038" s="47" t="s">
        <v>7757</v>
      </c>
      <c r="D2038" s="47" t="s">
        <v>211</v>
      </c>
      <c r="E2038" s="47" t="s">
        <v>544</v>
      </c>
      <c r="F2038" s="47">
        <v>331.0</v>
      </c>
      <c r="G2038" s="47">
        <v>6.34</v>
      </c>
      <c r="H2038" s="47">
        <v>52.2</v>
      </c>
      <c r="I2038" s="47" t="s">
        <v>75</v>
      </c>
    </row>
    <row r="2039" ht="15.75" customHeight="1">
      <c r="A2039" s="47" t="s">
        <v>4312</v>
      </c>
      <c r="B2039" s="47" t="s">
        <v>4313</v>
      </c>
      <c r="C2039" s="47" t="s">
        <v>7757</v>
      </c>
      <c r="D2039" s="47" t="s">
        <v>211</v>
      </c>
      <c r="E2039" s="47" t="s">
        <v>544</v>
      </c>
      <c r="F2039" s="47">
        <v>184.0</v>
      </c>
      <c r="G2039" s="47">
        <v>8.74</v>
      </c>
      <c r="H2039" s="47">
        <v>21.1</v>
      </c>
      <c r="I2039" s="47" t="s">
        <v>75</v>
      </c>
    </row>
    <row r="2040" ht="15.75" customHeight="1">
      <c r="A2040" s="47" t="s">
        <v>4314</v>
      </c>
      <c r="B2040" s="47" t="s">
        <v>4315</v>
      </c>
      <c r="C2040" s="47" t="s">
        <v>7757</v>
      </c>
      <c r="D2040" s="47" t="s">
        <v>155</v>
      </c>
      <c r="E2040" s="47" t="s">
        <v>420</v>
      </c>
      <c r="F2040" s="47">
        <v>132.0</v>
      </c>
      <c r="G2040" s="47">
        <v>3.3</v>
      </c>
      <c r="H2040" s="47">
        <v>40.0</v>
      </c>
      <c r="I2040" s="47" t="s">
        <v>75</v>
      </c>
    </row>
    <row r="2041" ht="15.75" customHeight="1">
      <c r="A2041" s="47" t="s">
        <v>4316</v>
      </c>
      <c r="B2041" s="47" t="s">
        <v>4317</v>
      </c>
      <c r="C2041" s="47" t="s">
        <v>7757</v>
      </c>
      <c r="D2041" s="47" t="s">
        <v>190</v>
      </c>
      <c r="E2041" s="47" t="s">
        <v>501</v>
      </c>
      <c r="F2041" s="47">
        <v>2784.0</v>
      </c>
      <c r="G2041" s="47">
        <v>20.66</v>
      </c>
      <c r="H2041" s="47">
        <v>134.8</v>
      </c>
      <c r="I2041" s="47" t="s">
        <v>142</v>
      </c>
    </row>
    <row r="2042" ht="15.75" customHeight="1">
      <c r="A2042" s="47" t="s">
        <v>4318</v>
      </c>
      <c r="B2042" s="47" t="s">
        <v>4319</v>
      </c>
      <c r="C2042" s="47" t="s">
        <v>7757</v>
      </c>
      <c r="D2042" s="47" t="s">
        <v>200</v>
      </c>
      <c r="E2042" s="47" t="s">
        <v>494</v>
      </c>
      <c r="F2042" s="47">
        <v>271.0</v>
      </c>
      <c r="G2042" s="47">
        <v>5.05</v>
      </c>
      <c r="H2042" s="47">
        <v>53.7</v>
      </c>
      <c r="I2042" s="47" t="s">
        <v>75</v>
      </c>
    </row>
    <row r="2043" ht="15.75" customHeight="1">
      <c r="A2043" s="47" t="s">
        <v>4320</v>
      </c>
      <c r="B2043" s="47" t="s">
        <v>4321</v>
      </c>
      <c r="C2043" s="47" t="s">
        <v>7757</v>
      </c>
      <c r="D2043" s="47" t="s">
        <v>195</v>
      </c>
      <c r="E2043" s="47" t="s">
        <v>509</v>
      </c>
      <c r="F2043" s="47">
        <v>269.0</v>
      </c>
      <c r="G2043" s="47">
        <v>6.01</v>
      </c>
      <c r="H2043" s="47">
        <v>44.8</v>
      </c>
      <c r="I2043" s="47" t="s">
        <v>75</v>
      </c>
    </row>
    <row r="2044" ht="15.75" customHeight="1">
      <c r="A2044" s="47" t="s">
        <v>4322</v>
      </c>
      <c r="B2044" s="47" t="s">
        <v>4323</v>
      </c>
      <c r="C2044" s="47" t="s">
        <v>7757</v>
      </c>
      <c r="D2044" s="47" t="s">
        <v>195</v>
      </c>
      <c r="E2044" s="47" t="s">
        <v>509</v>
      </c>
      <c r="F2044" s="47">
        <v>1217.0</v>
      </c>
      <c r="G2044" s="47">
        <v>11.44</v>
      </c>
      <c r="H2044" s="47">
        <v>106.4</v>
      </c>
      <c r="I2044" s="47" t="s">
        <v>62</v>
      </c>
    </row>
    <row r="2045" ht="15.75" customHeight="1">
      <c r="A2045" s="47" t="s">
        <v>4324</v>
      </c>
      <c r="B2045" s="47" t="s">
        <v>4325</v>
      </c>
      <c r="C2045" s="47" t="s">
        <v>7757</v>
      </c>
      <c r="D2045" s="47" t="s">
        <v>231</v>
      </c>
      <c r="E2045" s="47" t="s">
        <v>406</v>
      </c>
      <c r="F2045" s="47">
        <v>450.0</v>
      </c>
      <c r="G2045" s="47">
        <v>11.22</v>
      </c>
      <c r="H2045" s="47">
        <v>40.1</v>
      </c>
      <c r="I2045" s="47" t="s">
        <v>75</v>
      </c>
    </row>
    <row r="2046" ht="15.75" customHeight="1">
      <c r="A2046" s="47" t="s">
        <v>4326</v>
      </c>
      <c r="B2046" s="47" t="s">
        <v>4327</v>
      </c>
      <c r="C2046" s="47" t="s">
        <v>7757</v>
      </c>
      <c r="D2046" s="47" t="s">
        <v>196</v>
      </c>
      <c r="E2046" s="47" t="s">
        <v>514</v>
      </c>
      <c r="F2046" s="47">
        <v>130.0</v>
      </c>
      <c r="G2046" s="47">
        <v>3.07</v>
      </c>
      <c r="H2046" s="47">
        <v>42.3</v>
      </c>
      <c r="I2046" s="47" t="s">
        <v>75</v>
      </c>
    </row>
    <row r="2047" ht="15.75" customHeight="1">
      <c r="A2047" s="47" t="s">
        <v>4328</v>
      </c>
      <c r="B2047" s="47" t="s">
        <v>4329</v>
      </c>
      <c r="C2047" s="47" t="s">
        <v>7757</v>
      </c>
      <c r="D2047" s="47" t="s">
        <v>159</v>
      </c>
      <c r="E2047" s="47" t="s">
        <v>430</v>
      </c>
      <c r="F2047" s="47">
        <v>481.0</v>
      </c>
      <c r="G2047" s="47">
        <v>12.95</v>
      </c>
      <c r="H2047" s="47">
        <v>37.1</v>
      </c>
      <c r="I2047" s="47" t="s">
        <v>75</v>
      </c>
    </row>
    <row r="2048" ht="15.75" customHeight="1">
      <c r="A2048" s="47" t="s">
        <v>4330</v>
      </c>
      <c r="B2048" s="47" t="s">
        <v>4331</v>
      </c>
      <c r="C2048" s="47" t="s">
        <v>7757</v>
      </c>
      <c r="D2048" s="47" t="s">
        <v>159</v>
      </c>
      <c r="E2048" s="47" t="s">
        <v>430</v>
      </c>
      <c r="F2048" s="47">
        <v>926.0</v>
      </c>
      <c r="G2048" s="47">
        <v>13.71</v>
      </c>
      <c r="H2048" s="47">
        <v>67.5</v>
      </c>
      <c r="I2048" s="47" t="s">
        <v>62</v>
      </c>
    </row>
    <row r="2049" ht="15.75" customHeight="1">
      <c r="A2049" s="47" t="s">
        <v>4332</v>
      </c>
      <c r="B2049" s="47" t="s">
        <v>4333</v>
      </c>
      <c r="C2049" s="47" t="s">
        <v>7757</v>
      </c>
      <c r="D2049" s="47" t="s">
        <v>159</v>
      </c>
      <c r="E2049" s="47" t="s">
        <v>430</v>
      </c>
      <c r="F2049" s="47">
        <v>165.0</v>
      </c>
      <c r="G2049" s="47">
        <v>4.86</v>
      </c>
      <c r="H2049" s="47">
        <v>34.0</v>
      </c>
      <c r="I2049" s="47" t="s">
        <v>75</v>
      </c>
    </row>
    <row r="2050" ht="15.75" customHeight="1">
      <c r="A2050" s="47" t="s">
        <v>4334</v>
      </c>
      <c r="B2050" s="47" t="s">
        <v>4335</v>
      </c>
      <c r="C2050" s="47" t="s">
        <v>7757</v>
      </c>
      <c r="D2050" s="47" t="s">
        <v>200</v>
      </c>
      <c r="E2050" s="47" t="s">
        <v>494</v>
      </c>
      <c r="F2050" s="47">
        <v>518.0</v>
      </c>
      <c r="G2050" s="47">
        <v>5.18</v>
      </c>
      <c r="H2050" s="47">
        <v>100.0</v>
      </c>
      <c r="I2050" s="47" t="s">
        <v>62</v>
      </c>
    </row>
    <row r="2051" ht="15.75" customHeight="1">
      <c r="A2051" s="47" t="s">
        <v>4336</v>
      </c>
      <c r="B2051" s="47" t="s">
        <v>4337</v>
      </c>
      <c r="C2051" s="47" t="s">
        <v>7757</v>
      </c>
      <c r="D2051" s="47" t="s">
        <v>190</v>
      </c>
      <c r="E2051" s="47" t="s">
        <v>501</v>
      </c>
      <c r="F2051" s="47">
        <v>643.0</v>
      </c>
      <c r="G2051" s="47">
        <v>9.32</v>
      </c>
      <c r="H2051" s="47">
        <v>69.0</v>
      </c>
      <c r="I2051" s="47" t="s">
        <v>62</v>
      </c>
    </row>
    <row r="2052" ht="15.75" customHeight="1">
      <c r="A2052" s="47" t="s">
        <v>4338</v>
      </c>
      <c r="B2052" s="47" t="s">
        <v>4339</v>
      </c>
      <c r="C2052" s="47" t="s">
        <v>7757</v>
      </c>
      <c r="D2052" s="47" t="s">
        <v>155</v>
      </c>
      <c r="E2052" s="47" t="s">
        <v>420</v>
      </c>
      <c r="F2052" s="47">
        <v>250.0</v>
      </c>
      <c r="G2052" s="47">
        <v>6.97</v>
      </c>
      <c r="H2052" s="47">
        <v>35.9</v>
      </c>
      <c r="I2052" s="47" t="s">
        <v>75</v>
      </c>
    </row>
    <row r="2053" ht="15.75" customHeight="1">
      <c r="A2053" s="47" t="s">
        <v>4340</v>
      </c>
      <c r="B2053" s="47" t="s">
        <v>4341</v>
      </c>
      <c r="C2053" s="47" t="s">
        <v>7757</v>
      </c>
      <c r="D2053" s="47" t="s">
        <v>131</v>
      </c>
      <c r="E2053" s="47" t="s">
        <v>341</v>
      </c>
      <c r="F2053" s="47">
        <v>1225.0</v>
      </c>
      <c r="G2053" s="47">
        <v>9.03</v>
      </c>
      <c r="H2053" s="47">
        <v>135.7</v>
      </c>
      <c r="I2053" s="47" t="s">
        <v>62</v>
      </c>
    </row>
    <row r="2054" ht="15.75" customHeight="1">
      <c r="A2054" s="47" t="s">
        <v>4342</v>
      </c>
      <c r="B2054" s="47" t="s">
        <v>4343</v>
      </c>
      <c r="C2054" s="47" t="s">
        <v>7757</v>
      </c>
      <c r="D2054" s="47" t="s">
        <v>159</v>
      </c>
      <c r="E2054" s="47" t="s">
        <v>430</v>
      </c>
      <c r="F2054" s="47">
        <v>196.0</v>
      </c>
      <c r="G2054" s="47">
        <v>9.72</v>
      </c>
      <c r="H2054" s="47">
        <v>20.2</v>
      </c>
      <c r="I2054" s="47" t="s">
        <v>75</v>
      </c>
    </row>
    <row r="2055" ht="15.75" customHeight="1">
      <c r="A2055" s="47" t="s">
        <v>4344</v>
      </c>
      <c r="B2055" s="47" t="s">
        <v>4345</v>
      </c>
      <c r="C2055" s="47" t="s">
        <v>7757</v>
      </c>
      <c r="D2055" s="47" t="s">
        <v>211</v>
      </c>
      <c r="E2055" s="47" t="s">
        <v>544</v>
      </c>
      <c r="F2055" s="47">
        <v>217.0</v>
      </c>
      <c r="G2055" s="47">
        <v>6.42</v>
      </c>
      <c r="H2055" s="47">
        <v>33.8</v>
      </c>
      <c r="I2055" s="47" t="s">
        <v>75</v>
      </c>
    </row>
    <row r="2056" ht="15.75" customHeight="1">
      <c r="A2056" s="47" t="s">
        <v>4346</v>
      </c>
      <c r="B2056" s="47" t="s">
        <v>4347</v>
      </c>
      <c r="C2056" s="47" t="s">
        <v>7757</v>
      </c>
      <c r="D2056" s="47" t="s">
        <v>228</v>
      </c>
      <c r="E2056" s="47" t="s">
        <v>396</v>
      </c>
      <c r="F2056" s="47">
        <v>1090.0</v>
      </c>
      <c r="G2056" s="47">
        <v>6.22</v>
      </c>
      <c r="H2056" s="47">
        <v>175.2</v>
      </c>
      <c r="I2056" s="47" t="s">
        <v>62</v>
      </c>
    </row>
    <row r="2057" ht="15.75" customHeight="1">
      <c r="A2057" s="47" t="s">
        <v>4348</v>
      </c>
      <c r="B2057" s="47" t="s">
        <v>4349</v>
      </c>
      <c r="C2057" s="47" t="s">
        <v>7757</v>
      </c>
      <c r="D2057" s="47" t="s">
        <v>196</v>
      </c>
      <c r="E2057" s="47" t="s">
        <v>514</v>
      </c>
      <c r="F2057" s="47">
        <v>750.0</v>
      </c>
      <c r="G2057" s="47">
        <v>13.05</v>
      </c>
      <c r="H2057" s="47">
        <v>57.5</v>
      </c>
      <c r="I2057" s="47" t="s">
        <v>62</v>
      </c>
    </row>
    <row r="2058" ht="15.75" customHeight="1">
      <c r="A2058" s="47" t="s">
        <v>4350</v>
      </c>
      <c r="B2058" s="47" t="s">
        <v>4351</v>
      </c>
      <c r="C2058" s="47" t="s">
        <v>7757</v>
      </c>
      <c r="D2058" s="47" t="s">
        <v>159</v>
      </c>
      <c r="E2058" s="47" t="s">
        <v>430</v>
      </c>
      <c r="F2058" s="47">
        <v>379.0</v>
      </c>
      <c r="G2058" s="47">
        <v>2.5</v>
      </c>
      <c r="H2058" s="47">
        <v>151.6</v>
      </c>
      <c r="I2058" s="47" t="s">
        <v>75</v>
      </c>
    </row>
    <row r="2059" ht="15.75" customHeight="1">
      <c r="A2059" s="47" t="s">
        <v>4352</v>
      </c>
      <c r="B2059" s="47" t="s">
        <v>4353</v>
      </c>
      <c r="C2059" s="47" t="s">
        <v>7757</v>
      </c>
      <c r="D2059" s="47" t="s">
        <v>155</v>
      </c>
      <c r="E2059" s="47" t="s">
        <v>420</v>
      </c>
      <c r="F2059" s="47">
        <v>438.0</v>
      </c>
      <c r="G2059" s="47">
        <v>9.19</v>
      </c>
      <c r="H2059" s="47">
        <v>47.7</v>
      </c>
      <c r="I2059" s="47" t="s">
        <v>75</v>
      </c>
    </row>
    <row r="2060" ht="15.75" customHeight="1">
      <c r="A2060" s="47" t="s">
        <v>4354</v>
      </c>
      <c r="B2060" s="47" t="s">
        <v>4355</v>
      </c>
      <c r="C2060" s="47" t="s">
        <v>7757</v>
      </c>
      <c r="D2060" s="47" t="s">
        <v>115</v>
      </c>
      <c r="E2060" s="47" t="s">
        <v>129</v>
      </c>
      <c r="F2060" s="47">
        <v>1041.0</v>
      </c>
      <c r="G2060" s="47">
        <v>2.07</v>
      </c>
      <c r="H2060" s="47">
        <v>502.9</v>
      </c>
      <c r="I2060" s="47" t="s">
        <v>62</v>
      </c>
    </row>
    <row r="2061" ht="15.75" customHeight="1">
      <c r="A2061" s="47" t="s">
        <v>4356</v>
      </c>
      <c r="B2061" s="47" t="s">
        <v>4357</v>
      </c>
      <c r="C2061" s="47" t="s">
        <v>7757</v>
      </c>
      <c r="D2061" s="47" t="s">
        <v>170</v>
      </c>
      <c r="E2061" s="47" t="s">
        <v>452</v>
      </c>
      <c r="F2061" s="47">
        <v>4463.0</v>
      </c>
      <c r="G2061" s="47">
        <v>4.38</v>
      </c>
      <c r="H2061" s="47">
        <v>1018.9</v>
      </c>
      <c r="I2061" s="47" t="s">
        <v>142</v>
      </c>
    </row>
    <row r="2062" ht="15.75" customHeight="1">
      <c r="A2062" s="47" t="s">
        <v>4358</v>
      </c>
      <c r="B2062" s="47" t="s">
        <v>4359</v>
      </c>
      <c r="C2062" s="47" t="s">
        <v>7757</v>
      </c>
      <c r="D2062" s="47" t="s">
        <v>195</v>
      </c>
      <c r="E2062" s="47" t="s">
        <v>509</v>
      </c>
      <c r="F2062" s="47">
        <v>462.0</v>
      </c>
      <c r="G2062" s="47">
        <v>11.29</v>
      </c>
      <c r="H2062" s="47">
        <v>40.9</v>
      </c>
      <c r="I2062" s="47" t="s">
        <v>75</v>
      </c>
    </row>
    <row r="2063" ht="15.75" customHeight="1">
      <c r="A2063" s="47" t="s">
        <v>4360</v>
      </c>
      <c r="B2063" s="47" t="s">
        <v>4361</v>
      </c>
      <c r="C2063" s="47" t="s">
        <v>7757</v>
      </c>
      <c r="D2063" s="47" t="s">
        <v>231</v>
      </c>
      <c r="E2063" s="47" t="s">
        <v>406</v>
      </c>
      <c r="F2063" s="47">
        <v>667.0</v>
      </c>
      <c r="G2063" s="47">
        <v>5.46</v>
      </c>
      <c r="H2063" s="47">
        <v>122.2</v>
      </c>
      <c r="I2063" s="47" t="s">
        <v>62</v>
      </c>
    </row>
    <row r="2064" ht="15.75" customHeight="1">
      <c r="A2064" s="47" t="s">
        <v>4362</v>
      </c>
      <c r="B2064" s="47" t="s">
        <v>4363</v>
      </c>
      <c r="C2064" s="47" t="s">
        <v>7757</v>
      </c>
      <c r="D2064" s="47" t="s">
        <v>131</v>
      </c>
      <c r="E2064" s="47" t="s">
        <v>341</v>
      </c>
      <c r="F2064" s="47">
        <v>1258.0</v>
      </c>
      <c r="G2064" s="47">
        <v>14.84</v>
      </c>
      <c r="H2064" s="47">
        <v>84.8</v>
      </c>
      <c r="I2064" s="47" t="s">
        <v>62</v>
      </c>
    </row>
    <row r="2065" ht="15.75" customHeight="1">
      <c r="A2065" s="47" t="s">
        <v>4364</v>
      </c>
      <c r="B2065" s="47" t="s">
        <v>4365</v>
      </c>
      <c r="C2065" s="47" t="s">
        <v>7757</v>
      </c>
      <c r="D2065" s="47" t="s">
        <v>211</v>
      </c>
      <c r="E2065" s="47" t="s">
        <v>544</v>
      </c>
      <c r="F2065" s="47">
        <v>161.0</v>
      </c>
      <c r="G2065" s="47">
        <v>3.32</v>
      </c>
      <c r="H2065" s="47">
        <v>48.5</v>
      </c>
      <c r="I2065" s="47" t="s">
        <v>75</v>
      </c>
    </row>
    <row r="2066" ht="15.75" customHeight="1">
      <c r="A2066" s="47" t="s">
        <v>4366</v>
      </c>
      <c r="B2066" s="47" t="s">
        <v>4367</v>
      </c>
      <c r="C2066" s="47" t="s">
        <v>7757</v>
      </c>
      <c r="D2066" s="47" t="s">
        <v>173</v>
      </c>
      <c r="E2066" s="47" t="s">
        <v>460</v>
      </c>
      <c r="F2066" s="47">
        <v>1686.0</v>
      </c>
      <c r="G2066" s="47">
        <v>18.67</v>
      </c>
      <c r="H2066" s="47">
        <v>90.3</v>
      </c>
      <c r="I2066" s="47" t="s">
        <v>62</v>
      </c>
    </row>
    <row r="2067" ht="15.75" customHeight="1">
      <c r="A2067" s="47" t="s">
        <v>4368</v>
      </c>
      <c r="B2067" s="47" t="s">
        <v>4369</v>
      </c>
      <c r="C2067" s="47" t="s">
        <v>7757</v>
      </c>
      <c r="D2067" s="47" t="s">
        <v>170</v>
      </c>
      <c r="E2067" s="47" t="s">
        <v>452</v>
      </c>
      <c r="F2067" s="47">
        <v>1037.0</v>
      </c>
      <c r="G2067" s="47">
        <v>4.69</v>
      </c>
      <c r="H2067" s="47">
        <v>221.1</v>
      </c>
      <c r="I2067" s="47" t="s">
        <v>62</v>
      </c>
    </row>
    <row r="2068" ht="15.75" customHeight="1">
      <c r="A2068" s="47" t="s">
        <v>4370</v>
      </c>
      <c r="B2068" s="47" t="s">
        <v>4371</v>
      </c>
      <c r="C2068" s="47" t="s">
        <v>7757</v>
      </c>
      <c r="D2068" s="47" t="s">
        <v>203</v>
      </c>
      <c r="E2068" s="47" t="s">
        <v>524</v>
      </c>
      <c r="F2068" s="47">
        <v>1392.0</v>
      </c>
      <c r="G2068" s="47">
        <v>12.0</v>
      </c>
      <c r="H2068" s="47">
        <v>116.0</v>
      </c>
      <c r="I2068" s="47" t="s">
        <v>62</v>
      </c>
    </row>
    <row r="2069" ht="15.75" customHeight="1">
      <c r="A2069" s="47" t="s">
        <v>4372</v>
      </c>
      <c r="B2069" s="47" t="s">
        <v>4373</v>
      </c>
      <c r="C2069" s="47" t="s">
        <v>7757</v>
      </c>
      <c r="D2069" s="47" t="s">
        <v>211</v>
      </c>
      <c r="E2069" s="47" t="s">
        <v>544</v>
      </c>
      <c r="F2069" s="47">
        <v>1875.0</v>
      </c>
      <c r="G2069" s="47">
        <v>13.52</v>
      </c>
      <c r="H2069" s="47">
        <v>138.7</v>
      </c>
      <c r="I2069" s="47" t="s">
        <v>62</v>
      </c>
    </row>
    <row r="2070" ht="15.75" customHeight="1">
      <c r="A2070" s="47" t="s">
        <v>4374</v>
      </c>
      <c r="B2070" s="47" t="s">
        <v>4375</v>
      </c>
      <c r="C2070" s="47" t="s">
        <v>7757</v>
      </c>
      <c r="D2070" s="47" t="s">
        <v>211</v>
      </c>
      <c r="E2070" s="47" t="s">
        <v>544</v>
      </c>
      <c r="F2070" s="47">
        <v>303.0</v>
      </c>
      <c r="G2070" s="47">
        <v>4.56</v>
      </c>
      <c r="H2070" s="47">
        <v>66.4</v>
      </c>
      <c r="I2070" s="47" t="s">
        <v>75</v>
      </c>
    </row>
    <row r="2071" ht="15.75" customHeight="1">
      <c r="A2071" s="47" t="s">
        <v>4376</v>
      </c>
      <c r="B2071" s="47" t="s">
        <v>4377</v>
      </c>
      <c r="C2071" s="47" t="s">
        <v>7757</v>
      </c>
      <c r="D2071" s="47" t="s">
        <v>131</v>
      </c>
      <c r="E2071" s="47" t="s">
        <v>341</v>
      </c>
      <c r="F2071" s="47">
        <v>1374.0</v>
      </c>
      <c r="G2071" s="47">
        <v>14.03</v>
      </c>
      <c r="H2071" s="47">
        <v>97.9</v>
      </c>
      <c r="I2071" s="47" t="s">
        <v>62</v>
      </c>
    </row>
    <row r="2072" ht="15.75" customHeight="1">
      <c r="A2072" s="47" t="s">
        <v>4378</v>
      </c>
      <c r="B2072" s="47" t="s">
        <v>4379</v>
      </c>
      <c r="C2072" s="47" t="s">
        <v>7757</v>
      </c>
      <c r="D2072" s="47" t="s">
        <v>173</v>
      </c>
      <c r="E2072" s="47" t="s">
        <v>460</v>
      </c>
      <c r="F2072" s="47">
        <v>2077.0</v>
      </c>
      <c r="G2072" s="47">
        <v>11.09</v>
      </c>
      <c r="H2072" s="47">
        <v>187.3</v>
      </c>
      <c r="I2072" s="47" t="s">
        <v>142</v>
      </c>
    </row>
    <row r="2073" ht="15.75" customHeight="1">
      <c r="A2073" s="47" t="s">
        <v>4380</v>
      </c>
      <c r="B2073" s="47" t="s">
        <v>4381</v>
      </c>
      <c r="C2073" s="47" t="s">
        <v>7757</v>
      </c>
      <c r="D2073" s="47" t="s">
        <v>155</v>
      </c>
      <c r="E2073" s="47" t="s">
        <v>420</v>
      </c>
      <c r="F2073" s="47">
        <v>314.0</v>
      </c>
      <c r="G2073" s="47">
        <v>5.36</v>
      </c>
      <c r="H2073" s="47">
        <v>58.6</v>
      </c>
      <c r="I2073" s="47" t="s">
        <v>75</v>
      </c>
    </row>
    <row r="2074" ht="15.75" customHeight="1">
      <c r="A2074" s="47" t="s">
        <v>4382</v>
      </c>
      <c r="B2074" s="47" t="s">
        <v>4383</v>
      </c>
      <c r="C2074" s="47" t="s">
        <v>7757</v>
      </c>
      <c r="D2074" s="47" t="s">
        <v>195</v>
      </c>
      <c r="E2074" s="47" t="s">
        <v>509</v>
      </c>
      <c r="F2074" s="47">
        <v>522.0</v>
      </c>
      <c r="G2074" s="47">
        <v>13.03</v>
      </c>
      <c r="H2074" s="47">
        <v>40.1</v>
      </c>
      <c r="I2074" s="47" t="s">
        <v>62</v>
      </c>
    </row>
    <row r="2075" ht="15.75" customHeight="1">
      <c r="A2075" s="47" t="s">
        <v>4384</v>
      </c>
      <c r="B2075" s="47" t="s">
        <v>4385</v>
      </c>
      <c r="C2075" s="47" t="s">
        <v>7757</v>
      </c>
      <c r="D2075" s="47" t="s">
        <v>231</v>
      </c>
      <c r="E2075" s="47" t="s">
        <v>406</v>
      </c>
      <c r="F2075" s="47">
        <v>1941.0</v>
      </c>
      <c r="G2075" s="47">
        <v>18.77</v>
      </c>
      <c r="H2075" s="47">
        <v>103.4</v>
      </c>
      <c r="I2075" s="47" t="s">
        <v>62</v>
      </c>
    </row>
    <row r="2076" ht="15.75" customHeight="1">
      <c r="A2076" s="47" t="s">
        <v>4386</v>
      </c>
      <c r="B2076" s="47" t="s">
        <v>4387</v>
      </c>
      <c r="C2076" s="47" t="s">
        <v>7757</v>
      </c>
      <c r="D2076" s="47" t="s">
        <v>176</v>
      </c>
      <c r="E2076" s="47" t="s">
        <v>470</v>
      </c>
      <c r="F2076" s="47">
        <v>941.0</v>
      </c>
      <c r="G2076" s="47">
        <v>8.76</v>
      </c>
      <c r="H2076" s="47">
        <v>107.4</v>
      </c>
      <c r="I2076" s="47" t="s">
        <v>62</v>
      </c>
    </row>
    <row r="2077" ht="15.75" customHeight="1">
      <c r="A2077" s="47" t="s">
        <v>4388</v>
      </c>
      <c r="B2077" s="47" t="s">
        <v>4389</v>
      </c>
      <c r="C2077" s="47" t="s">
        <v>7757</v>
      </c>
      <c r="D2077" s="47" t="s">
        <v>203</v>
      </c>
      <c r="E2077" s="47" t="s">
        <v>524</v>
      </c>
      <c r="F2077" s="47">
        <v>295.0</v>
      </c>
      <c r="G2077" s="47">
        <v>6.94</v>
      </c>
      <c r="H2077" s="47">
        <v>42.5</v>
      </c>
      <c r="I2077" s="47" t="s">
        <v>75</v>
      </c>
    </row>
    <row r="2078" ht="15.75" customHeight="1">
      <c r="A2078" s="47" t="s">
        <v>4390</v>
      </c>
      <c r="B2078" s="47" t="s">
        <v>4391</v>
      </c>
      <c r="C2078" s="47" t="s">
        <v>7757</v>
      </c>
      <c r="D2078" s="47" t="s">
        <v>170</v>
      </c>
      <c r="E2078" s="47" t="s">
        <v>452</v>
      </c>
      <c r="F2078" s="47">
        <v>254.0</v>
      </c>
      <c r="G2078" s="47">
        <v>4.7</v>
      </c>
      <c r="H2078" s="47">
        <v>54.0</v>
      </c>
      <c r="I2078" s="47" t="s">
        <v>75</v>
      </c>
    </row>
    <row r="2079" ht="15.75" customHeight="1">
      <c r="A2079" s="47" t="s">
        <v>4392</v>
      </c>
      <c r="B2079" s="47" t="s">
        <v>4393</v>
      </c>
      <c r="C2079" s="47" t="s">
        <v>7757</v>
      </c>
      <c r="D2079" s="47" t="s">
        <v>200</v>
      </c>
      <c r="E2079" s="47" t="s">
        <v>494</v>
      </c>
      <c r="F2079" s="47">
        <v>367.0</v>
      </c>
      <c r="G2079" s="47">
        <v>9.15</v>
      </c>
      <c r="H2079" s="47">
        <v>40.1</v>
      </c>
      <c r="I2079" s="47" t="s">
        <v>75</v>
      </c>
    </row>
    <row r="2080" ht="15.75" customHeight="1">
      <c r="A2080" s="47" t="s">
        <v>4394</v>
      </c>
      <c r="B2080" s="47" t="s">
        <v>4395</v>
      </c>
      <c r="C2080" s="47" t="s">
        <v>7757</v>
      </c>
      <c r="D2080" s="47" t="s">
        <v>195</v>
      </c>
      <c r="E2080" s="47" t="s">
        <v>509</v>
      </c>
      <c r="F2080" s="47">
        <v>265.0</v>
      </c>
      <c r="G2080" s="47">
        <v>2.93</v>
      </c>
      <c r="H2080" s="47">
        <v>90.4</v>
      </c>
      <c r="I2080" s="47" t="s">
        <v>75</v>
      </c>
    </row>
    <row r="2081" ht="15.75" customHeight="1">
      <c r="A2081" s="47" t="s">
        <v>4396</v>
      </c>
      <c r="B2081" s="47" t="s">
        <v>4397</v>
      </c>
      <c r="C2081" s="47" t="s">
        <v>7757</v>
      </c>
      <c r="D2081" s="47" t="s">
        <v>200</v>
      </c>
      <c r="E2081" s="47" t="s">
        <v>494</v>
      </c>
      <c r="F2081" s="47">
        <v>246.0</v>
      </c>
      <c r="G2081" s="47">
        <v>2.35</v>
      </c>
      <c r="H2081" s="47">
        <v>104.7</v>
      </c>
      <c r="I2081" s="47" t="s">
        <v>75</v>
      </c>
    </row>
    <row r="2082" ht="15.75" customHeight="1">
      <c r="A2082" s="47" t="s">
        <v>4398</v>
      </c>
      <c r="B2082" s="47" t="s">
        <v>4399</v>
      </c>
      <c r="C2082" s="47" t="s">
        <v>7757</v>
      </c>
      <c r="D2082" s="47" t="s">
        <v>195</v>
      </c>
      <c r="E2082" s="47" t="s">
        <v>509</v>
      </c>
      <c r="F2082" s="47">
        <v>701.0</v>
      </c>
      <c r="G2082" s="47">
        <v>6.33</v>
      </c>
      <c r="H2082" s="47">
        <v>110.7</v>
      </c>
      <c r="I2082" s="47" t="s">
        <v>62</v>
      </c>
    </row>
    <row r="2083" ht="15.75" customHeight="1">
      <c r="A2083" s="47" t="s">
        <v>4400</v>
      </c>
      <c r="B2083" s="47" t="s">
        <v>4401</v>
      </c>
      <c r="C2083" s="47" t="s">
        <v>7757</v>
      </c>
      <c r="D2083" s="47" t="s">
        <v>211</v>
      </c>
      <c r="E2083" s="47" t="s">
        <v>544</v>
      </c>
      <c r="F2083" s="47">
        <v>159.0</v>
      </c>
      <c r="G2083" s="47">
        <v>4.66</v>
      </c>
      <c r="H2083" s="47">
        <v>34.1</v>
      </c>
      <c r="I2083" s="47" t="s">
        <v>75</v>
      </c>
    </row>
    <row r="2084" ht="15.75" customHeight="1">
      <c r="A2084" s="47" t="s">
        <v>4402</v>
      </c>
      <c r="B2084" s="47" t="s">
        <v>4403</v>
      </c>
      <c r="C2084" s="47" t="s">
        <v>7757</v>
      </c>
      <c r="D2084" s="47" t="s">
        <v>190</v>
      </c>
      <c r="E2084" s="47" t="s">
        <v>501</v>
      </c>
      <c r="F2084" s="47">
        <v>401.0</v>
      </c>
      <c r="G2084" s="47">
        <v>8.14</v>
      </c>
      <c r="H2084" s="47">
        <v>49.3</v>
      </c>
      <c r="I2084" s="47" t="s">
        <v>75</v>
      </c>
    </row>
    <row r="2085" ht="15.75" customHeight="1">
      <c r="A2085" s="47" t="s">
        <v>4404</v>
      </c>
      <c r="B2085" s="47" t="s">
        <v>4405</v>
      </c>
      <c r="C2085" s="47" t="s">
        <v>7757</v>
      </c>
      <c r="D2085" s="47" t="s">
        <v>195</v>
      </c>
      <c r="E2085" s="47" t="s">
        <v>509</v>
      </c>
      <c r="F2085" s="47">
        <v>998.0</v>
      </c>
      <c r="G2085" s="47">
        <v>3.17</v>
      </c>
      <c r="H2085" s="47">
        <v>314.8</v>
      </c>
      <c r="I2085" s="47" t="s">
        <v>62</v>
      </c>
    </row>
    <row r="2086" ht="15.75" customHeight="1">
      <c r="A2086" s="47" t="s">
        <v>4406</v>
      </c>
      <c r="B2086" s="47" t="s">
        <v>4407</v>
      </c>
      <c r="C2086" s="47" t="s">
        <v>7757</v>
      </c>
      <c r="D2086" s="47" t="s">
        <v>190</v>
      </c>
      <c r="E2086" s="47" t="s">
        <v>501</v>
      </c>
      <c r="F2086" s="47">
        <v>495.0</v>
      </c>
      <c r="G2086" s="47">
        <v>9.84</v>
      </c>
      <c r="H2086" s="47">
        <v>50.3</v>
      </c>
      <c r="I2086" s="47" t="s">
        <v>75</v>
      </c>
    </row>
    <row r="2087" ht="15.75" customHeight="1">
      <c r="A2087" s="47" t="s">
        <v>4408</v>
      </c>
      <c r="B2087" s="47" t="s">
        <v>4409</v>
      </c>
      <c r="C2087" s="47" t="s">
        <v>7757</v>
      </c>
      <c r="D2087" s="47" t="s">
        <v>131</v>
      </c>
      <c r="E2087" s="47" t="s">
        <v>341</v>
      </c>
      <c r="F2087" s="47">
        <v>227.0</v>
      </c>
      <c r="G2087" s="47">
        <v>6.17</v>
      </c>
      <c r="H2087" s="47">
        <v>36.8</v>
      </c>
      <c r="I2087" s="47" t="s">
        <v>75</v>
      </c>
    </row>
    <row r="2088" ht="15.75" customHeight="1">
      <c r="A2088" s="47" t="s">
        <v>4410</v>
      </c>
      <c r="B2088" s="47" t="s">
        <v>4411</v>
      </c>
      <c r="C2088" s="47" t="s">
        <v>7757</v>
      </c>
      <c r="D2088" s="47" t="s">
        <v>155</v>
      </c>
      <c r="E2088" s="47" t="s">
        <v>420</v>
      </c>
      <c r="F2088" s="47">
        <v>447.0</v>
      </c>
      <c r="G2088" s="47">
        <v>10.93</v>
      </c>
      <c r="H2088" s="47">
        <v>40.9</v>
      </c>
      <c r="I2088" s="47" t="s">
        <v>75</v>
      </c>
    </row>
    <row r="2089" ht="15.75" customHeight="1">
      <c r="A2089" s="47" t="s">
        <v>4412</v>
      </c>
      <c r="B2089" s="47" t="s">
        <v>4413</v>
      </c>
      <c r="C2089" s="47" t="s">
        <v>7757</v>
      </c>
      <c r="D2089" s="47" t="s">
        <v>124</v>
      </c>
      <c r="E2089" s="47" t="s">
        <v>333</v>
      </c>
      <c r="F2089" s="47">
        <v>2758.0</v>
      </c>
      <c r="G2089" s="47">
        <v>8.51</v>
      </c>
      <c r="H2089" s="47">
        <v>324.1</v>
      </c>
      <c r="I2089" s="47" t="s">
        <v>142</v>
      </c>
    </row>
    <row r="2090" ht="15.75" customHeight="1">
      <c r="A2090" s="47" t="s">
        <v>4414</v>
      </c>
      <c r="B2090" s="47" t="s">
        <v>4415</v>
      </c>
      <c r="C2090" s="47" t="s">
        <v>7757</v>
      </c>
      <c r="D2090" s="47" t="s">
        <v>195</v>
      </c>
      <c r="E2090" s="47" t="s">
        <v>509</v>
      </c>
      <c r="F2090" s="47">
        <v>1130.0</v>
      </c>
      <c r="G2090" s="47">
        <v>13.26</v>
      </c>
      <c r="H2090" s="47">
        <v>85.2</v>
      </c>
      <c r="I2090" s="47" t="s">
        <v>62</v>
      </c>
    </row>
    <row r="2091" ht="15.75" customHeight="1">
      <c r="A2091" s="47" t="s">
        <v>4416</v>
      </c>
      <c r="B2091" s="47" t="s">
        <v>4417</v>
      </c>
      <c r="C2091" s="47" t="s">
        <v>7757</v>
      </c>
      <c r="D2091" s="47" t="s">
        <v>124</v>
      </c>
      <c r="E2091" s="47" t="s">
        <v>333</v>
      </c>
      <c r="F2091" s="47">
        <v>3898.0</v>
      </c>
      <c r="G2091" s="47">
        <v>15.16</v>
      </c>
      <c r="H2091" s="47">
        <v>257.1</v>
      </c>
      <c r="I2091" s="47" t="s">
        <v>142</v>
      </c>
    </row>
    <row r="2092" ht="15.75" customHeight="1">
      <c r="A2092" s="47" t="s">
        <v>4418</v>
      </c>
      <c r="B2092" s="47" t="s">
        <v>4419</v>
      </c>
      <c r="C2092" s="47" t="s">
        <v>7757</v>
      </c>
      <c r="D2092" s="47" t="s">
        <v>131</v>
      </c>
      <c r="E2092" s="47" t="s">
        <v>341</v>
      </c>
      <c r="F2092" s="47">
        <v>721.0</v>
      </c>
      <c r="G2092" s="47">
        <v>12.57</v>
      </c>
      <c r="H2092" s="47">
        <v>57.4</v>
      </c>
      <c r="I2092" s="47" t="s">
        <v>62</v>
      </c>
    </row>
    <row r="2093" ht="15.75" customHeight="1">
      <c r="A2093" s="47" t="s">
        <v>4420</v>
      </c>
      <c r="B2093" s="47" t="s">
        <v>4421</v>
      </c>
      <c r="C2093" s="47" t="s">
        <v>7757</v>
      </c>
      <c r="D2093" s="47" t="s">
        <v>188</v>
      </c>
      <c r="E2093" s="47" t="s">
        <v>491</v>
      </c>
      <c r="F2093" s="47">
        <v>483.0</v>
      </c>
      <c r="G2093" s="47">
        <v>3.33</v>
      </c>
      <c r="H2093" s="47">
        <v>145.0</v>
      </c>
      <c r="I2093" s="47" t="s">
        <v>75</v>
      </c>
    </row>
    <row r="2094" ht="15.75" customHeight="1">
      <c r="A2094" s="47" t="s">
        <v>4422</v>
      </c>
      <c r="B2094" s="47" t="s">
        <v>4423</v>
      </c>
      <c r="C2094" s="47" t="s">
        <v>7757</v>
      </c>
      <c r="D2094" s="47" t="s">
        <v>175</v>
      </c>
      <c r="E2094" s="47" t="s">
        <v>463</v>
      </c>
      <c r="F2094" s="47">
        <v>4775.0</v>
      </c>
      <c r="G2094" s="47">
        <v>22.31</v>
      </c>
      <c r="H2094" s="47">
        <v>214.0</v>
      </c>
      <c r="I2094" s="47" t="s">
        <v>142</v>
      </c>
    </row>
    <row r="2095" ht="15.75" customHeight="1">
      <c r="A2095" s="47" t="s">
        <v>4424</v>
      </c>
      <c r="B2095" s="47" t="s">
        <v>1755</v>
      </c>
      <c r="C2095" s="47" t="s">
        <v>7757</v>
      </c>
      <c r="D2095" s="47" t="s">
        <v>195</v>
      </c>
      <c r="E2095" s="47" t="s">
        <v>509</v>
      </c>
      <c r="F2095" s="47">
        <v>349.0</v>
      </c>
      <c r="G2095" s="47">
        <v>14.75</v>
      </c>
      <c r="H2095" s="47">
        <v>23.7</v>
      </c>
      <c r="I2095" s="47" t="s">
        <v>75</v>
      </c>
    </row>
    <row r="2096" ht="15.75" customHeight="1">
      <c r="A2096" s="47" t="s">
        <v>4425</v>
      </c>
      <c r="B2096" s="47" t="s">
        <v>4426</v>
      </c>
      <c r="C2096" s="47" t="s">
        <v>7757</v>
      </c>
      <c r="D2096" s="47" t="s">
        <v>195</v>
      </c>
      <c r="E2096" s="47" t="s">
        <v>509</v>
      </c>
      <c r="F2096" s="47">
        <v>285.0</v>
      </c>
      <c r="G2096" s="47">
        <v>10.91</v>
      </c>
      <c r="H2096" s="47">
        <v>26.1</v>
      </c>
      <c r="I2096" s="47" t="s">
        <v>75</v>
      </c>
    </row>
    <row r="2097" ht="15.75" customHeight="1">
      <c r="A2097" s="47" t="s">
        <v>4427</v>
      </c>
      <c r="B2097" s="47" t="s">
        <v>4428</v>
      </c>
      <c r="C2097" s="47" t="s">
        <v>7757</v>
      </c>
      <c r="D2097" s="47" t="s">
        <v>155</v>
      </c>
      <c r="E2097" s="47" t="s">
        <v>420</v>
      </c>
      <c r="F2097" s="47">
        <v>211.0</v>
      </c>
      <c r="G2097" s="47">
        <v>4.0</v>
      </c>
      <c r="H2097" s="47">
        <v>52.8</v>
      </c>
      <c r="I2097" s="47" t="s">
        <v>75</v>
      </c>
    </row>
    <row r="2098" ht="15.75" customHeight="1">
      <c r="A2098" s="47" t="s">
        <v>4429</v>
      </c>
      <c r="B2098" s="47" t="s">
        <v>4430</v>
      </c>
      <c r="C2098" s="47" t="s">
        <v>7757</v>
      </c>
      <c r="D2098" s="47" t="s">
        <v>124</v>
      </c>
      <c r="E2098" s="47" t="s">
        <v>333</v>
      </c>
      <c r="F2098" s="47">
        <v>593.0</v>
      </c>
      <c r="G2098" s="47">
        <v>17.79</v>
      </c>
      <c r="H2098" s="47">
        <v>33.3</v>
      </c>
      <c r="I2098" s="47" t="s">
        <v>62</v>
      </c>
    </row>
    <row r="2099" ht="15.75" customHeight="1">
      <c r="A2099" s="47" t="s">
        <v>4431</v>
      </c>
      <c r="B2099" s="47" t="s">
        <v>4432</v>
      </c>
      <c r="C2099" s="47" t="s">
        <v>7757</v>
      </c>
      <c r="D2099" s="47" t="s">
        <v>196</v>
      </c>
      <c r="E2099" s="47" t="s">
        <v>514</v>
      </c>
      <c r="F2099" s="47">
        <v>417.0</v>
      </c>
      <c r="G2099" s="47">
        <v>4.31</v>
      </c>
      <c r="H2099" s="47">
        <v>96.8</v>
      </c>
      <c r="I2099" s="47" t="s">
        <v>75</v>
      </c>
    </row>
    <row r="2100" ht="15.75" customHeight="1">
      <c r="A2100" s="47" t="s">
        <v>4433</v>
      </c>
      <c r="B2100" s="47" t="s">
        <v>4434</v>
      </c>
      <c r="C2100" s="47" t="s">
        <v>7757</v>
      </c>
      <c r="D2100" s="47" t="s">
        <v>200</v>
      </c>
      <c r="E2100" s="47" t="s">
        <v>494</v>
      </c>
      <c r="F2100" s="47">
        <v>741.0</v>
      </c>
      <c r="G2100" s="47">
        <v>6.03</v>
      </c>
      <c r="H2100" s="47">
        <v>122.9</v>
      </c>
      <c r="I2100" s="47" t="s">
        <v>62</v>
      </c>
    </row>
    <row r="2101" ht="15.75" customHeight="1">
      <c r="A2101" s="47" t="s">
        <v>4435</v>
      </c>
      <c r="B2101" s="47" t="s">
        <v>4436</v>
      </c>
      <c r="C2101" s="47" t="s">
        <v>7757</v>
      </c>
      <c r="D2101" s="47" t="s">
        <v>190</v>
      </c>
      <c r="E2101" s="47" t="s">
        <v>501</v>
      </c>
      <c r="F2101" s="47">
        <v>247.0</v>
      </c>
      <c r="G2101" s="47">
        <v>6.6</v>
      </c>
      <c r="H2101" s="47">
        <v>37.4</v>
      </c>
      <c r="I2101" s="47" t="s">
        <v>75</v>
      </c>
    </row>
    <row r="2102" ht="15.75" customHeight="1">
      <c r="A2102" s="47" t="s">
        <v>4437</v>
      </c>
      <c r="B2102" s="47" t="s">
        <v>4438</v>
      </c>
      <c r="C2102" s="47" t="s">
        <v>7757</v>
      </c>
      <c r="D2102" s="47" t="s">
        <v>176</v>
      </c>
      <c r="E2102" s="47" t="s">
        <v>470</v>
      </c>
      <c r="F2102" s="47">
        <v>1196.0</v>
      </c>
      <c r="G2102" s="47">
        <v>4.48</v>
      </c>
      <c r="H2102" s="47">
        <v>267.0</v>
      </c>
      <c r="I2102" s="47" t="s">
        <v>62</v>
      </c>
    </row>
    <row r="2103" ht="15.75" customHeight="1">
      <c r="A2103" s="47" t="s">
        <v>4439</v>
      </c>
      <c r="B2103" s="47" t="s">
        <v>4440</v>
      </c>
      <c r="C2103" s="47" t="s">
        <v>7757</v>
      </c>
      <c r="D2103" s="47" t="s">
        <v>195</v>
      </c>
      <c r="E2103" s="47" t="s">
        <v>509</v>
      </c>
      <c r="F2103" s="47">
        <v>140.0</v>
      </c>
      <c r="G2103" s="47">
        <v>4.35</v>
      </c>
      <c r="H2103" s="47">
        <v>32.2</v>
      </c>
      <c r="I2103" s="47" t="s">
        <v>75</v>
      </c>
    </row>
    <row r="2104" ht="15.75" customHeight="1">
      <c r="A2104" s="47" t="s">
        <v>4441</v>
      </c>
      <c r="B2104" s="47" t="s">
        <v>4442</v>
      </c>
      <c r="C2104" s="47" t="s">
        <v>7757</v>
      </c>
      <c r="D2104" s="47" t="s">
        <v>175</v>
      </c>
      <c r="E2104" s="47" t="s">
        <v>463</v>
      </c>
      <c r="F2104" s="47">
        <v>724.0</v>
      </c>
      <c r="G2104" s="47">
        <v>8.26</v>
      </c>
      <c r="H2104" s="47">
        <v>87.7</v>
      </c>
      <c r="I2104" s="47" t="s">
        <v>62</v>
      </c>
    </row>
    <row r="2105" ht="15.75" customHeight="1">
      <c r="A2105" s="47" t="s">
        <v>4443</v>
      </c>
      <c r="B2105" s="47" t="s">
        <v>4444</v>
      </c>
      <c r="C2105" s="47" t="s">
        <v>7757</v>
      </c>
      <c r="D2105" s="47" t="s">
        <v>190</v>
      </c>
      <c r="E2105" s="47" t="s">
        <v>501</v>
      </c>
      <c r="F2105" s="47">
        <v>474.0</v>
      </c>
      <c r="G2105" s="47">
        <v>9.96</v>
      </c>
      <c r="H2105" s="47">
        <v>47.6</v>
      </c>
      <c r="I2105" s="47" t="s">
        <v>75</v>
      </c>
    </row>
    <row r="2106" ht="15.75" customHeight="1">
      <c r="A2106" s="47" t="s">
        <v>4445</v>
      </c>
      <c r="B2106" s="47" t="s">
        <v>4446</v>
      </c>
      <c r="C2106" s="47" t="s">
        <v>7757</v>
      </c>
      <c r="D2106" s="47" t="s">
        <v>228</v>
      </c>
      <c r="E2106" s="47" t="s">
        <v>396</v>
      </c>
      <c r="F2106" s="47">
        <v>726.0</v>
      </c>
      <c r="G2106" s="47">
        <v>14.57</v>
      </c>
      <c r="H2106" s="47">
        <v>49.8</v>
      </c>
      <c r="I2106" s="47" t="s">
        <v>62</v>
      </c>
    </row>
    <row r="2107" ht="15.75" customHeight="1">
      <c r="A2107" s="47" t="s">
        <v>4447</v>
      </c>
      <c r="B2107" s="47" t="s">
        <v>4448</v>
      </c>
      <c r="C2107" s="47" t="s">
        <v>7757</v>
      </c>
      <c r="D2107" s="47" t="s">
        <v>195</v>
      </c>
      <c r="E2107" s="47" t="s">
        <v>509</v>
      </c>
      <c r="F2107" s="47">
        <v>386.0</v>
      </c>
      <c r="G2107" s="47">
        <v>9.64</v>
      </c>
      <c r="H2107" s="47">
        <v>40.0</v>
      </c>
      <c r="I2107" s="47" t="s">
        <v>75</v>
      </c>
    </row>
    <row r="2108" ht="15.75" customHeight="1">
      <c r="A2108" s="47" t="s">
        <v>4449</v>
      </c>
      <c r="B2108" s="47" t="s">
        <v>4450</v>
      </c>
      <c r="C2108" s="47" t="s">
        <v>7757</v>
      </c>
      <c r="D2108" s="47" t="s">
        <v>115</v>
      </c>
      <c r="E2108" s="47" t="s">
        <v>129</v>
      </c>
      <c r="F2108" s="47">
        <v>6480.0</v>
      </c>
      <c r="G2108" s="47">
        <v>4.96</v>
      </c>
      <c r="H2108" s="47">
        <v>1306.5</v>
      </c>
      <c r="I2108" s="47" t="s">
        <v>142</v>
      </c>
    </row>
    <row r="2109" ht="15.75" customHeight="1">
      <c r="A2109" s="47" t="s">
        <v>4451</v>
      </c>
      <c r="B2109" s="47" t="s">
        <v>4452</v>
      </c>
      <c r="C2109" s="47" t="s">
        <v>7757</v>
      </c>
      <c r="D2109" s="47" t="s">
        <v>231</v>
      </c>
      <c r="E2109" s="47" t="s">
        <v>406</v>
      </c>
      <c r="F2109" s="47">
        <v>951.0</v>
      </c>
      <c r="G2109" s="47">
        <v>7.34</v>
      </c>
      <c r="H2109" s="47">
        <v>129.6</v>
      </c>
      <c r="I2109" s="47" t="s">
        <v>62</v>
      </c>
    </row>
    <row r="2110" ht="15.75" customHeight="1">
      <c r="A2110" s="47" t="s">
        <v>4453</v>
      </c>
      <c r="B2110" s="47" t="s">
        <v>4454</v>
      </c>
      <c r="C2110" s="47" t="s">
        <v>7757</v>
      </c>
      <c r="D2110" s="47" t="s">
        <v>231</v>
      </c>
      <c r="E2110" s="47" t="s">
        <v>406</v>
      </c>
      <c r="F2110" s="47">
        <v>2284.0</v>
      </c>
      <c r="G2110" s="47">
        <v>4.6</v>
      </c>
      <c r="H2110" s="47">
        <v>496.5</v>
      </c>
      <c r="I2110" s="47" t="s">
        <v>142</v>
      </c>
    </row>
    <row r="2111" ht="15.75" customHeight="1">
      <c r="A2111" s="47" t="s">
        <v>4455</v>
      </c>
      <c r="B2111" s="47" t="s">
        <v>4456</v>
      </c>
      <c r="C2111" s="47" t="s">
        <v>7757</v>
      </c>
      <c r="D2111" s="47" t="s">
        <v>190</v>
      </c>
      <c r="E2111" s="47" t="s">
        <v>501</v>
      </c>
      <c r="F2111" s="47">
        <v>370.0</v>
      </c>
      <c r="G2111" s="47">
        <v>8.77</v>
      </c>
      <c r="H2111" s="47">
        <v>42.2</v>
      </c>
      <c r="I2111" s="47" t="s">
        <v>75</v>
      </c>
    </row>
    <row r="2112" ht="15.75" customHeight="1">
      <c r="A2112" s="47" t="s">
        <v>4457</v>
      </c>
      <c r="B2112" s="47" t="s">
        <v>4458</v>
      </c>
      <c r="C2112" s="47" t="s">
        <v>7757</v>
      </c>
      <c r="D2112" s="47" t="s">
        <v>159</v>
      </c>
      <c r="E2112" s="47" t="s">
        <v>430</v>
      </c>
      <c r="F2112" s="47">
        <v>130.0</v>
      </c>
      <c r="G2112" s="47">
        <v>4.04</v>
      </c>
      <c r="H2112" s="47">
        <v>32.2</v>
      </c>
      <c r="I2112" s="47" t="s">
        <v>75</v>
      </c>
    </row>
    <row r="2113" ht="15.75" customHeight="1">
      <c r="A2113" s="47" t="s">
        <v>4459</v>
      </c>
      <c r="B2113" s="47" t="s">
        <v>4460</v>
      </c>
      <c r="C2113" s="47" t="s">
        <v>7757</v>
      </c>
      <c r="D2113" s="47" t="s">
        <v>196</v>
      </c>
      <c r="E2113" s="47" t="s">
        <v>514</v>
      </c>
      <c r="F2113" s="47">
        <v>1421.0</v>
      </c>
      <c r="G2113" s="47">
        <v>6.46</v>
      </c>
      <c r="H2113" s="47">
        <v>220.0</v>
      </c>
      <c r="I2113" s="47" t="s">
        <v>62</v>
      </c>
    </row>
    <row r="2114" ht="15.75" customHeight="1">
      <c r="A2114" s="47" t="s">
        <v>4461</v>
      </c>
      <c r="B2114" s="47" t="s">
        <v>4462</v>
      </c>
      <c r="C2114" s="47" t="s">
        <v>7757</v>
      </c>
      <c r="D2114" s="47" t="s">
        <v>159</v>
      </c>
      <c r="E2114" s="47" t="s">
        <v>430</v>
      </c>
      <c r="F2114" s="47">
        <v>123.0</v>
      </c>
      <c r="G2114" s="47">
        <v>6.61</v>
      </c>
      <c r="H2114" s="47">
        <v>18.6</v>
      </c>
      <c r="I2114" s="47" t="s">
        <v>75</v>
      </c>
    </row>
    <row r="2115" ht="15.75" customHeight="1">
      <c r="A2115" s="47" t="s">
        <v>4463</v>
      </c>
      <c r="B2115" s="47" t="s">
        <v>4464</v>
      </c>
      <c r="C2115" s="47" t="s">
        <v>7757</v>
      </c>
      <c r="D2115" s="47" t="s">
        <v>155</v>
      </c>
      <c r="E2115" s="47" t="s">
        <v>420</v>
      </c>
      <c r="F2115" s="47">
        <v>162.0</v>
      </c>
      <c r="G2115" s="47">
        <v>5.2</v>
      </c>
      <c r="H2115" s="47">
        <v>31.2</v>
      </c>
      <c r="I2115" s="47" t="s">
        <v>75</v>
      </c>
    </row>
    <row r="2116" ht="15.75" customHeight="1">
      <c r="A2116" s="47" t="s">
        <v>4465</v>
      </c>
      <c r="B2116" s="47" t="s">
        <v>4466</v>
      </c>
      <c r="C2116" s="47" t="s">
        <v>7757</v>
      </c>
      <c r="D2116" s="47" t="s">
        <v>200</v>
      </c>
      <c r="E2116" s="47" t="s">
        <v>494</v>
      </c>
      <c r="F2116" s="47">
        <v>379.0</v>
      </c>
      <c r="G2116" s="47">
        <v>6.95</v>
      </c>
      <c r="H2116" s="47">
        <v>54.5</v>
      </c>
      <c r="I2116" s="47" t="s">
        <v>75</v>
      </c>
    </row>
    <row r="2117" ht="15.75" customHeight="1">
      <c r="A2117" s="47" t="s">
        <v>4467</v>
      </c>
      <c r="B2117" s="47" t="s">
        <v>4468</v>
      </c>
      <c r="C2117" s="47" t="s">
        <v>7757</v>
      </c>
      <c r="D2117" s="47" t="s">
        <v>176</v>
      </c>
      <c r="E2117" s="47" t="s">
        <v>470</v>
      </c>
      <c r="F2117" s="47">
        <v>542.0</v>
      </c>
      <c r="G2117" s="47">
        <v>13.19</v>
      </c>
      <c r="H2117" s="47">
        <v>41.1</v>
      </c>
      <c r="I2117" s="47" t="s">
        <v>62</v>
      </c>
    </row>
    <row r="2118" ht="15.75" customHeight="1">
      <c r="A2118" s="47" t="s">
        <v>4469</v>
      </c>
      <c r="B2118" s="47" t="s">
        <v>4470</v>
      </c>
      <c r="C2118" s="47" t="s">
        <v>7757</v>
      </c>
      <c r="D2118" s="47" t="s">
        <v>151</v>
      </c>
      <c r="E2118" s="47" t="s">
        <v>414</v>
      </c>
      <c r="F2118" s="47">
        <v>1380.0</v>
      </c>
      <c r="G2118" s="47">
        <v>7.88</v>
      </c>
      <c r="H2118" s="47">
        <v>175.1</v>
      </c>
      <c r="I2118" s="47" t="s">
        <v>62</v>
      </c>
    </row>
    <row r="2119" ht="15.75" customHeight="1">
      <c r="A2119" s="47" t="s">
        <v>4471</v>
      </c>
      <c r="B2119" s="47" t="s">
        <v>4472</v>
      </c>
      <c r="C2119" s="47" t="s">
        <v>7757</v>
      </c>
      <c r="D2119" s="47" t="s">
        <v>159</v>
      </c>
      <c r="E2119" s="47" t="s">
        <v>430</v>
      </c>
      <c r="F2119" s="47">
        <v>33.0</v>
      </c>
      <c r="G2119" s="47">
        <v>4.39</v>
      </c>
      <c r="H2119" s="47">
        <v>7.5</v>
      </c>
      <c r="I2119" s="47" t="s">
        <v>75</v>
      </c>
    </row>
    <row r="2120" ht="15.75" customHeight="1">
      <c r="A2120" s="47" t="s">
        <v>4473</v>
      </c>
      <c r="B2120" s="47" t="s">
        <v>4474</v>
      </c>
      <c r="C2120" s="47" t="s">
        <v>7757</v>
      </c>
      <c r="D2120" s="47" t="s">
        <v>203</v>
      </c>
      <c r="E2120" s="47" t="s">
        <v>524</v>
      </c>
      <c r="F2120" s="47">
        <v>283.0</v>
      </c>
      <c r="G2120" s="47">
        <v>6.66</v>
      </c>
      <c r="H2120" s="47">
        <v>42.5</v>
      </c>
      <c r="I2120" s="47" t="s">
        <v>75</v>
      </c>
    </row>
    <row r="2121" ht="15.75" customHeight="1">
      <c r="A2121" s="47" t="s">
        <v>4475</v>
      </c>
      <c r="B2121" s="47" t="s">
        <v>4476</v>
      </c>
      <c r="C2121" s="47" t="s">
        <v>7757</v>
      </c>
      <c r="D2121" s="47" t="s">
        <v>159</v>
      </c>
      <c r="E2121" s="47" t="s">
        <v>430</v>
      </c>
      <c r="F2121" s="47">
        <v>158.0</v>
      </c>
      <c r="G2121" s="47">
        <v>4.59</v>
      </c>
      <c r="H2121" s="47">
        <v>34.4</v>
      </c>
      <c r="I2121" s="47" t="s">
        <v>75</v>
      </c>
    </row>
    <row r="2122" ht="15.75" customHeight="1">
      <c r="A2122" s="47" t="s">
        <v>4477</v>
      </c>
      <c r="B2122" s="47" t="s">
        <v>4478</v>
      </c>
      <c r="C2122" s="47" t="s">
        <v>7757</v>
      </c>
      <c r="D2122" s="47" t="s">
        <v>131</v>
      </c>
      <c r="E2122" s="47" t="s">
        <v>341</v>
      </c>
      <c r="F2122" s="47">
        <v>1218.0</v>
      </c>
      <c r="G2122" s="47">
        <v>11.49</v>
      </c>
      <c r="H2122" s="47">
        <v>106.0</v>
      </c>
      <c r="I2122" s="47" t="s">
        <v>62</v>
      </c>
    </row>
    <row r="2123" ht="15.75" customHeight="1">
      <c r="A2123" s="47" t="s">
        <v>4479</v>
      </c>
      <c r="B2123" s="47" t="s">
        <v>4480</v>
      </c>
      <c r="C2123" s="47" t="s">
        <v>7757</v>
      </c>
      <c r="D2123" s="47" t="s">
        <v>203</v>
      </c>
      <c r="E2123" s="47" t="s">
        <v>524</v>
      </c>
      <c r="F2123" s="47">
        <v>1341.0</v>
      </c>
      <c r="G2123" s="47">
        <v>9.9</v>
      </c>
      <c r="H2123" s="47">
        <v>135.5</v>
      </c>
      <c r="I2123" s="47" t="s">
        <v>62</v>
      </c>
    </row>
    <row r="2124" ht="15.75" customHeight="1">
      <c r="A2124" s="47" t="s">
        <v>4481</v>
      </c>
      <c r="B2124" s="47" t="s">
        <v>4482</v>
      </c>
      <c r="C2124" s="47" t="s">
        <v>7757</v>
      </c>
      <c r="D2124" s="47" t="s">
        <v>203</v>
      </c>
      <c r="E2124" s="47" t="s">
        <v>524</v>
      </c>
      <c r="F2124" s="47">
        <v>233.0</v>
      </c>
      <c r="G2124" s="47">
        <v>13.44</v>
      </c>
      <c r="H2124" s="47">
        <v>17.3</v>
      </c>
      <c r="I2124" s="47" t="s">
        <v>75</v>
      </c>
    </row>
    <row r="2125" ht="15.75" customHeight="1">
      <c r="A2125" s="47" t="s">
        <v>4483</v>
      </c>
      <c r="B2125" s="47" t="s">
        <v>4484</v>
      </c>
      <c r="C2125" s="47" t="s">
        <v>7757</v>
      </c>
      <c r="D2125" s="47" t="s">
        <v>131</v>
      </c>
      <c r="E2125" s="47" t="s">
        <v>341</v>
      </c>
      <c r="F2125" s="47">
        <v>921.0</v>
      </c>
      <c r="G2125" s="47">
        <v>5.69</v>
      </c>
      <c r="H2125" s="47">
        <v>161.9</v>
      </c>
      <c r="I2125" s="47" t="s">
        <v>62</v>
      </c>
    </row>
    <row r="2126" ht="15.75" customHeight="1">
      <c r="A2126" s="47" t="s">
        <v>4485</v>
      </c>
      <c r="B2126" s="47" t="s">
        <v>4486</v>
      </c>
      <c r="C2126" s="47" t="s">
        <v>7758</v>
      </c>
      <c r="D2126" s="47" t="s">
        <v>127</v>
      </c>
      <c r="E2126" s="47" t="s">
        <v>323</v>
      </c>
      <c r="F2126" s="47">
        <v>1994.0</v>
      </c>
      <c r="G2126" s="47">
        <v>9.95</v>
      </c>
      <c r="H2126" s="47">
        <v>200.4</v>
      </c>
      <c r="I2126" s="47" t="s">
        <v>62</v>
      </c>
    </row>
    <row r="2127" ht="15.75" customHeight="1">
      <c r="A2127" s="47" t="s">
        <v>4487</v>
      </c>
      <c r="B2127" s="47" t="s">
        <v>4488</v>
      </c>
      <c r="C2127" s="47" t="s">
        <v>7758</v>
      </c>
      <c r="D2127" s="47" t="s">
        <v>204</v>
      </c>
      <c r="E2127" s="47" t="s">
        <v>527</v>
      </c>
      <c r="F2127" s="47">
        <v>208.0</v>
      </c>
      <c r="G2127" s="47">
        <v>4.28</v>
      </c>
      <c r="H2127" s="47">
        <v>48.6</v>
      </c>
      <c r="I2127" s="47" t="s">
        <v>75</v>
      </c>
    </row>
    <row r="2128" ht="15.75" customHeight="1">
      <c r="A2128" s="47" t="s">
        <v>4489</v>
      </c>
      <c r="B2128" s="47" t="s">
        <v>4490</v>
      </c>
      <c r="C2128" s="47" t="s">
        <v>7758</v>
      </c>
      <c r="D2128" s="47" t="s">
        <v>127</v>
      </c>
      <c r="E2128" s="47" t="s">
        <v>323</v>
      </c>
      <c r="F2128" s="47">
        <v>576.0</v>
      </c>
      <c r="G2128" s="47">
        <v>3.07</v>
      </c>
      <c r="H2128" s="47">
        <v>187.6</v>
      </c>
      <c r="I2128" s="47" t="s">
        <v>62</v>
      </c>
    </row>
    <row r="2129" ht="15.75" customHeight="1">
      <c r="A2129" s="47" t="s">
        <v>4491</v>
      </c>
      <c r="B2129" s="47" t="s">
        <v>4492</v>
      </c>
      <c r="C2129" s="47" t="s">
        <v>7758</v>
      </c>
      <c r="D2129" s="47" t="s">
        <v>234</v>
      </c>
      <c r="E2129" s="47" t="s">
        <v>552</v>
      </c>
      <c r="F2129" s="47">
        <v>7873.0</v>
      </c>
      <c r="G2129" s="47">
        <v>5.82</v>
      </c>
      <c r="H2129" s="47">
        <v>1352.7</v>
      </c>
      <c r="I2129" s="47" t="s">
        <v>142</v>
      </c>
    </row>
    <row r="2130" ht="15.75" customHeight="1">
      <c r="A2130" s="47" t="s">
        <v>4493</v>
      </c>
      <c r="B2130" s="47" t="s">
        <v>4494</v>
      </c>
      <c r="C2130" s="47" t="s">
        <v>7758</v>
      </c>
      <c r="D2130" s="47" t="s">
        <v>204</v>
      </c>
      <c r="E2130" s="47" t="s">
        <v>527</v>
      </c>
      <c r="F2130" s="47">
        <v>974.0</v>
      </c>
      <c r="G2130" s="47">
        <v>5.08</v>
      </c>
      <c r="H2130" s="47">
        <v>191.7</v>
      </c>
      <c r="I2130" s="47" t="s">
        <v>62</v>
      </c>
    </row>
    <row r="2131" ht="15.75" customHeight="1">
      <c r="A2131" s="47" t="s">
        <v>4495</v>
      </c>
      <c r="B2131" s="47" t="s">
        <v>4496</v>
      </c>
      <c r="C2131" s="47" t="s">
        <v>7758</v>
      </c>
      <c r="D2131" s="47" t="s">
        <v>204</v>
      </c>
      <c r="E2131" s="47" t="s">
        <v>527</v>
      </c>
      <c r="F2131" s="47">
        <v>320.0</v>
      </c>
      <c r="G2131" s="47">
        <v>7.29</v>
      </c>
      <c r="H2131" s="47">
        <v>43.9</v>
      </c>
      <c r="I2131" s="47" t="s">
        <v>75</v>
      </c>
    </row>
    <row r="2132" ht="15.75" customHeight="1">
      <c r="A2132" s="47" t="s">
        <v>4497</v>
      </c>
      <c r="B2132" s="47" t="s">
        <v>4498</v>
      </c>
      <c r="C2132" s="47" t="s">
        <v>7758</v>
      </c>
      <c r="D2132" s="47" t="s">
        <v>234</v>
      </c>
      <c r="E2132" s="47" t="s">
        <v>552</v>
      </c>
      <c r="F2132" s="47">
        <v>783.0</v>
      </c>
      <c r="G2132" s="47">
        <v>4.87</v>
      </c>
      <c r="H2132" s="47">
        <v>160.8</v>
      </c>
      <c r="I2132" s="47" t="s">
        <v>62</v>
      </c>
    </row>
    <row r="2133" ht="15.75" customHeight="1">
      <c r="A2133" s="47" t="s">
        <v>4499</v>
      </c>
      <c r="B2133" s="47" t="s">
        <v>4500</v>
      </c>
      <c r="C2133" s="47" t="s">
        <v>7758</v>
      </c>
      <c r="D2133" s="47" t="s">
        <v>191</v>
      </c>
      <c r="E2133" s="47" t="s">
        <v>504</v>
      </c>
      <c r="F2133" s="47">
        <v>802.0</v>
      </c>
      <c r="G2133" s="47">
        <v>14.45</v>
      </c>
      <c r="H2133" s="47">
        <v>55.5</v>
      </c>
      <c r="I2133" s="47" t="s">
        <v>62</v>
      </c>
    </row>
    <row r="2134" ht="15.75" customHeight="1">
      <c r="A2134" s="47" t="s">
        <v>4501</v>
      </c>
      <c r="B2134" s="47" t="s">
        <v>4502</v>
      </c>
      <c r="C2134" s="47" t="s">
        <v>7758</v>
      </c>
      <c r="D2134" s="47" t="s">
        <v>169</v>
      </c>
      <c r="E2134" s="47" t="s">
        <v>449</v>
      </c>
      <c r="F2134" s="47">
        <v>287.0</v>
      </c>
      <c r="G2134" s="47">
        <v>6.27</v>
      </c>
      <c r="H2134" s="47">
        <v>45.8</v>
      </c>
      <c r="I2134" s="47" t="s">
        <v>75</v>
      </c>
    </row>
    <row r="2135" ht="15.75" customHeight="1">
      <c r="A2135" s="47" t="s">
        <v>4503</v>
      </c>
      <c r="B2135" s="47" t="s">
        <v>4504</v>
      </c>
      <c r="C2135" s="47" t="s">
        <v>7758</v>
      </c>
      <c r="D2135" s="47" t="s">
        <v>191</v>
      </c>
      <c r="E2135" s="47" t="s">
        <v>504</v>
      </c>
      <c r="F2135" s="47">
        <v>254.0</v>
      </c>
      <c r="G2135" s="47">
        <v>2.97</v>
      </c>
      <c r="H2135" s="47">
        <v>85.5</v>
      </c>
      <c r="I2135" s="47" t="s">
        <v>75</v>
      </c>
    </row>
    <row r="2136" ht="15.75" customHeight="1">
      <c r="A2136" s="47" t="s">
        <v>4505</v>
      </c>
      <c r="B2136" s="47" t="s">
        <v>4506</v>
      </c>
      <c r="C2136" s="47" t="s">
        <v>7758</v>
      </c>
      <c r="D2136" s="47" t="s">
        <v>169</v>
      </c>
      <c r="E2136" s="47" t="s">
        <v>449</v>
      </c>
      <c r="F2136" s="47">
        <v>621.0</v>
      </c>
      <c r="G2136" s="47">
        <v>7.4</v>
      </c>
      <c r="H2136" s="47">
        <v>83.9</v>
      </c>
      <c r="I2136" s="47" t="s">
        <v>62</v>
      </c>
    </row>
    <row r="2137" ht="15.75" customHeight="1">
      <c r="A2137" s="47" t="s">
        <v>4507</v>
      </c>
      <c r="B2137" s="47" t="s">
        <v>4508</v>
      </c>
      <c r="C2137" s="47" t="s">
        <v>7758</v>
      </c>
      <c r="D2137" s="47" t="s">
        <v>169</v>
      </c>
      <c r="E2137" s="47" t="s">
        <v>449</v>
      </c>
      <c r="F2137" s="47">
        <v>255.0</v>
      </c>
      <c r="G2137" s="47">
        <v>3.27</v>
      </c>
      <c r="H2137" s="47">
        <v>78.0</v>
      </c>
      <c r="I2137" s="47" t="s">
        <v>75</v>
      </c>
    </row>
    <row r="2138" ht="15.75" customHeight="1">
      <c r="A2138" s="47" t="s">
        <v>4509</v>
      </c>
      <c r="B2138" s="47" t="s">
        <v>4510</v>
      </c>
      <c r="C2138" s="47" t="s">
        <v>7758</v>
      </c>
      <c r="D2138" s="47" t="s">
        <v>234</v>
      </c>
      <c r="E2138" s="47" t="s">
        <v>552</v>
      </c>
      <c r="F2138" s="47">
        <v>1871.0</v>
      </c>
      <c r="G2138" s="47">
        <v>6.11</v>
      </c>
      <c r="H2138" s="47">
        <v>306.2</v>
      </c>
      <c r="I2138" s="47" t="s">
        <v>62</v>
      </c>
    </row>
    <row r="2139" ht="15.75" customHeight="1">
      <c r="A2139" s="47" t="s">
        <v>4511</v>
      </c>
      <c r="B2139" s="47" t="s">
        <v>4512</v>
      </c>
      <c r="C2139" s="47" t="s">
        <v>7758</v>
      </c>
      <c r="D2139" s="47" t="s">
        <v>139</v>
      </c>
      <c r="E2139" s="47" t="s">
        <v>354</v>
      </c>
      <c r="F2139" s="47">
        <v>9598.0</v>
      </c>
      <c r="G2139" s="47">
        <v>33.2</v>
      </c>
      <c r="H2139" s="47">
        <v>289.1</v>
      </c>
      <c r="I2139" s="47" t="s">
        <v>142</v>
      </c>
    </row>
    <row r="2140" ht="15.75" customHeight="1">
      <c r="A2140" s="47" t="s">
        <v>4513</v>
      </c>
      <c r="B2140" s="47" t="s">
        <v>4514</v>
      </c>
      <c r="C2140" s="47" t="s">
        <v>7758</v>
      </c>
      <c r="D2140" s="47" t="s">
        <v>128</v>
      </c>
      <c r="E2140" s="47" t="s">
        <v>338</v>
      </c>
      <c r="F2140" s="47">
        <v>261.0</v>
      </c>
      <c r="G2140" s="47">
        <v>5.1</v>
      </c>
      <c r="H2140" s="47">
        <v>51.2</v>
      </c>
      <c r="I2140" s="47" t="s">
        <v>75</v>
      </c>
    </row>
    <row r="2141" ht="15.75" customHeight="1">
      <c r="A2141" s="47" t="s">
        <v>4515</v>
      </c>
      <c r="B2141" s="47" t="s">
        <v>4516</v>
      </c>
      <c r="C2141" s="47" t="s">
        <v>7758</v>
      </c>
      <c r="D2141" s="47" t="s">
        <v>128</v>
      </c>
      <c r="E2141" s="47" t="s">
        <v>338</v>
      </c>
      <c r="F2141" s="47">
        <v>185.0</v>
      </c>
      <c r="G2141" s="47">
        <v>5.89</v>
      </c>
      <c r="H2141" s="47">
        <v>31.4</v>
      </c>
      <c r="I2141" s="47" t="s">
        <v>75</v>
      </c>
    </row>
    <row r="2142" ht="15.75" customHeight="1">
      <c r="A2142" s="47" t="s">
        <v>4517</v>
      </c>
      <c r="B2142" s="47" t="s">
        <v>4518</v>
      </c>
      <c r="C2142" s="47" t="s">
        <v>7758</v>
      </c>
      <c r="D2142" s="47" t="s">
        <v>187</v>
      </c>
      <c r="E2142" s="47" t="s">
        <v>488</v>
      </c>
      <c r="F2142" s="47">
        <v>194.0</v>
      </c>
      <c r="G2142" s="47">
        <v>4.86</v>
      </c>
      <c r="H2142" s="47">
        <v>39.9</v>
      </c>
      <c r="I2142" s="47" t="s">
        <v>75</v>
      </c>
    </row>
    <row r="2143" ht="15.75" customHeight="1">
      <c r="A2143" s="47" t="s">
        <v>4519</v>
      </c>
      <c r="B2143" s="47" t="s">
        <v>4520</v>
      </c>
      <c r="C2143" s="47" t="s">
        <v>7758</v>
      </c>
      <c r="D2143" s="47" t="s">
        <v>167</v>
      </c>
      <c r="E2143" s="47" t="s">
        <v>447</v>
      </c>
      <c r="F2143" s="47">
        <v>264.0</v>
      </c>
      <c r="G2143" s="47">
        <v>10.24</v>
      </c>
      <c r="H2143" s="47">
        <v>25.8</v>
      </c>
      <c r="I2143" s="47" t="s">
        <v>75</v>
      </c>
    </row>
    <row r="2144" ht="15.75" customHeight="1">
      <c r="A2144" s="47" t="s">
        <v>4521</v>
      </c>
      <c r="B2144" s="47" t="s">
        <v>4522</v>
      </c>
      <c r="C2144" s="47" t="s">
        <v>7758</v>
      </c>
      <c r="D2144" s="47" t="s">
        <v>127</v>
      </c>
      <c r="E2144" s="47" t="s">
        <v>323</v>
      </c>
      <c r="F2144" s="47">
        <v>3902.0</v>
      </c>
      <c r="G2144" s="47">
        <v>10.44</v>
      </c>
      <c r="H2144" s="47">
        <v>373.8</v>
      </c>
      <c r="I2144" s="47" t="s">
        <v>142</v>
      </c>
    </row>
    <row r="2145" ht="15.75" customHeight="1">
      <c r="A2145" s="47" t="s">
        <v>4523</v>
      </c>
      <c r="B2145" s="47" t="s">
        <v>4524</v>
      </c>
      <c r="C2145" s="47" t="s">
        <v>7758</v>
      </c>
      <c r="D2145" s="47" t="s">
        <v>223</v>
      </c>
      <c r="E2145" s="47" t="s">
        <v>380</v>
      </c>
      <c r="F2145" s="47">
        <v>624.0</v>
      </c>
      <c r="G2145" s="47">
        <v>9.23</v>
      </c>
      <c r="H2145" s="47">
        <v>67.6</v>
      </c>
      <c r="I2145" s="47" t="s">
        <v>62</v>
      </c>
    </row>
    <row r="2146" ht="15.75" customHeight="1">
      <c r="A2146" s="47" t="s">
        <v>4525</v>
      </c>
      <c r="B2146" s="47" t="s">
        <v>4526</v>
      </c>
      <c r="C2146" s="47" t="s">
        <v>7758</v>
      </c>
      <c r="D2146" s="47" t="s">
        <v>187</v>
      </c>
      <c r="E2146" s="47" t="s">
        <v>488</v>
      </c>
      <c r="F2146" s="47">
        <v>365.0</v>
      </c>
      <c r="G2146" s="47">
        <v>13.97</v>
      </c>
      <c r="H2146" s="47">
        <v>26.1</v>
      </c>
      <c r="I2146" s="47" t="s">
        <v>75</v>
      </c>
    </row>
    <row r="2147" ht="15.75" customHeight="1">
      <c r="A2147" s="47" t="s">
        <v>4527</v>
      </c>
      <c r="B2147" s="47" t="s">
        <v>4528</v>
      </c>
      <c r="C2147" s="47" t="s">
        <v>7758</v>
      </c>
      <c r="D2147" s="47" t="s">
        <v>150</v>
      </c>
      <c r="E2147" s="47" t="s">
        <v>411</v>
      </c>
      <c r="F2147" s="47">
        <v>291.0</v>
      </c>
      <c r="G2147" s="47">
        <v>9.99</v>
      </c>
      <c r="H2147" s="47">
        <v>29.1</v>
      </c>
      <c r="I2147" s="47" t="s">
        <v>75</v>
      </c>
    </row>
    <row r="2148" ht="15.75" customHeight="1">
      <c r="A2148" s="47" t="s">
        <v>4529</v>
      </c>
      <c r="B2148" s="47" t="s">
        <v>4530</v>
      </c>
      <c r="C2148" s="47" t="s">
        <v>7758</v>
      </c>
      <c r="D2148" s="47" t="s">
        <v>118</v>
      </c>
      <c r="E2148" s="47" t="s">
        <v>300</v>
      </c>
      <c r="F2148" s="47">
        <v>2823.0</v>
      </c>
      <c r="G2148" s="47">
        <v>7.82</v>
      </c>
      <c r="H2148" s="47">
        <v>361.0</v>
      </c>
      <c r="I2148" s="47" t="s">
        <v>142</v>
      </c>
    </row>
    <row r="2149" ht="15.75" customHeight="1">
      <c r="A2149" s="47" t="s">
        <v>4531</v>
      </c>
      <c r="B2149" s="47" t="s">
        <v>4532</v>
      </c>
      <c r="C2149" s="47" t="s">
        <v>7758</v>
      </c>
      <c r="D2149" s="47" t="s">
        <v>191</v>
      </c>
      <c r="E2149" s="47" t="s">
        <v>504</v>
      </c>
      <c r="F2149" s="47">
        <v>973.0</v>
      </c>
      <c r="G2149" s="47">
        <v>10.54</v>
      </c>
      <c r="H2149" s="47">
        <v>92.3</v>
      </c>
      <c r="I2149" s="47" t="s">
        <v>62</v>
      </c>
    </row>
    <row r="2150" ht="15.75" customHeight="1">
      <c r="A2150" s="47" t="s">
        <v>4533</v>
      </c>
      <c r="B2150" s="47" t="s">
        <v>4534</v>
      </c>
      <c r="C2150" s="47" t="s">
        <v>7758</v>
      </c>
      <c r="D2150" s="47" t="s">
        <v>163</v>
      </c>
      <c r="E2150" s="47" t="s">
        <v>441</v>
      </c>
      <c r="F2150" s="47">
        <v>2033.0</v>
      </c>
      <c r="G2150" s="47">
        <v>5.64</v>
      </c>
      <c r="H2150" s="47">
        <v>360.5</v>
      </c>
      <c r="I2150" s="47" t="s">
        <v>142</v>
      </c>
    </row>
    <row r="2151" ht="15.75" customHeight="1">
      <c r="A2151" s="47" t="s">
        <v>4535</v>
      </c>
      <c r="B2151" s="47" t="s">
        <v>4536</v>
      </c>
      <c r="C2151" s="47" t="s">
        <v>7758</v>
      </c>
      <c r="D2151" s="47" t="s">
        <v>187</v>
      </c>
      <c r="E2151" s="47" t="s">
        <v>488</v>
      </c>
      <c r="F2151" s="47">
        <v>118.0</v>
      </c>
      <c r="G2151" s="47">
        <v>3.4</v>
      </c>
      <c r="H2151" s="47">
        <v>34.7</v>
      </c>
      <c r="I2151" s="47" t="s">
        <v>75</v>
      </c>
    </row>
    <row r="2152" ht="15.75" customHeight="1">
      <c r="A2152" s="47" t="s">
        <v>4537</v>
      </c>
      <c r="B2152" s="47" t="s">
        <v>4538</v>
      </c>
      <c r="C2152" s="47" t="s">
        <v>7758</v>
      </c>
      <c r="D2152" s="47" t="s">
        <v>169</v>
      </c>
      <c r="E2152" s="47" t="s">
        <v>449</v>
      </c>
      <c r="F2152" s="47">
        <v>211.0</v>
      </c>
      <c r="G2152" s="47">
        <v>4.57</v>
      </c>
      <c r="H2152" s="47">
        <v>46.2</v>
      </c>
      <c r="I2152" s="47" t="s">
        <v>75</v>
      </c>
    </row>
    <row r="2153" ht="15.75" customHeight="1">
      <c r="A2153" s="47" t="s">
        <v>4539</v>
      </c>
      <c r="B2153" s="47" t="s">
        <v>4540</v>
      </c>
      <c r="C2153" s="47" t="s">
        <v>7758</v>
      </c>
      <c r="D2153" s="47" t="s">
        <v>118</v>
      </c>
      <c r="E2153" s="47" t="s">
        <v>300</v>
      </c>
      <c r="F2153" s="47">
        <v>676.0</v>
      </c>
      <c r="G2153" s="47">
        <v>3.65</v>
      </c>
      <c r="H2153" s="47">
        <v>185.2</v>
      </c>
      <c r="I2153" s="47" t="s">
        <v>62</v>
      </c>
    </row>
    <row r="2154" ht="15.75" customHeight="1">
      <c r="A2154" s="47" t="s">
        <v>4541</v>
      </c>
      <c r="B2154" s="47" t="s">
        <v>4542</v>
      </c>
      <c r="C2154" s="47" t="s">
        <v>7758</v>
      </c>
      <c r="D2154" s="47" t="s">
        <v>118</v>
      </c>
      <c r="E2154" s="47" t="s">
        <v>300</v>
      </c>
      <c r="F2154" s="47">
        <v>469.0</v>
      </c>
      <c r="G2154" s="47">
        <v>6.87</v>
      </c>
      <c r="H2154" s="47">
        <v>68.3</v>
      </c>
      <c r="I2154" s="47" t="s">
        <v>75</v>
      </c>
    </row>
    <row r="2155" ht="15.75" customHeight="1">
      <c r="A2155" s="47" t="s">
        <v>4543</v>
      </c>
      <c r="B2155" s="47" t="s">
        <v>4544</v>
      </c>
      <c r="C2155" s="47" t="s">
        <v>7758</v>
      </c>
      <c r="D2155" s="47" t="s">
        <v>169</v>
      </c>
      <c r="E2155" s="47" t="s">
        <v>449</v>
      </c>
      <c r="F2155" s="47">
        <v>297.0</v>
      </c>
      <c r="G2155" s="47">
        <v>8.67</v>
      </c>
      <c r="H2155" s="47">
        <v>34.3</v>
      </c>
      <c r="I2155" s="47" t="s">
        <v>75</v>
      </c>
    </row>
    <row r="2156" ht="15.75" customHeight="1">
      <c r="A2156" s="47" t="s">
        <v>4545</v>
      </c>
      <c r="B2156" s="47" t="s">
        <v>4546</v>
      </c>
      <c r="C2156" s="47" t="s">
        <v>7758</v>
      </c>
      <c r="D2156" s="47" t="s">
        <v>223</v>
      </c>
      <c r="E2156" s="47" t="s">
        <v>380</v>
      </c>
      <c r="F2156" s="47">
        <v>1523.0</v>
      </c>
      <c r="G2156" s="47">
        <v>7.25</v>
      </c>
      <c r="H2156" s="47">
        <v>210.1</v>
      </c>
      <c r="I2156" s="47" t="s">
        <v>62</v>
      </c>
    </row>
    <row r="2157" ht="15.75" customHeight="1">
      <c r="A2157" s="47" t="s">
        <v>4547</v>
      </c>
      <c r="B2157" s="47" t="s">
        <v>4548</v>
      </c>
      <c r="C2157" s="47" t="s">
        <v>7758</v>
      </c>
      <c r="D2157" s="47" t="s">
        <v>127</v>
      </c>
      <c r="E2157" s="47" t="s">
        <v>323</v>
      </c>
      <c r="F2157" s="47">
        <v>4641.0</v>
      </c>
      <c r="G2157" s="47">
        <v>4.83</v>
      </c>
      <c r="H2157" s="47">
        <v>960.9</v>
      </c>
      <c r="I2157" s="47" t="s">
        <v>142</v>
      </c>
    </row>
    <row r="2158" ht="15.75" customHeight="1">
      <c r="A2158" s="47" t="s">
        <v>4549</v>
      </c>
      <c r="B2158" s="47" t="s">
        <v>4550</v>
      </c>
      <c r="C2158" s="47" t="s">
        <v>7758</v>
      </c>
      <c r="D2158" s="47" t="s">
        <v>127</v>
      </c>
      <c r="E2158" s="47" t="s">
        <v>323</v>
      </c>
      <c r="F2158" s="47">
        <v>4571.0</v>
      </c>
      <c r="G2158" s="47">
        <v>4.32</v>
      </c>
      <c r="H2158" s="47">
        <v>1058.1</v>
      </c>
      <c r="I2158" s="47" t="s">
        <v>142</v>
      </c>
    </row>
    <row r="2159" ht="15.75" customHeight="1">
      <c r="A2159" s="47" t="s">
        <v>4551</v>
      </c>
      <c r="B2159" s="47" t="s">
        <v>4552</v>
      </c>
      <c r="C2159" s="47" t="s">
        <v>7758</v>
      </c>
      <c r="D2159" s="47" t="s">
        <v>118</v>
      </c>
      <c r="E2159" s="47" t="s">
        <v>300</v>
      </c>
      <c r="F2159" s="47">
        <v>2133.0</v>
      </c>
      <c r="G2159" s="47">
        <v>3.97</v>
      </c>
      <c r="H2159" s="47">
        <v>537.3</v>
      </c>
      <c r="I2159" s="47" t="s">
        <v>142</v>
      </c>
    </row>
    <row r="2160" ht="15.75" customHeight="1">
      <c r="A2160" s="47" t="s">
        <v>4553</v>
      </c>
      <c r="B2160" s="47" t="s">
        <v>4554</v>
      </c>
      <c r="C2160" s="47" t="s">
        <v>7758</v>
      </c>
      <c r="D2160" s="47" t="s">
        <v>118</v>
      </c>
      <c r="E2160" s="47" t="s">
        <v>300</v>
      </c>
      <c r="F2160" s="47">
        <v>5825.0</v>
      </c>
      <c r="G2160" s="47">
        <v>6.04</v>
      </c>
      <c r="H2160" s="47">
        <v>964.4</v>
      </c>
      <c r="I2160" s="47" t="s">
        <v>142</v>
      </c>
    </row>
    <row r="2161" ht="15.75" customHeight="1">
      <c r="A2161" s="47" t="s">
        <v>4555</v>
      </c>
      <c r="B2161" s="47" t="s">
        <v>4556</v>
      </c>
      <c r="C2161" s="47" t="s">
        <v>7758</v>
      </c>
      <c r="D2161" s="47" t="s">
        <v>206</v>
      </c>
      <c r="E2161" s="47" t="s">
        <v>533</v>
      </c>
      <c r="F2161" s="47">
        <v>700.0</v>
      </c>
      <c r="G2161" s="47">
        <v>7.89</v>
      </c>
      <c r="H2161" s="47">
        <v>88.7</v>
      </c>
      <c r="I2161" s="47" t="s">
        <v>62</v>
      </c>
    </row>
    <row r="2162" ht="15.75" customHeight="1">
      <c r="A2162" s="47" t="s">
        <v>4557</v>
      </c>
      <c r="B2162" s="47" t="s">
        <v>4558</v>
      </c>
      <c r="C2162" s="47" t="s">
        <v>7758</v>
      </c>
      <c r="D2162" s="47" t="s">
        <v>234</v>
      </c>
      <c r="E2162" s="47" t="s">
        <v>552</v>
      </c>
      <c r="F2162" s="47">
        <v>2833.0</v>
      </c>
      <c r="G2162" s="47">
        <v>5.12</v>
      </c>
      <c r="H2162" s="47">
        <v>553.3</v>
      </c>
      <c r="I2162" s="47" t="s">
        <v>142</v>
      </c>
    </row>
    <row r="2163" ht="15.75" customHeight="1">
      <c r="A2163" s="47" t="s">
        <v>4559</v>
      </c>
      <c r="B2163" s="47" t="s">
        <v>4560</v>
      </c>
      <c r="C2163" s="47" t="s">
        <v>7758</v>
      </c>
      <c r="D2163" s="47" t="s">
        <v>223</v>
      </c>
      <c r="E2163" s="47" t="s">
        <v>380</v>
      </c>
      <c r="F2163" s="47">
        <v>4389.0</v>
      </c>
      <c r="G2163" s="47">
        <v>13.63</v>
      </c>
      <c r="H2163" s="47">
        <v>322.0</v>
      </c>
      <c r="I2163" s="47" t="s">
        <v>142</v>
      </c>
    </row>
    <row r="2164" ht="15.75" customHeight="1">
      <c r="A2164" s="47" t="s">
        <v>4561</v>
      </c>
      <c r="B2164" s="47" t="s">
        <v>4562</v>
      </c>
      <c r="C2164" s="47" t="s">
        <v>7758</v>
      </c>
      <c r="D2164" s="47" t="s">
        <v>219</v>
      </c>
      <c r="E2164" s="47" t="s">
        <v>377</v>
      </c>
      <c r="F2164" s="47">
        <v>960.0</v>
      </c>
      <c r="G2164" s="47">
        <v>6.29</v>
      </c>
      <c r="H2164" s="47">
        <v>152.6</v>
      </c>
      <c r="I2164" s="47" t="s">
        <v>62</v>
      </c>
    </row>
    <row r="2165" ht="15.75" customHeight="1">
      <c r="A2165" s="47" t="s">
        <v>4563</v>
      </c>
      <c r="B2165" s="47" t="s">
        <v>4564</v>
      </c>
      <c r="C2165" s="47" t="s">
        <v>7758</v>
      </c>
      <c r="D2165" s="47" t="s">
        <v>139</v>
      </c>
      <c r="E2165" s="47" t="s">
        <v>354</v>
      </c>
      <c r="F2165" s="47">
        <v>9431.0</v>
      </c>
      <c r="G2165" s="47">
        <v>22.37</v>
      </c>
      <c r="H2165" s="47">
        <v>421.6</v>
      </c>
      <c r="I2165" s="47" t="s">
        <v>142</v>
      </c>
    </row>
    <row r="2166" ht="15.75" customHeight="1">
      <c r="A2166" s="47" t="s">
        <v>4565</v>
      </c>
      <c r="B2166" s="47" t="s">
        <v>4566</v>
      </c>
      <c r="C2166" s="47" t="s">
        <v>7758</v>
      </c>
      <c r="D2166" s="47" t="s">
        <v>234</v>
      </c>
      <c r="E2166" s="47" t="s">
        <v>552</v>
      </c>
      <c r="F2166" s="47">
        <v>42875.0</v>
      </c>
      <c r="G2166" s="47">
        <v>11.88</v>
      </c>
      <c r="H2166" s="47">
        <v>3609.0</v>
      </c>
      <c r="I2166" s="47" t="s">
        <v>571</v>
      </c>
    </row>
    <row r="2167" ht="15.75" customHeight="1">
      <c r="A2167" s="47" t="s">
        <v>4567</v>
      </c>
      <c r="B2167" s="47" t="s">
        <v>4568</v>
      </c>
      <c r="C2167" s="47" t="s">
        <v>7758</v>
      </c>
      <c r="D2167" s="47" t="s">
        <v>234</v>
      </c>
      <c r="E2167" s="47" t="s">
        <v>552</v>
      </c>
      <c r="F2167" s="47">
        <v>1038.0</v>
      </c>
      <c r="G2167" s="47">
        <v>4.33</v>
      </c>
      <c r="H2167" s="47">
        <v>239.7</v>
      </c>
      <c r="I2167" s="47" t="s">
        <v>62</v>
      </c>
    </row>
    <row r="2168" ht="15.75" customHeight="1">
      <c r="A2168" s="47" t="s">
        <v>4569</v>
      </c>
      <c r="B2168" s="47" t="s">
        <v>4570</v>
      </c>
      <c r="C2168" s="47" t="s">
        <v>7758</v>
      </c>
      <c r="D2168" s="47" t="s">
        <v>141</v>
      </c>
      <c r="E2168" s="47" t="s">
        <v>220</v>
      </c>
      <c r="F2168" s="47">
        <v>2064.0</v>
      </c>
      <c r="G2168" s="47">
        <v>20.66</v>
      </c>
      <c r="H2168" s="47">
        <v>99.9</v>
      </c>
      <c r="I2168" s="47" t="s">
        <v>142</v>
      </c>
    </row>
    <row r="2169" ht="15.75" customHeight="1">
      <c r="A2169" s="47" t="s">
        <v>4571</v>
      </c>
      <c r="B2169" s="47" t="s">
        <v>4572</v>
      </c>
      <c r="C2169" s="47" t="s">
        <v>7758</v>
      </c>
      <c r="D2169" s="47" t="s">
        <v>128</v>
      </c>
      <c r="E2169" s="47" t="s">
        <v>338</v>
      </c>
      <c r="F2169" s="47">
        <v>885.0</v>
      </c>
      <c r="G2169" s="47">
        <v>6.59</v>
      </c>
      <c r="H2169" s="47">
        <v>134.3</v>
      </c>
      <c r="I2169" s="47" t="s">
        <v>62</v>
      </c>
    </row>
    <row r="2170" ht="15.75" customHeight="1">
      <c r="A2170" s="47" t="s">
        <v>4573</v>
      </c>
      <c r="B2170" s="47" t="s">
        <v>4574</v>
      </c>
      <c r="C2170" s="47" t="s">
        <v>7758</v>
      </c>
      <c r="D2170" s="47" t="s">
        <v>169</v>
      </c>
      <c r="E2170" s="47" t="s">
        <v>449</v>
      </c>
      <c r="F2170" s="47">
        <v>1489.0</v>
      </c>
      <c r="G2170" s="47">
        <v>6.26</v>
      </c>
      <c r="H2170" s="47">
        <v>237.9</v>
      </c>
      <c r="I2170" s="47" t="s">
        <v>62</v>
      </c>
    </row>
    <row r="2171" ht="15.75" customHeight="1">
      <c r="A2171" s="47" t="s">
        <v>4575</v>
      </c>
      <c r="B2171" s="47" t="s">
        <v>4576</v>
      </c>
      <c r="C2171" s="47" t="s">
        <v>7758</v>
      </c>
      <c r="D2171" s="47" t="s">
        <v>167</v>
      </c>
      <c r="E2171" s="47" t="s">
        <v>447</v>
      </c>
      <c r="F2171" s="47">
        <v>733.0</v>
      </c>
      <c r="G2171" s="47">
        <v>6.69</v>
      </c>
      <c r="H2171" s="47">
        <v>109.6</v>
      </c>
      <c r="I2171" s="47" t="s">
        <v>62</v>
      </c>
    </row>
    <row r="2172" ht="15.75" customHeight="1">
      <c r="A2172" s="47" t="s">
        <v>4577</v>
      </c>
      <c r="B2172" s="47" t="s">
        <v>4578</v>
      </c>
      <c r="C2172" s="47" t="s">
        <v>7758</v>
      </c>
      <c r="D2172" s="47" t="s">
        <v>206</v>
      </c>
      <c r="E2172" s="47" t="s">
        <v>533</v>
      </c>
      <c r="F2172" s="47">
        <v>141.0</v>
      </c>
      <c r="G2172" s="47">
        <v>2.72</v>
      </c>
      <c r="H2172" s="47">
        <v>51.8</v>
      </c>
      <c r="I2172" s="47" t="s">
        <v>75</v>
      </c>
    </row>
    <row r="2173" ht="15.75" customHeight="1">
      <c r="A2173" s="47" t="s">
        <v>4579</v>
      </c>
      <c r="B2173" s="47" t="s">
        <v>4580</v>
      </c>
      <c r="C2173" s="47" t="s">
        <v>7758</v>
      </c>
      <c r="D2173" s="47" t="s">
        <v>118</v>
      </c>
      <c r="E2173" s="47" t="s">
        <v>300</v>
      </c>
      <c r="F2173" s="47">
        <v>10051.0</v>
      </c>
      <c r="G2173" s="47">
        <v>5.97</v>
      </c>
      <c r="H2173" s="47">
        <v>1683.6</v>
      </c>
      <c r="I2173" s="47" t="s">
        <v>571</v>
      </c>
    </row>
    <row r="2174" ht="15.75" customHeight="1">
      <c r="A2174" s="47" t="s">
        <v>4581</v>
      </c>
      <c r="B2174" s="47" t="s">
        <v>4582</v>
      </c>
      <c r="C2174" s="47" t="s">
        <v>7758</v>
      </c>
      <c r="D2174" s="47" t="s">
        <v>118</v>
      </c>
      <c r="E2174" s="47" t="s">
        <v>300</v>
      </c>
      <c r="F2174" s="47">
        <v>548.0</v>
      </c>
      <c r="G2174" s="47">
        <v>4.29</v>
      </c>
      <c r="H2174" s="47">
        <v>127.7</v>
      </c>
      <c r="I2174" s="47" t="s">
        <v>62</v>
      </c>
    </row>
    <row r="2175" ht="15.75" customHeight="1">
      <c r="A2175" s="47" t="s">
        <v>4583</v>
      </c>
      <c r="B2175" s="47" t="s">
        <v>4584</v>
      </c>
      <c r="C2175" s="47" t="s">
        <v>7758</v>
      </c>
      <c r="D2175" s="47" t="s">
        <v>167</v>
      </c>
      <c r="E2175" s="47" t="s">
        <v>447</v>
      </c>
      <c r="F2175" s="47">
        <v>1513.0</v>
      </c>
      <c r="G2175" s="47">
        <v>9.75</v>
      </c>
      <c r="H2175" s="47">
        <v>155.2</v>
      </c>
      <c r="I2175" s="47" t="s">
        <v>62</v>
      </c>
    </row>
    <row r="2176" ht="15.75" customHeight="1">
      <c r="A2176" s="47" t="s">
        <v>4585</v>
      </c>
      <c r="B2176" s="47" t="s">
        <v>4586</v>
      </c>
      <c r="C2176" s="47" t="s">
        <v>7758</v>
      </c>
      <c r="D2176" s="47" t="s">
        <v>118</v>
      </c>
      <c r="E2176" s="47" t="s">
        <v>300</v>
      </c>
      <c r="F2176" s="47">
        <v>4625.0</v>
      </c>
      <c r="G2176" s="47">
        <v>5.09</v>
      </c>
      <c r="H2176" s="47">
        <v>908.6</v>
      </c>
      <c r="I2176" s="47" t="s">
        <v>142</v>
      </c>
    </row>
    <row r="2177" ht="15.75" customHeight="1">
      <c r="A2177" s="47" t="s">
        <v>4587</v>
      </c>
      <c r="B2177" s="47" t="s">
        <v>4588</v>
      </c>
      <c r="C2177" s="47" t="s">
        <v>7758</v>
      </c>
      <c r="D2177" s="47" t="s">
        <v>163</v>
      </c>
      <c r="E2177" s="47" t="s">
        <v>441</v>
      </c>
      <c r="F2177" s="47">
        <v>424.0</v>
      </c>
      <c r="G2177" s="47">
        <v>7.55</v>
      </c>
      <c r="H2177" s="47">
        <v>56.2</v>
      </c>
      <c r="I2177" s="47" t="s">
        <v>75</v>
      </c>
    </row>
    <row r="2178" ht="15.75" customHeight="1">
      <c r="A2178" s="47" t="s">
        <v>4589</v>
      </c>
      <c r="B2178" s="47" t="s">
        <v>4590</v>
      </c>
      <c r="C2178" s="47" t="s">
        <v>7758</v>
      </c>
      <c r="D2178" s="47" t="s">
        <v>139</v>
      </c>
      <c r="E2178" s="47" t="s">
        <v>354</v>
      </c>
      <c r="F2178" s="47">
        <v>684.0</v>
      </c>
      <c r="G2178" s="47">
        <v>15.22</v>
      </c>
      <c r="H2178" s="47">
        <v>44.9</v>
      </c>
      <c r="I2178" s="47" t="s">
        <v>62</v>
      </c>
    </row>
    <row r="2179" ht="15.75" customHeight="1">
      <c r="A2179" s="47" t="s">
        <v>4591</v>
      </c>
      <c r="B2179" s="47" t="s">
        <v>4592</v>
      </c>
      <c r="C2179" s="47" t="s">
        <v>7758</v>
      </c>
      <c r="D2179" s="47" t="s">
        <v>163</v>
      </c>
      <c r="E2179" s="47" t="s">
        <v>441</v>
      </c>
      <c r="F2179" s="47">
        <v>617.0</v>
      </c>
      <c r="G2179" s="47">
        <v>13.36</v>
      </c>
      <c r="H2179" s="47">
        <v>46.2</v>
      </c>
      <c r="I2179" s="47" t="s">
        <v>62</v>
      </c>
    </row>
    <row r="2180" ht="15.75" customHeight="1">
      <c r="A2180" s="47" t="s">
        <v>4593</v>
      </c>
      <c r="B2180" s="47" t="s">
        <v>4594</v>
      </c>
      <c r="C2180" s="47" t="s">
        <v>7758</v>
      </c>
      <c r="D2180" s="47" t="s">
        <v>191</v>
      </c>
      <c r="E2180" s="47" t="s">
        <v>504</v>
      </c>
      <c r="F2180" s="47">
        <v>521.0</v>
      </c>
      <c r="G2180" s="47">
        <v>9.27</v>
      </c>
      <c r="H2180" s="47">
        <v>56.2</v>
      </c>
      <c r="I2180" s="47" t="s">
        <v>62</v>
      </c>
    </row>
    <row r="2181" ht="15.75" customHeight="1">
      <c r="A2181" s="47" t="s">
        <v>4595</v>
      </c>
      <c r="B2181" s="47" t="s">
        <v>4596</v>
      </c>
      <c r="C2181" s="47" t="s">
        <v>7758</v>
      </c>
      <c r="D2181" s="47" t="s">
        <v>163</v>
      </c>
      <c r="E2181" s="47" t="s">
        <v>441</v>
      </c>
      <c r="F2181" s="47">
        <v>608.0</v>
      </c>
      <c r="G2181" s="47">
        <v>5.76</v>
      </c>
      <c r="H2181" s="47">
        <v>105.6</v>
      </c>
      <c r="I2181" s="47" t="s">
        <v>62</v>
      </c>
    </row>
    <row r="2182" ht="15.75" customHeight="1">
      <c r="A2182" s="47" t="s">
        <v>4597</v>
      </c>
      <c r="B2182" s="47" t="s">
        <v>4598</v>
      </c>
      <c r="C2182" s="47" t="s">
        <v>7758</v>
      </c>
      <c r="D2182" s="47" t="s">
        <v>161</v>
      </c>
      <c r="E2182" s="47" t="s">
        <v>438</v>
      </c>
      <c r="F2182" s="47">
        <v>5309.0</v>
      </c>
      <c r="G2182" s="47">
        <v>14.43</v>
      </c>
      <c r="H2182" s="47">
        <v>367.9</v>
      </c>
      <c r="I2182" s="47" t="s">
        <v>142</v>
      </c>
    </row>
    <row r="2183" ht="15.75" customHeight="1">
      <c r="A2183" s="47" t="s">
        <v>4599</v>
      </c>
      <c r="B2183" s="47" t="s">
        <v>4600</v>
      </c>
      <c r="C2183" s="47" t="s">
        <v>7758</v>
      </c>
      <c r="D2183" s="47" t="s">
        <v>206</v>
      </c>
      <c r="E2183" s="47" t="s">
        <v>533</v>
      </c>
      <c r="F2183" s="47">
        <v>189.0</v>
      </c>
      <c r="G2183" s="47">
        <v>3.42</v>
      </c>
      <c r="H2183" s="47">
        <v>55.3</v>
      </c>
      <c r="I2183" s="47" t="s">
        <v>75</v>
      </c>
    </row>
    <row r="2184" ht="15.75" customHeight="1">
      <c r="A2184" s="47" t="s">
        <v>4601</v>
      </c>
      <c r="B2184" s="47" t="s">
        <v>4602</v>
      </c>
      <c r="C2184" s="47" t="s">
        <v>7758</v>
      </c>
      <c r="D2184" s="47" t="s">
        <v>223</v>
      </c>
      <c r="E2184" s="47" t="s">
        <v>380</v>
      </c>
      <c r="F2184" s="47">
        <v>293.0</v>
      </c>
      <c r="G2184" s="47">
        <v>2.98</v>
      </c>
      <c r="H2184" s="47">
        <v>98.3</v>
      </c>
      <c r="I2184" s="47" t="s">
        <v>75</v>
      </c>
    </row>
    <row r="2185" ht="15.75" customHeight="1">
      <c r="A2185" s="47" t="s">
        <v>4603</v>
      </c>
      <c r="B2185" s="47" t="s">
        <v>4604</v>
      </c>
      <c r="C2185" s="47" t="s">
        <v>7758</v>
      </c>
      <c r="D2185" s="47" t="s">
        <v>206</v>
      </c>
      <c r="E2185" s="47" t="s">
        <v>533</v>
      </c>
      <c r="F2185" s="47">
        <v>2547.0</v>
      </c>
      <c r="G2185" s="47">
        <v>27.28</v>
      </c>
      <c r="H2185" s="47">
        <v>93.4</v>
      </c>
      <c r="I2185" s="47" t="s">
        <v>142</v>
      </c>
    </row>
    <row r="2186" ht="15.75" customHeight="1">
      <c r="A2186" s="47" t="s">
        <v>4605</v>
      </c>
      <c r="B2186" s="47" t="s">
        <v>4606</v>
      </c>
      <c r="C2186" s="47" t="s">
        <v>7758</v>
      </c>
      <c r="D2186" s="47" t="s">
        <v>206</v>
      </c>
      <c r="E2186" s="47" t="s">
        <v>533</v>
      </c>
      <c r="F2186" s="47">
        <v>295.0</v>
      </c>
      <c r="G2186" s="47">
        <v>8.56</v>
      </c>
      <c r="H2186" s="47">
        <v>34.5</v>
      </c>
      <c r="I2186" s="47" t="s">
        <v>75</v>
      </c>
    </row>
    <row r="2187" ht="15.75" customHeight="1">
      <c r="A2187" s="47" t="s">
        <v>4607</v>
      </c>
      <c r="B2187" s="47" t="s">
        <v>4608</v>
      </c>
      <c r="C2187" s="47" t="s">
        <v>7758</v>
      </c>
      <c r="D2187" s="47" t="s">
        <v>187</v>
      </c>
      <c r="E2187" s="47" t="s">
        <v>488</v>
      </c>
      <c r="F2187" s="47">
        <v>46.0</v>
      </c>
      <c r="G2187" s="47">
        <v>3.02</v>
      </c>
      <c r="H2187" s="47">
        <v>15.2</v>
      </c>
      <c r="I2187" s="47" t="s">
        <v>75</v>
      </c>
    </row>
    <row r="2188" ht="15.75" customHeight="1">
      <c r="A2188" s="47" t="s">
        <v>4609</v>
      </c>
      <c r="B2188" s="47" t="s">
        <v>4610</v>
      </c>
      <c r="C2188" s="47" t="s">
        <v>7758</v>
      </c>
      <c r="D2188" s="47" t="s">
        <v>169</v>
      </c>
      <c r="E2188" s="47" t="s">
        <v>449</v>
      </c>
      <c r="F2188" s="47">
        <v>1840.0</v>
      </c>
      <c r="G2188" s="47">
        <v>9.3</v>
      </c>
      <c r="H2188" s="47">
        <v>197.8</v>
      </c>
      <c r="I2188" s="47" t="s">
        <v>62</v>
      </c>
    </row>
    <row r="2189" ht="15.75" customHeight="1">
      <c r="A2189" s="47" t="s">
        <v>4611</v>
      </c>
      <c r="B2189" s="47" t="s">
        <v>4612</v>
      </c>
      <c r="C2189" s="47" t="s">
        <v>7758</v>
      </c>
      <c r="D2189" s="47" t="s">
        <v>204</v>
      </c>
      <c r="E2189" s="47" t="s">
        <v>527</v>
      </c>
      <c r="F2189" s="47">
        <v>174.0</v>
      </c>
      <c r="G2189" s="47">
        <v>3.1</v>
      </c>
      <c r="H2189" s="47">
        <v>56.1</v>
      </c>
      <c r="I2189" s="47" t="s">
        <v>75</v>
      </c>
    </row>
    <row r="2190" ht="15.75" customHeight="1">
      <c r="A2190" s="47" t="s">
        <v>4613</v>
      </c>
      <c r="B2190" s="47" t="s">
        <v>4614</v>
      </c>
      <c r="C2190" s="47" t="s">
        <v>7758</v>
      </c>
      <c r="D2190" s="47" t="s">
        <v>127</v>
      </c>
      <c r="E2190" s="47" t="s">
        <v>323</v>
      </c>
      <c r="F2190" s="47">
        <v>17435.0</v>
      </c>
      <c r="G2190" s="47">
        <v>13.01</v>
      </c>
      <c r="H2190" s="47">
        <v>1340.1</v>
      </c>
      <c r="I2190" s="47" t="s">
        <v>571</v>
      </c>
    </row>
    <row r="2191" ht="15.75" customHeight="1">
      <c r="A2191" s="47" t="s">
        <v>4615</v>
      </c>
      <c r="B2191" s="47" t="s">
        <v>4616</v>
      </c>
      <c r="C2191" s="47" t="s">
        <v>7758</v>
      </c>
      <c r="D2191" s="47" t="s">
        <v>187</v>
      </c>
      <c r="E2191" s="47" t="s">
        <v>488</v>
      </c>
      <c r="F2191" s="47">
        <v>33.0</v>
      </c>
      <c r="G2191" s="47">
        <v>2.23</v>
      </c>
      <c r="H2191" s="47">
        <v>14.8</v>
      </c>
      <c r="I2191" s="47" t="s">
        <v>75</v>
      </c>
    </row>
    <row r="2192" ht="15.75" customHeight="1">
      <c r="A2192" s="47" t="s">
        <v>4617</v>
      </c>
      <c r="B2192" s="47" t="s">
        <v>4618</v>
      </c>
      <c r="C2192" s="47" t="s">
        <v>7758</v>
      </c>
      <c r="D2192" s="47" t="s">
        <v>139</v>
      </c>
      <c r="E2192" s="47" t="s">
        <v>354</v>
      </c>
      <c r="F2192" s="47">
        <v>536.0</v>
      </c>
      <c r="G2192" s="47">
        <v>4.77</v>
      </c>
      <c r="H2192" s="47">
        <v>112.4</v>
      </c>
      <c r="I2192" s="47" t="s">
        <v>62</v>
      </c>
    </row>
    <row r="2193" ht="15.75" customHeight="1">
      <c r="A2193" s="47" t="s">
        <v>4619</v>
      </c>
      <c r="B2193" s="47" t="s">
        <v>4620</v>
      </c>
      <c r="C2193" s="47" t="s">
        <v>7758</v>
      </c>
      <c r="D2193" s="47" t="s">
        <v>204</v>
      </c>
      <c r="E2193" s="47" t="s">
        <v>527</v>
      </c>
      <c r="F2193" s="47">
        <v>330.0</v>
      </c>
      <c r="G2193" s="47">
        <v>5.16</v>
      </c>
      <c r="H2193" s="47">
        <v>64.0</v>
      </c>
      <c r="I2193" s="47" t="s">
        <v>75</v>
      </c>
    </row>
    <row r="2194" ht="15.75" customHeight="1">
      <c r="A2194" s="47" t="s">
        <v>4621</v>
      </c>
      <c r="B2194" s="47" t="s">
        <v>4622</v>
      </c>
      <c r="C2194" s="47" t="s">
        <v>7758</v>
      </c>
      <c r="D2194" s="47" t="s">
        <v>167</v>
      </c>
      <c r="E2194" s="47" t="s">
        <v>447</v>
      </c>
      <c r="F2194" s="47">
        <v>302.0</v>
      </c>
      <c r="G2194" s="47">
        <v>8.59</v>
      </c>
      <c r="H2194" s="47">
        <v>35.2</v>
      </c>
      <c r="I2194" s="47" t="s">
        <v>75</v>
      </c>
    </row>
    <row r="2195" ht="15.75" customHeight="1">
      <c r="A2195" s="47" t="s">
        <v>4623</v>
      </c>
      <c r="B2195" s="47" t="s">
        <v>4624</v>
      </c>
      <c r="C2195" s="47" t="s">
        <v>7758</v>
      </c>
      <c r="D2195" s="47" t="s">
        <v>169</v>
      </c>
      <c r="E2195" s="47" t="s">
        <v>449</v>
      </c>
      <c r="F2195" s="47">
        <v>264.0</v>
      </c>
      <c r="G2195" s="47">
        <v>6.78</v>
      </c>
      <c r="H2195" s="47">
        <v>38.9</v>
      </c>
      <c r="I2195" s="47" t="s">
        <v>75</v>
      </c>
    </row>
    <row r="2196" ht="15.75" customHeight="1">
      <c r="A2196" s="47" t="s">
        <v>4625</v>
      </c>
      <c r="B2196" s="47" t="s">
        <v>4626</v>
      </c>
      <c r="C2196" s="47" t="s">
        <v>7758</v>
      </c>
      <c r="D2196" s="47" t="s">
        <v>206</v>
      </c>
      <c r="E2196" s="47" t="s">
        <v>533</v>
      </c>
      <c r="F2196" s="47">
        <v>408.0</v>
      </c>
      <c r="G2196" s="47">
        <v>3.54</v>
      </c>
      <c r="H2196" s="47">
        <v>115.3</v>
      </c>
      <c r="I2196" s="47" t="s">
        <v>75</v>
      </c>
    </row>
    <row r="2197" ht="15.75" customHeight="1">
      <c r="A2197" s="47" t="s">
        <v>4627</v>
      </c>
      <c r="B2197" s="47" t="s">
        <v>4628</v>
      </c>
      <c r="C2197" s="47" t="s">
        <v>7758</v>
      </c>
      <c r="D2197" s="47" t="s">
        <v>169</v>
      </c>
      <c r="E2197" s="47" t="s">
        <v>449</v>
      </c>
      <c r="F2197" s="47">
        <v>213.0</v>
      </c>
      <c r="G2197" s="47">
        <v>5.31</v>
      </c>
      <c r="H2197" s="47">
        <v>40.1</v>
      </c>
      <c r="I2197" s="47" t="s">
        <v>75</v>
      </c>
    </row>
    <row r="2198" ht="15.75" customHeight="1">
      <c r="A2198" s="47" t="s">
        <v>4629</v>
      </c>
      <c r="B2198" s="47" t="s">
        <v>4630</v>
      </c>
      <c r="C2198" s="47" t="s">
        <v>7758</v>
      </c>
      <c r="D2198" s="47" t="s">
        <v>234</v>
      </c>
      <c r="E2198" s="47" t="s">
        <v>552</v>
      </c>
      <c r="F2198" s="47">
        <v>1429.0</v>
      </c>
      <c r="G2198" s="47">
        <v>9.32</v>
      </c>
      <c r="H2198" s="47">
        <v>153.3</v>
      </c>
      <c r="I2198" s="47" t="s">
        <v>62</v>
      </c>
    </row>
    <row r="2199" ht="15.75" customHeight="1">
      <c r="A2199" s="47" t="s">
        <v>4631</v>
      </c>
      <c r="B2199" s="47" t="s">
        <v>4632</v>
      </c>
      <c r="C2199" s="47" t="s">
        <v>7758</v>
      </c>
      <c r="D2199" s="47" t="s">
        <v>169</v>
      </c>
      <c r="E2199" s="47" t="s">
        <v>449</v>
      </c>
      <c r="F2199" s="47">
        <v>237.0</v>
      </c>
      <c r="G2199" s="47">
        <v>3.95</v>
      </c>
      <c r="H2199" s="47">
        <v>60.0</v>
      </c>
      <c r="I2199" s="47" t="s">
        <v>75</v>
      </c>
    </row>
    <row r="2200" ht="15.75" customHeight="1">
      <c r="A2200" s="47" t="s">
        <v>4633</v>
      </c>
      <c r="B2200" s="47" t="s">
        <v>4634</v>
      </c>
      <c r="C2200" s="47" t="s">
        <v>7758</v>
      </c>
      <c r="D2200" s="47" t="s">
        <v>132</v>
      </c>
      <c r="E2200" s="47" t="s">
        <v>346</v>
      </c>
      <c r="F2200" s="47">
        <v>1324.0</v>
      </c>
      <c r="G2200" s="47">
        <v>26.83</v>
      </c>
      <c r="H2200" s="47">
        <v>49.3</v>
      </c>
      <c r="I2200" s="47" t="s">
        <v>62</v>
      </c>
    </row>
    <row r="2201" ht="15.75" customHeight="1">
      <c r="A2201" s="47" t="s">
        <v>4635</v>
      </c>
      <c r="B2201" s="47" t="s">
        <v>4636</v>
      </c>
      <c r="C2201" s="47" t="s">
        <v>7758</v>
      </c>
      <c r="D2201" s="47" t="s">
        <v>223</v>
      </c>
      <c r="E2201" s="47" t="s">
        <v>380</v>
      </c>
      <c r="F2201" s="47">
        <v>208.0</v>
      </c>
      <c r="G2201" s="47">
        <v>6.81</v>
      </c>
      <c r="H2201" s="47">
        <v>30.5</v>
      </c>
      <c r="I2201" s="47" t="s">
        <v>75</v>
      </c>
    </row>
    <row r="2202" ht="15.75" customHeight="1">
      <c r="A2202" s="47" t="s">
        <v>4637</v>
      </c>
      <c r="B2202" s="47" t="s">
        <v>4638</v>
      </c>
      <c r="C2202" s="47" t="s">
        <v>7758</v>
      </c>
      <c r="D2202" s="47" t="s">
        <v>118</v>
      </c>
      <c r="E2202" s="47" t="s">
        <v>300</v>
      </c>
      <c r="F2202" s="47">
        <v>355.0</v>
      </c>
      <c r="G2202" s="47">
        <v>2.98</v>
      </c>
      <c r="H2202" s="47">
        <v>119.1</v>
      </c>
      <c r="I2202" s="47" t="s">
        <v>75</v>
      </c>
    </row>
    <row r="2203" ht="15.75" customHeight="1">
      <c r="A2203" s="47" t="s">
        <v>4639</v>
      </c>
      <c r="B2203" s="47" t="s">
        <v>4640</v>
      </c>
      <c r="C2203" s="47" t="s">
        <v>7758</v>
      </c>
      <c r="D2203" s="47" t="s">
        <v>223</v>
      </c>
      <c r="E2203" s="47" t="s">
        <v>380</v>
      </c>
      <c r="F2203" s="47">
        <v>1220.0</v>
      </c>
      <c r="G2203" s="47">
        <v>5.79</v>
      </c>
      <c r="H2203" s="47">
        <v>210.7</v>
      </c>
      <c r="I2203" s="47" t="s">
        <v>62</v>
      </c>
    </row>
    <row r="2204" ht="15.75" customHeight="1">
      <c r="A2204" s="47" t="s">
        <v>4641</v>
      </c>
      <c r="B2204" s="47" t="s">
        <v>4642</v>
      </c>
      <c r="C2204" s="47" t="s">
        <v>7758</v>
      </c>
      <c r="D2204" s="47" t="s">
        <v>204</v>
      </c>
      <c r="E2204" s="47" t="s">
        <v>527</v>
      </c>
      <c r="F2204" s="47">
        <v>83.0</v>
      </c>
      <c r="G2204" s="47">
        <v>4.57</v>
      </c>
      <c r="H2204" s="47">
        <v>18.2</v>
      </c>
      <c r="I2204" s="47" t="s">
        <v>75</v>
      </c>
    </row>
    <row r="2205" ht="15.75" customHeight="1">
      <c r="A2205" s="47" t="s">
        <v>4643</v>
      </c>
      <c r="B2205" s="47" t="s">
        <v>4644</v>
      </c>
      <c r="C2205" s="47" t="s">
        <v>7758</v>
      </c>
      <c r="D2205" s="47" t="s">
        <v>204</v>
      </c>
      <c r="E2205" s="47" t="s">
        <v>527</v>
      </c>
      <c r="F2205" s="47">
        <v>3779.0</v>
      </c>
      <c r="G2205" s="47">
        <v>5.78</v>
      </c>
      <c r="H2205" s="47">
        <v>653.8</v>
      </c>
      <c r="I2205" s="47" t="s">
        <v>142</v>
      </c>
    </row>
    <row r="2206" ht="15.75" customHeight="1">
      <c r="A2206" s="47" t="s">
        <v>4645</v>
      </c>
      <c r="B2206" s="47" t="s">
        <v>4646</v>
      </c>
      <c r="C2206" s="47" t="s">
        <v>7758</v>
      </c>
      <c r="D2206" s="47" t="s">
        <v>219</v>
      </c>
      <c r="E2206" s="47" t="s">
        <v>377</v>
      </c>
      <c r="F2206" s="47">
        <v>434.0</v>
      </c>
      <c r="G2206" s="47">
        <v>7.97</v>
      </c>
      <c r="H2206" s="47">
        <v>54.5</v>
      </c>
      <c r="I2206" s="47" t="s">
        <v>75</v>
      </c>
    </row>
    <row r="2207" ht="15.75" customHeight="1">
      <c r="A2207" s="47" t="s">
        <v>4647</v>
      </c>
      <c r="B2207" s="47" t="s">
        <v>4648</v>
      </c>
      <c r="C2207" s="47" t="s">
        <v>7758</v>
      </c>
      <c r="D2207" s="47" t="s">
        <v>204</v>
      </c>
      <c r="E2207" s="47" t="s">
        <v>527</v>
      </c>
      <c r="F2207" s="47">
        <v>308.0</v>
      </c>
      <c r="G2207" s="47">
        <v>7.63</v>
      </c>
      <c r="H2207" s="47">
        <v>40.4</v>
      </c>
      <c r="I2207" s="47" t="s">
        <v>75</v>
      </c>
    </row>
    <row r="2208" ht="15.75" customHeight="1">
      <c r="A2208" s="47" t="s">
        <v>4649</v>
      </c>
      <c r="B2208" s="47" t="s">
        <v>4650</v>
      </c>
      <c r="C2208" s="47" t="s">
        <v>7758</v>
      </c>
      <c r="D2208" s="47" t="s">
        <v>118</v>
      </c>
      <c r="E2208" s="47" t="s">
        <v>300</v>
      </c>
      <c r="F2208" s="47">
        <v>7331.0</v>
      </c>
      <c r="G2208" s="47">
        <v>6.29</v>
      </c>
      <c r="H2208" s="47">
        <v>1165.5</v>
      </c>
      <c r="I2208" s="47" t="s">
        <v>142</v>
      </c>
    </row>
    <row r="2209" ht="15.75" customHeight="1">
      <c r="A2209" s="47" t="s">
        <v>4651</v>
      </c>
      <c r="B2209" s="47" t="s">
        <v>4652</v>
      </c>
      <c r="C2209" s="47" t="s">
        <v>7758</v>
      </c>
      <c r="D2209" s="47" t="s">
        <v>169</v>
      </c>
      <c r="E2209" s="47" t="s">
        <v>449</v>
      </c>
      <c r="F2209" s="47">
        <v>199.0</v>
      </c>
      <c r="G2209" s="47">
        <v>6.14</v>
      </c>
      <c r="H2209" s="47">
        <v>32.4</v>
      </c>
      <c r="I2209" s="47" t="s">
        <v>75</v>
      </c>
    </row>
    <row r="2210" ht="15.75" customHeight="1">
      <c r="A2210" s="47" t="s">
        <v>4653</v>
      </c>
      <c r="B2210" s="47" t="s">
        <v>4654</v>
      </c>
      <c r="C2210" s="47" t="s">
        <v>7758</v>
      </c>
      <c r="D2210" s="47" t="s">
        <v>234</v>
      </c>
      <c r="E2210" s="47" t="s">
        <v>552</v>
      </c>
      <c r="F2210" s="47">
        <v>129.0</v>
      </c>
      <c r="G2210" s="47">
        <v>3.39</v>
      </c>
      <c r="H2210" s="47">
        <v>38.1</v>
      </c>
      <c r="I2210" s="47" t="s">
        <v>75</v>
      </c>
    </row>
    <row r="2211" ht="15.75" customHeight="1">
      <c r="A2211" s="47" t="s">
        <v>4655</v>
      </c>
      <c r="B2211" s="47" t="s">
        <v>4656</v>
      </c>
      <c r="C2211" s="47" t="s">
        <v>7758</v>
      </c>
      <c r="D2211" s="47" t="s">
        <v>169</v>
      </c>
      <c r="E2211" s="47" t="s">
        <v>449</v>
      </c>
      <c r="F2211" s="47">
        <v>417.0</v>
      </c>
      <c r="G2211" s="47">
        <v>7.64</v>
      </c>
      <c r="H2211" s="47">
        <v>54.6</v>
      </c>
      <c r="I2211" s="47" t="s">
        <v>75</v>
      </c>
    </row>
    <row r="2212" ht="15.75" customHeight="1">
      <c r="A2212" s="47" t="s">
        <v>4657</v>
      </c>
      <c r="B2212" s="47" t="s">
        <v>4658</v>
      </c>
      <c r="C2212" s="47" t="s">
        <v>7758</v>
      </c>
      <c r="D2212" s="47" t="s">
        <v>139</v>
      </c>
      <c r="E2212" s="47" t="s">
        <v>354</v>
      </c>
      <c r="F2212" s="47">
        <v>1018.0</v>
      </c>
      <c r="G2212" s="47">
        <v>4.54</v>
      </c>
      <c r="H2212" s="47">
        <v>224.2</v>
      </c>
      <c r="I2212" s="47" t="s">
        <v>62</v>
      </c>
    </row>
    <row r="2213" ht="15.75" customHeight="1">
      <c r="A2213" s="47" t="s">
        <v>4659</v>
      </c>
      <c r="B2213" s="47" t="s">
        <v>4660</v>
      </c>
      <c r="C2213" s="47" t="s">
        <v>7758</v>
      </c>
      <c r="D2213" s="47" t="s">
        <v>191</v>
      </c>
      <c r="E2213" s="47" t="s">
        <v>504</v>
      </c>
      <c r="F2213" s="47">
        <v>354.0</v>
      </c>
      <c r="G2213" s="47">
        <v>3.27</v>
      </c>
      <c r="H2213" s="47">
        <v>108.3</v>
      </c>
      <c r="I2213" s="47" t="s">
        <v>75</v>
      </c>
    </row>
    <row r="2214" ht="15.75" customHeight="1">
      <c r="A2214" s="47" t="s">
        <v>4661</v>
      </c>
      <c r="B2214" s="47" t="s">
        <v>4662</v>
      </c>
      <c r="C2214" s="47" t="s">
        <v>7758</v>
      </c>
      <c r="D2214" s="47" t="s">
        <v>163</v>
      </c>
      <c r="E2214" s="47" t="s">
        <v>441</v>
      </c>
      <c r="F2214" s="47">
        <v>410.0</v>
      </c>
      <c r="G2214" s="47">
        <v>13.28</v>
      </c>
      <c r="H2214" s="47">
        <v>30.9</v>
      </c>
      <c r="I2214" s="47" t="s">
        <v>75</v>
      </c>
    </row>
    <row r="2215" ht="15.75" customHeight="1">
      <c r="A2215" s="47" t="s">
        <v>4663</v>
      </c>
      <c r="B2215" s="47" t="s">
        <v>4664</v>
      </c>
      <c r="C2215" s="47" t="s">
        <v>7758</v>
      </c>
      <c r="D2215" s="47" t="s">
        <v>167</v>
      </c>
      <c r="E2215" s="47" t="s">
        <v>447</v>
      </c>
      <c r="F2215" s="47">
        <v>139.0</v>
      </c>
      <c r="G2215" s="47">
        <v>7.4</v>
      </c>
      <c r="H2215" s="47">
        <v>18.8</v>
      </c>
      <c r="I2215" s="47" t="s">
        <v>75</v>
      </c>
    </row>
    <row r="2216" ht="15.75" customHeight="1">
      <c r="A2216" s="47" t="s">
        <v>4665</v>
      </c>
      <c r="B2216" s="47" t="s">
        <v>4666</v>
      </c>
      <c r="C2216" s="47" t="s">
        <v>7758</v>
      </c>
      <c r="D2216" s="47" t="s">
        <v>169</v>
      </c>
      <c r="E2216" s="47" t="s">
        <v>449</v>
      </c>
      <c r="F2216" s="47">
        <v>98.0</v>
      </c>
      <c r="G2216" s="47">
        <v>4.57</v>
      </c>
      <c r="H2216" s="47">
        <v>21.4</v>
      </c>
      <c r="I2216" s="47" t="s">
        <v>75</v>
      </c>
    </row>
    <row r="2217" ht="15.75" customHeight="1">
      <c r="A2217" s="47" t="s">
        <v>4667</v>
      </c>
      <c r="B2217" s="47" t="s">
        <v>4668</v>
      </c>
      <c r="C2217" s="47" t="s">
        <v>7758</v>
      </c>
      <c r="D2217" s="47" t="s">
        <v>169</v>
      </c>
      <c r="E2217" s="47" t="s">
        <v>449</v>
      </c>
      <c r="F2217" s="47">
        <v>403.0</v>
      </c>
      <c r="G2217" s="47">
        <v>8.13</v>
      </c>
      <c r="H2217" s="47">
        <v>49.6</v>
      </c>
      <c r="I2217" s="47" t="s">
        <v>75</v>
      </c>
    </row>
    <row r="2218" ht="15.75" customHeight="1">
      <c r="A2218" s="47" t="s">
        <v>4669</v>
      </c>
      <c r="B2218" s="47" t="s">
        <v>4670</v>
      </c>
      <c r="C2218" s="47" t="s">
        <v>7758</v>
      </c>
      <c r="D2218" s="47" t="s">
        <v>204</v>
      </c>
      <c r="E2218" s="47" t="s">
        <v>527</v>
      </c>
      <c r="F2218" s="47">
        <v>241.0</v>
      </c>
      <c r="G2218" s="47">
        <v>4.91</v>
      </c>
      <c r="H2218" s="47">
        <v>49.1</v>
      </c>
      <c r="I2218" s="47" t="s">
        <v>75</v>
      </c>
    </row>
    <row r="2219" ht="15.75" customHeight="1">
      <c r="A2219" s="47" t="s">
        <v>4671</v>
      </c>
      <c r="B2219" s="47" t="s">
        <v>4672</v>
      </c>
      <c r="C2219" s="47" t="s">
        <v>7758</v>
      </c>
      <c r="D2219" s="47" t="s">
        <v>128</v>
      </c>
      <c r="E2219" s="47" t="s">
        <v>338</v>
      </c>
      <c r="F2219" s="47">
        <v>379.0</v>
      </c>
      <c r="G2219" s="47">
        <v>9.29</v>
      </c>
      <c r="H2219" s="47">
        <v>40.8</v>
      </c>
      <c r="I2219" s="47" t="s">
        <v>75</v>
      </c>
    </row>
    <row r="2220" ht="15.75" customHeight="1">
      <c r="A2220" s="47" t="s">
        <v>4673</v>
      </c>
      <c r="B2220" s="47" t="s">
        <v>4674</v>
      </c>
      <c r="C2220" s="47" t="s">
        <v>7758</v>
      </c>
      <c r="D2220" s="47" t="s">
        <v>139</v>
      </c>
      <c r="E2220" s="47" t="s">
        <v>354</v>
      </c>
      <c r="F2220" s="47">
        <v>222.0</v>
      </c>
      <c r="G2220" s="47">
        <v>4.21</v>
      </c>
      <c r="H2220" s="47">
        <v>52.7</v>
      </c>
      <c r="I2220" s="47" t="s">
        <v>75</v>
      </c>
    </row>
    <row r="2221" ht="15.75" customHeight="1">
      <c r="A2221" s="47" t="s">
        <v>4675</v>
      </c>
      <c r="B2221" s="47" t="s">
        <v>4676</v>
      </c>
      <c r="C2221" s="47" t="s">
        <v>7758</v>
      </c>
      <c r="D2221" s="47" t="s">
        <v>204</v>
      </c>
      <c r="E2221" s="47" t="s">
        <v>527</v>
      </c>
      <c r="F2221" s="47">
        <v>528.0</v>
      </c>
      <c r="G2221" s="47">
        <v>9.95</v>
      </c>
      <c r="H2221" s="47">
        <v>53.1</v>
      </c>
      <c r="I2221" s="47" t="s">
        <v>62</v>
      </c>
    </row>
    <row r="2222" ht="15.75" customHeight="1">
      <c r="A2222" s="47" t="s">
        <v>4677</v>
      </c>
      <c r="B2222" s="47" t="s">
        <v>4678</v>
      </c>
      <c r="C2222" s="47" t="s">
        <v>7758</v>
      </c>
      <c r="D2222" s="47" t="s">
        <v>234</v>
      </c>
      <c r="E2222" s="47" t="s">
        <v>552</v>
      </c>
      <c r="F2222" s="47">
        <v>1003.0</v>
      </c>
      <c r="G2222" s="47">
        <v>5.04</v>
      </c>
      <c r="H2222" s="47">
        <v>199.0</v>
      </c>
      <c r="I2222" s="47" t="s">
        <v>62</v>
      </c>
    </row>
    <row r="2223" ht="15.75" customHeight="1">
      <c r="A2223" s="47" t="s">
        <v>4679</v>
      </c>
      <c r="B2223" s="47" t="s">
        <v>4680</v>
      </c>
      <c r="C2223" s="47" t="s">
        <v>7758</v>
      </c>
      <c r="D2223" s="47" t="s">
        <v>234</v>
      </c>
      <c r="E2223" s="47" t="s">
        <v>552</v>
      </c>
      <c r="F2223" s="47">
        <v>5559.0</v>
      </c>
      <c r="G2223" s="47">
        <v>5.94</v>
      </c>
      <c r="H2223" s="47">
        <v>935.9</v>
      </c>
      <c r="I2223" s="47" t="s">
        <v>142</v>
      </c>
    </row>
    <row r="2224" ht="15.75" customHeight="1">
      <c r="A2224" s="47" t="s">
        <v>4681</v>
      </c>
      <c r="B2224" s="47" t="s">
        <v>4682</v>
      </c>
      <c r="C2224" s="47" t="s">
        <v>7758</v>
      </c>
      <c r="D2224" s="47" t="s">
        <v>167</v>
      </c>
      <c r="E2224" s="47" t="s">
        <v>447</v>
      </c>
      <c r="F2224" s="47">
        <v>2014.0</v>
      </c>
      <c r="G2224" s="47">
        <v>13.16</v>
      </c>
      <c r="H2224" s="47">
        <v>153.0</v>
      </c>
      <c r="I2224" s="47" t="s">
        <v>142</v>
      </c>
    </row>
    <row r="2225" ht="15.75" customHeight="1">
      <c r="A2225" s="47" t="s">
        <v>4683</v>
      </c>
      <c r="B2225" s="47" t="s">
        <v>4684</v>
      </c>
      <c r="C2225" s="47" t="s">
        <v>7758</v>
      </c>
      <c r="D2225" s="47" t="s">
        <v>206</v>
      </c>
      <c r="E2225" s="47" t="s">
        <v>533</v>
      </c>
      <c r="F2225" s="47">
        <v>133.0</v>
      </c>
      <c r="G2225" s="47">
        <v>2.63</v>
      </c>
      <c r="H2225" s="47">
        <v>50.6</v>
      </c>
      <c r="I2225" s="47" t="s">
        <v>75</v>
      </c>
    </row>
    <row r="2226" ht="15.75" customHeight="1">
      <c r="A2226" s="47" t="s">
        <v>4685</v>
      </c>
      <c r="B2226" s="47" t="s">
        <v>4686</v>
      </c>
      <c r="C2226" s="47" t="s">
        <v>7758</v>
      </c>
      <c r="D2226" s="47" t="s">
        <v>187</v>
      </c>
      <c r="E2226" s="47" t="s">
        <v>488</v>
      </c>
      <c r="F2226" s="47">
        <v>280.0</v>
      </c>
      <c r="G2226" s="47">
        <v>6.07</v>
      </c>
      <c r="H2226" s="47">
        <v>46.1</v>
      </c>
      <c r="I2226" s="47" t="s">
        <v>75</v>
      </c>
    </row>
    <row r="2227" ht="15.75" customHeight="1">
      <c r="A2227" s="47" t="s">
        <v>4687</v>
      </c>
      <c r="B2227" s="47" t="s">
        <v>4688</v>
      </c>
      <c r="C2227" s="47" t="s">
        <v>7758</v>
      </c>
      <c r="D2227" s="47" t="s">
        <v>204</v>
      </c>
      <c r="E2227" s="47" t="s">
        <v>527</v>
      </c>
      <c r="F2227" s="47">
        <v>114.0</v>
      </c>
      <c r="G2227" s="47">
        <v>3.08</v>
      </c>
      <c r="H2227" s="47">
        <v>37.0</v>
      </c>
      <c r="I2227" s="47" t="s">
        <v>75</v>
      </c>
    </row>
    <row r="2228" ht="15.75" customHeight="1">
      <c r="A2228" s="47" t="s">
        <v>4689</v>
      </c>
      <c r="B2228" s="47" t="s">
        <v>4690</v>
      </c>
      <c r="C2228" s="47" t="s">
        <v>7758</v>
      </c>
      <c r="D2228" s="47" t="s">
        <v>150</v>
      </c>
      <c r="E2228" s="47" t="s">
        <v>411</v>
      </c>
      <c r="F2228" s="47">
        <v>427.0</v>
      </c>
      <c r="G2228" s="47">
        <v>5.45</v>
      </c>
      <c r="H2228" s="47">
        <v>78.3</v>
      </c>
      <c r="I2228" s="47" t="s">
        <v>75</v>
      </c>
    </row>
    <row r="2229" ht="15.75" customHeight="1">
      <c r="A2229" s="47" t="s">
        <v>4691</v>
      </c>
      <c r="B2229" s="47" t="s">
        <v>4692</v>
      </c>
      <c r="C2229" s="47" t="s">
        <v>7758</v>
      </c>
      <c r="D2229" s="47" t="s">
        <v>150</v>
      </c>
      <c r="E2229" s="47" t="s">
        <v>411</v>
      </c>
      <c r="F2229" s="47">
        <v>503.0</v>
      </c>
      <c r="G2229" s="47">
        <v>9.26</v>
      </c>
      <c r="H2229" s="47">
        <v>54.3</v>
      </c>
      <c r="I2229" s="47" t="s">
        <v>62</v>
      </c>
    </row>
    <row r="2230" ht="15.75" customHeight="1">
      <c r="A2230" s="47" t="s">
        <v>4693</v>
      </c>
      <c r="B2230" s="47" t="s">
        <v>4694</v>
      </c>
      <c r="C2230" s="47" t="s">
        <v>7758</v>
      </c>
      <c r="D2230" s="47" t="s">
        <v>219</v>
      </c>
      <c r="E2230" s="47" t="s">
        <v>377</v>
      </c>
      <c r="F2230" s="47">
        <v>212.0</v>
      </c>
      <c r="G2230" s="47">
        <v>2.04</v>
      </c>
      <c r="H2230" s="47">
        <v>103.9</v>
      </c>
      <c r="I2230" s="47" t="s">
        <v>75</v>
      </c>
    </row>
    <row r="2231" ht="15.75" customHeight="1">
      <c r="A2231" s="47" t="s">
        <v>4695</v>
      </c>
      <c r="B2231" s="47" t="s">
        <v>4696</v>
      </c>
      <c r="C2231" s="47" t="s">
        <v>7758</v>
      </c>
      <c r="D2231" s="47" t="s">
        <v>127</v>
      </c>
      <c r="E2231" s="47" t="s">
        <v>323</v>
      </c>
      <c r="F2231" s="47">
        <v>330.0</v>
      </c>
      <c r="G2231" s="47">
        <v>4.16</v>
      </c>
      <c r="H2231" s="47">
        <v>79.3</v>
      </c>
      <c r="I2231" s="47" t="s">
        <v>75</v>
      </c>
    </row>
    <row r="2232" ht="15.75" customHeight="1">
      <c r="A2232" s="47" t="s">
        <v>4697</v>
      </c>
      <c r="B2232" s="47" t="s">
        <v>4698</v>
      </c>
      <c r="C2232" s="47" t="s">
        <v>7758</v>
      </c>
      <c r="D2232" s="47" t="s">
        <v>128</v>
      </c>
      <c r="E2232" s="47" t="s">
        <v>338</v>
      </c>
      <c r="F2232" s="47">
        <v>12951.0</v>
      </c>
      <c r="G2232" s="47">
        <v>14.49</v>
      </c>
      <c r="H2232" s="47">
        <v>893.8</v>
      </c>
      <c r="I2232" s="47" t="s">
        <v>571</v>
      </c>
    </row>
    <row r="2233" ht="15.75" customHeight="1">
      <c r="A2233" s="47" t="s">
        <v>4699</v>
      </c>
      <c r="B2233" s="47" t="s">
        <v>4700</v>
      </c>
      <c r="C2233" s="47" t="s">
        <v>7758</v>
      </c>
      <c r="D2233" s="47" t="s">
        <v>206</v>
      </c>
      <c r="E2233" s="47" t="s">
        <v>533</v>
      </c>
      <c r="F2233" s="47">
        <v>213.0</v>
      </c>
      <c r="G2233" s="47">
        <v>2.8</v>
      </c>
      <c r="H2233" s="47">
        <v>76.1</v>
      </c>
      <c r="I2233" s="47" t="s">
        <v>75</v>
      </c>
    </row>
    <row r="2234" ht="15.75" customHeight="1">
      <c r="A2234" s="47" t="s">
        <v>4701</v>
      </c>
      <c r="B2234" s="47" t="s">
        <v>4702</v>
      </c>
      <c r="C2234" s="47" t="s">
        <v>7758</v>
      </c>
      <c r="D2234" s="47" t="s">
        <v>169</v>
      </c>
      <c r="E2234" s="47" t="s">
        <v>449</v>
      </c>
      <c r="F2234" s="47">
        <v>277.0</v>
      </c>
      <c r="G2234" s="47">
        <v>7.63</v>
      </c>
      <c r="H2234" s="47">
        <v>36.3</v>
      </c>
      <c r="I2234" s="47" t="s">
        <v>75</v>
      </c>
    </row>
    <row r="2235" ht="15.75" customHeight="1">
      <c r="A2235" s="47" t="s">
        <v>4703</v>
      </c>
      <c r="B2235" s="47" t="s">
        <v>4704</v>
      </c>
      <c r="C2235" s="47" t="s">
        <v>7758</v>
      </c>
      <c r="D2235" s="47" t="s">
        <v>169</v>
      </c>
      <c r="E2235" s="47" t="s">
        <v>449</v>
      </c>
      <c r="F2235" s="47">
        <v>553.0</v>
      </c>
      <c r="G2235" s="47">
        <v>8.88</v>
      </c>
      <c r="H2235" s="47">
        <v>62.3</v>
      </c>
      <c r="I2235" s="47" t="s">
        <v>62</v>
      </c>
    </row>
    <row r="2236" ht="15.75" customHeight="1">
      <c r="A2236" s="47" t="s">
        <v>4705</v>
      </c>
      <c r="B2236" s="47" t="s">
        <v>4706</v>
      </c>
      <c r="C2236" s="47" t="s">
        <v>7758</v>
      </c>
      <c r="D2236" s="47" t="s">
        <v>169</v>
      </c>
      <c r="E2236" s="47" t="s">
        <v>449</v>
      </c>
      <c r="F2236" s="47">
        <v>482.0</v>
      </c>
      <c r="G2236" s="47">
        <v>8.48</v>
      </c>
      <c r="H2236" s="47">
        <v>56.8</v>
      </c>
      <c r="I2236" s="47" t="s">
        <v>75</v>
      </c>
    </row>
    <row r="2237" ht="15.75" customHeight="1">
      <c r="A2237" s="47" t="s">
        <v>4707</v>
      </c>
      <c r="B2237" s="47" t="s">
        <v>4708</v>
      </c>
      <c r="C2237" s="47" t="s">
        <v>7758</v>
      </c>
      <c r="D2237" s="47" t="s">
        <v>206</v>
      </c>
      <c r="E2237" s="47" t="s">
        <v>533</v>
      </c>
      <c r="F2237" s="47">
        <v>164.0</v>
      </c>
      <c r="G2237" s="47">
        <v>5.54</v>
      </c>
      <c r="H2237" s="47">
        <v>29.6</v>
      </c>
      <c r="I2237" s="47" t="s">
        <v>75</v>
      </c>
    </row>
    <row r="2238" ht="15.75" customHeight="1">
      <c r="A2238" s="47" t="s">
        <v>4709</v>
      </c>
      <c r="B2238" s="47" t="s">
        <v>4710</v>
      </c>
      <c r="C2238" s="47" t="s">
        <v>7758</v>
      </c>
      <c r="D2238" s="47" t="s">
        <v>169</v>
      </c>
      <c r="E2238" s="47" t="s">
        <v>449</v>
      </c>
      <c r="F2238" s="47">
        <v>485.0</v>
      </c>
      <c r="G2238" s="47">
        <v>5.68</v>
      </c>
      <c r="H2238" s="47">
        <v>85.4</v>
      </c>
      <c r="I2238" s="47" t="s">
        <v>75</v>
      </c>
    </row>
    <row r="2239" ht="15.75" customHeight="1">
      <c r="A2239" s="47" t="s">
        <v>4711</v>
      </c>
      <c r="B2239" s="47" t="s">
        <v>4712</v>
      </c>
      <c r="C2239" s="47" t="s">
        <v>7758</v>
      </c>
      <c r="D2239" s="47" t="s">
        <v>128</v>
      </c>
      <c r="E2239" s="47" t="s">
        <v>338</v>
      </c>
      <c r="F2239" s="47">
        <v>162.0</v>
      </c>
      <c r="G2239" s="47">
        <v>5.85</v>
      </c>
      <c r="H2239" s="47">
        <v>27.7</v>
      </c>
      <c r="I2239" s="47" t="s">
        <v>75</v>
      </c>
    </row>
    <row r="2240" ht="15.75" customHeight="1">
      <c r="A2240" s="47" t="s">
        <v>4713</v>
      </c>
      <c r="B2240" s="47" t="s">
        <v>4714</v>
      </c>
      <c r="C2240" s="47" t="s">
        <v>7758</v>
      </c>
      <c r="D2240" s="47" t="s">
        <v>204</v>
      </c>
      <c r="E2240" s="47" t="s">
        <v>527</v>
      </c>
      <c r="F2240" s="47">
        <v>920.0</v>
      </c>
      <c r="G2240" s="47">
        <v>7.51</v>
      </c>
      <c r="H2240" s="47">
        <v>122.5</v>
      </c>
      <c r="I2240" s="47" t="s">
        <v>62</v>
      </c>
    </row>
    <row r="2241" ht="15.75" customHeight="1">
      <c r="A2241" s="47" t="s">
        <v>4715</v>
      </c>
      <c r="B2241" s="47" t="s">
        <v>4716</v>
      </c>
      <c r="C2241" s="47" t="s">
        <v>7758</v>
      </c>
      <c r="D2241" s="47" t="s">
        <v>169</v>
      </c>
      <c r="E2241" s="47" t="s">
        <v>449</v>
      </c>
      <c r="F2241" s="47">
        <v>155.0</v>
      </c>
      <c r="G2241" s="47">
        <v>4.24</v>
      </c>
      <c r="H2241" s="47">
        <v>36.6</v>
      </c>
      <c r="I2241" s="47" t="s">
        <v>75</v>
      </c>
    </row>
    <row r="2242" ht="15.75" customHeight="1">
      <c r="A2242" s="47" t="s">
        <v>4717</v>
      </c>
      <c r="B2242" s="47" t="s">
        <v>4718</v>
      </c>
      <c r="C2242" s="47" t="s">
        <v>7758</v>
      </c>
      <c r="D2242" s="47" t="s">
        <v>118</v>
      </c>
      <c r="E2242" s="47" t="s">
        <v>300</v>
      </c>
      <c r="F2242" s="47">
        <v>25224.0</v>
      </c>
      <c r="G2242" s="47">
        <v>9.46</v>
      </c>
      <c r="H2242" s="47">
        <v>2666.4</v>
      </c>
      <c r="I2242" s="47" t="s">
        <v>571</v>
      </c>
    </row>
    <row r="2243" ht="15.75" customHeight="1">
      <c r="A2243" s="47" t="s">
        <v>4719</v>
      </c>
      <c r="B2243" s="47" t="s">
        <v>4720</v>
      </c>
      <c r="C2243" s="47" t="s">
        <v>7758</v>
      </c>
      <c r="D2243" s="47" t="s">
        <v>118</v>
      </c>
      <c r="E2243" s="47" t="s">
        <v>300</v>
      </c>
      <c r="F2243" s="47">
        <v>460.0</v>
      </c>
      <c r="G2243" s="47">
        <v>5.04</v>
      </c>
      <c r="H2243" s="47">
        <v>91.3</v>
      </c>
      <c r="I2243" s="47" t="s">
        <v>75</v>
      </c>
    </row>
    <row r="2244" ht="15.75" customHeight="1">
      <c r="A2244" s="47" t="s">
        <v>4721</v>
      </c>
      <c r="B2244" s="47" t="s">
        <v>4722</v>
      </c>
      <c r="C2244" s="47" t="s">
        <v>7758</v>
      </c>
      <c r="D2244" s="47" t="s">
        <v>204</v>
      </c>
      <c r="E2244" s="47" t="s">
        <v>527</v>
      </c>
      <c r="F2244" s="47">
        <v>180.0</v>
      </c>
      <c r="G2244" s="47">
        <v>3.97</v>
      </c>
      <c r="H2244" s="47">
        <v>45.3</v>
      </c>
      <c r="I2244" s="47" t="s">
        <v>75</v>
      </c>
    </row>
    <row r="2245" ht="15.75" customHeight="1">
      <c r="A2245" s="47" t="s">
        <v>4723</v>
      </c>
      <c r="B2245" s="47" t="s">
        <v>4724</v>
      </c>
      <c r="C2245" s="47" t="s">
        <v>7758</v>
      </c>
      <c r="D2245" s="47" t="s">
        <v>204</v>
      </c>
      <c r="E2245" s="47" t="s">
        <v>527</v>
      </c>
      <c r="F2245" s="47">
        <v>351.0</v>
      </c>
      <c r="G2245" s="47">
        <v>5.76</v>
      </c>
      <c r="H2245" s="47">
        <v>60.9</v>
      </c>
      <c r="I2245" s="47" t="s">
        <v>75</v>
      </c>
    </row>
    <row r="2246" ht="15.75" customHeight="1">
      <c r="A2246" s="47" t="s">
        <v>4725</v>
      </c>
      <c r="B2246" s="47" t="s">
        <v>4726</v>
      </c>
      <c r="C2246" s="47" t="s">
        <v>7758</v>
      </c>
      <c r="D2246" s="47" t="s">
        <v>187</v>
      </c>
      <c r="E2246" s="47" t="s">
        <v>488</v>
      </c>
      <c r="F2246" s="47">
        <v>546.0</v>
      </c>
      <c r="G2246" s="47">
        <v>15.99</v>
      </c>
      <c r="H2246" s="47">
        <v>34.1</v>
      </c>
      <c r="I2246" s="47" t="s">
        <v>62</v>
      </c>
    </row>
    <row r="2247" ht="15.75" customHeight="1">
      <c r="A2247" s="47" t="s">
        <v>4727</v>
      </c>
      <c r="B2247" s="47" t="s">
        <v>4728</v>
      </c>
      <c r="C2247" s="47" t="s">
        <v>7758</v>
      </c>
      <c r="D2247" s="47" t="s">
        <v>128</v>
      </c>
      <c r="E2247" s="47" t="s">
        <v>338</v>
      </c>
      <c r="F2247" s="47">
        <v>436.0</v>
      </c>
      <c r="G2247" s="47">
        <v>2.96</v>
      </c>
      <c r="H2247" s="47">
        <v>147.3</v>
      </c>
      <c r="I2247" s="47" t="s">
        <v>75</v>
      </c>
    </row>
    <row r="2248" ht="15.75" customHeight="1">
      <c r="A2248" s="47" t="s">
        <v>4729</v>
      </c>
      <c r="B2248" s="47" t="s">
        <v>4730</v>
      </c>
      <c r="C2248" s="47" t="s">
        <v>7758</v>
      </c>
      <c r="D2248" s="47" t="s">
        <v>163</v>
      </c>
      <c r="E2248" s="47" t="s">
        <v>441</v>
      </c>
      <c r="F2248" s="47">
        <v>458.0</v>
      </c>
      <c r="G2248" s="47">
        <v>4.73</v>
      </c>
      <c r="H2248" s="47">
        <v>96.8</v>
      </c>
      <c r="I2248" s="47" t="s">
        <v>75</v>
      </c>
    </row>
    <row r="2249" ht="15.75" customHeight="1">
      <c r="A2249" s="47" t="s">
        <v>4731</v>
      </c>
      <c r="B2249" s="47" t="s">
        <v>4732</v>
      </c>
      <c r="C2249" s="47" t="s">
        <v>7758</v>
      </c>
      <c r="D2249" s="47" t="s">
        <v>118</v>
      </c>
      <c r="E2249" s="47" t="s">
        <v>300</v>
      </c>
      <c r="F2249" s="47">
        <v>9189.0</v>
      </c>
      <c r="G2249" s="47">
        <v>16.82</v>
      </c>
      <c r="H2249" s="47">
        <v>546.3</v>
      </c>
      <c r="I2249" s="47" t="s">
        <v>142</v>
      </c>
    </row>
    <row r="2250" ht="15.75" customHeight="1">
      <c r="A2250" s="47" t="s">
        <v>4733</v>
      </c>
      <c r="B2250" s="47" t="s">
        <v>4734</v>
      </c>
      <c r="C2250" s="47" t="s">
        <v>7758</v>
      </c>
      <c r="D2250" s="47" t="s">
        <v>187</v>
      </c>
      <c r="E2250" s="47" t="s">
        <v>488</v>
      </c>
      <c r="F2250" s="47">
        <v>367.0</v>
      </c>
      <c r="G2250" s="47">
        <v>13.23</v>
      </c>
      <c r="H2250" s="47">
        <v>27.7</v>
      </c>
      <c r="I2250" s="47" t="s">
        <v>75</v>
      </c>
    </row>
    <row r="2251" ht="15.75" customHeight="1">
      <c r="A2251" s="47" t="s">
        <v>4735</v>
      </c>
      <c r="B2251" s="47" t="s">
        <v>4736</v>
      </c>
      <c r="C2251" s="47" t="s">
        <v>7758</v>
      </c>
      <c r="D2251" s="47" t="s">
        <v>219</v>
      </c>
      <c r="E2251" s="47" t="s">
        <v>377</v>
      </c>
      <c r="F2251" s="47">
        <v>4568.0</v>
      </c>
      <c r="G2251" s="47">
        <v>9.29</v>
      </c>
      <c r="H2251" s="47">
        <v>491.7</v>
      </c>
      <c r="I2251" s="47" t="s">
        <v>142</v>
      </c>
    </row>
    <row r="2252" ht="15.75" customHeight="1">
      <c r="A2252" s="47" t="s">
        <v>4737</v>
      </c>
      <c r="B2252" s="47" t="s">
        <v>4738</v>
      </c>
      <c r="C2252" s="47" t="s">
        <v>7758</v>
      </c>
      <c r="D2252" s="47" t="s">
        <v>204</v>
      </c>
      <c r="E2252" s="47" t="s">
        <v>527</v>
      </c>
      <c r="F2252" s="47">
        <v>93.0</v>
      </c>
      <c r="G2252" s="47">
        <v>4.08</v>
      </c>
      <c r="H2252" s="47">
        <v>22.8</v>
      </c>
      <c r="I2252" s="47" t="s">
        <v>75</v>
      </c>
    </row>
    <row r="2253" ht="15.75" customHeight="1">
      <c r="A2253" s="47" t="s">
        <v>4739</v>
      </c>
      <c r="B2253" s="47" t="s">
        <v>4740</v>
      </c>
      <c r="C2253" s="47" t="s">
        <v>7758</v>
      </c>
      <c r="D2253" s="47" t="s">
        <v>169</v>
      </c>
      <c r="E2253" s="47" t="s">
        <v>449</v>
      </c>
      <c r="F2253" s="47">
        <v>671.0</v>
      </c>
      <c r="G2253" s="47">
        <v>7.38</v>
      </c>
      <c r="H2253" s="47">
        <v>90.9</v>
      </c>
      <c r="I2253" s="47" t="s">
        <v>62</v>
      </c>
    </row>
    <row r="2254" ht="15.75" customHeight="1">
      <c r="A2254" s="47" t="s">
        <v>4741</v>
      </c>
      <c r="B2254" s="47" t="s">
        <v>4742</v>
      </c>
      <c r="C2254" s="47" t="s">
        <v>7758</v>
      </c>
      <c r="D2254" s="47" t="s">
        <v>204</v>
      </c>
      <c r="E2254" s="47" t="s">
        <v>527</v>
      </c>
      <c r="F2254" s="47">
        <v>286.0</v>
      </c>
      <c r="G2254" s="47">
        <v>4.7</v>
      </c>
      <c r="H2254" s="47">
        <v>60.9</v>
      </c>
      <c r="I2254" s="47" t="s">
        <v>75</v>
      </c>
    </row>
    <row r="2255" ht="15.75" customHeight="1">
      <c r="A2255" s="47" t="s">
        <v>4743</v>
      </c>
      <c r="B2255" s="47" t="s">
        <v>4744</v>
      </c>
      <c r="C2255" s="47" t="s">
        <v>7758</v>
      </c>
      <c r="D2255" s="47" t="s">
        <v>118</v>
      </c>
      <c r="E2255" s="47" t="s">
        <v>300</v>
      </c>
      <c r="F2255" s="47">
        <v>5093.0</v>
      </c>
      <c r="G2255" s="47">
        <v>7.35</v>
      </c>
      <c r="H2255" s="47">
        <v>692.9</v>
      </c>
      <c r="I2255" s="47" t="s">
        <v>142</v>
      </c>
    </row>
    <row r="2256" ht="15.75" customHeight="1">
      <c r="A2256" s="47" t="s">
        <v>4745</v>
      </c>
      <c r="B2256" s="47" t="s">
        <v>4746</v>
      </c>
      <c r="C2256" s="47" t="s">
        <v>7758</v>
      </c>
      <c r="D2256" s="47" t="s">
        <v>127</v>
      </c>
      <c r="E2256" s="47" t="s">
        <v>323</v>
      </c>
      <c r="F2256" s="47">
        <v>7937.0</v>
      </c>
      <c r="G2256" s="47">
        <v>2.72</v>
      </c>
      <c r="H2256" s="47">
        <v>2918.0</v>
      </c>
      <c r="I2256" s="47" t="s">
        <v>142</v>
      </c>
    </row>
    <row r="2257" ht="15.75" customHeight="1">
      <c r="A2257" s="47" t="s">
        <v>4747</v>
      </c>
      <c r="B2257" s="47" t="s">
        <v>4748</v>
      </c>
      <c r="C2257" s="47" t="s">
        <v>7758</v>
      </c>
      <c r="D2257" s="47" t="s">
        <v>187</v>
      </c>
      <c r="E2257" s="47" t="s">
        <v>488</v>
      </c>
      <c r="F2257" s="47">
        <v>112.0</v>
      </c>
      <c r="G2257" s="47">
        <v>6.82</v>
      </c>
      <c r="H2257" s="47">
        <v>16.4</v>
      </c>
      <c r="I2257" s="47" t="s">
        <v>75</v>
      </c>
    </row>
    <row r="2258" ht="15.75" customHeight="1">
      <c r="A2258" s="47" t="s">
        <v>4749</v>
      </c>
      <c r="B2258" s="47" t="s">
        <v>4750</v>
      </c>
      <c r="C2258" s="47" t="s">
        <v>7758</v>
      </c>
      <c r="D2258" s="47" t="s">
        <v>169</v>
      </c>
      <c r="E2258" s="47" t="s">
        <v>449</v>
      </c>
      <c r="F2258" s="47">
        <v>304.0</v>
      </c>
      <c r="G2258" s="47">
        <v>4.6</v>
      </c>
      <c r="H2258" s="47">
        <v>66.1</v>
      </c>
      <c r="I2258" s="47" t="s">
        <v>75</v>
      </c>
    </row>
    <row r="2259" ht="15.75" customHeight="1">
      <c r="A2259" s="47" t="s">
        <v>4751</v>
      </c>
      <c r="B2259" s="47" t="s">
        <v>4752</v>
      </c>
      <c r="C2259" s="47" t="s">
        <v>7758</v>
      </c>
      <c r="D2259" s="47" t="s">
        <v>206</v>
      </c>
      <c r="E2259" s="47" t="s">
        <v>533</v>
      </c>
      <c r="F2259" s="47">
        <v>95.0</v>
      </c>
      <c r="G2259" s="47">
        <v>4.64</v>
      </c>
      <c r="H2259" s="47">
        <v>20.5</v>
      </c>
      <c r="I2259" s="47" t="s">
        <v>75</v>
      </c>
    </row>
    <row r="2260" ht="15.75" customHeight="1">
      <c r="A2260" s="47" t="s">
        <v>4753</v>
      </c>
      <c r="B2260" s="47" t="s">
        <v>4754</v>
      </c>
      <c r="C2260" s="47" t="s">
        <v>7758</v>
      </c>
      <c r="D2260" s="47" t="s">
        <v>167</v>
      </c>
      <c r="E2260" s="47" t="s">
        <v>447</v>
      </c>
      <c r="F2260" s="47">
        <v>715.0</v>
      </c>
      <c r="G2260" s="47">
        <v>11.6</v>
      </c>
      <c r="H2260" s="47">
        <v>61.6</v>
      </c>
      <c r="I2260" s="47" t="s">
        <v>62</v>
      </c>
    </row>
    <row r="2261" ht="15.75" customHeight="1">
      <c r="A2261" s="47" t="s">
        <v>4755</v>
      </c>
      <c r="B2261" s="47" t="s">
        <v>4756</v>
      </c>
      <c r="C2261" s="47" t="s">
        <v>7758</v>
      </c>
      <c r="D2261" s="47" t="s">
        <v>139</v>
      </c>
      <c r="E2261" s="47" t="s">
        <v>354</v>
      </c>
      <c r="F2261" s="47">
        <v>4859.0</v>
      </c>
      <c r="G2261" s="47">
        <v>9.59</v>
      </c>
      <c r="H2261" s="47">
        <v>506.7</v>
      </c>
      <c r="I2261" s="47" t="s">
        <v>142</v>
      </c>
    </row>
    <row r="2262" ht="15.75" customHeight="1">
      <c r="A2262" s="47" t="s">
        <v>4757</v>
      </c>
      <c r="B2262" s="47" t="s">
        <v>4758</v>
      </c>
      <c r="C2262" s="47" t="s">
        <v>7758</v>
      </c>
      <c r="D2262" s="47" t="s">
        <v>191</v>
      </c>
      <c r="E2262" s="47" t="s">
        <v>504</v>
      </c>
      <c r="F2262" s="47">
        <v>490.0</v>
      </c>
      <c r="G2262" s="47">
        <v>8.66</v>
      </c>
      <c r="H2262" s="47">
        <v>56.6</v>
      </c>
      <c r="I2262" s="47" t="s">
        <v>75</v>
      </c>
    </row>
    <row r="2263" ht="15.75" customHeight="1">
      <c r="A2263" s="47" t="s">
        <v>4759</v>
      </c>
      <c r="B2263" s="47" t="s">
        <v>4760</v>
      </c>
      <c r="C2263" s="47" t="s">
        <v>7758</v>
      </c>
      <c r="D2263" s="47" t="s">
        <v>118</v>
      </c>
      <c r="E2263" s="47" t="s">
        <v>300</v>
      </c>
      <c r="F2263" s="47">
        <v>907.0</v>
      </c>
      <c r="G2263" s="47">
        <v>5.36</v>
      </c>
      <c r="H2263" s="47">
        <v>169.2</v>
      </c>
      <c r="I2263" s="47" t="s">
        <v>62</v>
      </c>
    </row>
    <row r="2264" ht="15.75" customHeight="1">
      <c r="A2264" s="47" t="s">
        <v>4761</v>
      </c>
      <c r="B2264" s="47" t="s">
        <v>4762</v>
      </c>
      <c r="C2264" s="47" t="s">
        <v>7758</v>
      </c>
      <c r="D2264" s="47" t="s">
        <v>167</v>
      </c>
      <c r="E2264" s="47" t="s">
        <v>447</v>
      </c>
      <c r="F2264" s="47">
        <v>160.0</v>
      </c>
      <c r="G2264" s="47">
        <v>3.21</v>
      </c>
      <c r="H2264" s="47">
        <v>49.8</v>
      </c>
      <c r="I2264" s="47" t="s">
        <v>75</v>
      </c>
    </row>
    <row r="2265" ht="15.75" customHeight="1">
      <c r="A2265" s="47" t="s">
        <v>4763</v>
      </c>
      <c r="B2265" s="47" t="s">
        <v>4764</v>
      </c>
      <c r="C2265" s="47" t="s">
        <v>7758</v>
      </c>
      <c r="D2265" s="47" t="s">
        <v>206</v>
      </c>
      <c r="E2265" s="47" t="s">
        <v>533</v>
      </c>
      <c r="F2265" s="47">
        <v>46.0</v>
      </c>
      <c r="G2265" s="47">
        <v>3.46</v>
      </c>
      <c r="H2265" s="47">
        <v>13.3</v>
      </c>
      <c r="I2265" s="47" t="s">
        <v>75</v>
      </c>
    </row>
    <row r="2266" ht="15.75" customHeight="1">
      <c r="A2266" s="47" t="s">
        <v>4765</v>
      </c>
      <c r="B2266" s="47" t="s">
        <v>4766</v>
      </c>
      <c r="C2266" s="47" t="s">
        <v>7758</v>
      </c>
      <c r="D2266" s="47" t="s">
        <v>234</v>
      </c>
      <c r="E2266" s="47" t="s">
        <v>552</v>
      </c>
      <c r="F2266" s="47">
        <v>478.0</v>
      </c>
      <c r="G2266" s="47">
        <v>4.6</v>
      </c>
      <c r="H2266" s="47">
        <v>103.9</v>
      </c>
      <c r="I2266" s="47" t="s">
        <v>75</v>
      </c>
    </row>
    <row r="2267" ht="15.75" customHeight="1">
      <c r="A2267" s="47" t="s">
        <v>4767</v>
      </c>
      <c r="B2267" s="47" t="s">
        <v>4768</v>
      </c>
      <c r="C2267" s="47" t="s">
        <v>7758</v>
      </c>
      <c r="D2267" s="47" t="s">
        <v>219</v>
      </c>
      <c r="E2267" s="47" t="s">
        <v>377</v>
      </c>
      <c r="F2267" s="47">
        <v>450.0</v>
      </c>
      <c r="G2267" s="47">
        <v>6.2</v>
      </c>
      <c r="H2267" s="47">
        <v>72.6</v>
      </c>
      <c r="I2267" s="47" t="s">
        <v>75</v>
      </c>
    </row>
    <row r="2268" ht="15.75" customHeight="1">
      <c r="A2268" s="47" t="s">
        <v>4769</v>
      </c>
      <c r="B2268" s="47" t="s">
        <v>4770</v>
      </c>
      <c r="C2268" s="47" t="s">
        <v>7758</v>
      </c>
      <c r="D2268" s="47" t="s">
        <v>234</v>
      </c>
      <c r="E2268" s="47" t="s">
        <v>552</v>
      </c>
      <c r="F2268" s="47">
        <v>255.0</v>
      </c>
      <c r="G2268" s="47">
        <v>3.51</v>
      </c>
      <c r="H2268" s="47">
        <v>72.6</v>
      </c>
      <c r="I2268" s="47" t="s">
        <v>75</v>
      </c>
    </row>
    <row r="2269" ht="15.75" customHeight="1">
      <c r="A2269" s="47" t="s">
        <v>4771</v>
      </c>
      <c r="B2269" s="47" t="s">
        <v>4772</v>
      </c>
      <c r="C2269" s="47" t="s">
        <v>7758</v>
      </c>
      <c r="D2269" s="47" t="s">
        <v>234</v>
      </c>
      <c r="E2269" s="47" t="s">
        <v>552</v>
      </c>
      <c r="F2269" s="47">
        <v>389.0</v>
      </c>
      <c r="G2269" s="47">
        <v>5.87</v>
      </c>
      <c r="H2269" s="47">
        <v>66.3</v>
      </c>
      <c r="I2269" s="47" t="s">
        <v>75</v>
      </c>
    </row>
    <row r="2270" ht="15.75" customHeight="1">
      <c r="A2270" s="47" t="s">
        <v>4773</v>
      </c>
      <c r="B2270" s="47" t="s">
        <v>4774</v>
      </c>
      <c r="C2270" s="47" t="s">
        <v>7758</v>
      </c>
      <c r="D2270" s="47" t="s">
        <v>116</v>
      </c>
      <c r="E2270" s="47" t="s">
        <v>285</v>
      </c>
      <c r="F2270" s="47">
        <v>839.0</v>
      </c>
      <c r="G2270" s="47">
        <v>3.96</v>
      </c>
      <c r="H2270" s="47">
        <v>211.9</v>
      </c>
      <c r="I2270" s="47" t="s">
        <v>62</v>
      </c>
    </row>
    <row r="2271" ht="15.75" customHeight="1">
      <c r="A2271" s="47" t="s">
        <v>4775</v>
      </c>
      <c r="B2271" s="47" t="s">
        <v>4776</v>
      </c>
      <c r="C2271" s="47" t="s">
        <v>7758</v>
      </c>
      <c r="D2271" s="47" t="s">
        <v>191</v>
      </c>
      <c r="E2271" s="47" t="s">
        <v>504</v>
      </c>
      <c r="F2271" s="47">
        <v>260.0</v>
      </c>
      <c r="G2271" s="47">
        <v>3.16</v>
      </c>
      <c r="H2271" s="47">
        <v>82.3</v>
      </c>
      <c r="I2271" s="47" t="s">
        <v>75</v>
      </c>
    </row>
    <row r="2272" ht="15.75" customHeight="1">
      <c r="A2272" s="47" t="s">
        <v>4777</v>
      </c>
      <c r="B2272" s="47" t="s">
        <v>4778</v>
      </c>
      <c r="C2272" s="47" t="s">
        <v>7758</v>
      </c>
      <c r="D2272" s="47" t="s">
        <v>167</v>
      </c>
      <c r="E2272" s="47" t="s">
        <v>447</v>
      </c>
      <c r="F2272" s="47">
        <v>529.0</v>
      </c>
      <c r="G2272" s="47">
        <v>12.72</v>
      </c>
      <c r="H2272" s="47">
        <v>41.6</v>
      </c>
      <c r="I2272" s="47" t="s">
        <v>62</v>
      </c>
    </row>
    <row r="2273" ht="15.75" customHeight="1">
      <c r="A2273" s="47" t="s">
        <v>4779</v>
      </c>
      <c r="B2273" s="47" t="s">
        <v>4780</v>
      </c>
      <c r="C2273" s="47" t="s">
        <v>7758</v>
      </c>
      <c r="D2273" s="47" t="s">
        <v>234</v>
      </c>
      <c r="E2273" s="47" t="s">
        <v>552</v>
      </c>
      <c r="F2273" s="47">
        <v>514.0</v>
      </c>
      <c r="G2273" s="47">
        <v>4.72</v>
      </c>
      <c r="H2273" s="47">
        <v>108.9</v>
      </c>
      <c r="I2273" s="47" t="s">
        <v>62</v>
      </c>
    </row>
    <row r="2274" ht="15.75" customHeight="1">
      <c r="A2274" s="47" t="s">
        <v>4781</v>
      </c>
      <c r="B2274" s="47" t="s">
        <v>4782</v>
      </c>
      <c r="C2274" s="47" t="s">
        <v>7758</v>
      </c>
      <c r="D2274" s="47" t="s">
        <v>234</v>
      </c>
      <c r="E2274" s="47" t="s">
        <v>552</v>
      </c>
      <c r="F2274" s="47">
        <v>254.0</v>
      </c>
      <c r="G2274" s="47">
        <v>3.4</v>
      </c>
      <c r="H2274" s="47">
        <v>74.7</v>
      </c>
      <c r="I2274" s="47" t="s">
        <v>75</v>
      </c>
    </row>
    <row r="2275" ht="15.75" customHeight="1">
      <c r="A2275" s="47" t="s">
        <v>4783</v>
      </c>
      <c r="B2275" s="47" t="s">
        <v>4784</v>
      </c>
      <c r="C2275" s="47" t="s">
        <v>7758</v>
      </c>
      <c r="D2275" s="47" t="s">
        <v>139</v>
      </c>
      <c r="E2275" s="47" t="s">
        <v>354</v>
      </c>
      <c r="F2275" s="47">
        <v>615.0</v>
      </c>
      <c r="G2275" s="47">
        <v>14.53</v>
      </c>
      <c r="H2275" s="47">
        <v>42.3</v>
      </c>
      <c r="I2275" s="47" t="s">
        <v>62</v>
      </c>
    </row>
    <row r="2276" ht="15.75" customHeight="1">
      <c r="A2276" s="47" t="s">
        <v>4785</v>
      </c>
      <c r="B2276" s="47" t="s">
        <v>3291</v>
      </c>
      <c r="C2276" s="47" t="s">
        <v>7758</v>
      </c>
      <c r="D2276" s="47" t="s">
        <v>206</v>
      </c>
      <c r="E2276" s="47" t="s">
        <v>533</v>
      </c>
      <c r="F2276" s="47">
        <v>659.0</v>
      </c>
      <c r="G2276" s="47">
        <v>27.09</v>
      </c>
      <c r="H2276" s="47">
        <v>24.3</v>
      </c>
      <c r="I2276" s="47" t="s">
        <v>62</v>
      </c>
    </row>
    <row r="2277" ht="15.75" customHeight="1">
      <c r="A2277" s="47" t="s">
        <v>4786</v>
      </c>
      <c r="B2277" s="47" t="s">
        <v>4787</v>
      </c>
      <c r="C2277" s="47" t="s">
        <v>7758</v>
      </c>
      <c r="D2277" s="47" t="s">
        <v>191</v>
      </c>
      <c r="E2277" s="47" t="s">
        <v>504</v>
      </c>
      <c r="F2277" s="47">
        <v>637.0</v>
      </c>
      <c r="G2277" s="47">
        <v>10.67</v>
      </c>
      <c r="H2277" s="47">
        <v>59.7</v>
      </c>
      <c r="I2277" s="47" t="s">
        <v>62</v>
      </c>
    </row>
    <row r="2278" ht="15.75" customHeight="1">
      <c r="A2278" s="47" t="s">
        <v>4788</v>
      </c>
      <c r="B2278" s="47" t="s">
        <v>4789</v>
      </c>
      <c r="C2278" s="47" t="s">
        <v>7758</v>
      </c>
      <c r="D2278" s="47" t="s">
        <v>141</v>
      </c>
      <c r="E2278" s="47" t="s">
        <v>220</v>
      </c>
      <c r="F2278" s="47">
        <v>597.0</v>
      </c>
      <c r="G2278" s="47">
        <v>8.56</v>
      </c>
      <c r="H2278" s="47">
        <v>69.7</v>
      </c>
      <c r="I2278" s="47" t="s">
        <v>62</v>
      </c>
    </row>
    <row r="2279" ht="15.75" customHeight="1">
      <c r="A2279" s="47" t="s">
        <v>4790</v>
      </c>
      <c r="B2279" s="47" t="s">
        <v>4791</v>
      </c>
      <c r="C2279" s="47" t="s">
        <v>7758</v>
      </c>
      <c r="D2279" s="47" t="s">
        <v>167</v>
      </c>
      <c r="E2279" s="47" t="s">
        <v>447</v>
      </c>
      <c r="F2279" s="47">
        <v>68.0</v>
      </c>
      <c r="G2279" s="47">
        <v>1.74</v>
      </c>
      <c r="H2279" s="47">
        <v>39.1</v>
      </c>
      <c r="I2279" s="47" t="s">
        <v>75</v>
      </c>
    </row>
    <row r="2280" ht="15.75" customHeight="1">
      <c r="A2280" s="47" t="s">
        <v>4792</v>
      </c>
      <c r="B2280" s="47" t="s">
        <v>4793</v>
      </c>
      <c r="C2280" s="47" t="s">
        <v>7758</v>
      </c>
      <c r="D2280" s="47" t="s">
        <v>206</v>
      </c>
      <c r="E2280" s="47" t="s">
        <v>533</v>
      </c>
      <c r="F2280" s="47">
        <v>578.0</v>
      </c>
      <c r="G2280" s="47">
        <v>9.22</v>
      </c>
      <c r="H2280" s="47">
        <v>62.7</v>
      </c>
      <c r="I2280" s="47" t="s">
        <v>62</v>
      </c>
    </row>
    <row r="2281" ht="15.75" customHeight="1">
      <c r="A2281" s="47" t="s">
        <v>4794</v>
      </c>
      <c r="B2281" s="47" t="s">
        <v>4795</v>
      </c>
      <c r="C2281" s="47" t="s">
        <v>7758</v>
      </c>
      <c r="D2281" s="47" t="s">
        <v>132</v>
      </c>
      <c r="E2281" s="47" t="s">
        <v>346</v>
      </c>
      <c r="F2281" s="47">
        <v>40539.0</v>
      </c>
      <c r="G2281" s="47">
        <v>7.79</v>
      </c>
      <c r="H2281" s="47">
        <v>5204.0</v>
      </c>
      <c r="I2281" s="47" t="s">
        <v>571</v>
      </c>
    </row>
    <row r="2282" ht="15.75" customHeight="1">
      <c r="A2282" s="47" t="s">
        <v>4796</v>
      </c>
      <c r="B2282" s="47" t="s">
        <v>4797</v>
      </c>
      <c r="C2282" s="47" t="s">
        <v>7758</v>
      </c>
      <c r="D2282" s="47" t="s">
        <v>223</v>
      </c>
      <c r="E2282" s="47" t="s">
        <v>380</v>
      </c>
      <c r="F2282" s="47">
        <v>788.0</v>
      </c>
      <c r="G2282" s="47">
        <v>8.1</v>
      </c>
      <c r="H2282" s="47">
        <v>97.3</v>
      </c>
      <c r="I2282" s="47" t="s">
        <v>62</v>
      </c>
    </row>
    <row r="2283" ht="15.75" customHeight="1">
      <c r="A2283" s="47" t="s">
        <v>4798</v>
      </c>
      <c r="B2283" s="47" t="s">
        <v>4799</v>
      </c>
      <c r="C2283" s="47" t="s">
        <v>7758</v>
      </c>
      <c r="D2283" s="47" t="s">
        <v>118</v>
      </c>
      <c r="E2283" s="47" t="s">
        <v>300</v>
      </c>
      <c r="F2283" s="47">
        <v>568.0</v>
      </c>
      <c r="G2283" s="47">
        <v>4.03</v>
      </c>
      <c r="H2283" s="47">
        <v>140.9</v>
      </c>
      <c r="I2283" s="47" t="s">
        <v>62</v>
      </c>
    </row>
    <row r="2284" ht="15.75" customHeight="1">
      <c r="A2284" s="47" t="s">
        <v>4800</v>
      </c>
      <c r="B2284" s="47" t="s">
        <v>4801</v>
      </c>
      <c r="C2284" s="47" t="s">
        <v>7758</v>
      </c>
      <c r="D2284" s="47" t="s">
        <v>206</v>
      </c>
      <c r="E2284" s="47" t="s">
        <v>533</v>
      </c>
      <c r="F2284" s="47">
        <v>239.0</v>
      </c>
      <c r="G2284" s="47">
        <v>5.0</v>
      </c>
      <c r="H2284" s="47">
        <v>47.8</v>
      </c>
      <c r="I2284" s="47" t="s">
        <v>75</v>
      </c>
    </row>
    <row r="2285" ht="15.75" customHeight="1">
      <c r="A2285" s="47" t="s">
        <v>4802</v>
      </c>
      <c r="B2285" s="47" t="s">
        <v>4803</v>
      </c>
      <c r="C2285" s="47" t="s">
        <v>7758</v>
      </c>
      <c r="D2285" s="47" t="s">
        <v>219</v>
      </c>
      <c r="E2285" s="47" t="s">
        <v>377</v>
      </c>
      <c r="F2285" s="47">
        <v>1156.0</v>
      </c>
      <c r="G2285" s="47">
        <v>12.2</v>
      </c>
      <c r="H2285" s="47">
        <v>94.8</v>
      </c>
      <c r="I2285" s="47" t="s">
        <v>62</v>
      </c>
    </row>
    <row r="2286" ht="15.75" customHeight="1">
      <c r="A2286" s="47" t="s">
        <v>4804</v>
      </c>
      <c r="B2286" s="47" t="s">
        <v>4805</v>
      </c>
      <c r="C2286" s="47" t="s">
        <v>7758</v>
      </c>
      <c r="D2286" s="47" t="s">
        <v>150</v>
      </c>
      <c r="E2286" s="47" t="s">
        <v>411</v>
      </c>
      <c r="F2286" s="47">
        <v>223.0</v>
      </c>
      <c r="G2286" s="47">
        <v>8.78</v>
      </c>
      <c r="H2286" s="47">
        <v>25.4</v>
      </c>
      <c r="I2286" s="47" t="s">
        <v>75</v>
      </c>
    </row>
    <row r="2287" ht="15.75" customHeight="1">
      <c r="A2287" s="47" t="s">
        <v>4806</v>
      </c>
      <c r="B2287" s="47" t="s">
        <v>4807</v>
      </c>
      <c r="C2287" s="47" t="s">
        <v>7758</v>
      </c>
      <c r="D2287" s="47" t="s">
        <v>206</v>
      </c>
      <c r="E2287" s="47" t="s">
        <v>533</v>
      </c>
      <c r="F2287" s="47">
        <v>582.0</v>
      </c>
      <c r="G2287" s="47">
        <v>12.02</v>
      </c>
      <c r="H2287" s="47">
        <v>48.4</v>
      </c>
      <c r="I2287" s="47" t="s">
        <v>62</v>
      </c>
    </row>
    <row r="2288" ht="15.75" customHeight="1">
      <c r="A2288" s="47" t="s">
        <v>4808</v>
      </c>
      <c r="B2288" s="47" t="s">
        <v>4809</v>
      </c>
      <c r="C2288" s="47" t="s">
        <v>7758</v>
      </c>
      <c r="D2288" s="47" t="s">
        <v>223</v>
      </c>
      <c r="E2288" s="47" t="s">
        <v>380</v>
      </c>
      <c r="F2288" s="47">
        <v>236.0</v>
      </c>
      <c r="G2288" s="47">
        <v>7.65</v>
      </c>
      <c r="H2288" s="47">
        <v>30.8</v>
      </c>
      <c r="I2288" s="47" t="s">
        <v>75</v>
      </c>
    </row>
    <row r="2289" ht="15.75" customHeight="1">
      <c r="A2289" s="47" t="s">
        <v>4810</v>
      </c>
      <c r="B2289" s="47" t="s">
        <v>4811</v>
      </c>
      <c r="C2289" s="47" t="s">
        <v>7758</v>
      </c>
      <c r="D2289" s="47" t="s">
        <v>187</v>
      </c>
      <c r="E2289" s="47" t="s">
        <v>488</v>
      </c>
      <c r="F2289" s="47">
        <v>860.0</v>
      </c>
      <c r="G2289" s="47">
        <v>22.36</v>
      </c>
      <c r="H2289" s="47">
        <v>38.5</v>
      </c>
      <c r="I2289" s="47" t="s">
        <v>62</v>
      </c>
    </row>
    <row r="2290" ht="15.75" customHeight="1">
      <c r="A2290" s="47" t="s">
        <v>4812</v>
      </c>
      <c r="B2290" s="47" t="s">
        <v>4813</v>
      </c>
      <c r="C2290" s="47" t="s">
        <v>7758</v>
      </c>
      <c r="D2290" s="47" t="s">
        <v>191</v>
      </c>
      <c r="E2290" s="47" t="s">
        <v>504</v>
      </c>
      <c r="F2290" s="47">
        <v>260.0</v>
      </c>
      <c r="G2290" s="47">
        <v>6.39</v>
      </c>
      <c r="H2290" s="47">
        <v>40.7</v>
      </c>
      <c r="I2290" s="47" t="s">
        <v>75</v>
      </c>
    </row>
    <row r="2291" ht="15.75" customHeight="1">
      <c r="A2291" s="47" t="s">
        <v>4814</v>
      </c>
      <c r="B2291" s="47" t="s">
        <v>4815</v>
      </c>
      <c r="C2291" s="47" t="s">
        <v>7758</v>
      </c>
      <c r="D2291" s="47" t="s">
        <v>127</v>
      </c>
      <c r="E2291" s="47" t="s">
        <v>323</v>
      </c>
      <c r="F2291" s="47">
        <v>2398.0</v>
      </c>
      <c r="G2291" s="47">
        <v>9.12</v>
      </c>
      <c r="H2291" s="47">
        <v>262.9</v>
      </c>
      <c r="I2291" s="47" t="s">
        <v>142</v>
      </c>
    </row>
    <row r="2292" ht="15.75" customHeight="1">
      <c r="A2292" s="47" t="s">
        <v>4816</v>
      </c>
      <c r="B2292" s="47" t="s">
        <v>4817</v>
      </c>
      <c r="C2292" s="47" t="s">
        <v>7758</v>
      </c>
      <c r="D2292" s="47" t="s">
        <v>206</v>
      </c>
      <c r="E2292" s="47" t="s">
        <v>533</v>
      </c>
      <c r="F2292" s="47">
        <v>147.0</v>
      </c>
      <c r="G2292" s="47">
        <v>5.45</v>
      </c>
      <c r="H2292" s="47">
        <v>27.0</v>
      </c>
      <c r="I2292" s="47" t="s">
        <v>75</v>
      </c>
    </row>
    <row r="2293" ht="15.75" customHeight="1">
      <c r="A2293" s="47" t="s">
        <v>4818</v>
      </c>
      <c r="B2293" s="47" t="s">
        <v>4819</v>
      </c>
      <c r="C2293" s="47" t="s">
        <v>7758</v>
      </c>
      <c r="D2293" s="47" t="s">
        <v>234</v>
      </c>
      <c r="E2293" s="47" t="s">
        <v>552</v>
      </c>
      <c r="F2293" s="47">
        <v>366.0</v>
      </c>
      <c r="G2293" s="47">
        <v>4.12</v>
      </c>
      <c r="H2293" s="47">
        <v>88.8</v>
      </c>
      <c r="I2293" s="47" t="s">
        <v>75</v>
      </c>
    </row>
    <row r="2294" ht="15.75" customHeight="1">
      <c r="A2294" s="47" t="s">
        <v>4820</v>
      </c>
      <c r="B2294" s="47" t="s">
        <v>4821</v>
      </c>
      <c r="C2294" s="47" t="s">
        <v>7758</v>
      </c>
      <c r="D2294" s="47" t="s">
        <v>219</v>
      </c>
      <c r="E2294" s="47" t="s">
        <v>377</v>
      </c>
      <c r="F2294" s="47">
        <v>5283.0</v>
      </c>
      <c r="G2294" s="47">
        <v>10.76</v>
      </c>
      <c r="H2294" s="47">
        <v>491.0</v>
      </c>
      <c r="I2294" s="47" t="s">
        <v>142</v>
      </c>
    </row>
    <row r="2295" ht="15.75" customHeight="1">
      <c r="A2295" s="47" t="s">
        <v>4822</v>
      </c>
      <c r="B2295" s="47" t="s">
        <v>4823</v>
      </c>
      <c r="C2295" s="47" t="s">
        <v>7758</v>
      </c>
      <c r="D2295" s="47" t="s">
        <v>223</v>
      </c>
      <c r="E2295" s="47" t="s">
        <v>380</v>
      </c>
      <c r="F2295" s="47">
        <v>1324.0</v>
      </c>
      <c r="G2295" s="47">
        <v>7.3</v>
      </c>
      <c r="H2295" s="47">
        <v>181.4</v>
      </c>
      <c r="I2295" s="47" t="s">
        <v>62</v>
      </c>
    </row>
    <row r="2296" ht="15.75" customHeight="1">
      <c r="A2296" s="47" t="s">
        <v>4824</v>
      </c>
      <c r="B2296" s="47" t="s">
        <v>4825</v>
      </c>
      <c r="C2296" s="47" t="s">
        <v>7758</v>
      </c>
      <c r="D2296" s="47" t="s">
        <v>167</v>
      </c>
      <c r="E2296" s="47" t="s">
        <v>447</v>
      </c>
      <c r="F2296" s="47">
        <v>156.0</v>
      </c>
      <c r="G2296" s="47">
        <v>3.05</v>
      </c>
      <c r="H2296" s="47">
        <v>51.1</v>
      </c>
      <c r="I2296" s="47" t="s">
        <v>75</v>
      </c>
    </row>
    <row r="2297" ht="15.75" customHeight="1">
      <c r="A2297" s="47" t="s">
        <v>4826</v>
      </c>
      <c r="B2297" s="47" t="s">
        <v>4827</v>
      </c>
      <c r="C2297" s="47" t="s">
        <v>7758</v>
      </c>
      <c r="D2297" s="47" t="s">
        <v>128</v>
      </c>
      <c r="E2297" s="47" t="s">
        <v>338</v>
      </c>
      <c r="F2297" s="47">
        <v>634.0</v>
      </c>
      <c r="G2297" s="47">
        <v>7.27</v>
      </c>
      <c r="H2297" s="47">
        <v>87.2</v>
      </c>
      <c r="I2297" s="47" t="s">
        <v>62</v>
      </c>
    </row>
    <row r="2298" ht="15.75" customHeight="1">
      <c r="A2298" s="47" t="s">
        <v>4828</v>
      </c>
      <c r="B2298" s="47" t="s">
        <v>4829</v>
      </c>
      <c r="C2298" s="47" t="s">
        <v>7758</v>
      </c>
      <c r="D2298" s="47" t="s">
        <v>167</v>
      </c>
      <c r="E2298" s="47" t="s">
        <v>447</v>
      </c>
      <c r="F2298" s="47">
        <v>868.0</v>
      </c>
      <c r="G2298" s="47">
        <v>10.68</v>
      </c>
      <c r="H2298" s="47">
        <v>81.3</v>
      </c>
      <c r="I2298" s="47" t="s">
        <v>62</v>
      </c>
    </row>
    <row r="2299" ht="15.75" customHeight="1">
      <c r="A2299" s="47" t="s">
        <v>4830</v>
      </c>
      <c r="B2299" s="47" t="s">
        <v>4831</v>
      </c>
      <c r="C2299" s="47" t="s">
        <v>7758</v>
      </c>
      <c r="D2299" s="47" t="s">
        <v>118</v>
      </c>
      <c r="E2299" s="47" t="s">
        <v>300</v>
      </c>
      <c r="F2299" s="47">
        <v>21424.0</v>
      </c>
      <c r="G2299" s="47">
        <v>16.43</v>
      </c>
      <c r="H2299" s="47">
        <v>1304.0</v>
      </c>
      <c r="I2299" s="47" t="s">
        <v>571</v>
      </c>
    </row>
    <row r="2300" ht="15.75" customHeight="1">
      <c r="A2300" s="47" t="s">
        <v>4832</v>
      </c>
      <c r="B2300" s="47" t="s">
        <v>4833</v>
      </c>
      <c r="C2300" s="47" t="s">
        <v>7758</v>
      </c>
      <c r="D2300" s="47" t="s">
        <v>150</v>
      </c>
      <c r="E2300" s="47" t="s">
        <v>411</v>
      </c>
      <c r="F2300" s="47">
        <v>387.0</v>
      </c>
      <c r="G2300" s="47">
        <v>6.19</v>
      </c>
      <c r="H2300" s="47">
        <v>62.5</v>
      </c>
      <c r="I2300" s="47" t="s">
        <v>75</v>
      </c>
    </row>
    <row r="2301" ht="15.75" customHeight="1">
      <c r="A2301" s="47" t="s">
        <v>4834</v>
      </c>
      <c r="B2301" s="47" t="s">
        <v>4835</v>
      </c>
      <c r="C2301" s="47" t="s">
        <v>7758</v>
      </c>
      <c r="D2301" s="47" t="s">
        <v>206</v>
      </c>
      <c r="E2301" s="47" t="s">
        <v>533</v>
      </c>
      <c r="F2301" s="47">
        <v>295.0</v>
      </c>
      <c r="G2301" s="47">
        <v>7.75</v>
      </c>
      <c r="H2301" s="47">
        <v>38.1</v>
      </c>
      <c r="I2301" s="47" t="s">
        <v>75</v>
      </c>
    </row>
    <row r="2302" ht="15.75" customHeight="1">
      <c r="A2302" s="47" t="s">
        <v>4836</v>
      </c>
      <c r="B2302" s="47" t="s">
        <v>4837</v>
      </c>
      <c r="C2302" s="47" t="s">
        <v>7758</v>
      </c>
      <c r="D2302" s="47" t="s">
        <v>204</v>
      </c>
      <c r="E2302" s="47" t="s">
        <v>527</v>
      </c>
      <c r="F2302" s="47">
        <v>1503.0</v>
      </c>
      <c r="G2302" s="47">
        <v>20.76</v>
      </c>
      <c r="H2302" s="47">
        <v>72.4</v>
      </c>
      <c r="I2302" s="47" t="s">
        <v>62</v>
      </c>
    </row>
    <row r="2303" ht="15.75" customHeight="1">
      <c r="A2303" s="47" t="s">
        <v>4838</v>
      </c>
      <c r="B2303" s="47" t="s">
        <v>4839</v>
      </c>
      <c r="C2303" s="47" t="s">
        <v>7758</v>
      </c>
      <c r="D2303" s="47" t="s">
        <v>206</v>
      </c>
      <c r="E2303" s="47" t="s">
        <v>533</v>
      </c>
      <c r="F2303" s="47">
        <v>237.0</v>
      </c>
      <c r="G2303" s="47">
        <v>11.57</v>
      </c>
      <c r="H2303" s="47">
        <v>20.5</v>
      </c>
      <c r="I2303" s="47" t="s">
        <v>75</v>
      </c>
    </row>
    <row r="2304" ht="15.75" customHeight="1">
      <c r="A2304" s="47" t="s">
        <v>4840</v>
      </c>
      <c r="B2304" s="47" t="s">
        <v>4841</v>
      </c>
      <c r="C2304" s="47" t="s">
        <v>7758</v>
      </c>
      <c r="D2304" s="47" t="s">
        <v>167</v>
      </c>
      <c r="E2304" s="47" t="s">
        <v>447</v>
      </c>
      <c r="F2304" s="47">
        <v>753.0</v>
      </c>
      <c r="G2304" s="47">
        <v>13.41</v>
      </c>
      <c r="H2304" s="47">
        <v>56.2</v>
      </c>
      <c r="I2304" s="47" t="s">
        <v>62</v>
      </c>
    </row>
    <row r="2305" ht="15.75" customHeight="1">
      <c r="A2305" s="47" t="s">
        <v>4842</v>
      </c>
      <c r="B2305" s="47" t="s">
        <v>4843</v>
      </c>
      <c r="C2305" s="47" t="s">
        <v>7758</v>
      </c>
      <c r="D2305" s="47" t="s">
        <v>219</v>
      </c>
      <c r="E2305" s="47" t="s">
        <v>377</v>
      </c>
      <c r="F2305" s="47">
        <v>284.0</v>
      </c>
      <c r="G2305" s="47">
        <v>6.88</v>
      </c>
      <c r="H2305" s="47">
        <v>41.3</v>
      </c>
      <c r="I2305" s="47" t="s">
        <v>75</v>
      </c>
    </row>
    <row r="2306" ht="15.75" customHeight="1">
      <c r="A2306" s="47" t="s">
        <v>4844</v>
      </c>
      <c r="B2306" s="47" t="s">
        <v>4845</v>
      </c>
      <c r="C2306" s="47" t="s">
        <v>7758</v>
      </c>
      <c r="D2306" s="47" t="s">
        <v>204</v>
      </c>
      <c r="E2306" s="47" t="s">
        <v>527</v>
      </c>
      <c r="F2306" s="47">
        <v>225.0</v>
      </c>
      <c r="G2306" s="47">
        <v>6.37</v>
      </c>
      <c r="H2306" s="47">
        <v>35.3</v>
      </c>
      <c r="I2306" s="47" t="s">
        <v>75</v>
      </c>
    </row>
    <row r="2307" ht="15.75" customHeight="1">
      <c r="A2307" s="47" t="s">
        <v>4846</v>
      </c>
      <c r="B2307" s="47" t="s">
        <v>4847</v>
      </c>
      <c r="C2307" s="47" t="s">
        <v>7758</v>
      </c>
      <c r="D2307" s="47" t="s">
        <v>127</v>
      </c>
      <c r="E2307" s="47" t="s">
        <v>323</v>
      </c>
      <c r="F2307" s="47">
        <v>12146.0</v>
      </c>
      <c r="G2307" s="47">
        <v>7.81</v>
      </c>
      <c r="H2307" s="47">
        <v>1555.2</v>
      </c>
      <c r="I2307" s="47" t="s">
        <v>571</v>
      </c>
    </row>
    <row r="2308" ht="15.75" customHeight="1">
      <c r="A2308" s="47" t="s">
        <v>4848</v>
      </c>
      <c r="B2308" s="47" t="s">
        <v>4849</v>
      </c>
      <c r="C2308" s="47" t="s">
        <v>7758</v>
      </c>
      <c r="D2308" s="47" t="s">
        <v>206</v>
      </c>
      <c r="E2308" s="47" t="s">
        <v>533</v>
      </c>
      <c r="F2308" s="47">
        <v>172.0</v>
      </c>
      <c r="G2308" s="47">
        <v>3.81</v>
      </c>
      <c r="H2308" s="47">
        <v>45.1</v>
      </c>
      <c r="I2308" s="47" t="s">
        <v>75</v>
      </c>
    </row>
    <row r="2309" ht="15.75" customHeight="1">
      <c r="A2309" s="47" t="s">
        <v>4850</v>
      </c>
      <c r="B2309" s="47" t="s">
        <v>4851</v>
      </c>
      <c r="C2309" s="47" t="s">
        <v>7758</v>
      </c>
      <c r="D2309" s="47" t="s">
        <v>118</v>
      </c>
      <c r="E2309" s="47" t="s">
        <v>300</v>
      </c>
      <c r="F2309" s="47">
        <v>2834.0</v>
      </c>
      <c r="G2309" s="47">
        <v>5.52</v>
      </c>
      <c r="H2309" s="47">
        <v>513.4</v>
      </c>
      <c r="I2309" s="47" t="s">
        <v>142</v>
      </c>
    </row>
    <row r="2310" ht="15.75" customHeight="1">
      <c r="A2310" s="47" t="s">
        <v>4852</v>
      </c>
      <c r="B2310" s="47" t="s">
        <v>4853</v>
      </c>
      <c r="C2310" s="47" t="s">
        <v>7758</v>
      </c>
      <c r="D2310" s="47" t="s">
        <v>204</v>
      </c>
      <c r="E2310" s="47" t="s">
        <v>527</v>
      </c>
      <c r="F2310" s="47">
        <v>132.0</v>
      </c>
      <c r="G2310" s="47">
        <v>3.24</v>
      </c>
      <c r="H2310" s="47">
        <v>40.7</v>
      </c>
      <c r="I2310" s="47" t="s">
        <v>75</v>
      </c>
    </row>
    <row r="2311" ht="15.75" customHeight="1">
      <c r="A2311" s="47" t="s">
        <v>4854</v>
      </c>
      <c r="B2311" s="47" t="s">
        <v>4855</v>
      </c>
      <c r="C2311" s="47" t="s">
        <v>7758</v>
      </c>
      <c r="D2311" s="47" t="s">
        <v>118</v>
      </c>
      <c r="E2311" s="47" t="s">
        <v>300</v>
      </c>
      <c r="F2311" s="47">
        <v>1243.0</v>
      </c>
      <c r="G2311" s="47">
        <v>9.52</v>
      </c>
      <c r="H2311" s="47">
        <v>130.6</v>
      </c>
      <c r="I2311" s="47" t="s">
        <v>62</v>
      </c>
    </row>
    <row r="2312" ht="15.75" customHeight="1">
      <c r="A2312" s="47" t="s">
        <v>4856</v>
      </c>
      <c r="B2312" s="47" t="s">
        <v>4857</v>
      </c>
      <c r="C2312" s="47" t="s">
        <v>7758</v>
      </c>
      <c r="D2312" s="47" t="s">
        <v>223</v>
      </c>
      <c r="E2312" s="47" t="s">
        <v>380</v>
      </c>
      <c r="F2312" s="47">
        <v>734.0</v>
      </c>
      <c r="G2312" s="47">
        <v>4.8</v>
      </c>
      <c r="H2312" s="47">
        <v>152.9</v>
      </c>
      <c r="I2312" s="47" t="s">
        <v>62</v>
      </c>
    </row>
    <row r="2313" ht="15.75" customHeight="1">
      <c r="A2313" s="47" t="s">
        <v>4858</v>
      </c>
      <c r="B2313" s="47" t="s">
        <v>4859</v>
      </c>
      <c r="C2313" s="47" t="s">
        <v>7758</v>
      </c>
      <c r="D2313" s="47" t="s">
        <v>219</v>
      </c>
      <c r="E2313" s="47" t="s">
        <v>377</v>
      </c>
      <c r="F2313" s="47">
        <v>421.0</v>
      </c>
      <c r="G2313" s="47">
        <v>9.53</v>
      </c>
      <c r="H2313" s="47">
        <v>44.2</v>
      </c>
      <c r="I2313" s="47" t="s">
        <v>75</v>
      </c>
    </row>
    <row r="2314" ht="15.75" customHeight="1">
      <c r="A2314" s="47" t="s">
        <v>4860</v>
      </c>
      <c r="B2314" s="47" t="s">
        <v>4861</v>
      </c>
      <c r="C2314" s="47" t="s">
        <v>7758</v>
      </c>
      <c r="D2314" s="47" t="s">
        <v>141</v>
      </c>
      <c r="E2314" s="47" t="s">
        <v>220</v>
      </c>
      <c r="F2314" s="47">
        <v>67571.0</v>
      </c>
      <c r="G2314" s="47">
        <v>36.8</v>
      </c>
      <c r="H2314" s="47">
        <v>1836.2</v>
      </c>
      <c r="I2314" s="47" t="s">
        <v>7463</v>
      </c>
    </row>
    <row r="2315" ht="15.75" customHeight="1">
      <c r="A2315" s="47" t="s">
        <v>4862</v>
      </c>
      <c r="B2315" s="47" t="s">
        <v>4863</v>
      </c>
      <c r="C2315" s="47" t="s">
        <v>7758</v>
      </c>
      <c r="D2315" s="47" t="s">
        <v>118</v>
      </c>
      <c r="E2315" s="47" t="s">
        <v>300</v>
      </c>
      <c r="F2315" s="47">
        <v>5369.0</v>
      </c>
      <c r="G2315" s="47">
        <v>4.61</v>
      </c>
      <c r="H2315" s="47">
        <v>1164.6</v>
      </c>
      <c r="I2315" s="47" t="s">
        <v>142</v>
      </c>
    </row>
    <row r="2316" ht="15.75" customHeight="1">
      <c r="A2316" s="47" t="s">
        <v>4864</v>
      </c>
      <c r="B2316" s="47" t="s">
        <v>4865</v>
      </c>
      <c r="C2316" s="47" t="s">
        <v>7758</v>
      </c>
      <c r="D2316" s="47" t="s">
        <v>118</v>
      </c>
      <c r="E2316" s="47" t="s">
        <v>300</v>
      </c>
      <c r="F2316" s="47">
        <v>1595.0</v>
      </c>
      <c r="G2316" s="47">
        <v>10.91</v>
      </c>
      <c r="H2316" s="47">
        <v>146.2</v>
      </c>
      <c r="I2316" s="47" t="s">
        <v>62</v>
      </c>
    </row>
    <row r="2317" ht="15.75" customHeight="1">
      <c r="A2317" s="47" t="s">
        <v>4866</v>
      </c>
      <c r="B2317" s="47" t="s">
        <v>4867</v>
      </c>
      <c r="C2317" s="47" t="s">
        <v>7758</v>
      </c>
      <c r="D2317" s="47" t="s">
        <v>128</v>
      </c>
      <c r="E2317" s="47" t="s">
        <v>338</v>
      </c>
      <c r="F2317" s="47">
        <v>582.0</v>
      </c>
      <c r="G2317" s="47">
        <v>9.47</v>
      </c>
      <c r="H2317" s="47">
        <v>61.5</v>
      </c>
      <c r="I2317" s="47" t="s">
        <v>62</v>
      </c>
    </row>
    <row r="2318" ht="15.75" customHeight="1">
      <c r="A2318" s="47" t="s">
        <v>4868</v>
      </c>
      <c r="B2318" s="47" t="s">
        <v>4869</v>
      </c>
      <c r="C2318" s="47" t="s">
        <v>7758</v>
      </c>
      <c r="D2318" s="47" t="s">
        <v>118</v>
      </c>
      <c r="E2318" s="47" t="s">
        <v>300</v>
      </c>
      <c r="F2318" s="47">
        <v>1762.0</v>
      </c>
      <c r="G2318" s="47">
        <v>9.91</v>
      </c>
      <c r="H2318" s="47">
        <v>177.8</v>
      </c>
      <c r="I2318" s="47" t="s">
        <v>62</v>
      </c>
    </row>
    <row r="2319" ht="15.75" customHeight="1">
      <c r="A2319" s="47" t="s">
        <v>4870</v>
      </c>
      <c r="B2319" s="47" t="s">
        <v>4871</v>
      </c>
      <c r="C2319" s="47" t="s">
        <v>7758</v>
      </c>
      <c r="D2319" s="47" t="s">
        <v>169</v>
      </c>
      <c r="E2319" s="47" t="s">
        <v>449</v>
      </c>
      <c r="F2319" s="47">
        <v>352.0</v>
      </c>
      <c r="G2319" s="47">
        <v>4.73</v>
      </c>
      <c r="H2319" s="47">
        <v>74.4</v>
      </c>
      <c r="I2319" s="47" t="s">
        <v>75</v>
      </c>
    </row>
    <row r="2320" ht="15.75" customHeight="1">
      <c r="A2320" s="47" t="s">
        <v>4872</v>
      </c>
      <c r="B2320" s="47" t="s">
        <v>4873</v>
      </c>
      <c r="C2320" s="47" t="s">
        <v>7758</v>
      </c>
      <c r="D2320" s="47" t="s">
        <v>169</v>
      </c>
      <c r="E2320" s="47" t="s">
        <v>449</v>
      </c>
      <c r="F2320" s="47">
        <v>683.0</v>
      </c>
      <c r="G2320" s="47">
        <v>5.62</v>
      </c>
      <c r="H2320" s="47">
        <v>121.5</v>
      </c>
      <c r="I2320" s="47" t="s">
        <v>62</v>
      </c>
    </row>
    <row r="2321" ht="15.75" customHeight="1">
      <c r="A2321" s="47" t="s">
        <v>4874</v>
      </c>
      <c r="B2321" s="47" t="s">
        <v>4875</v>
      </c>
      <c r="C2321" s="47" t="s">
        <v>7758</v>
      </c>
      <c r="D2321" s="47" t="s">
        <v>118</v>
      </c>
      <c r="E2321" s="47" t="s">
        <v>300</v>
      </c>
      <c r="F2321" s="47">
        <v>1263.0</v>
      </c>
      <c r="G2321" s="47">
        <v>1.78</v>
      </c>
      <c r="H2321" s="47">
        <v>709.6</v>
      </c>
      <c r="I2321" s="47" t="s">
        <v>62</v>
      </c>
    </row>
    <row r="2322" ht="15.75" customHeight="1">
      <c r="A2322" s="47" t="s">
        <v>4876</v>
      </c>
      <c r="B2322" s="47" t="s">
        <v>4877</v>
      </c>
      <c r="C2322" s="47" t="s">
        <v>7758</v>
      </c>
      <c r="D2322" s="47" t="s">
        <v>128</v>
      </c>
      <c r="E2322" s="47" t="s">
        <v>338</v>
      </c>
      <c r="F2322" s="47">
        <v>2582.0</v>
      </c>
      <c r="G2322" s="47">
        <v>16.06</v>
      </c>
      <c r="H2322" s="47">
        <v>160.8</v>
      </c>
      <c r="I2322" s="47" t="s">
        <v>142</v>
      </c>
    </row>
    <row r="2323" ht="15.75" customHeight="1">
      <c r="A2323" s="47" t="s">
        <v>4878</v>
      </c>
      <c r="B2323" s="47" t="s">
        <v>4879</v>
      </c>
      <c r="C2323" s="47" t="s">
        <v>7758</v>
      </c>
      <c r="D2323" s="47" t="s">
        <v>187</v>
      </c>
      <c r="E2323" s="47" t="s">
        <v>488</v>
      </c>
      <c r="F2323" s="47">
        <v>669.0</v>
      </c>
      <c r="G2323" s="47">
        <v>13.32</v>
      </c>
      <c r="H2323" s="47">
        <v>50.2</v>
      </c>
      <c r="I2323" s="47" t="s">
        <v>62</v>
      </c>
    </row>
    <row r="2324" ht="15.75" customHeight="1">
      <c r="A2324" s="47" t="s">
        <v>4880</v>
      </c>
      <c r="B2324" s="47" t="s">
        <v>4881</v>
      </c>
      <c r="C2324" s="47" t="s">
        <v>7758</v>
      </c>
      <c r="D2324" s="47" t="s">
        <v>223</v>
      </c>
      <c r="E2324" s="47" t="s">
        <v>380</v>
      </c>
      <c r="F2324" s="47">
        <v>407.0</v>
      </c>
      <c r="G2324" s="47">
        <v>5.72</v>
      </c>
      <c r="H2324" s="47">
        <v>71.2</v>
      </c>
      <c r="I2324" s="47" t="s">
        <v>75</v>
      </c>
    </row>
    <row r="2325" ht="15.75" customHeight="1">
      <c r="A2325" s="47" t="s">
        <v>4882</v>
      </c>
      <c r="B2325" s="47" t="s">
        <v>4883</v>
      </c>
      <c r="C2325" s="47" t="s">
        <v>7758</v>
      </c>
      <c r="D2325" s="47" t="s">
        <v>167</v>
      </c>
      <c r="E2325" s="47" t="s">
        <v>447</v>
      </c>
      <c r="F2325" s="47">
        <v>1943.0</v>
      </c>
      <c r="G2325" s="47">
        <v>15.67</v>
      </c>
      <c r="H2325" s="47">
        <v>124.0</v>
      </c>
      <c r="I2325" s="47" t="s">
        <v>62</v>
      </c>
    </row>
    <row r="2326" ht="15.75" customHeight="1">
      <c r="A2326" s="47" t="s">
        <v>4884</v>
      </c>
      <c r="B2326" s="47" t="s">
        <v>4885</v>
      </c>
      <c r="C2326" s="47" t="s">
        <v>7758</v>
      </c>
      <c r="D2326" s="47" t="s">
        <v>139</v>
      </c>
      <c r="E2326" s="47" t="s">
        <v>354</v>
      </c>
      <c r="F2326" s="47">
        <v>1301.0</v>
      </c>
      <c r="G2326" s="47">
        <v>4.66</v>
      </c>
      <c r="H2326" s="47">
        <v>279.2</v>
      </c>
      <c r="I2326" s="47" t="s">
        <v>62</v>
      </c>
    </row>
    <row r="2327" ht="15.75" customHeight="1">
      <c r="A2327" s="47" t="s">
        <v>4886</v>
      </c>
      <c r="B2327" s="47" t="s">
        <v>4887</v>
      </c>
      <c r="C2327" s="47" t="s">
        <v>7758</v>
      </c>
      <c r="D2327" s="47" t="s">
        <v>128</v>
      </c>
      <c r="E2327" s="47" t="s">
        <v>338</v>
      </c>
      <c r="F2327" s="47">
        <v>295.0</v>
      </c>
      <c r="G2327" s="47">
        <v>5.36</v>
      </c>
      <c r="H2327" s="47">
        <v>55.0</v>
      </c>
      <c r="I2327" s="47" t="s">
        <v>75</v>
      </c>
    </row>
    <row r="2328" ht="15.75" customHeight="1">
      <c r="A2328" s="47" t="s">
        <v>4888</v>
      </c>
      <c r="B2328" s="47" t="s">
        <v>4889</v>
      </c>
      <c r="C2328" s="47" t="s">
        <v>7758</v>
      </c>
      <c r="D2328" s="47" t="s">
        <v>128</v>
      </c>
      <c r="E2328" s="47" t="s">
        <v>338</v>
      </c>
      <c r="F2328" s="47">
        <v>521.0</v>
      </c>
      <c r="G2328" s="47">
        <v>6.21</v>
      </c>
      <c r="H2328" s="47">
        <v>83.9</v>
      </c>
      <c r="I2328" s="47" t="s">
        <v>62</v>
      </c>
    </row>
    <row r="2329" ht="15.75" customHeight="1">
      <c r="A2329" s="47" t="s">
        <v>4890</v>
      </c>
      <c r="B2329" s="47" t="s">
        <v>4891</v>
      </c>
      <c r="C2329" s="47" t="s">
        <v>7758</v>
      </c>
      <c r="D2329" s="47" t="s">
        <v>169</v>
      </c>
      <c r="E2329" s="47" t="s">
        <v>449</v>
      </c>
      <c r="F2329" s="47">
        <v>66.0</v>
      </c>
      <c r="G2329" s="47">
        <v>1.77</v>
      </c>
      <c r="H2329" s="47">
        <v>37.3</v>
      </c>
      <c r="I2329" s="47" t="s">
        <v>75</v>
      </c>
    </row>
    <row r="2330" ht="15.75" customHeight="1">
      <c r="A2330" s="47" t="s">
        <v>4892</v>
      </c>
      <c r="B2330" s="47" t="s">
        <v>4893</v>
      </c>
      <c r="C2330" s="47" t="s">
        <v>7758</v>
      </c>
      <c r="D2330" s="47" t="s">
        <v>187</v>
      </c>
      <c r="E2330" s="47" t="s">
        <v>488</v>
      </c>
      <c r="F2330" s="47">
        <v>168.0</v>
      </c>
      <c r="G2330" s="47">
        <v>3.62</v>
      </c>
      <c r="H2330" s="47">
        <v>46.4</v>
      </c>
      <c r="I2330" s="47" t="s">
        <v>75</v>
      </c>
    </row>
    <row r="2331" ht="15.75" customHeight="1">
      <c r="A2331" s="47" t="s">
        <v>4894</v>
      </c>
      <c r="B2331" s="47" t="s">
        <v>4895</v>
      </c>
      <c r="C2331" s="47" t="s">
        <v>7758</v>
      </c>
      <c r="D2331" s="47" t="s">
        <v>169</v>
      </c>
      <c r="E2331" s="47" t="s">
        <v>449</v>
      </c>
      <c r="F2331" s="47">
        <v>223.0</v>
      </c>
      <c r="G2331" s="47">
        <v>2.98</v>
      </c>
      <c r="H2331" s="47">
        <v>74.8</v>
      </c>
      <c r="I2331" s="47" t="s">
        <v>75</v>
      </c>
    </row>
    <row r="2332" ht="15.75" customHeight="1">
      <c r="A2332" s="47" t="s">
        <v>4896</v>
      </c>
      <c r="B2332" s="47" t="s">
        <v>4897</v>
      </c>
      <c r="C2332" s="47" t="s">
        <v>7758</v>
      </c>
      <c r="D2332" s="47" t="s">
        <v>167</v>
      </c>
      <c r="E2332" s="47" t="s">
        <v>447</v>
      </c>
      <c r="F2332" s="47">
        <v>474.0</v>
      </c>
      <c r="G2332" s="47">
        <v>5.61</v>
      </c>
      <c r="H2332" s="47">
        <v>84.5</v>
      </c>
      <c r="I2332" s="47" t="s">
        <v>75</v>
      </c>
    </row>
    <row r="2333" ht="15.75" customHeight="1">
      <c r="A2333" s="47" t="s">
        <v>4898</v>
      </c>
      <c r="B2333" s="47" t="s">
        <v>4899</v>
      </c>
      <c r="C2333" s="47" t="s">
        <v>7758</v>
      </c>
      <c r="D2333" s="47" t="s">
        <v>127</v>
      </c>
      <c r="E2333" s="47" t="s">
        <v>323</v>
      </c>
      <c r="F2333" s="47">
        <v>819.0</v>
      </c>
      <c r="G2333" s="47">
        <v>8.52</v>
      </c>
      <c r="H2333" s="47">
        <v>96.1</v>
      </c>
      <c r="I2333" s="47" t="s">
        <v>62</v>
      </c>
    </row>
    <row r="2334" ht="15.75" customHeight="1">
      <c r="A2334" s="47" t="s">
        <v>4900</v>
      </c>
      <c r="B2334" s="47" t="s">
        <v>4901</v>
      </c>
      <c r="C2334" s="47" t="s">
        <v>7758</v>
      </c>
      <c r="D2334" s="47" t="s">
        <v>150</v>
      </c>
      <c r="E2334" s="47" t="s">
        <v>411</v>
      </c>
      <c r="F2334" s="47">
        <v>638.0</v>
      </c>
      <c r="G2334" s="47">
        <v>6.32</v>
      </c>
      <c r="H2334" s="47">
        <v>100.9</v>
      </c>
      <c r="I2334" s="47" t="s">
        <v>62</v>
      </c>
    </row>
    <row r="2335" ht="15.75" customHeight="1">
      <c r="A2335" s="47" t="s">
        <v>4902</v>
      </c>
      <c r="B2335" s="47" t="s">
        <v>4903</v>
      </c>
      <c r="C2335" s="47" t="s">
        <v>7758</v>
      </c>
      <c r="D2335" s="47" t="s">
        <v>116</v>
      </c>
      <c r="E2335" s="47" t="s">
        <v>285</v>
      </c>
      <c r="F2335" s="47">
        <v>17909.0</v>
      </c>
      <c r="G2335" s="47">
        <v>20.95</v>
      </c>
      <c r="H2335" s="47">
        <v>854.8</v>
      </c>
      <c r="I2335" s="47" t="s">
        <v>571</v>
      </c>
    </row>
    <row r="2336" ht="15.75" customHeight="1">
      <c r="A2336" s="47" t="s">
        <v>4904</v>
      </c>
      <c r="B2336" s="47" t="s">
        <v>4905</v>
      </c>
      <c r="C2336" s="47" t="s">
        <v>7758</v>
      </c>
      <c r="D2336" s="47" t="s">
        <v>169</v>
      </c>
      <c r="E2336" s="47" t="s">
        <v>449</v>
      </c>
      <c r="F2336" s="47">
        <v>211.0</v>
      </c>
      <c r="G2336" s="47">
        <v>2.22</v>
      </c>
      <c r="H2336" s="47">
        <v>95.0</v>
      </c>
      <c r="I2336" s="47" t="s">
        <v>75</v>
      </c>
    </row>
    <row r="2337" ht="15.75" customHeight="1">
      <c r="A2337" s="47" t="s">
        <v>4906</v>
      </c>
      <c r="B2337" s="47" t="s">
        <v>4907</v>
      </c>
      <c r="C2337" s="47" t="s">
        <v>7758</v>
      </c>
      <c r="D2337" s="47" t="s">
        <v>118</v>
      </c>
      <c r="E2337" s="47" t="s">
        <v>300</v>
      </c>
      <c r="F2337" s="47">
        <v>2593.0</v>
      </c>
      <c r="G2337" s="47">
        <v>3.14</v>
      </c>
      <c r="H2337" s="47">
        <v>825.8</v>
      </c>
      <c r="I2337" s="47" t="s">
        <v>142</v>
      </c>
    </row>
    <row r="2338" ht="15.75" customHeight="1">
      <c r="A2338" s="47" t="s">
        <v>4908</v>
      </c>
      <c r="B2338" s="47" t="s">
        <v>4909</v>
      </c>
      <c r="C2338" s="47" t="s">
        <v>7758</v>
      </c>
      <c r="D2338" s="47" t="s">
        <v>118</v>
      </c>
      <c r="E2338" s="47" t="s">
        <v>300</v>
      </c>
      <c r="F2338" s="47">
        <v>331.0</v>
      </c>
      <c r="G2338" s="47">
        <v>5.55</v>
      </c>
      <c r="H2338" s="47">
        <v>59.6</v>
      </c>
      <c r="I2338" s="47" t="s">
        <v>75</v>
      </c>
    </row>
    <row r="2339" ht="15.75" customHeight="1">
      <c r="A2339" s="47" t="s">
        <v>4910</v>
      </c>
      <c r="B2339" s="47" t="s">
        <v>516</v>
      </c>
      <c r="C2339" s="47" t="s">
        <v>7758</v>
      </c>
      <c r="D2339" s="47" t="s">
        <v>167</v>
      </c>
      <c r="E2339" s="47" t="s">
        <v>447</v>
      </c>
      <c r="F2339" s="47">
        <v>150.0</v>
      </c>
      <c r="G2339" s="47">
        <v>9.54</v>
      </c>
      <c r="H2339" s="47">
        <v>15.7</v>
      </c>
      <c r="I2339" s="47" t="s">
        <v>75</v>
      </c>
    </row>
    <row r="2340" ht="15.75" customHeight="1">
      <c r="A2340" s="47" t="s">
        <v>4911</v>
      </c>
      <c r="B2340" s="47" t="s">
        <v>4912</v>
      </c>
      <c r="C2340" s="47" t="s">
        <v>7758</v>
      </c>
      <c r="D2340" s="47" t="s">
        <v>167</v>
      </c>
      <c r="E2340" s="47" t="s">
        <v>447</v>
      </c>
      <c r="F2340" s="47">
        <v>423.0</v>
      </c>
      <c r="G2340" s="47">
        <v>11.86</v>
      </c>
      <c r="H2340" s="47">
        <v>35.7</v>
      </c>
      <c r="I2340" s="47" t="s">
        <v>75</v>
      </c>
    </row>
    <row r="2341" ht="15.75" customHeight="1">
      <c r="A2341" s="47" t="s">
        <v>4913</v>
      </c>
      <c r="B2341" s="47" t="s">
        <v>4914</v>
      </c>
      <c r="C2341" s="47" t="s">
        <v>7758</v>
      </c>
      <c r="D2341" s="47" t="s">
        <v>169</v>
      </c>
      <c r="E2341" s="47" t="s">
        <v>449</v>
      </c>
      <c r="F2341" s="47">
        <v>247.0</v>
      </c>
      <c r="G2341" s="47">
        <v>8.27</v>
      </c>
      <c r="H2341" s="47">
        <v>29.9</v>
      </c>
      <c r="I2341" s="47" t="s">
        <v>75</v>
      </c>
    </row>
    <row r="2342" ht="15.75" customHeight="1">
      <c r="A2342" s="47" t="s">
        <v>4915</v>
      </c>
      <c r="B2342" s="47" t="s">
        <v>4916</v>
      </c>
      <c r="C2342" s="47" t="s">
        <v>7758</v>
      </c>
      <c r="D2342" s="47" t="s">
        <v>167</v>
      </c>
      <c r="E2342" s="47" t="s">
        <v>447</v>
      </c>
      <c r="F2342" s="47">
        <v>174.0</v>
      </c>
      <c r="G2342" s="47">
        <v>4.75</v>
      </c>
      <c r="H2342" s="47">
        <v>36.6</v>
      </c>
      <c r="I2342" s="47" t="s">
        <v>75</v>
      </c>
    </row>
    <row r="2343" ht="15.75" customHeight="1">
      <c r="A2343" s="47" t="s">
        <v>4917</v>
      </c>
      <c r="B2343" s="47" t="s">
        <v>4918</v>
      </c>
      <c r="C2343" s="47" t="s">
        <v>7758</v>
      </c>
      <c r="D2343" s="47" t="s">
        <v>204</v>
      </c>
      <c r="E2343" s="47" t="s">
        <v>527</v>
      </c>
      <c r="F2343" s="47">
        <v>293.0</v>
      </c>
      <c r="G2343" s="47">
        <v>6.22</v>
      </c>
      <c r="H2343" s="47">
        <v>47.1</v>
      </c>
      <c r="I2343" s="47" t="s">
        <v>75</v>
      </c>
    </row>
    <row r="2344" ht="15.75" customHeight="1">
      <c r="A2344" s="47" t="s">
        <v>4919</v>
      </c>
      <c r="B2344" s="47" t="s">
        <v>4920</v>
      </c>
      <c r="C2344" s="47" t="s">
        <v>7758</v>
      </c>
      <c r="D2344" s="47" t="s">
        <v>118</v>
      </c>
      <c r="E2344" s="47" t="s">
        <v>300</v>
      </c>
      <c r="F2344" s="47">
        <v>2785.0</v>
      </c>
      <c r="G2344" s="47">
        <v>7.94</v>
      </c>
      <c r="H2344" s="47">
        <v>350.8</v>
      </c>
      <c r="I2344" s="47" t="s">
        <v>142</v>
      </c>
    </row>
    <row r="2345" ht="15.75" customHeight="1">
      <c r="A2345" s="47" t="s">
        <v>4921</v>
      </c>
      <c r="B2345" s="47" t="s">
        <v>4922</v>
      </c>
      <c r="C2345" s="47" t="s">
        <v>7758</v>
      </c>
      <c r="D2345" s="47" t="s">
        <v>139</v>
      </c>
      <c r="E2345" s="47" t="s">
        <v>354</v>
      </c>
      <c r="F2345" s="47">
        <v>593.0</v>
      </c>
      <c r="G2345" s="47">
        <v>18.05</v>
      </c>
      <c r="H2345" s="47">
        <v>32.9</v>
      </c>
      <c r="I2345" s="47" t="s">
        <v>62</v>
      </c>
    </row>
    <row r="2346" ht="15.75" customHeight="1">
      <c r="A2346" s="47" t="s">
        <v>4923</v>
      </c>
      <c r="B2346" s="47" t="s">
        <v>4924</v>
      </c>
      <c r="C2346" s="47" t="s">
        <v>7758</v>
      </c>
      <c r="D2346" s="47" t="s">
        <v>187</v>
      </c>
      <c r="E2346" s="47" t="s">
        <v>488</v>
      </c>
      <c r="F2346" s="47">
        <v>186.0</v>
      </c>
      <c r="G2346" s="47">
        <v>7.3</v>
      </c>
      <c r="H2346" s="47">
        <v>25.5</v>
      </c>
      <c r="I2346" s="47" t="s">
        <v>75</v>
      </c>
    </row>
    <row r="2347" ht="15.75" customHeight="1">
      <c r="A2347" s="47" t="s">
        <v>4925</v>
      </c>
      <c r="B2347" s="47" t="s">
        <v>4926</v>
      </c>
      <c r="C2347" s="47" t="s">
        <v>7758</v>
      </c>
      <c r="D2347" s="47" t="s">
        <v>191</v>
      </c>
      <c r="E2347" s="47" t="s">
        <v>504</v>
      </c>
      <c r="F2347" s="47">
        <v>312.0</v>
      </c>
      <c r="G2347" s="47">
        <v>6.41</v>
      </c>
      <c r="H2347" s="47">
        <v>48.7</v>
      </c>
      <c r="I2347" s="47" t="s">
        <v>75</v>
      </c>
    </row>
    <row r="2348" ht="15.75" customHeight="1">
      <c r="A2348" s="47" t="s">
        <v>4927</v>
      </c>
      <c r="B2348" s="47" t="s">
        <v>4928</v>
      </c>
      <c r="C2348" s="47" t="s">
        <v>7758</v>
      </c>
      <c r="D2348" s="47" t="s">
        <v>191</v>
      </c>
      <c r="E2348" s="47" t="s">
        <v>504</v>
      </c>
      <c r="F2348" s="47">
        <v>805.0</v>
      </c>
      <c r="G2348" s="47">
        <v>6.18</v>
      </c>
      <c r="H2348" s="47">
        <v>130.3</v>
      </c>
      <c r="I2348" s="47" t="s">
        <v>62</v>
      </c>
    </row>
    <row r="2349" ht="15.75" customHeight="1">
      <c r="A2349" s="47" t="s">
        <v>4929</v>
      </c>
      <c r="B2349" s="47" t="s">
        <v>4930</v>
      </c>
      <c r="C2349" s="47" t="s">
        <v>7758</v>
      </c>
      <c r="D2349" s="47" t="s">
        <v>150</v>
      </c>
      <c r="E2349" s="47" t="s">
        <v>411</v>
      </c>
      <c r="F2349" s="47">
        <v>907.0</v>
      </c>
      <c r="G2349" s="47">
        <v>10.0</v>
      </c>
      <c r="H2349" s="47">
        <v>90.7</v>
      </c>
      <c r="I2349" s="47" t="s">
        <v>62</v>
      </c>
    </row>
    <row r="2350" ht="15.75" customHeight="1">
      <c r="A2350" s="47" t="s">
        <v>4931</v>
      </c>
      <c r="B2350" s="47" t="s">
        <v>4932</v>
      </c>
      <c r="C2350" s="47" t="s">
        <v>7758</v>
      </c>
      <c r="D2350" s="47" t="s">
        <v>128</v>
      </c>
      <c r="E2350" s="47" t="s">
        <v>338</v>
      </c>
      <c r="F2350" s="47">
        <v>132.0</v>
      </c>
      <c r="G2350" s="47">
        <v>4.65</v>
      </c>
      <c r="H2350" s="47">
        <v>28.4</v>
      </c>
      <c r="I2350" s="47" t="s">
        <v>75</v>
      </c>
    </row>
    <row r="2351" ht="15.75" customHeight="1">
      <c r="A2351" s="47" t="s">
        <v>4933</v>
      </c>
      <c r="B2351" s="47" t="s">
        <v>4934</v>
      </c>
      <c r="C2351" s="47" t="s">
        <v>7758</v>
      </c>
      <c r="D2351" s="47" t="s">
        <v>118</v>
      </c>
      <c r="E2351" s="47" t="s">
        <v>300</v>
      </c>
      <c r="F2351" s="47">
        <v>879.0</v>
      </c>
      <c r="G2351" s="47">
        <v>6.74</v>
      </c>
      <c r="H2351" s="47">
        <v>130.4</v>
      </c>
      <c r="I2351" s="47" t="s">
        <v>62</v>
      </c>
    </row>
    <row r="2352" ht="15.75" customHeight="1">
      <c r="A2352" s="47" t="s">
        <v>4935</v>
      </c>
      <c r="B2352" s="47" t="s">
        <v>4936</v>
      </c>
      <c r="C2352" s="47" t="s">
        <v>7758</v>
      </c>
      <c r="D2352" s="47" t="s">
        <v>128</v>
      </c>
      <c r="E2352" s="47" t="s">
        <v>338</v>
      </c>
      <c r="F2352" s="47">
        <v>1073.0</v>
      </c>
      <c r="G2352" s="47">
        <v>16.42</v>
      </c>
      <c r="H2352" s="47">
        <v>65.3</v>
      </c>
      <c r="I2352" s="47" t="s">
        <v>62</v>
      </c>
    </row>
    <row r="2353" ht="15.75" customHeight="1">
      <c r="A2353" s="47" t="s">
        <v>4937</v>
      </c>
      <c r="B2353" s="47" t="s">
        <v>4938</v>
      </c>
      <c r="C2353" s="47" t="s">
        <v>7758</v>
      </c>
      <c r="D2353" s="47" t="s">
        <v>206</v>
      </c>
      <c r="E2353" s="47" t="s">
        <v>533</v>
      </c>
      <c r="F2353" s="47">
        <v>222.0</v>
      </c>
      <c r="G2353" s="47">
        <v>9.85</v>
      </c>
      <c r="H2353" s="47">
        <v>22.5</v>
      </c>
      <c r="I2353" s="47" t="s">
        <v>75</v>
      </c>
    </row>
    <row r="2354" ht="15.75" customHeight="1">
      <c r="A2354" s="47" t="s">
        <v>4939</v>
      </c>
      <c r="B2354" s="47" t="s">
        <v>4940</v>
      </c>
      <c r="C2354" s="47" t="s">
        <v>7758</v>
      </c>
      <c r="D2354" s="47" t="s">
        <v>132</v>
      </c>
      <c r="E2354" s="47" t="s">
        <v>346</v>
      </c>
      <c r="F2354" s="47">
        <v>2443.0</v>
      </c>
      <c r="G2354" s="47">
        <v>16.44</v>
      </c>
      <c r="H2354" s="47">
        <v>148.6</v>
      </c>
      <c r="I2354" s="47" t="s">
        <v>142</v>
      </c>
    </row>
    <row r="2355" ht="15.75" customHeight="1">
      <c r="A2355" s="47" t="s">
        <v>4941</v>
      </c>
      <c r="B2355" s="47" t="s">
        <v>4942</v>
      </c>
      <c r="C2355" s="47" t="s">
        <v>7758</v>
      </c>
      <c r="D2355" s="47" t="s">
        <v>167</v>
      </c>
      <c r="E2355" s="47" t="s">
        <v>447</v>
      </c>
      <c r="F2355" s="47">
        <v>354.0</v>
      </c>
      <c r="G2355" s="47">
        <v>7.17</v>
      </c>
      <c r="H2355" s="47">
        <v>49.4</v>
      </c>
      <c r="I2355" s="47" t="s">
        <v>75</v>
      </c>
    </row>
    <row r="2356" ht="15.75" customHeight="1">
      <c r="A2356" s="47" t="s">
        <v>4943</v>
      </c>
      <c r="B2356" s="47" t="s">
        <v>4944</v>
      </c>
      <c r="C2356" s="47" t="s">
        <v>7758</v>
      </c>
      <c r="D2356" s="47" t="s">
        <v>132</v>
      </c>
      <c r="E2356" s="47" t="s">
        <v>346</v>
      </c>
      <c r="F2356" s="47">
        <v>572.0</v>
      </c>
      <c r="G2356" s="47">
        <v>2.12</v>
      </c>
      <c r="H2356" s="47">
        <v>269.8</v>
      </c>
      <c r="I2356" s="47" t="s">
        <v>62</v>
      </c>
    </row>
    <row r="2357" ht="15.75" customHeight="1">
      <c r="A2357" s="47" t="s">
        <v>4945</v>
      </c>
      <c r="B2357" s="47" t="s">
        <v>4946</v>
      </c>
      <c r="C2357" s="47" t="s">
        <v>7758</v>
      </c>
      <c r="D2357" s="47" t="s">
        <v>206</v>
      </c>
      <c r="E2357" s="47" t="s">
        <v>533</v>
      </c>
      <c r="F2357" s="47">
        <v>83.0</v>
      </c>
      <c r="G2357" s="47">
        <v>2.33</v>
      </c>
      <c r="H2357" s="47">
        <v>35.6</v>
      </c>
      <c r="I2357" s="47" t="s">
        <v>75</v>
      </c>
    </row>
    <row r="2358" ht="15.75" customHeight="1">
      <c r="A2358" s="47" t="s">
        <v>4947</v>
      </c>
      <c r="B2358" s="47" t="s">
        <v>4948</v>
      </c>
      <c r="C2358" s="47" t="s">
        <v>7758</v>
      </c>
      <c r="D2358" s="47" t="s">
        <v>141</v>
      </c>
      <c r="E2358" s="47" t="s">
        <v>220</v>
      </c>
      <c r="F2358" s="47">
        <v>2638.0</v>
      </c>
      <c r="G2358" s="47">
        <v>8.77</v>
      </c>
      <c r="H2358" s="47">
        <v>300.8</v>
      </c>
      <c r="I2358" s="47" t="s">
        <v>142</v>
      </c>
    </row>
    <row r="2359" ht="15.75" customHeight="1">
      <c r="A2359" s="47" t="s">
        <v>4949</v>
      </c>
      <c r="B2359" s="47" t="s">
        <v>4950</v>
      </c>
      <c r="C2359" s="47" t="s">
        <v>7758</v>
      </c>
      <c r="D2359" s="47" t="s">
        <v>219</v>
      </c>
      <c r="E2359" s="47" t="s">
        <v>377</v>
      </c>
      <c r="F2359" s="47">
        <v>2258.0</v>
      </c>
      <c r="G2359" s="47">
        <v>2.6</v>
      </c>
      <c r="H2359" s="47">
        <v>868.5</v>
      </c>
      <c r="I2359" s="47" t="s">
        <v>142</v>
      </c>
    </row>
    <row r="2360" ht="15.75" customHeight="1">
      <c r="A2360" s="47" t="s">
        <v>4951</v>
      </c>
      <c r="B2360" s="47" t="s">
        <v>4952</v>
      </c>
      <c r="C2360" s="47" t="s">
        <v>7758</v>
      </c>
      <c r="D2360" s="47" t="s">
        <v>128</v>
      </c>
      <c r="E2360" s="47" t="s">
        <v>338</v>
      </c>
      <c r="F2360" s="47">
        <v>309.0</v>
      </c>
      <c r="G2360" s="47">
        <v>9.8</v>
      </c>
      <c r="H2360" s="47">
        <v>31.5</v>
      </c>
      <c r="I2360" s="47" t="s">
        <v>75</v>
      </c>
    </row>
    <row r="2361" ht="15.75" customHeight="1">
      <c r="A2361" s="47" t="s">
        <v>4953</v>
      </c>
      <c r="B2361" s="47" t="s">
        <v>4954</v>
      </c>
      <c r="C2361" s="47" t="s">
        <v>7758</v>
      </c>
      <c r="D2361" s="47" t="s">
        <v>169</v>
      </c>
      <c r="E2361" s="47" t="s">
        <v>449</v>
      </c>
      <c r="F2361" s="47">
        <v>76.0</v>
      </c>
      <c r="G2361" s="47">
        <v>5.79</v>
      </c>
      <c r="H2361" s="47">
        <v>13.1</v>
      </c>
      <c r="I2361" s="47" t="s">
        <v>75</v>
      </c>
    </row>
    <row r="2362" ht="15.75" customHeight="1">
      <c r="A2362" s="47" t="s">
        <v>4955</v>
      </c>
      <c r="B2362" s="47" t="s">
        <v>4956</v>
      </c>
      <c r="C2362" s="47" t="s">
        <v>7758</v>
      </c>
      <c r="D2362" s="47" t="s">
        <v>169</v>
      </c>
      <c r="E2362" s="47" t="s">
        <v>449</v>
      </c>
      <c r="F2362" s="47">
        <v>111.0</v>
      </c>
      <c r="G2362" s="47">
        <v>4.06</v>
      </c>
      <c r="H2362" s="47">
        <v>27.3</v>
      </c>
      <c r="I2362" s="47" t="s">
        <v>75</v>
      </c>
    </row>
    <row r="2363" ht="15.75" customHeight="1">
      <c r="A2363" s="47" t="s">
        <v>4957</v>
      </c>
      <c r="B2363" s="47" t="s">
        <v>4958</v>
      </c>
      <c r="C2363" s="47" t="s">
        <v>7758</v>
      </c>
      <c r="D2363" s="47" t="s">
        <v>141</v>
      </c>
      <c r="E2363" s="47" t="s">
        <v>220</v>
      </c>
      <c r="F2363" s="47">
        <v>5438.0</v>
      </c>
      <c r="G2363" s="47">
        <v>9.18</v>
      </c>
      <c r="H2363" s="47">
        <v>592.4</v>
      </c>
      <c r="I2363" s="47" t="s">
        <v>142</v>
      </c>
    </row>
    <row r="2364" ht="15.75" customHeight="1">
      <c r="A2364" s="47" t="s">
        <v>4959</v>
      </c>
      <c r="B2364" s="47" t="s">
        <v>4960</v>
      </c>
      <c r="C2364" s="47" t="s">
        <v>7758</v>
      </c>
      <c r="D2364" s="47" t="s">
        <v>191</v>
      </c>
      <c r="E2364" s="47" t="s">
        <v>504</v>
      </c>
      <c r="F2364" s="47">
        <v>770.0</v>
      </c>
      <c r="G2364" s="47">
        <v>10.23</v>
      </c>
      <c r="H2364" s="47">
        <v>75.3</v>
      </c>
      <c r="I2364" s="47" t="s">
        <v>62</v>
      </c>
    </row>
    <row r="2365" ht="15.75" customHeight="1">
      <c r="A2365" s="47" t="s">
        <v>4961</v>
      </c>
      <c r="B2365" s="47" t="s">
        <v>4962</v>
      </c>
      <c r="C2365" s="47" t="s">
        <v>7758</v>
      </c>
      <c r="D2365" s="47" t="s">
        <v>187</v>
      </c>
      <c r="E2365" s="47" t="s">
        <v>488</v>
      </c>
      <c r="F2365" s="47">
        <v>146.0</v>
      </c>
      <c r="G2365" s="47">
        <v>4.55</v>
      </c>
      <c r="H2365" s="47">
        <v>32.1</v>
      </c>
      <c r="I2365" s="47" t="s">
        <v>75</v>
      </c>
    </row>
    <row r="2366" ht="15.75" customHeight="1">
      <c r="A2366" s="47" t="s">
        <v>4963</v>
      </c>
      <c r="B2366" s="47" t="s">
        <v>4964</v>
      </c>
      <c r="C2366" s="47" t="s">
        <v>7758</v>
      </c>
      <c r="D2366" s="47" t="s">
        <v>187</v>
      </c>
      <c r="E2366" s="47" t="s">
        <v>488</v>
      </c>
      <c r="F2366" s="47">
        <v>550.0</v>
      </c>
      <c r="G2366" s="47">
        <v>14.75</v>
      </c>
      <c r="H2366" s="47">
        <v>37.3</v>
      </c>
      <c r="I2366" s="47" t="s">
        <v>62</v>
      </c>
    </row>
    <row r="2367" ht="15.75" customHeight="1">
      <c r="A2367" s="47" t="s">
        <v>4965</v>
      </c>
      <c r="B2367" s="47" t="s">
        <v>4966</v>
      </c>
      <c r="C2367" s="47" t="s">
        <v>7758</v>
      </c>
      <c r="D2367" s="47" t="s">
        <v>204</v>
      </c>
      <c r="E2367" s="47" t="s">
        <v>527</v>
      </c>
      <c r="F2367" s="47">
        <v>479.0</v>
      </c>
      <c r="G2367" s="47">
        <v>7.94</v>
      </c>
      <c r="H2367" s="47">
        <v>60.3</v>
      </c>
      <c r="I2367" s="47" t="s">
        <v>75</v>
      </c>
    </row>
    <row r="2368" ht="15.75" customHeight="1">
      <c r="A2368" s="47" t="s">
        <v>4967</v>
      </c>
      <c r="B2368" s="47" t="s">
        <v>4968</v>
      </c>
      <c r="C2368" s="47" t="s">
        <v>7758</v>
      </c>
      <c r="D2368" s="47" t="s">
        <v>116</v>
      </c>
      <c r="E2368" s="47" t="s">
        <v>285</v>
      </c>
      <c r="F2368" s="47">
        <v>7830.0</v>
      </c>
      <c r="G2368" s="47">
        <v>5.6</v>
      </c>
      <c r="H2368" s="47">
        <v>1398.2</v>
      </c>
      <c r="I2368" s="47" t="s">
        <v>142</v>
      </c>
    </row>
    <row r="2369" ht="15.75" customHeight="1">
      <c r="A2369" s="47" t="s">
        <v>4969</v>
      </c>
      <c r="B2369" s="47" t="s">
        <v>4970</v>
      </c>
      <c r="C2369" s="47" t="s">
        <v>7758</v>
      </c>
      <c r="D2369" s="47" t="s">
        <v>116</v>
      </c>
      <c r="E2369" s="47" t="s">
        <v>285</v>
      </c>
      <c r="F2369" s="47">
        <v>10176.0</v>
      </c>
      <c r="G2369" s="47">
        <v>8.72</v>
      </c>
      <c r="H2369" s="47">
        <v>1167.0</v>
      </c>
      <c r="I2369" s="47" t="s">
        <v>571</v>
      </c>
    </row>
    <row r="2370" ht="15.75" customHeight="1">
      <c r="A2370" s="47" t="s">
        <v>4971</v>
      </c>
      <c r="B2370" s="47" t="s">
        <v>4972</v>
      </c>
      <c r="C2370" s="47" t="s">
        <v>7758</v>
      </c>
      <c r="D2370" s="47" t="s">
        <v>150</v>
      </c>
      <c r="E2370" s="47" t="s">
        <v>411</v>
      </c>
      <c r="F2370" s="47">
        <v>505.0</v>
      </c>
      <c r="G2370" s="47">
        <v>10.23</v>
      </c>
      <c r="H2370" s="47">
        <v>49.4</v>
      </c>
      <c r="I2370" s="47" t="s">
        <v>62</v>
      </c>
    </row>
    <row r="2371" ht="15.75" customHeight="1">
      <c r="A2371" s="47" t="s">
        <v>4973</v>
      </c>
      <c r="B2371" s="47" t="s">
        <v>4974</v>
      </c>
      <c r="C2371" s="47" t="s">
        <v>7758</v>
      </c>
      <c r="D2371" s="47" t="s">
        <v>118</v>
      </c>
      <c r="E2371" s="47" t="s">
        <v>300</v>
      </c>
      <c r="F2371" s="47">
        <v>2590.0</v>
      </c>
      <c r="G2371" s="47">
        <v>13.43</v>
      </c>
      <c r="H2371" s="47">
        <v>192.9</v>
      </c>
      <c r="I2371" s="47" t="s">
        <v>142</v>
      </c>
    </row>
    <row r="2372" ht="15.75" customHeight="1">
      <c r="A2372" s="47" t="s">
        <v>4975</v>
      </c>
      <c r="B2372" s="47" t="s">
        <v>4976</v>
      </c>
      <c r="C2372" s="47" t="s">
        <v>7758</v>
      </c>
      <c r="D2372" s="47" t="s">
        <v>169</v>
      </c>
      <c r="E2372" s="47" t="s">
        <v>449</v>
      </c>
      <c r="F2372" s="47">
        <v>76.0</v>
      </c>
      <c r="G2372" s="47">
        <v>2.13</v>
      </c>
      <c r="H2372" s="47">
        <v>35.7</v>
      </c>
      <c r="I2372" s="47" t="s">
        <v>75</v>
      </c>
    </row>
    <row r="2373" ht="15.75" customHeight="1">
      <c r="A2373" s="47" t="s">
        <v>4977</v>
      </c>
      <c r="B2373" s="47" t="s">
        <v>4978</v>
      </c>
      <c r="C2373" s="47" t="s">
        <v>7758</v>
      </c>
      <c r="D2373" s="47" t="s">
        <v>139</v>
      </c>
      <c r="E2373" s="47" t="s">
        <v>354</v>
      </c>
      <c r="F2373" s="47">
        <v>597.0</v>
      </c>
      <c r="G2373" s="47">
        <v>13.85</v>
      </c>
      <c r="H2373" s="47">
        <v>43.1</v>
      </c>
      <c r="I2373" s="47" t="s">
        <v>62</v>
      </c>
    </row>
    <row r="2374" ht="15.75" customHeight="1">
      <c r="A2374" s="47" t="s">
        <v>4979</v>
      </c>
      <c r="B2374" s="47" t="s">
        <v>4980</v>
      </c>
      <c r="C2374" s="47" t="s">
        <v>7758</v>
      </c>
      <c r="D2374" s="47" t="s">
        <v>150</v>
      </c>
      <c r="E2374" s="47" t="s">
        <v>411</v>
      </c>
      <c r="F2374" s="47">
        <v>815.0</v>
      </c>
      <c r="G2374" s="47">
        <v>11.81</v>
      </c>
      <c r="H2374" s="47">
        <v>69.0</v>
      </c>
      <c r="I2374" s="47" t="s">
        <v>62</v>
      </c>
    </row>
    <row r="2375" ht="15.75" customHeight="1">
      <c r="A2375" s="47" t="s">
        <v>4981</v>
      </c>
      <c r="B2375" s="47" t="s">
        <v>709</v>
      </c>
      <c r="C2375" s="47" t="s">
        <v>7758</v>
      </c>
      <c r="D2375" s="47" t="s">
        <v>187</v>
      </c>
      <c r="E2375" s="47" t="s">
        <v>488</v>
      </c>
      <c r="F2375" s="47">
        <v>159.0</v>
      </c>
      <c r="G2375" s="47">
        <v>6.92</v>
      </c>
      <c r="H2375" s="47">
        <v>23.0</v>
      </c>
      <c r="I2375" s="47" t="s">
        <v>75</v>
      </c>
    </row>
    <row r="2376" ht="15.75" customHeight="1">
      <c r="A2376" s="47" t="s">
        <v>4982</v>
      </c>
      <c r="B2376" s="47" t="s">
        <v>4983</v>
      </c>
      <c r="C2376" s="47" t="s">
        <v>7758</v>
      </c>
      <c r="D2376" s="47" t="s">
        <v>187</v>
      </c>
      <c r="E2376" s="47" t="s">
        <v>488</v>
      </c>
      <c r="F2376" s="47">
        <v>463.0</v>
      </c>
      <c r="G2376" s="47">
        <v>20.43</v>
      </c>
      <c r="H2376" s="47">
        <v>22.7</v>
      </c>
      <c r="I2376" s="47" t="s">
        <v>75</v>
      </c>
    </row>
    <row r="2377" ht="15.75" customHeight="1">
      <c r="A2377" s="47" t="s">
        <v>4984</v>
      </c>
      <c r="B2377" s="47" t="s">
        <v>4985</v>
      </c>
      <c r="C2377" s="47" t="s">
        <v>7758</v>
      </c>
      <c r="D2377" s="47" t="s">
        <v>206</v>
      </c>
      <c r="E2377" s="47" t="s">
        <v>533</v>
      </c>
      <c r="F2377" s="47">
        <v>318.0</v>
      </c>
      <c r="G2377" s="47">
        <v>7.58</v>
      </c>
      <c r="H2377" s="47">
        <v>42.0</v>
      </c>
      <c r="I2377" s="47" t="s">
        <v>75</v>
      </c>
    </row>
    <row r="2378" ht="15.75" customHeight="1">
      <c r="A2378" s="47" t="s">
        <v>4986</v>
      </c>
      <c r="B2378" s="47" t="s">
        <v>4987</v>
      </c>
      <c r="C2378" s="47" t="s">
        <v>7758</v>
      </c>
      <c r="D2378" s="47" t="s">
        <v>204</v>
      </c>
      <c r="E2378" s="47" t="s">
        <v>527</v>
      </c>
      <c r="F2378" s="47">
        <v>1939.0</v>
      </c>
      <c r="G2378" s="47">
        <v>11.42</v>
      </c>
      <c r="H2378" s="47">
        <v>169.8</v>
      </c>
      <c r="I2378" s="47" t="s">
        <v>62</v>
      </c>
    </row>
    <row r="2379" ht="15.75" customHeight="1">
      <c r="A2379" s="47" t="s">
        <v>4988</v>
      </c>
      <c r="B2379" s="47" t="s">
        <v>4989</v>
      </c>
      <c r="C2379" s="47" t="s">
        <v>7758</v>
      </c>
      <c r="D2379" s="47" t="s">
        <v>206</v>
      </c>
      <c r="E2379" s="47" t="s">
        <v>533</v>
      </c>
      <c r="F2379" s="47">
        <v>333.0</v>
      </c>
      <c r="G2379" s="47">
        <v>6.61</v>
      </c>
      <c r="H2379" s="47">
        <v>50.4</v>
      </c>
      <c r="I2379" s="47" t="s">
        <v>75</v>
      </c>
    </row>
    <row r="2380" ht="15.75" customHeight="1">
      <c r="A2380" s="47" t="s">
        <v>4990</v>
      </c>
      <c r="B2380" s="47" t="s">
        <v>4991</v>
      </c>
      <c r="C2380" s="47" t="s">
        <v>7758</v>
      </c>
      <c r="D2380" s="47" t="s">
        <v>128</v>
      </c>
      <c r="E2380" s="47" t="s">
        <v>338</v>
      </c>
      <c r="F2380" s="47">
        <v>5129.0</v>
      </c>
      <c r="G2380" s="47">
        <v>10.1</v>
      </c>
      <c r="H2380" s="47">
        <v>507.8</v>
      </c>
      <c r="I2380" s="47" t="s">
        <v>142</v>
      </c>
    </row>
    <row r="2381" ht="15.75" customHeight="1">
      <c r="A2381" s="47" t="s">
        <v>4992</v>
      </c>
      <c r="B2381" s="47" t="s">
        <v>4993</v>
      </c>
      <c r="C2381" s="47" t="s">
        <v>7758</v>
      </c>
      <c r="D2381" s="47" t="s">
        <v>118</v>
      </c>
      <c r="E2381" s="47" t="s">
        <v>300</v>
      </c>
      <c r="F2381" s="47">
        <v>1784.0</v>
      </c>
      <c r="G2381" s="47">
        <v>4.17</v>
      </c>
      <c r="H2381" s="47">
        <v>427.8</v>
      </c>
      <c r="I2381" s="47" t="s">
        <v>62</v>
      </c>
    </row>
    <row r="2382" ht="15.75" customHeight="1">
      <c r="A2382" s="47" t="s">
        <v>4994</v>
      </c>
      <c r="B2382" s="47" t="s">
        <v>4995</v>
      </c>
      <c r="C2382" s="47" t="s">
        <v>7758</v>
      </c>
      <c r="D2382" s="47" t="s">
        <v>234</v>
      </c>
      <c r="E2382" s="47" t="s">
        <v>552</v>
      </c>
      <c r="F2382" s="47">
        <v>5683.0</v>
      </c>
      <c r="G2382" s="47">
        <v>11.23</v>
      </c>
      <c r="H2382" s="47">
        <v>506.1</v>
      </c>
      <c r="I2382" s="47" t="s">
        <v>142</v>
      </c>
    </row>
    <row r="2383" ht="15.75" customHeight="1">
      <c r="A2383" s="47" t="s">
        <v>4996</v>
      </c>
      <c r="B2383" s="47" t="s">
        <v>4997</v>
      </c>
      <c r="C2383" s="47" t="s">
        <v>7758</v>
      </c>
      <c r="D2383" s="47" t="s">
        <v>132</v>
      </c>
      <c r="E2383" s="47" t="s">
        <v>346</v>
      </c>
      <c r="F2383" s="47">
        <v>1311.0</v>
      </c>
      <c r="G2383" s="47">
        <v>10.52</v>
      </c>
      <c r="H2383" s="47">
        <v>124.6</v>
      </c>
      <c r="I2383" s="47" t="s">
        <v>62</v>
      </c>
    </row>
    <row r="2384" ht="15.75" customHeight="1">
      <c r="A2384" s="47" t="s">
        <v>4998</v>
      </c>
      <c r="B2384" s="47" t="s">
        <v>4999</v>
      </c>
      <c r="C2384" s="47" t="s">
        <v>7758</v>
      </c>
      <c r="D2384" s="47" t="s">
        <v>139</v>
      </c>
      <c r="E2384" s="47" t="s">
        <v>354</v>
      </c>
      <c r="F2384" s="47">
        <v>1124.0</v>
      </c>
      <c r="G2384" s="47">
        <v>14.72</v>
      </c>
      <c r="H2384" s="47">
        <v>76.4</v>
      </c>
      <c r="I2384" s="47" t="s">
        <v>62</v>
      </c>
    </row>
    <row r="2385" ht="15.75" customHeight="1">
      <c r="A2385" s="47" t="s">
        <v>5000</v>
      </c>
      <c r="B2385" s="47" t="s">
        <v>5001</v>
      </c>
      <c r="C2385" s="47" t="s">
        <v>7758</v>
      </c>
      <c r="D2385" s="47" t="s">
        <v>169</v>
      </c>
      <c r="E2385" s="47" t="s">
        <v>449</v>
      </c>
      <c r="F2385" s="47">
        <v>94.0</v>
      </c>
      <c r="G2385" s="47">
        <v>3.1</v>
      </c>
      <c r="H2385" s="47">
        <v>30.3</v>
      </c>
      <c r="I2385" s="47" t="s">
        <v>75</v>
      </c>
    </row>
    <row r="2386" ht="15.75" customHeight="1">
      <c r="A2386" s="47" t="s">
        <v>5002</v>
      </c>
      <c r="B2386" s="47" t="s">
        <v>5003</v>
      </c>
      <c r="C2386" s="47" t="s">
        <v>7758</v>
      </c>
      <c r="D2386" s="47" t="s">
        <v>139</v>
      </c>
      <c r="E2386" s="47" t="s">
        <v>354</v>
      </c>
      <c r="F2386" s="47">
        <v>391.0</v>
      </c>
      <c r="G2386" s="47">
        <v>3.72</v>
      </c>
      <c r="H2386" s="47">
        <v>105.1</v>
      </c>
      <c r="I2386" s="47" t="s">
        <v>75</v>
      </c>
    </row>
    <row r="2387" ht="15.75" customHeight="1">
      <c r="A2387" s="47" t="s">
        <v>5004</v>
      </c>
      <c r="B2387" s="47" t="s">
        <v>5005</v>
      </c>
      <c r="C2387" s="47" t="s">
        <v>7758</v>
      </c>
      <c r="D2387" s="47" t="s">
        <v>150</v>
      </c>
      <c r="E2387" s="47" t="s">
        <v>411</v>
      </c>
      <c r="F2387" s="47">
        <v>4829.0</v>
      </c>
      <c r="G2387" s="47">
        <v>9.41</v>
      </c>
      <c r="H2387" s="47">
        <v>513.2</v>
      </c>
      <c r="I2387" s="47" t="s">
        <v>142</v>
      </c>
    </row>
    <row r="2388" ht="15.75" customHeight="1">
      <c r="A2388" s="47" t="s">
        <v>5006</v>
      </c>
      <c r="B2388" s="47" t="s">
        <v>5007</v>
      </c>
      <c r="C2388" s="47" t="s">
        <v>7758</v>
      </c>
      <c r="D2388" s="47" t="s">
        <v>118</v>
      </c>
      <c r="E2388" s="47" t="s">
        <v>300</v>
      </c>
      <c r="F2388" s="47">
        <v>709.0</v>
      </c>
      <c r="G2388" s="47">
        <v>12.07</v>
      </c>
      <c r="H2388" s="47">
        <v>58.7</v>
      </c>
      <c r="I2388" s="47" t="s">
        <v>62</v>
      </c>
    </row>
    <row r="2389" ht="15.75" customHeight="1">
      <c r="A2389" s="47" t="s">
        <v>5008</v>
      </c>
      <c r="B2389" s="47" t="s">
        <v>5009</v>
      </c>
      <c r="C2389" s="47" t="s">
        <v>7758</v>
      </c>
      <c r="D2389" s="47" t="s">
        <v>118</v>
      </c>
      <c r="E2389" s="47" t="s">
        <v>300</v>
      </c>
      <c r="F2389" s="47">
        <v>6766.0</v>
      </c>
      <c r="G2389" s="47">
        <v>11.04</v>
      </c>
      <c r="H2389" s="47">
        <v>612.9</v>
      </c>
      <c r="I2389" s="47" t="s">
        <v>142</v>
      </c>
    </row>
    <row r="2390" ht="15.75" customHeight="1">
      <c r="A2390" s="47" t="s">
        <v>5010</v>
      </c>
      <c r="B2390" s="47" t="s">
        <v>5011</v>
      </c>
      <c r="C2390" s="47" t="s">
        <v>7758</v>
      </c>
      <c r="D2390" s="47" t="s">
        <v>191</v>
      </c>
      <c r="E2390" s="47" t="s">
        <v>504</v>
      </c>
      <c r="F2390" s="47">
        <v>826.0</v>
      </c>
      <c r="G2390" s="47">
        <v>9.19</v>
      </c>
      <c r="H2390" s="47">
        <v>89.9</v>
      </c>
      <c r="I2390" s="47" t="s">
        <v>62</v>
      </c>
    </row>
    <row r="2391" ht="15.75" customHeight="1">
      <c r="A2391" s="47" t="s">
        <v>5012</v>
      </c>
      <c r="B2391" s="47" t="s">
        <v>5013</v>
      </c>
      <c r="C2391" s="47" t="s">
        <v>7758</v>
      </c>
      <c r="D2391" s="47" t="s">
        <v>204</v>
      </c>
      <c r="E2391" s="47" t="s">
        <v>527</v>
      </c>
      <c r="F2391" s="47">
        <v>286.0</v>
      </c>
      <c r="G2391" s="47">
        <v>5.53</v>
      </c>
      <c r="H2391" s="47">
        <v>51.7</v>
      </c>
      <c r="I2391" s="47" t="s">
        <v>75</v>
      </c>
    </row>
    <row r="2392" ht="15.75" customHeight="1">
      <c r="A2392" s="47" t="s">
        <v>5014</v>
      </c>
      <c r="B2392" s="47" t="s">
        <v>5015</v>
      </c>
      <c r="C2392" s="47" t="s">
        <v>7758</v>
      </c>
      <c r="D2392" s="47" t="s">
        <v>150</v>
      </c>
      <c r="E2392" s="47" t="s">
        <v>411</v>
      </c>
      <c r="F2392" s="47">
        <v>593.0</v>
      </c>
      <c r="G2392" s="47">
        <v>13.82</v>
      </c>
      <c r="H2392" s="47">
        <v>42.9</v>
      </c>
      <c r="I2392" s="47" t="s">
        <v>62</v>
      </c>
    </row>
    <row r="2393" ht="15.75" customHeight="1">
      <c r="A2393" s="47" t="s">
        <v>5016</v>
      </c>
      <c r="B2393" s="47" t="s">
        <v>5017</v>
      </c>
      <c r="C2393" s="47" t="s">
        <v>7758</v>
      </c>
      <c r="D2393" s="47" t="s">
        <v>116</v>
      </c>
      <c r="E2393" s="47" t="s">
        <v>285</v>
      </c>
      <c r="F2393" s="47">
        <v>6139.0</v>
      </c>
      <c r="G2393" s="47">
        <v>10.45</v>
      </c>
      <c r="H2393" s="47">
        <v>587.5</v>
      </c>
      <c r="I2393" s="47" t="s">
        <v>142</v>
      </c>
    </row>
    <row r="2394" ht="15.75" customHeight="1">
      <c r="A2394" s="47" t="s">
        <v>5018</v>
      </c>
      <c r="B2394" s="47" t="s">
        <v>5019</v>
      </c>
      <c r="C2394" s="47" t="s">
        <v>7758</v>
      </c>
      <c r="D2394" s="47" t="s">
        <v>167</v>
      </c>
      <c r="E2394" s="47" t="s">
        <v>447</v>
      </c>
      <c r="F2394" s="47">
        <v>296.0</v>
      </c>
      <c r="G2394" s="47">
        <v>8.8</v>
      </c>
      <c r="H2394" s="47">
        <v>33.6</v>
      </c>
      <c r="I2394" s="47" t="s">
        <v>75</v>
      </c>
    </row>
    <row r="2395" ht="15.75" customHeight="1">
      <c r="A2395" s="47" t="s">
        <v>5020</v>
      </c>
      <c r="B2395" s="47" t="s">
        <v>5021</v>
      </c>
      <c r="C2395" s="47" t="s">
        <v>7758</v>
      </c>
      <c r="D2395" s="47" t="s">
        <v>118</v>
      </c>
      <c r="E2395" s="47" t="s">
        <v>300</v>
      </c>
      <c r="F2395" s="47">
        <v>5867.0</v>
      </c>
      <c r="G2395" s="47">
        <v>9.6</v>
      </c>
      <c r="H2395" s="47">
        <v>611.1</v>
      </c>
      <c r="I2395" s="47" t="s">
        <v>142</v>
      </c>
    </row>
    <row r="2396" ht="15.75" customHeight="1">
      <c r="A2396" s="47" t="s">
        <v>5022</v>
      </c>
      <c r="B2396" s="47" t="s">
        <v>5023</v>
      </c>
      <c r="C2396" s="47" t="s">
        <v>7758</v>
      </c>
      <c r="D2396" s="47" t="s">
        <v>116</v>
      </c>
      <c r="E2396" s="47" t="s">
        <v>285</v>
      </c>
      <c r="F2396" s="47">
        <v>2939.0</v>
      </c>
      <c r="G2396" s="47">
        <v>3.43</v>
      </c>
      <c r="H2396" s="47">
        <v>856.9</v>
      </c>
      <c r="I2396" s="47" t="s">
        <v>142</v>
      </c>
    </row>
    <row r="2397" ht="15.75" customHeight="1">
      <c r="A2397" s="47" t="s">
        <v>5024</v>
      </c>
      <c r="B2397" s="47" t="s">
        <v>5025</v>
      </c>
      <c r="C2397" s="47" t="s">
        <v>7758</v>
      </c>
      <c r="D2397" s="47" t="s">
        <v>118</v>
      </c>
      <c r="E2397" s="47" t="s">
        <v>300</v>
      </c>
      <c r="F2397" s="47">
        <v>622.0</v>
      </c>
      <c r="G2397" s="47">
        <v>2.11</v>
      </c>
      <c r="H2397" s="47">
        <v>294.8</v>
      </c>
      <c r="I2397" s="47" t="s">
        <v>62</v>
      </c>
    </row>
    <row r="2398" ht="15.75" customHeight="1">
      <c r="A2398" s="47" t="s">
        <v>5026</v>
      </c>
      <c r="B2398" s="47" t="s">
        <v>5027</v>
      </c>
      <c r="C2398" s="47" t="s">
        <v>7758</v>
      </c>
      <c r="D2398" s="47" t="s">
        <v>169</v>
      </c>
      <c r="E2398" s="47" t="s">
        <v>449</v>
      </c>
      <c r="F2398" s="47">
        <v>1399.0</v>
      </c>
      <c r="G2398" s="47">
        <v>10.75</v>
      </c>
      <c r="H2398" s="47">
        <v>130.1</v>
      </c>
      <c r="I2398" s="47" t="s">
        <v>62</v>
      </c>
    </row>
    <row r="2399" ht="15.75" customHeight="1">
      <c r="A2399" s="47" t="s">
        <v>5028</v>
      </c>
      <c r="B2399" s="47" t="s">
        <v>777</v>
      </c>
      <c r="C2399" s="47" t="s">
        <v>7758</v>
      </c>
      <c r="D2399" s="47" t="s">
        <v>219</v>
      </c>
      <c r="E2399" s="47" t="s">
        <v>377</v>
      </c>
      <c r="F2399" s="47">
        <v>301.0</v>
      </c>
      <c r="G2399" s="47">
        <v>5.37</v>
      </c>
      <c r="H2399" s="47">
        <v>56.1</v>
      </c>
      <c r="I2399" s="47" t="s">
        <v>75</v>
      </c>
    </row>
    <row r="2400" ht="15.75" customHeight="1">
      <c r="A2400" s="47" t="s">
        <v>5029</v>
      </c>
      <c r="B2400" s="47" t="s">
        <v>5030</v>
      </c>
      <c r="C2400" s="47" t="s">
        <v>7758</v>
      </c>
      <c r="D2400" s="47" t="s">
        <v>132</v>
      </c>
      <c r="E2400" s="47" t="s">
        <v>346</v>
      </c>
      <c r="F2400" s="47">
        <v>378.0</v>
      </c>
      <c r="G2400" s="47">
        <v>5.88</v>
      </c>
      <c r="H2400" s="47">
        <v>64.3</v>
      </c>
      <c r="I2400" s="47" t="s">
        <v>75</v>
      </c>
    </row>
    <row r="2401" ht="15.75" customHeight="1">
      <c r="A2401" s="47" t="s">
        <v>5031</v>
      </c>
      <c r="B2401" s="47" t="s">
        <v>5032</v>
      </c>
      <c r="C2401" s="47" t="s">
        <v>7758</v>
      </c>
      <c r="D2401" s="47" t="s">
        <v>167</v>
      </c>
      <c r="E2401" s="47" t="s">
        <v>447</v>
      </c>
      <c r="F2401" s="47">
        <v>178.0</v>
      </c>
      <c r="G2401" s="47">
        <v>6.09</v>
      </c>
      <c r="H2401" s="47">
        <v>29.2</v>
      </c>
      <c r="I2401" s="47" t="s">
        <v>75</v>
      </c>
    </row>
    <row r="2402" ht="15.75" customHeight="1">
      <c r="A2402" s="47" t="s">
        <v>5033</v>
      </c>
      <c r="B2402" s="47" t="s">
        <v>5034</v>
      </c>
      <c r="C2402" s="47" t="s">
        <v>7758</v>
      </c>
      <c r="D2402" s="47" t="s">
        <v>206</v>
      </c>
      <c r="E2402" s="47" t="s">
        <v>533</v>
      </c>
      <c r="F2402" s="47">
        <v>124.0</v>
      </c>
      <c r="G2402" s="47">
        <v>2.22</v>
      </c>
      <c r="H2402" s="47">
        <v>55.9</v>
      </c>
      <c r="I2402" s="47" t="s">
        <v>75</v>
      </c>
    </row>
    <row r="2403" ht="15.75" customHeight="1">
      <c r="A2403" s="47" t="s">
        <v>5035</v>
      </c>
      <c r="B2403" s="47" t="s">
        <v>5036</v>
      </c>
      <c r="C2403" s="47" t="s">
        <v>7758</v>
      </c>
      <c r="D2403" s="47" t="s">
        <v>219</v>
      </c>
      <c r="E2403" s="47" t="s">
        <v>377</v>
      </c>
      <c r="F2403" s="47">
        <v>1706.0</v>
      </c>
      <c r="G2403" s="47">
        <v>9.45</v>
      </c>
      <c r="H2403" s="47">
        <v>180.5</v>
      </c>
      <c r="I2403" s="47" t="s">
        <v>62</v>
      </c>
    </row>
    <row r="2404" ht="15.75" customHeight="1">
      <c r="A2404" s="47" t="s">
        <v>5037</v>
      </c>
      <c r="B2404" s="47" t="s">
        <v>5038</v>
      </c>
      <c r="C2404" s="47" t="s">
        <v>7758</v>
      </c>
      <c r="D2404" s="47" t="s">
        <v>204</v>
      </c>
      <c r="E2404" s="47" t="s">
        <v>527</v>
      </c>
      <c r="F2404" s="47">
        <v>485.0</v>
      </c>
      <c r="G2404" s="47">
        <v>8.5</v>
      </c>
      <c r="H2404" s="47">
        <v>57.1</v>
      </c>
      <c r="I2404" s="47" t="s">
        <v>75</v>
      </c>
    </row>
    <row r="2405" ht="15.75" customHeight="1">
      <c r="A2405" s="47" t="s">
        <v>5039</v>
      </c>
      <c r="B2405" s="47" t="s">
        <v>5040</v>
      </c>
      <c r="C2405" s="47" t="s">
        <v>7758</v>
      </c>
      <c r="D2405" s="47" t="s">
        <v>118</v>
      </c>
      <c r="E2405" s="47" t="s">
        <v>300</v>
      </c>
      <c r="F2405" s="47">
        <v>511.0</v>
      </c>
      <c r="G2405" s="47">
        <v>2.61</v>
      </c>
      <c r="H2405" s="47">
        <v>195.8</v>
      </c>
      <c r="I2405" s="47" t="s">
        <v>62</v>
      </c>
    </row>
    <row r="2406" ht="15.75" customHeight="1">
      <c r="A2406" s="47" t="s">
        <v>5041</v>
      </c>
      <c r="B2406" s="47" t="s">
        <v>5042</v>
      </c>
      <c r="C2406" s="47" t="s">
        <v>7758</v>
      </c>
      <c r="D2406" s="47" t="s">
        <v>139</v>
      </c>
      <c r="E2406" s="47" t="s">
        <v>354</v>
      </c>
      <c r="F2406" s="47">
        <v>2181.0</v>
      </c>
      <c r="G2406" s="47">
        <v>12.8</v>
      </c>
      <c r="H2406" s="47">
        <v>170.4</v>
      </c>
      <c r="I2406" s="47" t="s">
        <v>142</v>
      </c>
    </row>
    <row r="2407" ht="15.75" customHeight="1">
      <c r="A2407" s="47" t="s">
        <v>5043</v>
      </c>
      <c r="B2407" s="47" t="s">
        <v>5044</v>
      </c>
      <c r="C2407" s="47" t="s">
        <v>7758</v>
      </c>
      <c r="D2407" s="47" t="s">
        <v>128</v>
      </c>
      <c r="E2407" s="47" t="s">
        <v>338</v>
      </c>
      <c r="F2407" s="47">
        <v>682.0</v>
      </c>
      <c r="G2407" s="47">
        <v>9.15</v>
      </c>
      <c r="H2407" s="47">
        <v>74.5</v>
      </c>
      <c r="I2407" s="47" t="s">
        <v>62</v>
      </c>
    </row>
    <row r="2408" ht="15.75" customHeight="1">
      <c r="A2408" s="47" t="s">
        <v>5045</v>
      </c>
      <c r="B2408" s="47" t="s">
        <v>5046</v>
      </c>
      <c r="C2408" s="47" t="s">
        <v>7758</v>
      </c>
      <c r="D2408" s="47" t="s">
        <v>234</v>
      </c>
      <c r="E2408" s="47" t="s">
        <v>552</v>
      </c>
      <c r="F2408" s="47">
        <v>370.0</v>
      </c>
      <c r="G2408" s="47">
        <v>3.0</v>
      </c>
      <c r="H2408" s="47">
        <v>123.3</v>
      </c>
      <c r="I2408" s="47" t="s">
        <v>75</v>
      </c>
    </row>
    <row r="2409" ht="15.75" customHeight="1">
      <c r="A2409" s="47" t="s">
        <v>5047</v>
      </c>
      <c r="B2409" s="47" t="s">
        <v>5048</v>
      </c>
      <c r="C2409" s="47" t="s">
        <v>7758</v>
      </c>
      <c r="D2409" s="47" t="s">
        <v>127</v>
      </c>
      <c r="E2409" s="47" t="s">
        <v>323</v>
      </c>
      <c r="F2409" s="47">
        <v>2805.0</v>
      </c>
      <c r="G2409" s="47">
        <v>1.17</v>
      </c>
      <c r="H2409" s="47">
        <v>2397.4</v>
      </c>
      <c r="I2409" s="47" t="s">
        <v>142</v>
      </c>
    </row>
    <row r="2410" ht="15.75" customHeight="1">
      <c r="A2410" s="47" t="s">
        <v>5049</v>
      </c>
      <c r="B2410" s="47" t="s">
        <v>5050</v>
      </c>
      <c r="C2410" s="47" t="s">
        <v>7758</v>
      </c>
      <c r="D2410" s="47" t="s">
        <v>191</v>
      </c>
      <c r="E2410" s="47" t="s">
        <v>504</v>
      </c>
      <c r="F2410" s="47">
        <v>836.0</v>
      </c>
      <c r="G2410" s="47">
        <v>6.39</v>
      </c>
      <c r="H2410" s="47">
        <v>130.8</v>
      </c>
      <c r="I2410" s="47" t="s">
        <v>62</v>
      </c>
    </row>
    <row r="2411" ht="15.75" customHeight="1">
      <c r="A2411" s="47" t="s">
        <v>5051</v>
      </c>
      <c r="B2411" s="47" t="s">
        <v>5052</v>
      </c>
      <c r="C2411" s="47" t="s">
        <v>7758</v>
      </c>
      <c r="D2411" s="47" t="s">
        <v>187</v>
      </c>
      <c r="E2411" s="47" t="s">
        <v>488</v>
      </c>
      <c r="F2411" s="47">
        <v>241.0</v>
      </c>
      <c r="G2411" s="47">
        <v>11.69</v>
      </c>
      <c r="H2411" s="47">
        <v>20.6</v>
      </c>
      <c r="I2411" s="47" t="s">
        <v>75</v>
      </c>
    </row>
    <row r="2412" ht="15.75" customHeight="1">
      <c r="A2412" s="47" t="s">
        <v>5053</v>
      </c>
      <c r="B2412" s="47" t="s">
        <v>5054</v>
      </c>
      <c r="C2412" s="47" t="s">
        <v>7758</v>
      </c>
      <c r="D2412" s="47" t="s">
        <v>139</v>
      </c>
      <c r="E2412" s="47" t="s">
        <v>354</v>
      </c>
      <c r="F2412" s="47">
        <v>1594.0</v>
      </c>
      <c r="G2412" s="47">
        <v>20.18</v>
      </c>
      <c r="H2412" s="47">
        <v>79.0</v>
      </c>
      <c r="I2412" s="47" t="s">
        <v>62</v>
      </c>
    </row>
    <row r="2413" ht="15.75" customHeight="1">
      <c r="A2413" s="47" t="s">
        <v>5055</v>
      </c>
      <c r="B2413" s="47" t="s">
        <v>5056</v>
      </c>
      <c r="C2413" s="47" t="s">
        <v>7758</v>
      </c>
      <c r="D2413" s="47" t="s">
        <v>187</v>
      </c>
      <c r="E2413" s="47" t="s">
        <v>488</v>
      </c>
      <c r="F2413" s="47">
        <v>237.0</v>
      </c>
      <c r="G2413" s="47">
        <v>4.98</v>
      </c>
      <c r="H2413" s="47">
        <v>47.6</v>
      </c>
      <c r="I2413" s="47" t="s">
        <v>75</v>
      </c>
    </row>
    <row r="2414" ht="15.75" customHeight="1">
      <c r="A2414" s="47" t="s">
        <v>5057</v>
      </c>
      <c r="B2414" s="47" t="s">
        <v>5058</v>
      </c>
      <c r="C2414" s="47" t="s">
        <v>7758</v>
      </c>
      <c r="D2414" s="47" t="s">
        <v>139</v>
      </c>
      <c r="E2414" s="47" t="s">
        <v>354</v>
      </c>
      <c r="F2414" s="47">
        <v>3737.0</v>
      </c>
      <c r="G2414" s="47">
        <v>25.69</v>
      </c>
      <c r="H2414" s="47">
        <v>145.5</v>
      </c>
      <c r="I2414" s="47" t="s">
        <v>142</v>
      </c>
    </row>
    <row r="2415" ht="15.75" customHeight="1">
      <c r="A2415" s="47" t="s">
        <v>5059</v>
      </c>
      <c r="B2415" s="47" t="s">
        <v>5060</v>
      </c>
      <c r="C2415" s="47" t="s">
        <v>7758</v>
      </c>
      <c r="D2415" s="47" t="s">
        <v>219</v>
      </c>
      <c r="E2415" s="47" t="s">
        <v>377</v>
      </c>
      <c r="F2415" s="47">
        <v>491.0</v>
      </c>
      <c r="G2415" s="47">
        <v>8.11</v>
      </c>
      <c r="H2415" s="47">
        <v>60.5</v>
      </c>
      <c r="I2415" s="47" t="s">
        <v>75</v>
      </c>
    </row>
    <row r="2416" ht="15.75" customHeight="1">
      <c r="A2416" s="47" t="s">
        <v>5061</v>
      </c>
      <c r="B2416" s="47" t="s">
        <v>5062</v>
      </c>
      <c r="C2416" s="47" t="s">
        <v>7758</v>
      </c>
      <c r="D2416" s="47" t="s">
        <v>206</v>
      </c>
      <c r="E2416" s="47" t="s">
        <v>533</v>
      </c>
      <c r="F2416" s="47">
        <v>238.0</v>
      </c>
      <c r="G2416" s="47">
        <v>6.92</v>
      </c>
      <c r="H2416" s="47">
        <v>34.4</v>
      </c>
      <c r="I2416" s="47" t="s">
        <v>75</v>
      </c>
    </row>
    <row r="2417" ht="15.75" customHeight="1">
      <c r="A2417" s="47" t="s">
        <v>5063</v>
      </c>
      <c r="B2417" s="47" t="s">
        <v>5064</v>
      </c>
      <c r="C2417" s="47" t="s">
        <v>7758</v>
      </c>
      <c r="D2417" s="47" t="s">
        <v>132</v>
      </c>
      <c r="E2417" s="47" t="s">
        <v>346</v>
      </c>
      <c r="F2417" s="47">
        <v>2619.0</v>
      </c>
      <c r="G2417" s="47">
        <v>3.93</v>
      </c>
      <c r="H2417" s="47">
        <v>666.4</v>
      </c>
      <c r="I2417" s="47" t="s">
        <v>142</v>
      </c>
    </row>
    <row r="2418" ht="15.75" customHeight="1">
      <c r="A2418" s="47" t="s">
        <v>5065</v>
      </c>
      <c r="B2418" s="47" t="s">
        <v>5066</v>
      </c>
      <c r="C2418" s="47" t="s">
        <v>7758</v>
      </c>
      <c r="D2418" s="47" t="s">
        <v>206</v>
      </c>
      <c r="E2418" s="47" t="s">
        <v>533</v>
      </c>
      <c r="F2418" s="47">
        <v>71.0</v>
      </c>
      <c r="G2418" s="47">
        <v>4.27</v>
      </c>
      <c r="H2418" s="47">
        <v>16.6</v>
      </c>
      <c r="I2418" s="47" t="s">
        <v>75</v>
      </c>
    </row>
    <row r="2419" ht="15.75" customHeight="1">
      <c r="A2419" s="47" t="s">
        <v>5067</v>
      </c>
      <c r="B2419" s="47" t="s">
        <v>5068</v>
      </c>
      <c r="C2419" s="47" t="s">
        <v>7758</v>
      </c>
      <c r="D2419" s="47" t="s">
        <v>187</v>
      </c>
      <c r="E2419" s="47" t="s">
        <v>488</v>
      </c>
      <c r="F2419" s="47">
        <v>230.0</v>
      </c>
      <c r="G2419" s="47">
        <v>9.24</v>
      </c>
      <c r="H2419" s="47">
        <v>24.9</v>
      </c>
      <c r="I2419" s="47" t="s">
        <v>75</v>
      </c>
    </row>
    <row r="2420" ht="15.75" customHeight="1">
      <c r="A2420" s="47" t="s">
        <v>5069</v>
      </c>
      <c r="B2420" s="47" t="s">
        <v>5070</v>
      </c>
      <c r="C2420" s="47" t="s">
        <v>7758</v>
      </c>
      <c r="D2420" s="47" t="s">
        <v>206</v>
      </c>
      <c r="E2420" s="47" t="s">
        <v>533</v>
      </c>
      <c r="F2420" s="47">
        <v>221.0</v>
      </c>
      <c r="G2420" s="47">
        <v>6.4</v>
      </c>
      <c r="H2420" s="47">
        <v>34.5</v>
      </c>
      <c r="I2420" s="47" t="s">
        <v>75</v>
      </c>
    </row>
    <row r="2421" ht="15.75" customHeight="1">
      <c r="A2421" s="47" t="s">
        <v>5071</v>
      </c>
      <c r="B2421" s="47" t="s">
        <v>5072</v>
      </c>
      <c r="C2421" s="47" t="s">
        <v>7758</v>
      </c>
      <c r="D2421" s="47" t="s">
        <v>139</v>
      </c>
      <c r="E2421" s="47" t="s">
        <v>354</v>
      </c>
      <c r="F2421" s="47">
        <v>338.0</v>
      </c>
      <c r="G2421" s="47">
        <v>5.4</v>
      </c>
      <c r="H2421" s="47">
        <v>62.6</v>
      </c>
      <c r="I2421" s="47" t="s">
        <v>75</v>
      </c>
    </row>
    <row r="2422" ht="15.75" customHeight="1">
      <c r="A2422" s="47" t="s">
        <v>5073</v>
      </c>
      <c r="B2422" s="47" t="s">
        <v>5074</v>
      </c>
      <c r="C2422" s="47" t="s">
        <v>7758</v>
      </c>
      <c r="D2422" s="47" t="s">
        <v>204</v>
      </c>
      <c r="E2422" s="47" t="s">
        <v>527</v>
      </c>
      <c r="F2422" s="47">
        <v>396.0</v>
      </c>
      <c r="G2422" s="47">
        <v>7.1</v>
      </c>
      <c r="H2422" s="47">
        <v>55.8</v>
      </c>
      <c r="I2422" s="47" t="s">
        <v>75</v>
      </c>
    </row>
    <row r="2423" ht="15.75" customHeight="1">
      <c r="A2423" s="47" t="s">
        <v>5075</v>
      </c>
      <c r="B2423" s="47" t="s">
        <v>5076</v>
      </c>
      <c r="C2423" s="47" t="s">
        <v>7758</v>
      </c>
      <c r="D2423" s="47" t="s">
        <v>141</v>
      </c>
      <c r="E2423" s="47" t="s">
        <v>220</v>
      </c>
      <c r="F2423" s="47">
        <v>223.0</v>
      </c>
      <c r="G2423" s="47">
        <v>7.36</v>
      </c>
      <c r="H2423" s="47">
        <v>30.3</v>
      </c>
      <c r="I2423" s="47" t="s">
        <v>75</v>
      </c>
    </row>
    <row r="2424" ht="15.75" customHeight="1">
      <c r="A2424" s="47" t="s">
        <v>5077</v>
      </c>
      <c r="B2424" s="47" t="s">
        <v>5078</v>
      </c>
      <c r="C2424" s="47" t="s">
        <v>7758</v>
      </c>
      <c r="D2424" s="47" t="s">
        <v>191</v>
      </c>
      <c r="E2424" s="47" t="s">
        <v>504</v>
      </c>
      <c r="F2424" s="47">
        <v>461.0</v>
      </c>
      <c r="G2424" s="47">
        <v>5.89</v>
      </c>
      <c r="H2424" s="47">
        <v>78.3</v>
      </c>
      <c r="I2424" s="47" t="s">
        <v>75</v>
      </c>
    </row>
    <row r="2425" ht="15.75" customHeight="1">
      <c r="A2425" s="47" t="s">
        <v>5079</v>
      </c>
      <c r="B2425" s="47" t="s">
        <v>5080</v>
      </c>
      <c r="C2425" s="47" t="s">
        <v>7758</v>
      </c>
      <c r="D2425" s="47" t="s">
        <v>191</v>
      </c>
      <c r="E2425" s="47" t="s">
        <v>504</v>
      </c>
      <c r="F2425" s="47">
        <v>1594.0</v>
      </c>
      <c r="G2425" s="47">
        <v>9.38</v>
      </c>
      <c r="H2425" s="47">
        <v>169.9</v>
      </c>
      <c r="I2425" s="47" t="s">
        <v>62</v>
      </c>
    </row>
    <row r="2426" ht="15.75" customHeight="1">
      <c r="A2426" s="47" t="s">
        <v>5081</v>
      </c>
      <c r="B2426" s="47" t="s">
        <v>5082</v>
      </c>
      <c r="C2426" s="47" t="s">
        <v>7758</v>
      </c>
      <c r="D2426" s="47" t="s">
        <v>118</v>
      </c>
      <c r="E2426" s="47" t="s">
        <v>300</v>
      </c>
      <c r="F2426" s="47">
        <v>1753.0</v>
      </c>
      <c r="G2426" s="47">
        <v>3.6</v>
      </c>
      <c r="H2426" s="47">
        <v>486.9</v>
      </c>
      <c r="I2426" s="47" t="s">
        <v>62</v>
      </c>
    </row>
    <row r="2427" ht="15.75" customHeight="1">
      <c r="A2427" s="47" t="s">
        <v>5083</v>
      </c>
      <c r="B2427" s="47" t="s">
        <v>5084</v>
      </c>
      <c r="C2427" s="47" t="s">
        <v>7758</v>
      </c>
      <c r="D2427" s="47" t="s">
        <v>127</v>
      </c>
      <c r="E2427" s="47" t="s">
        <v>323</v>
      </c>
      <c r="F2427" s="47">
        <v>1979.0</v>
      </c>
      <c r="G2427" s="47">
        <v>2.51</v>
      </c>
      <c r="H2427" s="47">
        <v>788.4</v>
      </c>
      <c r="I2427" s="47" t="s">
        <v>62</v>
      </c>
    </row>
    <row r="2428" ht="15.75" customHeight="1">
      <c r="A2428" s="47" t="s">
        <v>5085</v>
      </c>
      <c r="B2428" s="47" t="s">
        <v>5086</v>
      </c>
      <c r="C2428" s="47" t="s">
        <v>7758</v>
      </c>
      <c r="D2428" s="47" t="s">
        <v>128</v>
      </c>
      <c r="E2428" s="47" t="s">
        <v>338</v>
      </c>
      <c r="F2428" s="47">
        <v>304.0</v>
      </c>
      <c r="G2428" s="47">
        <v>4.41</v>
      </c>
      <c r="H2428" s="47">
        <v>68.9</v>
      </c>
      <c r="I2428" s="47" t="s">
        <v>75</v>
      </c>
    </row>
    <row r="2429" ht="15.75" customHeight="1">
      <c r="A2429" s="47" t="s">
        <v>5087</v>
      </c>
      <c r="B2429" s="47" t="s">
        <v>5088</v>
      </c>
      <c r="C2429" s="47" t="s">
        <v>7758</v>
      </c>
      <c r="D2429" s="47" t="s">
        <v>118</v>
      </c>
      <c r="E2429" s="47" t="s">
        <v>300</v>
      </c>
      <c r="F2429" s="47">
        <v>913.0</v>
      </c>
      <c r="G2429" s="47">
        <v>5.32</v>
      </c>
      <c r="H2429" s="47">
        <v>171.6</v>
      </c>
      <c r="I2429" s="47" t="s">
        <v>62</v>
      </c>
    </row>
    <row r="2430" ht="15.75" customHeight="1">
      <c r="A2430" s="47" t="s">
        <v>5089</v>
      </c>
      <c r="B2430" s="47" t="s">
        <v>5090</v>
      </c>
      <c r="C2430" s="47" t="s">
        <v>7758</v>
      </c>
      <c r="D2430" s="47" t="s">
        <v>118</v>
      </c>
      <c r="E2430" s="47" t="s">
        <v>300</v>
      </c>
      <c r="F2430" s="47">
        <v>354.0</v>
      </c>
      <c r="G2430" s="47">
        <v>3.99</v>
      </c>
      <c r="H2430" s="47">
        <v>88.7</v>
      </c>
      <c r="I2430" s="47" t="s">
        <v>75</v>
      </c>
    </row>
    <row r="2431" ht="15.75" customHeight="1">
      <c r="A2431" s="47" t="s">
        <v>5091</v>
      </c>
      <c r="B2431" s="47" t="s">
        <v>5092</v>
      </c>
      <c r="C2431" s="47" t="s">
        <v>7758</v>
      </c>
      <c r="D2431" s="47" t="s">
        <v>128</v>
      </c>
      <c r="E2431" s="47" t="s">
        <v>338</v>
      </c>
      <c r="F2431" s="47">
        <v>342.0</v>
      </c>
      <c r="G2431" s="47">
        <v>3.12</v>
      </c>
      <c r="H2431" s="47">
        <v>109.6</v>
      </c>
      <c r="I2431" s="47" t="s">
        <v>75</v>
      </c>
    </row>
    <row r="2432" ht="15.75" customHeight="1">
      <c r="A2432" s="47" t="s">
        <v>5093</v>
      </c>
      <c r="B2432" s="47" t="s">
        <v>5094</v>
      </c>
      <c r="C2432" s="47" t="s">
        <v>7758</v>
      </c>
      <c r="D2432" s="47" t="s">
        <v>169</v>
      </c>
      <c r="E2432" s="47" t="s">
        <v>449</v>
      </c>
      <c r="F2432" s="47">
        <v>224.0</v>
      </c>
      <c r="G2432" s="47">
        <v>5.18</v>
      </c>
      <c r="H2432" s="47">
        <v>43.2</v>
      </c>
      <c r="I2432" s="47" t="s">
        <v>75</v>
      </c>
    </row>
    <row r="2433" ht="15.75" customHeight="1">
      <c r="A2433" s="47" t="s">
        <v>5095</v>
      </c>
      <c r="B2433" s="47" t="s">
        <v>5096</v>
      </c>
      <c r="C2433" s="47" t="s">
        <v>7758</v>
      </c>
      <c r="D2433" s="47" t="s">
        <v>219</v>
      </c>
      <c r="E2433" s="47" t="s">
        <v>377</v>
      </c>
      <c r="F2433" s="47">
        <v>476.0</v>
      </c>
      <c r="G2433" s="47">
        <v>5.21</v>
      </c>
      <c r="H2433" s="47">
        <v>91.4</v>
      </c>
      <c r="I2433" s="47" t="s">
        <v>75</v>
      </c>
    </row>
    <row r="2434" ht="15.75" customHeight="1">
      <c r="A2434" s="47" t="s">
        <v>5097</v>
      </c>
      <c r="B2434" s="47" t="s">
        <v>5098</v>
      </c>
      <c r="C2434" s="47" t="s">
        <v>7758</v>
      </c>
      <c r="D2434" s="47" t="s">
        <v>128</v>
      </c>
      <c r="E2434" s="47" t="s">
        <v>338</v>
      </c>
      <c r="F2434" s="47">
        <v>10710.0</v>
      </c>
      <c r="G2434" s="47">
        <v>12.53</v>
      </c>
      <c r="H2434" s="47">
        <v>854.7</v>
      </c>
      <c r="I2434" s="47" t="s">
        <v>571</v>
      </c>
    </row>
    <row r="2435" ht="15.75" customHeight="1">
      <c r="A2435" s="47" t="s">
        <v>5099</v>
      </c>
      <c r="B2435" s="47" t="s">
        <v>5100</v>
      </c>
      <c r="C2435" s="47" t="s">
        <v>7758</v>
      </c>
      <c r="D2435" s="47" t="s">
        <v>219</v>
      </c>
      <c r="E2435" s="47" t="s">
        <v>377</v>
      </c>
      <c r="F2435" s="47">
        <v>252.0</v>
      </c>
      <c r="G2435" s="47">
        <v>3.54</v>
      </c>
      <c r="H2435" s="47">
        <v>71.2</v>
      </c>
      <c r="I2435" s="47" t="s">
        <v>75</v>
      </c>
    </row>
    <row r="2436" ht="15.75" customHeight="1">
      <c r="A2436" s="47" t="s">
        <v>5101</v>
      </c>
      <c r="B2436" s="47" t="s">
        <v>5102</v>
      </c>
      <c r="C2436" s="47" t="s">
        <v>7758</v>
      </c>
      <c r="D2436" s="47" t="s">
        <v>234</v>
      </c>
      <c r="E2436" s="47" t="s">
        <v>552</v>
      </c>
      <c r="F2436" s="47">
        <v>327.0</v>
      </c>
      <c r="G2436" s="47">
        <v>2.25</v>
      </c>
      <c r="H2436" s="47">
        <v>145.3</v>
      </c>
      <c r="I2436" s="47" t="s">
        <v>75</v>
      </c>
    </row>
    <row r="2437" ht="15.75" customHeight="1">
      <c r="A2437" s="47" t="s">
        <v>5103</v>
      </c>
      <c r="B2437" s="47" t="s">
        <v>5104</v>
      </c>
      <c r="C2437" s="47" t="s">
        <v>7758</v>
      </c>
      <c r="D2437" s="47" t="s">
        <v>116</v>
      </c>
      <c r="E2437" s="47" t="s">
        <v>285</v>
      </c>
      <c r="F2437" s="47">
        <v>4628.0</v>
      </c>
      <c r="G2437" s="47">
        <v>4.56</v>
      </c>
      <c r="H2437" s="47">
        <v>1014.9</v>
      </c>
      <c r="I2437" s="47" t="s">
        <v>142</v>
      </c>
    </row>
    <row r="2438" ht="15.75" customHeight="1">
      <c r="A2438" s="47" t="s">
        <v>5105</v>
      </c>
      <c r="B2438" s="47" t="s">
        <v>5106</v>
      </c>
      <c r="C2438" s="47" t="s">
        <v>7758</v>
      </c>
      <c r="D2438" s="47" t="s">
        <v>169</v>
      </c>
      <c r="E2438" s="47" t="s">
        <v>449</v>
      </c>
      <c r="F2438" s="47">
        <v>111.0</v>
      </c>
      <c r="G2438" s="47">
        <v>4.59</v>
      </c>
      <c r="H2438" s="47">
        <v>24.2</v>
      </c>
      <c r="I2438" s="47" t="s">
        <v>75</v>
      </c>
    </row>
    <row r="2439" ht="15.75" customHeight="1">
      <c r="A2439" s="47" t="s">
        <v>5107</v>
      </c>
      <c r="B2439" s="47" t="s">
        <v>5108</v>
      </c>
      <c r="C2439" s="47" t="s">
        <v>7758</v>
      </c>
      <c r="D2439" s="47" t="s">
        <v>234</v>
      </c>
      <c r="E2439" s="47" t="s">
        <v>552</v>
      </c>
      <c r="F2439" s="47">
        <v>1267.0</v>
      </c>
      <c r="G2439" s="47">
        <v>8.58</v>
      </c>
      <c r="H2439" s="47">
        <v>147.7</v>
      </c>
      <c r="I2439" s="47" t="s">
        <v>62</v>
      </c>
    </row>
    <row r="2440" ht="15.75" customHeight="1">
      <c r="A2440" s="47" t="s">
        <v>5109</v>
      </c>
      <c r="B2440" s="47" t="s">
        <v>5110</v>
      </c>
      <c r="C2440" s="47" t="s">
        <v>7758</v>
      </c>
      <c r="D2440" s="47" t="s">
        <v>234</v>
      </c>
      <c r="E2440" s="47" t="s">
        <v>552</v>
      </c>
      <c r="F2440" s="47">
        <v>629.0</v>
      </c>
      <c r="G2440" s="47">
        <v>3.52</v>
      </c>
      <c r="H2440" s="47">
        <v>178.7</v>
      </c>
      <c r="I2440" s="47" t="s">
        <v>62</v>
      </c>
    </row>
    <row r="2441" ht="15.75" customHeight="1">
      <c r="A2441" s="47" t="s">
        <v>5111</v>
      </c>
      <c r="B2441" s="47" t="s">
        <v>5112</v>
      </c>
      <c r="C2441" s="47" t="s">
        <v>7758</v>
      </c>
      <c r="D2441" s="47" t="s">
        <v>139</v>
      </c>
      <c r="E2441" s="47" t="s">
        <v>354</v>
      </c>
      <c r="F2441" s="47">
        <v>932.0</v>
      </c>
      <c r="G2441" s="47">
        <v>7.02</v>
      </c>
      <c r="H2441" s="47">
        <v>132.8</v>
      </c>
      <c r="I2441" s="47" t="s">
        <v>62</v>
      </c>
    </row>
    <row r="2442" ht="15.75" customHeight="1">
      <c r="A2442" s="47" t="s">
        <v>5113</v>
      </c>
      <c r="B2442" s="47" t="s">
        <v>5114</v>
      </c>
      <c r="C2442" s="47" t="s">
        <v>7758</v>
      </c>
      <c r="D2442" s="47" t="s">
        <v>204</v>
      </c>
      <c r="E2442" s="47" t="s">
        <v>527</v>
      </c>
      <c r="F2442" s="47">
        <v>228.0</v>
      </c>
      <c r="G2442" s="47">
        <v>4.99</v>
      </c>
      <c r="H2442" s="47">
        <v>45.7</v>
      </c>
      <c r="I2442" s="47" t="s">
        <v>75</v>
      </c>
    </row>
    <row r="2443" ht="15.75" customHeight="1">
      <c r="A2443" s="47" t="s">
        <v>5115</v>
      </c>
      <c r="B2443" s="47" t="s">
        <v>5116</v>
      </c>
      <c r="C2443" s="47" t="s">
        <v>7758</v>
      </c>
      <c r="D2443" s="47" t="s">
        <v>139</v>
      </c>
      <c r="E2443" s="47" t="s">
        <v>354</v>
      </c>
      <c r="F2443" s="47">
        <v>604.0</v>
      </c>
      <c r="G2443" s="47">
        <v>14.46</v>
      </c>
      <c r="H2443" s="47">
        <v>41.8</v>
      </c>
      <c r="I2443" s="47" t="s">
        <v>62</v>
      </c>
    </row>
    <row r="2444" ht="15.75" customHeight="1">
      <c r="A2444" s="47" t="s">
        <v>5117</v>
      </c>
      <c r="B2444" s="47" t="s">
        <v>5118</v>
      </c>
      <c r="C2444" s="47" t="s">
        <v>7758</v>
      </c>
      <c r="D2444" s="47" t="s">
        <v>118</v>
      </c>
      <c r="E2444" s="47" t="s">
        <v>300</v>
      </c>
      <c r="F2444" s="47">
        <v>861.0</v>
      </c>
      <c r="G2444" s="47">
        <v>3.95</v>
      </c>
      <c r="H2444" s="47">
        <v>218.0</v>
      </c>
      <c r="I2444" s="47" t="s">
        <v>62</v>
      </c>
    </row>
    <row r="2445" ht="15.75" customHeight="1">
      <c r="A2445" s="47" t="s">
        <v>5119</v>
      </c>
      <c r="B2445" s="47" t="s">
        <v>5120</v>
      </c>
      <c r="C2445" s="47" t="s">
        <v>7758</v>
      </c>
      <c r="D2445" s="47" t="s">
        <v>163</v>
      </c>
      <c r="E2445" s="47" t="s">
        <v>441</v>
      </c>
      <c r="F2445" s="47">
        <v>1770.0</v>
      </c>
      <c r="G2445" s="47">
        <v>9.06</v>
      </c>
      <c r="H2445" s="47">
        <v>195.4</v>
      </c>
      <c r="I2445" s="47" t="s">
        <v>62</v>
      </c>
    </row>
    <row r="2446" ht="15.75" customHeight="1">
      <c r="A2446" s="47" t="s">
        <v>5121</v>
      </c>
      <c r="B2446" s="47" t="s">
        <v>5122</v>
      </c>
      <c r="C2446" s="47" t="s">
        <v>7758</v>
      </c>
      <c r="D2446" s="47" t="s">
        <v>118</v>
      </c>
      <c r="E2446" s="47" t="s">
        <v>300</v>
      </c>
      <c r="F2446" s="47">
        <v>1242.0</v>
      </c>
      <c r="G2446" s="47">
        <v>7.71</v>
      </c>
      <c r="H2446" s="47">
        <v>161.1</v>
      </c>
      <c r="I2446" s="47" t="s">
        <v>62</v>
      </c>
    </row>
    <row r="2447" ht="15.75" customHeight="1">
      <c r="A2447" s="47" t="s">
        <v>5123</v>
      </c>
      <c r="B2447" s="47" t="s">
        <v>5124</v>
      </c>
      <c r="C2447" s="47" t="s">
        <v>7758</v>
      </c>
      <c r="D2447" s="47" t="s">
        <v>234</v>
      </c>
      <c r="E2447" s="47" t="s">
        <v>552</v>
      </c>
      <c r="F2447" s="47">
        <v>991.0</v>
      </c>
      <c r="G2447" s="47">
        <v>5.51</v>
      </c>
      <c r="H2447" s="47">
        <v>179.9</v>
      </c>
      <c r="I2447" s="47" t="s">
        <v>62</v>
      </c>
    </row>
    <row r="2448" ht="15.75" customHeight="1">
      <c r="A2448" s="47" t="s">
        <v>5125</v>
      </c>
      <c r="B2448" s="47" t="s">
        <v>5126</v>
      </c>
      <c r="C2448" s="47" t="s">
        <v>7758</v>
      </c>
      <c r="D2448" s="47" t="s">
        <v>234</v>
      </c>
      <c r="E2448" s="47" t="s">
        <v>552</v>
      </c>
      <c r="F2448" s="47">
        <v>496.0</v>
      </c>
      <c r="G2448" s="47">
        <v>5.86</v>
      </c>
      <c r="H2448" s="47">
        <v>84.6</v>
      </c>
      <c r="I2448" s="47" t="s">
        <v>75</v>
      </c>
    </row>
    <row r="2449" ht="15.75" customHeight="1">
      <c r="A2449" s="47" t="s">
        <v>5127</v>
      </c>
      <c r="B2449" s="47" t="s">
        <v>5128</v>
      </c>
      <c r="C2449" s="47" t="s">
        <v>7758</v>
      </c>
      <c r="D2449" s="47" t="s">
        <v>206</v>
      </c>
      <c r="E2449" s="47" t="s">
        <v>533</v>
      </c>
      <c r="F2449" s="47">
        <v>354.0</v>
      </c>
      <c r="G2449" s="47">
        <v>11.05</v>
      </c>
      <c r="H2449" s="47">
        <v>32.0</v>
      </c>
      <c r="I2449" s="47" t="s">
        <v>75</v>
      </c>
    </row>
    <row r="2450" ht="15.75" customHeight="1">
      <c r="A2450" s="47" t="s">
        <v>5129</v>
      </c>
      <c r="B2450" s="47" t="s">
        <v>5130</v>
      </c>
      <c r="C2450" s="47" t="s">
        <v>7758</v>
      </c>
      <c r="D2450" s="47" t="s">
        <v>223</v>
      </c>
      <c r="E2450" s="47" t="s">
        <v>380</v>
      </c>
      <c r="F2450" s="47">
        <v>850.0</v>
      </c>
      <c r="G2450" s="47">
        <v>11.61</v>
      </c>
      <c r="H2450" s="47">
        <v>73.2</v>
      </c>
      <c r="I2450" s="47" t="s">
        <v>62</v>
      </c>
    </row>
    <row r="2451" ht="15.75" customHeight="1">
      <c r="A2451" s="47" t="s">
        <v>5131</v>
      </c>
      <c r="B2451" s="47" t="s">
        <v>5132</v>
      </c>
      <c r="C2451" s="47" t="s">
        <v>7758</v>
      </c>
      <c r="D2451" s="47" t="s">
        <v>167</v>
      </c>
      <c r="E2451" s="47" t="s">
        <v>447</v>
      </c>
      <c r="F2451" s="47">
        <v>510.0</v>
      </c>
      <c r="G2451" s="47">
        <v>20.58</v>
      </c>
      <c r="H2451" s="47">
        <v>24.8</v>
      </c>
      <c r="I2451" s="47" t="s">
        <v>62</v>
      </c>
    </row>
    <row r="2452" ht="15.75" customHeight="1">
      <c r="A2452" s="47" t="s">
        <v>5133</v>
      </c>
      <c r="B2452" s="47" t="s">
        <v>5134</v>
      </c>
      <c r="C2452" s="47" t="s">
        <v>7758</v>
      </c>
      <c r="D2452" s="47" t="s">
        <v>139</v>
      </c>
      <c r="E2452" s="47" t="s">
        <v>354</v>
      </c>
      <c r="F2452" s="47">
        <v>469.0</v>
      </c>
      <c r="G2452" s="47">
        <v>10.96</v>
      </c>
      <c r="H2452" s="47">
        <v>42.8</v>
      </c>
      <c r="I2452" s="47" t="s">
        <v>75</v>
      </c>
    </row>
    <row r="2453" ht="15.75" customHeight="1">
      <c r="A2453" s="47" t="s">
        <v>5135</v>
      </c>
      <c r="B2453" s="47" t="s">
        <v>5136</v>
      </c>
      <c r="C2453" s="47" t="s">
        <v>7758</v>
      </c>
      <c r="D2453" s="47" t="s">
        <v>206</v>
      </c>
      <c r="E2453" s="47" t="s">
        <v>533</v>
      </c>
      <c r="F2453" s="47">
        <v>227.0</v>
      </c>
      <c r="G2453" s="47">
        <v>5.55</v>
      </c>
      <c r="H2453" s="47">
        <v>40.9</v>
      </c>
      <c r="I2453" s="47" t="s">
        <v>75</v>
      </c>
    </row>
    <row r="2454" ht="15.75" customHeight="1">
      <c r="A2454" s="47" t="s">
        <v>5137</v>
      </c>
      <c r="B2454" s="47" t="s">
        <v>5138</v>
      </c>
      <c r="C2454" s="47" t="s">
        <v>7758</v>
      </c>
      <c r="D2454" s="47" t="s">
        <v>214</v>
      </c>
      <c r="E2454" s="47" t="s">
        <v>366</v>
      </c>
      <c r="F2454" s="47">
        <v>2947.0</v>
      </c>
      <c r="G2454" s="47">
        <v>12.91</v>
      </c>
      <c r="H2454" s="47">
        <v>228.3</v>
      </c>
      <c r="I2454" s="47" t="s">
        <v>142</v>
      </c>
    </row>
    <row r="2455" ht="15.75" customHeight="1">
      <c r="A2455" s="47" t="s">
        <v>5139</v>
      </c>
      <c r="B2455" s="47" t="s">
        <v>853</v>
      </c>
      <c r="C2455" s="47" t="s">
        <v>7758</v>
      </c>
      <c r="D2455" s="47" t="s">
        <v>206</v>
      </c>
      <c r="E2455" s="47" t="s">
        <v>533</v>
      </c>
      <c r="F2455" s="47">
        <v>109.0</v>
      </c>
      <c r="G2455" s="47">
        <v>2.84</v>
      </c>
      <c r="H2455" s="47">
        <v>38.4</v>
      </c>
      <c r="I2455" s="47" t="s">
        <v>75</v>
      </c>
    </row>
    <row r="2456" ht="15.75" customHeight="1">
      <c r="A2456" s="47" t="s">
        <v>5140</v>
      </c>
      <c r="B2456" s="47" t="s">
        <v>5141</v>
      </c>
      <c r="C2456" s="47" t="s">
        <v>7758</v>
      </c>
      <c r="D2456" s="47" t="s">
        <v>206</v>
      </c>
      <c r="E2456" s="47" t="s">
        <v>533</v>
      </c>
      <c r="F2456" s="47">
        <v>877.0</v>
      </c>
      <c r="G2456" s="47">
        <v>4.62</v>
      </c>
      <c r="H2456" s="47">
        <v>189.8</v>
      </c>
      <c r="I2456" s="47" t="s">
        <v>62</v>
      </c>
    </row>
    <row r="2457" ht="15.75" customHeight="1">
      <c r="A2457" s="47" t="s">
        <v>5142</v>
      </c>
      <c r="B2457" s="47" t="s">
        <v>5143</v>
      </c>
      <c r="C2457" s="47" t="s">
        <v>7758</v>
      </c>
      <c r="D2457" s="47" t="s">
        <v>204</v>
      </c>
      <c r="E2457" s="47" t="s">
        <v>527</v>
      </c>
      <c r="F2457" s="47">
        <v>401.0</v>
      </c>
      <c r="G2457" s="47">
        <v>9.27</v>
      </c>
      <c r="H2457" s="47">
        <v>43.3</v>
      </c>
      <c r="I2457" s="47" t="s">
        <v>75</v>
      </c>
    </row>
    <row r="2458" ht="15.75" customHeight="1">
      <c r="A2458" s="47" t="s">
        <v>5144</v>
      </c>
      <c r="B2458" s="47" t="s">
        <v>5145</v>
      </c>
      <c r="C2458" s="47" t="s">
        <v>7758</v>
      </c>
      <c r="D2458" s="47" t="s">
        <v>206</v>
      </c>
      <c r="E2458" s="47" t="s">
        <v>533</v>
      </c>
      <c r="F2458" s="47">
        <v>97.0</v>
      </c>
      <c r="G2458" s="47">
        <v>5.66</v>
      </c>
      <c r="H2458" s="47">
        <v>17.1</v>
      </c>
      <c r="I2458" s="47" t="s">
        <v>75</v>
      </c>
    </row>
    <row r="2459" ht="15.75" customHeight="1">
      <c r="A2459" s="47" t="s">
        <v>5146</v>
      </c>
      <c r="B2459" s="47" t="s">
        <v>5147</v>
      </c>
      <c r="C2459" s="47" t="s">
        <v>7758</v>
      </c>
      <c r="D2459" s="47" t="s">
        <v>204</v>
      </c>
      <c r="E2459" s="47" t="s">
        <v>527</v>
      </c>
      <c r="F2459" s="47">
        <v>273.0</v>
      </c>
      <c r="G2459" s="47">
        <v>6.21</v>
      </c>
      <c r="H2459" s="47">
        <v>44.0</v>
      </c>
      <c r="I2459" s="47" t="s">
        <v>75</v>
      </c>
    </row>
    <row r="2460" ht="15.75" customHeight="1">
      <c r="A2460" s="47" t="s">
        <v>5148</v>
      </c>
      <c r="B2460" s="47" t="s">
        <v>5149</v>
      </c>
      <c r="C2460" s="47" t="s">
        <v>7758</v>
      </c>
      <c r="D2460" s="47" t="s">
        <v>206</v>
      </c>
      <c r="E2460" s="47" t="s">
        <v>533</v>
      </c>
      <c r="F2460" s="47">
        <v>105.0</v>
      </c>
      <c r="G2460" s="47">
        <v>3.86</v>
      </c>
      <c r="H2460" s="47">
        <v>27.2</v>
      </c>
      <c r="I2460" s="47" t="s">
        <v>75</v>
      </c>
    </row>
    <row r="2461" ht="15.75" customHeight="1">
      <c r="A2461" s="47" t="s">
        <v>5150</v>
      </c>
      <c r="B2461" s="47" t="s">
        <v>5151</v>
      </c>
      <c r="C2461" s="47" t="s">
        <v>7758</v>
      </c>
      <c r="D2461" s="47" t="s">
        <v>206</v>
      </c>
      <c r="E2461" s="47" t="s">
        <v>533</v>
      </c>
      <c r="F2461" s="47">
        <v>92.0</v>
      </c>
      <c r="G2461" s="47">
        <v>3.98</v>
      </c>
      <c r="H2461" s="47">
        <v>23.1</v>
      </c>
      <c r="I2461" s="47" t="s">
        <v>75</v>
      </c>
    </row>
    <row r="2462" ht="15.75" customHeight="1">
      <c r="A2462" s="47" t="s">
        <v>5152</v>
      </c>
      <c r="B2462" s="47" t="s">
        <v>5153</v>
      </c>
      <c r="C2462" s="47" t="s">
        <v>7758</v>
      </c>
      <c r="D2462" s="47" t="s">
        <v>206</v>
      </c>
      <c r="E2462" s="47" t="s">
        <v>533</v>
      </c>
      <c r="F2462" s="47">
        <v>212.0</v>
      </c>
      <c r="G2462" s="47">
        <v>5.94</v>
      </c>
      <c r="H2462" s="47">
        <v>35.7</v>
      </c>
      <c r="I2462" s="47" t="s">
        <v>75</v>
      </c>
    </row>
    <row r="2463" ht="15.75" customHeight="1">
      <c r="A2463" s="47" t="s">
        <v>5154</v>
      </c>
      <c r="B2463" s="47" t="s">
        <v>5155</v>
      </c>
      <c r="C2463" s="47" t="s">
        <v>7758</v>
      </c>
      <c r="D2463" s="47" t="s">
        <v>169</v>
      </c>
      <c r="E2463" s="47" t="s">
        <v>449</v>
      </c>
      <c r="F2463" s="47">
        <v>119.0</v>
      </c>
      <c r="G2463" s="47">
        <v>5.46</v>
      </c>
      <c r="H2463" s="47">
        <v>21.8</v>
      </c>
      <c r="I2463" s="47" t="s">
        <v>75</v>
      </c>
    </row>
    <row r="2464" ht="15.75" customHeight="1">
      <c r="A2464" s="47" t="s">
        <v>5156</v>
      </c>
      <c r="B2464" s="47" t="s">
        <v>5157</v>
      </c>
      <c r="C2464" s="47" t="s">
        <v>7758</v>
      </c>
      <c r="D2464" s="47" t="s">
        <v>206</v>
      </c>
      <c r="E2464" s="47" t="s">
        <v>533</v>
      </c>
      <c r="F2464" s="47">
        <v>148.0</v>
      </c>
      <c r="G2464" s="47">
        <v>3.01</v>
      </c>
      <c r="H2464" s="47">
        <v>49.2</v>
      </c>
      <c r="I2464" s="47" t="s">
        <v>75</v>
      </c>
    </row>
    <row r="2465" ht="15.75" customHeight="1">
      <c r="A2465" s="47" t="s">
        <v>5158</v>
      </c>
      <c r="B2465" s="47" t="s">
        <v>5159</v>
      </c>
      <c r="C2465" s="47" t="s">
        <v>7758</v>
      </c>
      <c r="D2465" s="47" t="s">
        <v>118</v>
      </c>
      <c r="E2465" s="47" t="s">
        <v>300</v>
      </c>
      <c r="F2465" s="47">
        <v>1632.0</v>
      </c>
      <c r="G2465" s="47">
        <v>1.99</v>
      </c>
      <c r="H2465" s="47">
        <v>820.1</v>
      </c>
      <c r="I2465" s="47" t="s">
        <v>62</v>
      </c>
    </row>
    <row r="2466" ht="15.75" customHeight="1">
      <c r="A2466" s="47" t="s">
        <v>5160</v>
      </c>
      <c r="B2466" s="47" t="s">
        <v>5161</v>
      </c>
      <c r="C2466" s="47" t="s">
        <v>7758</v>
      </c>
      <c r="D2466" s="47" t="s">
        <v>118</v>
      </c>
      <c r="E2466" s="47" t="s">
        <v>300</v>
      </c>
      <c r="F2466" s="47">
        <v>1108.0</v>
      </c>
      <c r="G2466" s="47">
        <v>2.42</v>
      </c>
      <c r="H2466" s="47">
        <v>457.9</v>
      </c>
      <c r="I2466" s="47" t="s">
        <v>62</v>
      </c>
    </row>
    <row r="2467" ht="15.75" customHeight="1">
      <c r="A2467" s="47" t="s">
        <v>5162</v>
      </c>
      <c r="B2467" s="47" t="s">
        <v>5163</v>
      </c>
      <c r="C2467" s="47" t="s">
        <v>7758</v>
      </c>
      <c r="D2467" s="47" t="s">
        <v>127</v>
      </c>
      <c r="E2467" s="47" t="s">
        <v>323</v>
      </c>
      <c r="F2467" s="47">
        <v>6087.0</v>
      </c>
      <c r="G2467" s="47">
        <v>4.14</v>
      </c>
      <c r="H2467" s="47">
        <v>1470.3</v>
      </c>
      <c r="I2467" s="47" t="s">
        <v>142</v>
      </c>
    </row>
    <row r="2468" ht="15.75" customHeight="1">
      <c r="A2468" s="47" t="s">
        <v>5164</v>
      </c>
      <c r="B2468" s="47" t="s">
        <v>5165</v>
      </c>
      <c r="C2468" s="47" t="s">
        <v>7758</v>
      </c>
      <c r="D2468" s="47" t="s">
        <v>206</v>
      </c>
      <c r="E2468" s="47" t="s">
        <v>533</v>
      </c>
      <c r="F2468" s="47">
        <v>116.0</v>
      </c>
      <c r="G2468" s="47">
        <v>2.26</v>
      </c>
      <c r="H2468" s="47">
        <v>51.3</v>
      </c>
      <c r="I2468" s="47" t="s">
        <v>75</v>
      </c>
    </row>
    <row r="2469" ht="15.75" customHeight="1">
      <c r="A2469" s="47" t="s">
        <v>5166</v>
      </c>
      <c r="B2469" s="47" t="s">
        <v>5167</v>
      </c>
      <c r="C2469" s="47" t="s">
        <v>7758</v>
      </c>
      <c r="D2469" s="47" t="s">
        <v>204</v>
      </c>
      <c r="E2469" s="47" t="s">
        <v>527</v>
      </c>
      <c r="F2469" s="47">
        <v>239.0</v>
      </c>
      <c r="G2469" s="47">
        <v>5.69</v>
      </c>
      <c r="H2469" s="47">
        <v>42.0</v>
      </c>
      <c r="I2469" s="47" t="s">
        <v>75</v>
      </c>
    </row>
    <row r="2470" ht="15.75" customHeight="1">
      <c r="A2470" s="47" t="s">
        <v>5168</v>
      </c>
      <c r="B2470" s="47" t="s">
        <v>5169</v>
      </c>
      <c r="C2470" s="47" t="s">
        <v>7758</v>
      </c>
      <c r="D2470" s="47" t="s">
        <v>128</v>
      </c>
      <c r="E2470" s="47" t="s">
        <v>338</v>
      </c>
      <c r="F2470" s="47">
        <v>893.0</v>
      </c>
      <c r="G2470" s="47">
        <v>20.02</v>
      </c>
      <c r="H2470" s="47">
        <v>44.6</v>
      </c>
      <c r="I2470" s="47" t="s">
        <v>62</v>
      </c>
    </row>
    <row r="2471" ht="15.75" customHeight="1">
      <c r="A2471" s="47" t="s">
        <v>5170</v>
      </c>
      <c r="B2471" s="47" t="s">
        <v>5171</v>
      </c>
      <c r="C2471" s="47" t="s">
        <v>7758</v>
      </c>
      <c r="D2471" s="47" t="s">
        <v>219</v>
      </c>
      <c r="E2471" s="47" t="s">
        <v>377</v>
      </c>
      <c r="F2471" s="47">
        <v>604.0</v>
      </c>
      <c r="G2471" s="47">
        <v>4.89</v>
      </c>
      <c r="H2471" s="47">
        <v>123.5</v>
      </c>
      <c r="I2471" s="47" t="s">
        <v>62</v>
      </c>
    </row>
    <row r="2472" ht="15.75" customHeight="1">
      <c r="A2472" s="47" t="s">
        <v>5172</v>
      </c>
      <c r="B2472" s="47" t="s">
        <v>5173</v>
      </c>
      <c r="C2472" s="47" t="s">
        <v>7758</v>
      </c>
      <c r="D2472" s="47" t="s">
        <v>118</v>
      </c>
      <c r="E2472" s="47" t="s">
        <v>300</v>
      </c>
      <c r="F2472" s="47">
        <v>791.0</v>
      </c>
      <c r="G2472" s="47">
        <v>8.03</v>
      </c>
      <c r="H2472" s="47">
        <v>98.5</v>
      </c>
      <c r="I2472" s="47" t="s">
        <v>62</v>
      </c>
    </row>
    <row r="2473" ht="15.75" customHeight="1">
      <c r="A2473" s="47" t="s">
        <v>5174</v>
      </c>
      <c r="B2473" s="47" t="s">
        <v>5175</v>
      </c>
      <c r="C2473" s="47" t="s">
        <v>7758</v>
      </c>
      <c r="D2473" s="47" t="s">
        <v>167</v>
      </c>
      <c r="E2473" s="47" t="s">
        <v>447</v>
      </c>
      <c r="F2473" s="47">
        <v>62.0</v>
      </c>
      <c r="G2473" s="47">
        <v>2.47</v>
      </c>
      <c r="H2473" s="47">
        <v>25.1</v>
      </c>
      <c r="I2473" s="47" t="s">
        <v>75</v>
      </c>
    </row>
    <row r="2474" ht="15.75" customHeight="1">
      <c r="A2474" s="47" t="s">
        <v>5176</v>
      </c>
      <c r="B2474" s="47" t="s">
        <v>5177</v>
      </c>
      <c r="C2474" s="47" t="s">
        <v>7758</v>
      </c>
      <c r="D2474" s="47" t="s">
        <v>219</v>
      </c>
      <c r="E2474" s="47" t="s">
        <v>377</v>
      </c>
      <c r="F2474" s="47">
        <v>233.0</v>
      </c>
      <c r="G2474" s="47">
        <v>2.97</v>
      </c>
      <c r="H2474" s="47">
        <v>78.5</v>
      </c>
      <c r="I2474" s="47" t="s">
        <v>75</v>
      </c>
    </row>
    <row r="2475" ht="15.75" customHeight="1">
      <c r="A2475" s="47" t="s">
        <v>5178</v>
      </c>
      <c r="B2475" s="47" t="s">
        <v>5179</v>
      </c>
      <c r="C2475" s="47" t="s">
        <v>7758</v>
      </c>
      <c r="D2475" s="47" t="s">
        <v>187</v>
      </c>
      <c r="E2475" s="47" t="s">
        <v>488</v>
      </c>
      <c r="F2475" s="47">
        <v>579.0</v>
      </c>
      <c r="G2475" s="47">
        <v>17.23</v>
      </c>
      <c r="H2475" s="47">
        <v>33.6</v>
      </c>
      <c r="I2475" s="47" t="s">
        <v>62</v>
      </c>
    </row>
    <row r="2476" ht="15.75" customHeight="1">
      <c r="A2476" s="47" t="s">
        <v>5180</v>
      </c>
      <c r="B2476" s="47" t="s">
        <v>5181</v>
      </c>
      <c r="C2476" s="47" t="s">
        <v>7758</v>
      </c>
      <c r="D2476" s="47" t="s">
        <v>141</v>
      </c>
      <c r="E2476" s="47" t="s">
        <v>220</v>
      </c>
      <c r="F2476" s="47">
        <v>1403.0</v>
      </c>
      <c r="G2476" s="47">
        <v>7.97</v>
      </c>
      <c r="H2476" s="47">
        <v>176.0</v>
      </c>
      <c r="I2476" s="47" t="s">
        <v>62</v>
      </c>
    </row>
    <row r="2477" ht="15.75" customHeight="1">
      <c r="A2477" s="47" t="s">
        <v>5182</v>
      </c>
      <c r="B2477" s="47" t="s">
        <v>5183</v>
      </c>
      <c r="C2477" s="47" t="s">
        <v>7758</v>
      </c>
      <c r="D2477" s="47" t="s">
        <v>206</v>
      </c>
      <c r="E2477" s="47" t="s">
        <v>533</v>
      </c>
      <c r="F2477" s="47">
        <v>3259.0</v>
      </c>
      <c r="G2477" s="47">
        <v>15.26</v>
      </c>
      <c r="H2477" s="47">
        <v>213.6</v>
      </c>
      <c r="I2477" s="47" t="s">
        <v>142</v>
      </c>
    </row>
    <row r="2478" ht="15.75" customHeight="1">
      <c r="A2478" s="47" t="s">
        <v>5184</v>
      </c>
      <c r="B2478" s="47" t="s">
        <v>5185</v>
      </c>
      <c r="C2478" s="47" t="s">
        <v>7758</v>
      </c>
      <c r="D2478" s="47" t="s">
        <v>169</v>
      </c>
      <c r="E2478" s="47" t="s">
        <v>449</v>
      </c>
      <c r="F2478" s="47">
        <v>239.0</v>
      </c>
      <c r="G2478" s="47">
        <v>5.12</v>
      </c>
      <c r="H2478" s="47">
        <v>46.7</v>
      </c>
      <c r="I2478" s="47" t="s">
        <v>75</v>
      </c>
    </row>
    <row r="2479" ht="15.75" customHeight="1">
      <c r="A2479" s="47" t="s">
        <v>5186</v>
      </c>
      <c r="B2479" s="47" t="s">
        <v>5187</v>
      </c>
      <c r="C2479" s="47" t="s">
        <v>7758</v>
      </c>
      <c r="D2479" s="47" t="s">
        <v>169</v>
      </c>
      <c r="E2479" s="47" t="s">
        <v>449</v>
      </c>
      <c r="F2479" s="47">
        <v>400.0</v>
      </c>
      <c r="G2479" s="47">
        <v>3.62</v>
      </c>
      <c r="H2479" s="47">
        <v>110.5</v>
      </c>
      <c r="I2479" s="47" t="s">
        <v>75</v>
      </c>
    </row>
    <row r="2480" ht="15.75" customHeight="1">
      <c r="A2480" s="47" t="s">
        <v>5188</v>
      </c>
      <c r="B2480" s="47" t="s">
        <v>5189</v>
      </c>
      <c r="C2480" s="47" t="s">
        <v>7758</v>
      </c>
      <c r="D2480" s="47" t="s">
        <v>187</v>
      </c>
      <c r="E2480" s="47" t="s">
        <v>488</v>
      </c>
      <c r="F2480" s="47">
        <v>2362.0</v>
      </c>
      <c r="G2480" s="47">
        <v>18.87</v>
      </c>
      <c r="H2480" s="47">
        <v>125.2</v>
      </c>
      <c r="I2480" s="47" t="s">
        <v>142</v>
      </c>
    </row>
    <row r="2481" ht="15.75" customHeight="1">
      <c r="A2481" s="47" t="s">
        <v>5190</v>
      </c>
      <c r="B2481" s="47" t="s">
        <v>5191</v>
      </c>
      <c r="C2481" s="47" t="s">
        <v>7758</v>
      </c>
      <c r="D2481" s="47" t="s">
        <v>167</v>
      </c>
      <c r="E2481" s="47" t="s">
        <v>447</v>
      </c>
      <c r="F2481" s="47">
        <v>208.0</v>
      </c>
      <c r="G2481" s="47">
        <v>4.19</v>
      </c>
      <c r="H2481" s="47">
        <v>49.6</v>
      </c>
      <c r="I2481" s="47" t="s">
        <v>75</v>
      </c>
    </row>
    <row r="2482" ht="15.75" customHeight="1">
      <c r="A2482" s="47" t="s">
        <v>5192</v>
      </c>
      <c r="B2482" s="47" t="s">
        <v>5193</v>
      </c>
      <c r="C2482" s="47" t="s">
        <v>7758</v>
      </c>
      <c r="D2482" s="47" t="s">
        <v>118</v>
      </c>
      <c r="E2482" s="47" t="s">
        <v>300</v>
      </c>
      <c r="F2482" s="47">
        <v>296.0</v>
      </c>
      <c r="G2482" s="47">
        <v>5.84</v>
      </c>
      <c r="H2482" s="47">
        <v>50.7</v>
      </c>
      <c r="I2482" s="47" t="s">
        <v>75</v>
      </c>
    </row>
    <row r="2483" ht="15.75" customHeight="1">
      <c r="A2483" s="47" t="s">
        <v>5194</v>
      </c>
      <c r="B2483" s="47" t="s">
        <v>5195</v>
      </c>
      <c r="C2483" s="47" t="s">
        <v>7758</v>
      </c>
      <c r="D2483" s="47" t="s">
        <v>206</v>
      </c>
      <c r="E2483" s="47" t="s">
        <v>533</v>
      </c>
      <c r="F2483" s="47">
        <v>774.0</v>
      </c>
      <c r="G2483" s="47">
        <v>5.94</v>
      </c>
      <c r="H2483" s="47">
        <v>130.3</v>
      </c>
      <c r="I2483" s="47" t="s">
        <v>62</v>
      </c>
    </row>
    <row r="2484" ht="15.75" customHeight="1">
      <c r="A2484" s="47" t="s">
        <v>5196</v>
      </c>
      <c r="B2484" s="47" t="s">
        <v>5197</v>
      </c>
      <c r="C2484" s="47" t="s">
        <v>7758</v>
      </c>
      <c r="D2484" s="47" t="s">
        <v>169</v>
      </c>
      <c r="E2484" s="47" t="s">
        <v>449</v>
      </c>
      <c r="F2484" s="47">
        <v>215.0</v>
      </c>
      <c r="G2484" s="47">
        <v>6.22</v>
      </c>
      <c r="H2484" s="47">
        <v>34.6</v>
      </c>
      <c r="I2484" s="47" t="s">
        <v>75</v>
      </c>
    </row>
    <row r="2485" ht="15.75" customHeight="1">
      <c r="A2485" s="47" t="s">
        <v>5198</v>
      </c>
      <c r="B2485" s="47" t="s">
        <v>5199</v>
      </c>
      <c r="C2485" s="47" t="s">
        <v>7758</v>
      </c>
      <c r="D2485" s="47" t="s">
        <v>234</v>
      </c>
      <c r="E2485" s="47" t="s">
        <v>552</v>
      </c>
      <c r="F2485" s="47">
        <v>768.0</v>
      </c>
      <c r="G2485" s="47">
        <v>9.03</v>
      </c>
      <c r="H2485" s="47">
        <v>85.0</v>
      </c>
      <c r="I2485" s="47" t="s">
        <v>62</v>
      </c>
    </row>
    <row r="2486" ht="15.75" customHeight="1">
      <c r="A2486" s="47" t="s">
        <v>5200</v>
      </c>
      <c r="B2486" s="47" t="s">
        <v>5201</v>
      </c>
      <c r="C2486" s="47" t="s">
        <v>7758</v>
      </c>
      <c r="D2486" s="47" t="s">
        <v>206</v>
      </c>
      <c r="E2486" s="47" t="s">
        <v>533</v>
      </c>
      <c r="F2486" s="47">
        <v>122.0</v>
      </c>
      <c r="G2486" s="47">
        <v>10.92</v>
      </c>
      <c r="H2486" s="47">
        <v>11.2</v>
      </c>
      <c r="I2486" s="47" t="s">
        <v>75</v>
      </c>
    </row>
    <row r="2487" ht="15.75" customHeight="1">
      <c r="A2487" s="47" t="s">
        <v>5202</v>
      </c>
      <c r="B2487" s="47" t="s">
        <v>5203</v>
      </c>
      <c r="C2487" s="47" t="s">
        <v>7758</v>
      </c>
      <c r="D2487" s="47" t="s">
        <v>127</v>
      </c>
      <c r="E2487" s="47" t="s">
        <v>323</v>
      </c>
      <c r="F2487" s="47">
        <v>2072.0</v>
      </c>
      <c r="G2487" s="47">
        <v>5.93</v>
      </c>
      <c r="H2487" s="47">
        <v>349.4</v>
      </c>
      <c r="I2487" s="47" t="s">
        <v>142</v>
      </c>
    </row>
    <row r="2488" ht="15.75" customHeight="1">
      <c r="A2488" s="47" t="s">
        <v>5204</v>
      </c>
      <c r="B2488" s="47" t="s">
        <v>5205</v>
      </c>
      <c r="C2488" s="47" t="s">
        <v>7758</v>
      </c>
      <c r="D2488" s="47" t="s">
        <v>169</v>
      </c>
      <c r="E2488" s="47" t="s">
        <v>449</v>
      </c>
      <c r="F2488" s="47">
        <v>155.0</v>
      </c>
      <c r="G2488" s="47">
        <v>2.61</v>
      </c>
      <c r="H2488" s="47">
        <v>59.4</v>
      </c>
      <c r="I2488" s="47" t="s">
        <v>75</v>
      </c>
    </row>
    <row r="2489" ht="15.75" customHeight="1">
      <c r="A2489" s="47" t="s">
        <v>5206</v>
      </c>
      <c r="B2489" s="47" t="s">
        <v>5207</v>
      </c>
      <c r="C2489" s="47" t="s">
        <v>7758</v>
      </c>
      <c r="D2489" s="47" t="s">
        <v>118</v>
      </c>
      <c r="E2489" s="47" t="s">
        <v>300</v>
      </c>
      <c r="F2489" s="47">
        <v>982.0</v>
      </c>
      <c r="G2489" s="47">
        <v>3.87</v>
      </c>
      <c r="H2489" s="47">
        <v>253.7</v>
      </c>
      <c r="I2489" s="47" t="s">
        <v>62</v>
      </c>
    </row>
    <row r="2490" ht="15.75" customHeight="1">
      <c r="A2490" s="47" t="s">
        <v>5208</v>
      </c>
      <c r="B2490" s="47" t="s">
        <v>5209</v>
      </c>
      <c r="C2490" s="47" t="s">
        <v>7758</v>
      </c>
      <c r="D2490" s="47" t="s">
        <v>204</v>
      </c>
      <c r="E2490" s="47" t="s">
        <v>527</v>
      </c>
      <c r="F2490" s="47">
        <v>151.0</v>
      </c>
      <c r="G2490" s="47">
        <v>3.63</v>
      </c>
      <c r="H2490" s="47">
        <v>41.6</v>
      </c>
      <c r="I2490" s="47" t="s">
        <v>75</v>
      </c>
    </row>
    <row r="2491" ht="15.75" customHeight="1">
      <c r="A2491" s="47" t="s">
        <v>5210</v>
      </c>
      <c r="B2491" s="47" t="s">
        <v>5211</v>
      </c>
      <c r="C2491" s="47" t="s">
        <v>7758</v>
      </c>
      <c r="D2491" s="47" t="s">
        <v>204</v>
      </c>
      <c r="E2491" s="47" t="s">
        <v>527</v>
      </c>
      <c r="F2491" s="47">
        <v>86.0</v>
      </c>
      <c r="G2491" s="47">
        <v>3.35</v>
      </c>
      <c r="H2491" s="47">
        <v>25.7</v>
      </c>
      <c r="I2491" s="47" t="s">
        <v>75</v>
      </c>
    </row>
    <row r="2492" ht="15.75" customHeight="1">
      <c r="A2492" s="47" t="s">
        <v>5212</v>
      </c>
      <c r="B2492" s="47" t="s">
        <v>5213</v>
      </c>
      <c r="C2492" s="47" t="s">
        <v>7758</v>
      </c>
      <c r="D2492" s="47" t="s">
        <v>118</v>
      </c>
      <c r="E2492" s="47" t="s">
        <v>300</v>
      </c>
      <c r="F2492" s="47">
        <v>2525.0</v>
      </c>
      <c r="G2492" s="47">
        <v>15.29</v>
      </c>
      <c r="H2492" s="47">
        <v>165.1</v>
      </c>
      <c r="I2492" s="47" t="s">
        <v>142</v>
      </c>
    </row>
    <row r="2493" ht="15.75" customHeight="1">
      <c r="A2493" s="47" t="s">
        <v>5214</v>
      </c>
      <c r="B2493" s="47" t="s">
        <v>5215</v>
      </c>
      <c r="C2493" s="47" t="s">
        <v>7758</v>
      </c>
      <c r="D2493" s="47" t="s">
        <v>118</v>
      </c>
      <c r="E2493" s="47" t="s">
        <v>300</v>
      </c>
      <c r="F2493" s="47">
        <v>941.0</v>
      </c>
      <c r="G2493" s="47">
        <v>2.23</v>
      </c>
      <c r="H2493" s="47">
        <v>422.0</v>
      </c>
      <c r="I2493" s="47" t="s">
        <v>62</v>
      </c>
    </row>
    <row r="2494" ht="15.75" customHeight="1">
      <c r="A2494" s="47" t="s">
        <v>5216</v>
      </c>
      <c r="B2494" s="47" t="s">
        <v>5217</v>
      </c>
      <c r="C2494" s="47" t="s">
        <v>7758</v>
      </c>
      <c r="D2494" s="47" t="s">
        <v>169</v>
      </c>
      <c r="E2494" s="47" t="s">
        <v>449</v>
      </c>
      <c r="F2494" s="47">
        <v>195.0</v>
      </c>
      <c r="G2494" s="47">
        <v>2.68</v>
      </c>
      <c r="H2494" s="47">
        <v>72.8</v>
      </c>
      <c r="I2494" s="47" t="s">
        <v>75</v>
      </c>
    </row>
    <row r="2495" ht="15.75" customHeight="1">
      <c r="A2495" s="47" t="s">
        <v>5218</v>
      </c>
      <c r="B2495" s="47" t="s">
        <v>5219</v>
      </c>
      <c r="C2495" s="47" t="s">
        <v>7758</v>
      </c>
      <c r="D2495" s="47" t="s">
        <v>169</v>
      </c>
      <c r="E2495" s="47" t="s">
        <v>449</v>
      </c>
      <c r="F2495" s="47">
        <v>327.0</v>
      </c>
      <c r="G2495" s="47">
        <v>9.96</v>
      </c>
      <c r="H2495" s="47">
        <v>32.8</v>
      </c>
      <c r="I2495" s="47" t="s">
        <v>75</v>
      </c>
    </row>
    <row r="2496" ht="15.75" customHeight="1">
      <c r="A2496" s="47" t="s">
        <v>5220</v>
      </c>
      <c r="B2496" s="47" t="s">
        <v>5221</v>
      </c>
      <c r="C2496" s="47" t="s">
        <v>7758</v>
      </c>
      <c r="D2496" s="47" t="s">
        <v>127</v>
      </c>
      <c r="E2496" s="47" t="s">
        <v>323</v>
      </c>
      <c r="F2496" s="47">
        <v>360.0</v>
      </c>
      <c r="G2496" s="47">
        <v>3.32</v>
      </c>
      <c r="H2496" s="47">
        <v>108.4</v>
      </c>
      <c r="I2496" s="47" t="s">
        <v>75</v>
      </c>
    </row>
    <row r="2497" ht="15.75" customHeight="1">
      <c r="A2497" s="47" t="s">
        <v>5222</v>
      </c>
      <c r="B2497" s="47" t="s">
        <v>5223</v>
      </c>
      <c r="C2497" s="47" t="s">
        <v>7758</v>
      </c>
      <c r="D2497" s="47" t="s">
        <v>206</v>
      </c>
      <c r="E2497" s="47" t="s">
        <v>533</v>
      </c>
      <c r="F2497" s="47">
        <v>127.0</v>
      </c>
      <c r="G2497" s="47">
        <v>5.67</v>
      </c>
      <c r="H2497" s="47">
        <v>22.4</v>
      </c>
      <c r="I2497" s="47" t="s">
        <v>75</v>
      </c>
    </row>
    <row r="2498" ht="15.75" customHeight="1">
      <c r="A2498" s="47" t="s">
        <v>5224</v>
      </c>
      <c r="B2498" s="47" t="s">
        <v>5225</v>
      </c>
      <c r="C2498" s="47" t="s">
        <v>7758</v>
      </c>
      <c r="D2498" s="47" t="s">
        <v>167</v>
      </c>
      <c r="E2498" s="47" t="s">
        <v>447</v>
      </c>
      <c r="F2498" s="47">
        <v>659.0</v>
      </c>
      <c r="G2498" s="47">
        <v>13.32</v>
      </c>
      <c r="H2498" s="47">
        <v>49.5</v>
      </c>
      <c r="I2498" s="47" t="s">
        <v>62</v>
      </c>
    </row>
    <row r="2499" ht="15.75" customHeight="1">
      <c r="A2499" s="47" t="s">
        <v>5226</v>
      </c>
      <c r="B2499" s="47" t="s">
        <v>5227</v>
      </c>
      <c r="C2499" s="47" t="s">
        <v>7758</v>
      </c>
      <c r="D2499" s="47" t="s">
        <v>219</v>
      </c>
      <c r="E2499" s="47" t="s">
        <v>377</v>
      </c>
      <c r="F2499" s="47">
        <v>1391.0</v>
      </c>
      <c r="G2499" s="47">
        <v>5.48</v>
      </c>
      <c r="H2499" s="47">
        <v>253.8</v>
      </c>
      <c r="I2499" s="47" t="s">
        <v>62</v>
      </c>
    </row>
    <row r="2500" ht="15.75" customHeight="1">
      <c r="A2500" s="47" t="s">
        <v>5228</v>
      </c>
      <c r="B2500" s="47" t="s">
        <v>5229</v>
      </c>
      <c r="C2500" s="47" t="s">
        <v>7758</v>
      </c>
      <c r="D2500" s="47" t="s">
        <v>219</v>
      </c>
      <c r="E2500" s="47" t="s">
        <v>377</v>
      </c>
      <c r="F2500" s="47">
        <v>632.0</v>
      </c>
      <c r="G2500" s="47">
        <v>11.62</v>
      </c>
      <c r="H2500" s="47">
        <v>54.4</v>
      </c>
      <c r="I2500" s="47" t="s">
        <v>62</v>
      </c>
    </row>
    <row r="2501" ht="15.75" customHeight="1">
      <c r="A2501" s="47" t="s">
        <v>5230</v>
      </c>
      <c r="B2501" s="47" t="s">
        <v>5231</v>
      </c>
      <c r="C2501" s="47" t="s">
        <v>7758</v>
      </c>
      <c r="D2501" s="47" t="s">
        <v>169</v>
      </c>
      <c r="E2501" s="47" t="s">
        <v>449</v>
      </c>
      <c r="F2501" s="47">
        <v>383.0</v>
      </c>
      <c r="G2501" s="47">
        <v>10.79</v>
      </c>
      <c r="H2501" s="47">
        <v>35.5</v>
      </c>
      <c r="I2501" s="47" t="s">
        <v>75</v>
      </c>
    </row>
    <row r="2502" ht="15.75" customHeight="1">
      <c r="A2502" s="47" t="s">
        <v>5232</v>
      </c>
      <c r="B2502" s="47" t="s">
        <v>5233</v>
      </c>
      <c r="C2502" s="47" t="s">
        <v>7758</v>
      </c>
      <c r="D2502" s="47" t="s">
        <v>127</v>
      </c>
      <c r="E2502" s="47" t="s">
        <v>323</v>
      </c>
      <c r="F2502" s="47">
        <v>6644.0</v>
      </c>
      <c r="G2502" s="47">
        <v>3.19</v>
      </c>
      <c r="H2502" s="47">
        <v>2082.8</v>
      </c>
      <c r="I2502" s="47" t="s">
        <v>142</v>
      </c>
    </row>
    <row r="2503" ht="15.75" customHeight="1">
      <c r="A2503" s="47" t="s">
        <v>5234</v>
      </c>
      <c r="B2503" s="47" t="s">
        <v>5235</v>
      </c>
      <c r="C2503" s="47" t="s">
        <v>7758</v>
      </c>
      <c r="D2503" s="47" t="s">
        <v>204</v>
      </c>
      <c r="E2503" s="47" t="s">
        <v>527</v>
      </c>
      <c r="F2503" s="47">
        <v>353.0</v>
      </c>
      <c r="G2503" s="47">
        <v>6.4</v>
      </c>
      <c r="H2503" s="47">
        <v>55.2</v>
      </c>
      <c r="I2503" s="47" t="s">
        <v>75</v>
      </c>
    </row>
    <row r="2504" ht="15.75" customHeight="1">
      <c r="A2504" s="47" t="s">
        <v>5236</v>
      </c>
      <c r="B2504" s="47" t="s">
        <v>5237</v>
      </c>
      <c r="C2504" s="47" t="s">
        <v>7758</v>
      </c>
      <c r="D2504" s="47" t="s">
        <v>167</v>
      </c>
      <c r="E2504" s="47" t="s">
        <v>447</v>
      </c>
      <c r="F2504" s="47">
        <v>290.0</v>
      </c>
      <c r="G2504" s="47">
        <v>2.17</v>
      </c>
      <c r="H2504" s="47">
        <v>133.6</v>
      </c>
      <c r="I2504" s="47" t="s">
        <v>75</v>
      </c>
    </row>
    <row r="2505" ht="15.75" customHeight="1">
      <c r="A2505" s="47" t="s">
        <v>5238</v>
      </c>
      <c r="B2505" s="47" t="s">
        <v>5239</v>
      </c>
      <c r="C2505" s="47" t="s">
        <v>7758</v>
      </c>
      <c r="D2505" s="47" t="s">
        <v>169</v>
      </c>
      <c r="E2505" s="47" t="s">
        <v>449</v>
      </c>
      <c r="F2505" s="47">
        <v>32.0</v>
      </c>
      <c r="G2505" s="47">
        <v>2.82</v>
      </c>
      <c r="H2505" s="47">
        <v>11.3</v>
      </c>
      <c r="I2505" s="47" t="s">
        <v>75</v>
      </c>
    </row>
    <row r="2506" ht="15.75" customHeight="1">
      <c r="A2506" s="47" t="s">
        <v>5240</v>
      </c>
      <c r="B2506" s="47" t="s">
        <v>5241</v>
      </c>
      <c r="C2506" s="47" t="s">
        <v>7758</v>
      </c>
      <c r="D2506" s="47" t="s">
        <v>128</v>
      </c>
      <c r="E2506" s="47" t="s">
        <v>338</v>
      </c>
      <c r="F2506" s="47">
        <v>1470.0</v>
      </c>
      <c r="G2506" s="47">
        <v>7.79</v>
      </c>
      <c r="H2506" s="47">
        <v>188.7</v>
      </c>
      <c r="I2506" s="47" t="s">
        <v>62</v>
      </c>
    </row>
    <row r="2507" ht="15.75" customHeight="1">
      <c r="A2507" s="47" t="s">
        <v>5242</v>
      </c>
      <c r="B2507" s="47" t="s">
        <v>5243</v>
      </c>
      <c r="C2507" s="47" t="s">
        <v>7758</v>
      </c>
      <c r="D2507" s="47" t="s">
        <v>118</v>
      </c>
      <c r="E2507" s="47" t="s">
        <v>300</v>
      </c>
      <c r="F2507" s="47">
        <v>1381.0</v>
      </c>
      <c r="G2507" s="47">
        <v>5.45</v>
      </c>
      <c r="H2507" s="47">
        <v>253.4</v>
      </c>
      <c r="I2507" s="47" t="s">
        <v>62</v>
      </c>
    </row>
    <row r="2508" ht="15.75" customHeight="1">
      <c r="A2508" s="47" t="s">
        <v>5244</v>
      </c>
      <c r="B2508" s="47" t="s">
        <v>5245</v>
      </c>
      <c r="C2508" s="47" t="s">
        <v>7758</v>
      </c>
      <c r="D2508" s="47" t="s">
        <v>234</v>
      </c>
      <c r="E2508" s="47" t="s">
        <v>552</v>
      </c>
      <c r="F2508" s="47">
        <v>408.0</v>
      </c>
      <c r="G2508" s="47">
        <v>4.49</v>
      </c>
      <c r="H2508" s="47">
        <v>90.9</v>
      </c>
      <c r="I2508" s="47" t="s">
        <v>75</v>
      </c>
    </row>
    <row r="2509" ht="15.75" customHeight="1">
      <c r="A2509" s="47" t="s">
        <v>5246</v>
      </c>
      <c r="B2509" s="47" t="s">
        <v>5247</v>
      </c>
      <c r="C2509" s="47" t="s">
        <v>7758</v>
      </c>
      <c r="D2509" s="47" t="s">
        <v>161</v>
      </c>
      <c r="E2509" s="47" t="s">
        <v>438</v>
      </c>
      <c r="F2509" s="47">
        <v>1067.0</v>
      </c>
      <c r="G2509" s="47">
        <v>15.8</v>
      </c>
      <c r="H2509" s="47">
        <v>67.5</v>
      </c>
      <c r="I2509" s="47" t="s">
        <v>62</v>
      </c>
    </row>
    <row r="2510" ht="15.75" customHeight="1">
      <c r="A2510" s="47" t="s">
        <v>5248</v>
      </c>
      <c r="B2510" s="47" t="s">
        <v>5249</v>
      </c>
      <c r="C2510" s="47" t="s">
        <v>7758</v>
      </c>
      <c r="D2510" s="47" t="s">
        <v>167</v>
      </c>
      <c r="E2510" s="47" t="s">
        <v>447</v>
      </c>
      <c r="F2510" s="47">
        <v>149.0</v>
      </c>
      <c r="G2510" s="47">
        <v>3.58</v>
      </c>
      <c r="H2510" s="47">
        <v>41.6</v>
      </c>
      <c r="I2510" s="47" t="s">
        <v>75</v>
      </c>
    </row>
    <row r="2511" ht="15.75" customHeight="1">
      <c r="A2511" s="47" t="s">
        <v>5250</v>
      </c>
      <c r="B2511" s="47" t="s">
        <v>5251</v>
      </c>
      <c r="C2511" s="47" t="s">
        <v>7758</v>
      </c>
      <c r="D2511" s="47" t="s">
        <v>206</v>
      </c>
      <c r="E2511" s="47" t="s">
        <v>533</v>
      </c>
      <c r="F2511" s="47">
        <v>13.0</v>
      </c>
      <c r="G2511" s="47">
        <v>2.23</v>
      </c>
      <c r="H2511" s="47">
        <v>5.8</v>
      </c>
      <c r="I2511" s="47" t="s">
        <v>75</v>
      </c>
    </row>
    <row r="2512" ht="15.75" customHeight="1">
      <c r="A2512" s="47" t="s">
        <v>5252</v>
      </c>
      <c r="B2512" s="47" t="s">
        <v>5253</v>
      </c>
      <c r="C2512" s="47" t="s">
        <v>7758</v>
      </c>
      <c r="D2512" s="47" t="s">
        <v>223</v>
      </c>
      <c r="E2512" s="47" t="s">
        <v>380</v>
      </c>
      <c r="F2512" s="47">
        <v>5479.0</v>
      </c>
      <c r="G2512" s="47">
        <v>26.22</v>
      </c>
      <c r="H2512" s="47">
        <v>209.0</v>
      </c>
      <c r="I2512" s="47" t="s">
        <v>142</v>
      </c>
    </row>
    <row r="2513" ht="15.75" customHeight="1">
      <c r="A2513" s="47" t="s">
        <v>5254</v>
      </c>
      <c r="B2513" s="47" t="s">
        <v>5255</v>
      </c>
      <c r="C2513" s="47" t="s">
        <v>7758</v>
      </c>
      <c r="D2513" s="47" t="s">
        <v>167</v>
      </c>
      <c r="E2513" s="47" t="s">
        <v>447</v>
      </c>
      <c r="F2513" s="47">
        <v>275.0</v>
      </c>
      <c r="G2513" s="47">
        <v>1.17</v>
      </c>
      <c r="H2513" s="47">
        <v>235.0</v>
      </c>
      <c r="I2513" s="47" t="s">
        <v>75</v>
      </c>
    </row>
    <row r="2514" ht="15.75" customHeight="1">
      <c r="A2514" s="47" t="s">
        <v>5256</v>
      </c>
      <c r="B2514" s="47" t="s">
        <v>5257</v>
      </c>
      <c r="C2514" s="47" t="s">
        <v>7758</v>
      </c>
      <c r="D2514" s="47" t="s">
        <v>169</v>
      </c>
      <c r="E2514" s="47" t="s">
        <v>449</v>
      </c>
      <c r="F2514" s="47">
        <v>676.0</v>
      </c>
      <c r="G2514" s="47">
        <v>7.08</v>
      </c>
      <c r="H2514" s="47">
        <v>95.5</v>
      </c>
      <c r="I2514" s="47" t="s">
        <v>62</v>
      </c>
    </row>
    <row r="2515" ht="15.75" customHeight="1">
      <c r="A2515" s="47" t="s">
        <v>5258</v>
      </c>
      <c r="B2515" s="47" t="s">
        <v>5259</v>
      </c>
      <c r="C2515" s="47" t="s">
        <v>7758</v>
      </c>
      <c r="D2515" s="47" t="s">
        <v>118</v>
      </c>
      <c r="E2515" s="47" t="s">
        <v>300</v>
      </c>
      <c r="F2515" s="47">
        <v>5064.0</v>
      </c>
      <c r="G2515" s="47">
        <v>4.46</v>
      </c>
      <c r="H2515" s="47">
        <v>1135.4</v>
      </c>
      <c r="I2515" s="47" t="s">
        <v>142</v>
      </c>
    </row>
    <row r="2516" ht="15.75" customHeight="1">
      <c r="A2516" s="47" t="s">
        <v>5260</v>
      </c>
      <c r="B2516" s="47" t="s">
        <v>5261</v>
      </c>
      <c r="C2516" s="47" t="s">
        <v>7758</v>
      </c>
      <c r="D2516" s="47" t="s">
        <v>118</v>
      </c>
      <c r="E2516" s="47" t="s">
        <v>300</v>
      </c>
      <c r="F2516" s="47">
        <v>4396.0</v>
      </c>
      <c r="G2516" s="47">
        <v>5.62</v>
      </c>
      <c r="H2516" s="47">
        <v>782.2</v>
      </c>
      <c r="I2516" s="47" t="s">
        <v>142</v>
      </c>
    </row>
    <row r="2517" ht="15.75" customHeight="1">
      <c r="A2517" s="47" t="s">
        <v>5262</v>
      </c>
      <c r="B2517" s="47" t="s">
        <v>5263</v>
      </c>
      <c r="C2517" s="47" t="s">
        <v>7758</v>
      </c>
      <c r="D2517" s="47" t="s">
        <v>150</v>
      </c>
      <c r="E2517" s="47" t="s">
        <v>411</v>
      </c>
      <c r="F2517" s="47">
        <v>308.0</v>
      </c>
      <c r="G2517" s="47">
        <v>5.64</v>
      </c>
      <c r="H2517" s="47">
        <v>54.6</v>
      </c>
      <c r="I2517" s="47" t="s">
        <v>75</v>
      </c>
    </row>
    <row r="2518" ht="15.75" customHeight="1">
      <c r="A2518" s="47" t="s">
        <v>5264</v>
      </c>
      <c r="B2518" s="47" t="s">
        <v>5265</v>
      </c>
      <c r="C2518" s="47" t="s">
        <v>7758</v>
      </c>
      <c r="D2518" s="47" t="s">
        <v>139</v>
      </c>
      <c r="E2518" s="47" t="s">
        <v>354</v>
      </c>
      <c r="F2518" s="47">
        <v>1196.0</v>
      </c>
      <c r="G2518" s="47">
        <v>5.7</v>
      </c>
      <c r="H2518" s="47">
        <v>209.8</v>
      </c>
      <c r="I2518" s="47" t="s">
        <v>62</v>
      </c>
    </row>
    <row r="2519" ht="15.75" customHeight="1">
      <c r="A2519" s="47" t="s">
        <v>5266</v>
      </c>
      <c r="B2519" s="47" t="s">
        <v>3704</v>
      </c>
      <c r="C2519" s="47" t="s">
        <v>7758</v>
      </c>
      <c r="D2519" s="47" t="s">
        <v>169</v>
      </c>
      <c r="E2519" s="47" t="s">
        <v>449</v>
      </c>
      <c r="F2519" s="47">
        <v>201.0</v>
      </c>
      <c r="G2519" s="47">
        <v>3.42</v>
      </c>
      <c r="H2519" s="47">
        <v>58.8</v>
      </c>
      <c r="I2519" s="47" t="s">
        <v>75</v>
      </c>
    </row>
    <row r="2520" ht="15.75" customHeight="1">
      <c r="A2520" s="47" t="s">
        <v>5267</v>
      </c>
      <c r="B2520" s="47" t="s">
        <v>5268</v>
      </c>
      <c r="C2520" s="47" t="s">
        <v>7758</v>
      </c>
      <c r="D2520" s="47" t="s">
        <v>219</v>
      </c>
      <c r="E2520" s="47" t="s">
        <v>377</v>
      </c>
      <c r="F2520" s="47">
        <v>454.0</v>
      </c>
      <c r="G2520" s="47">
        <v>4.89</v>
      </c>
      <c r="H2520" s="47">
        <v>92.8</v>
      </c>
      <c r="I2520" s="47" t="s">
        <v>75</v>
      </c>
    </row>
    <row r="2521" ht="15.75" customHeight="1">
      <c r="A2521" s="47" t="s">
        <v>5269</v>
      </c>
      <c r="B2521" s="47" t="s">
        <v>5270</v>
      </c>
      <c r="C2521" s="47" t="s">
        <v>7758</v>
      </c>
      <c r="D2521" s="47" t="s">
        <v>204</v>
      </c>
      <c r="E2521" s="47" t="s">
        <v>527</v>
      </c>
      <c r="F2521" s="47">
        <v>260.0</v>
      </c>
      <c r="G2521" s="47">
        <v>6.63</v>
      </c>
      <c r="H2521" s="47">
        <v>39.2</v>
      </c>
      <c r="I2521" s="47" t="s">
        <v>75</v>
      </c>
    </row>
    <row r="2522" ht="15.75" customHeight="1">
      <c r="A2522" s="47" t="s">
        <v>5271</v>
      </c>
      <c r="B2522" s="47" t="s">
        <v>5272</v>
      </c>
      <c r="C2522" s="47" t="s">
        <v>7758</v>
      </c>
      <c r="D2522" s="47" t="s">
        <v>118</v>
      </c>
      <c r="E2522" s="47" t="s">
        <v>300</v>
      </c>
      <c r="F2522" s="47">
        <v>944.0</v>
      </c>
      <c r="G2522" s="47">
        <v>3.31</v>
      </c>
      <c r="H2522" s="47">
        <v>285.2</v>
      </c>
      <c r="I2522" s="47" t="s">
        <v>62</v>
      </c>
    </row>
    <row r="2523" ht="15.75" customHeight="1">
      <c r="A2523" s="47" t="s">
        <v>5273</v>
      </c>
      <c r="B2523" s="47" t="s">
        <v>5274</v>
      </c>
      <c r="C2523" s="47" t="s">
        <v>7758</v>
      </c>
      <c r="D2523" s="47" t="s">
        <v>141</v>
      </c>
      <c r="E2523" s="47" t="s">
        <v>220</v>
      </c>
      <c r="F2523" s="47">
        <v>1439.0</v>
      </c>
      <c r="G2523" s="47">
        <v>13.25</v>
      </c>
      <c r="H2523" s="47">
        <v>108.6</v>
      </c>
      <c r="I2523" s="47" t="s">
        <v>62</v>
      </c>
    </row>
    <row r="2524" ht="15.75" customHeight="1">
      <c r="A2524" s="47" t="s">
        <v>5275</v>
      </c>
      <c r="B2524" s="47" t="s">
        <v>5276</v>
      </c>
      <c r="C2524" s="47" t="s">
        <v>7758</v>
      </c>
      <c r="D2524" s="47" t="s">
        <v>169</v>
      </c>
      <c r="E2524" s="47" t="s">
        <v>449</v>
      </c>
      <c r="F2524" s="47">
        <v>205.0</v>
      </c>
      <c r="G2524" s="47">
        <v>3.18</v>
      </c>
      <c r="H2524" s="47">
        <v>64.5</v>
      </c>
      <c r="I2524" s="47" t="s">
        <v>75</v>
      </c>
    </row>
    <row r="2525" ht="15.75" customHeight="1">
      <c r="A2525" s="47" t="s">
        <v>5277</v>
      </c>
      <c r="B2525" s="47" t="s">
        <v>5278</v>
      </c>
      <c r="C2525" s="47" t="s">
        <v>7758</v>
      </c>
      <c r="D2525" s="47" t="s">
        <v>204</v>
      </c>
      <c r="E2525" s="47" t="s">
        <v>527</v>
      </c>
      <c r="F2525" s="47">
        <v>191.0</v>
      </c>
      <c r="G2525" s="47">
        <v>5.08</v>
      </c>
      <c r="H2525" s="47">
        <v>37.6</v>
      </c>
      <c r="I2525" s="47" t="s">
        <v>75</v>
      </c>
    </row>
    <row r="2526" ht="15.75" customHeight="1">
      <c r="A2526" s="47" t="s">
        <v>5279</v>
      </c>
      <c r="B2526" s="47" t="s">
        <v>5280</v>
      </c>
      <c r="C2526" s="47" t="s">
        <v>7758</v>
      </c>
      <c r="D2526" s="47" t="s">
        <v>206</v>
      </c>
      <c r="E2526" s="47" t="s">
        <v>533</v>
      </c>
      <c r="F2526" s="47">
        <v>51.0</v>
      </c>
      <c r="G2526" s="47">
        <v>2.38</v>
      </c>
      <c r="H2526" s="47">
        <v>21.4</v>
      </c>
      <c r="I2526" s="47" t="s">
        <v>75</v>
      </c>
    </row>
    <row r="2527" ht="15.75" customHeight="1">
      <c r="A2527" s="47" t="s">
        <v>5281</v>
      </c>
      <c r="B2527" s="47" t="s">
        <v>5282</v>
      </c>
      <c r="C2527" s="47" t="s">
        <v>7758</v>
      </c>
      <c r="D2527" s="47" t="s">
        <v>223</v>
      </c>
      <c r="E2527" s="47" t="s">
        <v>380</v>
      </c>
      <c r="F2527" s="47">
        <v>1270.0</v>
      </c>
      <c r="G2527" s="47">
        <v>8.45</v>
      </c>
      <c r="H2527" s="47">
        <v>150.3</v>
      </c>
      <c r="I2527" s="47" t="s">
        <v>62</v>
      </c>
    </row>
    <row r="2528" ht="15.75" customHeight="1">
      <c r="A2528" s="47" t="s">
        <v>5283</v>
      </c>
      <c r="B2528" s="47" t="s">
        <v>5284</v>
      </c>
      <c r="C2528" s="47" t="s">
        <v>7758</v>
      </c>
      <c r="D2528" s="47" t="s">
        <v>127</v>
      </c>
      <c r="E2528" s="47" t="s">
        <v>323</v>
      </c>
      <c r="F2528" s="47">
        <v>12247.0</v>
      </c>
      <c r="G2528" s="47">
        <v>10.81</v>
      </c>
      <c r="H2528" s="47">
        <v>1132.9</v>
      </c>
      <c r="I2528" s="47" t="s">
        <v>571</v>
      </c>
    </row>
    <row r="2529" ht="15.75" customHeight="1">
      <c r="A2529" s="47" t="s">
        <v>5285</v>
      </c>
      <c r="B2529" s="47" t="s">
        <v>3714</v>
      </c>
      <c r="C2529" s="47" t="s">
        <v>7758</v>
      </c>
      <c r="D2529" s="47" t="s">
        <v>219</v>
      </c>
      <c r="E2529" s="47" t="s">
        <v>377</v>
      </c>
      <c r="F2529" s="47">
        <v>206.0</v>
      </c>
      <c r="G2529" s="47">
        <v>6.11</v>
      </c>
      <c r="H2529" s="47">
        <v>33.7</v>
      </c>
      <c r="I2529" s="47" t="s">
        <v>75</v>
      </c>
    </row>
    <row r="2530" ht="15.75" customHeight="1">
      <c r="A2530" s="47" t="s">
        <v>5286</v>
      </c>
      <c r="B2530" s="47" t="s">
        <v>5287</v>
      </c>
      <c r="C2530" s="47" t="s">
        <v>7758</v>
      </c>
      <c r="D2530" s="47" t="s">
        <v>169</v>
      </c>
      <c r="E2530" s="47" t="s">
        <v>449</v>
      </c>
      <c r="F2530" s="47">
        <v>465.0</v>
      </c>
      <c r="G2530" s="47">
        <v>4.03</v>
      </c>
      <c r="H2530" s="47">
        <v>115.4</v>
      </c>
      <c r="I2530" s="47" t="s">
        <v>75</v>
      </c>
    </row>
    <row r="2531" ht="15.75" customHeight="1">
      <c r="A2531" s="47" t="s">
        <v>5288</v>
      </c>
      <c r="B2531" s="47" t="s">
        <v>5289</v>
      </c>
      <c r="C2531" s="47" t="s">
        <v>7758</v>
      </c>
      <c r="D2531" s="47" t="s">
        <v>206</v>
      </c>
      <c r="E2531" s="47" t="s">
        <v>533</v>
      </c>
      <c r="F2531" s="47">
        <v>214.0</v>
      </c>
      <c r="G2531" s="47">
        <v>6.81</v>
      </c>
      <c r="H2531" s="47">
        <v>31.4</v>
      </c>
      <c r="I2531" s="47" t="s">
        <v>75</v>
      </c>
    </row>
    <row r="2532" ht="15.75" customHeight="1">
      <c r="A2532" s="47" t="s">
        <v>5290</v>
      </c>
      <c r="B2532" s="47" t="s">
        <v>965</v>
      </c>
      <c r="C2532" s="47" t="s">
        <v>7758</v>
      </c>
      <c r="D2532" s="47" t="s">
        <v>169</v>
      </c>
      <c r="E2532" s="47" t="s">
        <v>449</v>
      </c>
      <c r="F2532" s="47">
        <v>308.0</v>
      </c>
      <c r="G2532" s="47">
        <v>4.07</v>
      </c>
      <c r="H2532" s="47">
        <v>75.7</v>
      </c>
      <c r="I2532" s="47" t="s">
        <v>75</v>
      </c>
    </row>
    <row r="2533" ht="15.75" customHeight="1">
      <c r="A2533" s="47" t="s">
        <v>5291</v>
      </c>
      <c r="B2533" s="47" t="s">
        <v>5292</v>
      </c>
      <c r="C2533" s="47" t="s">
        <v>7758</v>
      </c>
      <c r="D2533" s="47" t="s">
        <v>191</v>
      </c>
      <c r="E2533" s="47" t="s">
        <v>504</v>
      </c>
      <c r="F2533" s="47">
        <v>189.0</v>
      </c>
      <c r="G2533" s="47">
        <v>5.44</v>
      </c>
      <c r="H2533" s="47">
        <v>34.7</v>
      </c>
      <c r="I2533" s="47" t="s">
        <v>75</v>
      </c>
    </row>
    <row r="2534" ht="15.75" customHeight="1">
      <c r="A2534" s="47" t="s">
        <v>5293</v>
      </c>
      <c r="B2534" s="47" t="s">
        <v>5294</v>
      </c>
      <c r="C2534" s="47" t="s">
        <v>7758</v>
      </c>
      <c r="D2534" s="47" t="s">
        <v>204</v>
      </c>
      <c r="E2534" s="47" t="s">
        <v>527</v>
      </c>
      <c r="F2534" s="47">
        <v>351.0</v>
      </c>
      <c r="G2534" s="47">
        <v>16.77</v>
      </c>
      <c r="H2534" s="47">
        <v>20.9</v>
      </c>
      <c r="I2534" s="47" t="s">
        <v>75</v>
      </c>
    </row>
    <row r="2535" ht="15.75" customHeight="1">
      <c r="A2535" s="47" t="s">
        <v>5295</v>
      </c>
      <c r="B2535" s="47" t="s">
        <v>5296</v>
      </c>
      <c r="C2535" s="47" t="s">
        <v>7758</v>
      </c>
      <c r="D2535" s="47" t="s">
        <v>204</v>
      </c>
      <c r="E2535" s="47" t="s">
        <v>527</v>
      </c>
      <c r="F2535" s="47">
        <v>526.0</v>
      </c>
      <c r="G2535" s="47">
        <v>10.98</v>
      </c>
      <c r="H2535" s="47">
        <v>47.9</v>
      </c>
      <c r="I2535" s="47" t="s">
        <v>62</v>
      </c>
    </row>
    <row r="2536" ht="15.75" customHeight="1">
      <c r="A2536" s="47" t="s">
        <v>5297</v>
      </c>
      <c r="B2536" s="47" t="s">
        <v>5298</v>
      </c>
      <c r="C2536" s="47" t="s">
        <v>7758</v>
      </c>
      <c r="D2536" s="47" t="s">
        <v>139</v>
      </c>
      <c r="E2536" s="47" t="s">
        <v>354</v>
      </c>
      <c r="F2536" s="47">
        <v>1724.0</v>
      </c>
      <c r="G2536" s="47">
        <v>8.92</v>
      </c>
      <c r="H2536" s="47">
        <v>193.3</v>
      </c>
      <c r="I2536" s="47" t="s">
        <v>62</v>
      </c>
    </row>
    <row r="2537" ht="15.75" customHeight="1">
      <c r="A2537" s="47" t="s">
        <v>5299</v>
      </c>
      <c r="B2537" s="47" t="s">
        <v>5300</v>
      </c>
      <c r="C2537" s="47" t="s">
        <v>7758</v>
      </c>
      <c r="D2537" s="47" t="s">
        <v>219</v>
      </c>
      <c r="E2537" s="47" t="s">
        <v>377</v>
      </c>
      <c r="F2537" s="47">
        <v>288.0</v>
      </c>
      <c r="G2537" s="47">
        <v>8.79</v>
      </c>
      <c r="H2537" s="47">
        <v>32.8</v>
      </c>
      <c r="I2537" s="47" t="s">
        <v>75</v>
      </c>
    </row>
    <row r="2538" ht="15.75" customHeight="1">
      <c r="A2538" s="47" t="s">
        <v>5301</v>
      </c>
      <c r="B2538" s="47" t="s">
        <v>5302</v>
      </c>
      <c r="C2538" s="47" t="s">
        <v>7758</v>
      </c>
      <c r="D2538" s="47" t="s">
        <v>169</v>
      </c>
      <c r="E2538" s="47" t="s">
        <v>449</v>
      </c>
      <c r="F2538" s="47">
        <v>143.0</v>
      </c>
      <c r="G2538" s="47">
        <v>2.24</v>
      </c>
      <c r="H2538" s="47">
        <v>63.8</v>
      </c>
      <c r="I2538" s="47" t="s">
        <v>75</v>
      </c>
    </row>
    <row r="2539" ht="15.75" customHeight="1">
      <c r="A2539" s="47" t="s">
        <v>5303</v>
      </c>
      <c r="B2539" s="47" t="s">
        <v>5304</v>
      </c>
      <c r="C2539" s="47" t="s">
        <v>7758</v>
      </c>
      <c r="D2539" s="47" t="s">
        <v>234</v>
      </c>
      <c r="E2539" s="47" t="s">
        <v>552</v>
      </c>
      <c r="F2539" s="47">
        <v>187.0</v>
      </c>
      <c r="G2539" s="47">
        <v>5.37</v>
      </c>
      <c r="H2539" s="47">
        <v>34.8</v>
      </c>
      <c r="I2539" s="47" t="s">
        <v>75</v>
      </c>
    </row>
    <row r="2540" ht="15.75" customHeight="1">
      <c r="A2540" s="47" t="s">
        <v>5305</v>
      </c>
      <c r="B2540" s="47" t="s">
        <v>5306</v>
      </c>
      <c r="C2540" s="47" t="s">
        <v>7758</v>
      </c>
      <c r="D2540" s="47" t="s">
        <v>116</v>
      </c>
      <c r="E2540" s="47" t="s">
        <v>285</v>
      </c>
      <c r="F2540" s="47">
        <v>25688.0</v>
      </c>
      <c r="G2540" s="47">
        <v>20.67</v>
      </c>
      <c r="H2540" s="47">
        <v>1242.8</v>
      </c>
      <c r="I2540" s="47" t="s">
        <v>571</v>
      </c>
    </row>
    <row r="2541" ht="15.75" customHeight="1">
      <c r="A2541" s="47" t="s">
        <v>5307</v>
      </c>
      <c r="B2541" s="47" t="s">
        <v>5308</v>
      </c>
      <c r="C2541" s="47" t="s">
        <v>7758</v>
      </c>
      <c r="D2541" s="47" t="s">
        <v>234</v>
      </c>
      <c r="E2541" s="47" t="s">
        <v>552</v>
      </c>
      <c r="F2541" s="47">
        <v>528.0</v>
      </c>
      <c r="G2541" s="47">
        <v>6.76</v>
      </c>
      <c r="H2541" s="47">
        <v>78.1</v>
      </c>
      <c r="I2541" s="47" t="s">
        <v>62</v>
      </c>
    </row>
    <row r="2542" ht="15.75" customHeight="1">
      <c r="A2542" s="47" t="s">
        <v>5309</v>
      </c>
      <c r="B2542" s="47" t="s">
        <v>5310</v>
      </c>
      <c r="C2542" s="47" t="s">
        <v>7758</v>
      </c>
      <c r="D2542" s="47" t="s">
        <v>150</v>
      </c>
      <c r="E2542" s="47" t="s">
        <v>411</v>
      </c>
      <c r="F2542" s="47">
        <v>272.0</v>
      </c>
      <c r="G2542" s="47">
        <v>5.53</v>
      </c>
      <c r="H2542" s="47">
        <v>49.2</v>
      </c>
      <c r="I2542" s="47" t="s">
        <v>75</v>
      </c>
    </row>
    <row r="2543" ht="15.75" customHeight="1">
      <c r="A2543" s="47" t="s">
        <v>5311</v>
      </c>
      <c r="B2543" s="47" t="s">
        <v>5312</v>
      </c>
      <c r="C2543" s="47" t="s">
        <v>7758</v>
      </c>
      <c r="D2543" s="47" t="s">
        <v>169</v>
      </c>
      <c r="E2543" s="47" t="s">
        <v>449</v>
      </c>
      <c r="F2543" s="47">
        <v>147.0</v>
      </c>
      <c r="G2543" s="47">
        <v>4.29</v>
      </c>
      <c r="H2543" s="47">
        <v>34.3</v>
      </c>
      <c r="I2543" s="47" t="s">
        <v>75</v>
      </c>
    </row>
    <row r="2544" ht="15.75" customHeight="1">
      <c r="A2544" s="47" t="s">
        <v>5313</v>
      </c>
      <c r="B2544" s="47" t="s">
        <v>5314</v>
      </c>
      <c r="C2544" s="47" t="s">
        <v>7758</v>
      </c>
      <c r="D2544" s="47" t="s">
        <v>223</v>
      </c>
      <c r="E2544" s="47" t="s">
        <v>380</v>
      </c>
      <c r="F2544" s="47">
        <v>415.0</v>
      </c>
      <c r="G2544" s="47">
        <v>4.36</v>
      </c>
      <c r="H2544" s="47">
        <v>95.2</v>
      </c>
      <c r="I2544" s="47" t="s">
        <v>75</v>
      </c>
    </row>
    <row r="2545" ht="15.75" customHeight="1">
      <c r="A2545" s="47" t="s">
        <v>5315</v>
      </c>
      <c r="B2545" s="47" t="s">
        <v>5316</v>
      </c>
      <c r="C2545" s="47" t="s">
        <v>7758</v>
      </c>
      <c r="D2545" s="47" t="s">
        <v>206</v>
      </c>
      <c r="E2545" s="47" t="s">
        <v>533</v>
      </c>
      <c r="F2545" s="47">
        <v>77.0</v>
      </c>
      <c r="G2545" s="47">
        <v>4.95</v>
      </c>
      <c r="H2545" s="47">
        <v>15.6</v>
      </c>
      <c r="I2545" s="47" t="s">
        <v>75</v>
      </c>
    </row>
    <row r="2546" ht="15.75" customHeight="1">
      <c r="A2546" s="47" t="s">
        <v>5317</v>
      </c>
      <c r="B2546" s="47" t="s">
        <v>5318</v>
      </c>
      <c r="C2546" s="47" t="s">
        <v>7758</v>
      </c>
      <c r="D2546" s="47" t="s">
        <v>169</v>
      </c>
      <c r="E2546" s="47" t="s">
        <v>449</v>
      </c>
      <c r="F2546" s="47">
        <v>135.0</v>
      </c>
      <c r="G2546" s="47">
        <v>5.4</v>
      </c>
      <c r="H2546" s="47">
        <v>25.0</v>
      </c>
      <c r="I2546" s="47" t="s">
        <v>75</v>
      </c>
    </row>
    <row r="2547" ht="15.75" customHeight="1">
      <c r="A2547" s="47" t="s">
        <v>5319</v>
      </c>
      <c r="B2547" s="47" t="s">
        <v>5320</v>
      </c>
      <c r="C2547" s="47" t="s">
        <v>7758</v>
      </c>
      <c r="D2547" s="47" t="s">
        <v>206</v>
      </c>
      <c r="E2547" s="47" t="s">
        <v>533</v>
      </c>
      <c r="F2547" s="47">
        <v>106.0</v>
      </c>
      <c r="G2547" s="47">
        <v>2.97</v>
      </c>
      <c r="H2547" s="47">
        <v>35.7</v>
      </c>
      <c r="I2547" s="47" t="s">
        <v>75</v>
      </c>
    </row>
    <row r="2548" ht="15.75" customHeight="1">
      <c r="A2548" s="47" t="s">
        <v>5321</v>
      </c>
      <c r="B2548" s="47" t="s">
        <v>5322</v>
      </c>
      <c r="C2548" s="47" t="s">
        <v>7758</v>
      </c>
      <c r="D2548" s="47" t="s">
        <v>206</v>
      </c>
      <c r="E2548" s="47" t="s">
        <v>533</v>
      </c>
      <c r="F2548" s="47">
        <v>161.0</v>
      </c>
      <c r="G2548" s="47">
        <v>3.81</v>
      </c>
      <c r="H2548" s="47">
        <v>42.3</v>
      </c>
      <c r="I2548" s="47" t="s">
        <v>75</v>
      </c>
    </row>
    <row r="2549" ht="15.75" customHeight="1">
      <c r="A2549" s="47" t="s">
        <v>5323</v>
      </c>
      <c r="B2549" s="47" t="s">
        <v>5324</v>
      </c>
      <c r="C2549" s="47" t="s">
        <v>7758</v>
      </c>
      <c r="D2549" s="47" t="s">
        <v>187</v>
      </c>
      <c r="E2549" s="47" t="s">
        <v>488</v>
      </c>
      <c r="F2549" s="47">
        <v>330.0</v>
      </c>
      <c r="G2549" s="47">
        <v>16.36</v>
      </c>
      <c r="H2549" s="47">
        <v>20.2</v>
      </c>
      <c r="I2549" s="47" t="s">
        <v>75</v>
      </c>
    </row>
    <row r="2550" ht="15.75" customHeight="1">
      <c r="A2550" s="47" t="s">
        <v>5325</v>
      </c>
      <c r="B2550" s="47" t="s">
        <v>5326</v>
      </c>
      <c r="C2550" s="47" t="s">
        <v>7758</v>
      </c>
      <c r="D2550" s="47" t="s">
        <v>169</v>
      </c>
      <c r="E2550" s="47" t="s">
        <v>449</v>
      </c>
      <c r="F2550" s="47">
        <v>529.0</v>
      </c>
      <c r="G2550" s="47">
        <v>6.35</v>
      </c>
      <c r="H2550" s="47">
        <v>83.3</v>
      </c>
      <c r="I2550" s="47" t="s">
        <v>62</v>
      </c>
    </row>
    <row r="2551" ht="15.75" customHeight="1">
      <c r="A2551" s="47" t="s">
        <v>5327</v>
      </c>
      <c r="B2551" s="47" t="s">
        <v>5328</v>
      </c>
      <c r="C2551" s="47" t="s">
        <v>7758</v>
      </c>
      <c r="D2551" s="47" t="s">
        <v>223</v>
      </c>
      <c r="E2551" s="47" t="s">
        <v>380</v>
      </c>
      <c r="F2551" s="47">
        <v>407.0</v>
      </c>
      <c r="G2551" s="47">
        <v>6.45</v>
      </c>
      <c r="H2551" s="47">
        <v>63.1</v>
      </c>
      <c r="I2551" s="47" t="s">
        <v>75</v>
      </c>
    </row>
    <row r="2552" ht="15.75" customHeight="1">
      <c r="A2552" s="47" t="s">
        <v>5329</v>
      </c>
      <c r="B2552" s="47" t="s">
        <v>5330</v>
      </c>
      <c r="C2552" s="47" t="s">
        <v>7758</v>
      </c>
      <c r="D2552" s="47" t="s">
        <v>204</v>
      </c>
      <c r="E2552" s="47" t="s">
        <v>527</v>
      </c>
      <c r="F2552" s="47">
        <v>1062.0</v>
      </c>
      <c r="G2552" s="47">
        <v>13.03</v>
      </c>
      <c r="H2552" s="47">
        <v>81.5</v>
      </c>
      <c r="I2552" s="47" t="s">
        <v>62</v>
      </c>
    </row>
    <row r="2553" ht="15.75" customHeight="1">
      <c r="A2553" s="47" t="s">
        <v>5331</v>
      </c>
      <c r="B2553" s="47" t="s">
        <v>5332</v>
      </c>
      <c r="C2553" s="47" t="s">
        <v>7758</v>
      </c>
      <c r="D2553" s="47" t="s">
        <v>118</v>
      </c>
      <c r="E2553" s="47" t="s">
        <v>300</v>
      </c>
      <c r="F2553" s="47">
        <v>206.0</v>
      </c>
      <c r="G2553" s="47">
        <v>4.14</v>
      </c>
      <c r="H2553" s="47">
        <v>49.8</v>
      </c>
      <c r="I2553" s="47" t="s">
        <v>75</v>
      </c>
    </row>
    <row r="2554" ht="15.75" customHeight="1">
      <c r="A2554" s="47" t="s">
        <v>5333</v>
      </c>
      <c r="B2554" s="47" t="s">
        <v>5334</v>
      </c>
      <c r="C2554" s="47" t="s">
        <v>7758</v>
      </c>
      <c r="D2554" s="47" t="s">
        <v>206</v>
      </c>
      <c r="E2554" s="47" t="s">
        <v>533</v>
      </c>
      <c r="F2554" s="47">
        <v>512.0</v>
      </c>
      <c r="G2554" s="47">
        <v>9.88</v>
      </c>
      <c r="H2554" s="47">
        <v>51.8</v>
      </c>
      <c r="I2554" s="47" t="s">
        <v>62</v>
      </c>
    </row>
    <row r="2555" ht="15.75" customHeight="1">
      <c r="A2555" s="47" t="s">
        <v>5335</v>
      </c>
      <c r="B2555" s="47" t="s">
        <v>5336</v>
      </c>
      <c r="C2555" s="47" t="s">
        <v>7758</v>
      </c>
      <c r="D2555" s="47" t="s">
        <v>118</v>
      </c>
      <c r="E2555" s="47" t="s">
        <v>300</v>
      </c>
      <c r="F2555" s="47">
        <v>6082.0</v>
      </c>
      <c r="G2555" s="47">
        <v>12.64</v>
      </c>
      <c r="H2555" s="47">
        <v>481.2</v>
      </c>
      <c r="I2555" s="47" t="s">
        <v>142</v>
      </c>
    </row>
    <row r="2556" ht="15.75" customHeight="1">
      <c r="A2556" s="47" t="s">
        <v>5337</v>
      </c>
      <c r="B2556" s="47" t="s">
        <v>5338</v>
      </c>
      <c r="C2556" s="47" t="s">
        <v>7758</v>
      </c>
      <c r="D2556" s="47" t="s">
        <v>163</v>
      </c>
      <c r="E2556" s="47" t="s">
        <v>441</v>
      </c>
      <c r="F2556" s="47">
        <v>215.0</v>
      </c>
      <c r="G2556" s="47">
        <v>5.9</v>
      </c>
      <c r="H2556" s="47">
        <v>36.4</v>
      </c>
      <c r="I2556" s="47" t="s">
        <v>75</v>
      </c>
    </row>
    <row r="2557" ht="15.75" customHeight="1">
      <c r="A2557" s="47" t="s">
        <v>5339</v>
      </c>
      <c r="B2557" s="47" t="s">
        <v>5340</v>
      </c>
      <c r="C2557" s="47" t="s">
        <v>7758</v>
      </c>
      <c r="D2557" s="47" t="s">
        <v>118</v>
      </c>
      <c r="E2557" s="47" t="s">
        <v>300</v>
      </c>
      <c r="F2557" s="47">
        <v>828.0</v>
      </c>
      <c r="G2557" s="47">
        <v>2.6</v>
      </c>
      <c r="H2557" s="47">
        <v>318.5</v>
      </c>
      <c r="I2557" s="47" t="s">
        <v>62</v>
      </c>
    </row>
    <row r="2558" ht="15.75" customHeight="1">
      <c r="A2558" s="47" t="s">
        <v>5341</v>
      </c>
      <c r="B2558" s="47" t="s">
        <v>5342</v>
      </c>
      <c r="C2558" s="47" t="s">
        <v>7758</v>
      </c>
      <c r="D2558" s="47" t="s">
        <v>132</v>
      </c>
      <c r="E2558" s="47" t="s">
        <v>346</v>
      </c>
      <c r="F2558" s="47">
        <v>853.0</v>
      </c>
      <c r="G2558" s="47">
        <v>3.34</v>
      </c>
      <c r="H2558" s="47">
        <v>255.4</v>
      </c>
      <c r="I2558" s="47" t="s">
        <v>62</v>
      </c>
    </row>
    <row r="2559" ht="15.75" customHeight="1">
      <c r="A2559" s="47" t="s">
        <v>5343</v>
      </c>
      <c r="B2559" s="47" t="s">
        <v>5344</v>
      </c>
      <c r="C2559" s="47" t="s">
        <v>7758</v>
      </c>
      <c r="D2559" s="47" t="s">
        <v>167</v>
      </c>
      <c r="E2559" s="47" t="s">
        <v>447</v>
      </c>
      <c r="F2559" s="47">
        <v>4480.0</v>
      </c>
      <c r="G2559" s="47">
        <v>21.37</v>
      </c>
      <c r="H2559" s="47">
        <v>209.6</v>
      </c>
      <c r="I2559" s="47" t="s">
        <v>142</v>
      </c>
    </row>
    <row r="2560" ht="15.75" customHeight="1">
      <c r="A2560" s="47" t="s">
        <v>5345</v>
      </c>
      <c r="B2560" s="47" t="s">
        <v>5346</v>
      </c>
      <c r="C2560" s="47" t="s">
        <v>7758</v>
      </c>
      <c r="D2560" s="47" t="s">
        <v>132</v>
      </c>
      <c r="E2560" s="47" t="s">
        <v>346</v>
      </c>
      <c r="F2560" s="47">
        <v>1891.0</v>
      </c>
      <c r="G2560" s="47">
        <v>7.4</v>
      </c>
      <c r="H2560" s="47">
        <v>255.5</v>
      </c>
      <c r="I2560" s="47" t="s">
        <v>62</v>
      </c>
    </row>
    <row r="2561" ht="15.75" customHeight="1">
      <c r="A2561" s="47" t="s">
        <v>5347</v>
      </c>
      <c r="B2561" s="47" t="s">
        <v>5348</v>
      </c>
      <c r="C2561" s="47" t="s">
        <v>7758</v>
      </c>
      <c r="D2561" s="47" t="s">
        <v>167</v>
      </c>
      <c r="E2561" s="47" t="s">
        <v>447</v>
      </c>
      <c r="F2561" s="47">
        <v>172.0</v>
      </c>
      <c r="G2561" s="47">
        <v>8.29</v>
      </c>
      <c r="H2561" s="47">
        <v>20.7</v>
      </c>
      <c r="I2561" s="47" t="s">
        <v>75</v>
      </c>
    </row>
    <row r="2562" ht="15.75" customHeight="1">
      <c r="A2562" s="47" t="s">
        <v>5349</v>
      </c>
      <c r="B2562" s="47" t="s">
        <v>5350</v>
      </c>
      <c r="C2562" s="47" t="s">
        <v>7758</v>
      </c>
      <c r="D2562" s="47" t="s">
        <v>206</v>
      </c>
      <c r="E2562" s="47" t="s">
        <v>533</v>
      </c>
      <c r="F2562" s="47">
        <v>215.0</v>
      </c>
      <c r="G2562" s="47">
        <v>7.88</v>
      </c>
      <c r="H2562" s="47">
        <v>27.3</v>
      </c>
      <c r="I2562" s="47" t="s">
        <v>75</v>
      </c>
    </row>
    <row r="2563" ht="15.75" customHeight="1">
      <c r="A2563" s="47" t="s">
        <v>5351</v>
      </c>
      <c r="B2563" s="47" t="s">
        <v>5352</v>
      </c>
      <c r="C2563" s="47" t="s">
        <v>7758</v>
      </c>
      <c r="D2563" s="47" t="s">
        <v>206</v>
      </c>
      <c r="E2563" s="47" t="s">
        <v>533</v>
      </c>
      <c r="F2563" s="47">
        <v>482.0</v>
      </c>
      <c r="G2563" s="47">
        <v>8.22</v>
      </c>
      <c r="H2563" s="47">
        <v>58.6</v>
      </c>
      <c r="I2563" s="47" t="s">
        <v>75</v>
      </c>
    </row>
    <row r="2564" ht="15.75" customHeight="1">
      <c r="A2564" s="47" t="s">
        <v>5353</v>
      </c>
      <c r="B2564" s="47" t="s">
        <v>5354</v>
      </c>
      <c r="C2564" s="47" t="s">
        <v>7758</v>
      </c>
      <c r="D2564" s="47" t="s">
        <v>139</v>
      </c>
      <c r="E2564" s="47" t="s">
        <v>354</v>
      </c>
      <c r="F2564" s="47">
        <v>1389.0</v>
      </c>
      <c r="G2564" s="47">
        <v>5.88</v>
      </c>
      <c r="H2564" s="47">
        <v>236.2</v>
      </c>
      <c r="I2564" s="47" t="s">
        <v>62</v>
      </c>
    </row>
    <row r="2565" ht="15.75" customHeight="1">
      <c r="A2565" s="47" t="s">
        <v>5355</v>
      </c>
      <c r="B2565" s="47" t="s">
        <v>5356</v>
      </c>
      <c r="C2565" s="47" t="s">
        <v>7758</v>
      </c>
      <c r="D2565" s="47" t="s">
        <v>187</v>
      </c>
      <c r="E2565" s="47" t="s">
        <v>488</v>
      </c>
      <c r="F2565" s="47">
        <v>127.0</v>
      </c>
      <c r="G2565" s="47">
        <v>5.09</v>
      </c>
      <c r="H2565" s="47">
        <v>25.0</v>
      </c>
      <c r="I2565" s="47" t="s">
        <v>75</v>
      </c>
    </row>
    <row r="2566" ht="15.75" customHeight="1">
      <c r="A2566" s="47" t="s">
        <v>5357</v>
      </c>
      <c r="B2566" s="47" t="s">
        <v>5358</v>
      </c>
      <c r="C2566" s="47" t="s">
        <v>7758</v>
      </c>
      <c r="D2566" s="47" t="s">
        <v>118</v>
      </c>
      <c r="E2566" s="47" t="s">
        <v>300</v>
      </c>
      <c r="F2566" s="47">
        <v>2485.0</v>
      </c>
      <c r="G2566" s="47">
        <v>8.35</v>
      </c>
      <c r="H2566" s="47">
        <v>297.6</v>
      </c>
      <c r="I2566" s="47" t="s">
        <v>142</v>
      </c>
    </row>
    <row r="2567" ht="15.75" customHeight="1">
      <c r="A2567" s="47" t="s">
        <v>5359</v>
      </c>
      <c r="B2567" s="47" t="s">
        <v>5360</v>
      </c>
      <c r="C2567" s="47" t="s">
        <v>7758</v>
      </c>
      <c r="D2567" s="47" t="s">
        <v>223</v>
      </c>
      <c r="E2567" s="47" t="s">
        <v>380</v>
      </c>
      <c r="F2567" s="47">
        <v>118.0</v>
      </c>
      <c r="G2567" s="47">
        <v>1.97</v>
      </c>
      <c r="H2567" s="47">
        <v>59.9</v>
      </c>
      <c r="I2567" s="47" t="s">
        <v>75</v>
      </c>
    </row>
    <row r="2568" ht="15.75" customHeight="1">
      <c r="A2568" s="47" t="s">
        <v>5361</v>
      </c>
      <c r="B2568" s="47" t="s">
        <v>5362</v>
      </c>
      <c r="C2568" s="47" t="s">
        <v>7758</v>
      </c>
      <c r="D2568" s="47" t="s">
        <v>118</v>
      </c>
      <c r="E2568" s="47" t="s">
        <v>300</v>
      </c>
      <c r="F2568" s="47">
        <v>738.0</v>
      </c>
      <c r="G2568" s="47">
        <v>4.49</v>
      </c>
      <c r="H2568" s="47">
        <v>164.4</v>
      </c>
      <c r="I2568" s="47" t="s">
        <v>62</v>
      </c>
    </row>
    <row r="2569" ht="15.75" customHeight="1">
      <c r="A2569" s="47" t="s">
        <v>5363</v>
      </c>
      <c r="B2569" s="47" t="s">
        <v>5364</v>
      </c>
      <c r="C2569" s="47" t="s">
        <v>7758</v>
      </c>
      <c r="D2569" s="47" t="s">
        <v>118</v>
      </c>
      <c r="E2569" s="47" t="s">
        <v>300</v>
      </c>
      <c r="F2569" s="47">
        <v>6945.0</v>
      </c>
      <c r="G2569" s="47">
        <v>6.3</v>
      </c>
      <c r="H2569" s="47">
        <v>1102.4</v>
      </c>
      <c r="I2569" s="47" t="s">
        <v>142</v>
      </c>
    </row>
    <row r="2570" ht="15.75" customHeight="1">
      <c r="A2570" s="47" t="s">
        <v>5365</v>
      </c>
      <c r="B2570" s="47" t="s">
        <v>5366</v>
      </c>
      <c r="C2570" s="47" t="s">
        <v>7758</v>
      </c>
      <c r="D2570" s="47" t="s">
        <v>139</v>
      </c>
      <c r="E2570" s="47" t="s">
        <v>354</v>
      </c>
      <c r="F2570" s="47">
        <v>1116.0</v>
      </c>
      <c r="G2570" s="47">
        <v>6.49</v>
      </c>
      <c r="H2570" s="47">
        <v>172.0</v>
      </c>
      <c r="I2570" s="47" t="s">
        <v>62</v>
      </c>
    </row>
    <row r="2571" ht="15.75" customHeight="1">
      <c r="A2571" s="47" t="s">
        <v>5367</v>
      </c>
      <c r="B2571" s="47" t="s">
        <v>5368</v>
      </c>
      <c r="C2571" s="47" t="s">
        <v>7758</v>
      </c>
      <c r="D2571" s="47" t="s">
        <v>169</v>
      </c>
      <c r="E2571" s="47" t="s">
        <v>449</v>
      </c>
      <c r="F2571" s="47">
        <v>247.0</v>
      </c>
      <c r="G2571" s="47">
        <v>8.73</v>
      </c>
      <c r="H2571" s="47">
        <v>28.3</v>
      </c>
      <c r="I2571" s="47" t="s">
        <v>75</v>
      </c>
    </row>
    <row r="2572" ht="15.75" customHeight="1">
      <c r="A2572" s="47" t="s">
        <v>5369</v>
      </c>
      <c r="B2572" s="47" t="s">
        <v>5370</v>
      </c>
      <c r="C2572" s="47" t="s">
        <v>7758</v>
      </c>
      <c r="D2572" s="47" t="s">
        <v>128</v>
      </c>
      <c r="E2572" s="47" t="s">
        <v>338</v>
      </c>
      <c r="F2572" s="47">
        <v>272.0</v>
      </c>
      <c r="G2572" s="47">
        <v>8.09</v>
      </c>
      <c r="H2572" s="47">
        <v>33.6</v>
      </c>
      <c r="I2572" s="47" t="s">
        <v>75</v>
      </c>
    </row>
    <row r="2573" ht="15.75" customHeight="1">
      <c r="A2573" s="47" t="s">
        <v>5371</v>
      </c>
      <c r="B2573" s="47" t="s">
        <v>5372</v>
      </c>
      <c r="C2573" s="47" t="s">
        <v>7758</v>
      </c>
      <c r="D2573" s="47" t="s">
        <v>206</v>
      </c>
      <c r="E2573" s="47" t="s">
        <v>533</v>
      </c>
      <c r="F2573" s="47">
        <v>152.0</v>
      </c>
      <c r="G2573" s="47">
        <v>3.39</v>
      </c>
      <c r="H2573" s="47">
        <v>44.8</v>
      </c>
      <c r="I2573" s="47" t="s">
        <v>75</v>
      </c>
    </row>
    <row r="2574" ht="15.75" customHeight="1">
      <c r="A2574" s="47" t="s">
        <v>5373</v>
      </c>
      <c r="B2574" s="47" t="s">
        <v>5374</v>
      </c>
      <c r="C2574" s="47" t="s">
        <v>7758</v>
      </c>
      <c r="D2574" s="47" t="s">
        <v>187</v>
      </c>
      <c r="E2574" s="47" t="s">
        <v>488</v>
      </c>
      <c r="F2574" s="47">
        <v>494.0</v>
      </c>
      <c r="G2574" s="47">
        <v>7.65</v>
      </c>
      <c r="H2574" s="47">
        <v>64.6</v>
      </c>
      <c r="I2574" s="47" t="s">
        <v>75</v>
      </c>
    </row>
    <row r="2575" ht="15.75" customHeight="1">
      <c r="A2575" s="47" t="s">
        <v>5375</v>
      </c>
      <c r="B2575" s="47" t="s">
        <v>5376</v>
      </c>
      <c r="C2575" s="47" t="s">
        <v>7758</v>
      </c>
      <c r="D2575" s="47" t="s">
        <v>127</v>
      </c>
      <c r="E2575" s="47" t="s">
        <v>323</v>
      </c>
      <c r="F2575" s="47">
        <v>3371.0</v>
      </c>
      <c r="G2575" s="47">
        <v>5.73</v>
      </c>
      <c r="H2575" s="47">
        <v>588.3</v>
      </c>
      <c r="I2575" s="47" t="s">
        <v>142</v>
      </c>
    </row>
    <row r="2576" ht="15.75" customHeight="1">
      <c r="A2576" s="47" t="s">
        <v>5377</v>
      </c>
      <c r="B2576" s="47" t="s">
        <v>5378</v>
      </c>
      <c r="C2576" s="47" t="s">
        <v>7758</v>
      </c>
      <c r="D2576" s="47" t="s">
        <v>169</v>
      </c>
      <c r="E2576" s="47" t="s">
        <v>449</v>
      </c>
      <c r="F2576" s="47">
        <v>219.0</v>
      </c>
      <c r="G2576" s="47">
        <v>3.58</v>
      </c>
      <c r="H2576" s="47">
        <v>61.2</v>
      </c>
      <c r="I2576" s="47" t="s">
        <v>75</v>
      </c>
    </row>
    <row r="2577" ht="15.75" customHeight="1">
      <c r="A2577" s="47" t="s">
        <v>5379</v>
      </c>
      <c r="B2577" s="47" t="s">
        <v>5380</v>
      </c>
      <c r="C2577" s="47" t="s">
        <v>7758</v>
      </c>
      <c r="D2577" s="47" t="s">
        <v>187</v>
      </c>
      <c r="E2577" s="47" t="s">
        <v>488</v>
      </c>
      <c r="F2577" s="47">
        <v>249.0</v>
      </c>
      <c r="G2577" s="47">
        <v>7.83</v>
      </c>
      <c r="H2577" s="47">
        <v>31.8</v>
      </c>
      <c r="I2577" s="47" t="s">
        <v>75</v>
      </c>
    </row>
    <row r="2578" ht="15.75" customHeight="1">
      <c r="A2578" s="47" t="s">
        <v>5381</v>
      </c>
      <c r="B2578" s="47" t="s">
        <v>5382</v>
      </c>
      <c r="C2578" s="47" t="s">
        <v>7758</v>
      </c>
      <c r="D2578" s="47" t="s">
        <v>206</v>
      </c>
      <c r="E2578" s="47" t="s">
        <v>533</v>
      </c>
      <c r="F2578" s="47">
        <v>182.0</v>
      </c>
      <c r="G2578" s="47">
        <v>3.22</v>
      </c>
      <c r="H2578" s="47">
        <v>56.5</v>
      </c>
      <c r="I2578" s="47" t="s">
        <v>75</v>
      </c>
    </row>
    <row r="2579" ht="15.75" customHeight="1">
      <c r="A2579" s="47" t="s">
        <v>5383</v>
      </c>
      <c r="B2579" s="47" t="s">
        <v>5384</v>
      </c>
      <c r="C2579" s="47" t="s">
        <v>7758</v>
      </c>
      <c r="D2579" s="47" t="s">
        <v>206</v>
      </c>
      <c r="E2579" s="47" t="s">
        <v>533</v>
      </c>
      <c r="F2579" s="47">
        <v>218.0</v>
      </c>
      <c r="G2579" s="47">
        <v>6.87</v>
      </c>
      <c r="H2579" s="47">
        <v>31.7</v>
      </c>
      <c r="I2579" s="47" t="s">
        <v>75</v>
      </c>
    </row>
    <row r="2580" ht="15.75" customHeight="1">
      <c r="A2580" s="47" t="s">
        <v>5385</v>
      </c>
      <c r="B2580" s="47" t="s">
        <v>5386</v>
      </c>
      <c r="C2580" s="47" t="s">
        <v>7758</v>
      </c>
      <c r="D2580" s="47" t="s">
        <v>219</v>
      </c>
      <c r="E2580" s="47" t="s">
        <v>377</v>
      </c>
      <c r="F2580" s="47">
        <v>575.0</v>
      </c>
      <c r="G2580" s="47">
        <v>11.13</v>
      </c>
      <c r="H2580" s="47">
        <v>51.7</v>
      </c>
      <c r="I2580" s="47" t="s">
        <v>62</v>
      </c>
    </row>
    <row r="2581" ht="15.75" customHeight="1">
      <c r="A2581" s="47" t="s">
        <v>5387</v>
      </c>
      <c r="B2581" s="47" t="s">
        <v>5388</v>
      </c>
      <c r="C2581" s="47" t="s">
        <v>7758</v>
      </c>
      <c r="D2581" s="47" t="s">
        <v>167</v>
      </c>
      <c r="E2581" s="47" t="s">
        <v>447</v>
      </c>
      <c r="F2581" s="47">
        <v>91.0</v>
      </c>
      <c r="G2581" s="47">
        <v>1.86</v>
      </c>
      <c r="H2581" s="47">
        <v>48.9</v>
      </c>
      <c r="I2581" s="47" t="s">
        <v>75</v>
      </c>
    </row>
    <row r="2582" ht="15.75" customHeight="1">
      <c r="A2582" s="47" t="s">
        <v>5389</v>
      </c>
      <c r="B2582" s="47" t="s">
        <v>5390</v>
      </c>
      <c r="C2582" s="47" t="s">
        <v>7758</v>
      </c>
      <c r="D2582" s="47" t="s">
        <v>139</v>
      </c>
      <c r="E2582" s="47" t="s">
        <v>354</v>
      </c>
      <c r="F2582" s="47">
        <v>1062.0</v>
      </c>
      <c r="G2582" s="47">
        <v>7.78</v>
      </c>
      <c r="H2582" s="47">
        <v>136.5</v>
      </c>
      <c r="I2582" s="47" t="s">
        <v>62</v>
      </c>
    </row>
    <row r="2583" ht="15.75" customHeight="1">
      <c r="A2583" s="47" t="s">
        <v>5391</v>
      </c>
      <c r="B2583" s="47" t="s">
        <v>5392</v>
      </c>
      <c r="C2583" s="47" t="s">
        <v>7758</v>
      </c>
      <c r="D2583" s="47" t="s">
        <v>128</v>
      </c>
      <c r="E2583" s="47" t="s">
        <v>338</v>
      </c>
      <c r="F2583" s="47">
        <v>157.0</v>
      </c>
      <c r="G2583" s="47">
        <v>3.83</v>
      </c>
      <c r="H2583" s="47">
        <v>41.0</v>
      </c>
      <c r="I2583" s="47" t="s">
        <v>75</v>
      </c>
    </row>
    <row r="2584" ht="15.75" customHeight="1">
      <c r="A2584" s="47" t="s">
        <v>5393</v>
      </c>
      <c r="B2584" s="47" t="s">
        <v>5394</v>
      </c>
      <c r="C2584" s="47" t="s">
        <v>7758</v>
      </c>
      <c r="D2584" s="47" t="s">
        <v>118</v>
      </c>
      <c r="E2584" s="47" t="s">
        <v>300</v>
      </c>
      <c r="F2584" s="47">
        <v>8650.0</v>
      </c>
      <c r="G2584" s="47">
        <v>14.39</v>
      </c>
      <c r="H2584" s="47">
        <v>601.1</v>
      </c>
      <c r="I2584" s="47" t="s">
        <v>142</v>
      </c>
    </row>
    <row r="2585" ht="15.75" customHeight="1">
      <c r="A2585" s="47" t="s">
        <v>5395</v>
      </c>
      <c r="B2585" s="47" t="s">
        <v>5396</v>
      </c>
      <c r="C2585" s="47" t="s">
        <v>7758</v>
      </c>
      <c r="D2585" s="47" t="s">
        <v>132</v>
      </c>
      <c r="E2585" s="47" t="s">
        <v>346</v>
      </c>
      <c r="F2585" s="47">
        <v>1122.0</v>
      </c>
      <c r="G2585" s="47">
        <v>6.99</v>
      </c>
      <c r="H2585" s="47">
        <v>160.5</v>
      </c>
      <c r="I2585" s="47" t="s">
        <v>62</v>
      </c>
    </row>
    <row r="2586" ht="15.75" customHeight="1">
      <c r="A2586" s="47" t="s">
        <v>5397</v>
      </c>
      <c r="B2586" s="47" t="s">
        <v>5398</v>
      </c>
      <c r="C2586" s="47" t="s">
        <v>7758</v>
      </c>
      <c r="D2586" s="47" t="s">
        <v>169</v>
      </c>
      <c r="E2586" s="47" t="s">
        <v>449</v>
      </c>
      <c r="F2586" s="47">
        <v>238.0</v>
      </c>
      <c r="G2586" s="47">
        <v>7.4</v>
      </c>
      <c r="H2586" s="47">
        <v>32.2</v>
      </c>
      <c r="I2586" s="47" t="s">
        <v>75</v>
      </c>
    </row>
    <row r="2587" ht="15.75" customHeight="1">
      <c r="A2587" s="47" t="s">
        <v>5399</v>
      </c>
      <c r="B2587" s="47" t="s">
        <v>5400</v>
      </c>
      <c r="C2587" s="47" t="s">
        <v>7758</v>
      </c>
      <c r="D2587" s="47" t="s">
        <v>219</v>
      </c>
      <c r="E2587" s="47" t="s">
        <v>377</v>
      </c>
      <c r="F2587" s="47">
        <v>1040.0</v>
      </c>
      <c r="G2587" s="47">
        <v>9.94</v>
      </c>
      <c r="H2587" s="47">
        <v>104.6</v>
      </c>
      <c r="I2587" s="47" t="s">
        <v>62</v>
      </c>
    </row>
    <row r="2588" ht="15.75" customHeight="1">
      <c r="A2588" s="47" t="s">
        <v>5401</v>
      </c>
      <c r="B2588" s="47" t="s">
        <v>5402</v>
      </c>
      <c r="C2588" s="47" t="s">
        <v>7758</v>
      </c>
      <c r="D2588" s="47" t="s">
        <v>169</v>
      </c>
      <c r="E2588" s="47" t="s">
        <v>449</v>
      </c>
      <c r="F2588" s="47">
        <v>742.0</v>
      </c>
      <c r="G2588" s="47">
        <v>8.62</v>
      </c>
      <c r="H2588" s="47">
        <v>86.1</v>
      </c>
      <c r="I2588" s="47" t="s">
        <v>62</v>
      </c>
    </row>
    <row r="2589" ht="15.75" customHeight="1">
      <c r="A2589" s="47" t="s">
        <v>5403</v>
      </c>
      <c r="B2589" s="47" t="s">
        <v>5404</v>
      </c>
      <c r="C2589" s="47" t="s">
        <v>7758</v>
      </c>
      <c r="D2589" s="47" t="s">
        <v>191</v>
      </c>
      <c r="E2589" s="47" t="s">
        <v>504</v>
      </c>
      <c r="F2589" s="47">
        <v>310.0</v>
      </c>
      <c r="G2589" s="47">
        <v>3.37</v>
      </c>
      <c r="H2589" s="47">
        <v>92.0</v>
      </c>
      <c r="I2589" s="47" t="s">
        <v>75</v>
      </c>
    </row>
    <row r="2590" ht="15.75" customHeight="1">
      <c r="A2590" s="47" t="s">
        <v>5405</v>
      </c>
      <c r="B2590" s="47" t="s">
        <v>5406</v>
      </c>
      <c r="C2590" s="47" t="s">
        <v>7758</v>
      </c>
      <c r="D2590" s="47" t="s">
        <v>118</v>
      </c>
      <c r="E2590" s="47" t="s">
        <v>300</v>
      </c>
      <c r="F2590" s="47">
        <v>1648.0</v>
      </c>
      <c r="G2590" s="47">
        <v>5.94</v>
      </c>
      <c r="H2590" s="47">
        <v>277.4</v>
      </c>
      <c r="I2590" s="47" t="s">
        <v>62</v>
      </c>
    </row>
    <row r="2591" ht="15.75" customHeight="1">
      <c r="A2591" s="47" t="s">
        <v>5407</v>
      </c>
      <c r="B2591" s="47" t="s">
        <v>5408</v>
      </c>
      <c r="C2591" s="47" t="s">
        <v>7758</v>
      </c>
      <c r="D2591" s="47" t="s">
        <v>118</v>
      </c>
      <c r="E2591" s="47" t="s">
        <v>300</v>
      </c>
      <c r="F2591" s="47">
        <v>2858.0</v>
      </c>
      <c r="G2591" s="47">
        <v>4.65</v>
      </c>
      <c r="H2591" s="47">
        <v>614.6</v>
      </c>
      <c r="I2591" s="47" t="s">
        <v>142</v>
      </c>
    </row>
    <row r="2592" ht="15.75" customHeight="1">
      <c r="A2592" s="47" t="s">
        <v>5409</v>
      </c>
      <c r="B2592" s="47" t="s">
        <v>5410</v>
      </c>
      <c r="C2592" s="47" t="s">
        <v>7758</v>
      </c>
      <c r="D2592" s="47" t="s">
        <v>167</v>
      </c>
      <c r="E2592" s="47" t="s">
        <v>447</v>
      </c>
      <c r="F2592" s="47">
        <v>140.0</v>
      </c>
      <c r="G2592" s="47">
        <v>8.24</v>
      </c>
      <c r="H2592" s="47">
        <v>17.0</v>
      </c>
      <c r="I2592" s="47" t="s">
        <v>75</v>
      </c>
    </row>
    <row r="2593" ht="15.75" customHeight="1">
      <c r="A2593" s="47" t="s">
        <v>5411</v>
      </c>
      <c r="B2593" s="47" t="s">
        <v>5412</v>
      </c>
      <c r="C2593" s="47" t="s">
        <v>7758</v>
      </c>
      <c r="D2593" s="47" t="s">
        <v>150</v>
      </c>
      <c r="E2593" s="47" t="s">
        <v>411</v>
      </c>
      <c r="F2593" s="47">
        <v>250.0</v>
      </c>
      <c r="G2593" s="47">
        <v>8.27</v>
      </c>
      <c r="H2593" s="47">
        <v>30.2</v>
      </c>
      <c r="I2593" s="47" t="s">
        <v>75</v>
      </c>
    </row>
    <row r="2594" ht="15.75" customHeight="1">
      <c r="A2594" s="47" t="s">
        <v>5413</v>
      </c>
      <c r="B2594" s="47" t="s">
        <v>5414</v>
      </c>
      <c r="C2594" s="47" t="s">
        <v>7758</v>
      </c>
      <c r="D2594" s="47" t="s">
        <v>219</v>
      </c>
      <c r="E2594" s="47" t="s">
        <v>377</v>
      </c>
      <c r="F2594" s="47">
        <v>309.0</v>
      </c>
      <c r="G2594" s="47">
        <v>8.46</v>
      </c>
      <c r="H2594" s="47">
        <v>36.5</v>
      </c>
      <c r="I2594" s="47" t="s">
        <v>75</v>
      </c>
    </row>
    <row r="2595" ht="15.75" customHeight="1">
      <c r="A2595" s="47" t="s">
        <v>5415</v>
      </c>
      <c r="B2595" s="47" t="s">
        <v>5416</v>
      </c>
      <c r="C2595" s="47" t="s">
        <v>7758</v>
      </c>
      <c r="D2595" s="47" t="s">
        <v>139</v>
      </c>
      <c r="E2595" s="47" t="s">
        <v>354</v>
      </c>
      <c r="F2595" s="47">
        <v>365.0</v>
      </c>
      <c r="G2595" s="47">
        <v>8.64</v>
      </c>
      <c r="H2595" s="47">
        <v>42.2</v>
      </c>
      <c r="I2595" s="47" t="s">
        <v>75</v>
      </c>
    </row>
    <row r="2596" ht="15.75" customHeight="1">
      <c r="A2596" s="47" t="s">
        <v>5417</v>
      </c>
      <c r="B2596" s="47" t="s">
        <v>5418</v>
      </c>
      <c r="C2596" s="47" t="s">
        <v>7758</v>
      </c>
      <c r="D2596" s="47" t="s">
        <v>118</v>
      </c>
      <c r="E2596" s="47" t="s">
        <v>300</v>
      </c>
      <c r="F2596" s="47">
        <v>1070.0</v>
      </c>
      <c r="G2596" s="47">
        <v>4.38</v>
      </c>
      <c r="H2596" s="47">
        <v>244.3</v>
      </c>
      <c r="I2596" s="47" t="s">
        <v>62</v>
      </c>
    </row>
    <row r="2597" ht="15.75" customHeight="1">
      <c r="A2597" s="47" t="s">
        <v>5419</v>
      </c>
      <c r="B2597" s="47" t="s">
        <v>5420</v>
      </c>
      <c r="C2597" s="47" t="s">
        <v>7758</v>
      </c>
      <c r="D2597" s="47" t="s">
        <v>163</v>
      </c>
      <c r="E2597" s="47" t="s">
        <v>441</v>
      </c>
      <c r="F2597" s="47">
        <v>1242.0</v>
      </c>
      <c r="G2597" s="47">
        <v>7.73</v>
      </c>
      <c r="H2597" s="47">
        <v>160.7</v>
      </c>
      <c r="I2597" s="47" t="s">
        <v>62</v>
      </c>
    </row>
    <row r="2598" ht="15.75" customHeight="1">
      <c r="A2598" s="47" t="s">
        <v>5421</v>
      </c>
      <c r="B2598" s="47" t="s">
        <v>5422</v>
      </c>
      <c r="C2598" s="47" t="s">
        <v>7758</v>
      </c>
      <c r="D2598" s="47" t="s">
        <v>223</v>
      </c>
      <c r="E2598" s="47" t="s">
        <v>380</v>
      </c>
      <c r="F2598" s="47">
        <v>787.0</v>
      </c>
      <c r="G2598" s="47">
        <v>5.78</v>
      </c>
      <c r="H2598" s="47">
        <v>136.2</v>
      </c>
      <c r="I2598" s="47" t="s">
        <v>62</v>
      </c>
    </row>
    <row r="2599" ht="15.75" customHeight="1">
      <c r="A2599" s="47" t="s">
        <v>5423</v>
      </c>
      <c r="B2599" s="47" t="s">
        <v>5424</v>
      </c>
      <c r="C2599" s="47" t="s">
        <v>7758</v>
      </c>
      <c r="D2599" s="47" t="s">
        <v>118</v>
      </c>
      <c r="E2599" s="47" t="s">
        <v>300</v>
      </c>
      <c r="F2599" s="47">
        <v>3481.0</v>
      </c>
      <c r="G2599" s="47">
        <v>8.59</v>
      </c>
      <c r="H2599" s="47">
        <v>405.2</v>
      </c>
      <c r="I2599" s="47" t="s">
        <v>142</v>
      </c>
    </row>
    <row r="2600" ht="15.75" customHeight="1">
      <c r="A2600" s="47" t="s">
        <v>5425</v>
      </c>
      <c r="B2600" s="47" t="s">
        <v>5426</v>
      </c>
      <c r="C2600" s="47" t="s">
        <v>7758</v>
      </c>
      <c r="D2600" s="47" t="s">
        <v>169</v>
      </c>
      <c r="E2600" s="47" t="s">
        <v>449</v>
      </c>
      <c r="F2600" s="47">
        <v>341.0</v>
      </c>
      <c r="G2600" s="47">
        <v>7.69</v>
      </c>
      <c r="H2600" s="47">
        <v>44.3</v>
      </c>
      <c r="I2600" s="47" t="s">
        <v>75</v>
      </c>
    </row>
    <row r="2601" ht="15.75" customHeight="1">
      <c r="A2601" s="47" t="s">
        <v>5427</v>
      </c>
      <c r="B2601" s="47" t="s">
        <v>5428</v>
      </c>
      <c r="C2601" s="47" t="s">
        <v>7758</v>
      </c>
      <c r="D2601" s="47" t="s">
        <v>214</v>
      </c>
      <c r="E2601" s="47" t="s">
        <v>366</v>
      </c>
      <c r="F2601" s="47">
        <v>5044.0</v>
      </c>
      <c r="G2601" s="47">
        <v>18.29</v>
      </c>
      <c r="H2601" s="47">
        <v>275.8</v>
      </c>
      <c r="I2601" s="47" t="s">
        <v>142</v>
      </c>
    </row>
    <row r="2602" ht="15.75" customHeight="1">
      <c r="A2602" s="47" t="s">
        <v>5429</v>
      </c>
      <c r="B2602" s="47" t="s">
        <v>5430</v>
      </c>
      <c r="C2602" s="47" t="s">
        <v>7758</v>
      </c>
      <c r="D2602" s="47" t="s">
        <v>187</v>
      </c>
      <c r="E2602" s="47" t="s">
        <v>488</v>
      </c>
      <c r="F2602" s="47">
        <v>229.0</v>
      </c>
      <c r="G2602" s="47">
        <v>9.67</v>
      </c>
      <c r="H2602" s="47">
        <v>23.7</v>
      </c>
      <c r="I2602" s="47" t="s">
        <v>75</v>
      </c>
    </row>
    <row r="2603" ht="15.75" customHeight="1">
      <c r="A2603" s="47" t="s">
        <v>5431</v>
      </c>
      <c r="B2603" s="47" t="s">
        <v>5432</v>
      </c>
      <c r="C2603" s="47" t="s">
        <v>7758</v>
      </c>
      <c r="D2603" s="47" t="s">
        <v>204</v>
      </c>
      <c r="E2603" s="47" t="s">
        <v>527</v>
      </c>
      <c r="F2603" s="47">
        <v>232.0</v>
      </c>
      <c r="G2603" s="47">
        <v>4.79</v>
      </c>
      <c r="H2603" s="47">
        <v>48.4</v>
      </c>
      <c r="I2603" s="47" t="s">
        <v>75</v>
      </c>
    </row>
    <row r="2604" ht="15.75" customHeight="1">
      <c r="A2604" s="47" t="s">
        <v>5433</v>
      </c>
      <c r="B2604" s="47" t="s">
        <v>5434</v>
      </c>
      <c r="C2604" s="47" t="s">
        <v>7758</v>
      </c>
      <c r="D2604" s="47" t="s">
        <v>204</v>
      </c>
      <c r="E2604" s="47" t="s">
        <v>527</v>
      </c>
      <c r="F2604" s="47">
        <v>44.0</v>
      </c>
      <c r="G2604" s="47">
        <v>3.73</v>
      </c>
      <c r="H2604" s="47">
        <v>11.8</v>
      </c>
      <c r="I2604" s="47" t="s">
        <v>75</v>
      </c>
    </row>
    <row r="2605" ht="15.75" customHeight="1">
      <c r="A2605" s="47" t="s">
        <v>5435</v>
      </c>
      <c r="B2605" s="47" t="s">
        <v>5436</v>
      </c>
      <c r="C2605" s="47" t="s">
        <v>7758</v>
      </c>
      <c r="D2605" s="47" t="s">
        <v>191</v>
      </c>
      <c r="E2605" s="47" t="s">
        <v>504</v>
      </c>
      <c r="F2605" s="47">
        <v>316.0</v>
      </c>
      <c r="G2605" s="47">
        <v>8.71</v>
      </c>
      <c r="H2605" s="47">
        <v>36.3</v>
      </c>
      <c r="I2605" s="47" t="s">
        <v>75</v>
      </c>
    </row>
    <row r="2606" ht="15.75" customHeight="1">
      <c r="A2606" s="47" t="s">
        <v>5437</v>
      </c>
      <c r="B2606" s="47" t="s">
        <v>5438</v>
      </c>
      <c r="C2606" s="47" t="s">
        <v>7758</v>
      </c>
      <c r="D2606" s="47" t="s">
        <v>128</v>
      </c>
      <c r="E2606" s="47" t="s">
        <v>338</v>
      </c>
      <c r="F2606" s="47">
        <v>229.0</v>
      </c>
      <c r="G2606" s="47">
        <v>8.27</v>
      </c>
      <c r="H2606" s="47">
        <v>27.7</v>
      </c>
      <c r="I2606" s="47" t="s">
        <v>75</v>
      </c>
    </row>
    <row r="2607" ht="15.75" customHeight="1">
      <c r="A2607" s="47" t="s">
        <v>5439</v>
      </c>
      <c r="B2607" s="47" t="s">
        <v>5440</v>
      </c>
      <c r="C2607" s="47" t="s">
        <v>7758</v>
      </c>
      <c r="D2607" s="47" t="s">
        <v>116</v>
      </c>
      <c r="E2607" s="47" t="s">
        <v>285</v>
      </c>
      <c r="F2607" s="47">
        <v>7060.0</v>
      </c>
      <c r="G2607" s="47">
        <v>6.19</v>
      </c>
      <c r="H2607" s="47">
        <v>1140.5</v>
      </c>
      <c r="I2607" s="47" t="s">
        <v>142</v>
      </c>
    </row>
    <row r="2608" ht="15.75" customHeight="1">
      <c r="A2608" s="47" t="s">
        <v>5441</v>
      </c>
      <c r="B2608" s="47" t="s">
        <v>5442</v>
      </c>
      <c r="C2608" s="47" t="s">
        <v>7758</v>
      </c>
      <c r="D2608" s="47" t="s">
        <v>127</v>
      </c>
      <c r="E2608" s="47" t="s">
        <v>323</v>
      </c>
      <c r="F2608" s="47">
        <v>32920.0</v>
      </c>
      <c r="G2608" s="47">
        <v>11.65</v>
      </c>
      <c r="H2608" s="47">
        <v>2825.8</v>
      </c>
      <c r="I2608" s="47" t="s">
        <v>571</v>
      </c>
    </row>
    <row r="2609" ht="15.75" customHeight="1">
      <c r="A2609" s="47" t="s">
        <v>5443</v>
      </c>
      <c r="B2609" s="47" t="s">
        <v>5444</v>
      </c>
      <c r="C2609" s="47" t="s">
        <v>7758</v>
      </c>
      <c r="D2609" s="47" t="s">
        <v>128</v>
      </c>
      <c r="E2609" s="47" t="s">
        <v>338</v>
      </c>
      <c r="F2609" s="47">
        <v>291.0</v>
      </c>
      <c r="G2609" s="47">
        <v>10.77</v>
      </c>
      <c r="H2609" s="47">
        <v>27.0</v>
      </c>
      <c r="I2609" s="47" t="s">
        <v>75</v>
      </c>
    </row>
    <row r="2610" ht="15.75" customHeight="1">
      <c r="A2610" s="47" t="s">
        <v>5445</v>
      </c>
      <c r="B2610" s="47" t="s">
        <v>5446</v>
      </c>
      <c r="C2610" s="47" t="s">
        <v>7758</v>
      </c>
      <c r="D2610" s="47" t="s">
        <v>118</v>
      </c>
      <c r="E2610" s="47" t="s">
        <v>300</v>
      </c>
      <c r="F2610" s="47">
        <v>402.0</v>
      </c>
      <c r="G2610" s="47">
        <v>3.12</v>
      </c>
      <c r="H2610" s="47">
        <v>128.8</v>
      </c>
      <c r="I2610" s="47" t="s">
        <v>75</v>
      </c>
    </row>
    <row r="2611" ht="15.75" customHeight="1">
      <c r="A2611" s="47" t="s">
        <v>5447</v>
      </c>
      <c r="B2611" s="47" t="s">
        <v>5448</v>
      </c>
      <c r="C2611" s="47" t="s">
        <v>7758</v>
      </c>
      <c r="D2611" s="47" t="s">
        <v>167</v>
      </c>
      <c r="E2611" s="47" t="s">
        <v>447</v>
      </c>
      <c r="F2611" s="47">
        <v>243.0</v>
      </c>
      <c r="G2611" s="47">
        <v>3.97</v>
      </c>
      <c r="H2611" s="47">
        <v>61.2</v>
      </c>
      <c r="I2611" s="47" t="s">
        <v>75</v>
      </c>
    </row>
    <row r="2612" ht="15.75" customHeight="1">
      <c r="A2612" s="47" t="s">
        <v>5449</v>
      </c>
      <c r="B2612" s="47" t="s">
        <v>5450</v>
      </c>
      <c r="C2612" s="47" t="s">
        <v>7758</v>
      </c>
      <c r="D2612" s="47" t="s">
        <v>214</v>
      </c>
      <c r="E2612" s="47" t="s">
        <v>366</v>
      </c>
      <c r="F2612" s="47">
        <v>5009.0</v>
      </c>
      <c r="G2612" s="47">
        <v>21.33</v>
      </c>
      <c r="H2612" s="47">
        <v>234.8</v>
      </c>
      <c r="I2612" s="47" t="s">
        <v>142</v>
      </c>
    </row>
    <row r="2613" ht="15.75" customHeight="1">
      <c r="A2613" s="47" t="s">
        <v>5451</v>
      </c>
      <c r="B2613" s="47" t="s">
        <v>5452</v>
      </c>
      <c r="C2613" s="47" t="s">
        <v>7758</v>
      </c>
      <c r="D2613" s="47" t="s">
        <v>163</v>
      </c>
      <c r="E2613" s="47" t="s">
        <v>441</v>
      </c>
      <c r="F2613" s="47">
        <v>293.0</v>
      </c>
      <c r="G2613" s="47">
        <v>7.98</v>
      </c>
      <c r="H2613" s="47">
        <v>36.7</v>
      </c>
      <c r="I2613" s="47" t="s">
        <v>75</v>
      </c>
    </row>
    <row r="2614" ht="15.75" customHeight="1">
      <c r="A2614" s="47" t="s">
        <v>5453</v>
      </c>
      <c r="B2614" s="47" t="s">
        <v>5454</v>
      </c>
      <c r="C2614" s="47" t="s">
        <v>7758</v>
      </c>
      <c r="D2614" s="47" t="s">
        <v>191</v>
      </c>
      <c r="E2614" s="47" t="s">
        <v>504</v>
      </c>
      <c r="F2614" s="47">
        <v>269.0</v>
      </c>
      <c r="G2614" s="47">
        <v>4.75</v>
      </c>
      <c r="H2614" s="47">
        <v>56.6</v>
      </c>
      <c r="I2614" s="47" t="s">
        <v>75</v>
      </c>
    </row>
    <row r="2615" ht="15.75" customHeight="1">
      <c r="A2615" s="47" t="s">
        <v>5455</v>
      </c>
      <c r="B2615" s="47" t="s">
        <v>5456</v>
      </c>
      <c r="C2615" s="47" t="s">
        <v>7758</v>
      </c>
      <c r="D2615" s="47" t="s">
        <v>163</v>
      </c>
      <c r="E2615" s="47" t="s">
        <v>441</v>
      </c>
      <c r="F2615" s="47">
        <v>540.0</v>
      </c>
      <c r="G2615" s="47">
        <v>6.82</v>
      </c>
      <c r="H2615" s="47">
        <v>79.2</v>
      </c>
      <c r="I2615" s="47" t="s">
        <v>62</v>
      </c>
    </row>
    <row r="2616" ht="15.75" customHeight="1">
      <c r="A2616" s="47" t="s">
        <v>5457</v>
      </c>
      <c r="B2616" s="47" t="s">
        <v>5458</v>
      </c>
      <c r="C2616" s="47" t="s">
        <v>7758</v>
      </c>
      <c r="D2616" s="47" t="s">
        <v>223</v>
      </c>
      <c r="E2616" s="47" t="s">
        <v>380</v>
      </c>
      <c r="F2616" s="47">
        <v>1679.0</v>
      </c>
      <c r="G2616" s="47">
        <v>18.46</v>
      </c>
      <c r="H2616" s="47">
        <v>91.0</v>
      </c>
      <c r="I2616" s="47" t="s">
        <v>62</v>
      </c>
    </row>
    <row r="2617" ht="15.75" customHeight="1">
      <c r="A2617" s="47" t="s">
        <v>5459</v>
      </c>
      <c r="B2617" s="47" t="s">
        <v>5460</v>
      </c>
      <c r="C2617" s="47" t="s">
        <v>7758</v>
      </c>
      <c r="D2617" s="47" t="s">
        <v>169</v>
      </c>
      <c r="E2617" s="47" t="s">
        <v>449</v>
      </c>
      <c r="F2617" s="47">
        <v>303.0</v>
      </c>
      <c r="G2617" s="47">
        <v>3.41</v>
      </c>
      <c r="H2617" s="47">
        <v>88.9</v>
      </c>
      <c r="I2617" s="47" t="s">
        <v>75</v>
      </c>
    </row>
    <row r="2618" ht="15.75" customHeight="1">
      <c r="A2618" s="47" t="s">
        <v>5461</v>
      </c>
      <c r="B2618" s="47" t="s">
        <v>5462</v>
      </c>
      <c r="C2618" s="47" t="s">
        <v>7758</v>
      </c>
      <c r="D2618" s="47" t="s">
        <v>118</v>
      </c>
      <c r="E2618" s="47" t="s">
        <v>300</v>
      </c>
      <c r="F2618" s="47">
        <v>335.0</v>
      </c>
      <c r="G2618" s="47">
        <v>3.27</v>
      </c>
      <c r="H2618" s="47">
        <v>102.4</v>
      </c>
      <c r="I2618" s="47" t="s">
        <v>75</v>
      </c>
    </row>
    <row r="2619" ht="15.75" customHeight="1">
      <c r="A2619" s="47" t="s">
        <v>5463</v>
      </c>
      <c r="B2619" s="47" t="s">
        <v>5464</v>
      </c>
      <c r="C2619" s="47" t="s">
        <v>7758</v>
      </c>
      <c r="D2619" s="47" t="s">
        <v>118</v>
      </c>
      <c r="E2619" s="47" t="s">
        <v>300</v>
      </c>
      <c r="F2619" s="47">
        <v>378.0</v>
      </c>
      <c r="G2619" s="47">
        <v>3.06</v>
      </c>
      <c r="H2619" s="47">
        <v>123.5</v>
      </c>
      <c r="I2619" s="47" t="s">
        <v>75</v>
      </c>
    </row>
    <row r="2620" ht="15.75" customHeight="1">
      <c r="A2620" s="47" t="s">
        <v>5465</v>
      </c>
      <c r="B2620" s="47" t="s">
        <v>5466</v>
      </c>
      <c r="C2620" s="47" t="s">
        <v>7758</v>
      </c>
      <c r="D2620" s="47" t="s">
        <v>127</v>
      </c>
      <c r="E2620" s="47" t="s">
        <v>323</v>
      </c>
      <c r="F2620" s="47">
        <v>30063.0</v>
      </c>
      <c r="G2620" s="47">
        <v>12.84</v>
      </c>
      <c r="H2620" s="47">
        <v>2341.4</v>
      </c>
      <c r="I2620" s="47" t="s">
        <v>571</v>
      </c>
    </row>
    <row r="2621" ht="15.75" customHeight="1">
      <c r="A2621" s="47" t="s">
        <v>5467</v>
      </c>
      <c r="B2621" s="47" t="s">
        <v>5468</v>
      </c>
      <c r="C2621" s="47" t="s">
        <v>7758</v>
      </c>
      <c r="D2621" s="47" t="s">
        <v>169</v>
      </c>
      <c r="E2621" s="47" t="s">
        <v>449</v>
      </c>
      <c r="F2621" s="47">
        <v>140.0</v>
      </c>
      <c r="G2621" s="47">
        <v>2.97</v>
      </c>
      <c r="H2621" s="47">
        <v>47.1</v>
      </c>
      <c r="I2621" s="47" t="s">
        <v>75</v>
      </c>
    </row>
    <row r="2622" ht="15.75" customHeight="1">
      <c r="A2622" s="47" t="s">
        <v>5469</v>
      </c>
      <c r="B2622" s="47" t="s">
        <v>5470</v>
      </c>
      <c r="C2622" s="47" t="s">
        <v>7758</v>
      </c>
      <c r="D2622" s="47" t="s">
        <v>118</v>
      </c>
      <c r="E2622" s="47" t="s">
        <v>300</v>
      </c>
      <c r="F2622" s="47">
        <v>565.0</v>
      </c>
      <c r="G2622" s="47">
        <v>8.03</v>
      </c>
      <c r="H2622" s="47">
        <v>70.4</v>
      </c>
      <c r="I2622" s="47" t="s">
        <v>62</v>
      </c>
    </row>
    <row r="2623" ht="15.75" customHeight="1">
      <c r="A2623" s="47" t="s">
        <v>5471</v>
      </c>
      <c r="B2623" s="47" t="s">
        <v>5472</v>
      </c>
      <c r="C2623" s="47" t="s">
        <v>7758</v>
      </c>
      <c r="D2623" s="47" t="s">
        <v>206</v>
      </c>
      <c r="E2623" s="47" t="s">
        <v>533</v>
      </c>
      <c r="F2623" s="47">
        <v>188.0</v>
      </c>
      <c r="G2623" s="47">
        <v>7.2</v>
      </c>
      <c r="H2623" s="47">
        <v>26.1</v>
      </c>
      <c r="I2623" s="47" t="s">
        <v>75</v>
      </c>
    </row>
    <row r="2624" ht="15.75" customHeight="1">
      <c r="A2624" s="47" t="s">
        <v>5473</v>
      </c>
      <c r="B2624" s="47" t="s">
        <v>5474</v>
      </c>
      <c r="C2624" s="47" t="s">
        <v>7758</v>
      </c>
      <c r="D2624" s="47" t="s">
        <v>206</v>
      </c>
      <c r="E2624" s="47" t="s">
        <v>533</v>
      </c>
      <c r="F2624" s="47">
        <v>235.0</v>
      </c>
      <c r="G2624" s="47">
        <v>5.13</v>
      </c>
      <c r="H2624" s="47">
        <v>45.8</v>
      </c>
      <c r="I2624" s="47" t="s">
        <v>75</v>
      </c>
    </row>
    <row r="2625" ht="15.75" customHeight="1">
      <c r="A2625" s="47" t="s">
        <v>5475</v>
      </c>
      <c r="B2625" s="47" t="s">
        <v>5476</v>
      </c>
      <c r="C2625" s="47" t="s">
        <v>7758</v>
      </c>
      <c r="D2625" s="47" t="s">
        <v>204</v>
      </c>
      <c r="E2625" s="47" t="s">
        <v>527</v>
      </c>
      <c r="F2625" s="47">
        <v>514.0</v>
      </c>
      <c r="G2625" s="47">
        <v>10.3</v>
      </c>
      <c r="H2625" s="47">
        <v>49.9</v>
      </c>
      <c r="I2625" s="47" t="s">
        <v>62</v>
      </c>
    </row>
    <row r="2626" ht="15.75" customHeight="1">
      <c r="A2626" s="47" t="s">
        <v>5477</v>
      </c>
      <c r="B2626" s="47" t="s">
        <v>5478</v>
      </c>
      <c r="C2626" s="47" t="s">
        <v>7758</v>
      </c>
      <c r="D2626" s="47" t="s">
        <v>118</v>
      </c>
      <c r="E2626" s="47" t="s">
        <v>300</v>
      </c>
      <c r="F2626" s="47">
        <v>10193.0</v>
      </c>
      <c r="G2626" s="47">
        <v>26.59</v>
      </c>
      <c r="H2626" s="47">
        <v>383.3</v>
      </c>
      <c r="I2626" s="47" t="s">
        <v>571</v>
      </c>
    </row>
    <row r="2627" ht="15.75" customHeight="1">
      <c r="A2627" s="47" t="s">
        <v>5479</v>
      </c>
      <c r="B2627" s="47" t="s">
        <v>5480</v>
      </c>
      <c r="C2627" s="47" t="s">
        <v>7758</v>
      </c>
      <c r="D2627" s="47" t="s">
        <v>118</v>
      </c>
      <c r="E2627" s="47" t="s">
        <v>300</v>
      </c>
      <c r="F2627" s="47">
        <v>219.0</v>
      </c>
      <c r="G2627" s="47">
        <v>3.66</v>
      </c>
      <c r="H2627" s="47">
        <v>59.8</v>
      </c>
      <c r="I2627" s="47" t="s">
        <v>75</v>
      </c>
    </row>
    <row r="2628" ht="15.75" customHeight="1">
      <c r="A2628" s="47" t="s">
        <v>5481</v>
      </c>
      <c r="B2628" s="47" t="s">
        <v>5482</v>
      </c>
      <c r="C2628" s="47" t="s">
        <v>7758</v>
      </c>
      <c r="D2628" s="47" t="s">
        <v>206</v>
      </c>
      <c r="E2628" s="47" t="s">
        <v>533</v>
      </c>
      <c r="F2628" s="47">
        <v>174.0</v>
      </c>
      <c r="G2628" s="47">
        <v>4.76</v>
      </c>
      <c r="H2628" s="47">
        <v>36.6</v>
      </c>
      <c r="I2628" s="47" t="s">
        <v>75</v>
      </c>
    </row>
    <row r="2629" ht="15.75" customHeight="1">
      <c r="A2629" s="47" t="s">
        <v>5483</v>
      </c>
      <c r="B2629" s="47" t="s">
        <v>5484</v>
      </c>
      <c r="C2629" s="47" t="s">
        <v>7758</v>
      </c>
      <c r="D2629" s="47" t="s">
        <v>206</v>
      </c>
      <c r="E2629" s="47" t="s">
        <v>533</v>
      </c>
      <c r="F2629" s="47">
        <v>582.0</v>
      </c>
      <c r="G2629" s="47">
        <v>17.88</v>
      </c>
      <c r="H2629" s="47">
        <v>32.6</v>
      </c>
      <c r="I2629" s="47" t="s">
        <v>62</v>
      </c>
    </row>
    <row r="2630" ht="15.75" customHeight="1">
      <c r="A2630" s="47" t="s">
        <v>5485</v>
      </c>
      <c r="B2630" s="47" t="s">
        <v>5486</v>
      </c>
      <c r="C2630" s="47" t="s">
        <v>7758</v>
      </c>
      <c r="D2630" s="47" t="s">
        <v>118</v>
      </c>
      <c r="E2630" s="47" t="s">
        <v>300</v>
      </c>
      <c r="F2630" s="47">
        <v>2324.0</v>
      </c>
      <c r="G2630" s="47">
        <v>9.45</v>
      </c>
      <c r="H2630" s="47">
        <v>245.9</v>
      </c>
      <c r="I2630" s="47" t="s">
        <v>142</v>
      </c>
    </row>
    <row r="2631" ht="15.75" customHeight="1">
      <c r="A2631" s="47" t="s">
        <v>5487</v>
      </c>
      <c r="B2631" s="47" t="s">
        <v>5488</v>
      </c>
      <c r="C2631" s="47" t="s">
        <v>7758</v>
      </c>
      <c r="D2631" s="47" t="s">
        <v>167</v>
      </c>
      <c r="E2631" s="47" t="s">
        <v>447</v>
      </c>
      <c r="F2631" s="47">
        <v>224.0</v>
      </c>
      <c r="G2631" s="47">
        <v>0.69</v>
      </c>
      <c r="H2631" s="47">
        <v>324.6</v>
      </c>
      <c r="I2631" s="47" t="s">
        <v>75</v>
      </c>
    </row>
    <row r="2632" ht="15.75" customHeight="1">
      <c r="A2632" s="47" t="s">
        <v>5489</v>
      </c>
      <c r="B2632" s="47" t="s">
        <v>5490</v>
      </c>
      <c r="C2632" s="47" t="s">
        <v>7758</v>
      </c>
      <c r="D2632" s="47" t="s">
        <v>167</v>
      </c>
      <c r="E2632" s="47" t="s">
        <v>447</v>
      </c>
      <c r="F2632" s="47">
        <v>252.0</v>
      </c>
      <c r="G2632" s="47">
        <v>9.12</v>
      </c>
      <c r="H2632" s="47">
        <v>27.6</v>
      </c>
      <c r="I2632" s="47" t="s">
        <v>75</v>
      </c>
    </row>
    <row r="2633" ht="15.75" customHeight="1">
      <c r="A2633" s="47" t="s">
        <v>5491</v>
      </c>
      <c r="B2633" s="47" t="s">
        <v>5492</v>
      </c>
      <c r="C2633" s="47" t="s">
        <v>7758</v>
      </c>
      <c r="D2633" s="47" t="s">
        <v>127</v>
      </c>
      <c r="E2633" s="47" t="s">
        <v>323</v>
      </c>
      <c r="F2633" s="47">
        <v>5169.0</v>
      </c>
      <c r="G2633" s="47">
        <v>3.5</v>
      </c>
      <c r="H2633" s="47">
        <v>1476.9</v>
      </c>
      <c r="I2633" s="47" t="s">
        <v>142</v>
      </c>
    </row>
    <row r="2634" ht="15.75" customHeight="1">
      <c r="A2634" s="47" t="s">
        <v>5493</v>
      </c>
      <c r="B2634" s="47" t="s">
        <v>5494</v>
      </c>
      <c r="C2634" s="47" t="s">
        <v>7758</v>
      </c>
      <c r="D2634" s="47" t="s">
        <v>150</v>
      </c>
      <c r="E2634" s="47" t="s">
        <v>411</v>
      </c>
      <c r="F2634" s="47">
        <v>1528.0</v>
      </c>
      <c r="G2634" s="47">
        <v>10.26</v>
      </c>
      <c r="H2634" s="47">
        <v>148.9</v>
      </c>
      <c r="I2634" s="47" t="s">
        <v>62</v>
      </c>
    </row>
    <row r="2635" ht="15.75" customHeight="1">
      <c r="A2635" s="47" t="s">
        <v>5495</v>
      </c>
      <c r="B2635" s="47" t="s">
        <v>5496</v>
      </c>
      <c r="C2635" s="47" t="s">
        <v>7758</v>
      </c>
      <c r="D2635" s="47" t="s">
        <v>139</v>
      </c>
      <c r="E2635" s="47" t="s">
        <v>354</v>
      </c>
      <c r="F2635" s="47">
        <v>10548.0</v>
      </c>
      <c r="G2635" s="47">
        <v>8.43</v>
      </c>
      <c r="H2635" s="47">
        <v>1251.2</v>
      </c>
      <c r="I2635" s="47" t="s">
        <v>571</v>
      </c>
    </row>
    <row r="2636" ht="15.75" customHeight="1">
      <c r="A2636" s="47" t="s">
        <v>5497</v>
      </c>
      <c r="B2636" s="47" t="s">
        <v>5498</v>
      </c>
      <c r="C2636" s="47" t="s">
        <v>7758</v>
      </c>
      <c r="D2636" s="47" t="s">
        <v>150</v>
      </c>
      <c r="E2636" s="47" t="s">
        <v>411</v>
      </c>
      <c r="F2636" s="47">
        <v>149.0</v>
      </c>
      <c r="G2636" s="47">
        <v>3.53</v>
      </c>
      <c r="H2636" s="47">
        <v>42.2</v>
      </c>
      <c r="I2636" s="47" t="s">
        <v>75</v>
      </c>
    </row>
    <row r="2637" ht="15.75" customHeight="1">
      <c r="A2637" s="47" t="s">
        <v>5499</v>
      </c>
      <c r="B2637" s="47" t="s">
        <v>5500</v>
      </c>
      <c r="C2637" s="47" t="s">
        <v>7758</v>
      </c>
      <c r="D2637" s="47" t="s">
        <v>128</v>
      </c>
      <c r="E2637" s="47" t="s">
        <v>338</v>
      </c>
      <c r="F2637" s="47">
        <v>253.0</v>
      </c>
      <c r="G2637" s="47">
        <v>10.97</v>
      </c>
      <c r="H2637" s="47">
        <v>23.1</v>
      </c>
      <c r="I2637" s="47" t="s">
        <v>75</v>
      </c>
    </row>
    <row r="2638" ht="15.75" customHeight="1">
      <c r="A2638" s="47" t="s">
        <v>5501</v>
      </c>
      <c r="B2638" s="47" t="s">
        <v>5502</v>
      </c>
      <c r="C2638" s="47" t="s">
        <v>7758</v>
      </c>
      <c r="D2638" s="47" t="s">
        <v>127</v>
      </c>
      <c r="E2638" s="47" t="s">
        <v>323</v>
      </c>
      <c r="F2638" s="47">
        <v>6799.0</v>
      </c>
      <c r="G2638" s="47">
        <v>12.69</v>
      </c>
      <c r="H2638" s="47">
        <v>535.8</v>
      </c>
      <c r="I2638" s="47" t="s">
        <v>142</v>
      </c>
    </row>
    <row r="2639" ht="15.75" customHeight="1">
      <c r="A2639" s="47" t="s">
        <v>5503</v>
      </c>
      <c r="B2639" s="47" t="s">
        <v>5504</v>
      </c>
      <c r="C2639" s="47" t="s">
        <v>7758</v>
      </c>
      <c r="D2639" s="47" t="s">
        <v>118</v>
      </c>
      <c r="E2639" s="47" t="s">
        <v>300</v>
      </c>
      <c r="F2639" s="47">
        <v>1651.0</v>
      </c>
      <c r="G2639" s="47">
        <v>6.87</v>
      </c>
      <c r="H2639" s="47">
        <v>240.3</v>
      </c>
      <c r="I2639" s="47" t="s">
        <v>62</v>
      </c>
    </row>
    <row r="2640" ht="15.75" customHeight="1">
      <c r="A2640" s="47" t="s">
        <v>5505</v>
      </c>
      <c r="B2640" s="47" t="s">
        <v>5506</v>
      </c>
      <c r="C2640" s="47" t="s">
        <v>7758</v>
      </c>
      <c r="D2640" s="47" t="s">
        <v>150</v>
      </c>
      <c r="E2640" s="47" t="s">
        <v>411</v>
      </c>
      <c r="F2640" s="47">
        <v>544.0</v>
      </c>
      <c r="G2640" s="47">
        <v>10.46</v>
      </c>
      <c r="H2640" s="47">
        <v>52.0</v>
      </c>
      <c r="I2640" s="47" t="s">
        <v>62</v>
      </c>
    </row>
    <row r="2641" ht="15.75" customHeight="1">
      <c r="A2641" s="47" t="s">
        <v>5507</v>
      </c>
      <c r="B2641" s="47" t="s">
        <v>5508</v>
      </c>
      <c r="C2641" s="47" t="s">
        <v>7758</v>
      </c>
      <c r="D2641" s="47" t="s">
        <v>223</v>
      </c>
      <c r="E2641" s="47" t="s">
        <v>380</v>
      </c>
      <c r="F2641" s="47">
        <v>947.0</v>
      </c>
      <c r="G2641" s="47">
        <v>12.97</v>
      </c>
      <c r="H2641" s="47">
        <v>73.0</v>
      </c>
      <c r="I2641" s="47" t="s">
        <v>62</v>
      </c>
    </row>
    <row r="2642" ht="15.75" customHeight="1">
      <c r="A2642" s="47" t="s">
        <v>5509</v>
      </c>
      <c r="B2642" s="47" t="s">
        <v>5510</v>
      </c>
      <c r="C2642" s="47" t="s">
        <v>7758</v>
      </c>
      <c r="D2642" s="47" t="s">
        <v>118</v>
      </c>
      <c r="E2642" s="47" t="s">
        <v>300</v>
      </c>
      <c r="F2642" s="47">
        <v>1256.0</v>
      </c>
      <c r="G2642" s="47">
        <v>2.06</v>
      </c>
      <c r="H2642" s="47">
        <v>609.7</v>
      </c>
      <c r="I2642" s="47" t="s">
        <v>62</v>
      </c>
    </row>
    <row r="2643" ht="15.75" customHeight="1">
      <c r="A2643" s="47" t="s">
        <v>5511</v>
      </c>
      <c r="B2643" s="47" t="s">
        <v>5512</v>
      </c>
      <c r="C2643" s="47" t="s">
        <v>7758</v>
      </c>
      <c r="D2643" s="47" t="s">
        <v>187</v>
      </c>
      <c r="E2643" s="47" t="s">
        <v>488</v>
      </c>
      <c r="F2643" s="47">
        <v>140.0</v>
      </c>
      <c r="G2643" s="47">
        <v>2.84</v>
      </c>
      <c r="H2643" s="47">
        <v>49.3</v>
      </c>
      <c r="I2643" s="47" t="s">
        <v>75</v>
      </c>
    </row>
    <row r="2644" ht="15.75" customHeight="1">
      <c r="A2644" s="47" t="s">
        <v>5513</v>
      </c>
      <c r="B2644" s="47" t="s">
        <v>5514</v>
      </c>
      <c r="C2644" s="47" t="s">
        <v>7758</v>
      </c>
      <c r="D2644" s="47" t="s">
        <v>191</v>
      </c>
      <c r="E2644" s="47" t="s">
        <v>504</v>
      </c>
      <c r="F2644" s="47">
        <v>3579.0</v>
      </c>
      <c r="G2644" s="47">
        <v>10.04</v>
      </c>
      <c r="H2644" s="47">
        <v>356.5</v>
      </c>
      <c r="I2644" s="47" t="s">
        <v>142</v>
      </c>
    </row>
    <row r="2645" ht="15.75" customHeight="1">
      <c r="A2645" s="47" t="s">
        <v>5515</v>
      </c>
      <c r="B2645" s="47" t="s">
        <v>5516</v>
      </c>
      <c r="C2645" s="47" t="s">
        <v>7758</v>
      </c>
      <c r="D2645" s="47" t="s">
        <v>128</v>
      </c>
      <c r="E2645" s="47" t="s">
        <v>338</v>
      </c>
      <c r="F2645" s="47">
        <v>149.0</v>
      </c>
      <c r="G2645" s="47">
        <v>2.46</v>
      </c>
      <c r="H2645" s="47">
        <v>60.6</v>
      </c>
      <c r="I2645" s="47" t="s">
        <v>75</v>
      </c>
    </row>
    <row r="2646" ht="15.75" customHeight="1">
      <c r="A2646" s="47" t="s">
        <v>5517</v>
      </c>
      <c r="B2646" s="47" t="s">
        <v>5518</v>
      </c>
      <c r="C2646" s="47" t="s">
        <v>7758</v>
      </c>
      <c r="D2646" s="47" t="s">
        <v>169</v>
      </c>
      <c r="E2646" s="47" t="s">
        <v>449</v>
      </c>
      <c r="F2646" s="47">
        <v>647.0</v>
      </c>
      <c r="G2646" s="47">
        <v>9.92</v>
      </c>
      <c r="H2646" s="47">
        <v>65.2</v>
      </c>
      <c r="I2646" s="47" t="s">
        <v>62</v>
      </c>
    </row>
    <row r="2647" ht="15.75" customHeight="1">
      <c r="A2647" s="47" t="s">
        <v>5519</v>
      </c>
      <c r="B2647" s="47" t="s">
        <v>5520</v>
      </c>
      <c r="C2647" s="47" t="s">
        <v>7758</v>
      </c>
      <c r="D2647" s="47" t="s">
        <v>169</v>
      </c>
      <c r="E2647" s="47" t="s">
        <v>449</v>
      </c>
      <c r="F2647" s="47">
        <v>105.0</v>
      </c>
      <c r="G2647" s="47">
        <v>4.52</v>
      </c>
      <c r="H2647" s="47">
        <v>23.2</v>
      </c>
      <c r="I2647" s="47" t="s">
        <v>75</v>
      </c>
    </row>
    <row r="2648" ht="15.75" customHeight="1">
      <c r="A2648" s="47" t="s">
        <v>5521</v>
      </c>
      <c r="B2648" s="47" t="s">
        <v>5522</v>
      </c>
      <c r="C2648" s="47" t="s">
        <v>7758</v>
      </c>
      <c r="D2648" s="47" t="s">
        <v>167</v>
      </c>
      <c r="E2648" s="47" t="s">
        <v>447</v>
      </c>
      <c r="F2648" s="47">
        <v>451.0</v>
      </c>
      <c r="G2648" s="47">
        <v>12.12</v>
      </c>
      <c r="H2648" s="47">
        <v>37.2</v>
      </c>
      <c r="I2648" s="47" t="s">
        <v>75</v>
      </c>
    </row>
    <row r="2649" ht="15.75" customHeight="1">
      <c r="A2649" s="47" t="s">
        <v>5523</v>
      </c>
      <c r="B2649" s="47" t="s">
        <v>5524</v>
      </c>
      <c r="C2649" s="47" t="s">
        <v>7758</v>
      </c>
      <c r="D2649" s="47" t="s">
        <v>206</v>
      </c>
      <c r="E2649" s="47" t="s">
        <v>533</v>
      </c>
      <c r="F2649" s="47">
        <v>266.0</v>
      </c>
      <c r="G2649" s="47">
        <v>5.2</v>
      </c>
      <c r="H2649" s="47">
        <v>51.2</v>
      </c>
      <c r="I2649" s="47" t="s">
        <v>75</v>
      </c>
    </row>
    <row r="2650" ht="15.75" customHeight="1">
      <c r="A2650" s="47" t="s">
        <v>5525</v>
      </c>
      <c r="B2650" s="47" t="s">
        <v>5526</v>
      </c>
      <c r="C2650" s="47" t="s">
        <v>7758</v>
      </c>
      <c r="D2650" s="47" t="s">
        <v>118</v>
      </c>
      <c r="E2650" s="47" t="s">
        <v>300</v>
      </c>
      <c r="F2650" s="47">
        <v>1678.0</v>
      </c>
      <c r="G2650" s="47">
        <v>5.55</v>
      </c>
      <c r="H2650" s="47">
        <v>302.3</v>
      </c>
      <c r="I2650" s="47" t="s">
        <v>62</v>
      </c>
    </row>
    <row r="2651" ht="15.75" customHeight="1">
      <c r="A2651" s="47" t="s">
        <v>5527</v>
      </c>
      <c r="B2651" s="47" t="s">
        <v>5528</v>
      </c>
      <c r="C2651" s="47" t="s">
        <v>7758</v>
      </c>
      <c r="D2651" s="47" t="s">
        <v>167</v>
      </c>
      <c r="E2651" s="47" t="s">
        <v>447</v>
      </c>
      <c r="F2651" s="47">
        <v>119.0</v>
      </c>
      <c r="G2651" s="47">
        <v>4.38</v>
      </c>
      <c r="H2651" s="47">
        <v>27.2</v>
      </c>
      <c r="I2651" s="47" t="s">
        <v>75</v>
      </c>
    </row>
    <row r="2652" ht="15.75" customHeight="1">
      <c r="A2652" s="47" t="s">
        <v>5529</v>
      </c>
      <c r="B2652" s="47" t="s">
        <v>5530</v>
      </c>
      <c r="C2652" s="47" t="s">
        <v>7758</v>
      </c>
      <c r="D2652" s="47" t="s">
        <v>169</v>
      </c>
      <c r="E2652" s="47" t="s">
        <v>449</v>
      </c>
      <c r="F2652" s="47">
        <v>205.0</v>
      </c>
      <c r="G2652" s="47">
        <v>6.93</v>
      </c>
      <c r="H2652" s="47">
        <v>29.6</v>
      </c>
      <c r="I2652" s="47" t="s">
        <v>75</v>
      </c>
    </row>
    <row r="2653" ht="15.75" customHeight="1">
      <c r="A2653" s="47" t="s">
        <v>5531</v>
      </c>
      <c r="B2653" s="47" t="s">
        <v>5532</v>
      </c>
      <c r="C2653" s="47" t="s">
        <v>7758</v>
      </c>
      <c r="D2653" s="47" t="s">
        <v>139</v>
      </c>
      <c r="E2653" s="47" t="s">
        <v>354</v>
      </c>
      <c r="F2653" s="47">
        <v>1973.0</v>
      </c>
      <c r="G2653" s="47">
        <v>9.7</v>
      </c>
      <c r="H2653" s="47">
        <v>203.4</v>
      </c>
      <c r="I2653" s="47" t="s">
        <v>62</v>
      </c>
    </row>
    <row r="2654" ht="15.75" customHeight="1">
      <c r="A2654" s="47" t="s">
        <v>5533</v>
      </c>
      <c r="B2654" s="47" t="s">
        <v>5534</v>
      </c>
      <c r="C2654" s="47" t="s">
        <v>7758</v>
      </c>
      <c r="D2654" s="47" t="s">
        <v>169</v>
      </c>
      <c r="E2654" s="47" t="s">
        <v>449</v>
      </c>
      <c r="F2654" s="47">
        <v>182.0</v>
      </c>
      <c r="G2654" s="47">
        <v>4.08</v>
      </c>
      <c r="H2654" s="47">
        <v>44.6</v>
      </c>
      <c r="I2654" s="47" t="s">
        <v>75</v>
      </c>
    </row>
    <row r="2655" ht="15.75" customHeight="1">
      <c r="A2655" s="47" t="s">
        <v>5535</v>
      </c>
      <c r="B2655" s="47" t="s">
        <v>5536</v>
      </c>
      <c r="C2655" s="47" t="s">
        <v>7758</v>
      </c>
      <c r="D2655" s="47" t="s">
        <v>187</v>
      </c>
      <c r="E2655" s="47" t="s">
        <v>488</v>
      </c>
      <c r="F2655" s="47">
        <v>152.0</v>
      </c>
      <c r="G2655" s="47">
        <v>3.99</v>
      </c>
      <c r="H2655" s="47">
        <v>38.1</v>
      </c>
      <c r="I2655" s="47" t="s">
        <v>75</v>
      </c>
    </row>
    <row r="2656" ht="15.75" customHeight="1">
      <c r="A2656" s="47" t="s">
        <v>5537</v>
      </c>
      <c r="B2656" s="47" t="s">
        <v>5538</v>
      </c>
      <c r="C2656" s="47" t="s">
        <v>7758</v>
      </c>
      <c r="D2656" s="47" t="s">
        <v>163</v>
      </c>
      <c r="E2656" s="47" t="s">
        <v>441</v>
      </c>
      <c r="F2656" s="47">
        <v>336.0</v>
      </c>
      <c r="G2656" s="47">
        <v>3.99</v>
      </c>
      <c r="H2656" s="47">
        <v>84.2</v>
      </c>
      <c r="I2656" s="47" t="s">
        <v>75</v>
      </c>
    </row>
    <row r="2657" ht="15.75" customHeight="1">
      <c r="A2657" s="47" t="s">
        <v>5539</v>
      </c>
      <c r="B2657" s="47" t="s">
        <v>5540</v>
      </c>
      <c r="C2657" s="47" t="s">
        <v>7758</v>
      </c>
      <c r="D2657" s="47" t="s">
        <v>167</v>
      </c>
      <c r="E2657" s="47" t="s">
        <v>447</v>
      </c>
      <c r="F2657" s="47">
        <v>73.0</v>
      </c>
      <c r="G2657" s="47">
        <v>3.89</v>
      </c>
      <c r="H2657" s="47">
        <v>18.8</v>
      </c>
      <c r="I2657" s="47" t="s">
        <v>75</v>
      </c>
    </row>
    <row r="2658" ht="15.75" customHeight="1">
      <c r="A2658" s="47" t="s">
        <v>5541</v>
      </c>
      <c r="B2658" s="47" t="s">
        <v>5542</v>
      </c>
      <c r="C2658" s="47" t="s">
        <v>7758</v>
      </c>
      <c r="D2658" s="47" t="s">
        <v>141</v>
      </c>
      <c r="E2658" s="47" t="s">
        <v>220</v>
      </c>
      <c r="F2658" s="47">
        <v>10467.0</v>
      </c>
      <c r="G2658" s="47">
        <v>32.18</v>
      </c>
      <c r="H2658" s="47">
        <v>325.3</v>
      </c>
      <c r="I2658" s="47" t="s">
        <v>571</v>
      </c>
    </row>
    <row r="2659" ht="15.75" customHeight="1">
      <c r="A2659" s="47" t="s">
        <v>5543</v>
      </c>
      <c r="B2659" s="47" t="s">
        <v>5544</v>
      </c>
      <c r="C2659" s="47" t="s">
        <v>7758</v>
      </c>
      <c r="D2659" s="47" t="s">
        <v>167</v>
      </c>
      <c r="E2659" s="47" t="s">
        <v>447</v>
      </c>
      <c r="F2659" s="47">
        <v>1090.0</v>
      </c>
      <c r="G2659" s="47">
        <v>5.57</v>
      </c>
      <c r="H2659" s="47">
        <v>195.7</v>
      </c>
      <c r="I2659" s="47" t="s">
        <v>62</v>
      </c>
    </row>
    <row r="2660" ht="15.75" customHeight="1">
      <c r="A2660" s="47" t="s">
        <v>5545</v>
      </c>
      <c r="B2660" s="47" t="s">
        <v>5546</v>
      </c>
      <c r="C2660" s="47" t="s">
        <v>7758</v>
      </c>
      <c r="D2660" s="47" t="s">
        <v>167</v>
      </c>
      <c r="E2660" s="47" t="s">
        <v>447</v>
      </c>
      <c r="F2660" s="47">
        <v>283.0</v>
      </c>
      <c r="G2660" s="47">
        <v>10.07</v>
      </c>
      <c r="H2660" s="47">
        <v>28.1</v>
      </c>
      <c r="I2660" s="47" t="s">
        <v>75</v>
      </c>
    </row>
    <row r="2661" ht="15.75" customHeight="1">
      <c r="A2661" s="47" t="s">
        <v>5547</v>
      </c>
      <c r="B2661" s="47" t="s">
        <v>5548</v>
      </c>
      <c r="C2661" s="47" t="s">
        <v>7758</v>
      </c>
      <c r="D2661" s="47" t="s">
        <v>167</v>
      </c>
      <c r="E2661" s="47" t="s">
        <v>447</v>
      </c>
      <c r="F2661" s="47">
        <v>1070.0</v>
      </c>
      <c r="G2661" s="47">
        <v>7.98</v>
      </c>
      <c r="H2661" s="47">
        <v>134.1</v>
      </c>
      <c r="I2661" s="47" t="s">
        <v>62</v>
      </c>
    </row>
    <row r="2662" ht="15.75" customHeight="1">
      <c r="A2662" s="47" t="s">
        <v>5549</v>
      </c>
      <c r="B2662" s="47" t="s">
        <v>5550</v>
      </c>
      <c r="C2662" s="47" t="s">
        <v>7758</v>
      </c>
      <c r="D2662" s="47" t="s">
        <v>206</v>
      </c>
      <c r="E2662" s="47" t="s">
        <v>533</v>
      </c>
      <c r="F2662" s="47">
        <v>279.0</v>
      </c>
      <c r="G2662" s="47">
        <v>3.17</v>
      </c>
      <c r="H2662" s="47">
        <v>88.0</v>
      </c>
      <c r="I2662" s="47" t="s">
        <v>75</v>
      </c>
    </row>
    <row r="2663" ht="15.75" customHeight="1">
      <c r="A2663" s="47" t="s">
        <v>5551</v>
      </c>
      <c r="B2663" s="47" t="s">
        <v>5552</v>
      </c>
      <c r="C2663" s="47" t="s">
        <v>7758</v>
      </c>
      <c r="D2663" s="47" t="s">
        <v>128</v>
      </c>
      <c r="E2663" s="47" t="s">
        <v>338</v>
      </c>
      <c r="F2663" s="47">
        <v>93.0</v>
      </c>
      <c r="G2663" s="47">
        <v>2.46</v>
      </c>
      <c r="H2663" s="47">
        <v>37.8</v>
      </c>
      <c r="I2663" s="47" t="s">
        <v>75</v>
      </c>
    </row>
    <row r="2664" ht="15.75" customHeight="1">
      <c r="A2664" s="47" t="s">
        <v>5553</v>
      </c>
      <c r="B2664" s="47" t="s">
        <v>5554</v>
      </c>
      <c r="C2664" s="47" t="s">
        <v>7758</v>
      </c>
      <c r="D2664" s="47" t="s">
        <v>118</v>
      </c>
      <c r="E2664" s="47" t="s">
        <v>300</v>
      </c>
      <c r="F2664" s="47">
        <v>5411.0</v>
      </c>
      <c r="G2664" s="47">
        <v>4.47</v>
      </c>
      <c r="H2664" s="47">
        <v>1210.5</v>
      </c>
      <c r="I2664" s="47" t="s">
        <v>142</v>
      </c>
    </row>
    <row r="2665" ht="15.75" customHeight="1">
      <c r="A2665" s="47" t="s">
        <v>5555</v>
      </c>
      <c r="B2665" s="47" t="s">
        <v>5556</v>
      </c>
      <c r="C2665" s="47" t="s">
        <v>7758</v>
      </c>
      <c r="D2665" s="47" t="s">
        <v>167</v>
      </c>
      <c r="E2665" s="47" t="s">
        <v>447</v>
      </c>
      <c r="F2665" s="47">
        <v>314.0</v>
      </c>
      <c r="G2665" s="47">
        <v>5.14</v>
      </c>
      <c r="H2665" s="47">
        <v>61.1</v>
      </c>
      <c r="I2665" s="47" t="s">
        <v>75</v>
      </c>
    </row>
    <row r="2666" ht="15.75" customHeight="1">
      <c r="A2666" s="47" t="s">
        <v>5557</v>
      </c>
      <c r="B2666" s="47" t="s">
        <v>5558</v>
      </c>
      <c r="C2666" s="47" t="s">
        <v>7758</v>
      </c>
      <c r="D2666" s="47" t="s">
        <v>234</v>
      </c>
      <c r="E2666" s="47" t="s">
        <v>552</v>
      </c>
      <c r="F2666" s="47">
        <v>2422.0</v>
      </c>
      <c r="G2666" s="47">
        <v>11.82</v>
      </c>
      <c r="H2666" s="47">
        <v>204.9</v>
      </c>
      <c r="I2666" s="47" t="s">
        <v>142</v>
      </c>
    </row>
    <row r="2667" ht="15.75" customHeight="1">
      <c r="A2667" s="47" t="s">
        <v>5559</v>
      </c>
      <c r="B2667" s="47" t="s">
        <v>5560</v>
      </c>
      <c r="C2667" s="47" t="s">
        <v>7758</v>
      </c>
      <c r="D2667" s="47" t="s">
        <v>206</v>
      </c>
      <c r="E2667" s="47" t="s">
        <v>533</v>
      </c>
      <c r="F2667" s="47">
        <v>166.0</v>
      </c>
      <c r="G2667" s="47">
        <v>3.59</v>
      </c>
      <c r="H2667" s="47">
        <v>46.2</v>
      </c>
      <c r="I2667" s="47" t="s">
        <v>75</v>
      </c>
    </row>
    <row r="2668" ht="15.75" customHeight="1">
      <c r="A2668" s="47" t="s">
        <v>5561</v>
      </c>
      <c r="B2668" s="47" t="s">
        <v>5562</v>
      </c>
      <c r="C2668" s="47" t="s">
        <v>7758</v>
      </c>
      <c r="D2668" s="47" t="s">
        <v>219</v>
      </c>
      <c r="E2668" s="47" t="s">
        <v>377</v>
      </c>
      <c r="F2668" s="47">
        <v>1039.0</v>
      </c>
      <c r="G2668" s="47">
        <v>8.27</v>
      </c>
      <c r="H2668" s="47">
        <v>125.6</v>
      </c>
      <c r="I2668" s="47" t="s">
        <v>62</v>
      </c>
    </row>
    <row r="2669" ht="15.75" customHeight="1">
      <c r="A2669" s="47" t="s">
        <v>5563</v>
      </c>
      <c r="B2669" s="47" t="s">
        <v>5564</v>
      </c>
      <c r="C2669" s="47" t="s">
        <v>7758</v>
      </c>
      <c r="D2669" s="47" t="s">
        <v>163</v>
      </c>
      <c r="E2669" s="47" t="s">
        <v>441</v>
      </c>
      <c r="F2669" s="47">
        <v>5217.0</v>
      </c>
      <c r="G2669" s="47">
        <v>13.44</v>
      </c>
      <c r="H2669" s="47">
        <v>388.2</v>
      </c>
      <c r="I2669" s="47" t="s">
        <v>142</v>
      </c>
    </row>
    <row r="2670" ht="15.75" customHeight="1">
      <c r="A2670" s="47" t="s">
        <v>5565</v>
      </c>
      <c r="B2670" s="47" t="s">
        <v>5566</v>
      </c>
      <c r="C2670" s="47" t="s">
        <v>7758</v>
      </c>
      <c r="D2670" s="47" t="s">
        <v>204</v>
      </c>
      <c r="E2670" s="47" t="s">
        <v>527</v>
      </c>
      <c r="F2670" s="47">
        <v>173.0</v>
      </c>
      <c r="G2670" s="47">
        <v>5.94</v>
      </c>
      <c r="H2670" s="47">
        <v>29.1</v>
      </c>
      <c r="I2670" s="47" t="s">
        <v>75</v>
      </c>
    </row>
    <row r="2671" ht="15.75" customHeight="1">
      <c r="A2671" s="47" t="s">
        <v>5567</v>
      </c>
      <c r="B2671" s="47" t="s">
        <v>5568</v>
      </c>
      <c r="C2671" s="47" t="s">
        <v>7758</v>
      </c>
      <c r="D2671" s="47" t="s">
        <v>187</v>
      </c>
      <c r="E2671" s="47" t="s">
        <v>488</v>
      </c>
      <c r="F2671" s="47">
        <v>177.0</v>
      </c>
      <c r="G2671" s="47">
        <v>4.48</v>
      </c>
      <c r="H2671" s="47">
        <v>39.5</v>
      </c>
      <c r="I2671" s="47" t="s">
        <v>75</v>
      </c>
    </row>
    <row r="2672" ht="15.75" customHeight="1">
      <c r="A2672" s="47" t="s">
        <v>5569</v>
      </c>
      <c r="B2672" s="47" t="s">
        <v>5570</v>
      </c>
      <c r="C2672" s="47" t="s">
        <v>7758</v>
      </c>
      <c r="D2672" s="47" t="s">
        <v>127</v>
      </c>
      <c r="E2672" s="47" t="s">
        <v>323</v>
      </c>
      <c r="F2672" s="47">
        <v>8217.0</v>
      </c>
      <c r="G2672" s="47">
        <v>10.29</v>
      </c>
      <c r="H2672" s="47">
        <v>798.5</v>
      </c>
      <c r="I2672" s="47" t="s">
        <v>142</v>
      </c>
    </row>
    <row r="2673" ht="15.75" customHeight="1">
      <c r="A2673" s="47" t="s">
        <v>5571</v>
      </c>
      <c r="B2673" s="47" t="s">
        <v>5572</v>
      </c>
      <c r="C2673" s="47" t="s">
        <v>7758</v>
      </c>
      <c r="D2673" s="47" t="s">
        <v>118</v>
      </c>
      <c r="E2673" s="47" t="s">
        <v>300</v>
      </c>
      <c r="F2673" s="47">
        <v>457.0</v>
      </c>
      <c r="G2673" s="47">
        <v>5.2</v>
      </c>
      <c r="H2673" s="47">
        <v>87.9</v>
      </c>
      <c r="I2673" s="47" t="s">
        <v>75</v>
      </c>
    </row>
    <row r="2674" ht="15.75" customHeight="1">
      <c r="A2674" s="47" t="s">
        <v>5573</v>
      </c>
      <c r="B2674" s="47" t="s">
        <v>5574</v>
      </c>
      <c r="C2674" s="47" t="s">
        <v>7758</v>
      </c>
      <c r="D2674" s="47" t="s">
        <v>187</v>
      </c>
      <c r="E2674" s="47" t="s">
        <v>488</v>
      </c>
      <c r="F2674" s="47">
        <v>71.0</v>
      </c>
      <c r="G2674" s="47">
        <v>2.01</v>
      </c>
      <c r="H2674" s="47">
        <v>35.3</v>
      </c>
      <c r="I2674" s="47" t="s">
        <v>75</v>
      </c>
    </row>
    <row r="2675" ht="15.75" customHeight="1">
      <c r="A2675" s="47" t="s">
        <v>5575</v>
      </c>
      <c r="B2675" s="47" t="s">
        <v>5576</v>
      </c>
      <c r="C2675" s="47" t="s">
        <v>7758</v>
      </c>
      <c r="D2675" s="47" t="s">
        <v>150</v>
      </c>
      <c r="E2675" s="47" t="s">
        <v>411</v>
      </c>
      <c r="F2675" s="47">
        <v>670.0</v>
      </c>
      <c r="G2675" s="47">
        <v>5.31</v>
      </c>
      <c r="H2675" s="47">
        <v>126.2</v>
      </c>
      <c r="I2675" s="47" t="s">
        <v>62</v>
      </c>
    </row>
    <row r="2676" ht="15.75" customHeight="1">
      <c r="A2676" s="47" t="s">
        <v>5577</v>
      </c>
      <c r="B2676" s="47" t="s">
        <v>5578</v>
      </c>
      <c r="C2676" s="47" t="s">
        <v>7758</v>
      </c>
      <c r="D2676" s="47" t="s">
        <v>139</v>
      </c>
      <c r="E2676" s="47" t="s">
        <v>354</v>
      </c>
      <c r="F2676" s="47">
        <v>649.0</v>
      </c>
      <c r="G2676" s="47">
        <v>10.89</v>
      </c>
      <c r="H2676" s="47">
        <v>59.6</v>
      </c>
      <c r="I2676" s="47" t="s">
        <v>62</v>
      </c>
    </row>
    <row r="2677" ht="15.75" customHeight="1">
      <c r="A2677" s="47" t="s">
        <v>5579</v>
      </c>
      <c r="B2677" s="47" t="s">
        <v>5580</v>
      </c>
      <c r="C2677" s="47" t="s">
        <v>7758</v>
      </c>
      <c r="D2677" s="47" t="s">
        <v>234</v>
      </c>
      <c r="E2677" s="47" t="s">
        <v>552</v>
      </c>
      <c r="F2677" s="47">
        <v>730.0</v>
      </c>
      <c r="G2677" s="47">
        <v>5.79</v>
      </c>
      <c r="H2677" s="47">
        <v>126.1</v>
      </c>
      <c r="I2677" s="47" t="s">
        <v>62</v>
      </c>
    </row>
    <row r="2678" ht="15.75" customHeight="1">
      <c r="A2678" s="47" t="s">
        <v>5581</v>
      </c>
      <c r="B2678" s="47" t="s">
        <v>5582</v>
      </c>
      <c r="C2678" s="47" t="s">
        <v>7758</v>
      </c>
      <c r="D2678" s="47" t="s">
        <v>139</v>
      </c>
      <c r="E2678" s="47" t="s">
        <v>354</v>
      </c>
      <c r="F2678" s="47">
        <v>655.0</v>
      </c>
      <c r="G2678" s="47">
        <v>11.95</v>
      </c>
      <c r="H2678" s="47">
        <v>54.8</v>
      </c>
      <c r="I2678" s="47" t="s">
        <v>62</v>
      </c>
    </row>
    <row r="2679" ht="15.75" customHeight="1">
      <c r="A2679" s="47" t="s">
        <v>5583</v>
      </c>
      <c r="B2679" s="47" t="s">
        <v>5584</v>
      </c>
      <c r="C2679" s="47" t="s">
        <v>7758</v>
      </c>
      <c r="D2679" s="47" t="s">
        <v>127</v>
      </c>
      <c r="E2679" s="47" t="s">
        <v>323</v>
      </c>
      <c r="F2679" s="47">
        <v>11619.0</v>
      </c>
      <c r="G2679" s="47">
        <v>7.66</v>
      </c>
      <c r="H2679" s="47">
        <v>1516.8</v>
      </c>
      <c r="I2679" s="47" t="s">
        <v>571</v>
      </c>
    </row>
    <row r="2680" ht="15.75" customHeight="1">
      <c r="A2680" s="47" t="s">
        <v>5585</v>
      </c>
      <c r="B2680" s="47" t="s">
        <v>5586</v>
      </c>
      <c r="C2680" s="47" t="s">
        <v>7758</v>
      </c>
      <c r="D2680" s="47" t="s">
        <v>128</v>
      </c>
      <c r="E2680" s="47" t="s">
        <v>338</v>
      </c>
      <c r="F2680" s="47">
        <v>3342.0</v>
      </c>
      <c r="G2680" s="47">
        <v>20.29</v>
      </c>
      <c r="H2680" s="47">
        <v>164.7</v>
      </c>
      <c r="I2680" s="47" t="s">
        <v>142</v>
      </c>
    </row>
    <row r="2681" ht="15.75" customHeight="1">
      <c r="A2681" s="47" t="s">
        <v>5587</v>
      </c>
      <c r="B2681" s="47" t="s">
        <v>5588</v>
      </c>
      <c r="C2681" s="47" t="s">
        <v>7758</v>
      </c>
      <c r="D2681" s="47" t="s">
        <v>204</v>
      </c>
      <c r="E2681" s="47" t="s">
        <v>527</v>
      </c>
      <c r="F2681" s="47">
        <v>620.0</v>
      </c>
      <c r="G2681" s="47">
        <v>10.65</v>
      </c>
      <c r="H2681" s="47">
        <v>58.2</v>
      </c>
      <c r="I2681" s="47" t="s">
        <v>62</v>
      </c>
    </row>
    <row r="2682" ht="15.75" customHeight="1">
      <c r="A2682" s="47" t="s">
        <v>5589</v>
      </c>
      <c r="B2682" s="47" t="s">
        <v>5590</v>
      </c>
      <c r="C2682" s="47" t="s">
        <v>7758</v>
      </c>
      <c r="D2682" s="47" t="s">
        <v>127</v>
      </c>
      <c r="E2682" s="47" t="s">
        <v>323</v>
      </c>
      <c r="F2682" s="47">
        <v>3691.0</v>
      </c>
      <c r="G2682" s="47">
        <v>4.64</v>
      </c>
      <c r="H2682" s="47">
        <v>795.5</v>
      </c>
      <c r="I2682" s="47" t="s">
        <v>142</v>
      </c>
    </row>
    <row r="2683" ht="15.75" customHeight="1">
      <c r="A2683" s="47" t="s">
        <v>5591</v>
      </c>
      <c r="B2683" s="47" t="s">
        <v>5592</v>
      </c>
      <c r="C2683" s="47" t="s">
        <v>7758</v>
      </c>
      <c r="D2683" s="47" t="s">
        <v>169</v>
      </c>
      <c r="E2683" s="47" t="s">
        <v>449</v>
      </c>
      <c r="F2683" s="47">
        <v>228.0</v>
      </c>
      <c r="G2683" s="47">
        <v>3.85</v>
      </c>
      <c r="H2683" s="47">
        <v>59.2</v>
      </c>
      <c r="I2683" s="47" t="s">
        <v>75</v>
      </c>
    </row>
    <row r="2684" ht="15.75" customHeight="1">
      <c r="A2684" s="47" t="s">
        <v>5593</v>
      </c>
      <c r="B2684" s="47" t="s">
        <v>5594</v>
      </c>
      <c r="C2684" s="47" t="s">
        <v>7758</v>
      </c>
      <c r="D2684" s="47" t="s">
        <v>206</v>
      </c>
      <c r="E2684" s="47" t="s">
        <v>533</v>
      </c>
      <c r="F2684" s="47">
        <v>133.0</v>
      </c>
      <c r="G2684" s="47">
        <v>4.03</v>
      </c>
      <c r="H2684" s="47">
        <v>33.0</v>
      </c>
      <c r="I2684" s="47" t="s">
        <v>75</v>
      </c>
    </row>
    <row r="2685" ht="15.75" customHeight="1">
      <c r="A2685" s="47" t="s">
        <v>5595</v>
      </c>
      <c r="B2685" s="47" t="s">
        <v>5596</v>
      </c>
      <c r="C2685" s="47" t="s">
        <v>7758</v>
      </c>
      <c r="D2685" s="47" t="s">
        <v>206</v>
      </c>
      <c r="E2685" s="47" t="s">
        <v>533</v>
      </c>
      <c r="F2685" s="47">
        <v>71.0</v>
      </c>
      <c r="G2685" s="47">
        <v>5.0</v>
      </c>
      <c r="H2685" s="47">
        <v>14.2</v>
      </c>
      <c r="I2685" s="47" t="s">
        <v>75</v>
      </c>
    </row>
    <row r="2686" ht="15.75" customHeight="1">
      <c r="A2686" s="47" t="s">
        <v>5597</v>
      </c>
      <c r="B2686" s="47" t="s">
        <v>5598</v>
      </c>
      <c r="C2686" s="47" t="s">
        <v>7758</v>
      </c>
      <c r="D2686" s="47" t="s">
        <v>169</v>
      </c>
      <c r="E2686" s="47" t="s">
        <v>449</v>
      </c>
      <c r="F2686" s="47">
        <v>104.0</v>
      </c>
      <c r="G2686" s="47">
        <v>2.75</v>
      </c>
      <c r="H2686" s="47">
        <v>37.8</v>
      </c>
      <c r="I2686" s="47" t="s">
        <v>75</v>
      </c>
    </row>
    <row r="2687" ht="15.75" customHeight="1">
      <c r="A2687" s="47" t="s">
        <v>5599</v>
      </c>
      <c r="B2687" s="47" t="s">
        <v>5600</v>
      </c>
      <c r="C2687" s="47" t="s">
        <v>7758</v>
      </c>
      <c r="D2687" s="47" t="s">
        <v>169</v>
      </c>
      <c r="E2687" s="47" t="s">
        <v>449</v>
      </c>
      <c r="F2687" s="47">
        <v>545.0</v>
      </c>
      <c r="G2687" s="47">
        <v>11.1</v>
      </c>
      <c r="H2687" s="47">
        <v>49.1</v>
      </c>
      <c r="I2687" s="47" t="s">
        <v>62</v>
      </c>
    </row>
    <row r="2688" ht="15.75" customHeight="1">
      <c r="A2688" s="47" t="s">
        <v>5601</v>
      </c>
      <c r="B2688" s="47" t="s">
        <v>5602</v>
      </c>
      <c r="C2688" s="47" t="s">
        <v>7758</v>
      </c>
      <c r="D2688" s="47" t="s">
        <v>206</v>
      </c>
      <c r="E2688" s="47" t="s">
        <v>533</v>
      </c>
      <c r="F2688" s="47">
        <v>512.0</v>
      </c>
      <c r="G2688" s="47">
        <v>6.83</v>
      </c>
      <c r="H2688" s="47">
        <v>75.0</v>
      </c>
      <c r="I2688" s="47" t="s">
        <v>62</v>
      </c>
    </row>
    <row r="2689" ht="15.75" customHeight="1">
      <c r="A2689" s="47" t="s">
        <v>5603</v>
      </c>
      <c r="B2689" s="47" t="s">
        <v>5604</v>
      </c>
      <c r="C2689" s="47" t="s">
        <v>7758</v>
      </c>
      <c r="D2689" s="47" t="s">
        <v>206</v>
      </c>
      <c r="E2689" s="47" t="s">
        <v>533</v>
      </c>
      <c r="F2689" s="47">
        <v>285.0</v>
      </c>
      <c r="G2689" s="47">
        <v>6.23</v>
      </c>
      <c r="H2689" s="47">
        <v>45.7</v>
      </c>
      <c r="I2689" s="47" t="s">
        <v>75</v>
      </c>
    </row>
    <row r="2690" ht="15.75" customHeight="1">
      <c r="A2690" s="47" t="s">
        <v>5605</v>
      </c>
      <c r="B2690" s="47" t="s">
        <v>5606</v>
      </c>
      <c r="C2690" s="47" t="s">
        <v>7758</v>
      </c>
      <c r="D2690" s="47" t="s">
        <v>234</v>
      </c>
      <c r="E2690" s="47" t="s">
        <v>552</v>
      </c>
      <c r="F2690" s="47">
        <v>679.0</v>
      </c>
      <c r="G2690" s="47">
        <v>9.37</v>
      </c>
      <c r="H2690" s="47">
        <v>72.5</v>
      </c>
      <c r="I2690" s="47" t="s">
        <v>62</v>
      </c>
    </row>
    <row r="2691" ht="15.75" customHeight="1">
      <c r="A2691" s="47" t="s">
        <v>5607</v>
      </c>
      <c r="B2691" s="47" t="s">
        <v>5608</v>
      </c>
      <c r="C2691" s="47" t="s">
        <v>7758</v>
      </c>
      <c r="D2691" s="47" t="s">
        <v>169</v>
      </c>
      <c r="E2691" s="47" t="s">
        <v>449</v>
      </c>
      <c r="F2691" s="47">
        <v>600.0</v>
      </c>
      <c r="G2691" s="47">
        <v>5.07</v>
      </c>
      <c r="H2691" s="47">
        <v>118.3</v>
      </c>
      <c r="I2691" s="47" t="s">
        <v>62</v>
      </c>
    </row>
    <row r="2692" ht="15.75" customHeight="1">
      <c r="A2692" s="47" t="s">
        <v>5609</v>
      </c>
      <c r="B2692" s="47" t="s">
        <v>5610</v>
      </c>
      <c r="C2692" s="47" t="s">
        <v>7758</v>
      </c>
      <c r="D2692" s="47" t="s">
        <v>118</v>
      </c>
      <c r="E2692" s="47" t="s">
        <v>300</v>
      </c>
      <c r="F2692" s="47">
        <v>1317.0</v>
      </c>
      <c r="G2692" s="47">
        <v>11.46</v>
      </c>
      <c r="H2692" s="47">
        <v>114.9</v>
      </c>
      <c r="I2692" s="47" t="s">
        <v>62</v>
      </c>
    </row>
    <row r="2693" ht="15.75" customHeight="1">
      <c r="A2693" s="47" t="s">
        <v>5611</v>
      </c>
      <c r="B2693" s="47" t="s">
        <v>5612</v>
      </c>
      <c r="C2693" s="47" t="s">
        <v>7758</v>
      </c>
      <c r="D2693" s="47" t="s">
        <v>128</v>
      </c>
      <c r="E2693" s="47" t="s">
        <v>338</v>
      </c>
      <c r="F2693" s="47">
        <v>384.0</v>
      </c>
      <c r="G2693" s="47">
        <v>9.64</v>
      </c>
      <c r="H2693" s="47">
        <v>39.8</v>
      </c>
      <c r="I2693" s="47" t="s">
        <v>75</v>
      </c>
    </row>
    <row r="2694" ht="15.75" customHeight="1">
      <c r="A2694" s="47" t="s">
        <v>5613</v>
      </c>
      <c r="B2694" s="47" t="s">
        <v>5614</v>
      </c>
      <c r="C2694" s="47" t="s">
        <v>7758</v>
      </c>
      <c r="D2694" s="47" t="s">
        <v>169</v>
      </c>
      <c r="E2694" s="47" t="s">
        <v>449</v>
      </c>
      <c r="F2694" s="47">
        <v>443.0</v>
      </c>
      <c r="G2694" s="47">
        <v>5.14</v>
      </c>
      <c r="H2694" s="47">
        <v>86.2</v>
      </c>
      <c r="I2694" s="47" t="s">
        <v>75</v>
      </c>
    </row>
    <row r="2695" ht="15.75" customHeight="1">
      <c r="A2695" s="47" t="s">
        <v>5615</v>
      </c>
      <c r="B2695" s="47" t="s">
        <v>5616</v>
      </c>
      <c r="C2695" s="47" t="s">
        <v>7758</v>
      </c>
      <c r="D2695" s="47" t="s">
        <v>116</v>
      </c>
      <c r="E2695" s="47" t="s">
        <v>285</v>
      </c>
      <c r="F2695" s="47">
        <v>9743.0</v>
      </c>
      <c r="G2695" s="47">
        <v>3.49</v>
      </c>
      <c r="H2695" s="47">
        <v>2791.7</v>
      </c>
      <c r="I2695" s="47" t="s">
        <v>142</v>
      </c>
    </row>
    <row r="2696" ht="15.75" customHeight="1">
      <c r="A2696" s="47" t="s">
        <v>5617</v>
      </c>
      <c r="B2696" s="47" t="s">
        <v>5618</v>
      </c>
      <c r="C2696" s="47" t="s">
        <v>7758</v>
      </c>
      <c r="D2696" s="47" t="s">
        <v>128</v>
      </c>
      <c r="E2696" s="47" t="s">
        <v>338</v>
      </c>
      <c r="F2696" s="47">
        <v>1912.0</v>
      </c>
      <c r="G2696" s="47">
        <v>2.8</v>
      </c>
      <c r="H2696" s="47">
        <v>682.9</v>
      </c>
      <c r="I2696" s="47" t="s">
        <v>62</v>
      </c>
    </row>
    <row r="2697" ht="15.75" customHeight="1">
      <c r="A2697" s="47" t="s">
        <v>5619</v>
      </c>
      <c r="B2697" s="47" t="s">
        <v>5620</v>
      </c>
      <c r="C2697" s="47" t="s">
        <v>7758</v>
      </c>
      <c r="D2697" s="47" t="s">
        <v>234</v>
      </c>
      <c r="E2697" s="47" t="s">
        <v>552</v>
      </c>
      <c r="F2697" s="47">
        <v>1022.0</v>
      </c>
      <c r="G2697" s="47">
        <v>15.82</v>
      </c>
      <c r="H2697" s="47">
        <v>64.6</v>
      </c>
      <c r="I2697" s="47" t="s">
        <v>62</v>
      </c>
    </row>
    <row r="2698" ht="15.75" customHeight="1">
      <c r="A2698" s="47" t="s">
        <v>5621</v>
      </c>
      <c r="B2698" s="47" t="s">
        <v>5622</v>
      </c>
      <c r="C2698" s="47" t="s">
        <v>7758</v>
      </c>
      <c r="D2698" s="47" t="s">
        <v>206</v>
      </c>
      <c r="E2698" s="47" t="s">
        <v>533</v>
      </c>
      <c r="F2698" s="47">
        <v>62.0</v>
      </c>
      <c r="G2698" s="47">
        <v>3.39</v>
      </c>
      <c r="H2698" s="47">
        <v>18.3</v>
      </c>
      <c r="I2698" s="47" t="s">
        <v>75</v>
      </c>
    </row>
    <row r="2699" ht="15.75" customHeight="1">
      <c r="A2699" s="47" t="s">
        <v>5623</v>
      </c>
      <c r="B2699" s="47" t="s">
        <v>5624</v>
      </c>
      <c r="C2699" s="47" t="s">
        <v>7758</v>
      </c>
      <c r="D2699" s="47" t="s">
        <v>204</v>
      </c>
      <c r="E2699" s="47" t="s">
        <v>527</v>
      </c>
      <c r="F2699" s="47">
        <v>210.0</v>
      </c>
      <c r="G2699" s="47">
        <v>6.68</v>
      </c>
      <c r="H2699" s="47">
        <v>31.4</v>
      </c>
      <c r="I2699" s="47" t="s">
        <v>75</v>
      </c>
    </row>
    <row r="2700" ht="15.75" customHeight="1">
      <c r="A2700" s="47" t="s">
        <v>5625</v>
      </c>
      <c r="B2700" s="47" t="s">
        <v>5626</v>
      </c>
      <c r="C2700" s="47" t="s">
        <v>7758</v>
      </c>
      <c r="D2700" s="47" t="s">
        <v>139</v>
      </c>
      <c r="E2700" s="47" t="s">
        <v>354</v>
      </c>
      <c r="F2700" s="47">
        <v>557.0</v>
      </c>
      <c r="G2700" s="47">
        <v>9.92</v>
      </c>
      <c r="H2700" s="47">
        <v>56.1</v>
      </c>
      <c r="I2700" s="47" t="s">
        <v>62</v>
      </c>
    </row>
    <row r="2701" ht="15.75" customHeight="1">
      <c r="A2701" s="47" t="s">
        <v>5627</v>
      </c>
      <c r="B2701" s="47" t="s">
        <v>5628</v>
      </c>
      <c r="C2701" s="47" t="s">
        <v>7758</v>
      </c>
      <c r="D2701" s="47" t="s">
        <v>204</v>
      </c>
      <c r="E2701" s="47" t="s">
        <v>527</v>
      </c>
      <c r="F2701" s="47">
        <v>87.0</v>
      </c>
      <c r="G2701" s="47">
        <v>2.46</v>
      </c>
      <c r="H2701" s="47">
        <v>35.4</v>
      </c>
      <c r="I2701" s="47" t="s">
        <v>75</v>
      </c>
    </row>
    <row r="2702" ht="15.75" customHeight="1">
      <c r="A2702" s="47" t="s">
        <v>5629</v>
      </c>
      <c r="B2702" s="47" t="s">
        <v>5630</v>
      </c>
      <c r="C2702" s="47" t="s">
        <v>7758</v>
      </c>
      <c r="D2702" s="47" t="s">
        <v>204</v>
      </c>
      <c r="E2702" s="47" t="s">
        <v>527</v>
      </c>
      <c r="F2702" s="47">
        <v>299.0</v>
      </c>
      <c r="G2702" s="47">
        <v>7.35</v>
      </c>
      <c r="H2702" s="47">
        <v>40.7</v>
      </c>
      <c r="I2702" s="47" t="s">
        <v>75</v>
      </c>
    </row>
    <row r="2703" ht="15.75" customHeight="1">
      <c r="A2703" s="47" t="s">
        <v>5631</v>
      </c>
      <c r="B2703" s="47" t="s">
        <v>5632</v>
      </c>
      <c r="C2703" s="47" t="s">
        <v>7758</v>
      </c>
      <c r="D2703" s="47" t="s">
        <v>139</v>
      </c>
      <c r="E2703" s="47" t="s">
        <v>354</v>
      </c>
      <c r="F2703" s="47">
        <v>1170.0</v>
      </c>
      <c r="G2703" s="47">
        <v>5.45</v>
      </c>
      <c r="H2703" s="47">
        <v>214.7</v>
      </c>
      <c r="I2703" s="47" t="s">
        <v>62</v>
      </c>
    </row>
    <row r="2704" ht="15.75" customHeight="1">
      <c r="A2704" s="47" t="s">
        <v>5633</v>
      </c>
      <c r="B2704" s="47" t="s">
        <v>5634</v>
      </c>
      <c r="C2704" s="47" t="s">
        <v>7758</v>
      </c>
      <c r="D2704" s="47" t="s">
        <v>167</v>
      </c>
      <c r="E2704" s="47" t="s">
        <v>447</v>
      </c>
      <c r="F2704" s="47">
        <v>237.0</v>
      </c>
      <c r="G2704" s="47">
        <v>15.81</v>
      </c>
      <c r="H2704" s="47">
        <v>15.0</v>
      </c>
      <c r="I2704" s="47" t="s">
        <v>75</v>
      </c>
    </row>
    <row r="2705" ht="15.75" customHeight="1">
      <c r="A2705" s="47" t="s">
        <v>5635</v>
      </c>
      <c r="B2705" s="47" t="s">
        <v>3983</v>
      </c>
      <c r="C2705" s="47" t="s">
        <v>7758</v>
      </c>
      <c r="D2705" s="47" t="s">
        <v>204</v>
      </c>
      <c r="E2705" s="47" t="s">
        <v>527</v>
      </c>
      <c r="F2705" s="47">
        <v>289.0</v>
      </c>
      <c r="G2705" s="47">
        <v>6.47</v>
      </c>
      <c r="H2705" s="47">
        <v>44.7</v>
      </c>
      <c r="I2705" s="47" t="s">
        <v>75</v>
      </c>
    </row>
    <row r="2706" ht="15.75" customHeight="1">
      <c r="A2706" s="47" t="s">
        <v>5636</v>
      </c>
      <c r="B2706" s="47" t="s">
        <v>5637</v>
      </c>
      <c r="C2706" s="47" t="s">
        <v>7758</v>
      </c>
      <c r="D2706" s="47" t="s">
        <v>161</v>
      </c>
      <c r="E2706" s="47" t="s">
        <v>438</v>
      </c>
      <c r="F2706" s="47">
        <v>673.0</v>
      </c>
      <c r="G2706" s="47">
        <v>11.46</v>
      </c>
      <c r="H2706" s="47">
        <v>58.7</v>
      </c>
      <c r="I2706" s="47" t="s">
        <v>62</v>
      </c>
    </row>
    <row r="2707" ht="15.75" customHeight="1">
      <c r="A2707" s="47" t="s">
        <v>5638</v>
      </c>
      <c r="B2707" s="47" t="s">
        <v>5639</v>
      </c>
      <c r="C2707" s="47" t="s">
        <v>7758</v>
      </c>
      <c r="D2707" s="47" t="s">
        <v>150</v>
      </c>
      <c r="E2707" s="47" t="s">
        <v>411</v>
      </c>
      <c r="F2707" s="47">
        <v>225.0</v>
      </c>
      <c r="G2707" s="47">
        <v>4.17</v>
      </c>
      <c r="H2707" s="47">
        <v>54.0</v>
      </c>
      <c r="I2707" s="47" t="s">
        <v>75</v>
      </c>
    </row>
    <row r="2708" ht="15.75" customHeight="1">
      <c r="A2708" s="47" t="s">
        <v>5640</v>
      </c>
      <c r="B2708" s="47" t="s">
        <v>5641</v>
      </c>
      <c r="C2708" s="47" t="s">
        <v>7758</v>
      </c>
      <c r="D2708" s="47" t="s">
        <v>206</v>
      </c>
      <c r="E2708" s="47" t="s">
        <v>533</v>
      </c>
      <c r="F2708" s="47">
        <v>158.0</v>
      </c>
      <c r="G2708" s="47">
        <v>4.93</v>
      </c>
      <c r="H2708" s="47">
        <v>32.0</v>
      </c>
      <c r="I2708" s="47" t="s">
        <v>75</v>
      </c>
    </row>
    <row r="2709" ht="15.75" customHeight="1">
      <c r="A2709" s="47" t="s">
        <v>5642</v>
      </c>
      <c r="B2709" s="47" t="s">
        <v>5643</v>
      </c>
      <c r="C2709" s="47" t="s">
        <v>7758</v>
      </c>
      <c r="D2709" s="47" t="s">
        <v>206</v>
      </c>
      <c r="E2709" s="47" t="s">
        <v>533</v>
      </c>
      <c r="F2709" s="47">
        <v>357.0</v>
      </c>
      <c r="G2709" s="47">
        <v>3.81</v>
      </c>
      <c r="H2709" s="47">
        <v>93.7</v>
      </c>
      <c r="I2709" s="47" t="s">
        <v>75</v>
      </c>
    </row>
    <row r="2710" ht="15.75" customHeight="1">
      <c r="A2710" s="47" t="s">
        <v>5644</v>
      </c>
      <c r="B2710" s="47" t="s">
        <v>5645</v>
      </c>
      <c r="C2710" s="47" t="s">
        <v>7758</v>
      </c>
      <c r="D2710" s="47" t="s">
        <v>128</v>
      </c>
      <c r="E2710" s="47" t="s">
        <v>338</v>
      </c>
      <c r="F2710" s="47">
        <v>200.0</v>
      </c>
      <c r="G2710" s="47">
        <v>4.45</v>
      </c>
      <c r="H2710" s="47">
        <v>44.9</v>
      </c>
      <c r="I2710" s="47" t="s">
        <v>75</v>
      </c>
    </row>
    <row r="2711" ht="15.75" customHeight="1">
      <c r="A2711" s="47" t="s">
        <v>5646</v>
      </c>
      <c r="B2711" s="47" t="s">
        <v>5647</v>
      </c>
      <c r="C2711" s="47" t="s">
        <v>7758</v>
      </c>
      <c r="D2711" s="47" t="s">
        <v>132</v>
      </c>
      <c r="E2711" s="47" t="s">
        <v>346</v>
      </c>
      <c r="F2711" s="47">
        <v>1095.0</v>
      </c>
      <c r="G2711" s="47">
        <v>5.08</v>
      </c>
      <c r="H2711" s="47">
        <v>215.6</v>
      </c>
      <c r="I2711" s="47" t="s">
        <v>62</v>
      </c>
    </row>
    <row r="2712" ht="15.75" customHeight="1">
      <c r="A2712" s="47" t="s">
        <v>5648</v>
      </c>
      <c r="B2712" s="47" t="s">
        <v>5649</v>
      </c>
      <c r="C2712" s="47" t="s">
        <v>7758</v>
      </c>
      <c r="D2712" s="47" t="s">
        <v>132</v>
      </c>
      <c r="E2712" s="47" t="s">
        <v>346</v>
      </c>
      <c r="F2712" s="47">
        <v>4115.0</v>
      </c>
      <c r="G2712" s="47">
        <v>20.95</v>
      </c>
      <c r="H2712" s="47">
        <v>196.4</v>
      </c>
      <c r="I2712" s="47" t="s">
        <v>142</v>
      </c>
    </row>
    <row r="2713" ht="15.75" customHeight="1">
      <c r="A2713" s="47" t="s">
        <v>5650</v>
      </c>
      <c r="B2713" s="47" t="s">
        <v>5651</v>
      </c>
      <c r="C2713" s="47" t="s">
        <v>7758</v>
      </c>
      <c r="D2713" s="47" t="s">
        <v>167</v>
      </c>
      <c r="E2713" s="47" t="s">
        <v>447</v>
      </c>
      <c r="F2713" s="47">
        <v>22.0</v>
      </c>
      <c r="G2713" s="47">
        <v>1.4</v>
      </c>
      <c r="H2713" s="47">
        <v>15.7</v>
      </c>
      <c r="I2713" s="47" t="s">
        <v>75</v>
      </c>
    </row>
    <row r="2714" ht="15.75" customHeight="1">
      <c r="A2714" s="47" t="s">
        <v>5652</v>
      </c>
      <c r="B2714" s="47" t="s">
        <v>5653</v>
      </c>
      <c r="C2714" s="47" t="s">
        <v>7758</v>
      </c>
      <c r="D2714" s="47" t="s">
        <v>118</v>
      </c>
      <c r="E2714" s="47" t="s">
        <v>300</v>
      </c>
      <c r="F2714" s="47">
        <v>1409.0</v>
      </c>
      <c r="G2714" s="47">
        <v>1.89</v>
      </c>
      <c r="H2714" s="47">
        <v>745.5</v>
      </c>
      <c r="I2714" s="47" t="s">
        <v>62</v>
      </c>
    </row>
    <row r="2715" ht="15.75" customHeight="1">
      <c r="A2715" s="47" t="s">
        <v>5654</v>
      </c>
      <c r="B2715" s="47" t="s">
        <v>5655</v>
      </c>
      <c r="C2715" s="47" t="s">
        <v>7758</v>
      </c>
      <c r="D2715" s="47" t="s">
        <v>206</v>
      </c>
      <c r="E2715" s="47" t="s">
        <v>533</v>
      </c>
      <c r="F2715" s="47">
        <v>59.0</v>
      </c>
      <c r="G2715" s="47">
        <v>2.33</v>
      </c>
      <c r="H2715" s="47">
        <v>25.3</v>
      </c>
      <c r="I2715" s="47" t="s">
        <v>75</v>
      </c>
    </row>
    <row r="2716" ht="15.75" customHeight="1">
      <c r="A2716" s="47" t="s">
        <v>5656</v>
      </c>
      <c r="B2716" s="47" t="s">
        <v>5657</v>
      </c>
      <c r="C2716" s="47" t="s">
        <v>7758</v>
      </c>
      <c r="D2716" s="47" t="s">
        <v>204</v>
      </c>
      <c r="E2716" s="47" t="s">
        <v>527</v>
      </c>
      <c r="F2716" s="47">
        <v>171.0</v>
      </c>
      <c r="G2716" s="47">
        <v>3.12</v>
      </c>
      <c r="H2716" s="47">
        <v>54.8</v>
      </c>
      <c r="I2716" s="47" t="s">
        <v>75</v>
      </c>
    </row>
    <row r="2717" ht="15.75" customHeight="1">
      <c r="A2717" s="47" t="s">
        <v>5658</v>
      </c>
      <c r="B2717" s="47" t="s">
        <v>5659</v>
      </c>
      <c r="C2717" s="47" t="s">
        <v>7758</v>
      </c>
      <c r="D2717" s="47" t="s">
        <v>234</v>
      </c>
      <c r="E2717" s="47" t="s">
        <v>552</v>
      </c>
      <c r="F2717" s="47">
        <v>1628.0</v>
      </c>
      <c r="G2717" s="47">
        <v>12.61</v>
      </c>
      <c r="H2717" s="47">
        <v>129.1</v>
      </c>
      <c r="I2717" s="47" t="s">
        <v>62</v>
      </c>
    </row>
    <row r="2718" ht="15.75" customHeight="1">
      <c r="A2718" s="47" t="s">
        <v>5660</v>
      </c>
      <c r="B2718" s="47" t="s">
        <v>5661</v>
      </c>
      <c r="C2718" s="47" t="s">
        <v>7758</v>
      </c>
      <c r="D2718" s="47" t="s">
        <v>128</v>
      </c>
      <c r="E2718" s="47" t="s">
        <v>338</v>
      </c>
      <c r="F2718" s="47">
        <v>618.0</v>
      </c>
      <c r="G2718" s="47">
        <v>8.8</v>
      </c>
      <c r="H2718" s="47">
        <v>70.2</v>
      </c>
      <c r="I2718" s="47" t="s">
        <v>62</v>
      </c>
    </row>
    <row r="2719" ht="15.75" customHeight="1">
      <c r="A2719" s="47" t="s">
        <v>5662</v>
      </c>
      <c r="B2719" s="47" t="s">
        <v>5663</v>
      </c>
      <c r="C2719" s="47" t="s">
        <v>7758</v>
      </c>
      <c r="D2719" s="47" t="s">
        <v>234</v>
      </c>
      <c r="E2719" s="47" t="s">
        <v>552</v>
      </c>
      <c r="F2719" s="47">
        <v>481.0</v>
      </c>
      <c r="G2719" s="47">
        <v>6.99</v>
      </c>
      <c r="H2719" s="47">
        <v>68.8</v>
      </c>
      <c r="I2719" s="47" t="s">
        <v>75</v>
      </c>
    </row>
    <row r="2720" ht="15.75" customHeight="1">
      <c r="A2720" s="47" t="s">
        <v>5664</v>
      </c>
      <c r="B2720" s="47" t="s">
        <v>5665</v>
      </c>
      <c r="C2720" s="47" t="s">
        <v>7758</v>
      </c>
      <c r="D2720" s="47" t="s">
        <v>219</v>
      </c>
      <c r="E2720" s="47" t="s">
        <v>377</v>
      </c>
      <c r="F2720" s="47">
        <v>570.0</v>
      </c>
      <c r="G2720" s="47">
        <v>4.35</v>
      </c>
      <c r="H2720" s="47">
        <v>131.0</v>
      </c>
      <c r="I2720" s="47" t="s">
        <v>62</v>
      </c>
    </row>
    <row r="2721" ht="15.75" customHeight="1">
      <c r="A2721" s="47" t="s">
        <v>5666</v>
      </c>
      <c r="B2721" s="47" t="s">
        <v>5667</v>
      </c>
      <c r="C2721" s="47" t="s">
        <v>7758</v>
      </c>
      <c r="D2721" s="47" t="s">
        <v>191</v>
      </c>
      <c r="E2721" s="47" t="s">
        <v>504</v>
      </c>
      <c r="F2721" s="47">
        <v>902.0</v>
      </c>
      <c r="G2721" s="47">
        <v>12.73</v>
      </c>
      <c r="H2721" s="47">
        <v>70.9</v>
      </c>
      <c r="I2721" s="47" t="s">
        <v>62</v>
      </c>
    </row>
    <row r="2722" ht="15.75" customHeight="1">
      <c r="A2722" s="47" t="s">
        <v>5668</v>
      </c>
      <c r="B2722" s="47" t="s">
        <v>5669</v>
      </c>
      <c r="C2722" s="47" t="s">
        <v>7758</v>
      </c>
      <c r="D2722" s="47" t="s">
        <v>223</v>
      </c>
      <c r="E2722" s="47" t="s">
        <v>380</v>
      </c>
      <c r="F2722" s="47">
        <v>577.0</v>
      </c>
      <c r="G2722" s="47">
        <v>4.51</v>
      </c>
      <c r="H2722" s="47">
        <v>127.9</v>
      </c>
      <c r="I2722" s="47" t="s">
        <v>62</v>
      </c>
    </row>
    <row r="2723" ht="15.75" customHeight="1">
      <c r="A2723" s="47" t="s">
        <v>5670</v>
      </c>
      <c r="B2723" s="47" t="s">
        <v>5671</v>
      </c>
      <c r="C2723" s="47" t="s">
        <v>7758</v>
      </c>
      <c r="D2723" s="47" t="s">
        <v>141</v>
      </c>
      <c r="E2723" s="47" t="s">
        <v>220</v>
      </c>
      <c r="F2723" s="47">
        <v>280.0</v>
      </c>
      <c r="G2723" s="47">
        <v>2.52</v>
      </c>
      <c r="H2723" s="47">
        <v>111.1</v>
      </c>
      <c r="I2723" s="47" t="s">
        <v>75</v>
      </c>
    </row>
    <row r="2724" ht="15.75" customHeight="1">
      <c r="A2724" s="47" t="s">
        <v>5672</v>
      </c>
      <c r="B2724" s="47" t="s">
        <v>5673</v>
      </c>
      <c r="C2724" s="47" t="s">
        <v>7758</v>
      </c>
      <c r="D2724" s="47" t="s">
        <v>206</v>
      </c>
      <c r="E2724" s="47" t="s">
        <v>533</v>
      </c>
      <c r="F2724" s="47">
        <v>186.0</v>
      </c>
      <c r="G2724" s="47">
        <v>6.16</v>
      </c>
      <c r="H2724" s="47">
        <v>30.2</v>
      </c>
      <c r="I2724" s="47" t="s">
        <v>75</v>
      </c>
    </row>
    <row r="2725" ht="15.75" customHeight="1">
      <c r="A2725" s="47" t="s">
        <v>5674</v>
      </c>
      <c r="B2725" s="47" t="s">
        <v>5675</v>
      </c>
      <c r="C2725" s="47" t="s">
        <v>7758</v>
      </c>
      <c r="D2725" s="47" t="s">
        <v>118</v>
      </c>
      <c r="E2725" s="47" t="s">
        <v>300</v>
      </c>
      <c r="F2725" s="47">
        <v>11590.0</v>
      </c>
      <c r="G2725" s="47">
        <v>8.85</v>
      </c>
      <c r="H2725" s="47">
        <v>1309.6</v>
      </c>
      <c r="I2725" s="47" t="s">
        <v>571</v>
      </c>
    </row>
    <row r="2726" ht="15.75" customHeight="1">
      <c r="A2726" s="47" t="s">
        <v>5676</v>
      </c>
      <c r="B2726" s="47" t="s">
        <v>5677</v>
      </c>
      <c r="C2726" s="47" t="s">
        <v>7758</v>
      </c>
      <c r="D2726" s="47" t="s">
        <v>139</v>
      </c>
      <c r="E2726" s="47" t="s">
        <v>354</v>
      </c>
      <c r="F2726" s="47">
        <v>1271.0</v>
      </c>
      <c r="G2726" s="47">
        <v>5.95</v>
      </c>
      <c r="H2726" s="47">
        <v>213.6</v>
      </c>
      <c r="I2726" s="47" t="s">
        <v>62</v>
      </c>
    </row>
    <row r="2727" ht="15.75" customHeight="1">
      <c r="A2727" s="47" t="s">
        <v>5678</v>
      </c>
      <c r="B2727" s="47" t="s">
        <v>5679</v>
      </c>
      <c r="C2727" s="47" t="s">
        <v>7758</v>
      </c>
      <c r="D2727" s="47" t="s">
        <v>204</v>
      </c>
      <c r="E2727" s="47" t="s">
        <v>527</v>
      </c>
      <c r="F2727" s="47">
        <v>130.0</v>
      </c>
      <c r="G2727" s="47">
        <v>4.89</v>
      </c>
      <c r="H2727" s="47">
        <v>26.6</v>
      </c>
      <c r="I2727" s="47" t="s">
        <v>75</v>
      </c>
    </row>
    <row r="2728" ht="15.75" customHeight="1">
      <c r="A2728" s="47" t="s">
        <v>5680</v>
      </c>
      <c r="B2728" s="47" t="s">
        <v>5681</v>
      </c>
      <c r="C2728" s="47" t="s">
        <v>7758</v>
      </c>
      <c r="D2728" s="47" t="s">
        <v>118</v>
      </c>
      <c r="E2728" s="47" t="s">
        <v>300</v>
      </c>
      <c r="F2728" s="47">
        <v>1381.0</v>
      </c>
      <c r="G2728" s="47">
        <v>5.66</v>
      </c>
      <c r="H2728" s="47">
        <v>244.0</v>
      </c>
      <c r="I2728" s="47" t="s">
        <v>62</v>
      </c>
    </row>
    <row r="2729" ht="15.75" customHeight="1">
      <c r="A2729" s="47" t="s">
        <v>5682</v>
      </c>
      <c r="B2729" s="47" t="s">
        <v>5683</v>
      </c>
      <c r="C2729" s="47" t="s">
        <v>7758</v>
      </c>
      <c r="D2729" s="47" t="s">
        <v>161</v>
      </c>
      <c r="E2729" s="47" t="s">
        <v>438</v>
      </c>
      <c r="F2729" s="47">
        <v>1756.0</v>
      </c>
      <c r="G2729" s="47">
        <v>13.21</v>
      </c>
      <c r="H2729" s="47">
        <v>132.9</v>
      </c>
      <c r="I2729" s="47" t="s">
        <v>62</v>
      </c>
    </row>
    <row r="2730" ht="15.75" customHeight="1">
      <c r="A2730" s="47" t="s">
        <v>5684</v>
      </c>
      <c r="B2730" s="47" t="s">
        <v>5685</v>
      </c>
      <c r="C2730" s="47" t="s">
        <v>7758</v>
      </c>
      <c r="D2730" s="47" t="s">
        <v>139</v>
      </c>
      <c r="E2730" s="47" t="s">
        <v>354</v>
      </c>
      <c r="F2730" s="47">
        <v>261.0</v>
      </c>
      <c r="G2730" s="47">
        <v>3.48</v>
      </c>
      <c r="H2730" s="47">
        <v>75.0</v>
      </c>
      <c r="I2730" s="47" t="s">
        <v>75</v>
      </c>
    </row>
    <row r="2731" ht="15.75" customHeight="1">
      <c r="A2731" s="47" t="s">
        <v>5686</v>
      </c>
      <c r="B2731" s="47" t="s">
        <v>5687</v>
      </c>
      <c r="C2731" s="47" t="s">
        <v>7758</v>
      </c>
      <c r="D2731" s="47" t="s">
        <v>161</v>
      </c>
      <c r="E2731" s="47" t="s">
        <v>438</v>
      </c>
      <c r="F2731" s="47">
        <v>709.0</v>
      </c>
      <c r="G2731" s="47">
        <v>9.16</v>
      </c>
      <c r="H2731" s="47">
        <v>77.4</v>
      </c>
      <c r="I2731" s="47" t="s">
        <v>62</v>
      </c>
    </row>
    <row r="2732" ht="15.75" customHeight="1">
      <c r="A2732" s="47" t="s">
        <v>5688</v>
      </c>
      <c r="B2732" s="47" t="s">
        <v>5689</v>
      </c>
      <c r="C2732" s="47" t="s">
        <v>7758</v>
      </c>
      <c r="D2732" s="47" t="s">
        <v>116</v>
      </c>
      <c r="E2732" s="47" t="s">
        <v>285</v>
      </c>
      <c r="F2732" s="47">
        <v>5994.0</v>
      </c>
      <c r="G2732" s="47">
        <v>5.45</v>
      </c>
      <c r="H2732" s="47">
        <v>1099.8</v>
      </c>
      <c r="I2732" s="47" t="s">
        <v>142</v>
      </c>
    </row>
    <row r="2733" ht="15.75" customHeight="1">
      <c r="A2733" s="47" t="s">
        <v>5690</v>
      </c>
      <c r="B2733" s="47" t="s">
        <v>5691</v>
      </c>
      <c r="C2733" s="47" t="s">
        <v>7758</v>
      </c>
      <c r="D2733" s="47" t="s">
        <v>167</v>
      </c>
      <c r="E2733" s="47" t="s">
        <v>447</v>
      </c>
      <c r="F2733" s="47">
        <v>56.0</v>
      </c>
      <c r="G2733" s="47">
        <v>1.16</v>
      </c>
      <c r="H2733" s="47">
        <v>48.3</v>
      </c>
      <c r="I2733" s="47" t="s">
        <v>75</v>
      </c>
    </row>
    <row r="2734" ht="15.75" customHeight="1">
      <c r="A2734" s="47" t="s">
        <v>5692</v>
      </c>
      <c r="B2734" s="47" t="s">
        <v>5693</v>
      </c>
      <c r="C2734" s="47" t="s">
        <v>7758</v>
      </c>
      <c r="D2734" s="47" t="s">
        <v>118</v>
      </c>
      <c r="E2734" s="47" t="s">
        <v>300</v>
      </c>
      <c r="F2734" s="47">
        <v>2273.0</v>
      </c>
      <c r="G2734" s="47">
        <v>2.54</v>
      </c>
      <c r="H2734" s="47">
        <v>894.9</v>
      </c>
      <c r="I2734" s="47" t="s">
        <v>142</v>
      </c>
    </row>
    <row r="2735" ht="15.75" customHeight="1">
      <c r="A2735" s="47" t="s">
        <v>5694</v>
      </c>
      <c r="B2735" s="47" t="s">
        <v>5695</v>
      </c>
      <c r="C2735" s="47" t="s">
        <v>7758</v>
      </c>
      <c r="D2735" s="47" t="s">
        <v>219</v>
      </c>
      <c r="E2735" s="47" t="s">
        <v>377</v>
      </c>
      <c r="F2735" s="47">
        <v>848.0</v>
      </c>
      <c r="G2735" s="47">
        <v>4.26</v>
      </c>
      <c r="H2735" s="47">
        <v>199.1</v>
      </c>
      <c r="I2735" s="47" t="s">
        <v>62</v>
      </c>
    </row>
    <row r="2736" ht="15.75" customHeight="1">
      <c r="A2736" s="47" t="s">
        <v>5696</v>
      </c>
      <c r="B2736" s="47" t="s">
        <v>5697</v>
      </c>
      <c r="C2736" s="47" t="s">
        <v>7758</v>
      </c>
      <c r="D2736" s="47" t="s">
        <v>127</v>
      </c>
      <c r="E2736" s="47" t="s">
        <v>323</v>
      </c>
      <c r="F2736" s="47">
        <v>6854.0</v>
      </c>
      <c r="G2736" s="47">
        <v>3.71</v>
      </c>
      <c r="H2736" s="47">
        <v>1847.4</v>
      </c>
      <c r="I2736" s="47" t="s">
        <v>142</v>
      </c>
    </row>
    <row r="2737" ht="15.75" customHeight="1">
      <c r="A2737" s="47" t="s">
        <v>5698</v>
      </c>
      <c r="B2737" s="47" t="s">
        <v>5699</v>
      </c>
      <c r="C2737" s="47" t="s">
        <v>7758</v>
      </c>
      <c r="D2737" s="47" t="s">
        <v>169</v>
      </c>
      <c r="E2737" s="47" t="s">
        <v>449</v>
      </c>
      <c r="F2737" s="47">
        <v>154.0</v>
      </c>
      <c r="G2737" s="47">
        <v>2.07</v>
      </c>
      <c r="H2737" s="47">
        <v>74.4</v>
      </c>
      <c r="I2737" s="47" t="s">
        <v>75</v>
      </c>
    </row>
    <row r="2738" ht="15.75" customHeight="1">
      <c r="A2738" s="47" t="s">
        <v>5700</v>
      </c>
      <c r="B2738" s="47" t="s">
        <v>5701</v>
      </c>
      <c r="C2738" s="47" t="s">
        <v>7758</v>
      </c>
      <c r="D2738" s="47" t="s">
        <v>169</v>
      </c>
      <c r="E2738" s="47" t="s">
        <v>449</v>
      </c>
      <c r="F2738" s="47">
        <v>256.0</v>
      </c>
      <c r="G2738" s="47">
        <v>5.37</v>
      </c>
      <c r="H2738" s="47">
        <v>47.7</v>
      </c>
      <c r="I2738" s="47" t="s">
        <v>75</v>
      </c>
    </row>
    <row r="2739" ht="15.75" customHeight="1">
      <c r="A2739" s="47" t="s">
        <v>5702</v>
      </c>
      <c r="B2739" s="47" t="s">
        <v>5703</v>
      </c>
      <c r="C2739" s="47" t="s">
        <v>7758</v>
      </c>
      <c r="D2739" s="47" t="s">
        <v>206</v>
      </c>
      <c r="E2739" s="47" t="s">
        <v>533</v>
      </c>
      <c r="F2739" s="47">
        <v>471.0</v>
      </c>
      <c r="G2739" s="47">
        <v>6.7</v>
      </c>
      <c r="H2739" s="47">
        <v>70.3</v>
      </c>
      <c r="I2739" s="47" t="s">
        <v>75</v>
      </c>
    </row>
    <row r="2740" ht="15.75" customHeight="1">
      <c r="A2740" s="47" t="s">
        <v>5704</v>
      </c>
      <c r="B2740" s="47" t="s">
        <v>5705</v>
      </c>
      <c r="C2740" s="47" t="s">
        <v>7758</v>
      </c>
      <c r="D2740" s="47" t="s">
        <v>118</v>
      </c>
      <c r="E2740" s="47" t="s">
        <v>300</v>
      </c>
      <c r="F2740" s="47">
        <v>384.0</v>
      </c>
      <c r="G2740" s="47">
        <v>1.26</v>
      </c>
      <c r="H2740" s="47">
        <v>304.8</v>
      </c>
      <c r="I2740" s="47" t="s">
        <v>75</v>
      </c>
    </row>
    <row r="2741" ht="15.75" customHeight="1">
      <c r="A2741" s="47" t="s">
        <v>5706</v>
      </c>
      <c r="B2741" s="47" t="s">
        <v>5707</v>
      </c>
      <c r="C2741" s="47" t="s">
        <v>7758</v>
      </c>
      <c r="D2741" s="47" t="s">
        <v>206</v>
      </c>
      <c r="E2741" s="47" t="s">
        <v>533</v>
      </c>
      <c r="F2741" s="47">
        <v>251.0</v>
      </c>
      <c r="G2741" s="47">
        <v>8.77</v>
      </c>
      <c r="H2741" s="47">
        <v>28.6</v>
      </c>
      <c r="I2741" s="47" t="s">
        <v>75</v>
      </c>
    </row>
    <row r="2742" ht="15.75" customHeight="1">
      <c r="A2742" s="47" t="s">
        <v>5708</v>
      </c>
      <c r="B2742" s="47" t="s">
        <v>5709</v>
      </c>
      <c r="C2742" s="47" t="s">
        <v>7758</v>
      </c>
      <c r="D2742" s="47" t="s">
        <v>161</v>
      </c>
      <c r="E2742" s="47" t="s">
        <v>438</v>
      </c>
      <c r="F2742" s="47">
        <v>1291.0</v>
      </c>
      <c r="G2742" s="47">
        <v>13.34</v>
      </c>
      <c r="H2742" s="47">
        <v>96.8</v>
      </c>
      <c r="I2742" s="47" t="s">
        <v>62</v>
      </c>
    </row>
    <row r="2743" ht="15.75" customHeight="1">
      <c r="A2743" s="47" t="s">
        <v>5710</v>
      </c>
      <c r="B2743" s="47" t="s">
        <v>5711</v>
      </c>
      <c r="C2743" s="47" t="s">
        <v>7758</v>
      </c>
      <c r="D2743" s="47" t="s">
        <v>167</v>
      </c>
      <c r="E2743" s="47" t="s">
        <v>447</v>
      </c>
      <c r="F2743" s="47">
        <v>210.0</v>
      </c>
      <c r="G2743" s="47">
        <v>5.31</v>
      </c>
      <c r="H2743" s="47">
        <v>39.5</v>
      </c>
      <c r="I2743" s="47" t="s">
        <v>75</v>
      </c>
    </row>
    <row r="2744" ht="15.75" customHeight="1">
      <c r="A2744" s="47" t="s">
        <v>5712</v>
      </c>
      <c r="B2744" s="47" t="s">
        <v>5713</v>
      </c>
      <c r="C2744" s="47" t="s">
        <v>7758</v>
      </c>
      <c r="D2744" s="47" t="s">
        <v>163</v>
      </c>
      <c r="E2744" s="47" t="s">
        <v>441</v>
      </c>
      <c r="F2744" s="47">
        <v>276.0</v>
      </c>
      <c r="G2744" s="47">
        <v>2.62</v>
      </c>
      <c r="H2744" s="47">
        <v>105.3</v>
      </c>
      <c r="I2744" s="47" t="s">
        <v>75</v>
      </c>
    </row>
    <row r="2745" ht="15.75" customHeight="1">
      <c r="A2745" s="47" t="s">
        <v>5714</v>
      </c>
      <c r="B2745" s="47" t="s">
        <v>5715</v>
      </c>
      <c r="C2745" s="47" t="s">
        <v>7758</v>
      </c>
      <c r="D2745" s="47" t="s">
        <v>116</v>
      </c>
      <c r="E2745" s="47" t="s">
        <v>285</v>
      </c>
      <c r="F2745" s="47">
        <v>10323.0</v>
      </c>
      <c r="G2745" s="47">
        <v>5.49</v>
      </c>
      <c r="H2745" s="47">
        <v>1880.3</v>
      </c>
      <c r="I2745" s="47" t="s">
        <v>571</v>
      </c>
    </row>
    <row r="2746" ht="15.75" customHeight="1">
      <c r="A2746" s="47" t="s">
        <v>5716</v>
      </c>
      <c r="B2746" s="47" t="s">
        <v>5717</v>
      </c>
      <c r="C2746" s="47" t="s">
        <v>7758</v>
      </c>
      <c r="D2746" s="47" t="s">
        <v>219</v>
      </c>
      <c r="E2746" s="47" t="s">
        <v>377</v>
      </c>
      <c r="F2746" s="47">
        <v>1213.0</v>
      </c>
      <c r="G2746" s="47">
        <v>11.36</v>
      </c>
      <c r="H2746" s="47">
        <v>106.8</v>
      </c>
      <c r="I2746" s="47" t="s">
        <v>62</v>
      </c>
    </row>
    <row r="2747" ht="15.75" customHeight="1">
      <c r="A2747" s="47" t="s">
        <v>5718</v>
      </c>
      <c r="B2747" s="47" t="s">
        <v>5719</v>
      </c>
      <c r="C2747" s="47" t="s">
        <v>7758</v>
      </c>
      <c r="D2747" s="47" t="s">
        <v>219</v>
      </c>
      <c r="E2747" s="47" t="s">
        <v>377</v>
      </c>
      <c r="F2747" s="47">
        <v>418.0</v>
      </c>
      <c r="G2747" s="47">
        <v>4.9</v>
      </c>
      <c r="H2747" s="47">
        <v>85.3</v>
      </c>
      <c r="I2747" s="47" t="s">
        <v>75</v>
      </c>
    </row>
    <row r="2748" ht="15.75" customHeight="1">
      <c r="A2748" s="47" t="s">
        <v>5720</v>
      </c>
      <c r="B2748" s="47" t="s">
        <v>5721</v>
      </c>
      <c r="C2748" s="47" t="s">
        <v>7758</v>
      </c>
      <c r="D2748" s="47" t="s">
        <v>169</v>
      </c>
      <c r="E2748" s="47" t="s">
        <v>449</v>
      </c>
      <c r="F2748" s="47">
        <v>341.0</v>
      </c>
      <c r="G2748" s="47">
        <v>11.14</v>
      </c>
      <c r="H2748" s="47">
        <v>30.6</v>
      </c>
      <c r="I2748" s="47" t="s">
        <v>75</v>
      </c>
    </row>
    <row r="2749" ht="15.75" customHeight="1">
      <c r="A2749" s="47" t="s">
        <v>5722</v>
      </c>
      <c r="B2749" s="47" t="s">
        <v>5723</v>
      </c>
      <c r="C2749" s="47" t="s">
        <v>7758</v>
      </c>
      <c r="D2749" s="47" t="s">
        <v>206</v>
      </c>
      <c r="E2749" s="47" t="s">
        <v>533</v>
      </c>
      <c r="F2749" s="47">
        <v>227.0</v>
      </c>
      <c r="G2749" s="47">
        <v>3.93</v>
      </c>
      <c r="H2749" s="47">
        <v>57.8</v>
      </c>
      <c r="I2749" s="47" t="s">
        <v>75</v>
      </c>
    </row>
    <row r="2750" ht="15.75" customHeight="1">
      <c r="A2750" s="47" t="s">
        <v>5724</v>
      </c>
      <c r="B2750" s="47" t="s">
        <v>5725</v>
      </c>
      <c r="C2750" s="47" t="s">
        <v>7758</v>
      </c>
      <c r="D2750" s="47" t="s">
        <v>118</v>
      </c>
      <c r="E2750" s="47" t="s">
        <v>300</v>
      </c>
      <c r="F2750" s="47">
        <v>719.0</v>
      </c>
      <c r="G2750" s="47">
        <v>5.32</v>
      </c>
      <c r="H2750" s="47">
        <v>135.2</v>
      </c>
      <c r="I2750" s="47" t="s">
        <v>62</v>
      </c>
    </row>
    <row r="2751" ht="15.75" customHeight="1">
      <c r="A2751" s="47" t="s">
        <v>5726</v>
      </c>
      <c r="B2751" s="47" t="s">
        <v>5727</v>
      </c>
      <c r="C2751" s="47" t="s">
        <v>7758</v>
      </c>
      <c r="D2751" s="47" t="s">
        <v>132</v>
      </c>
      <c r="E2751" s="47" t="s">
        <v>346</v>
      </c>
      <c r="F2751" s="47">
        <v>13138.0</v>
      </c>
      <c r="G2751" s="47">
        <v>7.04</v>
      </c>
      <c r="H2751" s="47">
        <v>1866.2</v>
      </c>
      <c r="I2751" s="47" t="s">
        <v>571</v>
      </c>
    </row>
    <row r="2752" ht="15.75" customHeight="1">
      <c r="A2752" s="47" t="s">
        <v>5728</v>
      </c>
      <c r="B2752" s="47" t="s">
        <v>5729</v>
      </c>
      <c r="C2752" s="47" t="s">
        <v>7758</v>
      </c>
      <c r="D2752" s="47" t="s">
        <v>191</v>
      </c>
      <c r="E2752" s="47" t="s">
        <v>504</v>
      </c>
      <c r="F2752" s="47">
        <v>493.0</v>
      </c>
      <c r="G2752" s="47">
        <v>5.37</v>
      </c>
      <c r="H2752" s="47">
        <v>91.8</v>
      </c>
      <c r="I2752" s="47" t="s">
        <v>75</v>
      </c>
    </row>
    <row r="2753" ht="15.75" customHeight="1">
      <c r="A2753" s="47" t="s">
        <v>5730</v>
      </c>
      <c r="B2753" s="47" t="s">
        <v>5731</v>
      </c>
      <c r="C2753" s="47" t="s">
        <v>7758</v>
      </c>
      <c r="D2753" s="47" t="s">
        <v>161</v>
      </c>
      <c r="E2753" s="47" t="s">
        <v>438</v>
      </c>
      <c r="F2753" s="47">
        <v>5780.0</v>
      </c>
      <c r="G2753" s="47">
        <v>34.32</v>
      </c>
      <c r="H2753" s="47">
        <v>168.4</v>
      </c>
      <c r="I2753" s="47" t="s">
        <v>142</v>
      </c>
    </row>
    <row r="2754" ht="15.75" customHeight="1">
      <c r="A2754" s="47" t="s">
        <v>5732</v>
      </c>
      <c r="B2754" s="47" t="s">
        <v>5733</v>
      </c>
      <c r="C2754" s="47" t="s">
        <v>7758</v>
      </c>
      <c r="D2754" s="47" t="s">
        <v>219</v>
      </c>
      <c r="E2754" s="47" t="s">
        <v>377</v>
      </c>
      <c r="F2754" s="47">
        <v>566.0</v>
      </c>
      <c r="G2754" s="47">
        <v>2.75</v>
      </c>
      <c r="H2754" s="47">
        <v>205.8</v>
      </c>
      <c r="I2754" s="47" t="s">
        <v>62</v>
      </c>
    </row>
    <row r="2755" ht="15.75" customHeight="1">
      <c r="A2755" s="47" t="s">
        <v>5734</v>
      </c>
      <c r="B2755" s="47" t="s">
        <v>5735</v>
      </c>
      <c r="C2755" s="47" t="s">
        <v>7758</v>
      </c>
      <c r="D2755" s="47" t="s">
        <v>167</v>
      </c>
      <c r="E2755" s="47" t="s">
        <v>447</v>
      </c>
      <c r="F2755" s="47">
        <v>740.0</v>
      </c>
      <c r="G2755" s="47">
        <v>9.29</v>
      </c>
      <c r="H2755" s="47">
        <v>79.7</v>
      </c>
      <c r="I2755" s="47" t="s">
        <v>62</v>
      </c>
    </row>
    <row r="2756" ht="15.75" customHeight="1">
      <c r="A2756" s="47" t="s">
        <v>5736</v>
      </c>
      <c r="B2756" s="47" t="s">
        <v>5737</v>
      </c>
      <c r="C2756" s="47" t="s">
        <v>7758</v>
      </c>
      <c r="D2756" s="47" t="s">
        <v>187</v>
      </c>
      <c r="E2756" s="47" t="s">
        <v>488</v>
      </c>
      <c r="F2756" s="47">
        <v>559.0</v>
      </c>
      <c r="G2756" s="47">
        <v>13.0</v>
      </c>
      <c r="H2756" s="47">
        <v>43.0</v>
      </c>
      <c r="I2756" s="47" t="s">
        <v>62</v>
      </c>
    </row>
    <row r="2757" ht="15.75" customHeight="1">
      <c r="A2757" s="47" t="s">
        <v>5738</v>
      </c>
      <c r="B2757" s="47" t="s">
        <v>5739</v>
      </c>
      <c r="C2757" s="47" t="s">
        <v>7758</v>
      </c>
      <c r="D2757" s="47" t="s">
        <v>169</v>
      </c>
      <c r="E2757" s="47" t="s">
        <v>449</v>
      </c>
      <c r="F2757" s="47">
        <v>768.0</v>
      </c>
      <c r="G2757" s="47">
        <v>10.86</v>
      </c>
      <c r="H2757" s="47">
        <v>70.7</v>
      </c>
      <c r="I2757" s="47" t="s">
        <v>62</v>
      </c>
    </row>
    <row r="2758" ht="15.75" customHeight="1">
      <c r="A2758" s="47" t="s">
        <v>5740</v>
      </c>
      <c r="B2758" s="47" t="s">
        <v>5741</v>
      </c>
      <c r="C2758" s="47" t="s">
        <v>7758</v>
      </c>
      <c r="D2758" s="47" t="s">
        <v>219</v>
      </c>
      <c r="E2758" s="47" t="s">
        <v>377</v>
      </c>
      <c r="F2758" s="47">
        <v>770.0</v>
      </c>
      <c r="G2758" s="47">
        <v>6.7</v>
      </c>
      <c r="H2758" s="47">
        <v>114.9</v>
      </c>
      <c r="I2758" s="47" t="s">
        <v>62</v>
      </c>
    </row>
    <row r="2759" ht="15.75" customHeight="1">
      <c r="A2759" s="47" t="s">
        <v>5742</v>
      </c>
      <c r="B2759" s="47" t="s">
        <v>5743</v>
      </c>
      <c r="C2759" s="47" t="s">
        <v>7758</v>
      </c>
      <c r="D2759" s="47" t="s">
        <v>169</v>
      </c>
      <c r="E2759" s="47" t="s">
        <v>449</v>
      </c>
      <c r="F2759" s="47">
        <v>458.0</v>
      </c>
      <c r="G2759" s="47">
        <v>9.24</v>
      </c>
      <c r="H2759" s="47">
        <v>49.6</v>
      </c>
      <c r="I2759" s="47" t="s">
        <v>75</v>
      </c>
    </row>
    <row r="2760" ht="15.75" customHeight="1">
      <c r="A2760" s="47" t="s">
        <v>5744</v>
      </c>
      <c r="B2760" s="47" t="s">
        <v>5745</v>
      </c>
      <c r="C2760" s="47" t="s">
        <v>7758</v>
      </c>
      <c r="D2760" s="47" t="s">
        <v>206</v>
      </c>
      <c r="E2760" s="47" t="s">
        <v>533</v>
      </c>
      <c r="F2760" s="47">
        <v>1574.0</v>
      </c>
      <c r="G2760" s="47">
        <v>4.54</v>
      </c>
      <c r="H2760" s="47">
        <v>346.7</v>
      </c>
      <c r="I2760" s="47" t="s">
        <v>62</v>
      </c>
    </row>
    <row r="2761" ht="15.75" customHeight="1">
      <c r="A2761" s="47" t="s">
        <v>5746</v>
      </c>
      <c r="B2761" s="47" t="s">
        <v>5747</v>
      </c>
      <c r="C2761" s="47" t="s">
        <v>7758</v>
      </c>
      <c r="D2761" s="47" t="s">
        <v>132</v>
      </c>
      <c r="E2761" s="47" t="s">
        <v>346</v>
      </c>
      <c r="F2761" s="47">
        <v>422.0</v>
      </c>
      <c r="G2761" s="47">
        <v>7.81</v>
      </c>
      <c r="H2761" s="47">
        <v>54.0</v>
      </c>
      <c r="I2761" s="47" t="s">
        <v>75</v>
      </c>
    </row>
    <row r="2762" ht="15.75" customHeight="1">
      <c r="A2762" s="47" t="s">
        <v>5748</v>
      </c>
      <c r="B2762" s="47" t="s">
        <v>5749</v>
      </c>
      <c r="C2762" s="47" t="s">
        <v>7758</v>
      </c>
      <c r="D2762" s="47" t="s">
        <v>141</v>
      </c>
      <c r="E2762" s="47" t="s">
        <v>220</v>
      </c>
      <c r="F2762" s="47">
        <v>789.0</v>
      </c>
      <c r="G2762" s="47">
        <v>10.51</v>
      </c>
      <c r="H2762" s="47">
        <v>75.1</v>
      </c>
      <c r="I2762" s="47" t="s">
        <v>62</v>
      </c>
    </row>
    <row r="2763" ht="15.75" customHeight="1">
      <c r="A2763" s="47" t="s">
        <v>5750</v>
      </c>
      <c r="B2763" s="47" t="s">
        <v>5751</v>
      </c>
      <c r="C2763" s="47" t="s">
        <v>7758</v>
      </c>
      <c r="D2763" s="47" t="s">
        <v>206</v>
      </c>
      <c r="E2763" s="47" t="s">
        <v>533</v>
      </c>
      <c r="F2763" s="47">
        <v>325.0</v>
      </c>
      <c r="G2763" s="47">
        <v>6.14</v>
      </c>
      <c r="H2763" s="47">
        <v>52.9</v>
      </c>
      <c r="I2763" s="47" t="s">
        <v>75</v>
      </c>
    </row>
    <row r="2764" ht="15.75" customHeight="1">
      <c r="A2764" s="47" t="s">
        <v>5752</v>
      </c>
      <c r="B2764" s="47" t="s">
        <v>5753</v>
      </c>
      <c r="C2764" s="47" t="s">
        <v>7758</v>
      </c>
      <c r="D2764" s="47" t="s">
        <v>191</v>
      </c>
      <c r="E2764" s="47" t="s">
        <v>504</v>
      </c>
      <c r="F2764" s="47">
        <v>919.0</v>
      </c>
      <c r="G2764" s="47">
        <v>7.16</v>
      </c>
      <c r="H2764" s="47">
        <v>128.4</v>
      </c>
      <c r="I2764" s="47" t="s">
        <v>62</v>
      </c>
    </row>
    <row r="2765" ht="15.75" customHeight="1">
      <c r="A2765" s="47" t="s">
        <v>5754</v>
      </c>
      <c r="B2765" s="47" t="s">
        <v>5755</v>
      </c>
      <c r="C2765" s="47" t="s">
        <v>7758</v>
      </c>
      <c r="D2765" s="47" t="s">
        <v>141</v>
      </c>
      <c r="E2765" s="47" t="s">
        <v>220</v>
      </c>
      <c r="F2765" s="47">
        <v>545.0</v>
      </c>
      <c r="G2765" s="47">
        <v>9.31</v>
      </c>
      <c r="H2765" s="47">
        <v>58.5</v>
      </c>
      <c r="I2765" s="47" t="s">
        <v>62</v>
      </c>
    </row>
    <row r="2766" ht="15.75" customHeight="1">
      <c r="A2766" s="47" t="s">
        <v>5756</v>
      </c>
      <c r="B2766" s="47" t="s">
        <v>5757</v>
      </c>
      <c r="C2766" s="47" t="s">
        <v>7758</v>
      </c>
      <c r="D2766" s="47" t="s">
        <v>132</v>
      </c>
      <c r="E2766" s="47" t="s">
        <v>346</v>
      </c>
      <c r="F2766" s="47">
        <v>114.0</v>
      </c>
      <c r="G2766" s="47">
        <v>2.42</v>
      </c>
      <c r="H2766" s="47">
        <v>47.1</v>
      </c>
      <c r="I2766" s="47" t="s">
        <v>75</v>
      </c>
    </row>
    <row r="2767" ht="15.75" customHeight="1">
      <c r="A2767" s="47" t="s">
        <v>5758</v>
      </c>
      <c r="B2767" s="47" t="s">
        <v>5759</v>
      </c>
      <c r="C2767" s="47" t="s">
        <v>7758</v>
      </c>
      <c r="D2767" s="47" t="s">
        <v>187</v>
      </c>
      <c r="E2767" s="47" t="s">
        <v>488</v>
      </c>
      <c r="F2767" s="47">
        <v>104.0</v>
      </c>
      <c r="G2767" s="47">
        <v>6.19</v>
      </c>
      <c r="H2767" s="47">
        <v>16.8</v>
      </c>
      <c r="I2767" s="47" t="s">
        <v>75</v>
      </c>
    </row>
    <row r="2768" ht="15.75" customHeight="1">
      <c r="A2768" s="47" t="s">
        <v>5760</v>
      </c>
      <c r="B2768" s="47" t="s">
        <v>5761</v>
      </c>
      <c r="C2768" s="47" t="s">
        <v>7758</v>
      </c>
      <c r="D2768" s="47" t="s">
        <v>219</v>
      </c>
      <c r="E2768" s="47" t="s">
        <v>377</v>
      </c>
      <c r="F2768" s="47">
        <v>452.0</v>
      </c>
      <c r="G2768" s="47">
        <v>2.4</v>
      </c>
      <c r="H2768" s="47">
        <v>188.3</v>
      </c>
      <c r="I2768" s="47" t="s">
        <v>75</v>
      </c>
    </row>
    <row r="2769" ht="15.75" customHeight="1">
      <c r="A2769" s="47" t="s">
        <v>5762</v>
      </c>
      <c r="B2769" s="47" t="s">
        <v>5763</v>
      </c>
      <c r="C2769" s="47" t="s">
        <v>7758</v>
      </c>
      <c r="D2769" s="47" t="s">
        <v>167</v>
      </c>
      <c r="E2769" s="47" t="s">
        <v>447</v>
      </c>
      <c r="F2769" s="47">
        <v>511.0</v>
      </c>
      <c r="G2769" s="47">
        <v>6.16</v>
      </c>
      <c r="H2769" s="47">
        <v>83.0</v>
      </c>
      <c r="I2769" s="47" t="s">
        <v>62</v>
      </c>
    </row>
    <row r="2770" ht="15.75" customHeight="1">
      <c r="A2770" s="47" t="s">
        <v>5764</v>
      </c>
      <c r="B2770" s="47" t="s">
        <v>5765</v>
      </c>
      <c r="C2770" s="47" t="s">
        <v>7758</v>
      </c>
      <c r="D2770" s="47" t="s">
        <v>161</v>
      </c>
      <c r="E2770" s="47" t="s">
        <v>438</v>
      </c>
      <c r="F2770" s="47">
        <v>867.0</v>
      </c>
      <c r="G2770" s="47">
        <v>4.8</v>
      </c>
      <c r="H2770" s="47">
        <v>180.6</v>
      </c>
      <c r="I2770" s="47" t="s">
        <v>62</v>
      </c>
    </row>
    <row r="2771" ht="15.75" customHeight="1">
      <c r="A2771" s="47" t="s">
        <v>5766</v>
      </c>
      <c r="B2771" s="47" t="s">
        <v>5767</v>
      </c>
      <c r="C2771" s="47" t="s">
        <v>7758</v>
      </c>
      <c r="D2771" s="47" t="s">
        <v>169</v>
      </c>
      <c r="E2771" s="47" t="s">
        <v>449</v>
      </c>
      <c r="F2771" s="47">
        <v>307.0</v>
      </c>
      <c r="G2771" s="47">
        <v>4.44</v>
      </c>
      <c r="H2771" s="47">
        <v>69.1</v>
      </c>
      <c r="I2771" s="47" t="s">
        <v>75</v>
      </c>
    </row>
    <row r="2772" ht="15.75" customHeight="1">
      <c r="A2772" s="47" t="s">
        <v>5768</v>
      </c>
      <c r="B2772" s="47" t="s">
        <v>5769</v>
      </c>
      <c r="C2772" s="47" t="s">
        <v>7758</v>
      </c>
      <c r="D2772" s="47" t="s">
        <v>169</v>
      </c>
      <c r="E2772" s="47" t="s">
        <v>449</v>
      </c>
      <c r="F2772" s="47">
        <v>244.0</v>
      </c>
      <c r="G2772" s="47">
        <v>5.81</v>
      </c>
      <c r="H2772" s="47">
        <v>42.0</v>
      </c>
      <c r="I2772" s="47" t="s">
        <v>75</v>
      </c>
    </row>
    <row r="2773" ht="15.75" customHeight="1">
      <c r="A2773" s="47" t="s">
        <v>5770</v>
      </c>
      <c r="B2773" s="47" t="s">
        <v>5771</v>
      </c>
      <c r="C2773" s="47" t="s">
        <v>7758</v>
      </c>
      <c r="D2773" s="47" t="s">
        <v>206</v>
      </c>
      <c r="E2773" s="47" t="s">
        <v>533</v>
      </c>
      <c r="F2773" s="47">
        <v>216.0</v>
      </c>
      <c r="G2773" s="47">
        <v>4.65</v>
      </c>
      <c r="H2773" s="47">
        <v>46.5</v>
      </c>
      <c r="I2773" s="47" t="s">
        <v>75</v>
      </c>
    </row>
    <row r="2774" ht="15.75" customHeight="1">
      <c r="A2774" s="47" t="s">
        <v>5772</v>
      </c>
      <c r="B2774" s="47" t="s">
        <v>5773</v>
      </c>
      <c r="C2774" s="47" t="s">
        <v>7758</v>
      </c>
      <c r="D2774" s="47" t="s">
        <v>127</v>
      </c>
      <c r="E2774" s="47" t="s">
        <v>323</v>
      </c>
      <c r="F2774" s="47">
        <v>3062.0</v>
      </c>
      <c r="G2774" s="47">
        <v>2.01</v>
      </c>
      <c r="H2774" s="47">
        <v>1523.4</v>
      </c>
      <c r="I2774" s="47" t="s">
        <v>142</v>
      </c>
    </row>
    <row r="2775" ht="15.75" customHeight="1">
      <c r="A2775" s="47" t="s">
        <v>5774</v>
      </c>
      <c r="B2775" s="47" t="s">
        <v>5775</v>
      </c>
      <c r="C2775" s="47" t="s">
        <v>7758</v>
      </c>
      <c r="D2775" s="47" t="s">
        <v>132</v>
      </c>
      <c r="E2775" s="47" t="s">
        <v>346</v>
      </c>
      <c r="F2775" s="47">
        <v>8768.0</v>
      </c>
      <c r="G2775" s="47">
        <v>3.88</v>
      </c>
      <c r="H2775" s="47">
        <v>2259.8</v>
      </c>
      <c r="I2775" s="47" t="s">
        <v>142</v>
      </c>
    </row>
    <row r="2776" ht="15.75" customHeight="1">
      <c r="A2776" s="47" t="s">
        <v>5776</v>
      </c>
      <c r="B2776" s="47" t="s">
        <v>5777</v>
      </c>
      <c r="C2776" s="47" t="s">
        <v>7758</v>
      </c>
      <c r="D2776" s="47" t="s">
        <v>206</v>
      </c>
      <c r="E2776" s="47" t="s">
        <v>533</v>
      </c>
      <c r="F2776" s="47">
        <v>227.0</v>
      </c>
      <c r="G2776" s="47">
        <v>3.88</v>
      </c>
      <c r="H2776" s="47">
        <v>58.5</v>
      </c>
      <c r="I2776" s="47" t="s">
        <v>75</v>
      </c>
    </row>
    <row r="2777" ht="15.75" customHeight="1">
      <c r="A2777" s="47" t="s">
        <v>5778</v>
      </c>
      <c r="B2777" s="47" t="s">
        <v>5779</v>
      </c>
      <c r="C2777" s="47" t="s">
        <v>7758</v>
      </c>
      <c r="D2777" s="47" t="s">
        <v>206</v>
      </c>
      <c r="E2777" s="47" t="s">
        <v>533</v>
      </c>
      <c r="F2777" s="47">
        <v>298.0</v>
      </c>
      <c r="G2777" s="47">
        <v>4.38</v>
      </c>
      <c r="H2777" s="47">
        <v>68.0</v>
      </c>
      <c r="I2777" s="47" t="s">
        <v>75</v>
      </c>
    </row>
    <row r="2778" ht="15.75" customHeight="1">
      <c r="A2778" s="47" t="s">
        <v>5780</v>
      </c>
      <c r="B2778" s="47" t="s">
        <v>5781</v>
      </c>
      <c r="C2778" s="47" t="s">
        <v>7758</v>
      </c>
      <c r="D2778" s="47" t="s">
        <v>187</v>
      </c>
      <c r="E2778" s="47" t="s">
        <v>488</v>
      </c>
      <c r="F2778" s="47">
        <v>642.0</v>
      </c>
      <c r="G2778" s="47">
        <v>15.92</v>
      </c>
      <c r="H2778" s="47">
        <v>40.3</v>
      </c>
      <c r="I2778" s="47" t="s">
        <v>62</v>
      </c>
    </row>
    <row r="2779" ht="15.75" customHeight="1">
      <c r="A2779" s="47" t="s">
        <v>5782</v>
      </c>
      <c r="B2779" s="47" t="s">
        <v>5783</v>
      </c>
      <c r="C2779" s="47" t="s">
        <v>7758</v>
      </c>
      <c r="D2779" s="47" t="s">
        <v>219</v>
      </c>
      <c r="E2779" s="47" t="s">
        <v>377</v>
      </c>
      <c r="F2779" s="47">
        <v>307.0</v>
      </c>
      <c r="G2779" s="47">
        <v>6.16</v>
      </c>
      <c r="H2779" s="47">
        <v>49.8</v>
      </c>
      <c r="I2779" s="47" t="s">
        <v>75</v>
      </c>
    </row>
    <row r="2780" ht="15.75" customHeight="1">
      <c r="A2780" s="47" t="s">
        <v>5784</v>
      </c>
      <c r="B2780" s="47" t="s">
        <v>5785</v>
      </c>
      <c r="C2780" s="47" t="s">
        <v>7758</v>
      </c>
      <c r="D2780" s="47" t="s">
        <v>204</v>
      </c>
      <c r="E2780" s="47" t="s">
        <v>527</v>
      </c>
      <c r="F2780" s="47">
        <v>675.0</v>
      </c>
      <c r="G2780" s="47">
        <v>11.65</v>
      </c>
      <c r="H2780" s="47">
        <v>57.9</v>
      </c>
      <c r="I2780" s="47" t="s">
        <v>62</v>
      </c>
    </row>
    <row r="2781" ht="15.75" customHeight="1">
      <c r="A2781" s="47" t="s">
        <v>5786</v>
      </c>
      <c r="B2781" s="47" t="s">
        <v>5787</v>
      </c>
      <c r="C2781" s="47" t="s">
        <v>7758</v>
      </c>
      <c r="D2781" s="47" t="s">
        <v>219</v>
      </c>
      <c r="E2781" s="47" t="s">
        <v>377</v>
      </c>
      <c r="F2781" s="47">
        <v>631.0</v>
      </c>
      <c r="G2781" s="47">
        <v>9.03</v>
      </c>
      <c r="H2781" s="47">
        <v>69.9</v>
      </c>
      <c r="I2781" s="47" t="s">
        <v>62</v>
      </c>
    </row>
    <row r="2782" ht="15.75" customHeight="1">
      <c r="A2782" s="47" t="s">
        <v>5788</v>
      </c>
      <c r="B2782" s="47" t="s">
        <v>5789</v>
      </c>
      <c r="C2782" s="47" t="s">
        <v>7758</v>
      </c>
      <c r="D2782" s="47" t="s">
        <v>191</v>
      </c>
      <c r="E2782" s="47" t="s">
        <v>504</v>
      </c>
      <c r="F2782" s="47">
        <v>529.0</v>
      </c>
      <c r="G2782" s="47">
        <v>9.89</v>
      </c>
      <c r="H2782" s="47">
        <v>53.5</v>
      </c>
      <c r="I2782" s="47" t="s">
        <v>62</v>
      </c>
    </row>
    <row r="2783" ht="15.75" customHeight="1">
      <c r="A2783" s="47" t="s">
        <v>5790</v>
      </c>
      <c r="B2783" s="47" t="s">
        <v>5791</v>
      </c>
      <c r="C2783" s="47" t="s">
        <v>7758</v>
      </c>
      <c r="D2783" s="47" t="s">
        <v>191</v>
      </c>
      <c r="E2783" s="47" t="s">
        <v>504</v>
      </c>
      <c r="F2783" s="47">
        <v>292.0</v>
      </c>
      <c r="G2783" s="47">
        <v>1.99</v>
      </c>
      <c r="H2783" s="47">
        <v>146.7</v>
      </c>
      <c r="I2783" s="47" t="s">
        <v>75</v>
      </c>
    </row>
    <row r="2784" ht="15.75" customHeight="1">
      <c r="A2784" s="47" t="s">
        <v>5792</v>
      </c>
      <c r="B2784" s="47" t="s">
        <v>5793</v>
      </c>
      <c r="C2784" s="47" t="s">
        <v>7758</v>
      </c>
      <c r="D2784" s="47" t="s">
        <v>118</v>
      </c>
      <c r="E2784" s="47" t="s">
        <v>300</v>
      </c>
      <c r="F2784" s="47">
        <v>420.0</v>
      </c>
      <c r="G2784" s="47">
        <v>2.76</v>
      </c>
      <c r="H2784" s="47">
        <v>152.2</v>
      </c>
      <c r="I2784" s="47" t="s">
        <v>75</v>
      </c>
    </row>
    <row r="2785" ht="15.75" customHeight="1">
      <c r="A2785" s="47" t="s">
        <v>5794</v>
      </c>
      <c r="B2785" s="47" t="s">
        <v>5795</v>
      </c>
      <c r="C2785" s="47" t="s">
        <v>7758</v>
      </c>
      <c r="D2785" s="47" t="s">
        <v>167</v>
      </c>
      <c r="E2785" s="47" t="s">
        <v>447</v>
      </c>
      <c r="F2785" s="47">
        <v>320.0</v>
      </c>
      <c r="G2785" s="47">
        <v>8.0</v>
      </c>
      <c r="H2785" s="47">
        <v>40.0</v>
      </c>
      <c r="I2785" s="47" t="s">
        <v>75</v>
      </c>
    </row>
    <row r="2786" ht="15.75" customHeight="1">
      <c r="A2786" s="47" t="s">
        <v>5796</v>
      </c>
      <c r="B2786" s="47" t="s">
        <v>5797</v>
      </c>
      <c r="C2786" s="47" t="s">
        <v>7758</v>
      </c>
      <c r="D2786" s="47" t="s">
        <v>150</v>
      </c>
      <c r="E2786" s="47" t="s">
        <v>411</v>
      </c>
      <c r="F2786" s="47">
        <v>720.0</v>
      </c>
      <c r="G2786" s="47">
        <v>13.97</v>
      </c>
      <c r="H2786" s="47">
        <v>51.5</v>
      </c>
      <c r="I2786" s="47" t="s">
        <v>62</v>
      </c>
    </row>
    <row r="2787" ht="15.75" customHeight="1">
      <c r="A2787" s="47" t="s">
        <v>5798</v>
      </c>
      <c r="B2787" s="47" t="s">
        <v>5799</v>
      </c>
      <c r="C2787" s="47" t="s">
        <v>7758</v>
      </c>
      <c r="D2787" s="47" t="s">
        <v>150</v>
      </c>
      <c r="E2787" s="47" t="s">
        <v>411</v>
      </c>
      <c r="F2787" s="47">
        <v>333.0</v>
      </c>
      <c r="G2787" s="47">
        <v>5.88</v>
      </c>
      <c r="H2787" s="47">
        <v>56.6</v>
      </c>
      <c r="I2787" s="47" t="s">
        <v>75</v>
      </c>
    </row>
    <row r="2788" ht="15.75" customHeight="1">
      <c r="A2788" s="47" t="s">
        <v>5800</v>
      </c>
      <c r="B2788" s="47" t="s">
        <v>5801</v>
      </c>
      <c r="C2788" s="47" t="s">
        <v>7758</v>
      </c>
      <c r="D2788" s="47" t="s">
        <v>219</v>
      </c>
      <c r="E2788" s="47" t="s">
        <v>377</v>
      </c>
      <c r="F2788" s="47">
        <v>702.0</v>
      </c>
      <c r="G2788" s="47">
        <v>8.94</v>
      </c>
      <c r="H2788" s="47">
        <v>78.5</v>
      </c>
      <c r="I2788" s="47" t="s">
        <v>62</v>
      </c>
    </row>
    <row r="2789" ht="15.75" customHeight="1">
      <c r="A2789" s="47" t="s">
        <v>5802</v>
      </c>
      <c r="B2789" s="47" t="s">
        <v>5803</v>
      </c>
      <c r="C2789" s="47" t="s">
        <v>7758</v>
      </c>
      <c r="D2789" s="47" t="s">
        <v>139</v>
      </c>
      <c r="E2789" s="47" t="s">
        <v>354</v>
      </c>
      <c r="F2789" s="47">
        <v>663.0</v>
      </c>
      <c r="G2789" s="47">
        <v>2.84</v>
      </c>
      <c r="H2789" s="47">
        <v>233.5</v>
      </c>
      <c r="I2789" s="47" t="s">
        <v>62</v>
      </c>
    </row>
    <row r="2790" ht="15.75" customHeight="1">
      <c r="A2790" s="47" t="s">
        <v>5804</v>
      </c>
      <c r="B2790" s="47" t="s">
        <v>5805</v>
      </c>
      <c r="C2790" s="47" t="s">
        <v>7758</v>
      </c>
      <c r="D2790" s="47" t="s">
        <v>187</v>
      </c>
      <c r="E2790" s="47" t="s">
        <v>488</v>
      </c>
      <c r="F2790" s="47">
        <v>64.0</v>
      </c>
      <c r="G2790" s="47">
        <v>4.05</v>
      </c>
      <c r="H2790" s="47">
        <v>15.8</v>
      </c>
      <c r="I2790" s="47" t="s">
        <v>75</v>
      </c>
    </row>
    <row r="2791" ht="15.75" customHeight="1">
      <c r="A2791" s="47" t="s">
        <v>5806</v>
      </c>
      <c r="B2791" s="47" t="s">
        <v>5807</v>
      </c>
      <c r="C2791" s="47" t="s">
        <v>7758</v>
      </c>
      <c r="D2791" s="47" t="s">
        <v>206</v>
      </c>
      <c r="E2791" s="47" t="s">
        <v>533</v>
      </c>
      <c r="F2791" s="47">
        <v>210.0</v>
      </c>
      <c r="G2791" s="47">
        <v>12.06</v>
      </c>
      <c r="H2791" s="47">
        <v>17.4</v>
      </c>
      <c r="I2791" s="47" t="s">
        <v>75</v>
      </c>
    </row>
    <row r="2792" ht="15.75" customHeight="1">
      <c r="A2792" s="47" t="s">
        <v>5808</v>
      </c>
      <c r="B2792" s="47" t="s">
        <v>5809</v>
      </c>
      <c r="C2792" s="47" t="s">
        <v>7758</v>
      </c>
      <c r="D2792" s="47" t="s">
        <v>139</v>
      </c>
      <c r="E2792" s="47" t="s">
        <v>354</v>
      </c>
      <c r="F2792" s="47">
        <v>2257.0</v>
      </c>
      <c r="G2792" s="47">
        <v>5.36</v>
      </c>
      <c r="H2792" s="47">
        <v>421.1</v>
      </c>
      <c r="I2792" s="47" t="s">
        <v>142</v>
      </c>
    </row>
    <row r="2793" ht="15.75" customHeight="1">
      <c r="A2793" s="47" t="s">
        <v>5810</v>
      </c>
      <c r="B2793" s="47" t="s">
        <v>5811</v>
      </c>
      <c r="C2793" s="47" t="s">
        <v>7758</v>
      </c>
      <c r="D2793" s="47" t="s">
        <v>187</v>
      </c>
      <c r="E2793" s="47" t="s">
        <v>488</v>
      </c>
      <c r="F2793" s="47">
        <v>263.0</v>
      </c>
      <c r="G2793" s="47">
        <v>4.89</v>
      </c>
      <c r="H2793" s="47">
        <v>53.8</v>
      </c>
      <c r="I2793" s="47" t="s">
        <v>75</v>
      </c>
    </row>
    <row r="2794" ht="15.75" customHeight="1">
      <c r="A2794" s="47" t="s">
        <v>5812</v>
      </c>
      <c r="B2794" s="47" t="s">
        <v>5813</v>
      </c>
      <c r="C2794" s="47" t="s">
        <v>7758</v>
      </c>
      <c r="D2794" s="47" t="s">
        <v>206</v>
      </c>
      <c r="E2794" s="47" t="s">
        <v>533</v>
      </c>
      <c r="F2794" s="47">
        <v>349.0</v>
      </c>
      <c r="G2794" s="47">
        <v>8.05</v>
      </c>
      <c r="H2794" s="47">
        <v>43.4</v>
      </c>
      <c r="I2794" s="47" t="s">
        <v>75</v>
      </c>
    </row>
    <row r="2795" ht="15.75" customHeight="1">
      <c r="A2795" s="47" t="s">
        <v>5814</v>
      </c>
      <c r="B2795" s="47" t="s">
        <v>5815</v>
      </c>
      <c r="C2795" s="47" t="s">
        <v>7758</v>
      </c>
      <c r="D2795" s="47" t="s">
        <v>128</v>
      </c>
      <c r="E2795" s="47" t="s">
        <v>338</v>
      </c>
      <c r="F2795" s="47">
        <v>4297.0</v>
      </c>
      <c r="G2795" s="47">
        <v>10.72</v>
      </c>
      <c r="H2795" s="47">
        <v>400.8</v>
      </c>
      <c r="I2795" s="47" t="s">
        <v>142</v>
      </c>
    </row>
    <row r="2796" ht="15.75" customHeight="1">
      <c r="A2796" s="47" t="s">
        <v>5816</v>
      </c>
      <c r="B2796" s="47" t="s">
        <v>5817</v>
      </c>
      <c r="C2796" s="47" t="s">
        <v>7758</v>
      </c>
      <c r="D2796" s="47" t="s">
        <v>234</v>
      </c>
      <c r="E2796" s="47" t="s">
        <v>552</v>
      </c>
      <c r="F2796" s="47">
        <v>407.0</v>
      </c>
      <c r="G2796" s="47">
        <v>7.46</v>
      </c>
      <c r="H2796" s="47">
        <v>54.6</v>
      </c>
      <c r="I2796" s="47" t="s">
        <v>75</v>
      </c>
    </row>
    <row r="2797" ht="15.75" customHeight="1">
      <c r="A2797" s="47" t="s">
        <v>5818</v>
      </c>
      <c r="B2797" s="47" t="s">
        <v>5819</v>
      </c>
      <c r="C2797" s="47" t="s">
        <v>7758</v>
      </c>
      <c r="D2797" s="47" t="s">
        <v>167</v>
      </c>
      <c r="E2797" s="47" t="s">
        <v>447</v>
      </c>
      <c r="F2797" s="47">
        <v>227.0</v>
      </c>
      <c r="G2797" s="47">
        <v>5.92</v>
      </c>
      <c r="H2797" s="47">
        <v>38.3</v>
      </c>
      <c r="I2797" s="47" t="s">
        <v>75</v>
      </c>
    </row>
    <row r="2798" ht="15.75" customHeight="1">
      <c r="A2798" s="47" t="s">
        <v>5820</v>
      </c>
      <c r="B2798" s="47" t="s">
        <v>5821</v>
      </c>
      <c r="C2798" s="47" t="s">
        <v>7758</v>
      </c>
      <c r="D2798" s="47" t="s">
        <v>139</v>
      </c>
      <c r="E2798" s="47" t="s">
        <v>354</v>
      </c>
      <c r="F2798" s="47">
        <v>880.0</v>
      </c>
      <c r="G2798" s="47">
        <v>11.96</v>
      </c>
      <c r="H2798" s="47">
        <v>73.6</v>
      </c>
      <c r="I2798" s="47" t="s">
        <v>62</v>
      </c>
    </row>
    <row r="2799" ht="15.75" customHeight="1">
      <c r="A2799" s="47" t="s">
        <v>5822</v>
      </c>
      <c r="B2799" s="47" t="s">
        <v>5823</v>
      </c>
      <c r="C2799" s="47" t="s">
        <v>7758</v>
      </c>
      <c r="D2799" s="47" t="s">
        <v>191</v>
      </c>
      <c r="E2799" s="47" t="s">
        <v>504</v>
      </c>
      <c r="F2799" s="47">
        <v>403.0</v>
      </c>
      <c r="G2799" s="47">
        <v>4.8</v>
      </c>
      <c r="H2799" s="47">
        <v>84.0</v>
      </c>
      <c r="I2799" s="47" t="s">
        <v>75</v>
      </c>
    </row>
    <row r="2800" ht="15.75" customHeight="1">
      <c r="A2800" s="47" t="s">
        <v>5824</v>
      </c>
      <c r="B2800" s="47" t="s">
        <v>5825</v>
      </c>
      <c r="C2800" s="47" t="s">
        <v>7758</v>
      </c>
      <c r="D2800" s="47" t="s">
        <v>118</v>
      </c>
      <c r="E2800" s="47" t="s">
        <v>300</v>
      </c>
      <c r="F2800" s="47">
        <v>1071.0</v>
      </c>
      <c r="G2800" s="47">
        <v>10.77</v>
      </c>
      <c r="H2800" s="47">
        <v>99.4</v>
      </c>
      <c r="I2800" s="47" t="s">
        <v>62</v>
      </c>
    </row>
    <row r="2801" ht="15.75" customHeight="1">
      <c r="A2801" s="47" t="s">
        <v>5826</v>
      </c>
      <c r="B2801" s="47" t="s">
        <v>5827</v>
      </c>
      <c r="C2801" s="47" t="s">
        <v>7758</v>
      </c>
      <c r="D2801" s="47" t="s">
        <v>169</v>
      </c>
      <c r="E2801" s="47" t="s">
        <v>449</v>
      </c>
      <c r="F2801" s="47">
        <v>190.0</v>
      </c>
      <c r="G2801" s="47">
        <v>8.34</v>
      </c>
      <c r="H2801" s="47">
        <v>22.8</v>
      </c>
      <c r="I2801" s="47" t="s">
        <v>75</v>
      </c>
    </row>
    <row r="2802" ht="15.75" customHeight="1">
      <c r="A2802" s="47" t="s">
        <v>5828</v>
      </c>
      <c r="B2802" s="47" t="s">
        <v>5829</v>
      </c>
      <c r="C2802" s="47" t="s">
        <v>7758</v>
      </c>
      <c r="D2802" s="47" t="s">
        <v>169</v>
      </c>
      <c r="E2802" s="47" t="s">
        <v>449</v>
      </c>
      <c r="F2802" s="47">
        <v>253.0</v>
      </c>
      <c r="G2802" s="47">
        <v>8.55</v>
      </c>
      <c r="H2802" s="47">
        <v>29.6</v>
      </c>
      <c r="I2802" s="47" t="s">
        <v>75</v>
      </c>
    </row>
    <row r="2803" ht="15.75" customHeight="1">
      <c r="A2803" s="47" t="s">
        <v>5830</v>
      </c>
      <c r="B2803" s="47" t="s">
        <v>5831</v>
      </c>
      <c r="C2803" s="47" t="s">
        <v>7758</v>
      </c>
      <c r="D2803" s="47" t="s">
        <v>139</v>
      </c>
      <c r="E2803" s="47" t="s">
        <v>354</v>
      </c>
      <c r="F2803" s="47">
        <v>238.0</v>
      </c>
      <c r="G2803" s="47">
        <v>6.07</v>
      </c>
      <c r="H2803" s="47">
        <v>39.2</v>
      </c>
      <c r="I2803" s="47" t="s">
        <v>75</v>
      </c>
    </row>
    <row r="2804" ht="15.75" customHeight="1">
      <c r="A2804" s="47" t="s">
        <v>5832</v>
      </c>
      <c r="B2804" s="47" t="s">
        <v>5833</v>
      </c>
      <c r="C2804" s="47" t="s">
        <v>7758</v>
      </c>
      <c r="D2804" s="47" t="s">
        <v>219</v>
      </c>
      <c r="E2804" s="47" t="s">
        <v>377</v>
      </c>
      <c r="F2804" s="47">
        <v>318.0</v>
      </c>
      <c r="G2804" s="47">
        <v>3.36</v>
      </c>
      <c r="H2804" s="47">
        <v>94.6</v>
      </c>
      <c r="I2804" s="47" t="s">
        <v>75</v>
      </c>
    </row>
    <row r="2805" ht="15.75" customHeight="1">
      <c r="A2805" s="47" t="s">
        <v>5834</v>
      </c>
      <c r="B2805" s="47" t="s">
        <v>5835</v>
      </c>
      <c r="C2805" s="47" t="s">
        <v>7758</v>
      </c>
      <c r="D2805" s="47" t="s">
        <v>128</v>
      </c>
      <c r="E2805" s="47" t="s">
        <v>338</v>
      </c>
      <c r="F2805" s="47">
        <v>266.0</v>
      </c>
      <c r="G2805" s="47">
        <v>4.8</v>
      </c>
      <c r="H2805" s="47">
        <v>55.4</v>
      </c>
      <c r="I2805" s="47" t="s">
        <v>75</v>
      </c>
    </row>
    <row r="2806" ht="15.75" customHeight="1">
      <c r="A2806" s="47" t="s">
        <v>5836</v>
      </c>
      <c r="B2806" s="47" t="s">
        <v>5837</v>
      </c>
      <c r="C2806" s="47" t="s">
        <v>7758</v>
      </c>
      <c r="D2806" s="47" t="s">
        <v>161</v>
      </c>
      <c r="E2806" s="47" t="s">
        <v>438</v>
      </c>
      <c r="F2806" s="47">
        <v>675.0</v>
      </c>
      <c r="G2806" s="47">
        <v>5.45</v>
      </c>
      <c r="H2806" s="47">
        <v>123.9</v>
      </c>
      <c r="I2806" s="47" t="s">
        <v>62</v>
      </c>
    </row>
    <row r="2807" ht="15.75" customHeight="1">
      <c r="A2807" s="47" t="s">
        <v>5838</v>
      </c>
      <c r="B2807" s="47" t="s">
        <v>5839</v>
      </c>
      <c r="C2807" s="47" t="s">
        <v>7758</v>
      </c>
      <c r="D2807" s="47" t="s">
        <v>167</v>
      </c>
      <c r="E2807" s="47" t="s">
        <v>447</v>
      </c>
      <c r="F2807" s="47">
        <v>213.0</v>
      </c>
      <c r="G2807" s="47">
        <v>4.18</v>
      </c>
      <c r="H2807" s="47">
        <v>51.0</v>
      </c>
      <c r="I2807" s="47" t="s">
        <v>75</v>
      </c>
    </row>
    <row r="2808" ht="15.75" customHeight="1">
      <c r="A2808" s="47" t="s">
        <v>5840</v>
      </c>
      <c r="B2808" s="47" t="s">
        <v>5841</v>
      </c>
      <c r="C2808" s="47" t="s">
        <v>7758</v>
      </c>
      <c r="D2808" s="47" t="s">
        <v>118</v>
      </c>
      <c r="E2808" s="47" t="s">
        <v>300</v>
      </c>
      <c r="F2808" s="47">
        <v>464.0</v>
      </c>
      <c r="G2808" s="47">
        <v>4.88</v>
      </c>
      <c r="H2808" s="47">
        <v>95.1</v>
      </c>
      <c r="I2808" s="47" t="s">
        <v>75</v>
      </c>
    </row>
    <row r="2809" ht="15.75" customHeight="1">
      <c r="A2809" s="47" t="s">
        <v>5842</v>
      </c>
      <c r="B2809" s="47" t="s">
        <v>5843</v>
      </c>
      <c r="C2809" s="47" t="s">
        <v>7758</v>
      </c>
      <c r="D2809" s="47" t="s">
        <v>191</v>
      </c>
      <c r="E2809" s="47" t="s">
        <v>504</v>
      </c>
      <c r="F2809" s="47">
        <v>355.0</v>
      </c>
      <c r="G2809" s="47">
        <v>5.31</v>
      </c>
      <c r="H2809" s="47">
        <v>66.9</v>
      </c>
      <c r="I2809" s="47" t="s">
        <v>75</v>
      </c>
    </row>
    <row r="2810" ht="15.75" customHeight="1">
      <c r="A2810" s="47" t="s">
        <v>5844</v>
      </c>
      <c r="B2810" s="47" t="s">
        <v>5845</v>
      </c>
      <c r="C2810" s="47" t="s">
        <v>7758</v>
      </c>
      <c r="D2810" s="47" t="s">
        <v>219</v>
      </c>
      <c r="E2810" s="47" t="s">
        <v>377</v>
      </c>
      <c r="F2810" s="47">
        <v>394.0</v>
      </c>
      <c r="G2810" s="47">
        <v>3.61</v>
      </c>
      <c r="H2810" s="47">
        <v>109.1</v>
      </c>
      <c r="I2810" s="47" t="s">
        <v>75</v>
      </c>
    </row>
    <row r="2811" ht="15.75" customHeight="1">
      <c r="A2811" s="47" t="s">
        <v>5846</v>
      </c>
      <c r="B2811" s="47" t="s">
        <v>5847</v>
      </c>
      <c r="C2811" s="47" t="s">
        <v>7758</v>
      </c>
      <c r="D2811" s="47" t="s">
        <v>139</v>
      </c>
      <c r="E2811" s="47" t="s">
        <v>354</v>
      </c>
      <c r="F2811" s="47">
        <v>596.0</v>
      </c>
      <c r="G2811" s="47">
        <v>15.65</v>
      </c>
      <c r="H2811" s="47">
        <v>38.1</v>
      </c>
      <c r="I2811" s="47" t="s">
        <v>62</v>
      </c>
    </row>
    <row r="2812" ht="15.75" customHeight="1">
      <c r="A2812" s="47" t="s">
        <v>5848</v>
      </c>
      <c r="B2812" s="47" t="s">
        <v>5849</v>
      </c>
      <c r="C2812" s="47" t="s">
        <v>7758</v>
      </c>
      <c r="D2812" s="47" t="s">
        <v>163</v>
      </c>
      <c r="E2812" s="47" t="s">
        <v>441</v>
      </c>
      <c r="F2812" s="47">
        <v>2032.0</v>
      </c>
      <c r="G2812" s="47">
        <v>18.32</v>
      </c>
      <c r="H2812" s="47">
        <v>110.9</v>
      </c>
      <c r="I2812" s="47" t="s">
        <v>142</v>
      </c>
    </row>
    <row r="2813" ht="15.75" customHeight="1">
      <c r="A2813" s="47" t="s">
        <v>5850</v>
      </c>
      <c r="B2813" s="47" t="s">
        <v>5851</v>
      </c>
      <c r="C2813" s="47" t="s">
        <v>7758</v>
      </c>
      <c r="D2813" s="47" t="s">
        <v>118</v>
      </c>
      <c r="E2813" s="47" t="s">
        <v>300</v>
      </c>
      <c r="F2813" s="47">
        <v>2687.0</v>
      </c>
      <c r="G2813" s="47">
        <v>17.38</v>
      </c>
      <c r="H2813" s="47">
        <v>154.6</v>
      </c>
      <c r="I2813" s="47" t="s">
        <v>142</v>
      </c>
    </row>
    <row r="2814" ht="15.75" customHeight="1">
      <c r="A2814" s="47" t="s">
        <v>5852</v>
      </c>
      <c r="B2814" s="47" t="s">
        <v>5853</v>
      </c>
      <c r="C2814" s="47" t="s">
        <v>7758</v>
      </c>
      <c r="D2814" s="47" t="s">
        <v>204</v>
      </c>
      <c r="E2814" s="47" t="s">
        <v>527</v>
      </c>
      <c r="F2814" s="47">
        <v>33.0</v>
      </c>
      <c r="G2814" s="47">
        <v>3.43</v>
      </c>
      <c r="H2814" s="47">
        <v>9.6</v>
      </c>
      <c r="I2814" s="47" t="s">
        <v>75</v>
      </c>
    </row>
    <row r="2815" ht="15.75" customHeight="1">
      <c r="A2815" s="47" t="s">
        <v>5854</v>
      </c>
      <c r="B2815" s="47" t="s">
        <v>5855</v>
      </c>
      <c r="C2815" s="47" t="s">
        <v>7758</v>
      </c>
      <c r="D2815" s="47" t="s">
        <v>219</v>
      </c>
      <c r="E2815" s="47" t="s">
        <v>377</v>
      </c>
      <c r="F2815" s="47">
        <v>253.0</v>
      </c>
      <c r="G2815" s="47">
        <v>4.77</v>
      </c>
      <c r="H2815" s="47">
        <v>53.0</v>
      </c>
      <c r="I2815" s="47" t="s">
        <v>75</v>
      </c>
    </row>
    <row r="2816" ht="15.75" customHeight="1">
      <c r="A2816" s="47" t="s">
        <v>5856</v>
      </c>
      <c r="B2816" s="47" t="s">
        <v>5857</v>
      </c>
      <c r="C2816" s="47" t="s">
        <v>7758</v>
      </c>
      <c r="D2816" s="47" t="s">
        <v>187</v>
      </c>
      <c r="E2816" s="47" t="s">
        <v>488</v>
      </c>
      <c r="F2816" s="47">
        <v>185.0</v>
      </c>
      <c r="G2816" s="47">
        <v>7.13</v>
      </c>
      <c r="H2816" s="47">
        <v>25.9</v>
      </c>
      <c r="I2816" s="47" t="s">
        <v>75</v>
      </c>
    </row>
    <row r="2817" ht="15.75" customHeight="1">
      <c r="A2817" s="47" t="s">
        <v>5858</v>
      </c>
      <c r="B2817" s="47" t="s">
        <v>5859</v>
      </c>
      <c r="C2817" s="47" t="s">
        <v>7758</v>
      </c>
      <c r="D2817" s="47" t="s">
        <v>163</v>
      </c>
      <c r="E2817" s="47" t="s">
        <v>441</v>
      </c>
      <c r="F2817" s="47">
        <v>2987.0</v>
      </c>
      <c r="G2817" s="47">
        <v>8.39</v>
      </c>
      <c r="H2817" s="47">
        <v>356.0</v>
      </c>
      <c r="I2817" s="47" t="s">
        <v>142</v>
      </c>
    </row>
    <row r="2818" ht="15.75" customHeight="1">
      <c r="A2818" s="47" t="s">
        <v>5860</v>
      </c>
      <c r="B2818" s="47" t="s">
        <v>5861</v>
      </c>
      <c r="C2818" s="47" t="s">
        <v>7758</v>
      </c>
      <c r="D2818" s="47" t="s">
        <v>234</v>
      </c>
      <c r="E2818" s="47" t="s">
        <v>552</v>
      </c>
      <c r="F2818" s="47">
        <v>1123.0</v>
      </c>
      <c r="G2818" s="47">
        <v>12.01</v>
      </c>
      <c r="H2818" s="47">
        <v>93.5</v>
      </c>
      <c r="I2818" s="47" t="s">
        <v>62</v>
      </c>
    </row>
    <row r="2819" ht="15.75" customHeight="1">
      <c r="A2819" s="47" t="s">
        <v>5862</v>
      </c>
      <c r="B2819" s="47" t="s">
        <v>5863</v>
      </c>
      <c r="C2819" s="47" t="s">
        <v>7758</v>
      </c>
      <c r="D2819" s="47" t="s">
        <v>118</v>
      </c>
      <c r="E2819" s="47" t="s">
        <v>300</v>
      </c>
      <c r="F2819" s="47">
        <v>1328.0</v>
      </c>
      <c r="G2819" s="47">
        <v>10.46</v>
      </c>
      <c r="H2819" s="47">
        <v>127.0</v>
      </c>
      <c r="I2819" s="47" t="s">
        <v>62</v>
      </c>
    </row>
    <row r="2820" ht="15.75" customHeight="1">
      <c r="A2820" s="47" t="s">
        <v>5864</v>
      </c>
      <c r="B2820" s="47" t="s">
        <v>5865</v>
      </c>
      <c r="C2820" s="47" t="s">
        <v>7758</v>
      </c>
      <c r="D2820" s="47" t="s">
        <v>234</v>
      </c>
      <c r="E2820" s="47" t="s">
        <v>552</v>
      </c>
      <c r="F2820" s="47">
        <v>794.0</v>
      </c>
      <c r="G2820" s="47">
        <v>5.94</v>
      </c>
      <c r="H2820" s="47">
        <v>133.7</v>
      </c>
      <c r="I2820" s="47" t="s">
        <v>62</v>
      </c>
    </row>
    <row r="2821" ht="15.75" customHeight="1">
      <c r="A2821" s="47" t="s">
        <v>5866</v>
      </c>
      <c r="B2821" s="47" t="s">
        <v>1491</v>
      </c>
      <c r="C2821" s="47" t="s">
        <v>7758</v>
      </c>
      <c r="D2821" s="47" t="s">
        <v>204</v>
      </c>
      <c r="E2821" s="47" t="s">
        <v>527</v>
      </c>
      <c r="F2821" s="47">
        <v>265.0</v>
      </c>
      <c r="G2821" s="47">
        <v>3.72</v>
      </c>
      <c r="H2821" s="47">
        <v>71.2</v>
      </c>
      <c r="I2821" s="47" t="s">
        <v>75</v>
      </c>
    </row>
    <row r="2822" ht="15.75" customHeight="1">
      <c r="A2822" s="47" t="s">
        <v>5867</v>
      </c>
      <c r="B2822" s="47" t="s">
        <v>5868</v>
      </c>
      <c r="C2822" s="47" t="s">
        <v>7758</v>
      </c>
      <c r="D2822" s="47" t="s">
        <v>223</v>
      </c>
      <c r="E2822" s="47" t="s">
        <v>380</v>
      </c>
      <c r="F2822" s="47">
        <v>558.0</v>
      </c>
      <c r="G2822" s="47">
        <v>4.37</v>
      </c>
      <c r="H2822" s="47">
        <v>127.7</v>
      </c>
      <c r="I2822" s="47" t="s">
        <v>62</v>
      </c>
    </row>
    <row r="2823" ht="15.75" customHeight="1">
      <c r="A2823" s="47" t="s">
        <v>5869</v>
      </c>
      <c r="B2823" s="47" t="s">
        <v>5870</v>
      </c>
      <c r="C2823" s="47" t="s">
        <v>7758</v>
      </c>
      <c r="D2823" s="47" t="s">
        <v>206</v>
      </c>
      <c r="E2823" s="47" t="s">
        <v>533</v>
      </c>
      <c r="F2823" s="47">
        <v>516.0</v>
      </c>
      <c r="G2823" s="47">
        <v>9.43</v>
      </c>
      <c r="H2823" s="47">
        <v>54.7</v>
      </c>
      <c r="I2823" s="47" t="s">
        <v>62</v>
      </c>
    </row>
    <row r="2824" ht="15.75" customHeight="1">
      <c r="A2824" s="47" t="s">
        <v>5871</v>
      </c>
      <c r="B2824" s="47" t="s">
        <v>5872</v>
      </c>
      <c r="C2824" s="47" t="s">
        <v>7758</v>
      </c>
      <c r="D2824" s="47" t="s">
        <v>234</v>
      </c>
      <c r="E2824" s="47" t="s">
        <v>552</v>
      </c>
      <c r="F2824" s="47">
        <v>1381.0</v>
      </c>
      <c r="G2824" s="47">
        <v>4.91</v>
      </c>
      <c r="H2824" s="47">
        <v>281.3</v>
      </c>
      <c r="I2824" s="47" t="s">
        <v>62</v>
      </c>
    </row>
    <row r="2825" ht="15.75" customHeight="1">
      <c r="A2825" s="47" t="s">
        <v>5873</v>
      </c>
      <c r="B2825" s="47" t="s">
        <v>5874</v>
      </c>
      <c r="C2825" s="47" t="s">
        <v>7758</v>
      </c>
      <c r="D2825" s="47" t="s">
        <v>167</v>
      </c>
      <c r="E2825" s="47" t="s">
        <v>447</v>
      </c>
      <c r="F2825" s="47">
        <v>293.0</v>
      </c>
      <c r="G2825" s="47">
        <v>11.6</v>
      </c>
      <c r="H2825" s="47">
        <v>25.3</v>
      </c>
      <c r="I2825" s="47" t="s">
        <v>75</v>
      </c>
    </row>
    <row r="2826" ht="15.75" customHeight="1">
      <c r="A2826" s="47" t="s">
        <v>5875</v>
      </c>
      <c r="B2826" s="47" t="s">
        <v>5876</v>
      </c>
      <c r="C2826" s="47" t="s">
        <v>7758</v>
      </c>
      <c r="D2826" s="47" t="s">
        <v>118</v>
      </c>
      <c r="E2826" s="47" t="s">
        <v>300</v>
      </c>
      <c r="F2826" s="47">
        <v>53.0</v>
      </c>
      <c r="G2826" s="47">
        <v>1.14</v>
      </c>
      <c r="H2826" s="47">
        <v>46.5</v>
      </c>
      <c r="I2826" s="47" t="s">
        <v>75</v>
      </c>
    </row>
    <row r="2827" ht="15.75" customHeight="1">
      <c r="A2827" s="47" t="s">
        <v>5877</v>
      </c>
      <c r="B2827" s="47" t="s">
        <v>5878</v>
      </c>
      <c r="C2827" s="47" t="s">
        <v>7758</v>
      </c>
      <c r="D2827" s="47" t="s">
        <v>139</v>
      </c>
      <c r="E2827" s="47" t="s">
        <v>354</v>
      </c>
      <c r="F2827" s="47">
        <v>1970.0</v>
      </c>
      <c r="G2827" s="47">
        <v>10.87</v>
      </c>
      <c r="H2827" s="47">
        <v>181.2</v>
      </c>
      <c r="I2827" s="47" t="s">
        <v>62</v>
      </c>
    </row>
    <row r="2828" ht="15.75" customHeight="1">
      <c r="A2828" s="47" t="s">
        <v>5879</v>
      </c>
      <c r="B2828" s="47" t="s">
        <v>5880</v>
      </c>
      <c r="C2828" s="47" t="s">
        <v>7758</v>
      </c>
      <c r="D2828" s="47" t="s">
        <v>206</v>
      </c>
      <c r="E2828" s="47" t="s">
        <v>533</v>
      </c>
      <c r="F2828" s="47">
        <v>83.0</v>
      </c>
      <c r="G2828" s="47">
        <v>3.8</v>
      </c>
      <c r="H2828" s="47">
        <v>21.8</v>
      </c>
      <c r="I2828" s="47" t="s">
        <v>75</v>
      </c>
    </row>
    <row r="2829" ht="15.75" customHeight="1">
      <c r="A2829" s="47" t="s">
        <v>5881</v>
      </c>
      <c r="B2829" s="47" t="s">
        <v>5882</v>
      </c>
      <c r="C2829" s="47" t="s">
        <v>7758</v>
      </c>
      <c r="D2829" s="47" t="s">
        <v>167</v>
      </c>
      <c r="E2829" s="47" t="s">
        <v>447</v>
      </c>
      <c r="F2829" s="47">
        <v>251.0</v>
      </c>
      <c r="G2829" s="47">
        <v>5.18</v>
      </c>
      <c r="H2829" s="47">
        <v>48.5</v>
      </c>
      <c r="I2829" s="47" t="s">
        <v>75</v>
      </c>
    </row>
    <row r="2830" ht="15.75" customHeight="1">
      <c r="A2830" s="47" t="s">
        <v>5883</v>
      </c>
      <c r="B2830" s="47" t="s">
        <v>1509</v>
      </c>
      <c r="C2830" s="47" t="s">
        <v>7758</v>
      </c>
      <c r="D2830" s="47" t="s">
        <v>116</v>
      </c>
      <c r="E2830" s="47" t="s">
        <v>285</v>
      </c>
      <c r="F2830" s="47">
        <v>8552.0</v>
      </c>
      <c r="G2830" s="47">
        <v>6.5</v>
      </c>
      <c r="H2830" s="47">
        <v>1315.7</v>
      </c>
      <c r="I2830" s="47" t="s">
        <v>142</v>
      </c>
    </row>
    <row r="2831" ht="15.75" customHeight="1">
      <c r="A2831" s="47" t="s">
        <v>5884</v>
      </c>
      <c r="B2831" s="47" t="s">
        <v>5885</v>
      </c>
      <c r="C2831" s="47" t="s">
        <v>7758</v>
      </c>
      <c r="D2831" s="47" t="s">
        <v>187</v>
      </c>
      <c r="E2831" s="47" t="s">
        <v>488</v>
      </c>
      <c r="F2831" s="47">
        <v>121.0</v>
      </c>
      <c r="G2831" s="47">
        <v>7.45</v>
      </c>
      <c r="H2831" s="47">
        <v>16.2</v>
      </c>
      <c r="I2831" s="47" t="s">
        <v>75</v>
      </c>
    </row>
    <row r="2832" ht="15.75" customHeight="1">
      <c r="A2832" s="47" t="s">
        <v>5886</v>
      </c>
      <c r="B2832" s="47" t="s">
        <v>5887</v>
      </c>
      <c r="C2832" s="47" t="s">
        <v>7758</v>
      </c>
      <c r="D2832" s="47" t="s">
        <v>187</v>
      </c>
      <c r="E2832" s="47" t="s">
        <v>488</v>
      </c>
      <c r="F2832" s="47">
        <v>214.0</v>
      </c>
      <c r="G2832" s="47">
        <v>3.89</v>
      </c>
      <c r="H2832" s="47">
        <v>55.0</v>
      </c>
      <c r="I2832" s="47" t="s">
        <v>75</v>
      </c>
    </row>
    <row r="2833" ht="15.75" customHeight="1">
      <c r="A2833" s="47" t="s">
        <v>5888</v>
      </c>
      <c r="B2833" s="47" t="s">
        <v>5889</v>
      </c>
      <c r="C2833" s="47" t="s">
        <v>7758</v>
      </c>
      <c r="D2833" s="47" t="s">
        <v>118</v>
      </c>
      <c r="E2833" s="47" t="s">
        <v>300</v>
      </c>
      <c r="F2833" s="47">
        <v>1478.0</v>
      </c>
      <c r="G2833" s="47">
        <v>4.88</v>
      </c>
      <c r="H2833" s="47">
        <v>302.9</v>
      </c>
      <c r="I2833" s="47" t="s">
        <v>62</v>
      </c>
    </row>
    <row r="2834" ht="15.75" customHeight="1">
      <c r="A2834" s="47" t="s">
        <v>5890</v>
      </c>
      <c r="B2834" s="47" t="s">
        <v>5891</v>
      </c>
      <c r="C2834" s="47" t="s">
        <v>7758</v>
      </c>
      <c r="D2834" s="47" t="s">
        <v>219</v>
      </c>
      <c r="E2834" s="47" t="s">
        <v>377</v>
      </c>
      <c r="F2834" s="47">
        <v>691.0</v>
      </c>
      <c r="G2834" s="47">
        <v>5.51</v>
      </c>
      <c r="H2834" s="47">
        <v>125.4</v>
      </c>
      <c r="I2834" s="47" t="s">
        <v>62</v>
      </c>
    </row>
    <row r="2835" ht="15.75" customHeight="1">
      <c r="A2835" s="47" t="s">
        <v>5892</v>
      </c>
      <c r="B2835" s="47" t="s">
        <v>5893</v>
      </c>
      <c r="C2835" s="47" t="s">
        <v>7758</v>
      </c>
      <c r="D2835" s="47" t="s">
        <v>187</v>
      </c>
      <c r="E2835" s="47" t="s">
        <v>488</v>
      </c>
      <c r="F2835" s="47">
        <v>237.0</v>
      </c>
      <c r="G2835" s="47">
        <v>7.05</v>
      </c>
      <c r="H2835" s="47">
        <v>33.6</v>
      </c>
      <c r="I2835" s="47" t="s">
        <v>75</v>
      </c>
    </row>
    <row r="2836" ht="15.75" customHeight="1">
      <c r="A2836" s="47" t="s">
        <v>5894</v>
      </c>
      <c r="B2836" s="47" t="s">
        <v>5895</v>
      </c>
      <c r="C2836" s="47" t="s">
        <v>7758</v>
      </c>
      <c r="D2836" s="47" t="s">
        <v>161</v>
      </c>
      <c r="E2836" s="47" t="s">
        <v>438</v>
      </c>
      <c r="F2836" s="47">
        <v>1614.0</v>
      </c>
      <c r="G2836" s="47">
        <v>13.9</v>
      </c>
      <c r="H2836" s="47">
        <v>116.1</v>
      </c>
      <c r="I2836" s="47" t="s">
        <v>62</v>
      </c>
    </row>
    <row r="2837" ht="15.75" customHeight="1">
      <c r="A2837" s="47" t="s">
        <v>5896</v>
      </c>
      <c r="B2837" s="47" t="s">
        <v>5897</v>
      </c>
      <c r="C2837" s="47" t="s">
        <v>7758</v>
      </c>
      <c r="D2837" s="47" t="s">
        <v>204</v>
      </c>
      <c r="E2837" s="47" t="s">
        <v>527</v>
      </c>
      <c r="F2837" s="47">
        <v>285.0</v>
      </c>
      <c r="G2837" s="47">
        <v>6.45</v>
      </c>
      <c r="H2837" s="47">
        <v>44.2</v>
      </c>
      <c r="I2837" s="47" t="s">
        <v>75</v>
      </c>
    </row>
    <row r="2838" ht="15.75" customHeight="1">
      <c r="A2838" s="47" t="s">
        <v>5898</v>
      </c>
      <c r="B2838" s="47" t="s">
        <v>5899</v>
      </c>
      <c r="C2838" s="47" t="s">
        <v>7758</v>
      </c>
      <c r="D2838" s="47" t="s">
        <v>206</v>
      </c>
      <c r="E2838" s="47" t="s">
        <v>533</v>
      </c>
      <c r="F2838" s="47">
        <v>323.0</v>
      </c>
      <c r="G2838" s="47">
        <v>5.95</v>
      </c>
      <c r="H2838" s="47">
        <v>54.3</v>
      </c>
      <c r="I2838" s="47" t="s">
        <v>75</v>
      </c>
    </row>
    <row r="2839" ht="15.75" customHeight="1">
      <c r="A2839" s="47" t="s">
        <v>5900</v>
      </c>
      <c r="B2839" s="47" t="s">
        <v>5901</v>
      </c>
      <c r="C2839" s="47" t="s">
        <v>7758</v>
      </c>
      <c r="D2839" s="47" t="s">
        <v>204</v>
      </c>
      <c r="E2839" s="47" t="s">
        <v>527</v>
      </c>
      <c r="F2839" s="47">
        <v>285.0</v>
      </c>
      <c r="G2839" s="47">
        <v>9.31</v>
      </c>
      <c r="H2839" s="47">
        <v>30.6</v>
      </c>
      <c r="I2839" s="47" t="s">
        <v>75</v>
      </c>
    </row>
    <row r="2840" ht="15.75" customHeight="1">
      <c r="A2840" s="47" t="s">
        <v>5902</v>
      </c>
      <c r="B2840" s="47" t="s">
        <v>5903</v>
      </c>
      <c r="C2840" s="47" t="s">
        <v>7758</v>
      </c>
      <c r="D2840" s="47" t="s">
        <v>219</v>
      </c>
      <c r="E2840" s="47" t="s">
        <v>377</v>
      </c>
      <c r="F2840" s="47">
        <v>665.0</v>
      </c>
      <c r="G2840" s="47">
        <v>7.53</v>
      </c>
      <c r="H2840" s="47">
        <v>88.3</v>
      </c>
      <c r="I2840" s="47" t="s">
        <v>62</v>
      </c>
    </row>
    <row r="2841" ht="15.75" customHeight="1">
      <c r="A2841" s="47" t="s">
        <v>5904</v>
      </c>
      <c r="B2841" s="47" t="s">
        <v>5905</v>
      </c>
      <c r="C2841" s="47" t="s">
        <v>7758</v>
      </c>
      <c r="D2841" s="47" t="s">
        <v>118</v>
      </c>
      <c r="E2841" s="47" t="s">
        <v>300</v>
      </c>
      <c r="F2841" s="47">
        <v>2493.0</v>
      </c>
      <c r="G2841" s="47">
        <v>6.09</v>
      </c>
      <c r="H2841" s="47">
        <v>409.4</v>
      </c>
      <c r="I2841" s="47" t="s">
        <v>142</v>
      </c>
    </row>
    <row r="2842" ht="15.75" customHeight="1">
      <c r="A2842" s="47" t="s">
        <v>5906</v>
      </c>
      <c r="B2842" s="47" t="s">
        <v>5907</v>
      </c>
      <c r="C2842" s="47" t="s">
        <v>7758</v>
      </c>
      <c r="D2842" s="47" t="s">
        <v>214</v>
      </c>
      <c r="E2842" s="47" t="s">
        <v>366</v>
      </c>
      <c r="F2842" s="47">
        <v>3981.0</v>
      </c>
      <c r="G2842" s="47">
        <v>9.81</v>
      </c>
      <c r="H2842" s="47">
        <v>405.8</v>
      </c>
      <c r="I2842" s="47" t="s">
        <v>142</v>
      </c>
    </row>
    <row r="2843" ht="15.75" customHeight="1">
      <c r="A2843" s="47" t="s">
        <v>5908</v>
      </c>
      <c r="B2843" s="47" t="s">
        <v>5909</v>
      </c>
      <c r="C2843" s="47" t="s">
        <v>7758</v>
      </c>
      <c r="D2843" s="47" t="s">
        <v>127</v>
      </c>
      <c r="E2843" s="47" t="s">
        <v>323</v>
      </c>
      <c r="F2843" s="47">
        <v>5948.0</v>
      </c>
      <c r="G2843" s="47">
        <v>5.72</v>
      </c>
      <c r="H2843" s="47">
        <v>1039.9</v>
      </c>
      <c r="I2843" s="47" t="s">
        <v>142</v>
      </c>
    </row>
    <row r="2844" ht="15.75" customHeight="1">
      <c r="A2844" s="47" t="s">
        <v>5910</v>
      </c>
      <c r="B2844" s="47" t="s">
        <v>5911</v>
      </c>
      <c r="C2844" s="47" t="s">
        <v>7758</v>
      </c>
      <c r="D2844" s="47" t="s">
        <v>187</v>
      </c>
      <c r="E2844" s="47" t="s">
        <v>488</v>
      </c>
      <c r="F2844" s="47">
        <v>150.0</v>
      </c>
      <c r="G2844" s="47">
        <v>6.75</v>
      </c>
      <c r="H2844" s="47">
        <v>22.2</v>
      </c>
      <c r="I2844" s="47" t="s">
        <v>75</v>
      </c>
    </row>
    <row r="2845" ht="15.75" customHeight="1">
      <c r="A2845" s="47" t="s">
        <v>5912</v>
      </c>
      <c r="B2845" s="47" t="s">
        <v>5913</v>
      </c>
      <c r="C2845" s="47" t="s">
        <v>7758</v>
      </c>
      <c r="D2845" s="47" t="s">
        <v>219</v>
      </c>
      <c r="E2845" s="47" t="s">
        <v>377</v>
      </c>
      <c r="F2845" s="47">
        <v>310.0</v>
      </c>
      <c r="G2845" s="47">
        <v>6.25</v>
      </c>
      <c r="H2845" s="47">
        <v>49.6</v>
      </c>
      <c r="I2845" s="47" t="s">
        <v>75</v>
      </c>
    </row>
    <row r="2846" ht="15.75" customHeight="1">
      <c r="A2846" s="47" t="s">
        <v>5914</v>
      </c>
      <c r="B2846" s="47" t="s">
        <v>5915</v>
      </c>
      <c r="C2846" s="47" t="s">
        <v>7758</v>
      </c>
      <c r="D2846" s="47" t="s">
        <v>206</v>
      </c>
      <c r="E2846" s="47" t="s">
        <v>533</v>
      </c>
      <c r="F2846" s="47">
        <v>294.0</v>
      </c>
      <c r="G2846" s="47">
        <v>4.26</v>
      </c>
      <c r="H2846" s="47">
        <v>69.0</v>
      </c>
      <c r="I2846" s="47" t="s">
        <v>75</v>
      </c>
    </row>
    <row r="2847" ht="15.75" customHeight="1">
      <c r="A2847" s="47" t="s">
        <v>5916</v>
      </c>
      <c r="B2847" s="47" t="s">
        <v>5917</v>
      </c>
      <c r="C2847" s="47" t="s">
        <v>7758</v>
      </c>
      <c r="D2847" s="47" t="s">
        <v>169</v>
      </c>
      <c r="E2847" s="47" t="s">
        <v>449</v>
      </c>
      <c r="F2847" s="47">
        <v>122.0</v>
      </c>
      <c r="G2847" s="47">
        <v>5.47</v>
      </c>
      <c r="H2847" s="47">
        <v>22.3</v>
      </c>
      <c r="I2847" s="47" t="s">
        <v>75</v>
      </c>
    </row>
    <row r="2848" ht="15.75" customHeight="1">
      <c r="A2848" s="47" t="s">
        <v>5918</v>
      </c>
      <c r="B2848" s="47" t="s">
        <v>1531</v>
      </c>
      <c r="C2848" s="47" t="s">
        <v>7758</v>
      </c>
      <c r="D2848" s="47" t="s">
        <v>128</v>
      </c>
      <c r="E2848" s="47" t="s">
        <v>338</v>
      </c>
      <c r="F2848" s="47">
        <v>289.0</v>
      </c>
      <c r="G2848" s="47">
        <v>4.44</v>
      </c>
      <c r="H2848" s="47">
        <v>65.1</v>
      </c>
      <c r="I2848" s="47" t="s">
        <v>75</v>
      </c>
    </row>
    <row r="2849" ht="15.75" customHeight="1">
      <c r="A2849" s="47" t="s">
        <v>5919</v>
      </c>
      <c r="B2849" s="47" t="s">
        <v>5920</v>
      </c>
      <c r="C2849" s="47" t="s">
        <v>7758</v>
      </c>
      <c r="D2849" s="47" t="s">
        <v>234</v>
      </c>
      <c r="E2849" s="47" t="s">
        <v>552</v>
      </c>
      <c r="F2849" s="47">
        <v>3471.0</v>
      </c>
      <c r="G2849" s="47">
        <v>4.39</v>
      </c>
      <c r="H2849" s="47">
        <v>790.7</v>
      </c>
      <c r="I2849" s="47" t="s">
        <v>142</v>
      </c>
    </row>
    <row r="2850" ht="15.75" customHeight="1">
      <c r="A2850" s="47" t="s">
        <v>5921</v>
      </c>
      <c r="B2850" s="47" t="s">
        <v>5922</v>
      </c>
      <c r="C2850" s="47" t="s">
        <v>7758</v>
      </c>
      <c r="D2850" s="47" t="s">
        <v>167</v>
      </c>
      <c r="E2850" s="47" t="s">
        <v>447</v>
      </c>
      <c r="F2850" s="47">
        <v>173.0</v>
      </c>
      <c r="G2850" s="47">
        <v>4.03</v>
      </c>
      <c r="H2850" s="47">
        <v>42.9</v>
      </c>
      <c r="I2850" s="47" t="s">
        <v>75</v>
      </c>
    </row>
    <row r="2851" ht="15.75" customHeight="1">
      <c r="A2851" s="47" t="s">
        <v>5923</v>
      </c>
      <c r="B2851" s="47" t="s">
        <v>5924</v>
      </c>
      <c r="C2851" s="47" t="s">
        <v>7758</v>
      </c>
      <c r="D2851" s="47" t="s">
        <v>132</v>
      </c>
      <c r="E2851" s="47" t="s">
        <v>346</v>
      </c>
      <c r="F2851" s="47">
        <v>5029.0</v>
      </c>
      <c r="G2851" s="47">
        <v>13.77</v>
      </c>
      <c r="H2851" s="47">
        <v>365.2</v>
      </c>
      <c r="I2851" s="47" t="s">
        <v>142</v>
      </c>
    </row>
    <row r="2852" ht="15.75" customHeight="1">
      <c r="A2852" s="47" t="s">
        <v>5925</v>
      </c>
      <c r="B2852" s="47" t="s">
        <v>5926</v>
      </c>
      <c r="C2852" s="47" t="s">
        <v>7758</v>
      </c>
      <c r="D2852" s="47" t="s">
        <v>118</v>
      </c>
      <c r="E2852" s="47" t="s">
        <v>300</v>
      </c>
      <c r="F2852" s="47">
        <v>618.0</v>
      </c>
      <c r="G2852" s="47">
        <v>4.06</v>
      </c>
      <c r="H2852" s="47">
        <v>152.2</v>
      </c>
      <c r="I2852" s="47" t="s">
        <v>62</v>
      </c>
    </row>
    <row r="2853" ht="15.75" customHeight="1">
      <c r="A2853" s="47" t="s">
        <v>5927</v>
      </c>
      <c r="B2853" s="47" t="s">
        <v>5928</v>
      </c>
      <c r="C2853" s="47" t="s">
        <v>7758</v>
      </c>
      <c r="D2853" s="47" t="s">
        <v>161</v>
      </c>
      <c r="E2853" s="47" t="s">
        <v>438</v>
      </c>
      <c r="F2853" s="47">
        <v>2349.0</v>
      </c>
      <c r="G2853" s="47">
        <v>17.86</v>
      </c>
      <c r="H2853" s="47">
        <v>131.5</v>
      </c>
      <c r="I2853" s="47" t="s">
        <v>142</v>
      </c>
    </row>
    <row r="2854" ht="15.75" customHeight="1">
      <c r="A2854" s="47" t="s">
        <v>5929</v>
      </c>
      <c r="B2854" s="47" t="s">
        <v>5930</v>
      </c>
      <c r="C2854" s="47" t="s">
        <v>7758</v>
      </c>
      <c r="D2854" s="47" t="s">
        <v>167</v>
      </c>
      <c r="E2854" s="47" t="s">
        <v>447</v>
      </c>
      <c r="F2854" s="47">
        <v>318.0</v>
      </c>
      <c r="G2854" s="47">
        <v>9.77</v>
      </c>
      <c r="H2854" s="47">
        <v>32.5</v>
      </c>
      <c r="I2854" s="47" t="s">
        <v>75</v>
      </c>
    </row>
    <row r="2855" ht="15.75" customHeight="1">
      <c r="A2855" s="47" t="s">
        <v>5931</v>
      </c>
      <c r="B2855" s="47" t="s">
        <v>5932</v>
      </c>
      <c r="C2855" s="47" t="s">
        <v>7758</v>
      </c>
      <c r="D2855" s="47" t="s">
        <v>118</v>
      </c>
      <c r="E2855" s="47" t="s">
        <v>300</v>
      </c>
      <c r="F2855" s="47">
        <v>830.0</v>
      </c>
      <c r="G2855" s="47">
        <v>7.32</v>
      </c>
      <c r="H2855" s="47">
        <v>113.4</v>
      </c>
      <c r="I2855" s="47" t="s">
        <v>62</v>
      </c>
    </row>
    <row r="2856" ht="15.75" customHeight="1">
      <c r="A2856" s="47" t="s">
        <v>5933</v>
      </c>
      <c r="B2856" s="47" t="s">
        <v>5934</v>
      </c>
      <c r="C2856" s="47" t="s">
        <v>7758</v>
      </c>
      <c r="D2856" s="47" t="s">
        <v>163</v>
      </c>
      <c r="E2856" s="47" t="s">
        <v>441</v>
      </c>
      <c r="F2856" s="47">
        <v>821.0</v>
      </c>
      <c r="G2856" s="47">
        <v>6.65</v>
      </c>
      <c r="H2856" s="47">
        <v>123.5</v>
      </c>
      <c r="I2856" s="47" t="s">
        <v>62</v>
      </c>
    </row>
    <row r="2857" ht="15.75" customHeight="1">
      <c r="A2857" s="47" t="s">
        <v>5935</v>
      </c>
      <c r="B2857" s="47" t="s">
        <v>5936</v>
      </c>
      <c r="C2857" s="47" t="s">
        <v>7758</v>
      </c>
      <c r="D2857" s="47" t="s">
        <v>128</v>
      </c>
      <c r="E2857" s="47" t="s">
        <v>338</v>
      </c>
      <c r="F2857" s="47">
        <v>1041.0</v>
      </c>
      <c r="G2857" s="47">
        <v>20.94</v>
      </c>
      <c r="H2857" s="47">
        <v>49.7</v>
      </c>
      <c r="I2857" s="47" t="s">
        <v>62</v>
      </c>
    </row>
    <row r="2858" ht="15.75" customHeight="1">
      <c r="A2858" s="47" t="s">
        <v>5937</v>
      </c>
      <c r="B2858" s="47" t="s">
        <v>5938</v>
      </c>
      <c r="C2858" s="47" t="s">
        <v>7758</v>
      </c>
      <c r="D2858" s="47" t="s">
        <v>234</v>
      </c>
      <c r="E2858" s="47" t="s">
        <v>552</v>
      </c>
      <c r="F2858" s="47">
        <v>6459.0</v>
      </c>
      <c r="G2858" s="47">
        <v>9.84</v>
      </c>
      <c r="H2858" s="47">
        <v>656.4</v>
      </c>
      <c r="I2858" s="47" t="s">
        <v>142</v>
      </c>
    </row>
    <row r="2859" ht="15.75" customHeight="1">
      <c r="A2859" s="47" t="s">
        <v>5939</v>
      </c>
      <c r="B2859" s="47" t="s">
        <v>5940</v>
      </c>
      <c r="C2859" s="47" t="s">
        <v>7758</v>
      </c>
      <c r="D2859" s="47" t="s">
        <v>204</v>
      </c>
      <c r="E2859" s="47" t="s">
        <v>527</v>
      </c>
      <c r="F2859" s="47">
        <v>520.0</v>
      </c>
      <c r="G2859" s="47">
        <v>7.53</v>
      </c>
      <c r="H2859" s="47">
        <v>69.1</v>
      </c>
      <c r="I2859" s="47" t="s">
        <v>62</v>
      </c>
    </row>
    <row r="2860" ht="15.75" customHeight="1">
      <c r="A2860" s="47" t="s">
        <v>5941</v>
      </c>
      <c r="B2860" s="47" t="s">
        <v>5942</v>
      </c>
      <c r="C2860" s="47" t="s">
        <v>7758</v>
      </c>
      <c r="D2860" s="47" t="s">
        <v>132</v>
      </c>
      <c r="E2860" s="47" t="s">
        <v>346</v>
      </c>
      <c r="F2860" s="47">
        <v>3353.0</v>
      </c>
      <c r="G2860" s="47">
        <v>3.53</v>
      </c>
      <c r="H2860" s="47">
        <v>949.9</v>
      </c>
      <c r="I2860" s="47" t="s">
        <v>142</v>
      </c>
    </row>
    <row r="2861" ht="15.75" customHeight="1">
      <c r="A2861" s="47" t="s">
        <v>5943</v>
      </c>
      <c r="B2861" s="47" t="s">
        <v>5944</v>
      </c>
      <c r="C2861" s="47" t="s">
        <v>7758</v>
      </c>
      <c r="D2861" s="47" t="s">
        <v>161</v>
      </c>
      <c r="E2861" s="47" t="s">
        <v>438</v>
      </c>
      <c r="F2861" s="47">
        <v>1708.0</v>
      </c>
      <c r="G2861" s="47">
        <v>18.5</v>
      </c>
      <c r="H2861" s="47">
        <v>92.3</v>
      </c>
      <c r="I2861" s="47" t="s">
        <v>62</v>
      </c>
    </row>
    <row r="2862" ht="15.75" customHeight="1">
      <c r="A2862" s="47" t="s">
        <v>5945</v>
      </c>
      <c r="B2862" s="47" t="s">
        <v>5946</v>
      </c>
      <c r="C2862" s="47" t="s">
        <v>7758</v>
      </c>
      <c r="D2862" s="47" t="s">
        <v>139</v>
      </c>
      <c r="E2862" s="47" t="s">
        <v>354</v>
      </c>
      <c r="F2862" s="47">
        <v>5843.0</v>
      </c>
      <c r="G2862" s="47">
        <v>10.39</v>
      </c>
      <c r="H2862" s="47">
        <v>562.4</v>
      </c>
      <c r="I2862" s="47" t="s">
        <v>142</v>
      </c>
    </row>
    <row r="2863" ht="15.75" customHeight="1">
      <c r="A2863" s="47" t="s">
        <v>5947</v>
      </c>
      <c r="B2863" s="47" t="s">
        <v>5948</v>
      </c>
      <c r="C2863" s="47" t="s">
        <v>7758</v>
      </c>
      <c r="D2863" s="47" t="s">
        <v>132</v>
      </c>
      <c r="E2863" s="47" t="s">
        <v>346</v>
      </c>
      <c r="F2863" s="47">
        <v>10888.0</v>
      </c>
      <c r="G2863" s="47">
        <v>12.92</v>
      </c>
      <c r="H2863" s="47">
        <v>842.7</v>
      </c>
      <c r="I2863" s="47" t="s">
        <v>571</v>
      </c>
    </row>
    <row r="2864" ht="15.75" customHeight="1">
      <c r="A2864" s="47" t="s">
        <v>5949</v>
      </c>
      <c r="B2864" s="47" t="s">
        <v>5950</v>
      </c>
      <c r="C2864" s="47" t="s">
        <v>7758</v>
      </c>
      <c r="D2864" s="47" t="s">
        <v>150</v>
      </c>
      <c r="E2864" s="47" t="s">
        <v>411</v>
      </c>
      <c r="F2864" s="47">
        <v>443.0</v>
      </c>
      <c r="G2864" s="47">
        <v>6.28</v>
      </c>
      <c r="H2864" s="47">
        <v>70.5</v>
      </c>
      <c r="I2864" s="47" t="s">
        <v>75</v>
      </c>
    </row>
    <row r="2865" ht="15.75" customHeight="1">
      <c r="A2865" s="47" t="s">
        <v>5951</v>
      </c>
      <c r="B2865" s="47" t="s">
        <v>5952</v>
      </c>
      <c r="C2865" s="47" t="s">
        <v>7758</v>
      </c>
      <c r="D2865" s="47" t="s">
        <v>139</v>
      </c>
      <c r="E2865" s="47" t="s">
        <v>354</v>
      </c>
      <c r="F2865" s="47">
        <v>264.0</v>
      </c>
      <c r="G2865" s="47">
        <v>6.72</v>
      </c>
      <c r="H2865" s="47">
        <v>39.3</v>
      </c>
      <c r="I2865" s="47" t="s">
        <v>75</v>
      </c>
    </row>
    <row r="2866" ht="15.75" customHeight="1">
      <c r="A2866" s="47" t="s">
        <v>5953</v>
      </c>
      <c r="B2866" s="47" t="s">
        <v>5954</v>
      </c>
      <c r="C2866" s="47" t="s">
        <v>7758</v>
      </c>
      <c r="D2866" s="47" t="s">
        <v>234</v>
      </c>
      <c r="E2866" s="47" t="s">
        <v>552</v>
      </c>
      <c r="F2866" s="47">
        <v>216.0</v>
      </c>
      <c r="G2866" s="47">
        <v>3.44</v>
      </c>
      <c r="H2866" s="47">
        <v>62.8</v>
      </c>
      <c r="I2866" s="47" t="s">
        <v>75</v>
      </c>
    </row>
    <row r="2867" ht="15.75" customHeight="1">
      <c r="A2867" s="47" t="s">
        <v>5955</v>
      </c>
      <c r="B2867" s="47" t="s">
        <v>5956</v>
      </c>
      <c r="C2867" s="47" t="s">
        <v>7758</v>
      </c>
      <c r="D2867" s="47" t="s">
        <v>187</v>
      </c>
      <c r="E2867" s="47" t="s">
        <v>488</v>
      </c>
      <c r="F2867" s="47">
        <v>131.0</v>
      </c>
      <c r="G2867" s="47">
        <v>5.68</v>
      </c>
      <c r="H2867" s="47">
        <v>23.1</v>
      </c>
      <c r="I2867" s="47" t="s">
        <v>75</v>
      </c>
    </row>
    <row r="2868" ht="15.75" customHeight="1">
      <c r="A2868" s="47" t="s">
        <v>5957</v>
      </c>
      <c r="B2868" s="47" t="s">
        <v>5958</v>
      </c>
      <c r="C2868" s="47" t="s">
        <v>7758</v>
      </c>
      <c r="D2868" s="47" t="s">
        <v>206</v>
      </c>
      <c r="E2868" s="47" t="s">
        <v>533</v>
      </c>
      <c r="F2868" s="47">
        <v>826.0</v>
      </c>
      <c r="G2868" s="47">
        <v>5.96</v>
      </c>
      <c r="H2868" s="47">
        <v>138.6</v>
      </c>
      <c r="I2868" s="47" t="s">
        <v>62</v>
      </c>
    </row>
    <row r="2869" ht="15.75" customHeight="1">
      <c r="A2869" s="47" t="s">
        <v>5959</v>
      </c>
      <c r="B2869" s="47" t="s">
        <v>5960</v>
      </c>
      <c r="C2869" s="47" t="s">
        <v>7758</v>
      </c>
      <c r="D2869" s="47" t="s">
        <v>234</v>
      </c>
      <c r="E2869" s="47" t="s">
        <v>552</v>
      </c>
      <c r="F2869" s="47">
        <v>4494.0</v>
      </c>
      <c r="G2869" s="47">
        <v>3.19</v>
      </c>
      <c r="H2869" s="47">
        <v>1408.8</v>
      </c>
      <c r="I2869" s="47" t="s">
        <v>142</v>
      </c>
    </row>
    <row r="2870" ht="15.75" customHeight="1">
      <c r="A2870" s="47" t="s">
        <v>5961</v>
      </c>
      <c r="B2870" s="47" t="s">
        <v>5962</v>
      </c>
      <c r="C2870" s="47" t="s">
        <v>7758</v>
      </c>
      <c r="D2870" s="47" t="s">
        <v>139</v>
      </c>
      <c r="E2870" s="47" t="s">
        <v>354</v>
      </c>
      <c r="F2870" s="47">
        <v>14382.0</v>
      </c>
      <c r="G2870" s="47">
        <v>16.49</v>
      </c>
      <c r="H2870" s="47">
        <v>872.2</v>
      </c>
      <c r="I2870" s="47" t="s">
        <v>571</v>
      </c>
    </row>
    <row r="2871" ht="15.75" customHeight="1">
      <c r="A2871" s="47" t="s">
        <v>5963</v>
      </c>
      <c r="B2871" s="47" t="s">
        <v>5964</v>
      </c>
      <c r="C2871" s="47" t="s">
        <v>7758</v>
      </c>
      <c r="D2871" s="47" t="s">
        <v>161</v>
      </c>
      <c r="E2871" s="47" t="s">
        <v>438</v>
      </c>
      <c r="F2871" s="47">
        <v>1073.0</v>
      </c>
      <c r="G2871" s="47">
        <v>10.72</v>
      </c>
      <c r="H2871" s="47">
        <v>100.1</v>
      </c>
      <c r="I2871" s="47" t="s">
        <v>62</v>
      </c>
    </row>
    <row r="2872" ht="15.75" customHeight="1">
      <c r="A2872" s="47" t="s">
        <v>5965</v>
      </c>
      <c r="B2872" s="47" t="s">
        <v>5966</v>
      </c>
      <c r="C2872" s="47" t="s">
        <v>7758</v>
      </c>
      <c r="D2872" s="47" t="s">
        <v>206</v>
      </c>
      <c r="E2872" s="47" t="s">
        <v>533</v>
      </c>
      <c r="F2872" s="47">
        <v>4677.0</v>
      </c>
      <c r="G2872" s="47">
        <v>8.22</v>
      </c>
      <c r="H2872" s="47">
        <v>569.0</v>
      </c>
      <c r="I2872" s="47" t="s">
        <v>142</v>
      </c>
    </row>
    <row r="2873" ht="15.75" customHeight="1">
      <c r="A2873" s="47" t="s">
        <v>5967</v>
      </c>
      <c r="B2873" s="47" t="s">
        <v>5968</v>
      </c>
      <c r="C2873" s="47" t="s">
        <v>7758</v>
      </c>
      <c r="D2873" s="47" t="s">
        <v>167</v>
      </c>
      <c r="E2873" s="47" t="s">
        <v>447</v>
      </c>
      <c r="F2873" s="47">
        <v>105.0</v>
      </c>
      <c r="G2873" s="47">
        <v>4.1</v>
      </c>
      <c r="H2873" s="47">
        <v>25.6</v>
      </c>
      <c r="I2873" s="47" t="s">
        <v>75</v>
      </c>
    </row>
    <row r="2874" ht="15.75" customHeight="1">
      <c r="A2874" s="47" t="s">
        <v>5969</v>
      </c>
      <c r="B2874" s="47" t="s">
        <v>5970</v>
      </c>
      <c r="C2874" s="47" t="s">
        <v>7758</v>
      </c>
      <c r="D2874" s="47" t="s">
        <v>141</v>
      </c>
      <c r="E2874" s="47" t="s">
        <v>220</v>
      </c>
      <c r="F2874" s="47">
        <v>773.0</v>
      </c>
      <c r="G2874" s="47">
        <v>7.4</v>
      </c>
      <c r="H2874" s="47">
        <v>104.5</v>
      </c>
      <c r="I2874" s="47" t="s">
        <v>62</v>
      </c>
    </row>
    <row r="2875" ht="15.75" customHeight="1">
      <c r="A2875" s="47" t="s">
        <v>5971</v>
      </c>
      <c r="B2875" s="47" t="s">
        <v>5972</v>
      </c>
      <c r="C2875" s="47" t="s">
        <v>7758</v>
      </c>
      <c r="D2875" s="47" t="s">
        <v>118</v>
      </c>
      <c r="E2875" s="47" t="s">
        <v>300</v>
      </c>
      <c r="F2875" s="47">
        <v>2999.0</v>
      </c>
      <c r="G2875" s="47">
        <v>14.3</v>
      </c>
      <c r="H2875" s="47">
        <v>209.7</v>
      </c>
      <c r="I2875" s="47" t="s">
        <v>142</v>
      </c>
    </row>
    <row r="2876" ht="15.75" customHeight="1">
      <c r="A2876" s="47" t="s">
        <v>5973</v>
      </c>
      <c r="B2876" s="47" t="s">
        <v>5974</v>
      </c>
      <c r="C2876" s="47" t="s">
        <v>7758</v>
      </c>
      <c r="D2876" s="47" t="s">
        <v>127</v>
      </c>
      <c r="E2876" s="47" t="s">
        <v>323</v>
      </c>
      <c r="F2876" s="47">
        <v>9414.0</v>
      </c>
      <c r="G2876" s="47">
        <v>3.83</v>
      </c>
      <c r="H2876" s="47">
        <v>2458.0</v>
      </c>
      <c r="I2876" s="47" t="s">
        <v>142</v>
      </c>
    </row>
    <row r="2877" ht="15.75" customHeight="1">
      <c r="A2877" s="47" t="s">
        <v>5975</v>
      </c>
      <c r="B2877" s="47" t="s">
        <v>5976</v>
      </c>
      <c r="C2877" s="47" t="s">
        <v>7758</v>
      </c>
      <c r="D2877" s="47" t="s">
        <v>139</v>
      </c>
      <c r="E2877" s="47" t="s">
        <v>354</v>
      </c>
      <c r="F2877" s="47">
        <v>521.0</v>
      </c>
      <c r="G2877" s="47">
        <v>3.93</v>
      </c>
      <c r="H2877" s="47">
        <v>132.6</v>
      </c>
      <c r="I2877" s="47" t="s">
        <v>62</v>
      </c>
    </row>
    <row r="2878" ht="15.75" customHeight="1">
      <c r="A2878" s="47" t="s">
        <v>5977</v>
      </c>
      <c r="B2878" s="47" t="s">
        <v>5978</v>
      </c>
      <c r="C2878" s="47" t="s">
        <v>7758</v>
      </c>
      <c r="D2878" s="47" t="s">
        <v>150</v>
      </c>
      <c r="E2878" s="47" t="s">
        <v>411</v>
      </c>
      <c r="F2878" s="47">
        <v>4704.0</v>
      </c>
      <c r="G2878" s="47">
        <v>16.84</v>
      </c>
      <c r="H2878" s="47">
        <v>279.3</v>
      </c>
      <c r="I2878" s="47" t="s">
        <v>142</v>
      </c>
    </row>
    <row r="2879" ht="15.75" customHeight="1">
      <c r="A2879" s="47" t="s">
        <v>5979</v>
      </c>
      <c r="B2879" s="47" t="s">
        <v>5980</v>
      </c>
      <c r="C2879" s="47" t="s">
        <v>7758</v>
      </c>
      <c r="D2879" s="47" t="s">
        <v>141</v>
      </c>
      <c r="E2879" s="47" t="s">
        <v>220</v>
      </c>
      <c r="F2879" s="47">
        <v>4668.0</v>
      </c>
      <c r="G2879" s="47">
        <v>14.45</v>
      </c>
      <c r="H2879" s="47">
        <v>323.0</v>
      </c>
      <c r="I2879" s="47" t="s">
        <v>142</v>
      </c>
    </row>
    <row r="2880" ht="15.75" customHeight="1">
      <c r="A2880" s="47" t="s">
        <v>5981</v>
      </c>
      <c r="B2880" s="47" t="s">
        <v>5982</v>
      </c>
      <c r="C2880" s="47" t="s">
        <v>7758</v>
      </c>
      <c r="D2880" s="47" t="s">
        <v>223</v>
      </c>
      <c r="E2880" s="47" t="s">
        <v>380</v>
      </c>
      <c r="F2880" s="47">
        <v>315.0</v>
      </c>
      <c r="G2880" s="47">
        <v>6.22</v>
      </c>
      <c r="H2880" s="47">
        <v>50.6</v>
      </c>
      <c r="I2880" s="47" t="s">
        <v>75</v>
      </c>
    </row>
    <row r="2881" ht="15.75" customHeight="1">
      <c r="A2881" s="47" t="s">
        <v>5983</v>
      </c>
      <c r="B2881" s="47" t="s">
        <v>5984</v>
      </c>
      <c r="C2881" s="47" t="s">
        <v>7758</v>
      </c>
      <c r="D2881" s="47" t="s">
        <v>204</v>
      </c>
      <c r="E2881" s="47" t="s">
        <v>527</v>
      </c>
      <c r="F2881" s="47">
        <v>198.0</v>
      </c>
      <c r="G2881" s="47">
        <v>3.37</v>
      </c>
      <c r="H2881" s="47">
        <v>58.8</v>
      </c>
      <c r="I2881" s="47" t="s">
        <v>75</v>
      </c>
    </row>
    <row r="2882" ht="15.75" customHeight="1">
      <c r="A2882" s="47" t="s">
        <v>5985</v>
      </c>
      <c r="B2882" s="47" t="s">
        <v>5986</v>
      </c>
      <c r="C2882" s="47" t="s">
        <v>7758</v>
      </c>
      <c r="D2882" s="47" t="s">
        <v>204</v>
      </c>
      <c r="E2882" s="47" t="s">
        <v>527</v>
      </c>
      <c r="F2882" s="47">
        <v>153.0</v>
      </c>
      <c r="G2882" s="47">
        <v>5.08</v>
      </c>
      <c r="H2882" s="47">
        <v>30.1</v>
      </c>
      <c r="I2882" s="47" t="s">
        <v>75</v>
      </c>
    </row>
    <row r="2883" ht="15.75" customHeight="1">
      <c r="A2883" s="47" t="s">
        <v>5987</v>
      </c>
      <c r="B2883" s="47" t="s">
        <v>5988</v>
      </c>
      <c r="C2883" s="47" t="s">
        <v>7758</v>
      </c>
      <c r="D2883" s="47" t="s">
        <v>169</v>
      </c>
      <c r="E2883" s="47" t="s">
        <v>449</v>
      </c>
      <c r="F2883" s="47">
        <v>83.0</v>
      </c>
      <c r="G2883" s="47">
        <v>2.49</v>
      </c>
      <c r="H2883" s="47">
        <v>33.3</v>
      </c>
      <c r="I2883" s="47" t="s">
        <v>75</v>
      </c>
    </row>
    <row r="2884" ht="15.75" customHeight="1">
      <c r="A2884" s="47" t="s">
        <v>5989</v>
      </c>
      <c r="B2884" s="47" t="s">
        <v>5990</v>
      </c>
      <c r="C2884" s="47" t="s">
        <v>7758</v>
      </c>
      <c r="D2884" s="47" t="s">
        <v>169</v>
      </c>
      <c r="E2884" s="47" t="s">
        <v>449</v>
      </c>
      <c r="F2884" s="47">
        <v>182.0</v>
      </c>
      <c r="G2884" s="47">
        <v>6.51</v>
      </c>
      <c r="H2884" s="47">
        <v>28.0</v>
      </c>
      <c r="I2884" s="47" t="s">
        <v>75</v>
      </c>
    </row>
    <row r="2885" ht="15.75" customHeight="1">
      <c r="A2885" s="47" t="s">
        <v>5991</v>
      </c>
      <c r="B2885" s="47" t="s">
        <v>5992</v>
      </c>
      <c r="C2885" s="47" t="s">
        <v>7758</v>
      </c>
      <c r="D2885" s="47" t="s">
        <v>219</v>
      </c>
      <c r="E2885" s="47" t="s">
        <v>377</v>
      </c>
      <c r="F2885" s="47">
        <v>390.0</v>
      </c>
      <c r="G2885" s="47">
        <v>4.09</v>
      </c>
      <c r="H2885" s="47">
        <v>95.4</v>
      </c>
      <c r="I2885" s="47" t="s">
        <v>75</v>
      </c>
    </row>
    <row r="2886" ht="15.75" customHeight="1">
      <c r="A2886" s="47" t="s">
        <v>5993</v>
      </c>
      <c r="B2886" s="47" t="s">
        <v>5994</v>
      </c>
      <c r="C2886" s="47" t="s">
        <v>7758</v>
      </c>
      <c r="D2886" s="47" t="s">
        <v>219</v>
      </c>
      <c r="E2886" s="47" t="s">
        <v>377</v>
      </c>
      <c r="F2886" s="47">
        <v>438.0</v>
      </c>
      <c r="G2886" s="47">
        <v>9.04</v>
      </c>
      <c r="H2886" s="47">
        <v>48.5</v>
      </c>
      <c r="I2886" s="47" t="s">
        <v>75</v>
      </c>
    </row>
    <row r="2887" ht="15.75" customHeight="1">
      <c r="A2887" s="47" t="s">
        <v>5995</v>
      </c>
      <c r="B2887" s="47" t="s">
        <v>5996</v>
      </c>
      <c r="C2887" s="47" t="s">
        <v>7758</v>
      </c>
      <c r="D2887" s="47" t="s">
        <v>219</v>
      </c>
      <c r="E2887" s="47" t="s">
        <v>377</v>
      </c>
      <c r="F2887" s="47">
        <v>409.0</v>
      </c>
      <c r="G2887" s="47">
        <v>5.59</v>
      </c>
      <c r="H2887" s="47">
        <v>73.2</v>
      </c>
      <c r="I2887" s="47" t="s">
        <v>75</v>
      </c>
    </row>
    <row r="2888" ht="15.75" customHeight="1">
      <c r="A2888" s="47" t="s">
        <v>5997</v>
      </c>
      <c r="B2888" s="47" t="s">
        <v>5998</v>
      </c>
      <c r="C2888" s="47" t="s">
        <v>7758</v>
      </c>
      <c r="D2888" s="47" t="s">
        <v>167</v>
      </c>
      <c r="E2888" s="47" t="s">
        <v>447</v>
      </c>
      <c r="F2888" s="47">
        <v>325.0</v>
      </c>
      <c r="G2888" s="47">
        <v>5.36</v>
      </c>
      <c r="H2888" s="47">
        <v>60.6</v>
      </c>
      <c r="I2888" s="47" t="s">
        <v>75</v>
      </c>
    </row>
    <row r="2889" ht="15.75" customHeight="1">
      <c r="A2889" s="47" t="s">
        <v>5999</v>
      </c>
      <c r="B2889" s="47" t="s">
        <v>6000</v>
      </c>
      <c r="C2889" s="47" t="s">
        <v>7758</v>
      </c>
      <c r="D2889" s="47" t="s">
        <v>169</v>
      </c>
      <c r="E2889" s="47" t="s">
        <v>449</v>
      </c>
      <c r="F2889" s="47">
        <v>750.0</v>
      </c>
      <c r="G2889" s="47">
        <v>12.88</v>
      </c>
      <c r="H2889" s="47">
        <v>58.2</v>
      </c>
      <c r="I2889" s="47" t="s">
        <v>62</v>
      </c>
    </row>
    <row r="2890" ht="15.75" customHeight="1">
      <c r="A2890" s="47" t="s">
        <v>6001</v>
      </c>
      <c r="B2890" s="47" t="s">
        <v>6002</v>
      </c>
      <c r="C2890" s="47" t="s">
        <v>7758</v>
      </c>
      <c r="D2890" s="47" t="s">
        <v>169</v>
      </c>
      <c r="E2890" s="47" t="s">
        <v>449</v>
      </c>
      <c r="F2890" s="47">
        <v>929.0</v>
      </c>
      <c r="G2890" s="47">
        <v>7.57</v>
      </c>
      <c r="H2890" s="47">
        <v>122.7</v>
      </c>
      <c r="I2890" s="47" t="s">
        <v>62</v>
      </c>
    </row>
    <row r="2891" ht="15.75" customHeight="1">
      <c r="A2891" s="47" t="s">
        <v>6003</v>
      </c>
      <c r="B2891" s="47" t="s">
        <v>6004</v>
      </c>
      <c r="C2891" s="47" t="s">
        <v>7758</v>
      </c>
      <c r="D2891" s="47" t="s">
        <v>150</v>
      </c>
      <c r="E2891" s="47" t="s">
        <v>411</v>
      </c>
      <c r="F2891" s="47">
        <v>299.0</v>
      </c>
      <c r="G2891" s="47">
        <v>6.35</v>
      </c>
      <c r="H2891" s="47">
        <v>47.1</v>
      </c>
      <c r="I2891" s="47" t="s">
        <v>75</v>
      </c>
    </row>
    <row r="2892" ht="15.75" customHeight="1">
      <c r="A2892" s="47" t="s">
        <v>6005</v>
      </c>
      <c r="B2892" s="47" t="s">
        <v>6006</v>
      </c>
      <c r="C2892" s="47" t="s">
        <v>7758</v>
      </c>
      <c r="D2892" s="47" t="s">
        <v>167</v>
      </c>
      <c r="E2892" s="47" t="s">
        <v>447</v>
      </c>
      <c r="F2892" s="47">
        <v>324.0</v>
      </c>
      <c r="G2892" s="47">
        <v>8.07</v>
      </c>
      <c r="H2892" s="47">
        <v>40.1</v>
      </c>
      <c r="I2892" s="47" t="s">
        <v>75</v>
      </c>
    </row>
    <row r="2893" ht="15.75" customHeight="1">
      <c r="A2893" s="47" t="s">
        <v>6007</v>
      </c>
      <c r="B2893" s="47" t="s">
        <v>6008</v>
      </c>
      <c r="C2893" s="47" t="s">
        <v>7758</v>
      </c>
      <c r="D2893" s="47" t="s">
        <v>191</v>
      </c>
      <c r="E2893" s="47" t="s">
        <v>504</v>
      </c>
      <c r="F2893" s="47">
        <v>685.0</v>
      </c>
      <c r="G2893" s="47">
        <v>15.26</v>
      </c>
      <c r="H2893" s="47">
        <v>44.9</v>
      </c>
      <c r="I2893" s="47" t="s">
        <v>62</v>
      </c>
    </row>
    <row r="2894" ht="15.75" customHeight="1">
      <c r="A2894" s="47" t="s">
        <v>6009</v>
      </c>
      <c r="B2894" s="47" t="s">
        <v>6010</v>
      </c>
      <c r="C2894" s="47" t="s">
        <v>7758</v>
      </c>
      <c r="D2894" s="47" t="s">
        <v>150</v>
      </c>
      <c r="E2894" s="47" t="s">
        <v>411</v>
      </c>
      <c r="F2894" s="47">
        <v>251.0</v>
      </c>
      <c r="G2894" s="47">
        <v>2.06</v>
      </c>
      <c r="H2894" s="47">
        <v>121.8</v>
      </c>
      <c r="I2894" s="47" t="s">
        <v>75</v>
      </c>
    </row>
    <row r="2895" ht="15.75" customHeight="1">
      <c r="A2895" s="47" t="s">
        <v>6011</v>
      </c>
      <c r="B2895" s="47" t="s">
        <v>4309</v>
      </c>
      <c r="C2895" s="47" t="s">
        <v>7758</v>
      </c>
      <c r="D2895" s="47" t="s">
        <v>187</v>
      </c>
      <c r="E2895" s="47" t="s">
        <v>488</v>
      </c>
      <c r="F2895" s="47">
        <v>159.0</v>
      </c>
      <c r="G2895" s="47">
        <v>4.9</v>
      </c>
      <c r="H2895" s="47">
        <v>32.4</v>
      </c>
      <c r="I2895" s="47" t="s">
        <v>75</v>
      </c>
    </row>
    <row r="2896" ht="15.75" customHeight="1">
      <c r="A2896" s="47" t="s">
        <v>6012</v>
      </c>
      <c r="B2896" s="47" t="s">
        <v>6013</v>
      </c>
      <c r="C2896" s="47" t="s">
        <v>7758</v>
      </c>
      <c r="D2896" s="47" t="s">
        <v>206</v>
      </c>
      <c r="E2896" s="47" t="s">
        <v>533</v>
      </c>
      <c r="F2896" s="47">
        <v>49.0</v>
      </c>
      <c r="G2896" s="47">
        <v>2.45</v>
      </c>
      <c r="H2896" s="47">
        <v>20.0</v>
      </c>
      <c r="I2896" s="47" t="s">
        <v>75</v>
      </c>
    </row>
    <row r="2897" ht="15.75" customHeight="1">
      <c r="A2897" s="47" t="s">
        <v>6014</v>
      </c>
      <c r="B2897" s="47" t="s">
        <v>6015</v>
      </c>
      <c r="C2897" s="47" t="s">
        <v>7758</v>
      </c>
      <c r="D2897" s="47" t="s">
        <v>139</v>
      </c>
      <c r="E2897" s="47" t="s">
        <v>354</v>
      </c>
      <c r="F2897" s="47">
        <v>1210.0</v>
      </c>
      <c r="G2897" s="47">
        <v>10.4</v>
      </c>
      <c r="H2897" s="47">
        <v>116.3</v>
      </c>
      <c r="I2897" s="47" t="s">
        <v>62</v>
      </c>
    </row>
    <row r="2898" ht="15.75" customHeight="1">
      <c r="A2898" s="47" t="s">
        <v>6016</v>
      </c>
      <c r="B2898" s="47" t="s">
        <v>6017</v>
      </c>
      <c r="C2898" s="47" t="s">
        <v>7758</v>
      </c>
      <c r="D2898" s="47" t="s">
        <v>127</v>
      </c>
      <c r="E2898" s="47" t="s">
        <v>323</v>
      </c>
      <c r="F2898" s="47">
        <v>1147.0</v>
      </c>
      <c r="G2898" s="47">
        <v>6.3</v>
      </c>
      <c r="H2898" s="47">
        <v>182.1</v>
      </c>
      <c r="I2898" s="47" t="s">
        <v>62</v>
      </c>
    </row>
    <row r="2899" ht="15.75" customHeight="1">
      <c r="A2899" s="47" t="s">
        <v>6018</v>
      </c>
      <c r="B2899" s="47" t="s">
        <v>6019</v>
      </c>
      <c r="C2899" s="47" t="s">
        <v>7758</v>
      </c>
      <c r="D2899" s="47" t="s">
        <v>191</v>
      </c>
      <c r="E2899" s="47" t="s">
        <v>504</v>
      </c>
      <c r="F2899" s="47">
        <v>594.0</v>
      </c>
      <c r="G2899" s="47">
        <v>3.89</v>
      </c>
      <c r="H2899" s="47">
        <v>152.7</v>
      </c>
      <c r="I2899" s="47" t="s">
        <v>62</v>
      </c>
    </row>
    <row r="2900" ht="15.75" customHeight="1">
      <c r="A2900" s="47" t="s">
        <v>6020</v>
      </c>
      <c r="B2900" s="47" t="s">
        <v>6021</v>
      </c>
      <c r="C2900" s="47" t="s">
        <v>7758</v>
      </c>
      <c r="D2900" s="47" t="s">
        <v>206</v>
      </c>
      <c r="E2900" s="47" t="s">
        <v>533</v>
      </c>
      <c r="F2900" s="47">
        <v>118.0</v>
      </c>
      <c r="G2900" s="47">
        <v>7.38</v>
      </c>
      <c r="H2900" s="47">
        <v>16.0</v>
      </c>
      <c r="I2900" s="47" t="s">
        <v>75</v>
      </c>
    </row>
    <row r="2901" ht="15.75" customHeight="1">
      <c r="A2901" s="47" t="s">
        <v>6022</v>
      </c>
      <c r="B2901" s="47" t="s">
        <v>6023</v>
      </c>
      <c r="C2901" s="47" t="s">
        <v>7758</v>
      </c>
      <c r="D2901" s="47" t="s">
        <v>169</v>
      </c>
      <c r="E2901" s="47" t="s">
        <v>449</v>
      </c>
      <c r="F2901" s="47">
        <v>569.0</v>
      </c>
      <c r="G2901" s="47">
        <v>5.14</v>
      </c>
      <c r="H2901" s="47">
        <v>110.7</v>
      </c>
      <c r="I2901" s="47" t="s">
        <v>62</v>
      </c>
    </row>
    <row r="2902" ht="15.75" customHeight="1">
      <c r="A2902" s="47" t="s">
        <v>6024</v>
      </c>
      <c r="B2902" s="47" t="s">
        <v>6025</v>
      </c>
      <c r="C2902" s="47" t="s">
        <v>7758</v>
      </c>
      <c r="D2902" s="47" t="s">
        <v>206</v>
      </c>
      <c r="E2902" s="47" t="s">
        <v>533</v>
      </c>
      <c r="F2902" s="47">
        <v>286.0</v>
      </c>
      <c r="G2902" s="47">
        <v>3.14</v>
      </c>
      <c r="H2902" s="47">
        <v>91.1</v>
      </c>
      <c r="I2902" s="47" t="s">
        <v>75</v>
      </c>
    </row>
    <row r="2903" ht="15.75" customHeight="1">
      <c r="A2903" s="47" t="s">
        <v>6026</v>
      </c>
      <c r="B2903" s="47" t="s">
        <v>6027</v>
      </c>
      <c r="C2903" s="47" t="s">
        <v>7758</v>
      </c>
      <c r="D2903" s="47" t="s">
        <v>169</v>
      </c>
      <c r="E2903" s="47" t="s">
        <v>449</v>
      </c>
      <c r="F2903" s="47">
        <v>205.0</v>
      </c>
      <c r="G2903" s="47">
        <v>6.62</v>
      </c>
      <c r="H2903" s="47">
        <v>31.0</v>
      </c>
      <c r="I2903" s="47" t="s">
        <v>75</v>
      </c>
    </row>
    <row r="2904" ht="15.75" customHeight="1">
      <c r="A2904" s="47" t="s">
        <v>6028</v>
      </c>
      <c r="B2904" s="47" t="s">
        <v>6029</v>
      </c>
      <c r="C2904" s="47" t="s">
        <v>7758</v>
      </c>
      <c r="D2904" s="47" t="s">
        <v>128</v>
      </c>
      <c r="E2904" s="47" t="s">
        <v>338</v>
      </c>
      <c r="F2904" s="47">
        <v>942.0</v>
      </c>
      <c r="G2904" s="47">
        <v>6.81</v>
      </c>
      <c r="H2904" s="47">
        <v>138.3</v>
      </c>
      <c r="I2904" s="47" t="s">
        <v>62</v>
      </c>
    </row>
    <row r="2905" ht="15.75" customHeight="1">
      <c r="A2905" s="47" t="s">
        <v>6030</v>
      </c>
      <c r="B2905" s="47" t="s">
        <v>6031</v>
      </c>
      <c r="C2905" s="47" t="s">
        <v>7758</v>
      </c>
      <c r="D2905" s="47" t="s">
        <v>204</v>
      </c>
      <c r="E2905" s="47" t="s">
        <v>527</v>
      </c>
      <c r="F2905" s="47">
        <v>375.0</v>
      </c>
      <c r="G2905" s="47">
        <v>7.26</v>
      </c>
      <c r="H2905" s="47">
        <v>51.7</v>
      </c>
      <c r="I2905" s="47" t="s">
        <v>75</v>
      </c>
    </row>
    <row r="2906" ht="15.75" customHeight="1">
      <c r="A2906" s="47" t="s">
        <v>6032</v>
      </c>
      <c r="B2906" s="47" t="s">
        <v>6033</v>
      </c>
      <c r="C2906" s="47" t="s">
        <v>7758</v>
      </c>
      <c r="D2906" s="47" t="s">
        <v>127</v>
      </c>
      <c r="E2906" s="47" t="s">
        <v>323</v>
      </c>
      <c r="F2906" s="47">
        <v>2663.0</v>
      </c>
      <c r="G2906" s="47">
        <v>6.66</v>
      </c>
      <c r="H2906" s="47">
        <v>399.8</v>
      </c>
      <c r="I2906" s="47" t="s">
        <v>142</v>
      </c>
    </row>
    <row r="2907" ht="15.75" customHeight="1">
      <c r="A2907" s="47" t="s">
        <v>6034</v>
      </c>
      <c r="B2907" s="47" t="s">
        <v>6035</v>
      </c>
      <c r="C2907" s="47" t="s">
        <v>7758</v>
      </c>
      <c r="D2907" s="47" t="s">
        <v>169</v>
      </c>
      <c r="E2907" s="47" t="s">
        <v>449</v>
      </c>
      <c r="F2907" s="47">
        <v>197.0</v>
      </c>
      <c r="G2907" s="47">
        <v>5.09</v>
      </c>
      <c r="H2907" s="47">
        <v>38.7</v>
      </c>
      <c r="I2907" s="47" t="s">
        <v>75</v>
      </c>
    </row>
    <row r="2908" ht="15.75" customHeight="1">
      <c r="A2908" s="47" t="s">
        <v>6036</v>
      </c>
      <c r="B2908" s="47" t="s">
        <v>6037</v>
      </c>
      <c r="C2908" s="47" t="s">
        <v>7758</v>
      </c>
      <c r="D2908" s="47" t="s">
        <v>191</v>
      </c>
      <c r="E2908" s="47" t="s">
        <v>504</v>
      </c>
      <c r="F2908" s="47">
        <v>624.0</v>
      </c>
      <c r="G2908" s="47">
        <v>6.91</v>
      </c>
      <c r="H2908" s="47">
        <v>90.3</v>
      </c>
      <c r="I2908" s="47" t="s">
        <v>62</v>
      </c>
    </row>
    <row r="2909" ht="15.75" customHeight="1">
      <c r="A2909" s="47" t="s">
        <v>6038</v>
      </c>
      <c r="B2909" s="47" t="s">
        <v>6039</v>
      </c>
      <c r="C2909" s="47" t="s">
        <v>7758</v>
      </c>
      <c r="D2909" s="47" t="s">
        <v>169</v>
      </c>
      <c r="E2909" s="47" t="s">
        <v>449</v>
      </c>
      <c r="F2909" s="47">
        <v>359.0</v>
      </c>
      <c r="G2909" s="47">
        <v>7.39</v>
      </c>
      <c r="H2909" s="47">
        <v>48.6</v>
      </c>
      <c r="I2909" s="47" t="s">
        <v>75</v>
      </c>
    </row>
    <row r="2910" ht="15.75" customHeight="1">
      <c r="A2910" s="47" t="s">
        <v>6040</v>
      </c>
      <c r="B2910" s="47" t="s">
        <v>6041</v>
      </c>
      <c r="C2910" s="47" t="s">
        <v>7758</v>
      </c>
      <c r="D2910" s="47" t="s">
        <v>206</v>
      </c>
      <c r="E2910" s="47" t="s">
        <v>533</v>
      </c>
      <c r="F2910" s="47">
        <v>265.0</v>
      </c>
      <c r="G2910" s="47">
        <v>4.89</v>
      </c>
      <c r="H2910" s="47">
        <v>54.2</v>
      </c>
      <c r="I2910" s="47" t="s">
        <v>75</v>
      </c>
    </row>
    <row r="2911" ht="15.75" customHeight="1">
      <c r="A2911" s="47" t="s">
        <v>6042</v>
      </c>
      <c r="B2911" s="47" t="s">
        <v>6043</v>
      </c>
      <c r="C2911" s="47" t="s">
        <v>7758</v>
      </c>
      <c r="D2911" s="47" t="s">
        <v>163</v>
      </c>
      <c r="E2911" s="47" t="s">
        <v>441</v>
      </c>
      <c r="F2911" s="47">
        <v>150.0</v>
      </c>
      <c r="G2911" s="47">
        <v>8.61</v>
      </c>
      <c r="H2911" s="47">
        <v>17.4</v>
      </c>
      <c r="I2911" s="47" t="s">
        <v>75</v>
      </c>
    </row>
    <row r="2912" ht="15.75" customHeight="1">
      <c r="A2912" s="47" t="s">
        <v>6044</v>
      </c>
      <c r="B2912" s="47" t="s">
        <v>6045</v>
      </c>
      <c r="C2912" s="47" t="s">
        <v>7758</v>
      </c>
      <c r="D2912" s="47" t="s">
        <v>206</v>
      </c>
      <c r="E2912" s="47" t="s">
        <v>533</v>
      </c>
      <c r="F2912" s="47">
        <v>259.0</v>
      </c>
      <c r="G2912" s="47">
        <v>6.92</v>
      </c>
      <c r="H2912" s="47">
        <v>37.4</v>
      </c>
      <c r="I2912" s="47" t="s">
        <v>75</v>
      </c>
    </row>
    <row r="2913" ht="15.75" customHeight="1">
      <c r="A2913" s="47" t="s">
        <v>6046</v>
      </c>
      <c r="B2913" s="47" t="s">
        <v>6047</v>
      </c>
      <c r="C2913" s="47" t="s">
        <v>7758</v>
      </c>
      <c r="D2913" s="47" t="s">
        <v>206</v>
      </c>
      <c r="E2913" s="47" t="s">
        <v>533</v>
      </c>
      <c r="F2913" s="47">
        <v>125.0</v>
      </c>
      <c r="G2913" s="47">
        <v>2.49</v>
      </c>
      <c r="H2913" s="47">
        <v>50.2</v>
      </c>
      <c r="I2913" s="47" t="s">
        <v>75</v>
      </c>
    </row>
    <row r="2914" ht="15.75" customHeight="1">
      <c r="A2914" s="47" t="s">
        <v>6048</v>
      </c>
      <c r="B2914" s="47" t="s">
        <v>6049</v>
      </c>
      <c r="C2914" s="47" t="s">
        <v>7758</v>
      </c>
      <c r="D2914" s="47" t="s">
        <v>234</v>
      </c>
      <c r="E2914" s="47" t="s">
        <v>552</v>
      </c>
      <c r="F2914" s="47">
        <v>1310.0</v>
      </c>
      <c r="G2914" s="47">
        <v>8.99</v>
      </c>
      <c r="H2914" s="47">
        <v>145.7</v>
      </c>
      <c r="I2914" s="47" t="s">
        <v>62</v>
      </c>
    </row>
    <row r="2915" ht="15.75" customHeight="1">
      <c r="A2915" s="47" t="s">
        <v>6050</v>
      </c>
      <c r="B2915" s="47" t="s">
        <v>6051</v>
      </c>
      <c r="C2915" s="47" t="s">
        <v>7758</v>
      </c>
      <c r="D2915" s="47" t="s">
        <v>139</v>
      </c>
      <c r="E2915" s="47" t="s">
        <v>354</v>
      </c>
      <c r="F2915" s="47">
        <v>1146.0</v>
      </c>
      <c r="G2915" s="47">
        <v>8.65</v>
      </c>
      <c r="H2915" s="47">
        <v>132.5</v>
      </c>
      <c r="I2915" s="47" t="s">
        <v>62</v>
      </c>
    </row>
    <row r="2916" ht="15.75" customHeight="1">
      <c r="A2916" s="47" t="s">
        <v>6052</v>
      </c>
      <c r="B2916" s="47" t="s">
        <v>6053</v>
      </c>
      <c r="C2916" s="47" t="s">
        <v>7758</v>
      </c>
      <c r="D2916" s="47" t="s">
        <v>139</v>
      </c>
      <c r="E2916" s="47" t="s">
        <v>354</v>
      </c>
      <c r="F2916" s="47">
        <v>815.0</v>
      </c>
      <c r="G2916" s="47">
        <v>22.85</v>
      </c>
      <c r="H2916" s="47">
        <v>35.7</v>
      </c>
      <c r="I2916" s="47" t="s">
        <v>62</v>
      </c>
    </row>
    <row r="2917" ht="15.75" customHeight="1">
      <c r="A2917" s="47" t="s">
        <v>6054</v>
      </c>
      <c r="B2917" s="47" t="s">
        <v>6055</v>
      </c>
      <c r="C2917" s="47" t="s">
        <v>7758</v>
      </c>
      <c r="D2917" s="47" t="s">
        <v>206</v>
      </c>
      <c r="E2917" s="47" t="s">
        <v>533</v>
      </c>
      <c r="F2917" s="47">
        <v>476.0</v>
      </c>
      <c r="G2917" s="47">
        <v>4.11</v>
      </c>
      <c r="H2917" s="47">
        <v>115.8</v>
      </c>
      <c r="I2917" s="47" t="s">
        <v>75</v>
      </c>
    </row>
    <row r="2918" ht="15.75" customHeight="1">
      <c r="A2918" s="47" t="s">
        <v>6056</v>
      </c>
      <c r="B2918" s="47" t="s">
        <v>6057</v>
      </c>
      <c r="C2918" s="47" t="s">
        <v>7758</v>
      </c>
      <c r="D2918" s="47" t="s">
        <v>169</v>
      </c>
      <c r="E2918" s="47" t="s">
        <v>449</v>
      </c>
      <c r="F2918" s="47">
        <v>96.0</v>
      </c>
      <c r="G2918" s="47">
        <v>1.25</v>
      </c>
      <c r="H2918" s="47">
        <v>76.8</v>
      </c>
      <c r="I2918" s="47" t="s">
        <v>75</v>
      </c>
    </row>
    <row r="2919" ht="15.75" customHeight="1">
      <c r="A2919" s="47" t="s">
        <v>6058</v>
      </c>
      <c r="B2919" s="47" t="s">
        <v>6059</v>
      </c>
      <c r="C2919" s="47" t="s">
        <v>7758</v>
      </c>
      <c r="D2919" s="47" t="s">
        <v>128</v>
      </c>
      <c r="E2919" s="47" t="s">
        <v>338</v>
      </c>
      <c r="F2919" s="47">
        <v>163.0</v>
      </c>
      <c r="G2919" s="47">
        <v>6.68</v>
      </c>
      <c r="H2919" s="47">
        <v>24.4</v>
      </c>
      <c r="I2919" s="47" t="s">
        <v>75</v>
      </c>
    </row>
    <row r="2920" ht="15.75" customHeight="1">
      <c r="A2920" s="47" t="s">
        <v>6060</v>
      </c>
      <c r="B2920" s="47" t="s">
        <v>6061</v>
      </c>
      <c r="C2920" s="47" t="s">
        <v>7758</v>
      </c>
      <c r="D2920" s="47" t="s">
        <v>169</v>
      </c>
      <c r="E2920" s="47" t="s">
        <v>449</v>
      </c>
      <c r="F2920" s="47">
        <v>215.0</v>
      </c>
      <c r="G2920" s="47">
        <v>2.92</v>
      </c>
      <c r="H2920" s="47">
        <v>73.6</v>
      </c>
      <c r="I2920" s="47" t="s">
        <v>75</v>
      </c>
    </row>
    <row r="2921" ht="15.75" customHeight="1">
      <c r="A2921" s="47" t="s">
        <v>6062</v>
      </c>
      <c r="B2921" s="47" t="s">
        <v>6063</v>
      </c>
      <c r="C2921" s="47" t="s">
        <v>7758</v>
      </c>
      <c r="D2921" s="47" t="s">
        <v>234</v>
      </c>
      <c r="E2921" s="47" t="s">
        <v>552</v>
      </c>
      <c r="F2921" s="47">
        <v>1616.0</v>
      </c>
      <c r="G2921" s="47">
        <v>7.68</v>
      </c>
      <c r="H2921" s="47">
        <v>210.4</v>
      </c>
      <c r="I2921" s="47" t="s">
        <v>62</v>
      </c>
    </row>
    <row r="2922" ht="15.75" customHeight="1">
      <c r="A2922" s="47" t="s">
        <v>6064</v>
      </c>
      <c r="B2922" s="47" t="s">
        <v>6065</v>
      </c>
      <c r="C2922" s="47" t="s">
        <v>7758</v>
      </c>
      <c r="D2922" s="47" t="s">
        <v>206</v>
      </c>
      <c r="E2922" s="47" t="s">
        <v>533</v>
      </c>
      <c r="F2922" s="47">
        <v>154.0</v>
      </c>
      <c r="G2922" s="47">
        <v>6.43</v>
      </c>
      <c r="H2922" s="47">
        <v>24.0</v>
      </c>
      <c r="I2922" s="47" t="s">
        <v>75</v>
      </c>
    </row>
    <row r="2923" ht="15.75" customHeight="1">
      <c r="A2923" s="47" t="s">
        <v>6066</v>
      </c>
      <c r="B2923" s="47" t="s">
        <v>6067</v>
      </c>
      <c r="C2923" s="47" t="s">
        <v>7758</v>
      </c>
      <c r="D2923" s="47" t="s">
        <v>139</v>
      </c>
      <c r="E2923" s="47" t="s">
        <v>354</v>
      </c>
      <c r="F2923" s="47">
        <v>1072.0</v>
      </c>
      <c r="G2923" s="47">
        <v>7.25</v>
      </c>
      <c r="H2923" s="47">
        <v>147.9</v>
      </c>
      <c r="I2923" s="47" t="s">
        <v>62</v>
      </c>
    </row>
    <row r="2924" ht="15.75" customHeight="1">
      <c r="A2924" s="47" t="s">
        <v>6068</v>
      </c>
      <c r="B2924" s="47" t="s">
        <v>6069</v>
      </c>
      <c r="C2924" s="47" t="s">
        <v>7758</v>
      </c>
      <c r="D2924" s="47" t="s">
        <v>169</v>
      </c>
      <c r="E2924" s="47" t="s">
        <v>449</v>
      </c>
      <c r="F2924" s="47">
        <v>818.0</v>
      </c>
      <c r="G2924" s="47">
        <v>10.77</v>
      </c>
      <c r="H2924" s="47">
        <v>76.0</v>
      </c>
      <c r="I2924" s="47" t="s">
        <v>62</v>
      </c>
    </row>
    <row r="2925" ht="15.75" customHeight="1">
      <c r="A2925" s="47" t="s">
        <v>6070</v>
      </c>
      <c r="B2925" s="47" t="s">
        <v>6071</v>
      </c>
      <c r="C2925" s="47" t="s">
        <v>7758</v>
      </c>
      <c r="D2925" s="47" t="s">
        <v>150</v>
      </c>
      <c r="E2925" s="47" t="s">
        <v>411</v>
      </c>
      <c r="F2925" s="47">
        <v>291.0</v>
      </c>
      <c r="G2925" s="47">
        <v>11.32</v>
      </c>
      <c r="H2925" s="47">
        <v>25.7</v>
      </c>
      <c r="I2925" s="47" t="s">
        <v>75</v>
      </c>
    </row>
    <row r="2926" ht="15.75" customHeight="1">
      <c r="A2926" s="47" t="s">
        <v>6072</v>
      </c>
      <c r="B2926" s="47" t="s">
        <v>6073</v>
      </c>
      <c r="C2926" s="47" t="s">
        <v>7758</v>
      </c>
      <c r="D2926" s="47" t="s">
        <v>206</v>
      </c>
      <c r="E2926" s="47" t="s">
        <v>533</v>
      </c>
      <c r="F2926" s="47">
        <v>81.0</v>
      </c>
      <c r="G2926" s="47">
        <v>4.27</v>
      </c>
      <c r="H2926" s="47">
        <v>19.0</v>
      </c>
      <c r="I2926" s="47" t="s">
        <v>75</v>
      </c>
    </row>
    <row r="2927" ht="15.75" customHeight="1">
      <c r="A2927" s="47" t="s">
        <v>6074</v>
      </c>
      <c r="B2927" s="47" t="s">
        <v>6075</v>
      </c>
      <c r="C2927" s="47" t="s">
        <v>7758</v>
      </c>
      <c r="D2927" s="47" t="s">
        <v>187</v>
      </c>
      <c r="E2927" s="47" t="s">
        <v>488</v>
      </c>
      <c r="F2927" s="47">
        <v>171.0</v>
      </c>
      <c r="G2927" s="47">
        <v>5.28</v>
      </c>
      <c r="H2927" s="47">
        <v>32.4</v>
      </c>
      <c r="I2927" s="47" t="s">
        <v>75</v>
      </c>
    </row>
    <row r="2928" ht="15.75" customHeight="1">
      <c r="A2928" s="47" t="s">
        <v>6076</v>
      </c>
      <c r="B2928" s="47" t="s">
        <v>6077</v>
      </c>
      <c r="C2928" s="47" t="s">
        <v>7758</v>
      </c>
      <c r="D2928" s="47" t="s">
        <v>167</v>
      </c>
      <c r="E2928" s="47" t="s">
        <v>447</v>
      </c>
      <c r="F2928" s="47">
        <v>233.0</v>
      </c>
      <c r="G2928" s="47">
        <v>11.86</v>
      </c>
      <c r="H2928" s="47">
        <v>19.6</v>
      </c>
      <c r="I2928" s="47" t="s">
        <v>75</v>
      </c>
    </row>
    <row r="2929" ht="15.75" customHeight="1">
      <c r="A2929" s="47" t="s">
        <v>6078</v>
      </c>
      <c r="B2929" s="47" t="s">
        <v>6079</v>
      </c>
      <c r="C2929" s="47" t="s">
        <v>7758</v>
      </c>
      <c r="D2929" s="47" t="s">
        <v>219</v>
      </c>
      <c r="E2929" s="47" t="s">
        <v>377</v>
      </c>
      <c r="F2929" s="47">
        <v>907.0</v>
      </c>
      <c r="G2929" s="47">
        <v>3.41</v>
      </c>
      <c r="H2929" s="47">
        <v>266.0</v>
      </c>
      <c r="I2929" s="47" t="s">
        <v>62</v>
      </c>
    </row>
    <row r="2930" ht="15.75" customHeight="1">
      <c r="A2930" s="47" t="s">
        <v>6080</v>
      </c>
      <c r="B2930" s="47" t="s">
        <v>6081</v>
      </c>
      <c r="C2930" s="47" t="s">
        <v>7758</v>
      </c>
      <c r="D2930" s="47" t="s">
        <v>128</v>
      </c>
      <c r="E2930" s="47" t="s">
        <v>338</v>
      </c>
      <c r="F2930" s="47">
        <v>4224.0</v>
      </c>
      <c r="G2930" s="47">
        <v>15.3</v>
      </c>
      <c r="H2930" s="47">
        <v>276.1</v>
      </c>
      <c r="I2930" s="47" t="s">
        <v>142</v>
      </c>
    </row>
    <row r="2931" ht="15.75" customHeight="1">
      <c r="A2931" s="47" t="s">
        <v>6082</v>
      </c>
      <c r="B2931" s="47" t="s">
        <v>6083</v>
      </c>
      <c r="C2931" s="47" t="s">
        <v>7758</v>
      </c>
      <c r="D2931" s="47" t="s">
        <v>139</v>
      </c>
      <c r="E2931" s="47" t="s">
        <v>354</v>
      </c>
      <c r="F2931" s="47">
        <v>1376.0</v>
      </c>
      <c r="G2931" s="47">
        <v>18.22</v>
      </c>
      <c r="H2931" s="47">
        <v>75.5</v>
      </c>
      <c r="I2931" s="47" t="s">
        <v>62</v>
      </c>
    </row>
    <row r="2932" ht="15.75" customHeight="1">
      <c r="A2932" s="47" t="s">
        <v>6084</v>
      </c>
      <c r="B2932" s="47" t="s">
        <v>6085</v>
      </c>
      <c r="C2932" s="47" t="s">
        <v>7758</v>
      </c>
      <c r="D2932" s="47" t="s">
        <v>167</v>
      </c>
      <c r="E2932" s="47" t="s">
        <v>447</v>
      </c>
      <c r="F2932" s="47">
        <v>55.0</v>
      </c>
      <c r="G2932" s="47">
        <v>2.24</v>
      </c>
      <c r="H2932" s="47">
        <v>24.6</v>
      </c>
      <c r="I2932" s="47" t="s">
        <v>75</v>
      </c>
    </row>
    <row r="2933" ht="15.75" customHeight="1">
      <c r="A2933" s="47" t="s">
        <v>6086</v>
      </c>
      <c r="B2933" s="47" t="s">
        <v>6087</v>
      </c>
      <c r="C2933" s="47" t="s">
        <v>7758</v>
      </c>
      <c r="D2933" s="47" t="s">
        <v>204</v>
      </c>
      <c r="E2933" s="47" t="s">
        <v>527</v>
      </c>
      <c r="F2933" s="47">
        <v>422.0</v>
      </c>
      <c r="G2933" s="47">
        <v>10.43</v>
      </c>
      <c r="H2933" s="47">
        <v>40.5</v>
      </c>
      <c r="I2933" s="47" t="s">
        <v>75</v>
      </c>
    </row>
    <row r="2934" ht="15.75" customHeight="1">
      <c r="A2934" s="47" t="s">
        <v>6088</v>
      </c>
      <c r="B2934" s="47" t="s">
        <v>6089</v>
      </c>
      <c r="C2934" s="47" t="s">
        <v>7758</v>
      </c>
      <c r="D2934" s="47" t="s">
        <v>204</v>
      </c>
      <c r="E2934" s="47" t="s">
        <v>527</v>
      </c>
      <c r="F2934" s="47">
        <v>204.0</v>
      </c>
      <c r="G2934" s="47">
        <v>4.62</v>
      </c>
      <c r="H2934" s="47">
        <v>44.2</v>
      </c>
      <c r="I2934" s="47" t="s">
        <v>75</v>
      </c>
    </row>
    <row r="2935" ht="15.75" customHeight="1">
      <c r="A2935" s="47" t="s">
        <v>6090</v>
      </c>
      <c r="B2935" s="47" t="s">
        <v>6091</v>
      </c>
      <c r="C2935" s="47" t="s">
        <v>7758</v>
      </c>
      <c r="D2935" s="47" t="s">
        <v>206</v>
      </c>
      <c r="E2935" s="47" t="s">
        <v>533</v>
      </c>
      <c r="F2935" s="47">
        <v>293.0</v>
      </c>
      <c r="G2935" s="47">
        <v>6.2</v>
      </c>
      <c r="H2935" s="47">
        <v>47.3</v>
      </c>
      <c r="I2935" s="47" t="s">
        <v>75</v>
      </c>
    </row>
    <row r="2936" ht="15.75" customHeight="1">
      <c r="A2936" s="47" t="s">
        <v>6092</v>
      </c>
      <c r="B2936" s="47" t="s">
        <v>6093</v>
      </c>
      <c r="C2936" s="47" t="s">
        <v>7758</v>
      </c>
      <c r="D2936" s="47" t="s">
        <v>128</v>
      </c>
      <c r="E2936" s="47" t="s">
        <v>338</v>
      </c>
      <c r="F2936" s="47">
        <v>578.0</v>
      </c>
      <c r="G2936" s="47">
        <v>6.95</v>
      </c>
      <c r="H2936" s="47">
        <v>83.2</v>
      </c>
      <c r="I2936" s="47" t="s">
        <v>62</v>
      </c>
    </row>
    <row r="2937" ht="15.75" customHeight="1">
      <c r="A2937" s="47" t="s">
        <v>6094</v>
      </c>
      <c r="B2937" s="47" t="s">
        <v>6095</v>
      </c>
      <c r="C2937" s="47" t="s">
        <v>7758</v>
      </c>
      <c r="D2937" s="47" t="s">
        <v>206</v>
      </c>
      <c r="E2937" s="47" t="s">
        <v>533</v>
      </c>
      <c r="F2937" s="47">
        <v>67.0</v>
      </c>
      <c r="G2937" s="47">
        <v>3.3</v>
      </c>
      <c r="H2937" s="47">
        <v>20.3</v>
      </c>
      <c r="I2937" s="47" t="s">
        <v>75</v>
      </c>
    </row>
    <row r="2938" ht="15.75" customHeight="1">
      <c r="A2938" s="47" t="s">
        <v>6096</v>
      </c>
      <c r="B2938" s="47" t="s">
        <v>6097</v>
      </c>
      <c r="C2938" s="47" t="s">
        <v>7758</v>
      </c>
      <c r="D2938" s="47" t="s">
        <v>167</v>
      </c>
      <c r="E2938" s="47" t="s">
        <v>447</v>
      </c>
      <c r="F2938" s="47">
        <v>245.0</v>
      </c>
      <c r="G2938" s="47">
        <v>5.98</v>
      </c>
      <c r="H2938" s="47">
        <v>41.0</v>
      </c>
      <c r="I2938" s="47" t="s">
        <v>75</v>
      </c>
    </row>
    <row r="2939" ht="15.75" customHeight="1">
      <c r="A2939" s="47" t="s">
        <v>6098</v>
      </c>
      <c r="B2939" s="47" t="s">
        <v>6099</v>
      </c>
      <c r="C2939" s="47" t="s">
        <v>7758</v>
      </c>
      <c r="D2939" s="47" t="s">
        <v>206</v>
      </c>
      <c r="E2939" s="47" t="s">
        <v>533</v>
      </c>
      <c r="F2939" s="47">
        <v>538.0</v>
      </c>
      <c r="G2939" s="47">
        <v>9.21</v>
      </c>
      <c r="H2939" s="47">
        <v>58.4</v>
      </c>
      <c r="I2939" s="47" t="s">
        <v>62</v>
      </c>
    </row>
    <row r="2940" ht="15.75" customHeight="1">
      <c r="A2940" s="47" t="s">
        <v>6100</v>
      </c>
      <c r="B2940" s="47" t="s">
        <v>6101</v>
      </c>
      <c r="C2940" s="47" t="s">
        <v>7758</v>
      </c>
      <c r="D2940" s="47" t="s">
        <v>118</v>
      </c>
      <c r="E2940" s="47" t="s">
        <v>300</v>
      </c>
      <c r="F2940" s="47">
        <v>1138.0</v>
      </c>
      <c r="G2940" s="47">
        <v>2.98</v>
      </c>
      <c r="H2940" s="47">
        <v>381.9</v>
      </c>
      <c r="I2940" s="47" t="s">
        <v>62</v>
      </c>
    </row>
    <row r="2941" ht="15.75" customHeight="1">
      <c r="A2941" s="47" t="s">
        <v>6102</v>
      </c>
      <c r="B2941" s="47" t="s">
        <v>6103</v>
      </c>
      <c r="C2941" s="47" t="s">
        <v>7758</v>
      </c>
      <c r="D2941" s="47" t="s">
        <v>191</v>
      </c>
      <c r="E2941" s="47" t="s">
        <v>504</v>
      </c>
      <c r="F2941" s="47">
        <v>494.0</v>
      </c>
      <c r="G2941" s="47">
        <v>7.65</v>
      </c>
      <c r="H2941" s="47">
        <v>64.6</v>
      </c>
      <c r="I2941" s="47" t="s">
        <v>75</v>
      </c>
    </row>
    <row r="2942" ht="15.75" customHeight="1">
      <c r="A2942" s="47" t="s">
        <v>6104</v>
      </c>
      <c r="B2942" s="47" t="s">
        <v>6105</v>
      </c>
      <c r="C2942" s="47" t="s">
        <v>7758</v>
      </c>
      <c r="D2942" s="47" t="s">
        <v>206</v>
      </c>
      <c r="E2942" s="47" t="s">
        <v>533</v>
      </c>
      <c r="F2942" s="47">
        <v>89.0</v>
      </c>
      <c r="G2942" s="47">
        <v>4.84</v>
      </c>
      <c r="H2942" s="47">
        <v>18.4</v>
      </c>
      <c r="I2942" s="47" t="s">
        <v>75</v>
      </c>
    </row>
    <row r="2943" ht="15.75" customHeight="1">
      <c r="A2943" s="47" t="s">
        <v>6106</v>
      </c>
      <c r="B2943" s="47" t="s">
        <v>6107</v>
      </c>
      <c r="C2943" s="47" t="s">
        <v>7758</v>
      </c>
      <c r="D2943" s="47" t="s">
        <v>204</v>
      </c>
      <c r="E2943" s="47" t="s">
        <v>527</v>
      </c>
      <c r="F2943" s="47">
        <v>1099.0</v>
      </c>
      <c r="G2943" s="47">
        <v>14.02</v>
      </c>
      <c r="H2943" s="47">
        <v>78.4</v>
      </c>
      <c r="I2943" s="47" t="s">
        <v>62</v>
      </c>
    </row>
    <row r="2944" ht="15.75" customHeight="1">
      <c r="A2944" s="47" t="s">
        <v>6108</v>
      </c>
      <c r="B2944" s="47" t="s">
        <v>6109</v>
      </c>
      <c r="C2944" s="47" t="s">
        <v>7758</v>
      </c>
      <c r="D2944" s="47" t="s">
        <v>204</v>
      </c>
      <c r="E2944" s="47" t="s">
        <v>527</v>
      </c>
      <c r="F2944" s="47">
        <v>130.0</v>
      </c>
      <c r="G2944" s="47">
        <v>3.17</v>
      </c>
      <c r="H2944" s="47">
        <v>41.0</v>
      </c>
      <c r="I2944" s="47" t="s">
        <v>75</v>
      </c>
    </row>
    <row r="2945" ht="15.75" customHeight="1">
      <c r="A2945" s="47" t="s">
        <v>6110</v>
      </c>
      <c r="B2945" s="47" t="s">
        <v>6111</v>
      </c>
      <c r="C2945" s="47" t="s">
        <v>7758</v>
      </c>
      <c r="D2945" s="47" t="s">
        <v>118</v>
      </c>
      <c r="E2945" s="47" t="s">
        <v>300</v>
      </c>
      <c r="F2945" s="47">
        <v>2374.0</v>
      </c>
      <c r="G2945" s="47">
        <v>3.65</v>
      </c>
      <c r="H2945" s="47">
        <v>650.4</v>
      </c>
      <c r="I2945" s="47" t="s">
        <v>142</v>
      </c>
    </row>
    <row r="2946" ht="15.75" customHeight="1">
      <c r="A2946" s="47" t="s">
        <v>6112</v>
      </c>
      <c r="B2946" s="47" t="s">
        <v>6113</v>
      </c>
      <c r="C2946" s="47" t="s">
        <v>7758</v>
      </c>
      <c r="D2946" s="47" t="s">
        <v>127</v>
      </c>
      <c r="E2946" s="47" t="s">
        <v>323</v>
      </c>
      <c r="F2946" s="47">
        <v>8536.0</v>
      </c>
      <c r="G2946" s="47">
        <v>10.64</v>
      </c>
      <c r="H2946" s="47">
        <v>802.3</v>
      </c>
      <c r="I2946" s="47" t="s">
        <v>142</v>
      </c>
    </row>
    <row r="2947" ht="15.75" customHeight="1">
      <c r="A2947" s="47" t="s">
        <v>6114</v>
      </c>
      <c r="B2947" s="47" t="s">
        <v>6115</v>
      </c>
      <c r="C2947" s="47" t="s">
        <v>7758</v>
      </c>
      <c r="D2947" s="47" t="s">
        <v>187</v>
      </c>
      <c r="E2947" s="47" t="s">
        <v>488</v>
      </c>
      <c r="F2947" s="47">
        <v>235.0</v>
      </c>
      <c r="G2947" s="47">
        <v>10.69</v>
      </c>
      <c r="H2947" s="47">
        <v>22.0</v>
      </c>
      <c r="I2947" s="47" t="s">
        <v>75</v>
      </c>
    </row>
    <row r="2948" ht="15.75" customHeight="1">
      <c r="A2948" s="47" t="s">
        <v>6116</v>
      </c>
      <c r="B2948" s="47" t="s">
        <v>6117</v>
      </c>
      <c r="C2948" s="47" t="s">
        <v>7758</v>
      </c>
      <c r="D2948" s="47" t="s">
        <v>187</v>
      </c>
      <c r="E2948" s="47" t="s">
        <v>488</v>
      </c>
      <c r="F2948" s="47">
        <v>665.0</v>
      </c>
      <c r="G2948" s="47">
        <v>15.62</v>
      </c>
      <c r="H2948" s="47">
        <v>42.6</v>
      </c>
      <c r="I2948" s="47" t="s">
        <v>62</v>
      </c>
    </row>
    <row r="2949" ht="15.75" customHeight="1">
      <c r="A2949" s="47" t="s">
        <v>6118</v>
      </c>
      <c r="B2949" s="47" t="s">
        <v>6119</v>
      </c>
      <c r="C2949" s="47" t="s">
        <v>7758</v>
      </c>
      <c r="D2949" s="47" t="s">
        <v>150</v>
      </c>
      <c r="E2949" s="47" t="s">
        <v>411</v>
      </c>
      <c r="F2949" s="47">
        <v>516.0</v>
      </c>
      <c r="G2949" s="47">
        <v>7.08</v>
      </c>
      <c r="H2949" s="47">
        <v>72.9</v>
      </c>
      <c r="I2949" s="47" t="s">
        <v>62</v>
      </c>
    </row>
    <row r="2950" ht="15.75" customHeight="1">
      <c r="A2950" s="47" t="s">
        <v>6120</v>
      </c>
      <c r="B2950" s="47" t="s">
        <v>6121</v>
      </c>
      <c r="C2950" s="47" t="s">
        <v>7758</v>
      </c>
      <c r="D2950" s="47" t="s">
        <v>118</v>
      </c>
      <c r="E2950" s="47" t="s">
        <v>300</v>
      </c>
      <c r="F2950" s="47">
        <v>4729.0</v>
      </c>
      <c r="G2950" s="47">
        <v>10.42</v>
      </c>
      <c r="H2950" s="47">
        <v>453.8</v>
      </c>
      <c r="I2950" s="47" t="s">
        <v>142</v>
      </c>
    </row>
    <row r="2951" ht="15.75" customHeight="1">
      <c r="A2951" s="47" t="s">
        <v>6122</v>
      </c>
      <c r="B2951" s="47" t="s">
        <v>6123</v>
      </c>
      <c r="C2951" s="47" t="s">
        <v>7758</v>
      </c>
      <c r="D2951" s="47" t="s">
        <v>118</v>
      </c>
      <c r="E2951" s="47" t="s">
        <v>300</v>
      </c>
      <c r="F2951" s="47">
        <v>1978.0</v>
      </c>
      <c r="G2951" s="47">
        <v>3.59</v>
      </c>
      <c r="H2951" s="47">
        <v>551.0</v>
      </c>
      <c r="I2951" s="47" t="s">
        <v>62</v>
      </c>
    </row>
    <row r="2952" ht="15.75" customHeight="1">
      <c r="A2952" s="47" t="s">
        <v>6124</v>
      </c>
      <c r="B2952" s="47" t="s">
        <v>6125</v>
      </c>
      <c r="C2952" s="47" t="s">
        <v>7758</v>
      </c>
      <c r="D2952" s="47" t="s">
        <v>118</v>
      </c>
      <c r="E2952" s="47" t="s">
        <v>300</v>
      </c>
      <c r="F2952" s="47">
        <v>3445.0</v>
      </c>
      <c r="G2952" s="47">
        <v>3.67</v>
      </c>
      <c r="H2952" s="47">
        <v>938.7</v>
      </c>
      <c r="I2952" s="47" t="s">
        <v>142</v>
      </c>
    </row>
    <row r="2953" ht="15.75" customHeight="1">
      <c r="A2953" s="47" t="s">
        <v>6126</v>
      </c>
      <c r="B2953" s="47" t="s">
        <v>6127</v>
      </c>
      <c r="C2953" s="47" t="s">
        <v>7758</v>
      </c>
      <c r="D2953" s="47" t="s">
        <v>128</v>
      </c>
      <c r="E2953" s="47" t="s">
        <v>338</v>
      </c>
      <c r="F2953" s="47">
        <v>2571.0</v>
      </c>
      <c r="G2953" s="47">
        <v>11.02</v>
      </c>
      <c r="H2953" s="47">
        <v>233.3</v>
      </c>
      <c r="I2953" s="47" t="s">
        <v>142</v>
      </c>
    </row>
    <row r="2954" ht="15.75" customHeight="1">
      <c r="A2954" s="47" t="s">
        <v>6128</v>
      </c>
      <c r="B2954" s="47" t="s">
        <v>6129</v>
      </c>
      <c r="C2954" s="47" t="s">
        <v>7758</v>
      </c>
      <c r="D2954" s="47" t="s">
        <v>167</v>
      </c>
      <c r="E2954" s="47" t="s">
        <v>447</v>
      </c>
      <c r="F2954" s="47">
        <v>351.0</v>
      </c>
      <c r="G2954" s="47">
        <v>9.73</v>
      </c>
      <c r="H2954" s="47">
        <v>36.1</v>
      </c>
      <c r="I2954" s="47" t="s">
        <v>75</v>
      </c>
    </row>
    <row r="2955" ht="15.75" customHeight="1">
      <c r="A2955" s="47" t="s">
        <v>6130</v>
      </c>
      <c r="B2955" s="47" t="s">
        <v>6131</v>
      </c>
      <c r="C2955" s="47" t="s">
        <v>7758</v>
      </c>
      <c r="D2955" s="47" t="s">
        <v>118</v>
      </c>
      <c r="E2955" s="47" t="s">
        <v>300</v>
      </c>
      <c r="F2955" s="47">
        <v>882.0</v>
      </c>
      <c r="G2955" s="47">
        <v>3.46</v>
      </c>
      <c r="H2955" s="47">
        <v>254.9</v>
      </c>
      <c r="I2955" s="47" t="s">
        <v>62</v>
      </c>
    </row>
    <row r="2956" ht="15.75" customHeight="1">
      <c r="A2956" s="47" t="s">
        <v>6132</v>
      </c>
      <c r="B2956" s="47" t="s">
        <v>6133</v>
      </c>
      <c r="C2956" s="47" t="s">
        <v>7758</v>
      </c>
      <c r="D2956" s="47" t="s">
        <v>161</v>
      </c>
      <c r="E2956" s="47" t="s">
        <v>438</v>
      </c>
      <c r="F2956" s="47">
        <v>1511.0</v>
      </c>
      <c r="G2956" s="47">
        <v>21.2</v>
      </c>
      <c r="H2956" s="47">
        <v>71.3</v>
      </c>
      <c r="I2956" s="47" t="s">
        <v>62</v>
      </c>
    </row>
    <row r="2957" ht="15.75" customHeight="1">
      <c r="A2957" s="47" t="s">
        <v>6134</v>
      </c>
      <c r="B2957" s="47" t="s">
        <v>6135</v>
      </c>
      <c r="C2957" s="47" t="s">
        <v>7758</v>
      </c>
      <c r="D2957" s="47" t="s">
        <v>150</v>
      </c>
      <c r="E2957" s="47" t="s">
        <v>411</v>
      </c>
      <c r="F2957" s="47">
        <v>391.0</v>
      </c>
      <c r="G2957" s="47">
        <v>5.83</v>
      </c>
      <c r="H2957" s="47">
        <v>67.1</v>
      </c>
      <c r="I2957" s="47" t="s">
        <v>75</v>
      </c>
    </row>
    <row r="2958" ht="15.75" customHeight="1">
      <c r="A2958" s="47" t="s">
        <v>6136</v>
      </c>
      <c r="B2958" s="47" t="s">
        <v>6137</v>
      </c>
      <c r="C2958" s="47" t="s">
        <v>7758</v>
      </c>
      <c r="D2958" s="47" t="s">
        <v>127</v>
      </c>
      <c r="E2958" s="47" t="s">
        <v>323</v>
      </c>
      <c r="F2958" s="47">
        <v>607.0</v>
      </c>
      <c r="G2958" s="47">
        <v>5.23</v>
      </c>
      <c r="H2958" s="47">
        <v>116.1</v>
      </c>
      <c r="I2958" s="47" t="s">
        <v>62</v>
      </c>
    </row>
    <row r="2959" ht="15.75" customHeight="1">
      <c r="A2959" s="47" t="s">
        <v>6138</v>
      </c>
      <c r="B2959" s="47" t="s">
        <v>6139</v>
      </c>
      <c r="C2959" s="47" t="s">
        <v>7758</v>
      </c>
      <c r="D2959" s="47" t="s">
        <v>204</v>
      </c>
      <c r="E2959" s="47" t="s">
        <v>527</v>
      </c>
      <c r="F2959" s="47">
        <v>245.0</v>
      </c>
      <c r="G2959" s="47">
        <v>5.84</v>
      </c>
      <c r="H2959" s="47">
        <v>42.0</v>
      </c>
      <c r="I2959" s="47" t="s">
        <v>75</v>
      </c>
    </row>
    <row r="2960" ht="15.75" customHeight="1">
      <c r="A2960" s="47" t="s">
        <v>6140</v>
      </c>
      <c r="B2960" s="47" t="s">
        <v>6141</v>
      </c>
      <c r="C2960" s="47" t="s">
        <v>7758</v>
      </c>
      <c r="D2960" s="47" t="s">
        <v>169</v>
      </c>
      <c r="E2960" s="47" t="s">
        <v>449</v>
      </c>
      <c r="F2960" s="47">
        <v>368.0</v>
      </c>
      <c r="G2960" s="47">
        <v>3.85</v>
      </c>
      <c r="H2960" s="47">
        <v>95.6</v>
      </c>
      <c r="I2960" s="47" t="s">
        <v>75</v>
      </c>
    </row>
    <row r="2961" ht="15.75" customHeight="1">
      <c r="A2961" s="47" t="s">
        <v>6142</v>
      </c>
      <c r="B2961" s="47" t="s">
        <v>6143</v>
      </c>
      <c r="C2961" s="47" t="s">
        <v>7758</v>
      </c>
      <c r="D2961" s="47" t="s">
        <v>169</v>
      </c>
      <c r="E2961" s="47" t="s">
        <v>449</v>
      </c>
      <c r="F2961" s="47">
        <v>127.0</v>
      </c>
      <c r="G2961" s="47">
        <v>3.22</v>
      </c>
      <c r="H2961" s="47">
        <v>39.4</v>
      </c>
      <c r="I2961" s="47" t="s">
        <v>75</v>
      </c>
    </row>
    <row r="2962" ht="15.75" customHeight="1">
      <c r="A2962" s="47" t="s">
        <v>6144</v>
      </c>
      <c r="B2962" s="47" t="s">
        <v>6145</v>
      </c>
      <c r="C2962" s="47" t="s">
        <v>7758</v>
      </c>
      <c r="D2962" s="47" t="s">
        <v>219</v>
      </c>
      <c r="E2962" s="47" t="s">
        <v>377</v>
      </c>
      <c r="F2962" s="47">
        <v>243.0</v>
      </c>
      <c r="G2962" s="47">
        <v>4.43</v>
      </c>
      <c r="H2962" s="47">
        <v>54.9</v>
      </c>
      <c r="I2962" s="47" t="s">
        <v>75</v>
      </c>
    </row>
    <row r="2963" ht="15.75" customHeight="1">
      <c r="A2963" s="47" t="s">
        <v>6146</v>
      </c>
      <c r="B2963" s="47" t="s">
        <v>6147</v>
      </c>
      <c r="C2963" s="47" t="s">
        <v>7758</v>
      </c>
      <c r="D2963" s="47" t="s">
        <v>206</v>
      </c>
      <c r="E2963" s="47" t="s">
        <v>533</v>
      </c>
      <c r="F2963" s="47">
        <v>255.0</v>
      </c>
      <c r="G2963" s="47">
        <v>8.41</v>
      </c>
      <c r="H2963" s="47">
        <v>30.3</v>
      </c>
      <c r="I2963" s="47" t="s">
        <v>75</v>
      </c>
    </row>
    <row r="2964" ht="15.75" customHeight="1">
      <c r="A2964" s="47" t="s">
        <v>6148</v>
      </c>
      <c r="B2964" s="47" t="s">
        <v>6149</v>
      </c>
      <c r="C2964" s="47" t="s">
        <v>7758</v>
      </c>
      <c r="D2964" s="47" t="s">
        <v>169</v>
      </c>
      <c r="E2964" s="47" t="s">
        <v>449</v>
      </c>
      <c r="F2964" s="47">
        <v>137.0</v>
      </c>
      <c r="G2964" s="47">
        <v>2.5</v>
      </c>
      <c r="H2964" s="47">
        <v>54.8</v>
      </c>
      <c r="I2964" s="47" t="s">
        <v>75</v>
      </c>
    </row>
    <row r="2965" ht="15.75" customHeight="1">
      <c r="A2965" s="47" t="s">
        <v>6150</v>
      </c>
      <c r="B2965" s="47" t="s">
        <v>6151</v>
      </c>
      <c r="C2965" s="47" t="s">
        <v>7758</v>
      </c>
      <c r="D2965" s="47" t="s">
        <v>127</v>
      </c>
      <c r="E2965" s="47" t="s">
        <v>323</v>
      </c>
      <c r="F2965" s="47">
        <v>4270.0</v>
      </c>
      <c r="G2965" s="47">
        <v>11.43</v>
      </c>
      <c r="H2965" s="47">
        <v>373.6</v>
      </c>
      <c r="I2965" s="47" t="s">
        <v>142</v>
      </c>
    </row>
    <row r="2966" ht="15.75" customHeight="1">
      <c r="A2966" s="47" t="s">
        <v>6152</v>
      </c>
      <c r="B2966" s="47" t="s">
        <v>6153</v>
      </c>
      <c r="C2966" s="47" t="s">
        <v>7758</v>
      </c>
      <c r="D2966" s="47" t="s">
        <v>187</v>
      </c>
      <c r="E2966" s="47" t="s">
        <v>488</v>
      </c>
      <c r="F2966" s="47">
        <v>146.0</v>
      </c>
      <c r="G2966" s="47">
        <v>4.62</v>
      </c>
      <c r="H2966" s="47">
        <v>31.6</v>
      </c>
      <c r="I2966" s="47" t="s">
        <v>75</v>
      </c>
    </row>
    <row r="2967" ht="15.75" customHeight="1">
      <c r="A2967" s="47" t="s">
        <v>6154</v>
      </c>
      <c r="B2967" s="47" t="s">
        <v>6155</v>
      </c>
      <c r="C2967" s="47" t="s">
        <v>7758</v>
      </c>
      <c r="D2967" s="47" t="s">
        <v>118</v>
      </c>
      <c r="E2967" s="47" t="s">
        <v>300</v>
      </c>
      <c r="F2967" s="47">
        <v>3839.0</v>
      </c>
      <c r="G2967" s="47">
        <v>10.02</v>
      </c>
      <c r="H2967" s="47">
        <v>383.1</v>
      </c>
      <c r="I2967" s="47" t="s">
        <v>142</v>
      </c>
    </row>
    <row r="2968" ht="15.75" customHeight="1">
      <c r="A2968" s="47" t="s">
        <v>6156</v>
      </c>
      <c r="B2968" s="47" t="s">
        <v>6157</v>
      </c>
      <c r="C2968" s="47" t="s">
        <v>7758</v>
      </c>
      <c r="D2968" s="47" t="s">
        <v>219</v>
      </c>
      <c r="E2968" s="47" t="s">
        <v>377</v>
      </c>
      <c r="F2968" s="47">
        <v>632.0</v>
      </c>
      <c r="G2968" s="47">
        <v>6.41</v>
      </c>
      <c r="H2968" s="47">
        <v>98.6</v>
      </c>
      <c r="I2968" s="47" t="s">
        <v>62</v>
      </c>
    </row>
    <row r="2969" ht="15.75" customHeight="1">
      <c r="A2969" s="47" t="s">
        <v>6158</v>
      </c>
      <c r="B2969" s="47" t="s">
        <v>6159</v>
      </c>
      <c r="C2969" s="47" t="s">
        <v>7758</v>
      </c>
      <c r="D2969" s="47" t="s">
        <v>219</v>
      </c>
      <c r="E2969" s="47" t="s">
        <v>377</v>
      </c>
      <c r="F2969" s="47">
        <v>4849.0</v>
      </c>
      <c r="G2969" s="47">
        <v>18.77</v>
      </c>
      <c r="H2969" s="47">
        <v>258.3</v>
      </c>
      <c r="I2969" s="47" t="s">
        <v>142</v>
      </c>
    </row>
    <row r="2970" ht="15.75" customHeight="1">
      <c r="A2970" s="47" t="s">
        <v>6160</v>
      </c>
      <c r="B2970" s="47" t="s">
        <v>6161</v>
      </c>
      <c r="C2970" s="47" t="s">
        <v>7758</v>
      </c>
      <c r="D2970" s="47" t="s">
        <v>128</v>
      </c>
      <c r="E2970" s="47" t="s">
        <v>338</v>
      </c>
      <c r="F2970" s="47">
        <v>449.0</v>
      </c>
      <c r="G2970" s="47">
        <v>8.72</v>
      </c>
      <c r="H2970" s="47">
        <v>51.5</v>
      </c>
      <c r="I2970" s="47" t="s">
        <v>75</v>
      </c>
    </row>
    <row r="2971" ht="15.75" customHeight="1">
      <c r="A2971" s="47" t="s">
        <v>6162</v>
      </c>
      <c r="B2971" s="47" t="s">
        <v>6163</v>
      </c>
      <c r="C2971" s="47" t="s">
        <v>7758</v>
      </c>
      <c r="D2971" s="47" t="s">
        <v>163</v>
      </c>
      <c r="E2971" s="47" t="s">
        <v>441</v>
      </c>
      <c r="F2971" s="47">
        <v>259.0</v>
      </c>
      <c r="G2971" s="47">
        <v>2.46</v>
      </c>
      <c r="H2971" s="47">
        <v>105.3</v>
      </c>
      <c r="I2971" s="47" t="s">
        <v>75</v>
      </c>
    </row>
    <row r="2972" ht="15.75" customHeight="1">
      <c r="A2972" s="47" t="s">
        <v>6164</v>
      </c>
      <c r="B2972" s="47" t="s">
        <v>6165</v>
      </c>
      <c r="C2972" s="47" t="s">
        <v>7758</v>
      </c>
      <c r="D2972" s="47" t="s">
        <v>167</v>
      </c>
      <c r="E2972" s="47" t="s">
        <v>447</v>
      </c>
      <c r="F2972" s="47">
        <v>261.0</v>
      </c>
      <c r="G2972" s="47">
        <v>9.13</v>
      </c>
      <c r="H2972" s="47">
        <v>28.6</v>
      </c>
      <c r="I2972" s="47" t="s">
        <v>75</v>
      </c>
    </row>
    <row r="2973" ht="15.75" customHeight="1">
      <c r="A2973" s="47" t="s">
        <v>6166</v>
      </c>
      <c r="B2973" s="47" t="s">
        <v>6167</v>
      </c>
      <c r="C2973" s="47" t="s">
        <v>7758</v>
      </c>
      <c r="D2973" s="47" t="s">
        <v>234</v>
      </c>
      <c r="E2973" s="47" t="s">
        <v>552</v>
      </c>
      <c r="F2973" s="47">
        <v>1062.0</v>
      </c>
      <c r="G2973" s="47">
        <v>9.73</v>
      </c>
      <c r="H2973" s="47">
        <v>109.1</v>
      </c>
      <c r="I2973" s="47" t="s">
        <v>62</v>
      </c>
    </row>
    <row r="2974" ht="15.75" customHeight="1">
      <c r="A2974" s="47" t="s">
        <v>6168</v>
      </c>
      <c r="B2974" s="47" t="s">
        <v>6169</v>
      </c>
      <c r="C2974" s="47" t="s">
        <v>7758</v>
      </c>
      <c r="D2974" s="47" t="s">
        <v>128</v>
      </c>
      <c r="E2974" s="47" t="s">
        <v>338</v>
      </c>
      <c r="F2974" s="47">
        <v>1062.0</v>
      </c>
      <c r="G2974" s="47">
        <v>14.29</v>
      </c>
      <c r="H2974" s="47">
        <v>74.3</v>
      </c>
      <c r="I2974" s="47" t="s">
        <v>62</v>
      </c>
    </row>
    <row r="2975" ht="15.75" customHeight="1">
      <c r="A2975" s="47" t="s">
        <v>6170</v>
      </c>
      <c r="B2975" s="47" t="s">
        <v>6171</v>
      </c>
      <c r="C2975" s="47" t="s">
        <v>7758</v>
      </c>
      <c r="D2975" s="47" t="s">
        <v>167</v>
      </c>
      <c r="E2975" s="47" t="s">
        <v>447</v>
      </c>
      <c r="F2975" s="47">
        <v>259.0</v>
      </c>
      <c r="G2975" s="47">
        <v>6.07</v>
      </c>
      <c r="H2975" s="47">
        <v>42.7</v>
      </c>
      <c r="I2975" s="47" t="s">
        <v>75</v>
      </c>
    </row>
    <row r="2976" ht="15.75" customHeight="1">
      <c r="A2976" s="47" t="s">
        <v>6172</v>
      </c>
      <c r="B2976" s="47" t="s">
        <v>6173</v>
      </c>
      <c r="C2976" s="47" t="s">
        <v>7758</v>
      </c>
      <c r="D2976" s="47" t="s">
        <v>167</v>
      </c>
      <c r="E2976" s="47" t="s">
        <v>447</v>
      </c>
      <c r="F2976" s="47">
        <v>253.0</v>
      </c>
      <c r="G2976" s="47">
        <v>7.14</v>
      </c>
      <c r="H2976" s="47">
        <v>35.4</v>
      </c>
      <c r="I2976" s="47" t="s">
        <v>75</v>
      </c>
    </row>
    <row r="2977" ht="15.75" customHeight="1">
      <c r="A2977" s="47" t="s">
        <v>6174</v>
      </c>
      <c r="B2977" s="47" t="s">
        <v>6175</v>
      </c>
      <c r="C2977" s="47" t="s">
        <v>7758</v>
      </c>
      <c r="D2977" s="47" t="s">
        <v>234</v>
      </c>
      <c r="E2977" s="47" t="s">
        <v>552</v>
      </c>
      <c r="F2977" s="47">
        <v>626.0</v>
      </c>
      <c r="G2977" s="47">
        <v>8.95</v>
      </c>
      <c r="H2977" s="47">
        <v>69.9</v>
      </c>
      <c r="I2977" s="47" t="s">
        <v>62</v>
      </c>
    </row>
    <row r="2978" ht="15.75" customHeight="1">
      <c r="A2978" s="47" t="s">
        <v>6176</v>
      </c>
      <c r="B2978" s="47" t="s">
        <v>6177</v>
      </c>
      <c r="C2978" s="47" t="s">
        <v>7758</v>
      </c>
      <c r="D2978" s="47" t="s">
        <v>169</v>
      </c>
      <c r="E2978" s="47" t="s">
        <v>449</v>
      </c>
      <c r="F2978" s="47">
        <v>748.0</v>
      </c>
      <c r="G2978" s="47">
        <v>10.34</v>
      </c>
      <c r="H2978" s="47">
        <v>72.3</v>
      </c>
      <c r="I2978" s="47" t="s">
        <v>62</v>
      </c>
    </row>
    <row r="2979" ht="15.75" customHeight="1">
      <c r="A2979" s="47" t="s">
        <v>6178</v>
      </c>
      <c r="B2979" s="47" t="s">
        <v>6179</v>
      </c>
      <c r="C2979" s="47" t="s">
        <v>7758</v>
      </c>
      <c r="D2979" s="47" t="s">
        <v>139</v>
      </c>
      <c r="E2979" s="47" t="s">
        <v>354</v>
      </c>
      <c r="F2979" s="47">
        <v>1328.0</v>
      </c>
      <c r="G2979" s="47">
        <v>3.77</v>
      </c>
      <c r="H2979" s="47">
        <v>352.3</v>
      </c>
      <c r="I2979" s="47" t="s">
        <v>62</v>
      </c>
    </row>
    <row r="2980" ht="15.75" customHeight="1">
      <c r="A2980" s="47" t="s">
        <v>6180</v>
      </c>
      <c r="B2980" s="47" t="s">
        <v>6181</v>
      </c>
      <c r="C2980" s="47" t="s">
        <v>7758</v>
      </c>
      <c r="D2980" s="47" t="s">
        <v>204</v>
      </c>
      <c r="E2980" s="47" t="s">
        <v>527</v>
      </c>
      <c r="F2980" s="47">
        <v>131.0</v>
      </c>
      <c r="G2980" s="47">
        <v>3.7</v>
      </c>
      <c r="H2980" s="47">
        <v>35.4</v>
      </c>
      <c r="I2980" s="47" t="s">
        <v>75</v>
      </c>
    </row>
    <row r="2981" ht="15.75" customHeight="1">
      <c r="A2981" s="47" t="s">
        <v>6182</v>
      </c>
      <c r="B2981" s="47" t="s">
        <v>6183</v>
      </c>
      <c r="C2981" s="47" t="s">
        <v>7758</v>
      </c>
      <c r="D2981" s="47" t="s">
        <v>169</v>
      </c>
      <c r="E2981" s="47" t="s">
        <v>449</v>
      </c>
      <c r="F2981" s="47">
        <v>177.0</v>
      </c>
      <c r="G2981" s="47">
        <v>5.15</v>
      </c>
      <c r="H2981" s="47">
        <v>34.4</v>
      </c>
      <c r="I2981" s="47" t="s">
        <v>75</v>
      </c>
    </row>
    <row r="2982" ht="15.75" customHeight="1">
      <c r="A2982" s="47" t="s">
        <v>6184</v>
      </c>
      <c r="B2982" s="47" t="s">
        <v>6185</v>
      </c>
      <c r="C2982" s="47" t="s">
        <v>7758</v>
      </c>
      <c r="D2982" s="47" t="s">
        <v>169</v>
      </c>
      <c r="E2982" s="47" t="s">
        <v>449</v>
      </c>
      <c r="F2982" s="47">
        <v>377.0</v>
      </c>
      <c r="G2982" s="47">
        <v>5.44</v>
      </c>
      <c r="H2982" s="47">
        <v>69.3</v>
      </c>
      <c r="I2982" s="47" t="s">
        <v>75</v>
      </c>
    </row>
    <row r="2983" ht="15.75" customHeight="1">
      <c r="A2983" s="47" t="s">
        <v>6186</v>
      </c>
      <c r="B2983" s="47" t="s">
        <v>6187</v>
      </c>
      <c r="C2983" s="47" t="s">
        <v>7758</v>
      </c>
      <c r="D2983" s="47" t="s">
        <v>169</v>
      </c>
      <c r="E2983" s="47" t="s">
        <v>449</v>
      </c>
      <c r="F2983" s="47">
        <v>218.0</v>
      </c>
      <c r="G2983" s="47">
        <v>4.06</v>
      </c>
      <c r="H2983" s="47">
        <v>53.7</v>
      </c>
      <c r="I2983" s="47" t="s">
        <v>75</v>
      </c>
    </row>
    <row r="2984" ht="15.75" customHeight="1">
      <c r="A2984" s="47" t="s">
        <v>6188</v>
      </c>
      <c r="B2984" s="47" t="s">
        <v>6189</v>
      </c>
      <c r="C2984" s="47" t="s">
        <v>7758</v>
      </c>
      <c r="D2984" s="47" t="s">
        <v>150</v>
      </c>
      <c r="E2984" s="47" t="s">
        <v>411</v>
      </c>
      <c r="F2984" s="47">
        <v>203.0</v>
      </c>
      <c r="G2984" s="47">
        <v>0.94</v>
      </c>
      <c r="H2984" s="47">
        <v>216.0</v>
      </c>
      <c r="I2984" s="47" t="s">
        <v>75</v>
      </c>
    </row>
    <row r="2985" ht="15.75" customHeight="1">
      <c r="A2985" s="47" t="s">
        <v>6190</v>
      </c>
      <c r="B2985" s="47" t="s">
        <v>6191</v>
      </c>
      <c r="C2985" s="47" t="s">
        <v>7758</v>
      </c>
      <c r="D2985" s="47" t="s">
        <v>206</v>
      </c>
      <c r="E2985" s="47" t="s">
        <v>533</v>
      </c>
      <c r="F2985" s="47">
        <v>355.0</v>
      </c>
      <c r="G2985" s="47">
        <v>9.49</v>
      </c>
      <c r="H2985" s="47">
        <v>37.4</v>
      </c>
      <c r="I2985" s="47" t="s">
        <v>75</v>
      </c>
    </row>
    <row r="2986" ht="15.75" customHeight="1">
      <c r="A2986" s="47" t="s">
        <v>6192</v>
      </c>
      <c r="B2986" s="47" t="s">
        <v>6193</v>
      </c>
      <c r="C2986" s="47" t="s">
        <v>7758</v>
      </c>
      <c r="D2986" s="47" t="s">
        <v>191</v>
      </c>
      <c r="E2986" s="47" t="s">
        <v>504</v>
      </c>
      <c r="F2986" s="47">
        <v>1203.0</v>
      </c>
      <c r="G2986" s="47">
        <v>11.71</v>
      </c>
      <c r="H2986" s="47">
        <v>102.7</v>
      </c>
      <c r="I2986" s="47" t="s">
        <v>62</v>
      </c>
    </row>
    <row r="2987" ht="15.75" customHeight="1">
      <c r="A2987" s="47" t="s">
        <v>6194</v>
      </c>
      <c r="B2987" s="47" t="s">
        <v>6195</v>
      </c>
      <c r="C2987" s="47" t="s">
        <v>7758</v>
      </c>
      <c r="D2987" s="47" t="s">
        <v>206</v>
      </c>
      <c r="E2987" s="47" t="s">
        <v>533</v>
      </c>
      <c r="F2987" s="47">
        <v>197.0</v>
      </c>
      <c r="G2987" s="47">
        <v>4.75</v>
      </c>
      <c r="H2987" s="47">
        <v>41.5</v>
      </c>
      <c r="I2987" s="47" t="s">
        <v>75</v>
      </c>
    </row>
    <row r="2988" ht="15.75" customHeight="1">
      <c r="A2988" s="47" t="s">
        <v>6196</v>
      </c>
      <c r="B2988" s="47" t="s">
        <v>6197</v>
      </c>
      <c r="C2988" s="47" t="s">
        <v>7758</v>
      </c>
      <c r="D2988" s="47" t="s">
        <v>118</v>
      </c>
      <c r="E2988" s="47" t="s">
        <v>300</v>
      </c>
      <c r="F2988" s="47">
        <v>246.0</v>
      </c>
      <c r="G2988" s="47">
        <v>2.97</v>
      </c>
      <c r="H2988" s="47">
        <v>82.8</v>
      </c>
      <c r="I2988" s="47" t="s">
        <v>75</v>
      </c>
    </row>
    <row r="2989" ht="15.75" customHeight="1">
      <c r="A2989" s="47" t="s">
        <v>6198</v>
      </c>
      <c r="B2989" s="47" t="s">
        <v>6199</v>
      </c>
      <c r="C2989" s="47" t="s">
        <v>7758</v>
      </c>
      <c r="D2989" s="47" t="s">
        <v>187</v>
      </c>
      <c r="E2989" s="47" t="s">
        <v>488</v>
      </c>
      <c r="F2989" s="47">
        <v>267.0</v>
      </c>
      <c r="G2989" s="47">
        <v>6.88</v>
      </c>
      <c r="H2989" s="47">
        <v>38.8</v>
      </c>
      <c r="I2989" s="47" t="s">
        <v>75</v>
      </c>
    </row>
    <row r="2990" ht="15.75" customHeight="1">
      <c r="A2990" s="47" t="s">
        <v>6200</v>
      </c>
      <c r="B2990" s="47" t="s">
        <v>6201</v>
      </c>
      <c r="C2990" s="47" t="s">
        <v>7758</v>
      </c>
      <c r="D2990" s="47" t="s">
        <v>128</v>
      </c>
      <c r="E2990" s="47" t="s">
        <v>338</v>
      </c>
      <c r="F2990" s="47">
        <v>244.0</v>
      </c>
      <c r="G2990" s="47">
        <v>7.19</v>
      </c>
      <c r="H2990" s="47">
        <v>33.9</v>
      </c>
      <c r="I2990" s="47" t="s">
        <v>75</v>
      </c>
    </row>
    <row r="2991" ht="15.75" customHeight="1">
      <c r="A2991" s="47" t="s">
        <v>6202</v>
      </c>
      <c r="B2991" s="47" t="s">
        <v>6203</v>
      </c>
      <c r="C2991" s="47" t="s">
        <v>7758</v>
      </c>
      <c r="D2991" s="47" t="s">
        <v>150</v>
      </c>
      <c r="E2991" s="47" t="s">
        <v>411</v>
      </c>
      <c r="F2991" s="47">
        <v>228.0</v>
      </c>
      <c r="G2991" s="47">
        <v>3.87</v>
      </c>
      <c r="H2991" s="47">
        <v>58.9</v>
      </c>
      <c r="I2991" s="47" t="s">
        <v>75</v>
      </c>
    </row>
    <row r="2992" ht="15.75" customHeight="1">
      <c r="A2992" s="47" t="s">
        <v>6204</v>
      </c>
      <c r="B2992" s="47" t="s">
        <v>6205</v>
      </c>
      <c r="C2992" s="47" t="s">
        <v>7758</v>
      </c>
      <c r="D2992" s="47" t="s">
        <v>163</v>
      </c>
      <c r="E2992" s="47" t="s">
        <v>441</v>
      </c>
      <c r="F2992" s="47">
        <v>834.0</v>
      </c>
      <c r="G2992" s="47">
        <v>18.95</v>
      </c>
      <c r="H2992" s="47">
        <v>44.0</v>
      </c>
      <c r="I2992" s="47" t="s">
        <v>62</v>
      </c>
    </row>
    <row r="2993" ht="15.75" customHeight="1">
      <c r="A2993" s="47" t="s">
        <v>6206</v>
      </c>
      <c r="B2993" s="47" t="s">
        <v>6207</v>
      </c>
      <c r="C2993" s="47" t="s">
        <v>7758</v>
      </c>
      <c r="D2993" s="47" t="s">
        <v>167</v>
      </c>
      <c r="E2993" s="47" t="s">
        <v>447</v>
      </c>
      <c r="F2993" s="47">
        <v>183.0</v>
      </c>
      <c r="G2993" s="47">
        <v>10.19</v>
      </c>
      <c r="H2993" s="47">
        <v>18.0</v>
      </c>
      <c r="I2993" s="47" t="s">
        <v>75</v>
      </c>
    </row>
    <row r="2994" ht="15.75" customHeight="1">
      <c r="A2994" s="47" t="s">
        <v>6208</v>
      </c>
      <c r="B2994" s="47" t="s">
        <v>6209</v>
      </c>
      <c r="C2994" s="47" t="s">
        <v>7758</v>
      </c>
      <c r="D2994" s="47" t="s">
        <v>206</v>
      </c>
      <c r="E2994" s="47" t="s">
        <v>533</v>
      </c>
      <c r="F2994" s="47">
        <v>138.0</v>
      </c>
      <c r="G2994" s="47">
        <v>2.41</v>
      </c>
      <c r="H2994" s="47">
        <v>57.3</v>
      </c>
      <c r="I2994" s="47" t="s">
        <v>75</v>
      </c>
    </row>
    <row r="2995" ht="15.75" customHeight="1">
      <c r="A2995" s="47" t="s">
        <v>6210</v>
      </c>
      <c r="B2995" s="47" t="s">
        <v>6211</v>
      </c>
      <c r="C2995" s="47" t="s">
        <v>7758</v>
      </c>
      <c r="D2995" s="47" t="s">
        <v>234</v>
      </c>
      <c r="E2995" s="47" t="s">
        <v>552</v>
      </c>
      <c r="F2995" s="47">
        <v>660.0</v>
      </c>
      <c r="G2995" s="47">
        <v>4.09</v>
      </c>
      <c r="H2995" s="47">
        <v>161.4</v>
      </c>
      <c r="I2995" s="47" t="s">
        <v>62</v>
      </c>
    </row>
    <row r="2996" ht="15.75" customHeight="1">
      <c r="A2996" s="47" t="s">
        <v>6212</v>
      </c>
      <c r="B2996" s="47" t="s">
        <v>6213</v>
      </c>
      <c r="C2996" s="47" t="s">
        <v>7758</v>
      </c>
      <c r="D2996" s="47" t="s">
        <v>132</v>
      </c>
      <c r="E2996" s="47" t="s">
        <v>346</v>
      </c>
      <c r="F2996" s="47">
        <v>6256.0</v>
      </c>
      <c r="G2996" s="47">
        <v>8.1</v>
      </c>
      <c r="H2996" s="47">
        <v>772.3</v>
      </c>
      <c r="I2996" s="47" t="s">
        <v>142</v>
      </c>
    </row>
    <row r="2997" ht="15.75" customHeight="1">
      <c r="A2997" s="47" t="s">
        <v>6214</v>
      </c>
      <c r="B2997" s="47" t="s">
        <v>6215</v>
      </c>
      <c r="C2997" s="47" t="s">
        <v>7758</v>
      </c>
      <c r="D2997" s="47" t="s">
        <v>132</v>
      </c>
      <c r="E2997" s="47" t="s">
        <v>346</v>
      </c>
      <c r="F2997" s="47">
        <v>3866.0</v>
      </c>
      <c r="G2997" s="47">
        <v>22.02</v>
      </c>
      <c r="H2997" s="47">
        <v>175.6</v>
      </c>
      <c r="I2997" s="47" t="s">
        <v>142</v>
      </c>
    </row>
    <row r="2998" ht="15.75" customHeight="1">
      <c r="A2998" s="47" t="s">
        <v>6216</v>
      </c>
      <c r="B2998" s="47" t="s">
        <v>6217</v>
      </c>
      <c r="C2998" s="47" t="s">
        <v>7758</v>
      </c>
      <c r="D2998" s="47" t="s">
        <v>127</v>
      </c>
      <c r="E2998" s="47" t="s">
        <v>323</v>
      </c>
      <c r="F2998" s="47">
        <v>8720.0</v>
      </c>
      <c r="G2998" s="47">
        <v>6.03</v>
      </c>
      <c r="H2998" s="47">
        <v>1446.1</v>
      </c>
      <c r="I2998" s="47" t="s">
        <v>142</v>
      </c>
    </row>
    <row r="2999" ht="15.75" customHeight="1">
      <c r="A2999" s="47" t="s">
        <v>6218</v>
      </c>
      <c r="B2999" s="47" t="s">
        <v>6219</v>
      </c>
      <c r="C2999" s="47" t="s">
        <v>7758</v>
      </c>
      <c r="D2999" s="47" t="s">
        <v>150</v>
      </c>
      <c r="E2999" s="47" t="s">
        <v>411</v>
      </c>
      <c r="F2999" s="47">
        <v>768.0</v>
      </c>
      <c r="G2999" s="47">
        <v>12.53</v>
      </c>
      <c r="H2999" s="47">
        <v>61.3</v>
      </c>
      <c r="I2999" s="47" t="s">
        <v>62</v>
      </c>
    </row>
    <row r="3000" ht="15.75" customHeight="1">
      <c r="A3000" s="47" t="s">
        <v>6220</v>
      </c>
      <c r="B3000" s="47" t="s">
        <v>6221</v>
      </c>
      <c r="C3000" s="47" t="s">
        <v>7758</v>
      </c>
      <c r="D3000" s="47" t="s">
        <v>191</v>
      </c>
      <c r="E3000" s="47" t="s">
        <v>504</v>
      </c>
      <c r="F3000" s="47">
        <v>492.0</v>
      </c>
      <c r="G3000" s="47">
        <v>12.11</v>
      </c>
      <c r="H3000" s="47">
        <v>40.6</v>
      </c>
      <c r="I3000" s="47" t="s">
        <v>75</v>
      </c>
    </row>
    <row r="3001" ht="15.75" customHeight="1">
      <c r="A3001" s="47" t="s">
        <v>6222</v>
      </c>
      <c r="B3001" s="47" t="s">
        <v>6223</v>
      </c>
      <c r="C3001" s="47" t="s">
        <v>7758</v>
      </c>
      <c r="D3001" s="47" t="s">
        <v>191</v>
      </c>
      <c r="E3001" s="47" t="s">
        <v>504</v>
      </c>
      <c r="F3001" s="47">
        <v>222.0</v>
      </c>
      <c r="G3001" s="47">
        <v>3.75</v>
      </c>
      <c r="H3001" s="47">
        <v>59.2</v>
      </c>
      <c r="I3001" s="47" t="s">
        <v>75</v>
      </c>
    </row>
    <row r="3002" ht="15.75" customHeight="1">
      <c r="A3002" s="47" t="s">
        <v>6224</v>
      </c>
      <c r="B3002" s="47" t="s">
        <v>6225</v>
      </c>
      <c r="C3002" s="47" t="s">
        <v>7758</v>
      </c>
      <c r="D3002" s="47" t="s">
        <v>163</v>
      </c>
      <c r="E3002" s="47" t="s">
        <v>441</v>
      </c>
      <c r="F3002" s="47">
        <v>835.0</v>
      </c>
      <c r="G3002" s="47">
        <v>12.61</v>
      </c>
      <c r="H3002" s="47">
        <v>66.2</v>
      </c>
      <c r="I3002" s="47" t="s">
        <v>62</v>
      </c>
    </row>
    <row r="3003" ht="15.75" customHeight="1">
      <c r="A3003" s="47" t="s">
        <v>6226</v>
      </c>
      <c r="B3003" s="47" t="s">
        <v>6227</v>
      </c>
      <c r="C3003" s="47" t="s">
        <v>7758</v>
      </c>
      <c r="D3003" s="47" t="s">
        <v>118</v>
      </c>
      <c r="E3003" s="47" t="s">
        <v>300</v>
      </c>
      <c r="F3003" s="47">
        <v>636.0</v>
      </c>
      <c r="G3003" s="47">
        <v>5.53</v>
      </c>
      <c r="H3003" s="47">
        <v>115.0</v>
      </c>
      <c r="I3003" s="47" t="s">
        <v>62</v>
      </c>
    </row>
    <row r="3004" ht="15.75" customHeight="1">
      <c r="A3004" s="47" t="s">
        <v>6228</v>
      </c>
      <c r="B3004" s="47" t="s">
        <v>6229</v>
      </c>
      <c r="C3004" s="47" t="s">
        <v>7758</v>
      </c>
      <c r="D3004" s="47" t="s">
        <v>139</v>
      </c>
      <c r="E3004" s="47" t="s">
        <v>354</v>
      </c>
      <c r="F3004" s="47">
        <v>973.0</v>
      </c>
      <c r="G3004" s="47">
        <v>4.16</v>
      </c>
      <c r="H3004" s="47">
        <v>233.9</v>
      </c>
      <c r="I3004" s="47" t="s">
        <v>62</v>
      </c>
    </row>
    <row r="3005" ht="15.75" customHeight="1">
      <c r="A3005" s="47" t="s">
        <v>6230</v>
      </c>
      <c r="B3005" s="47" t="s">
        <v>6231</v>
      </c>
      <c r="C3005" s="47" t="s">
        <v>7758</v>
      </c>
      <c r="D3005" s="47" t="s">
        <v>139</v>
      </c>
      <c r="E3005" s="47" t="s">
        <v>354</v>
      </c>
      <c r="F3005" s="47">
        <v>3321.0</v>
      </c>
      <c r="G3005" s="47">
        <v>6.25</v>
      </c>
      <c r="H3005" s="47">
        <v>531.4</v>
      </c>
      <c r="I3005" s="47" t="s">
        <v>142</v>
      </c>
    </row>
    <row r="3006" ht="15.75" customHeight="1">
      <c r="A3006" s="47" t="s">
        <v>6232</v>
      </c>
      <c r="B3006" s="47" t="s">
        <v>6233</v>
      </c>
      <c r="C3006" s="47" t="s">
        <v>7758</v>
      </c>
      <c r="D3006" s="47" t="s">
        <v>187</v>
      </c>
      <c r="E3006" s="47" t="s">
        <v>488</v>
      </c>
      <c r="F3006" s="47">
        <v>588.0</v>
      </c>
      <c r="G3006" s="47">
        <v>7.33</v>
      </c>
      <c r="H3006" s="47">
        <v>80.2</v>
      </c>
      <c r="I3006" s="47" t="s">
        <v>62</v>
      </c>
    </row>
    <row r="3007" ht="15.75" customHeight="1">
      <c r="A3007" s="47" t="s">
        <v>6234</v>
      </c>
      <c r="B3007" s="47" t="s">
        <v>6235</v>
      </c>
      <c r="C3007" s="47" t="s">
        <v>7758</v>
      </c>
      <c r="D3007" s="47" t="s">
        <v>139</v>
      </c>
      <c r="E3007" s="47" t="s">
        <v>354</v>
      </c>
      <c r="F3007" s="47">
        <v>592.0</v>
      </c>
      <c r="G3007" s="47">
        <v>3.91</v>
      </c>
      <c r="H3007" s="47">
        <v>151.4</v>
      </c>
      <c r="I3007" s="47" t="s">
        <v>62</v>
      </c>
    </row>
    <row r="3008" ht="15.75" customHeight="1">
      <c r="A3008" s="47" t="s">
        <v>6236</v>
      </c>
      <c r="B3008" s="47" t="s">
        <v>6237</v>
      </c>
      <c r="C3008" s="47" t="s">
        <v>7758</v>
      </c>
      <c r="D3008" s="47" t="s">
        <v>191</v>
      </c>
      <c r="E3008" s="47" t="s">
        <v>504</v>
      </c>
      <c r="F3008" s="47">
        <v>1084.0</v>
      </c>
      <c r="G3008" s="47">
        <v>7.21</v>
      </c>
      <c r="H3008" s="47">
        <v>150.3</v>
      </c>
      <c r="I3008" s="47" t="s">
        <v>62</v>
      </c>
    </row>
    <row r="3009" ht="15.75" customHeight="1">
      <c r="A3009" s="47" t="s">
        <v>6238</v>
      </c>
      <c r="B3009" s="47" t="s">
        <v>6239</v>
      </c>
      <c r="C3009" s="47" t="s">
        <v>7758</v>
      </c>
      <c r="D3009" s="47" t="s">
        <v>161</v>
      </c>
      <c r="E3009" s="47" t="s">
        <v>438</v>
      </c>
      <c r="F3009" s="47">
        <v>1820.0</v>
      </c>
      <c r="G3009" s="47">
        <v>16.46</v>
      </c>
      <c r="H3009" s="47">
        <v>110.6</v>
      </c>
      <c r="I3009" s="47" t="s">
        <v>62</v>
      </c>
    </row>
    <row r="3010" ht="15.75" customHeight="1">
      <c r="A3010" s="47" t="s">
        <v>6240</v>
      </c>
      <c r="B3010" s="47" t="s">
        <v>6241</v>
      </c>
      <c r="C3010" s="47" t="s">
        <v>7758</v>
      </c>
      <c r="D3010" s="47" t="s">
        <v>116</v>
      </c>
      <c r="E3010" s="47" t="s">
        <v>285</v>
      </c>
      <c r="F3010" s="47">
        <v>7973.0</v>
      </c>
      <c r="G3010" s="47">
        <v>6.53</v>
      </c>
      <c r="H3010" s="47">
        <v>1221.0</v>
      </c>
      <c r="I3010" s="47" t="s">
        <v>142</v>
      </c>
    </row>
    <row r="3011" ht="15.75" customHeight="1">
      <c r="A3011" s="47" t="s">
        <v>6242</v>
      </c>
      <c r="B3011" s="47" t="s">
        <v>6243</v>
      </c>
      <c r="C3011" s="47" t="s">
        <v>7758</v>
      </c>
      <c r="D3011" s="47" t="s">
        <v>132</v>
      </c>
      <c r="E3011" s="47" t="s">
        <v>346</v>
      </c>
      <c r="F3011" s="47">
        <v>1551.0</v>
      </c>
      <c r="G3011" s="47">
        <v>6.52</v>
      </c>
      <c r="H3011" s="47">
        <v>237.9</v>
      </c>
      <c r="I3011" s="47" t="s">
        <v>62</v>
      </c>
    </row>
    <row r="3012" ht="15.75" customHeight="1">
      <c r="A3012" s="47" t="s">
        <v>6244</v>
      </c>
      <c r="B3012" s="47" t="s">
        <v>6245</v>
      </c>
      <c r="C3012" s="47" t="s">
        <v>7758</v>
      </c>
      <c r="D3012" s="47" t="s">
        <v>204</v>
      </c>
      <c r="E3012" s="47" t="s">
        <v>527</v>
      </c>
      <c r="F3012" s="47">
        <v>425.0</v>
      </c>
      <c r="G3012" s="47">
        <v>4.28</v>
      </c>
      <c r="H3012" s="47">
        <v>99.3</v>
      </c>
      <c r="I3012" s="47" t="s">
        <v>75</v>
      </c>
    </row>
    <row r="3013" ht="15.75" customHeight="1">
      <c r="A3013" s="47" t="s">
        <v>6246</v>
      </c>
      <c r="B3013" s="47" t="s">
        <v>6247</v>
      </c>
      <c r="C3013" s="47" t="s">
        <v>7759</v>
      </c>
      <c r="D3013" s="47" t="s">
        <v>121</v>
      </c>
      <c r="E3013" s="47" t="s">
        <v>325</v>
      </c>
      <c r="F3013" s="47">
        <v>22395.0</v>
      </c>
      <c r="G3013" s="47">
        <v>26.24</v>
      </c>
      <c r="H3013" s="47">
        <v>853.5</v>
      </c>
      <c r="I3013" s="47" t="s">
        <v>571</v>
      </c>
    </row>
    <row r="3014" ht="15.75" customHeight="1">
      <c r="A3014" s="47" t="s">
        <v>6248</v>
      </c>
      <c r="B3014" s="47" t="s">
        <v>6249</v>
      </c>
      <c r="C3014" s="47" t="s">
        <v>7759</v>
      </c>
      <c r="D3014" s="47" t="s">
        <v>230</v>
      </c>
      <c r="E3014" s="47" t="s">
        <v>402</v>
      </c>
      <c r="F3014" s="47">
        <v>263.0</v>
      </c>
      <c r="G3014" s="47">
        <v>9.52</v>
      </c>
      <c r="H3014" s="47">
        <v>27.6</v>
      </c>
      <c r="I3014" s="47" t="s">
        <v>75</v>
      </c>
    </row>
    <row r="3015" ht="15.75" customHeight="1">
      <c r="A3015" s="47" t="s">
        <v>6250</v>
      </c>
      <c r="B3015" s="47" t="s">
        <v>6251</v>
      </c>
      <c r="C3015" s="47" t="s">
        <v>7759</v>
      </c>
      <c r="D3015" s="47" t="s">
        <v>197</v>
      </c>
      <c r="E3015" s="47" t="s">
        <v>517</v>
      </c>
      <c r="F3015" s="47">
        <v>590.0</v>
      </c>
      <c r="G3015" s="47">
        <v>7.18</v>
      </c>
      <c r="H3015" s="47">
        <v>82.2</v>
      </c>
      <c r="I3015" s="47" t="s">
        <v>62</v>
      </c>
    </row>
    <row r="3016" ht="15.75" customHeight="1">
      <c r="A3016" s="47" t="s">
        <v>6252</v>
      </c>
      <c r="B3016" s="47" t="s">
        <v>6253</v>
      </c>
      <c r="C3016" s="47" t="s">
        <v>7759</v>
      </c>
      <c r="D3016" s="47" t="s">
        <v>212</v>
      </c>
      <c r="E3016" s="47" t="s">
        <v>549</v>
      </c>
      <c r="F3016" s="47">
        <v>501.0</v>
      </c>
      <c r="G3016" s="47">
        <v>12.32</v>
      </c>
      <c r="H3016" s="47">
        <v>40.7</v>
      </c>
      <c r="I3016" s="47" t="s">
        <v>62</v>
      </c>
    </row>
    <row r="3017" ht="15.75" customHeight="1">
      <c r="A3017" s="47" t="s">
        <v>6254</v>
      </c>
      <c r="B3017" s="47" t="s">
        <v>6255</v>
      </c>
      <c r="C3017" s="47" t="s">
        <v>7759</v>
      </c>
      <c r="D3017" s="47" t="s">
        <v>207</v>
      </c>
      <c r="E3017" s="47" t="s">
        <v>534</v>
      </c>
      <c r="F3017" s="47">
        <v>83.0</v>
      </c>
      <c r="G3017" s="47">
        <v>3.3</v>
      </c>
      <c r="H3017" s="47">
        <v>25.2</v>
      </c>
      <c r="I3017" s="47" t="s">
        <v>75</v>
      </c>
    </row>
    <row r="3018" ht="15.75" customHeight="1">
      <c r="A3018" s="47" t="s">
        <v>6256</v>
      </c>
      <c r="B3018" s="47" t="s">
        <v>6257</v>
      </c>
      <c r="C3018" s="47" t="s">
        <v>7759</v>
      </c>
      <c r="D3018" s="47" t="s">
        <v>225</v>
      </c>
      <c r="E3018" s="47" t="s">
        <v>387</v>
      </c>
      <c r="F3018" s="47">
        <v>215.0</v>
      </c>
      <c r="G3018" s="47">
        <v>5.98</v>
      </c>
      <c r="H3018" s="47">
        <v>36.0</v>
      </c>
      <c r="I3018" s="47" t="s">
        <v>75</v>
      </c>
    </row>
    <row r="3019" ht="15.75" customHeight="1">
      <c r="A3019" s="47" t="s">
        <v>6258</v>
      </c>
      <c r="B3019" s="47" t="s">
        <v>6259</v>
      </c>
      <c r="C3019" s="47" t="s">
        <v>7759</v>
      </c>
      <c r="D3019" s="47" t="s">
        <v>212</v>
      </c>
      <c r="E3019" s="47" t="s">
        <v>549</v>
      </c>
      <c r="F3019" s="47">
        <v>904.0</v>
      </c>
      <c r="G3019" s="47">
        <v>10.78</v>
      </c>
      <c r="H3019" s="47">
        <v>83.9</v>
      </c>
      <c r="I3019" s="47" t="s">
        <v>62</v>
      </c>
    </row>
    <row r="3020" ht="15.75" customHeight="1">
      <c r="A3020" s="47" t="s">
        <v>6260</v>
      </c>
      <c r="B3020" s="47" t="s">
        <v>6261</v>
      </c>
      <c r="C3020" s="47" t="s">
        <v>7759</v>
      </c>
      <c r="D3020" s="47" t="s">
        <v>225</v>
      </c>
      <c r="E3020" s="47" t="s">
        <v>387</v>
      </c>
      <c r="F3020" s="47">
        <v>1024.0</v>
      </c>
      <c r="G3020" s="47">
        <v>10.86</v>
      </c>
      <c r="H3020" s="47">
        <v>94.3</v>
      </c>
      <c r="I3020" s="47" t="s">
        <v>62</v>
      </c>
    </row>
    <row r="3021" ht="15.75" customHeight="1">
      <c r="A3021" s="47" t="s">
        <v>6262</v>
      </c>
      <c r="B3021" s="47" t="s">
        <v>6263</v>
      </c>
      <c r="C3021" s="47" t="s">
        <v>7759</v>
      </c>
      <c r="D3021" s="47" t="s">
        <v>148</v>
      </c>
      <c r="E3021" s="47" t="s">
        <v>360</v>
      </c>
      <c r="F3021" s="47">
        <v>2648.0</v>
      </c>
      <c r="G3021" s="47">
        <v>25.37</v>
      </c>
      <c r="H3021" s="47">
        <v>104.4</v>
      </c>
      <c r="I3021" s="47" t="s">
        <v>142</v>
      </c>
    </row>
    <row r="3022" ht="15.75" customHeight="1">
      <c r="A3022" s="47" t="s">
        <v>6264</v>
      </c>
      <c r="B3022" s="47" t="s">
        <v>6265</v>
      </c>
      <c r="C3022" s="47" t="s">
        <v>7759</v>
      </c>
      <c r="D3022" s="47" t="s">
        <v>218</v>
      </c>
      <c r="E3022" s="47" t="s">
        <v>374</v>
      </c>
      <c r="F3022" s="47">
        <v>3003.0</v>
      </c>
      <c r="G3022" s="47">
        <v>15.1</v>
      </c>
      <c r="H3022" s="47">
        <v>198.9</v>
      </c>
      <c r="I3022" s="47" t="s">
        <v>142</v>
      </c>
    </row>
    <row r="3023" ht="15.75" customHeight="1">
      <c r="A3023" s="47" t="s">
        <v>6266</v>
      </c>
      <c r="B3023" s="47" t="s">
        <v>6267</v>
      </c>
      <c r="C3023" s="47" t="s">
        <v>7759</v>
      </c>
      <c r="D3023" s="47" t="s">
        <v>229</v>
      </c>
      <c r="E3023" s="47" t="s">
        <v>400</v>
      </c>
      <c r="F3023" s="47">
        <v>2204.0</v>
      </c>
      <c r="G3023" s="47">
        <v>24.83</v>
      </c>
      <c r="H3023" s="47">
        <v>88.8</v>
      </c>
      <c r="I3023" s="47" t="s">
        <v>142</v>
      </c>
    </row>
    <row r="3024" ht="15.75" customHeight="1">
      <c r="A3024" s="47" t="s">
        <v>6268</v>
      </c>
      <c r="B3024" s="47" t="s">
        <v>6269</v>
      </c>
      <c r="C3024" s="47" t="s">
        <v>7759</v>
      </c>
      <c r="D3024" s="47" t="s">
        <v>158</v>
      </c>
      <c r="E3024" s="47" t="s">
        <v>427</v>
      </c>
      <c r="F3024" s="47">
        <v>69.0</v>
      </c>
      <c r="G3024" s="47">
        <v>3.58</v>
      </c>
      <c r="H3024" s="47">
        <v>19.3</v>
      </c>
      <c r="I3024" s="47" t="s">
        <v>75</v>
      </c>
    </row>
    <row r="3025" ht="15.75" customHeight="1">
      <c r="A3025" s="47" t="s">
        <v>6270</v>
      </c>
      <c r="B3025" s="47" t="s">
        <v>6271</v>
      </c>
      <c r="C3025" s="47" t="s">
        <v>7759</v>
      </c>
      <c r="D3025" s="47" t="s">
        <v>158</v>
      </c>
      <c r="E3025" s="47" t="s">
        <v>427</v>
      </c>
      <c r="F3025" s="47">
        <v>66.0</v>
      </c>
      <c r="G3025" s="47">
        <v>3.68</v>
      </c>
      <c r="H3025" s="47">
        <v>17.9</v>
      </c>
      <c r="I3025" s="47" t="s">
        <v>75</v>
      </c>
    </row>
    <row r="3026" ht="15.75" customHeight="1">
      <c r="A3026" s="47" t="s">
        <v>6272</v>
      </c>
      <c r="B3026" s="47" t="s">
        <v>6273</v>
      </c>
      <c r="C3026" s="47" t="s">
        <v>7759</v>
      </c>
      <c r="D3026" s="47" t="s">
        <v>197</v>
      </c>
      <c r="E3026" s="47" t="s">
        <v>517</v>
      </c>
      <c r="F3026" s="47">
        <v>9521.0</v>
      </c>
      <c r="G3026" s="47">
        <v>13.85</v>
      </c>
      <c r="H3026" s="47">
        <v>687.4</v>
      </c>
      <c r="I3026" s="47" t="s">
        <v>142</v>
      </c>
    </row>
    <row r="3027" ht="15.75" customHeight="1">
      <c r="A3027" s="47" t="s">
        <v>6274</v>
      </c>
      <c r="B3027" s="47" t="s">
        <v>6275</v>
      </c>
      <c r="C3027" s="47" t="s">
        <v>7759</v>
      </c>
      <c r="D3027" s="47" t="s">
        <v>158</v>
      </c>
      <c r="E3027" s="47" t="s">
        <v>427</v>
      </c>
      <c r="F3027" s="47">
        <v>419.0</v>
      </c>
      <c r="G3027" s="47">
        <v>8.4</v>
      </c>
      <c r="H3027" s="47">
        <v>49.9</v>
      </c>
      <c r="I3027" s="47" t="s">
        <v>75</v>
      </c>
    </row>
    <row r="3028" ht="15.75" customHeight="1">
      <c r="A3028" s="47" t="s">
        <v>6276</v>
      </c>
      <c r="B3028" s="47" t="s">
        <v>6277</v>
      </c>
      <c r="C3028" s="47" t="s">
        <v>7759</v>
      </c>
      <c r="D3028" s="47" t="s">
        <v>178</v>
      </c>
      <c r="E3028" s="47" t="s">
        <v>475</v>
      </c>
      <c r="F3028" s="47">
        <v>253.0</v>
      </c>
      <c r="G3028" s="47">
        <v>2.2</v>
      </c>
      <c r="H3028" s="47">
        <v>115.0</v>
      </c>
      <c r="I3028" s="47" t="s">
        <v>75</v>
      </c>
    </row>
    <row r="3029" ht="15.75" customHeight="1">
      <c r="A3029" s="47" t="s">
        <v>6278</v>
      </c>
      <c r="B3029" s="47" t="s">
        <v>6279</v>
      </c>
      <c r="C3029" s="47" t="s">
        <v>7759</v>
      </c>
      <c r="D3029" s="47" t="s">
        <v>229</v>
      </c>
      <c r="E3029" s="47" t="s">
        <v>400</v>
      </c>
      <c r="F3029" s="47">
        <v>843.0</v>
      </c>
      <c r="G3029" s="47">
        <v>13.07</v>
      </c>
      <c r="H3029" s="47">
        <v>64.5</v>
      </c>
      <c r="I3029" s="47" t="s">
        <v>62</v>
      </c>
    </row>
    <row r="3030" ht="15.75" customHeight="1">
      <c r="A3030" s="47" t="s">
        <v>6280</v>
      </c>
      <c r="B3030" s="47" t="s">
        <v>6281</v>
      </c>
      <c r="C3030" s="47" t="s">
        <v>7759</v>
      </c>
      <c r="D3030" s="47" t="s">
        <v>41</v>
      </c>
      <c r="E3030" s="47" t="s">
        <v>35</v>
      </c>
      <c r="F3030" s="47">
        <v>778.0</v>
      </c>
      <c r="G3030" s="47">
        <v>10.57</v>
      </c>
      <c r="H3030" s="47">
        <v>73.6</v>
      </c>
      <c r="I3030" s="47" t="s">
        <v>62</v>
      </c>
    </row>
    <row r="3031" ht="15.75" customHeight="1">
      <c r="A3031" s="47" t="s">
        <v>6282</v>
      </c>
      <c r="B3031" s="47" t="s">
        <v>6283</v>
      </c>
      <c r="C3031" s="47" t="s">
        <v>7759</v>
      </c>
      <c r="D3031" s="47" t="s">
        <v>41</v>
      </c>
      <c r="E3031" s="47" t="s">
        <v>35</v>
      </c>
      <c r="F3031" s="47">
        <v>136449.0</v>
      </c>
      <c r="G3031" s="47">
        <v>50.4</v>
      </c>
      <c r="H3031" s="47">
        <v>2707.3</v>
      </c>
      <c r="I3031" s="47" t="s">
        <v>7463</v>
      </c>
    </row>
    <row r="3032" ht="15.75" customHeight="1">
      <c r="A3032" s="47" t="s">
        <v>6284</v>
      </c>
      <c r="B3032" s="47" t="s">
        <v>6285</v>
      </c>
      <c r="C3032" s="47" t="s">
        <v>7759</v>
      </c>
      <c r="D3032" s="47" t="s">
        <v>229</v>
      </c>
      <c r="E3032" s="47" t="s">
        <v>400</v>
      </c>
      <c r="F3032" s="47">
        <v>233.0</v>
      </c>
      <c r="G3032" s="47">
        <v>8.43</v>
      </c>
      <c r="H3032" s="47">
        <v>27.6</v>
      </c>
      <c r="I3032" s="47" t="s">
        <v>75</v>
      </c>
    </row>
    <row r="3033" ht="15.75" customHeight="1">
      <c r="A3033" s="47" t="s">
        <v>6286</v>
      </c>
      <c r="B3033" s="47" t="s">
        <v>6287</v>
      </c>
      <c r="C3033" s="47" t="s">
        <v>7759</v>
      </c>
      <c r="D3033" s="47" t="s">
        <v>185</v>
      </c>
      <c r="E3033" s="47" t="s">
        <v>485</v>
      </c>
      <c r="F3033" s="47">
        <v>282.0</v>
      </c>
      <c r="G3033" s="47">
        <v>7.82</v>
      </c>
      <c r="H3033" s="47">
        <v>36.1</v>
      </c>
      <c r="I3033" s="47" t="s">
        <v>75</v>
      </c>
    </row>
    <row r="3034" ht="15.75" customHeight="1">
      <c r="A3034" s="47" t="s">
        <v>6288</v>
      </c>
      <c r="B3034" s="47" t="s">
        <v>6289</v>
      </c>
      <c r="C3034" s="47" t="s">
        <v>7759</v>
      </c>
      <c r="D3034" s="47" t="s">
        <v>218</v>
      </c>
      <c r="E3034" s="47" t="s">
        <v>374</v>
      </c>
      <c r="F3034" s="47">
        <v>543.0</v>
      </c>
      <c r="G3034" s="47">
        <v>10.27</v>
      </c>
      <c r="H3034" s="47">
        <v>52.9</v>
      </c>
      <c r="I3034" s="47" t="s">
        <v>62</v>
      </c>
    </row>
    <row r="3035" ht="15.75" customHeight="1">
      <c r="A3035" s="47" t="s">
        <v>6290</v>
      </c>
      <c r="B3035" s="47" t="s">
        <v>6291</v>
      </c>
      <c r="C3035" s="47" t="s">
        <v>7759</v>
      </c>
      <c r="D3035" s="47" t="s">
        <v>225</v>
      </c>
      <c r="E3035" s="47" t="s">
        <v>387</v>
      </c>
      <c r="F3035" s="47">
        <v>322.0</v>
      </c>
      <c r="G3035" s="47">
        <v>9.48</v>
      </c>
      <c r="H3035" s="47">
        <v>34.0</v>
      </c>
      <c r="I3035" s="47" t="s">
        <v>75</v>
      </c>
    </row>
    <row r="3036" ht="15.75" customHeight="1">
      <c r="A3036" s="47" t="s">
        <v>6292</v>
      </c>
      <c r="B3036" s="47" t="s">
        <v>6293</v>
      </c>
      <c r="C3036" s="47" t="s">
        <v>7759</v>
      </c>
      <c r="D3036" s="47" t="s">
        <v>229</v>
      </c>
      <c r="E3036" s="47" t="s">
        <v>400</v>
      </c>
      <c r="F3036" s="47">
        <v>31.0</v>
      </c>
      <c r="G3036" s="47">
        <v>2.55</v>
      </c>
      <c r="H3036" s="47">
        <v>12.2</v>
      </c>
      <c r="I3036" s="47" t="s">
        <v>75</v>
      </c>
    </row>
    <row r="3037" ht="15.75" customHeight="1">
      <c r="A3037" s="47" t="s">
        <v>6294</v>
      </c>
      <c r="B3037" s="47" t="s">
        <v>3174</v>
      </c>
      <c r="C3037" s="47" t="s">
        <v>7759</v>
      </c>
      <c r="D3037" s="47" t="s">
        <v>185</v>
      </c>
      <c r="E3037" s="47" t="s">
        <v>485</v>
      </c>
      <c r="F3037" s="47">
        <v>33.0</v>
      </c>
      <c r="G3037" s="47">
        <v>2.17</v>
      </c>
      <c r="H3037" s="47">
        <v>15.2</v>
      </c>
      <c r="I3037" s="47" t="s">
        <v>75</v>
      </c>
    </row>
    <row r="3038" ht="15.75" customHeight="1">
      <c r="A3038" s="47" t="s">
        <v>6295</v>
      </c>
      <c r="B3038" s="47" t="s">
        <v>6296</v>
      </c>
      <c r="C3038" s="47" t="s">
        <v>7759</v>
      </c>
      <c r="D3038" s="47" t="s">
        <v>197</v>
      </c>
      <c r="E3038" s="47" t="s">
        <v>517</v>
      </c>
      <c r="F3038" s="47">
        <v>152.0</v>
      </c>
      <c r="G3038" s="47">
        <v>7.7</v>
      </c>
      <c r="H3038" s="47">
        <v>19.7</v>
      </c>
      <c r="I3038" s="47" t="s">
        <v>75</v>
      </c>
    </row>
    <row r="3039" ht="15.75" customHeight="1">
      <c r="A3039" s="47" t="s">
        <v>6297</v>
      </c>
      <c r="B3039" s="47" t="s">
        <v>6298</v>
      </c>
      <c r="C3039" s="47" t="s">
        <v>7759</v>
      </c>
      <c r="D3039" s="47" t="s">
        <v>121</v>
      </c>
      <c r="E3039" s="47" t="s">
        <v>325</v>
      </c>
      <c r="F3039" s="47">
        <v>820.0</v>
      </c>
      <c r="G3039" s="47">
        <v>11.13</v>
      </c>
      <c r="H3039" s="47">
        <v>73.7</v>
      </c>
      <c r="I3039" s="47" t="s">
        <v>62</v>
      </c>
    </row>
    <row r="3040" ht="15.75" customHeight="1">
      <c r="A3040" s="47" t="s">
        <v>6299</v>
      </c>
      <c r="B3040" s="47" t="s">
        <v>6300</v>
      </c>
      <c r="C3040" s="47" t="s">
        <v>7759</v>
      </c>
      <c r="D3040" s="47" t="s">
        <v>225</v>
      </c>
      <c r="E3040" s="47" t="s">
        <v>387</v>
      </c>
      <c r="F3040" s="47">
        <v>212.0</v>
      </c>
      <c r="G3040" s="47">
        <v>7.41</v>
      </c>
      <c r="H3040" s="47">
        <v>28.6</v>
      </c>
      <c r="I3040" s="47" t="s">
        <v>75</v>
      </c>
    </row>
    <row r="3041" ht="15.75" customHeight="1">
      <c r="A3041" s="47" t="s">
        <v>6301</v>
      </c>
      <c r="B3041" s="47" t="s">
        <v>6302</v>
      </c>
      <c r="C3041" s="47" t="s">
        <v>7759</v>
      </c>
      <c r="D3041" s="47" t="s">
        <v>148</v>
      </c>
      <c r="E3041" s="47" t="s">
        <v>360</v>
      </c>
      <c r="F3041" s="47">
        <v>759.0</v>
      </c>
      <c r="G3041" s="47">
        <v>12.77</v>
      </c>
      <c r="H3041" s="47">
        <v>59.4</v>
      </c>
      <c r="I3041" s="47" t="s">
        <v>62</v>
      </c>
    </row>
    <row r="3042" ht="15.75" customHeight="1">
      <c r="A3042" s="47" t="s">
        <v>6303</v>
      </c>
      <c r="B3042" s="47" t="s">
        <v>6304</v>
      </c>
      <c r="C3042" s="47" t="s">
        <v>7759</v>
      </c>
      <c r="D3042" s="47" t="s">
        <v>185</v>
      </c>
      <c r="E3042" s="47" t="s">
        <v>485</v>
      </c>
      <c r="F3042" s="47">
        <v>136.0</v>
      </c>
      <c r="G3042" s="47">
        <v>7.31</v>
      </c>
      <c r="H3042" s="47">
        <v>18.6</v>
      </c>
      <c r="I3042" s="47" t="s">
        <v>75</v>
      </c>
    </row>
    <row r="3043" ht="15.75" customHeight="1">
      <c r="A3043" s="47" t="s">
        <v>6305</v>
      </c>
      <c r="B3043" s="47" t="s">
        <v>6306</v>
      </c>
      <c r="C3043" s="47" t="s">
        <v>7759</v>
      </c>
      <c r="D3043" s="47" t="s">
        <v>230</v>
      </c>
      <c r="E3043" s="47" t="s">
        <v>402</v>
      </c>
      <c r="F3043" s="47">
        <v>311.0</v>
      </c>
      <c r="G3043" s="47">
        <v>5.52</v>
      </c>
      <c r="H3043" s="47">
        <v>56.3</v>
      </c>
      <c r="I3043" s="47" t="s">
        <v>75</v>
      </c>
    </row>
    <row r="3044" ht="15.75" customHeight="1">
      <c r="A3044" s="47" t="s">
        <v>6307</v>
      </c>
      <c r="B3044" s="47" t="s">
        <v>4568</v>
      </c>
      <c r="C3044" s="47" t="s">
        <v>7759</v>
      </c>
      <c r="D3044" s="47" t="s">
        <v>152</v>
      </c>
      <c r="E3044" s="47" t="s">
        <v>417</v>
      </c>
      <c r="F3044" s="47">
        <v>614.0</v>
      </c>
      <c r="G3044" s="47">
        <v>10.81</v>
      </c>
      <c r="H3044" s="47">
        <v>56.8</v>
      </c>
      <c r="I3044" s="47" t="s">
        <v>62</v>
      </c>
    </row>
    <row r="3045" ht="15.75" customHeight="1">
      <c r="A3045" s="47" t="s">
        <v>6308</v>
      </c>
      <c r="B3045" s="47" t="s">
        <v>6309</v>
      </c>
      <c r="C3045" s="47" t="s">
        <v>7759</v>
      </c>
      <c r="D3045" s="47" t="s">
        <v>148</v>
      </c>
      <c r="E3045" s="47" t="s">
        <v>360</v>
      </c>
      <c r="F3045" s="47">
        <v>69.0</v>
      </c>
      <c r="G3045" s="47">
        <v>3.85</v>
      </c>
      <c r="H3045" s="47">
        <v>17.9</v>
      </c>
      <c r="I3045" s="47" t="s">
        <v>75</v>
      </c>
    </row>
    <row r="3046" ht="15.75" customHeight="1">
      <c r="A3046" s="47" t="s">
        <v>6310</v>
      </c>
      <c r="B3046" s="47" t="s">
        <v>6311</v>
      </c>
      <c r="C3046" s="47" t="s">
        <v>7759</v>
      </c>
      <c r="D3046" s="47" t="s">
        <v>210</v>
      </c>
      <c r="E3046" s="47" t="s">
        <v>537</v>
      </c>
      <c r="F3046" s="47">
        <v>502.0</v>
      </c>
      <c r="G3046" s="47">
        <v>9.69</v>
      </c>
      <c r="H3046" s="47">
        <v>51.8</v>
      </c>
      <c r="I3046" s="47" t="s">
        <v>62</v>
      </c>
    </row>
    <row r="3047" ht="15.75" customHeight="1">
      <c r="A3047" s="47" t="s">
        <v>6312</v>
      </c>
      <c r="B3047" s="47" t="s">
        <v>6313</v>
      </c>
      <c r="C3047" s="47" t="s">
        <v>7759</v>
      </c>
      <c r="D3047" s="47" t="s">
        <v>148</v>
      </c>
      <c r="E3047" s="47" t="s">
        <v>360</v>
      </c>
      <c r="F3047" s="47">
        <v>170.0</v>
      </c>
      <c r="G3047" s="47">
        <v>4.89</v>
      </c>
      <c r="H3047" s="47">
        <v>34.8</v>
      </c>
      <c r="I3047" s="47" t="s">
        <v>75</v>
      </c>
    </row>
    <row r="3048" ht="15.75" customHeight="1">
      <c r="A3048" s="47" t="s">
        <v>6314</v>
      </c>
      <c r="B3048" s="47" t="s">
        <v>6315</v>
      </c>
      <c r="C3048" s="47" t="s">
        <v>7759</v>
      </c>
      <c r="D3048" s="47" t="s">
        <v>197</v>
      </c>
      <c r="E3048" s="47" t="s">
        <v>517</v>
      </c>
      <c r="F3048" s="47">
        <v>125.0</v>
      </c>
      <c r="G3048" s="47">
        <v>5.73</v>
      </c>
      <c r="H3048" s="47">
        <v>21.8</v>
      </c>
      <c r="I3048" s="47" t="s">
        <v>75</v>
      </c>
    </row>
    <row r="3049" ht="15.75" customHeight="1">
      <c r="A3049" s="47" t="s">
        <v>6316</v>
      </c>
      <c r="B3049" s="47" t="s">
        <v>6317</v>
      </c>
      <c r="C3049" s="47" t="s">
        <v>7759</v>
      </c>
      <c r="D3049" s="47" t="s">
        <v>178</v>
      </c>
      <c r="E3049" s="47" t="s">
        <v>475</v>
      </c>
      <c r="F3049" s="47">
        <v>1346.0</v>
      </c>
      <c r="G3049" s="47">
        <v>5.97</v>
      </c>
      <c r="H3049" s="47">
        <v>225.5</v>
      </c>
      <c r="I3049" s="47" t="s">
        <v>62</v>
      </c>
    </row>
    <row r="3050" ht="15.75" customHeight="1">
      <c r="A3050" s="47" t="s">
        <v>6318</v>
      </c>
      <c r="B3050" s="47" t="s">
        <v>6319</v>
      </c>
      <c r="C3050" s="47" t="s">
        <v>7759</v>
      </c>
      <c r="D3050" s="47" t="s">
        <v>229</v>
      </c>
      <c r="E3050" s="47" t="s">
        <v>400</v>
      </c>
      <c r="F3050" s="47">
        <v>170.0</v>
      </c>
      <c r="G3050" s="47">
        <v>5.57</v>
      </c>
      <c r="H3050" s="47">
        <v>30.5</v>
      </c>
      <c r="I3050" s="47" t="s">
        <v>75</v>
      </c>
    </row>
    <row r="3051" ht="15.75" customHeight="1">
      <c r="A3051" s="47" t="s">
        <v>6320</v>
      </c>
      <c r="B3051" s="47" t="s">
        <v>6321</v>
      </c>
      <c r="C3051" s="47" t="s">
        <v>7759</v>
      </c>
      <c r="D3051" s="47" t="s">
        <v>229</v>
      </c>
      <c r="E3051" s="47" t="s">
        <v>400</v>
      </c>
      <c r="F3051" s="47">
        <v>119.0</v>
      </c>
      <c r="G3051" s="47">
        <v>3.32</v>
      </c>
      <c r="H3051" s="47">
        <v>35.8</v>
      </c>
      <c r="I3051" s="47" t="s">
        <v>75</v>
      </c>
    </row>
    <row r="3052" ht="15.75" customHeight="1">
      <c r="A3052" s="47" t="s">
        <v>6322</v>
      </c>
      <c r="B3052" s="47" t="s">
        <v>6323</v>
      </c>
      <c r="C3052" s="47" t="s">
        <v>7759</v>
      </c>
      <c r="D3052" s="47" t="s">
        <v>207</v>
      </c>
      <c r="E3052" s="47" t="s">
        <v>534</v>
      </c>
      <c r="F3052" s="47">
        <v>120.0</v>
      </c>
      <c r="G3052" s="47">
        <v>8.27</v>
      </c>
      <c r="H3052" s="47">
        <v>14.5</v>
      </c>
      <c r="I3052" s="47" t="s">
        <v>75</v>
      </c>
    </row>
    <row r="3053" ht="15.75" customHeight="1">
      <c r="A3053" s="47" t="s">
        <v>6324</v>
      </c>
      <c r="B3053" s="47" t="s">
        <v>6325</v>
      </c>
      <c r="C3053" s="47" t="s">
        <v>7759</v>
      </c>
      <c r="D3053" s="47" t="s">
        <v>197</v>
      </c>
      <c r="E3053" s="47" t="s">
        <v>517</v>
      </c>
      <c r="F3053" s="47">
        <v>246.0</v>
      </c>
      <c r="G3053" s="47">
        <v>10.02</v>
      </c>
      <c r="H3053" s="47">
        <v>24.6</v>
      </c>
      <c r="I3053" s="47" t="s">
        <v>75</v>
      </c>
    </row>
    <row r="3054" ht="15.75" customHeight="1">
      <c r="A3054" s="47" t="s">
        <v>6326</v>
      </c>
      <c r="B3054" s="47" t="s">
        <v>6327</v>
      </c>
      <c r="C3054" s="47" t="s">
        <v>7759</v>
      </c>
      <c r="D3054" s="47" t="s">
        <v>207</v>
      </c>
      <c r="E3054" s="47" t="s">
        <v>534</v>
      </c>
      <c r="F3054" s="47">
        <v>393.0</v>
      </c>
      <c r="G3054" s="47">
        <v>4.59</v>
      </c>
      <c r="H3054" s="47">
        <v>85.6</v>
      </c>
      <c r="I3054" s="47" t="s">
        <v>75</v>
      </c>
    </row>
    <row r="3055" ht="15.75" customHeight="1">
      <c r="A3055" s="47" t="s">
        <v>6328</v>
      </c>
      <c r="B3055" s="47" t="s">
        <v>6329</v>
      </c>
      <c r="C3055" s="47" t="s">
        <v>7759</v>
      </c>
      <c r="D3055" s="47" t="s">
        <v>197</v>
      </c>
      <c r="E3055" s="47" t="s">
        <v>517</v>
      </c>
      <c r="F3055" s="47">
        <v>154.0</v>
      </c>
      <c r="G3055" s="47">
        <v>3.57</v>
      </c>
      <c r="H3055" s="47">
        <v>43.1</v>
      </c>
      <c r="I3055" s="47" t="s">
        <v>75</v>
      </c>
    </row>
    <row r="3056" ht="15.75" customHeight="1">
      <c r="A3056" s="47" t="s">
        <v>6330</v>
      </c>
      <c r="B3056" s="47" t="s">
        <v>6331</v>
      </c>
      <c r="C3056" s="47" t="s">
        <v>7759</v>
      </c>
      <c r="D3056" s="47" t="s">
        <v>229</v>
      </c>
      <c r="E3056" s="47" t="s">
        <v>400</v>
      </c>
      <c r="F3056" s="47">
        <v>48.0</v>
      </c>
      <c r="G3056" s="47">
        <v>4.91</v>
      </c>
      <c r="H3056" s="47">
        <v>9.8</v>
      </c>
      <c r="I3056" s="47" t="s">
        <v>75</v>
      </c>
    </row>
    <row r="3057" ht="15.75" customHeight="1">
      <c r="A3057" s="47" t="s">
        <v>6332</v>
      </c>
      <c r="B3057" s="47" t="s">
        <v>6333</v>
      </c>
      <c r="C3057" s="47" t="s">
        <v>7759</v>
      </c>
      <c r="D3057" s="47" t="s">
        <v>197</v>
      </c>
      <c r="E3057" s="47" t="s">
        <v>517</v>
      </c>
      <c r="F3057" s="47">
        <v>540.0</v>
      </c>
      <c r="G3057" s="47">
        <v>6.72</v>
      </c>
      <c r="H3057" s="47">
        <v>80.4</v>
      </c>
      <c r="I3057" s="47" t="s">
        <v>62</v>
      </c>
    </row>
    <row r="3058" ht="15.75" customHeight="1">
      <c r="A3058" s="47" t="s">
        <v>6334</v>
      </c>
      <c r="B3058" s="47" t="s">
        <v>6335</v>
      </c>
      <c r="C3058" s="47" t="s">
        <v>7759</v>
      </c>
      <c r="D3058" s="47" t="s">
        <v>229</v>
      </c>
      <c r="E3058" s="47" t="s">
        <v>400</v>
      </c>
      <c r="F3058" s="47">
        <v>63.0</v>
      </c>
      <c r="G3058" s="47">
        <v>6.14</v>
      </c>
      <c r="H3058" s="47">
        <v>10.3</v>
      </c>
      <c r="I3058" s="47" t="s">
        <v>75</v>
      </c>
    </row>
    <row r="3059" ht="15.75" customHeight="1">
      <c r="A3059" s="47" t="s">
        <v>6336</v>
      </c>
      <c r="B3059" s="47" t="s">
        <v>6337</v>
      </c>
      <c r="C3059" s="47" t="s">
        <v>7759</v>
      </c>
      <c r="D3059" s="47" t="s">
        <v>185</v>
      </c>
      <c r="E3059" s="47" t="s">
        <v>485</v>
      </c>
      <c r="F3059" s="47">
        <v>152.0</v>
      </c>
      <c r="G3059" s="47">
        <v>4.67</v>
      </c>
      <c r="H3059" s="47">
        <v>32.5</v>
      </c>
      <c r="I3059" s="47" t="s">
        <v>75</v>
      </c>
    </row>
    <row r="3060" ht="15.75" customHeight="1">
      <c r="A3060" s="47" t="s">
        <v>6338</v>
      </c>
      <c r="B3060" s="47" t="s">
        <v>6339</v>
      </c>
      <c r="C3060" s="47" t="s">
        <v>7759</v>
      </c>
      <c r="D3060" s="47" t="s">
        <v>229</v>
      </c>
      <c r="E3060" s="47" t="s">
        <v>400</v>
      </c>
      <c r="F3060" s="47">
        <v>461.0</v>
      </c>
      <c r="G3060" s="47">
        <v>6.31</v>
      </c>
      <c r="H3060" s="47">
        <v>73.1</v>
      </c>
      <c r="I3060" s="47" t="s">
        <v>75</v>
      </c>
    </row>
    <row r="3061" ht="15.75" customHeight="1">
      <c r="A3061" s="47" t="s">
        <v>6340</v>
      </c>
      <c r="B3061" s="47" t="s">
        <v>1923</v>
      </c>
      <c r="C3061" s="47" t="s">
        <v>7759</v>
      </c>
      <c r="D3061" s="47" t="s">
        <v>121</v>
      </c>
      <c r="E3061" s="47" t="s">
        <v>325</v>
      </c>
      <c r="F3061" s="47">
        <v>253.0</v>
      </c>
      <c r="G3061" s="47">
        <v>14.05</v>
      </c>
      <c r="H3061" s="47">
        <v>18.0</v>
      </c>
      <c r="I3061" s="47" t="s">
        <v>75</v>
      </c>
    </row>
    <row r="3062" ht="15.75" customHeight="1">
      <c r="A3062" s="47" t="s">
        <v>6341</v>
      </c>
      <c r="B3062" s="47" t="s">
        <v>6342</v>
      </c>
      <c r="C3062" s="47" t="s">
        <v>7759</v>
      </c>
      <c r="D3062" s="47" t="s">
        <v>210</v>
      </c>
      <c r="E3062" s="47" t="s">
        <v>537</v>
      </c>
      <c r="F3062" s="47">
        <v>243.0</v>
      </c>
      <c r="G3062" s="47">
        <v>5.12</v>
      </c>
      <c r="H3062" s="47">
        <v>47.5</v>
      </c>
      <c r="I3062" s="47" t="s">
        <v>75</v>
      </c>
    </row>
    <row r="3063" ht="15.75" customHeight="1">
      <c r="A3063" s="47" t="s">
        <v>6343</v>
      </c>
      <c r="B3063" s="47" t="s">
        <v>6344</v>
      </c>
      <c r="C3063" s="47" t="s">
        <v>7759</v>
      </c>
      <c r="D3063" s="47" t="s">
        <v>185</v>
      </c>
      <c r="E3063" s="47" t="s">
        <v>485</v>
      </c>
      <c r="F3063" s="47">
        <v>78.0</v>
      </c>
      <c r="G3063" s="47">
        <v>3.31</v>
      </c>
      <c r="H3063" s="47">
        <v>23.6</v>
      </c>
      <c r="I3063" s="47" t="s">
        <v>75</v>
      </c>
    </row>
    <row r="3064" ht="15.75" customHeight="1">
      <c r="A3064" s="47" t="s">
        <v>6345</v>
      </c>
      <c r="B3064" s="47" t="s">
        <v>6346</v>
      </c>
      <c r="C3064" s="47" t="s">
        <v>7759</v>
      </c>
      <c r="D3064" s="47" t="s">
        <v>158</v>
      </c>
      <c r="E3064" s="47" t="s">
        <v>427</v>
      </c>
      <c r="F3064" s="47">
        <v>233.0</v>
      </c>
      <c r="G3064" s="47">
        <v>7.54</v>
      </c>
      <c r="H3064" s="47">
        <v>30.9</v>
      </c>
      <c r="I3064" s="47" t="s">
        <v>75</v>
      </c>
    </row>
    <row r="3065" ht="15.75" customHeight="1">
      <c r="A3065" s="47" t="s">
        <v>6347</v>
      </c>
      <c r="B3065" s="47" t="s">
        <v>4652</v>
      </c>
      <c r="C3065" s="47" t="s">
        <v>7759</v>
      </c>
      <c r="D3065" s="47" t="s">
        <v>207</v>
      </c>
      <c r="E3065" s="47" t="s">
        <v>534</v>
      </c>
      <c r="F3065" s="47">
        <v>161.0</v>
      </c>
      <c r="G3065" s="47">
        <v>11.66</v>
      </c>
      <c r="H3065" s="47">
        <v>13.8</v>
      </c>
      <c r="I3065" s="47" t="s">
        <v>75</v>
      </c>
    </row>
    <row r="3066" ht="15.75" customHeight="1">
      <c r="A3066" s="47" t="s">
        <v>6348</v>
      </c>
      <c r="B3066" s="47" t="s">
        <v>6349</v>
      </c>
      <c r="C3066" s="47" t="s">
        <v>7759</v>
      </c>
      <c r="D3066" s="47" t="s">
        <v>207</v>
      </c>
      <c r="E3066" s="47" t="s">
        <v>534</v>
      </c>
      <c r="F3066" s="47">
        <v>104.0</v>
      </c>
      <c r="G3066" s="47">
        <v>7.72</v>
      </c>
      <c r="H3066" s="47">
        <v>13.5</v>
      </c>
      <c r="I3066" s="47" t="s">
        <v>75</v>
      </c>
    </row>
    <row r="3067" ht="15.75" customHeight="1">
      <c r="A3067" s="47" t="s">
        <v>6350</v>
      </c>
      <c r="B3067" s="47" t="s">
        <v>6351</v>
      </c>
      <c r="C3067" s="47" t="s">
        <v>7759</v>
      </c>
      <c r="D3067" s="47" t="s">
        <v>197</v>
      </c>
      <c r="E3067" s="47" t="s">
        <v>517</v>
      </c>
      <c r="F3067" s="47">
        <v>70.0</v>
      </c>
      <c r="G3067" s="47">
        <v>1.86</v>
      </c>
      <c r="H3067" s="47">
        <v>37.6</v>
      </c>
      <c r="I3067" s="47" t="s">
        <v>75</v>
      </c>
    </row>
    <row r="3068" ht="15.75" customHeight="1">
      <c r="A3068" s="47" t="s">
        <v>6352</v>
      </c>
      <c r="B3068" s="47" t="s">
        <v>6353</v>
      </c>
      <c r="C3068" s="47" t="s">
        <v>7759</v>
      </c>
      <c r="D3068" s="47" t="s">
        <v>230</v>
      </c>
      <c r="E3068" s="47" t="s">
        <v>402</v>
      </c>
      <c r="F3068" s="47">
        <v>340.0</v>
      </c>
      <c r="G3068" s="47">
        <v>8.13</v>
      </c>
      <c r="H3068" s="47">
        <v>41.8</v>
      </c>
      <c r="I3068" s="47" t="s">
        <v>75</v>
      </c>
    </row>
    <row r="3069" ht="15.75" customHeight="1">
      <c r="A3069" s="47" t="s">
        <v>6354</v>
      </c>
      <c r="B3069" s="47" t="s">
        <v>6355</v>
      </c>
      <c r="C3069" s="47" t="s">
        <v>7759</v>
      </c>
      <c r="D3069" s="47" t="s">
        <v>197</v>
      </c>
      <c r="E3069" s="47" t="s">
        <v>517</v>
      </c>
      <c r="F3069" s="47">
        <v>79.0</v>
      </c>
      <c r="G3069" s="47">
        <v>5.15</v>
      </c>
      <c r="H3069" s="47">
        <v>15.3</v>
      </c>
      <c r="I3069" s="47" t="s">
        <v>75</v>
      </c>
    </row>
    <row r="3070" ht="15.75" customHeight="1">
      <c r="A3070" s="47" t="s">
        <v>6356</v>
      </c>
      <c r="B3070" s="47" t="s">
        <v>6357</v>
      </c>
      <c r="C3070" s="47" t="s">
        <v>7759</v>
      </c>
      <c r="D3070" s="47" t="s">
        <v>207</v>
      </c>
      <c r="E3070" s="47" t="s">
        <v>534</v>
      </c>
      <c r="F3070" s="47">
        <v>126.0</v>
      </c>
      <c r="G3070" s="47">
        <v>3.6</v>
      </c>
      <c r="H3070" s="47">
        <v>35.0</v>
      </c>
      <c r="I3070" s="47" t="s">
        <v>75</v>
      </c>
    </row>
    <row r="3071" ht="15.75" customHeight="1">
      <c r="A3071" s="47" t="s">
        <v>6358</v>
      </c>
      <c r="B3071" s="47" t="s">
        <v>6359</v>
      </c>
      <c r="C3071" s="47" t="s">
        <v>7759</v>
      </c>
      <c r="D3071" s="47" t="s">
        <v>229</v>
      </c>
      <c r="E3071" s="47" t="s">
        <v>400</v>
      </c>
      <c r="F3071" s="47">
        <v>207.0</v>
      </c>
      <c r="G3071" s="47">
        <v>6.75</v>
      </c>
      <c r="H3071" s="47">
        <v>30.7</v>
      </c>
      <c r="I3071" s="47" t="s">
        <v>75</v>
      </c>
    </row>
    <row r="3072" ht="15.75" customHeight="1">
      <c r="A3072" s="47" t="s">
        <v>6360</v>
      </c>
      <c r="B3072" s="47" t="s">
        <v>6361</v>
      </c>
      <c r="C3072" s="47" t="s">
        <v>7759</v>
      </c>
      <c r="D3072" s="47" t="s">
        <v>229</v>
      </c>
      <c r="E3072" s="47" t="s">
        <v>400</v>
      </c>
      <c r="F3072" s="47">
        <v>1396.0</v>
      </c>
      <c r="G3072" s="47">
        <v>5.04</v>
      </c>
      <c r="H3072" s="47">
        <v>277.0</v>
      </c>
      <c r="I3072" s="47" t="s">
        <v>62</v>
      </c>
    </row>
    <row r="3073" ht="15.75" customHeight="1">
      <c r="A3073" s="47" t="s">
        <v>6362</v>
      </c>
      <c r="B3073" s="47" t="s">
        <v>6363</v>
      </c>
      <c r="C3073" s="47" t="s">
        <v>7759</v>
      </c>
      <c r="D3073" s="47" t="s">
        <v>178</v>
      </c>
      <c r="E3073" s="47" t="s">
        <v>475</v>
      </c>
      <c r="F3073" s="47">
        <v>937.0</v>
      </c>
      <c r="G3073" s="47">
        <v>7.29</v>
      </c>
      <c r="H3073" s="47">
        <v>128.5</v>
      </c>
      <c r="I3073" s="47" t="s">
        <v>62</v>
      </c>
    </row>
    <row r="3074" ht="15.75" customHeight="1">
      <c r="A3074" s="47" t="s">
        <v>6364</v>
      </c>
      <c r="B3074" s="47" t="s">
        <v>6365</v>
      </c>
      <c r="C3074" s="47" t="s">
        <v>7759</v>
      </c>
      <c r="D3074" s="47" t="s">
        <v>148</v>
      </c>
      <c r="E3074" s="47" t="s">
        <v>360</v>
      </c>
      <c r="F3074" s="47">
        <v>161.0</v>
      </c>
      <c r="G3074" s="47">
        <v>5.93</v>
      </c>
      <c r="H3074" s="47">
        <v>27.2</v>
      </c>
      <c r="I3074" s="47" t="s">
        <v>75</v>
      </c>
    </row>
    <row r="3075" ht="15.75" customHeight="1">
      <c r="A3075" s="47" t="s">
        <v>6366</v>
      </c>
      <c r="B3075" s="47" t="s">
        <v>6367</v>
      </c>
      <c r="C3075" s="47" t="s">
        <v>7759</v>
      </c>
      <c r="D3075" s="47" t="s">
        <v>197</v>
      </c>
      <c r="E3075" s="47" t="s">
        <v>517</v>
      </c>
      <c r="F3075" s="47">
        <v>89.0</v>
      </c>
      <c r="G3075" s="47">
        <v>3.51</v>
      </c>
      <c r="H3075" s="47">
        <v>25.4</v>
      </c>
      <c r="I3075" s="47" t="s">
        <v>75</v>
      </c>
    </row>
    <row r="3076" ht="15.75" customHeight="1">
      <c r="A3076" s="47" t="s">
        <v>6368</v>
      </c>
      <c r="B3076" s="47" t="s">
        <v>6369</v>
      </c>
      <c r="C3076" s="47" t="s">
        <v>7759</v>
      </c>
      <c r="D3076" s="47" t="s">
        <v>207</v>
      </c>
      <c r="E3076" s="47" t="s">
        <v>534</v>
      </c>
      <c r="F3076" s="47">
        <v>278.0</v>
      </c>
      <c r="G3076" s="47">
        <v>5.43</v>
      </c>
      <c r="H3076" s="47">
        <v>51.2</v>
      </c>
      <c r="I3076" s="47" t="s">
        <v>75</v>
      </c>
    </row>
    <row r="3077" ht="15.75" customHeight="1">
      <c r="A3077" s="47" t="s">
        <v>6370</v>
      </c>
      <c r="B3077" s="47" t="s">
        <v>6371</v>
      </c>
      <c r="C3077" s="47" t="s">
        <v>7759</v>
      </c>
      <c r="D3077" s="47" t="s">
        <v>230</v>
      </c>
      <c r="E3077" s="47" t="s">
        <v>402</v>
      </c>
      <c r="F3077" s="47">
        <v>193.0</v>
      </c>
      <c r="G3077" s="47">
        <v>4.6</v>
      </c>
      <c r="H3077" s="47">
        <v>42.0</v>
      </c>
      <c r="I3077" s="47" t="s">
        <v>75</v>
      </c>
    </row>
    <row r="3078" ht="15.75" customHeight="1">
      <c r="A3078" s="47" t="s">
        <v>6372</v>
      </c>
      <c r="B3078" s="47" t="s">
        <v>6373</v>
      </c>
      <c r="C3078" s="47" t="s">
        <v>7759</v>
      </c>
      <c r="D3078" s="47" t="s">
        <v>207</v>
      </c>
      <c r="E3078" s="47" t="s">
        <v>534</v>
      </c>
      <c r="F3078" s="47">
        <v>215.0</v>
      </c>
      <c r="G3078" s="47">
        <v>6.18</v>
      </c>
      <c r="H3078" s="47">
        <v>34.8</v>
      </c>
      <c r="I3078" s="47" t="s">
        <v>75</v>
      </c>
    </row>
    <row r="3079" ht="15.75" customHeight="1">
      <c r="A3079" s="47" t="s">
        <v>6374</v>
      </c>
      <c r="B3079" s="47" t="s">
        <v>6375</v>
      </c>
      <c r="C3079" s="47" t="s">
        <v>7759</v>
      </c>
      <c r="D3079" s="47" t="s">
        <v>197</v>
      </c>
      <c r="E3079" s="47" t="s">
        <v>517</v>
      </c>
      <c r="F3079" s="47">
        <v>200.0</v>
      </c>
      <c r="G3079" s="47">
        <v>8.36</v>
      </c>
      <c r="H3079" s="47">
        <v>23.9</v>
      </c>
      <c r="I3079" s="47" t="s">
        <v>75</v>
      </c>
    </row>
    <row r="3080" ht="15.75" customHeight="1">
      <c r="A3080" s="47" t="s">
        <v>6376</v>
      </c>
      <c r="B3080" s="47" t="s">
        <v>6377</v>
      </c>
      <c r="C3080" s="47" t="s">
        <v>7759</v>
      </c>
      <c r="D3080" s="47" t="s">
        <v>207</v>
      </c>
      <c r="E3080" s="47" t="s">
        <v>534</v>
      </c>
      <c r="F3080" s="47">
        <v>1352.0</v>
      </c>
      <c r="G3080" s="47">
        <v>20.18</v>
      </c>
      <c r="H3080" s="47">
        <v>67.0</v>
      </c>
      <c r="I3080" s="47" t="s">
        <v>62</v>
      </c>
    </row>
    <row r="3081" ht="15.75" customHeight="1">
      <c r="A3081" s="47" t="s">
        <v>6378</v>
      </c>
      <c r="B3081" s="47" t="s">
        <v>6379</v>
      </c>
      <c r="C3081" s="47" t="s">
        <v>7759</v>
      </c>
      <c r="D3081" s="47" t="s">
        <v>207</v>
      </c>
      <c r="E3081" s="47" t="s">
        <v>534</v>
      </c>
      <c r="F3081" s="47">
        <v>1929.0</v>
      </c>
      <c r="G3081" s="47">
        <v>22.86</v>
      </c>
      <c r="H3081" s="47">
        <v>84.4</v>
      </c>
      <c r="I3081" s="47" t="s">
        <v>62</v>
      </c>
    </row>
    <row r="3082" ht="15.75" customHeight="1">
      <c r="A3082" s="47" t="s">
        <v>6380</v>
      </c>
      <c r="B3082" s="47" t="s">
        <v>6381</v>
      </c>
      <c r="C3082" s="47" t="s">
        <v>7759</v>
      </c>
      <c r="D3082" s="47" t="s">
        <v>197</v>
      </c>
      <c r="E3082" s="47" t="s">
        <v>517</v>
      </c>
      <c r="F3082" s="47">
        <v>153.0</v>
      </c>
      <c r="G3082" s="47">
        <v>3.58</v>
      </c>
      <c r="H3082" s="47">
        <v>42.7</v>
      </c>
      <c r="I3082" s="47" t="s">
        <v>75</v>
      </c>
    </row>
    <row r="3083" ht="15.75" customHeight="1">
      <c r="A3083" s="47" t="s">
        <v>6382</v>
      </c>
      <c r="B3083" s="47" t="s">
        <v>302</v>
      </c>
      <c r="C3083" s="47" t="s">
        <v>7759</v>
      </c>
      <c r="D3083" s="47" t="s">
        <v>185</v>
      </c>
      <c r="E3083" s="47" t="s">
        <v>485</v>
      </c>
      <c r="F3083" s="47">
        <v>109.0</v>
      </c>
      <c r="G3083" s="47">
        <v>6.09</v>
      </c>
      <c r="H3083" s="47">
        <v>17.9</v>
      </c>
      <c r="I3083" s="47" t="s">
        <v>75</v>
      </c>
    </row>
    <row r="3084" ht="15.75" customHeight="1">
      <c r="A3084" s="47" t="s">
        <v>6383</v>
      </c>
      <c r="B3084" s="47" t="s">
        <v>6384</v>
      </c>
      <c r="C3084" s="47" t="s">
        <v>7759</v>
      </c>
      <c r="D3084" s="47" t="s">
        <v>212</v>
      </c>
      <c r="E3084" s="47" t="s">
        <v>549</v>
      </c>
      <c r="F3084" s="47">
        <v>500.0</v>
      </c>
      <c r="G3084" s="47">
        <v>9.83</v>
      </c>
      <c r="H3084" s="47">
        <v>50.9</v>
      </c>
      <c r="I3084" s="47" t="s">
        <v>62</v>
      </c>
    </row>
    <row r="3085" ht="15.75" customHeight="1">
      <c r="A3085" s="47" t="s">
        <v>6385</v>
      </c>
      <c r="B3085" s="47" t="s">
        <v>6386</v>
      </c>
      <c r="C3085" s="47" t="s">
        <v>7759</v>
      </c>
      <c r="D3085" s="47" t="s">
        <v>207</v>
      </c>
      <c r="E3085" s="47" t="s">
        <v>534</v>
      </c>
      <c r="F3085" s="47">
        <v>301.0</v>
      </c>
      <c r="G3085" s="47">
        <v>7.09</v>
      </c>
      <c r="H3085" s="47">
        <v>42.5</v>
      </c>
      <c r="I3085" s="47" t="s">
        <v>75</v>
      </c>
    </row>
    <row r="3086" ht="15.75" customHeight="1">
      <c r="A3086" s="47" t="s">
        <v>6387</v>
      </c>
      <c r="B3086" s="47" t="s">
        <v>6388</v>
      </c>
      <c r="C3086" s="47" t="s">
        <v>7759</v>
      </c>
      <c r="D3086" s="47" t="s">
        <v>121</v>
      </c>
      <c r="E3086" s="47" t="s">
        <v>325</v>
      </c>
      <c r="F3086" s="47">
        <v>494.0</v>
      </c>
      <c r="G3086" s="47">
        <v>6.1</v>
      </c>
      <c r="H3086" s="47">
        <v>81.0</v>
      </c>
      <c r="I3086" s="47" t="s">
        <v>75</v>
      </c>
    </row>
    <row r="3087" ht="15.75" customHeight="1">
      <c r="A3087" s="47" t="s">
        <v>6389</v>
      </c>
      <c r="B3087" s="47" t="s">
        <v>6390</v>
      </c>
      <c r="C3087" s="47" t="s">
        <v>7759</v>
      </c>
      <c r="D3087" s="47" t="s">
        <v>229</v>
      </c>
      <c r="E3087" s="47" t="s">
        <v>400</v>
      </c>
      <c r="F3087" s="47">
        <v>297.0</v>
      </c>
      <c r="G3087" s="47">
        <v>7.87</v>
      </c>
      <c r="H3087" s="47">
        <v>37.7</v>
      </c>
      <c r="I3087" s="47" t="s">
        <v>75</v>
      </c>
    </row>
    <row r="3088" ht="15.75" customHeight="1">
      <c r="A3088" s="47" t="s">
        <v>6391</v>
      </c>
      <c r="B3088" s="47" t="s">
        <v>6392</v>
      </c>
      <c r="C3088" s="47" t="s">
        <v>7759</v>
      </c>
      <c r="D3088" s="47" t="s">
        <v>230</v>
      </c>
      <c r="E3088" s="47" t="s">
        <v>402</v>
      </c>
      <c r="F3088" s="47">
        <v>149.0</v>
      </c>
      <c r="G3088" s="47">
        <v>5.5</v>
      </c>
      <c r="H3088" s="47">
        <v>27.1</v>
      </c>
      <c r="I3088" s="47" t="s">
        <v>75</v>
      </c>
    </row>
    <row r="3089" ht="15.75" customHeight="1">
      <c r="A3089" s="47" t="s">
        <v>6393</v>
      </c>
      <c r="B3089" s="47" t="s">
        <v>6394</v>
      </c>
      <c r="C3089" s="47" t="s">
        <v>7759</v>
      </c>
      <c r="D3089" s="47" t="s">
        <v>229</v>
      </c>
      <c r="E3089" s="47" t="s">
        <v>400</v>
      </c>
      <c r="F3089" s="47">
        <v>80.0</v>
      </c>
      <c r="G3089" s="47">
        <v>6.57</v>
      </c>
      <c r="H3089" s="47">
        <v>12.2</v>
      </c>
      <c r="I3089" s="47" t="s">
        <v>75</v>
      </c>
    </row>
    <row r="3090" ht="15.75" customHeight="1">
      <c r="A3090" s="47" t="s">
        <v>6395</v>
      </c>
      <c r="B3090" s="47" t="s">
        <v>6396</v>
      </c>
      <c r="C3090" s="47" t="s">
        <v>7759</v>
      </c>
      <c r="D3090" s="47" t="s">
        <v>218</v>
      </c>
      <c r="E3090" s="47" t="s">
        <v>374</v>
      </c>
      <c r="F3090" s="47">
        <v>717.0</v>
      </c>
      <c r="G3090" s="47">
        <v>13.24</v>
      </c>
      <c r="H3090" s="47">
        <v>54.2</v>
      </c>
      <c r="I3090" s="47" t="s">
        <v>62</v>
      </c>
    </row>
    <row r="3091" ht="15.75" customHeight="1">
      <c r="A3091" s="47" t="s">
        <v>6397</v>
      </c>
      <c r="B3091" s="47" t="s">
        <v>6398</v>
      </c>
      <c r="C3091" s="47" t="s">
        <v>7759</v>
      </c>
      <c r="D3091" s="47" t="s">
        <v>229</v>
      </c>
      <c r="E3091" s="47" t="s">
        <v>400</v>
      </c>
      <c r="F3091" s="47">
        <v>145.0</v>
      </c>
      <c r="G3091" s="47">
        <v>6.84</v>
      </c>
      <c r="H3091" s="47">
        <v>21.2</v>
      </c>
      <c r="I3091" s="47" t="s">
        <v>75</v>
      </c>
    </row>
    <row r="3092" ht="15.75" customHeight="1">
      <c r="A3092" s="47" t="s">
        <v>6399</v>
      </c>
      <c r="B3092" s="47" t="s">
        <v>6400</v>
      </c>
      <c r="C3092" s="47" t="s">
        <v>7759</v>
      </c>
      <c r="D3092" s="47" t="s">
        <v>229</v>
      </c>
      <c r="E3092" s="47" t="s">
        <v>400</v>
      </c>
      <c r="F3092" s="47">
        <v>197.0</v>
      </c>
      <c r="G3092" s="47">
        <v>4.12</v>
      </c>
      <c r="H3092" s="47">
        <v>47.8</v>
      </c>
      <c r="I3092" s="47" t="s">
        <v>75</v>
      </c>
    </row>
    <row r="3093" ht="15.75" customHeight="1">
      <c r="A3093" s="47" t="s">
        <v>6401</v>
      </c>
      <c r="B3093" s="47" t="s">
        <v>6402</v>
      </c>
      <c r="C3093" s="47" t="s">
        <v>7759</v>
      </c>
      <c r="D3093" s="47" t="s">
        <v>207</v>
      </c>
      <c r="E3093" s="47" t="s">
        <v>534</v>
      </c>
      <c r="F3093" s="47">
        <v>40.0</v>
      </c>
      <c r="G3093" s="47">
        <v>4.6</v>
      </c>
      <c r="H3093" s="47">
        <v>8.7</v>
      </c>
      <c r="I3093" s="47" t="s">
        <v>75</v>
      </c>
    </row>
    <row r="3094" ht="15.75" customHeight="1">
      <c r="A3094" s="47" t="s">
        <v>6403</v>
      </c>
      <c r="B3094" s="47" t="s">
        <v>6404</v>
      </c>
      <c r="C3094" s="47" t="s">
        <v>7759</v>
      </c>
      <c r="D3094" s="47" t="s">
        <v>207</v>
      </c>
      <c r="E3094" s="47" t="s">
        <v>534</v>
      </c>
      <c r="F3094" s="47">
        <v>1042.0</v>
      </c>
      <c r="G3094" s="47">
        <v>17.44</v>
      </c>
      <c r="H3094" s="47">
        <v>59.7</v>
      </c>
      <c r="I3094" s="47" t="s">
        <v>62</v>
      </c>
    </row>
    <row r="3095" ht="15.75" customHeight="1">
      <c r="A3095" s="47" t="s">
        <v>6405</v>
      </c>
      <c r="B3095" s="47" t="s">
        <v>6406</v>
      </c>
      <c r="C3095" s="47" t="s">
        <v>7759</v>
      </c>
      <c r="D3095" s="47" t="s">
        <v>225</v>
      </c>
      <c r="E3095" s="47" t="s">
        <v>387</v>
      </c>
      <c r="F3095" s="47">
        <v>240.0</v>
      </c>
      <c r="G3095" s="47">
        <v>10.01</v>
      </c>
      <c r="H3095" s="47">
        <v>24.0</v>
      </c>
      <c r="I3095" s="47" t="s">
        <v>75</v>
      </c>
    </row>
    <row r="3096" ht="15.75" customHeight="1">
      <c r="A3096" s="47" t="s">
        <v>6407</v>
      </c>
      <c r="B3096" s="47" t="s">
        <v>6408</v>
      </c>
      <c r="C3096" s="47" t="s">
        <v>7759</v>
      </c>
      <c r="D3096" s="47" t="s">
        <v>158</v>
      </c>
      <c r="E3096" s="47" t="s">
        <v>427</v>
      </c>
      <c r="F3096" s="47">
        <v>353.0</v>
      </c>
      <c r="G3096" s="47">
        <v>7.61</v>
      </c>
      <c r="H3096" s="47">
        <v>46.4</v>
      </c>
      <c r="I3096" s="47" t="s">
        <v>75</v>
      </c>
    </row>
    <row r="3097" ht="15.75" customHeight="1">
      <c r="A3097" s="47" t="s">
        <v>6409</v>
      </c>
      <c r="B3097" s="47" t="s">
        <v>6410</v>
      </c>
      <c r="C3097" s="47" t="s">
        <v>7759</v>
      </c>
      <c r="D3097" s="47" t="s">
        <v>207</v>
      </c>
      <c r="E3097" s="47" t="s">
        <v>534</v>
      </c>
      <c r="F3097" s="47">
        <v>279.0</v>
      </c>
      <c r="G3097" s="47">
        <v>5.53</v>
      </c>
      <c r="H3097" s="47">
        <v>50.5</v>
      </c>
      <c r="I3097" s="47" t="s">
        <v>75</v>
      </c>
    </row>
    <row r="3098" ht="15.75" customHeight="1">
      <c r="A3098" s="47" t="s">
        <v>6411</v>
      </c>
      <c r="B3098" s="47" t="s">
        <v>6412</v>
      </c>
      <c r="C3098" s="47" t="s">
        <v>7759</v>
      </c>
      <c r="D3098" s="47" t="s">
        <v>230</v>
      </c>
      <c r="E3098" s="47" t="s">
        <v>402</v>
      </c>
      <c r="F3098" s="47">
        <v>155.0</v>
      </c>
      <c r="G3098" s="47">
        <v>4.42</v>
      </c>
      <c r="H3098" s="47">
        <v>35.1</v>
      </c>
      <c r="I3098" s="47" t="s">
        <v>75</v>
      </c>
    </row>
    <row r="3099" ht="15.75" customHeight="1">
      <c r="A3099" s="47" t="s">
        <v>6413</v>
      </c>
      <c r="B3099" s="47" t="s">
        <v>6414</v>
      </c>
      <c r="C3099" s="47" t="s">
        <v>7759</v>
      </c>
      <c r="D3099" s="47" t="s">
        <v>41</v>
      </c>
      <c r="E3099" s="47" t="s">
        <v>35</v>
      </c>
      <c r="F3099" s="47">
        <v>815.0</v>
      </c>
      <c r="G3099" s="47">
        <v>8.63</v>
      </c>
      <c r="H3099" s="47">
        <v>94.4</v>
      </c>
      <c r="I3099" s="47" t="s">
        <v>62</v>
      </c>
    </row>
    <row r="3100" ht="15.75" customHeight="1">
      <c r="A3100" s="47" t="s">
        <v>6415</v>
      </c>
      <c r="B3100" s="47" t="s">
        <v>6416</v>
      </c>
      <c r="C3100" s="47" t="s">
        <v>7759</v>
      </c>
      <c r="D3100" s="47" t="s">
        <v>218</v>
      </c>
      <c r="E3100" s="47" t="s">
        <v>374</v>
      </c>
      <c r="F3100" s="47">
        <v>1092.0</v>
      </c>
      <c r="G3100" s="47">
        <v>4.63</v>
      </c>
      <c r="H3100" s="47">
        <v>235.9</v>
      </c>
      <c r="I3100" s="47" t="s">
        <v>62</v>
      </c>
    </row>
    <row r="3101" ht="15.75" customHeight="1">
      <c r="A3101" s="47" t="s">
        <v>6417</v>
      </c>
      <c r="B3101" s="47" t="s">
        <v>6418</v>
      </c>
      <c r="C3101" s="47" t="s">
        <v>7759</v>
      </c>
      <c r="D3101" s="47" t="s">
        <v>148</v>
      </c>
      <c r="E3101" s="47" t="s">
        <v>360</v>
      </c>
      <c r="F3101" s="47">
        <v>517.0</v>
      </c>
      <c r="G3101" s="47">
        <v>2.67</v>
      </c>
      <c r="H3101" s="47">
        <v>193.6</v>
      </c>
      <c r="I3101" s="47" t="s">
        <v>62</v>
      </c>
    </row>
    <row r="3102" ht="15.75" customHeight="1">
      <c r="A3102" s="47" t="s">
        <v>6419</v>
      </c>
      <c r="B3102" s="47" t="s">
        <v>6420</v>
      </c>
      <c r="C3102" s="47" t="s">
        <v>7759</v>
      </c>
      <c r="D3102" s="47" t="s">
        <v>197</v>
      </c>
      <c r="E3102" s="47" t="s">
        <v>517</v>
      </c>
      <c r="F3102" s="47">
        <v>220.0</v>
      </c>
      <c r="G3102" s="47">
        <v>6.18</v>
      </c>
      <c r="H3102" s="47">
        <v>35.6</v>
      </c>
      <c r="I3102" s="47" t="s">
        <v>75</v>
      </c>
    </row>
    <row r="3103" ht="15.75" customHeight="1">
      <c r="A3103" s="47" t="s">
        <v>6421</v>
      </c>
      <c r="B3103" s="47" t="s">
        <v>6422</v>
      </c>
      <c r="C3103" s="47" t="s">
        <v>7759</v>
      </c>
      <c r="D3103" s="47" t="s">
        <v>212</v>
      </c>
      <c r="E3103" s="47" t="s">
        <v>549</v>
      </c>
      <c r="F3103" s="47">
        <v>882.0</v>
      </c>
      <c r="G3103" s="47">
        <v>2.98</v>
      </c>
      <c r="H3103" s="47">
        <v>296.0</v>
      </c>
      <c r="I3103" s="47" t="s">
        <v>62</v>
      </c>
    </row>
    <row r="3104" ht="15.75" customHeight="1">
      <c r="A3104" s="47" t="s">
        <v>6423</v>
      </c>
      <c r="B3104" s="47" t="s">
        <v>6424</v>
      </c>
      <c r="C3104" s="47" t="s">
        <v>7759</v>
      </c>
      <c r="D3104" s="47" t="s">
        <v>152</v>
      </c>
      <c r="E3104" s="47" t="s">
        <v>417</v>
      </c>
      <c r="F3104" s="47">
        <v>124.0</v>
      </c>
      <c r="G3104" s="47">
        <v>2.88</v>
      </c>
      <c r="H3104" s="47">
        <v>43.1</v>
      </c>
      <c r="I3104" s="47" t="s">
        <v>75</v>
      </c>
    </row>
    <row r="3105" ht="15.75" customHeight="1">
      <c r="A3105" s="47" t="s">
        <v>6425</v>
      </c>
      <c r="B3105" s="47" t="s">
        <v>6426</v>
      </c>
      <c r="C3105" s="47" t="s">
        <v>7759</v>
      </c>
      <c r="D3105" s="47" t="s">
        <v>229</v>
      </c>
      <c r="E3105" s="47" t="s">
        <v>400</v>
      </c>
      <c r="F3105" s="47">
        <v>91.0</v>
      </c>
      <c r="G3105" s="47">
        <v>4.18</v>
      </c>
      <c r="H3105" s="47">
        <v>21.8</v>
      </c>
      <c r="I3105" s="47" t="s">
        <v>75</v>
      </c>
    </row>
    <row r="3106" ht="15.75" customHeight="1">
      <c r="A3106" s="47" t="s">
        <v>6427</v>
      </c>
      <c r="B3106" s="47" t="s">
        <v>6428</v>
      </c>
      <c r="C3106" s="47" t="s">
        <v>7759</v>
      </c>
      <c r="D3106" s="47" t="s">
        <v>121</v>
      </c>
      <c r="E3106" s="47" t="s">
        <v>325</v>
      </c>
      <c r="F3106" s="47">
        <v>209.0</v>
      </c>
      <c r="G3106" s="47">
        <v>7.34</v>
      </c>
      <c r="H3106" s="47">
        <v>28.5</v>
      </c>
      <c r="I3106" s="47" t="s">
        <v>75</v>
      </c>
    </row>
    <row r="3107" ht="15.75" customHeight="1">
      <c r="A3107" s="47" t="s">
        <v>6429</v>
      </c>
      <c r="B3107" s="47" t="s">
        <v>6430</v>
      </c>
      <c r="C3107" s="47" t="s">
        <v>7759</v>
      </c>
      <c r="D3107" s="47" t="s">
        <v>218</v>
      </c>
      <c r="E3107" s="47" t="s">
        <v>374</v>
      </c>
      <c r="F3107" s="47">
        <v>605.0</v>
      </c>
      <c r="G3107" s="47">
        <v>8.03</v>
      </c>
      <c r="H3107" s="47">
        <v>75.3</v>
      </c>
      <c r="I3107" s="47" t="s">
        <v>62</v>
      </c>
    </row>
    <row r="3108" ht="15.75" customHeight="1">
      <c r="A3108" s="47" t="s">
        <v>6431</v>
      </c>
      <c r="B3108" s="47" t="s">
        <v>6432</v>
      </c>
      <c r="C3108" s="47" t="s">
        <v>7759</v>
      </c>
      <c r="D3108" s="47" t="s">
        <v>185</v>
      </c>
      <c r="E3108" s="47" t="s">
        <v>485</v>
      </c>
      <c r="F3108" s="47">
        <v>900.0</v>
      </c>
      <c r="G3108" s="47">
        <v>14.68</v>
      </c>
      <c r="H3108" s="47">
        <v>61.3</v>
      </c>
      <c r="I3108" s="47" t="s">
        <v>62</v>
      </c>
    </row>
    <row r="3109" ht="15.75" customHeight="1">
      <c r="A3109" s="47" t="s">
        <v>6433</v>
      </c>
      <c r="B3109" s="47" t="s">
        <v>6434</v>
      </c>
      <c r="C3109" s="47" t="s">
        <v>7759</v>
      </c>
      <c r="D3109" s="47" t="s">
        <v>158</v>
      </c>
      <c r="E3109" s="47" t="s">
        <v>427</v>
      </c>
      <c r="F3109" s="47">
        <v>386.0</v>
      </c>
      <c r="G3109" s="47">
        <v>6.57</v>
      </c>
      <c r="H3109" s="47">
        <v>58.8</v>
      </c>
      <c r="I3109" s="47" t="s">
        <v>75</v>
      </c>
    </row>
    <row r="3110" ht="15.75" customHeight="1">
      <c r="A3110" s="47" t="s">
        <v>6435</v>
      </c>
      <c r="B3110" s="47" t="s">
        <v>6436</v>
      </c>
      <c r="C3110" s="47" t="s">
        <v>7759</v>
      </c>
      <c r="D3110" s="47" t="s">
        <v>185</v>
      </c>
      <c r="E3110" s="47" t="s">
        <v>485</v>
      </c>
      <c r="F3110" s="47">
        <v>57.0</v>
      </c>
      <c r="G3110" s="47">
        <v>2.43</v>
      </c>
      <c r="H3110" s="47">
        <v>23.5</v>
      </c>
      <c r="I3110" s="47" t="s">
        <v>75</v>
      </c>
    </row>
    <row r="3111" ht="15.75" customHeight="1">
      <c r="A3111" s="47" t="s">
        <v>6437</v>
      </c>
      <c r="B3111" s="47" t="s">
        <v>6438</v>
      </c>
      <c r="C3111" s="47" t="s">
        <v>7759</v>
      </c>
      <c r="D3111" s="47" t="s">
        <v>216</v>
      </c>
      <c r="E3111" s="47" t="s">
        <v>371</v>
      </c>
      <c r="F3111" s="47">
        <v>137.0</v>
      </c>
      <c r="G3111" s="47">
        <v>2.23</v>
      </c>
      <c r="H3111" s="47">
        <v>61.4</v>
      </c>
      <c r="I3111" s="47" t="s">
        <v>75</v>
      </c>
    </row>
    <row r="3112" ht="15.75" customHeight="1">
      <c r="A3112" s="47" t="s">
        <v>6439</v>
      </c>
      <c r="B3112" s="47" t="s">
        <v>6440</v>
      </c>
      <c r="C3112" s="47" t="s">
        <v>7759</v>
      </c>
      <c r="D3112" s="47" t="s">
        <v>152</v>
      </c>
      <c r="E3112" s="47" t="s">
        <v>417</v>
      </c>
      <c r="F3112" s="47">
        <v>178.0</v>
      </c>
      <c r="G3112" s="47">
        <v>4.97</v>
      </c>
      <c r="H3112" s="47">
        <v>35.8</v>
      </c>
      <c r="I3112" s="47" t="s">
        <v>75</v>
      </c>
    </row>
    <row r="3113" ht="15.75" customHeight="1">
      <c r="A3113" s="47" t="s">
        <v>6441</v>
      </c>
      <c r="B3113" s="47" t="s">
        <v>6442</v>
      </c>
      <c r="C3113" s="47" t="s">
        <v>7759</v>
      </c>
      <c r="D3113" s="47" t="s">
        <v>229</v>
      </c>
      <c r="E3113" s="47" t="s">
        <v>400</v>
      </c>
      <c r="F3113" s="47">
        <v>161.0</v>
      </c>
      <c r="G3113" s="47">
        <v>8.01</v>
      </c>
      <c r="H3113" s="47">
        <v>20.1</v>
      </c>
      <c r="I3113" s="47" t="s">
        <v>75</v>
      </c>
    </row>
    <row r="3114" ht="15.75" customHeight="1">
      <c r="A3114" s="47" t="s">
        <v>6443</v>
      </c>
      <c r="B3114" s="47" t="s">
        <v>6444</v>
      </c>
      <c r="C3114" s="47" t="s">
        <v>7759</v>
      </c>
      <c r="D3114" s="47" t="s">
        <v>41</v>
      </c>
      <c r="E3114" s="47" t="s">
        <v>35</v>
      </c>
      <c r="F3114" s="47">
        <v>613.0</v>
      </c>
      <c r="G3114" s="47">
        <v>12.51</v>
      </c>
      <c r="H3114" s="47">
        <v>49.0</v>
      </c>
      <c r="I3114" s="47" t="s">
        <v>62</v>
      </c>
    </row>
    <row r="3115" ht="15.75" customHeight="1">
      <c r="A3115" s="47" t="s">
        <v>6445</v>
      </c>
      <c r="B3115" s="47" t="s">
        <v>6446</v>
      </c>
      <c r="C3115" s="47" t="s">
        <v>7759</v>
      </c>
      <c r="D3115" s="47" t="s">
        <v>207</v>
      </c>
      <c r="E3115" s="47" t="s">
        <v>534</v>
      </c>
      <c r="F3115" s="47">
        <v>64.0</v>
      </c>
      <c r="G3115" s="47">
        <v>4.34</v>
      </c>
      <c r="H3115" s="47">
        <v>14.7</v>
      </c>
      <c r="I3115" s="47" t="s">
        <v>75</v>
      </c>
    </row>
    <row r="3116" ht="15.75" customHeight="1">
      <c r="A3116" s="47" t="s">
        <v>6447</v>
      </c>
      <c r="B3116" s="47" t="s">
        <v>6448</v>
      </c>
      <c r="C3116" s="47" t="s">
        <v>7759</v>
      </c>
      <c r="D3116" s="47" t="s">
        <v>225</v>
      </c>
      <c r="E3116" s="47" t="s">
        <v>387</v>
      </c>
      <c r="F3116" s="47">
        <v>329.0</v>
      </c>
      <c r="G3116" s="47">
        <v>11.76</v>
      </c>
      <c r="H3116" s="47">
        <v>28.0</v>
      </c>
      <c r="I3116" s="47" t="s">
        <v>75</v>
      </c>
    </row>
    <row r="3117" ht="15.75" customHeight="1">
      <c r="A3117" s="47" t="s">
        <v>6449</v>
      </c>
      <c r="B3117" s="47" t="s">
        <v>6450</v>
      </c>
      <c r="C3117" s="47" t="s">
        <v>7759</v>
      </c>
      <c r="D3117" s="47" t="s">
        <v>121</v>
      </c>
      <c r="E3117" s="47" t="s">
        <v>325</v>
      </c>
      <c r="F3117" s="47">
        <v>441.0</v>
      </c>
      <c r="G3117" s="47">
        <v>15.75</v>
      </c>
      <c r="H3117" s="47">
        <v>28.0</v>
      </c>
      <c r="I3117" s="47" t="s">
        <v>75</v>
      </c>
    </row>
    <row r="3118" ht="15.75" customHeight="1">
      <c r="A3118" s="47" t="s">
        <v>6451</v>
      </c>
      <c r="B3118" s="47" t="s">
        <v>6452</v>
      </c>
      <c r="C3118" s="47" t="s">
        <v>7759</v>
      </c>
      <c r="D3118" s="47" t="s">
        <v>210</v>
      </c>
      <c r="E3118" s="47" t="s">
        <v>537</v>
      </c>
      <c r="F3118" s="47">
        <v>247.0</v>
      </c>
      <c r="G3118" s="47">
        <v>5.87</v>
      </c>
      <c r="H3118" s="47">
        <v>42.1</v>
      </c>
      <c r="I3118" s="47" t="s">
        <v>75</v>
      </c>
    </row>
    <row r="3119" ht="15.75" customHeight="1">
      <c r="A3119" s="47" t="s">
        <v>6453</v>
      </c>
      <c r="B3119" s="47" t="s">
        <v>6454</v>
      </c>
      <c r="C3119" s="47" t="s">
        <v>7759</v>
      </c>
      <c r="D3119" s="47" t="s">
        <v>207</v>
      </c>
      <c r="E3119" s="47" t="s">
        <v>534</v>
      </c>
      <c r="F3119" s="47">
        <v>325.0</v>
      </c>
      <c r="G3119" s="47">
        <v>10.19</v>
      </c>
      <c r="H3119" s="47">
        <v>31.9</v>
      </c>
      <c r="I3119" s="47" t="s">
        <v>75</v>
      </c>
    </row>
    <row r="3120" ht="15.75" customHeight="1">
      <c r="A3120" s="47" t="s">
        <v>6455</v>
      </c>
      <c r="B3120" s="47" t="s">
        <v>6456</v>
      </c>
      <c r="C3120" s="47" t="s">
        <v>7759</v>
      </c>
      <c r="D3120" s="47" t="s">
        <v>229</v>
      </c>
      <c r="E3120" s="47" t="s">
        <v>400</v>
      </c>
      <c r="F3120" s="47">
        <v>349.0</v>
      </c>
      <c r="G3120" s="47">
        <v>9.58</v>
      </c>
      <c r="H3120" s="47">
        <v>36.4</v>
      </c>
      <c r="I3120" s="47" t="s">
        <v>75</v>
      </c>
    </row>
    <row r="3121" ht="15.75" customHeight="1">
      <c r="A3121" s="47" t="s">
        <v>6457</v>
      </c>
      <c r="B3121" s="47" t="s">
        <v>6458</v>
      </c>
      <c r="C3121" s="47" t="s">
        <v>7759</v>
      </c>
      <c r="D3121" s="47" t="s">
        <v>158</v>
      </c>
      <c r="E3121" s="47" t="s">
        <v>427</v>
      </c>
      <c r="F3121" s="47">
        <v>283.0</v>
      </c>
      <c r="G3121" s="47">
        <v>10.15</v>
      </c>
      <c r="H3121" s="47">
        <v>27.9</v>
      </c>
      <c r="I3121" s="47" t="s">
        <v>75</v>
      </c>
    </row>
    <row r="3122" ht="15.75" customHeight="1">
      <c r="A3122" s="47" t="s">
        <v>6459</v>
      </c>
      <c r="B3122" s="47" t="s">
        <v>6460</v>
      </c>
      <c r="C3122" s="47" t="s">
        <v>7759</v>
      </c>
      <c r="D3122" s="47" t="s">
        <v>230</v>
      </c>
      <c r="E3122" s="47" t="s">
        <v>402</v>
      </c>
      <c r="F3122" s="47">
        <v>276.0</v>
      </c>
      <c r="G3122" s="47">
        <v>5.96</v>
      </c>
      <c r="H3122" s="47">
        <v>46.3</v>
      </c>
      <c r="I3122" s="47" t="s">
        <v>75</v>
      </c>
    </row>
    <row r="3123" ht="15.75" customHeight="1">
      <c r="A3123" s="47" t="s">
        <v>6461</v>
      </c>
      <c r="B3123" s="47" t="s">
        <v>6462</v>
      </c>
      <c r="C3123" s="47" t="s">
        <v>7759</v>
      </c>
      <c r="D3123" s="47" t="s">
        <v>218</v>
      </c>
      <c r="E3123" s="47" t="s">
        <v>374</v>
      </c>
      <c r="F3123" s="47">
        <v>158.0</v>
      </c>
      <c r="G3123" s="47">
        <v>4.58</v>
      </c>
      <c r="H3123" s="47">
        <v>34.5</v>
      </c>
      <c r="I3123" s="47" t="s">
        <v>75</v>
      </c>
    </row>
    <row r="3124" ht="15.75" customHeight="1">
      <c r="A3124" s="47" t="s">
        <v>6463</v>
      </c>
      <c r="B3124" s="47" t="s">
        <v>6464</v>
      </c>
      <c r="C3124" s="47" t="s">
        <v>7759</v>
      </c>
      <c r="D3124" s="47" t="s">
        <v>225</v>
      </c>
      <c r="E3124" s="47" t="s">
        <v>387</v>
      </c>
      <c r="F3124" s="47">
        <v>113.0</v>
      </c>
      <c r="G3124" s="47">
        <v>5.64</v>
      </c>
      <c r="H3124" s="47">
        <v>20.0</v>
      </c>
      <c r="I3124" s="47" t="s">
        <v>75</v>
      </c>
    </row>
    <row r="3125" ht="15.75" customHeight="1">
      <c r="A3125" s="47" t="s">
        <v>6465</v>
      </c>
      <c r="B3125" s="47" t="s">
        <v>6466</v>
      </c>
      <c r="C3125" s="47" t="s">
        <v>7759</v>
      </c>
      <c r="D3125" s="47" t="s">
        <v>229</v>
      </c>
      <c r="E3125" s="47" t="s">
        <v>400</v>
      </c>
      <c r="F3125" s="47">
        <v>389.0</v>
      </c>
      <c r="G3125" s="47">
        <v>10.27</v>
      </c>
      <c r="H3125" s="47">
        <v>37.9</v>
      </c>
      <c r="I3125" s="47" t="s">
        <v>75</v>
      </c>
    </row>
    <row r="3126" ht="15.75" customHeight="1">
      <c r="A3126" s="47" t="s">
        <v>6467</v>
      </c>
      <c r="B3126" s="47" t="s">
        <v>6468</v>
      </c>
      <c r="C3126" s="47" t="s">
        <v>7759</v>
      </c>
      <c r="D3126" s="47" t="s">
        <v>216</v>
      </c>
      <c r="E3126" s="47" t="s">
        <v>371</v>
      </c>
      <c r="F3126" s="47">
        <v>540.0</v>
      </c>
      <c r="G3126" s="47">
        <v>16.13</v>
      </c>
      <c r="H3126" s="47">
        <v>33.5</v>
      </c>
      <c r="I3126" s="47" t="s">
        <v>62</v>
      </c>
    </row>
    <row r="3127" ht="15.75" customHeight="1">
      <c r="A3127" s="47" t="s">
        <v>6469</v>
      </c>
      <c r="B3127" s="47" t="s">
        <v>6470</v>
      </c>
      <c r="C3127" s="47" t="s">
        <v>7759</v>
      </c>
      <c r="D3127" s="47" t="s">
        <v>185</v>
      </c>
      <c r="E3127" s="47" t="s">
        <v>485</v>
      </c>
      <c r="F3127" s="47">
        <v>142.0</v>
      </c>
      <c r="G3127" s="47">
        <v>3.58</v>
      </c>
      <c r="H3127" s="47">
        <v>39.7</v>
      </c>
      <c r="I3127" s="47" t="s">
        <v>75</v>
      </c>
    </row>
    <row r="3128" ht="15.75" customHeight="1">
      <c r="A3128" s="47" t="s">
        <v>6471</v>
      </c>
      <c r="B3128" s="47" t="s">
        <v>6472</v>
      </c>
      <c r="C3128" s="47" t="s">
        <v>7759</v>
      </c>
      <c r="D3128" s="47" t="s">
        <v>207</v>
      </c>
      <c r="E3128" s="47" t="s">
        <v>534</v>
      </c>
      <c r="F3128" s="47">
        <v>493.0</v>
      </c>
      <c r="G3128" s="47">
        <v>7.23</v>
      </c>
      <c r="H3128" s="47">
        <v>68.2</v>
      </c>
      <c r="I3128" s="47" t="s">
        <v>75</v>
      </c>
    </row>
    <row r="3129" ht="15.75" customHeight="1">
      <c r="A3129" s="47" t="s">
        <v>6473</v>
      </c>
      <c r="B3129" s="47" t="s">
        <v>6474</v>
      </c>
      <c r="C3129" s="47" t="s">
        <v>7759</v>
      </c>
      <c r="D3129" s="47" t="s">
        <v>218</v>
      </c>
      <c r="E3129" s="47" t="s">
        <v>374</v>
      </c>
      <c r="F3129" s="47">
        <v>376.0</v>
      </c>
      <c r="G3129" s="47">
        <v>6.92</v>
      </c>
      <c r="H3129" s="47">
        <v>54.3</v>
      </c>
      <c r="I3129" s="47" t="s">
        <v>75</v>
      </c>
    </row>
    <row r="3130" ht="15.75" customHeight="1">
      <c r="A3130" s="47" t="s">
        <v>6475</v>
      </c>
      <c r="B3130" s="47" t="s">
        <v>6476</v>
      </c>
      <c r="C3130" s="47" t="s">
        <v>7759</v>
      </c>
      <c r="D3130" s="47" t="s">
        <v>212</v>
      </c>
      <c r="E3130" s="47" t="s">
        <v>549</v>
      </c>
      <c r="F3130" s="47">
        <v>725.0</v>
      </c>
      <c r="G3130" s="47">
        <v>8.03</v>
      </c>
      <c r="H3130" s="47">
        <v>90.3</v>
      </c>
      <c r="I3130" s="47" t="s">
        <v>62</v>
      </c>
    </row>
    <row r="3131" ht="15.75" customHeight="1">
      <c r="A3131" s="47" t="s">
        <v>6477</v>
      </c>
      <c r="B3131" s="47" t="s">
        <v>6478</v>
      </c>
      <c r="C3131" s="47" t="s">
        <v>7759</v>
      </c>
      <c r="D3131" s="47" t="s">
        <v>185</v>
      </c>
      <c r="E3131" s="47" t="s">
        <v>485</v>
      </c>
      <c r="F3131" s="47">
        <v>80.0</v>
      </c>
      <c r="G3131" s="47">
        <v>3.33</v>
      </c>
      <c r="H3131" s="47">
        <v>24.0</v>
      </c>
      <c r="I3131" s="47" t="s">
        <v>75</v>
      </c>
    </row>
    <row r="3132" ht="15.75" customHeight="1">
      <c r="A3132" s="47" t="s">
        <v>6479</v>
      </c>
      <c r="B3132" s="47" t="s">
        <v>6480</v>
      </c>
      <c r="C3132" s="47" t="s">
        <v>7759</v>
      </c>
      <c r="D3132" s="47" t="s">
        <v>216</v>
      </c>
      <c r="E3132" s="47" t="s">
        <v>371</v>
      </c>
      <c r="F3132" s="47">
        <v>927.0</v>
      </c>
      <c r="G3132" s="47">
        <v>7.75</v>
      </c>
      <c r="H3132" s="47">
        <v>119.6</v>
      </c>
      <c r="I3132" s="47" t="s">
        <v>62</v>
      </c>
    </row>
    <row r="3133" ht="15.75" customHeight="1">
      <c r="A3133" s="47" t="s">
        <v>6481</v>
      </c>
      <c r="B3133" s="47" t="s">
        <v>6482</v>
      </c>
      <c r="C3133" s="47" t="s">
        <v>7759</v>
      </c>
      <c r="D3133" s="47" t="s">
        <v>178</v>
      </c>
      <c r="E3133" s="47" t="s">
        <v>475</v>
      </c>
      <c r="F3133" s="47">
        <v>783.0</v>
      </c>
      <c r="G3133" s="47">
        <v>6.79</v>
      </c>
      <c r="H3133" s="47">
        <v>115.3</v>
      </c>
      <c r="I3133" s="47" t="s">
        <v>62</v>
      </c>
    </row>
    <row r="3134" ht="15.75" customHeight="1">
      <c r="A3134" s="47" t="s">
        <v>6483</v>
      </c>
      <c r="B3134" s="47" t="s">
        <v>6484</v>
      </c>
      <c r="C3134" s="47" t="s">
        <v>7759</v>
      </c>
      <c r="D3134" s="47" t="s">
        <v>158</v>
      </c>
      <c r="E3134" s="47" t="s">
        <v>427</v>
      </c>
      <c r="F3134" s="47">
        <v>154.0</v>
      </c>
      <c r="G3134" s="47">
        <v>1.96</v>
      </c>
      <c r="H3134" s="47">
        <v>78.6</v>
      </c>
      <c r="I3134" s="47" t="s">
        <v>75</v>
      </c>
    </row>
    <row r="3135" ht="15.75" customHeight="1">
      <c r="A3135" s="47" t="s">
        <v>6485</v>
      </c>
      <c r="B3135" s="47" t="s">
        <v>6486</v>
      </c>
      <c r="C3135" s="47" t="s">
        <v>7759</v>
      </c>
      <c r="D3135" s="47" t="s">
        <v>197</v>
      </c>
      <c r="E3135" s="47" t="s">
        <v>517</v>
      </c>
      <c r="F3135" s="47">
        <v>528.0</v>
      </c>
      <c r="G3135" s="47">
        <v>8.17</v>
      </c>
      <c r="H3135" s="47">
        <v>64.6</v>
      </c>
      <c r="I3135" s="47" t="s">
        <v>62</v>
      </c>
    </row>
    <row r="3136" ht="15.75" customHeight="1">
      <c r="A3136" s="47" t="s">
        <v>6487</v>
      </c>
      <c r="B3136" s="47" t="s">
        <v>6488</v>
      </c>
      <c r="C3136" s="47" t="s">
        <v>7759</v>
      </c>
      <c r="D3136" s="47" t="s">
        <v>41</v>
      </c>
      <c r="E3136" s="47" t="s">
        <v>35</v>
      </c>
      <c r="F3136" s="47">
        <v>425.0</v>
      </c>
      <c r="G3136" s="47">
        <v>6.95</v>
      </c>
      <c r="H3136" s="47">
        <v>61.2</v>
      </c>
      <c r="I3136" s="47" t="s">
        <v>75</v>
      </c>
    </row>
    <row r="3137" ht="15.75" customHeight="1">
      <c r="A3137" s="47" t="s">
        <v>6489</v>
      </c>
      <c r="B3137" s="47" t="s">
        <v>6490</v>
      </c>
      <c r="C3137" s="47" t="s">
        <v>7759</v>
      </c>
      <c r="D3137" s="47" t="s">
        <v>41</v>
      </c>
      <c r="E3137" s="47" t="s">
        <v>35</v>
      </c>
      <c r="F3137" s="47">
        <v>3234.0</v>
      </c>
      <c r="G3137" s="47">
        <v>25.38</v>
      </c>
      <c r="H3137" s="47">
        <v>127.4</v>
      </c>
      <c r="I3137" s="47" t="s">
        <v>142</v>
      </c>
    </row>
    <row r="3138" ht="15.75" customHeight="1">
      <c r="A3138" s="47" t="s">
        <v>6491</v>
      </c>
      <c r="B3138" s="47" t="s">
        <v>6492</v>
      </c>
      <c r="C3138" s="47" t="s">
        <v>7759</v>
      </c>
      <c r="D3138" s="47" t="s">
        <v>148</v>
      </c>
      <c r="E3138" s="47" t="s">
        <v>360</v>
      </c>
      <c r="F3138" s="47">
        <v>203.0</v>
      </c>
      <c r="G3138" s="47">
        <v>7.25</v>
      </c>
      <c r="H3138" s="47">
        <v>28.0</v>
      </c>
      <c r="I3138" s="47" t="s">
        <v>75</v>
      </c>
    </row>
    <row r="3139" ht="15.75" customHeight="1">
      <c r="A3139" s="47" t="s">
        <v>6493</v>
      </c>
      <c r="B3139" s="47" t="s">
        <v>6494</v>
      </c>
      <c r="C3139" s="47" t="s">
        <v>7759</v>
      </c>
      <c r="D3139" s="47" t="s">
        <v>225</v>
      </c>
      <c r="E3139" s="47" t="s">
        <v>387</v>
      </c>
      <c r="F3139" s="47">
        <v>211.0</v>
      </c>
      <c r="G3139" s="47">
        <v>11.52</v>
      </c>
      <c r="H3139" s="47">
        <v>18.3</v>
      </c>
      <c r="I3139" s="47" t="s">
        <v>75</v>
      </c>
    </row>
    <row r="3140" ht="15.75" customHeight="1">
      <c r="A3140" s="47" t="s">
        <v>6495</v>
      </c>
      <c r="B3140" s="47" t="s">
        <v>6496</v>
      </c>
      <c r="C3140" s="47" t="s">
        <v>7759</v>
      </c>
      <c r="D3140" s="47" t="s">
        <v>229</v>
      </c>
      <c r="E3140" s="47" t="s">
        <v>400</v>
      </c>
      <c r="F3140" s="47">
        <v>82.0</v>
      </c>
      <c r="G3140" s="47">
        <v>2.42</v>
      </c>
      <c r="H3140" s="47">
        <v>33.9</v>
      </c>
      <c r="I3140" s="47" t="s">
        <v>75</v>
      </c>
    </row>
    <row r="3141" ht="15.75" customHeight="1">
      <c r="A3141" s="47" t="s">
        <v>6497</v>
      </c>
      <c r="B3141" s="47" t="s">
        <v>6498</v>
      </c>
      <c r="C3141" s="47" t="s">
        <v>7759</v>
      </c>
      <c r="D3141" s="47" t="s">
        <v>121</v>
      </c>
      <c r="E3141" s="47" t="s">
        <v>325</v>
      </c>
      <c r="F3141" s="47">
        <v>249.0</v>
      </c>
      <c r="G3141" s="47">
        <v>5.43</v>
      </c>
      <c r="H3141" s="47">
        <v>45.9</v>
      </c>
      <c r="I3141" s="47" t="s">
        <v>75</v>
      </c>
    </row>
    <row r="3142" ht="15.75" customHeight="1">
      <c r="A3142" s="47" t="s">
        <v>6499</v>
      </c>
      <c r="B3142" s="47" t="s">
        <v>6500</v>
      </c>
      <c r="C3142" s="47" t="s">
        <v>7759</v>
      </c>
      <c r="D3142" s="47" t="s">
        <v>197</v>
      </c>
      <c r="E3142" s="47" t="s">
        <v>517</v>
      </c>
      <c r="F3142" s="47">
        <v>1184.0</v>
      </c>
      <c r="G3142" s="47">
        <v>16.96</v>
      </c>
      <c r="H3142" s="47">
        <v>69.8</v>
      </c>
      <c r="I3142" s="47" t="s">
        <v>62</v>
      </c>
    </row>
    <row r="3143" ht="15.75" customHeight="1">
      <c r="A3143" s="47" t="s">
        <v>6501</v>
      </c>
      <c r="B3143" s="47" t="s">
        <v>6502</v>
      </c>
      <c r="C3143" s="47" t="s">
        <v>7759</v>
      </c>
      <c r="D3143" s="47" t="s">
        <v>218</v>
      </c>
      <c r="E3143" s="47" t="s">
        <v>374</v>
      </c>
      <c r="F3143" s="47">
        <v>707.0</v>
      </c>
      <c r="G3143" s="47">
        <v>5.73</v>
      </c>
      <c r="H3143" s="47">
        <v>123.4</v>
      </c>
      <c r="I3143" s="47" t="s">
        <v>62</v>
      </c>
    </row>
    <row r="3144" ht="15.75" customHeight="1">
      <c r="A3144" s="47" t="s">
        <v>6503</v>
      </c>
      <c r="B3144" s="47" t="s">
        <v>6504</v>
      </c>
      <c r="C3144" s="47" t="s">
        <v>7759</v>
      </c>
      <c r="D3144" s="47" t="s">
        <v>210</v>
      </c>
      <c r="E3144" s="47" t="s">
        <v>537</v>
      </c>
      <c r="F3144" s="47">
        <v>120.0</v>
      </c>
      <c r="G3144" s="47">
        <v>3.56</v>
      </c>
      <c r="H3144" s="47">
        <v>33.7</v>
      </c>
      <c r="I3144" s="47" t="s">
        <v>75</v>
      </c>
    </row>
    <row r="3145" ht="15.75" customHeight="1">
      <c r="A3145" s="47" t="s">
        <v>6505</v>
      </c>
      <c r="B3145" s="47" t="s">
        <v>6506</v>
      </c>
      <c r="C3145" s="47" t="s">
        <v>7759</v>
      </c>
      <c r="D3145" s="47" t="s">
        <v>152</v>
      </c>
      <c r="E3145" s="47" t="s">
        <v>417</v>
      </c>
      <c r="F3145" s="47">
        <v>45.0</v>
      </c>
      <c r="G3145" s="47">
        <v>2.19</v>
      </c>
      <c r="H3145" s="47">
        <v>20.5</v>
      </c>
      <c r="I3145" s="47" t="s">
        <v>75</v>
      </c>
    </row>
    <row r="3146" ht="15.75" customHeight="1">
      <c r="A3146" s="47" t="s">
        <v>6507</v>
      </c>
      <c r="B3146" s="47" t="s">
        <v>4825</v>
      </c>
      <c r="C3146" s="47" t="s">
        <v>7759</v>
      </c>
      <c r="D3146" s="47" t="s">
        <v>207</v>
      </c>
      <c r="E3146" s="47" t="s">
        <v>534</v>
      </c>
      <c r="F3146" s="47">
        <v>116.0</v>
      </c>
      <c r="G3146" s="47">
        <v>1.85</v>
      </c>
      <c r="H3146" s="47">
        <v>62.7</v>
      </c>
      <c r="I3146" s="47" t="s">
        <v>75</v>
      </c>
    </row>
    <row r="3147" ht="15.75" customHeight="1">
      <c r="A3147" s="47" t="s">
        <v>6508</v>
      </c>
      <c r="B3147" s="47" t="s">
        <v>454</v>
      </c>
      <c r="C3147" s="47" t="s">
        <v>7759</v>
      </c>
      <c r="D3147" s="47" t="s">
        <v>158</v>
      </c>
      <c r="E3147" s="47" t="s">
        <v>427</v>
      </c>
      <c r="F3147" s="47">
        <v>350.0</v>
      </c>
      <c r="G3147" s="47">
        <v>6.93</v>
      </c>
      <c r="H3147" s="47">
        <v>50.5</v>
      </c>
      <c r="I3147" s="47" t="s">
        <v>75</v>
      </c>
    </row>
    <row r="3148" ht="15.75" customHeight="1">
      <c r="A3148" s="47" t="s">
        <v>6509</v>
      </c>
      <c r="B3148" s="47" t="s">
        <v>6510</v>
      </c>
      <c r="C3148" s="47" t="s">
        <v>7759</v>
      </c>
      <c r="D3148" s="47" t="s">
        <v>229</v>
      </c>
      <c r="E3148" s="47" t="s">
        <v>400</v>
      </c>
      <c r="F3148" s="47">
        <v>341.0</v>
      </c>
      <c r="G3148" s="47">
        <v>7.38</v>
      </c>
      <c r="H3148" s="47">
        <v>46.2</v>
      </c>
      <c r="I3148" s="47" t="s">
        <v>75</v>
      </c>
    </row>
    <row r="3149" ht="15.75" customHeight="1">
      <c r="A3149" s="47" t="s">
        <v>6511</v>
      </c>
      <c r="B3149" s="47" t="s">
        <v>6512</v>
      </c>
      <c r="C3149" s="47" t="s">
        <v>7759</v>
      </c>
      <c r="D3149" s="47" t="s">
        <v>229</v>
      </c>
      <c r="E3149" s="47" t="s">
        <v>400</v>
      </c>
      <c r="F3149" s="47">
        <v>109.0</v>
      </c>
      <c r="G3149" s="47">
        <v>2.43</v>
      </c>
      <c r="H3149" s="47">
        <v>44.9</v>
      </c>
      <c r="I3149" s="47" t="s">
        <v>75</v>
      </c>
    </row>
    <row r="3150" ht="15.75" customHeight="1">
      <c r="A3150" s="47" t="s">
        <v>6513</v>
      </c>
      <c r="B3150" s="47" t="s">
        <v>6514</v>
      </c>
      <c r="C3150" s="47" t="s">
        <v>7759</v>
      </c>
      <c r="D3150" s="47" t="s">
        <v>152</v>
      </c>
      <c r="E3150" s="47" t="s">
        <v>417</v>
      </c>
      <c r="F3150" s="47">
        <v>495.0</v>
      </c>
      <c r="G3150" s="47">
        <v>8.14</v>
      </c>
      <c r="H3150" s="47">
        <v>60.8</v>
      </c>
      <c r="I3150" s="47" t="s">
        <v>75</v>
      </c>
    </row>
    <row r="3151" ht="15.75" customHeight="1">
      <c r="A3151" s="47" t="s">
        <v>6515</v>
      </c>
      <c r="B3151" s="47" t="s">
        <v>6516</v>
      </c>
      <c r="C3151" s="47" t="s">
        <v>7759</v>
      </c>
      <c r="D3151" s="47" t="s">
        <v>225</v>
      </c>
      <c r="E3151" s="47" t="s">
        <v>387</v>
      </c>
      <c r="F3151" s="47">
        <v>155.0</v>
      </c>
      <c r="G3151" s="47">
        <v>6.44</v>
      </c>
      <c r="H3151" s="47">
        <v>24.1</v>
      </c>
      <c r="I3151" s="47" t="s">
        <v>75</v>
      </c>
    </row>
    <row r="3152" ht="15.75" customHeight="1">
      <c r="A3152" s="47" t="s">
        <v>6517</v>
      </c>
      <c r="B3152" s="47" t="s">
        <v>6518</v>
      </c>
      <c r="C3152" s="47" t="s">
        <v>7759</v>
      </c>
      <c r="D3152" s="47" t="s">
        <v>121</v>
      </c>
      <c r="E3152" s="47" t="s">
        <v>325</v>
      </c>
      <c r="F3152" s="47">
        <v>197.0</v>
      </c>
      <c r="G3152" s="47">
        <v>6.27</v>
      </c>
      <c r="H3152" s="47">
        <v>31.4</v>
      </c>
      <c r="I3152" s="47" t="s">
        <v>75</v>
      </c>
    </row>
    <row r="3153" ht="15.75" customHeight="1">
      <c r="A3153" s="47" t="s">
        <v>6519</v>
      </c>
      <c r="B3153" s="47" t="s">
        <v>6520</v>
      </c>
      <c r="C3153" s="47" t="s">
        <v>7759</v>
      </c>
      <c r="D3153" s="47" t="s">
        <v>225</v>
      </c>
      <c r="E3153" s="47" t="s">
        <v>387</v>
      </c>
      <c r="F3153" s="47">
        <v>341.0</v>
      </c>
      <c r="G3153" s="47">
        <v>7.31</v>
      </c>
      <c r="H3153" s="47">
        <v>46.6</v>
      </c>
      <c r="I3153" s="47" t="s">
        <v>75</v>
      </c>
    </row>
    <row r="3154" ht="15.75" customHeight="1">
      <c r="A3154" s="47" t="s">
        <v>6521</v>
      </c>
      <c r="B3154" s="47" t="s">
        <v>6522</v>
      </c>
      <c r="C3154" s="47" t="s">
        <v>7759</v>
      </c>
      <c r="D3154" s="47" t="s">
        <v>178</v>
      </c>
      <c r="E3154" s="47" t="s">
        <v>475</v>
      </c>
      <c r="F3154" s="47">
        <v>397.0</v>
      </c>
      <c r="G3154" s="47">
        <v>4.81</v>
      </c>
      <c r="H3154" s="47">
        <v>82.5</v>
      </c>
      <c r="I3154" s="47" t="s">
        <v>75</v>
      </c>
    </row>
    <row r="3155" ht="15.75" customHeight="1">
      <c r="A3155" s="47" t="s">
        <v>6523</v>
      </c>
      <c r="B3155" s="47" t="s">
        <v>6524</v>
      </c>
      <c r="C3155" s="47" t="s">
        <v>7759</v>
      </c>
      <c r="D3155" s="47" t="s">
        <v>225</v>
      </c>
      <c r="E3155" s="47" t="s">
        <v>387</v>
      </c>
      <c r="F3155" s="47">
        <v>514.0</v>
      </c>
      <c r="G3155" s="47">
        <v>7.33</v>
      </c>
      <c r="H3155" s="47">
        <v>70.1</v>
      </c>
      <c r="I3155" s="47" t="s">
        <v>62</v>
      </c>
    </row>
    <row r="3156" ht="15.75" customHeight="1">
      <c r="A3156" s="47" t="s">
        <v>6525</v>
      </c>
      <c r="B3156" s="47" t="s">
        <v>6526</v>
      </c>
      <c r="C3156" s="47" t="s">
        <v>7759</v>
      </c>
      <c r="D3156" s="47" t="s">
        <v>158</v>
      </c>
      <c r="E3156" s="47" t="s">
        <v>427</v>
      </c>
      <c r="F3156" s="47">
        <v>220.0</v>
      </c>
      <c r="G3156" s="47">
        <v>7.83</v>
      </c>
      <c r="H3156" s="47">
        <v>28.1</v>
      </c>
      <c r="I3156" s="47" t="s">
        <v>75</v>
      </c>
    </row>
    <row r="3157" ht="15.75" customHeight="1">
      <c r="A3157" s="47" t="s">
        <v>6527</v>
      </c>
      <c r="B3157" s="47" t="s">
        <v>6528</v>
      </c>
      <c r="C3157" s="47" t="s">
        <v>7759</v>
      </c>
      <c r="D3157" s="47" t="s">
        <v>197</v>
      </c>
      <c r="E3157" s="47" t="s">
        <v>517</v>
      </c>
      <c r="F3157" s="47">
        <v>294.0</v>
      </c>
      <c r="G3157" s="47">
        <v>5.29</v>
      </c>
      <c r="H3157" s="47">
        <v>55.6</v>
      </c>
      <c r="I3157" s="47" t="s">
        <v>75</v>
      </c>
    </row>
    <row r="3158" ht="15.75" customHeight="1">
      <c r="A3158" s="47" t="s">
        <v>6529</v>
      </c>
      <c r="B3158" s="47" t="s">
        <v>6530</v>
      </c>
      <c r="C3158" s="47" t="s">
        <v>7759</v>
      </c>
      <c r="D3158" s="47" t="s">
        <v>185</v>
      </c>
      <c r="E3158" s="47" t="s">
        <v>485</v>
      </c>
      <c r="F3158" s="47">
        <v>144.0</v>
      </c>
      <c r="G3158" s="47">
        <v>6.92</v>
      </c>
      <c r="H3158" s="47">
        <v>20.8</v>
      </c>
      <c r="I3158" s="47" t="s">
        <v>75</v>
      </c>
    </row>
    <row r="3159" ht="15.75" customHeight="1">
      <c r="A3159" s="47" t="s">
        <v>6531</v>
      </c>
      <c r="B3159" s="47" t="s">
        <v>6532</v>
      </c>
      <c r="C3159" s="47" t="s">
        <v>7759</v>
      </c>
      <c r="D3159" s="47" t="s">
        <v>197</v>
      </c>
      <c r="E3159" s="47" t="s">
        <v>517</v>
      </c>
      <c r="F3159" s="47">
        <v>140.0</v>
      </c>
      <c r="G3159" s="47">
        <v>6.74</v>
      </c>
      <c r="H3159" s="47">
        <v>20.8</v>
      </c>
      <c r="I3159" s="47" t="s">
        <v>75</v>
      </c>
    </row>
    <row r="3160" ht="15.75" customHeight="1">
      <c r="A3160" s="47" t="s">
        <v>6533</v>
      </c>
      <c r="B3160" s="47" t="s">
        <v>6534</v>
      </c>
      <c r="C3160" s="47" t="s">
        <v>7759</v>
      </c>
      <c r="D3160" s="47" t="s">
        <v>158</v>
      </c>
      <c r="E3160" s="47" t="s">
        <v>427</v>
      </c>
      <c r="F3160" s="47">
        <v>207.0</v>
      </c>
      <c r="G3160" s="47">
        <v>6.89</v>
      </c>
      <c r="H3160" s="47">
        <v>30.0</v>
      </c>
      <c r="I3160" s="47" t="s">
        <v>75</v>
      </c>
    </row>
    <row r="3161" ht="15.75" customHeight="1">
      <c r="A3161" s="47" t="s">
        <v>6535</v>
      </c>
      <c r="B3161" s="47" t="s">
        <v>6536</v>
      </c>
      <c r="C3161" s="47" t="s">
        <v>7759</v>
      </c>
      <c r="D3161" s="47" t="s">
        <v>225</v>
      </c>
      <c r="E3161" s="47" t="s">
        <v>387</v>
      </c>
      <c r="F3161" s="47">
        <v>556.0</v>
      </c>
      <c r="G3161" s="47">
        <v>15.36</v>
      </c>
      <c r="H3161" s="47">
        <v>36.2</v>
      </c>
      <c r="I3161" s="47" t="s">
        <v>62</v>
      </c>
    </row>
    <row r="3162" ht="15.75" customHeight="1">
      <c r="A3162" s="47" t="s">
        <v>6537</v>
      </c>
      <c r="B3162" s="47" t="s">
        <v>6538</v>
      </c>
      <c r="C3162" s="47" t="s">
        <v>7759</v>
      </c>
      <c r="D3162" s="47" t="s">
        <v>210</v>
      </c>
      <c r="E3162" s="47" t="s">
        <v>537</v>
      </c>
      <c r="F3162" s="47">
        <v>370.0</v>
      </c>
      <c r="G3162" s="47">
        <v>8.11</v>
      </c>
      <c r="H3162" s="47">
        <v>45.6</v>
      </c>
      <c r="I3162" s="47" t="s">
        <v>75</v>
      </c>
    </row>
    <row r="3163" ht="15.75" customHeight="1">
      <c r="A3163" s="47" t="s">
        <v>6539</v>
      </c>
      <c r="B3163" s="47" t="s">
        <v>6540</v>
      </c>
      <c r="C3163" s="47" t="s">
        <v>7759</v>
      </c>
      <c r="D3163" s="47" t="s">
        <v>229</v>
      </c>
      <c r="E3163" s="47" t="s">
        <v>400</v>
      </c>
      <c r="F3163" s="47">
        <v>90.0</v>
      </c>
      <c r="G3163" s="47">
        <v>4.41</v>
      </c>
      <c r="H3163" s="47">
        <v>20.4</v>
      </c>
      <c r="I3163" s="47" t="s">
        <v>75</v>
      </c>
    </row>
    <row r="3164" ht="15.75" customHeight="1">
      <c r="A3164" s="47" t="s">
        <v>6541</v>
      </c>
      <c r="B3164" s="47" t="s">
        <v>6542</v>
      </c>
      <c r="C3164" s="47" t="s">
        <v>7759</v>
      </c>
      <c r="D3164" s="47" t="s">
        <v>152</v>
      </c>
      <c r="E3164" s="47" t="s">
        <v>417</v>
      </c>
      <c r="F3164" s="47">
        <v>41.0</v>
      </c>
      <c r="G3164" s="47">
        <v>1.88</v>
      </c>
      <c r="H3164" s="47">
        <v>21.8</v>
      </c>
      <c r="I3164" s="47" t="s">
        <v>75</v>
      </c>
    </row>
    <row r="3165" ht="15.75" customHeight="1">
      <c r="A3165" s="47" t="s">
        <v>6543</v>
      </c>
      <c r="B3165" s="47" t="s">
        <v>6544</v>
      </c>
      <c r="C3165" s="47" t="s">
        <v>7759</v>
      </c>
      <c r="D3165" s="47" t="s">
        <v>210</v>
      </c>
      <c r="E3165" s="47" t="s">
        <v>537</v>
      </c>
      <c r="F3165" s="47">
        <v>300.0</v>
      </c>
      <c r="G3165" s="47">
        <v>6.13</v>
      </c>
      <c r="H3165" s="47">
        <v>48.9</v>
      </c>
      <c r="I3165" s="47" t="s">
        <v>75</v>
      </c>
    </row>
    <row r="3166" ht="15.75" customHeight="1">
      <c r="A3166" s="47" t="s">
        <v>6545</v>
      </c>
      <c r="B3166" s="47" t="s">
        <v>6546</v>
      </c>
      <c r="C3166" s="47" t="s">
        <v>7759</v>
      </c>
      <c r="D3166" s="47" t="s">
        <v>41</v>
      </c>
      <c r="E3166" s="47" t="s">
        <v>35</v>
      </c>
      <c r="F3166" s="47">
        <v>1191.0</v>
      </c>
      <c r="G3166" s="47">
        <v>5.34</v>
      </c>
      <c r="H3166" s="47">
        <v>223.0</v>
      </c>
      <c r="I3166" s="47" t="s">
        <v>62</v>
      </c>
    </row>
    <row r="3167" ht="15.75" customHeight="1">
      <c r="A3167" s="47" t="s">
        <v>6547</v>
      </c>
      <c r="B3167" s="47" t="s">
        <v>6548</v>
      </c>
      <c r="C3167" s="47" t="s">
        <v>7759</v>
      </c>
      <c r="D3167" s="47" t="s">
        <v>212</v>
      </c>
      <c r="E3167" s="47" t="s">
        <v>549</v>
      </c>
      <c r="F3167" s="47">
        <v>222.0</v>
      </c>
      <c r="G3167" s="47">
        <v>7.05</v>
      </c>
      <c r="H3167" s="47">
        <v>31.5</v>
      </c>
      <c r="I3167" s="47" t="s">
        <v>75</v>
      </c>
    </row>
    <row r="3168" ht="15.75" customHeight="1">
      <c r="A3168" s="47" t="s">
        <v>6549</v>
      </c>
      <c r="B3168" s="47" t="s">
        <v>6550</v>
      </c>
      <c r="C3168" s="47" t="s">
        <v>7759</v>
      </c>
      <c r="D3168" s="47" t="s">
        <v>230</v>
      </c>
      <c r="E3168" s="47" t="s">
        <v>402</v>
      </c>
      <c r="F3168" s="47">
        <v>704.0</v>
      </c>
      <c r="G3168" s="47">
        <v>12.04</v>
      </c>
      <c r="H3168" s="47">
        <v>58.5</v>
      </c>
      <c r="I3168" s="47" t="s">
        <v>62</v>
      </c>
    </row>
    <row r="3169" ht="15.75" customHeight="1">
      <c r="A3169" s="47" t="s">
        <v>6551</v>
      </c>
      <c r="B3169" s="47" t="s">
        <v>6552</v>
      </c>
      <c r="C3169" s="47" t="s">
        <v>7759</v>
      </c>
      <c r="D3169" s="47" t="s">
        <v>121</v>
      </c>
      <c r="E3169" s="47" t="s">
        <v>325</v>
      </c>
      <c r="F3169" s="47">
        <v>740.0</v>
      </c>
      <c r="G3169" s="47">
        <v>12.8</v>
      </c>
      <c r="H3169" s="47">
        <v>57.8</v>
      </c>
      <c r="I3169" s="47" t="s">
        <v>62</v>
      </c>
    </row>
    <row r="3170" ht="15.75" customHeight="1">
      <c r="A3170" s="47" t="s">
        <v>6553</v>
      </c>
      <c r="B3170" s="47" t="s">
        <v>6554</v>
      </c>
      <c r="C3170" s="47" t="s">
        <v>7759</v>
      </c>
      <c r="D3170" s="47" t="s">
        <v>41</v>
      </c>
      <c r="E3170" s="47" t="s">
        <v>35</v>
      </c>
      <c r="F3170" s="47">
        <v>4359.0</v>
      </c>
      <c r="G3170" s="47">
        <v>13.04</v>
      </c>
      <c r="H3170" s="47">
        <v>334.3</v>
      </c>
      <c r="I3170" s="47" t="s">
        <v>142</v>
      </c>
    </row>
    <row r="3171" ht="15.75" customHeight="1">
      <c r="A3171" s="47" t="s">
        <v>6555</v>
      </c>
      <c r="B3171" s="47" t="s">
        <v>6556</v>
      </c>
      <c r="C3171" s="47" t="s">
        <v>7759</v>
      </c>
      <c r="D3171" s="47" t="s">
        <v>229</v>
      </c>
      <c r="E3171" s="47" t="s">
        <v>400</v>
      </c>
      <c r="F3171" s="47">
        <v>182.0</v>
      </c>
      <c r="G3171" s="47">
        <v>4.6</v>
      </c>
      <c r="H3171" s="47">
        <v>39.6</v>
      </c>
      <c r="I3171" s="47" t="s">
        <v>75</v>
      </c>
    </row>
    <row r="3172" ht="15.75" customHeight="1">
      <c r="A3172" s="47" t="s">
        <v>6557</v>
      </c>
      <c r="B3172" s="47" t="s">
        <v>6558</v>
      </c>
      <c r="C3172" s="47" t="s">
        <v>7759</v>
      </c>
      <c r="D3172" s="47" t="s">
        <v>218</v>
      </c>
      <c r="E3172" s="47" t="s">
        <v>374</v>
      </c>
      <c r="F3172" s="47">
        <v>705.0</v>
      </c>
      <c r="G3172" s="47">
        <v>10.21</v>
      </c>
      <c r="H3172" s="47">
        <v>69.0</v>
      </c>
      <c r="I3172" s="47" t="s">
        <v>62</v>
      </c>
    </row>
    <row r="3173" ht="15.75" customHeight="1">
      <c r="A3173" s="47" t="s">
        <v>6559</v>
      </c>
      <c r="B3173" s="47" t="s">
        <v>6560</v>
      </c>
      <c r="C3173" s="47" t="s">
        <v>7759</v>
      </c>
      <c r="D3173" s="47" t="s">
        <v>225</v>
      </c>
      <c r="E3173" s="47" t="s">
        <v>387</v>
      </c>
      <c r="F3173" s="47">
        <v>348.0</v>
      </c>
      <c r="G3173" s="47">
        <v>6.44</v>
      </c>
      <c r="H3173" s="47">
        <v>54.0</v>
      </c>
      <c r="I3173" s="47" t="s">
        <v>75</v>
      </c>
    </row>
    <row r="3174" ht="15.75" customHeight="1">
      <c r="A3174" s="47" t="s">
        <v>6561</v>
      </c>
      <c r="B3174" s="47" t="s">
        <v>6562</v>
      </c>
      <c r="C3174" s="47" t="s">
        <v>7759</v>
      </c>
      <c r="D3174" s="47" t="s">
        <v>207</v>
      </c>
      <c r="E3174" s="47" t="s">
        <v>534</v>
      </c>
      <c r="F3174" s="47">
        <v>1035.0</v>
      </c>
      <c r="G3174" s="47">
        <v>17.26</v>
      </c>
      <c r="H3174" s="47">
        <v>60.0</v>
      </c>
      <c r="I3174" s="47" t="s">
        <v>62</v>
      </c>
    </row>
    <row r="3175" ht="15.75" customHeight="1">
      <c r="A3175" s="47" t="s">
        <v>6563</v>
      </c>
      <c r="B3175" s="47" t="s">
        <v>6564</v>
      </c>
      <c r="C3175" s="47" t="s">
        <v>7759</v>
      </c>
      <c r="D3175" s="47" t="s">
        <v>229</v>
      </c>
      <c r="E3175" s="47" t="s">
        <v>400</v>
      </c>
      <c r="F3175" s="47">
        <v>59.0</v>
      </c>
      <c r="G3175" s="47">
        <v>3.76</v>
      </c>
      <c r="H3175" s="47">
        <v>15.7</v>
      </c>
      <c r="I3175" s="47" t="s">
        <v>75</v>
      </c>
    </row>
    <row r="3176" ht="15.75" customHeight="1">
      <c r="A3176" s="47" t="s">
        <v>6565</v>
      </c>
      <c r="B3176" s="47" t="s">
        <v>6566</v>
      </c>
      <c r="C3176" s="47" t="s">
        <v>7759</v>
      </c>
      <c r="D3176" s="47" t="s">
        <v>185</v>
      </c>
      <c r="E3176" s="47" t="s">
        <v>485</v>
      </c>
      <c r="F3176" s="47">
        <v>110.0</v>
      </c>
      <c r="G3176" s="47">
        <v>4.05</v>
      </c>
      <c r="H3176" s="47">
        <v>27.2</v>
      </c>
      <c r="I3176" s="47" t="s">
        <v>75</v>
      </c>
    </row>
    <row r="3177" ht="15.75" customHeight="1">
      <c r="A3177" s="47" t="s">
        <v>6567</v>
      </c>
      <c r="B3177" s="47" t="s">
        <v>6568</v>
      </c>
      <c r="C3177" s="47" t="s">
        <v>7759</v>
      </c>
      <c r="D3177" s="47" t="s">
        <v>121</v>
      </c>
      <c r="E3177" s="47" t="s">
        <v>325</v>
      </c>
      <c r="F3177" s="47">
        <v>548.0</v>
      </c>
      <c r="G3177" s="47">
        <v>6.16</v>
      </c>
      <c r="H3177" s="47">
        <v>89.0</v>
      </c>
      <c r="I3177" s="47" t="s">
        <v>62</v>
      </c>
    </row>
    <row r="3178" ht="15.75" customHeight="1">
      <c r="A3178" s="47" t="s">
        <v>6569</v>
      </c>
      <c r="B3178" s="47" t="s">
        <v>6570</v>
      </c>
      <c r="C3178" s="47" t="s">
        <v>7759</v>
      </c>
      <c r="D3178" s="47" t="s">
        <v>197</v>
      </c>
      <c r="E3178" s="47" t="s">
        <v>517</v>
      </c>
      <c r="F3178" s="47">
        <v>546.0</v>
      </c>
      <c r="G3178" s="47">
        <v>11.91</v>
      </c>
      <c r="H3178" s="47">
        <v>45.8</v>
      </c>
      <c r="I3178" s="47" t="s">
        <v>62</v>
      </c>
    </row>
    <row r="3179" ht="15.75" customHeight="1">
      <c r="A3179" s="47" t="s">
        <v>6571</v>
      </c>
      <c r="B3179" s="47" t="s">
        <v>6572</v>
      </c>
      <c r="C3179" s="47" t="s">
        <v>7759</v>
      </c>
      <c r="D3179" s="47" t="s">
        <v>41</v>
      </c>
      <c r="E3179" s="47" t="s">
        <v>35</v>
      </c>
      <c r="F3179" s="47">
        <v>513.0</v>
      </c>
      <c r="G3179" s="47">
        <v>5.49</v>
      </c>
      <c r="H3179" s="47">
        <v>93.4</v>
      </c>
      <c r="I3179" s="47" t="s">
        <v>62</v>
      </c>
    </row>
    <row r="3180" ht="15.75" customHeight="1">
      <c r="A3180" s="47" t="s">
        <v>6573</v>
      </c>
      <c r="B3180" s="47" t="s">
        <v>6574</v>
      </c>
      <c r="C3180" s="47" t="s">
        <v>7759</v>
      </c>
      <c r="D3180" s="47" t="s">
        <v>185</v>
      </c>
      <c r="E3180" s="47" t="s">
        <v>485</v>
      </c>
      <c r="F3180" s="47">
        <v>75.0</v>
      </c>
      <c r="G3180" s="47">
        <v>2.37</v>
      </c>
      <c r="H3180" s="47">
        <v>31.6</v>
      </c>
      <c r="I3180" s="47" t="s">
        <v>75</v>
      </c>
    </row>
    <row r="3181" ht="15.75" customHeight="1">
      <c r="A3181" s="47" t="s">
        <v>6575</v>
      </c>
      <c r="B3181" s="47" t="s">
        <v>6576</v>
      </c>
      <c r="C3181" s="47" t="s">
        <v>7759</v>
      </c>
      <c r="D3181" s="47" t="s">
        <v>185</v>
      </c>
      <c r="E3181" s="47" t="s">
        <v>485</v>
      </c>
      <c r="F3181" s="47">
        <v>250.0</v>
      </c>
      <c r="G3181" s="47">
        <v>5.55</v>
      </c>
      <c r="H3181" s="47">
        <v>45.0</v>
      </c>
      <c r="I3181" s="47" t="s">
        <v>75</v>
      </c>
    </row>
    <row r="3182" ht="15.75" customHeight="1">
      <c r="A3182" s="47" t="s">
        <v>6577</v>
      </c>
      <c r="B3182" s="47" t="s">
        <v>6578</v>
      </c>
      <c r="C3182" s="47" t="s">
        <v>7759</v>
      </c>
      <c r="D3182" s="47" t="s">
        <v>158</v>
      </c>
      <c r="E3182" s="47" t="s">
        <v>427</v>
      </c>
      <c r="F3182" s="47">
        <v>688.0</v>
      </c>
      <c r="G3182" s="47">
        <v>15.26</v>
      </c>
      <c r="H3182" s="47">
        <v>45.1</v>
      </c>
      <c r="I3182" s="47" t="s">
        <v>62</v>
      </c>
    </row>
    <row r="3183" ht="15.75" customHeight="1">
      <c r="A3183" s="47" t="s">
        <v>6579</v>
      </c>
      <c r="B3183" s="47" t="s">
        <v>6580</v>
      </c>
      <c r="C3183" s="47" t="s">
        <v>7759</v>
      </c>
      <c r="D3183" s="47" t="s">
        <v>229</v>
      </c>
      <c r="E3183" s="47" t="s">
        <v>400</v>
      </c>
      <c r="F3183" s="47">
        <v>223.0</v>
      </c>
      <c r="G3183" s="47">
        <v>5.43</v>
      </c>
      <c r="H3183" s="47">
        <v>41.1</v>
      </c>
      <c r="I3183" s="47" t="s">
        <v>75</v>
      </c>
    </row>
    <row r="3184" ht="15.75" customHeight="1">
      <c r="A3184" s="47" t="s">
        <v>6581</v>
      </c>
      <c r="B3184" s="47" t="s">
        <v>6582</v>
      </c>
      <c r="C3184" s="47" t="s">
        <v>7759</v>
      </c>
      <c r="D3184" s="47" t="s">
        <v>218</v>
      </c>
      <c r="E3184" s="47" t="s">
        <v>374</v>
      </c>
      <c r="F3184" s="47">
        <v>90.0</v>
      </c>
      <c r="G3184" s="47">
        <v>5.45</v>
      </c>
      <c r="H3184" s="47">
        <v>16.5</v>
      </c>
      <c r="I3184" s="47" t="s">
        <v>75</v>
      </c>
    </row>
    <row r="3185" ht="15.75" customHeight="1">
      <c r="A3185" s="47" t="s">
        <v>6583</v>
      </c>
      <c r="B3185" s="47" t="s">
        <v>6584</v>
      </c>
      <c r="C3185" s="47" t="s">
        <v>7759</v>
      </c>
      <c r="D3185" s="47" t="s">
        <v>148</v>
      </c>
      <c r="E3185" s="47" t="s">
        <v>360</v>
      </c>
      <c r="F3185" s="47">
        <v>123.0</v>
      </c>
      <c r="G3185" s="47">
        <v>5.47</v>
      </c>
      <c r="H3185" s="47">
        <v>22.5</v>
      </c>
      <c r="I3185" s="47" t="s">
        <v>75</v>
      </c>
    </row>
    <row r="3186" ht="15.75" customHeight="1">
      <c r="A3186" s="47" t="s">
        <v>6585</v>
      </c>
      <c r="B3186" s="47" t="s">
        <v>6586</v>
      </c>
      <c r="C3186" s="47" t="s">
        <v>7759</v>
      </c>
      <c r="D3186" s="47" t="s">
        <v>121</v>
      </c>
      <c r="E3186" s="47" t="s">
        <v>325</v>
      </c>
      <c r="F3186" s="47">
        <v>2316.0</v>
      </c>
      <c r="G3186" s="47">
        <v>27.24</v>
      </c>
      <c r="H3186" s="47">
        <v>85.0</v>
      </c>
      <c r="I3186" s="47" t="s">
        <v>142</v>
      </c>
    </row>
    <row r="3187" ht="15.75" customHeight="1">
      <c r="A3187" s="47" t="s">
        <v>6587</v>
      </c>
      <c r="B3187" s="47" t="s">
        <v>6588</v>
      </c>
      <c r="C3187" s="47" t="s">
        <v>7759</v>
      </c>
      <c r="D3187" s="47" t="s">
        <v>229</v>
      </c>
      <c r="E3187" s="47" t="s">
        <v>400</v>
      </c>
      <c r="F3187" s="47">
        <v>278.0</v>
      </c>
      <c r="G3187" s="47">
        <v>5.61</v>
      </c>
      <c r="H3187" s="47">
        <v>49.6</v>
      </c>
      <c r="I3187" s="47" t="s">
        <v>75</v>
      </c>
    </row>
    <row r="3188" ht="15.75" customHeight="1">
      <c r="A3188" s="47" t="s">
        <v>6589</v>
      </c>
      <c r="B3188" s="47" t="s">
        <v>6590</v>
      </c>
      <c r="C3188" s="47" t="s">
        <v>7759</v>
      </c>
      <c r="D3188" s="47" t="s">
        <v>210</v>
      </c>
      <c r="E3188" s="47" t="s">
        <v>537</v>
      </c>
      <c r="F3188" s="47">
        <v>526.0</v>
      </c>
      <c r="G3188" s="47">
        <v>10.92</v>
      </c>
      <c r="H3188" s="47">
        <v>48.2</v>
      </c>
      <c r="I3188" s="47" t="s">
        <v>62</v>
      </c>
    </row>
    <row r="3189" ht="15.75" customHeight="1">
      <c r="A3189" s="47" t="s">
        <v>6591</v>
      </c>
      <c r="B3189" s="47" t="s">
        <v>6592</v>
      </c>
      <c r="C3189" s="47" t="s">
        <v>7759</v>
      </c>
      <c r="D3189" s="47" t="s">
        <v>185</v>
      </c>
      <c r="E3189" s="47" t="s">
        <v>485</v>
      </c>
      <c r="F3189" s="47">
        <v>272.0</v>
      </c>
      <c r="G3189" s="47">
        <v>8.85</v>
      </c>
      <c r="H3189" s="47">
        <v>30.7</v>
      </c>
      <c r="I3189" s="47" t="s">
        <v>75</v>
      </c>
    </row>
    <row r="3190" ht="15.75" customHeight="1">
      <c r="A3190" s="47" t="s">
        <v>6593</v>
      </c>
      <c r="B3190" s="47" t="s">
        <v>6594</v>
      </c>
      <c r="C3190" s="47" t="s">
        <v>7759</v>
      </c>
      <c r="D3190" s="47" t="s">
        <v>230</v>
      </c>
      <c r="E3190" s="47" t="s">
        <v>402</v>
      </c>
      <c r="F3190" s="47">
        <v>1969.0</v>
      </c>
      <c r="G3190" s="47">
        <v>8.52</v>
      </c>
      <c r="H3190" s="47">
        <v>231.1</v>
      </c>
      <c r="I3190" s="47" t="s">
        <v>62</v>
      </c>
    </row>
    <row r="3191" ht="15.75" customHeight="1">
      <c r="A3191" s="47" t="s">
        <v>6595</v>
      </c>
      <c r="B3191" s="47" t="s">
        <v>6596</v>
      </c>
      <c r="C3191" s="47" t="s">
        <v>7759</v>
      </c>
      <c r="D3191" s="47" t="s">
        <v>218</v>
      </c>
      <c r="E3191" s="47" t="s">
        <v>374</v>
      </c>
      <c r="F3191" s="47">
        <v>699.0</v>
      </c>
      <c r="G3191" s="47">
        <v>12.52</v>
      </c>
      <c r="H3191" s="47">
        <v>55.8</v>
      </c>
      <c r="I3191" s="47" t="s">
        <v>62</v>
      </c>
    </row>
    <row r="3192" ht="15.75" customHeight="1">
      <c r="A3192" s="47" t="s">
        <v>6597</v>
      </c>
      <c r="B3192" s="47" t="s">
        <v>6598</v>
      </c>
      <c r="C3192" s="47" t="s">
        <v>7759</v>
      </c>
      <c r="D3192" s="47" t="s">
        <v>148</v>
      </c>
      <c r="E3192" s="47" t="s">
        <v>360</v>
      </c>
      <c r="F3192" s="47">
        <v>570.0</v>
      </c>
      <c r="G3192" s="47">
        <v>11.56</v>
      </c>
      <c r="H3192" s="47">
        <v>49.3</v>
      </c>
      <c r="I3192" s="47" t="s">
        <v>62</v>
      </c>
    </row>
    <row r="3193" ht="15.75" customHeight="1">
      <c r="A3193" s="47" t="s">
        <v>6599</v>
      </c>
      <c r="B3193" s="47" t="s">
        <v>6600</v>
      </c>
      <c r="C3193" s="47" t="s">
        <v>7759</v>
      </c>
      <c r="D3193" s="47" t="s">
        <v>230</v>
      </c>
      <c r="E3193" s="47" t="s">
        <v>402</v>
      </c>
      <c r="F3193" s="47">
        <v>60.0</v>
      </c>
      <c r="G3193" s="47">
        <v>1.9</v>
      </c>
      <c r="H3193" s="47">
        <v>31.6</v>
      </c>
      <c r="I3193" s="47" t="s">
        <v>75</v>
      </c>
    </row>
    <row r="3194" ht="15.75" customHeight="1">
      <c r="A3194" s="47" t="s">
        <v>6601</v>
      </c>
      <c r="B3194" s="47" t="s">
        <v>6602</v>
      </c>
      <c r="C3194" s="47" t="s">
        <v>7759</v>
      </c>
      <c r="D3194" s="47" t="s">
        <v>212</v>
      </c>
      <c r="E3194" s="47" t="s">
        <v>549</v>
      </c>
      <c r="F3194" s="47">
        <v>1190.0</v>
      </c>
      <c r="G3194" s="47">
        <v>7.32</v>
      </c>
      <c r="H3194" s="47">
        <v>162.6</v>
      </c>
      <c r="I3194" s="47" t="s">
        <v>62</v>
      </c>
    </row>
    <row r="3195" ht="15.75" customHeight="1">
      <c r="A3195" s="47" t="s">
        <v>6603</v>
      </c>
      <c r="B3195" s="47" t="s">
        <v>6604</v>
      </c>
      <c r="C3195" s="47" t="s">
        <v>7759</v>
      </c>
      <c r="D3195" s="47" t="s">
        <v>230</v>
      </c>
      <c r="E3195" s="47" t="s">
        <v>402</v>
      </c>
      <c r="F3195" s="47">
        <v>169.0</v>
      </c>
      <c r="G3195" s="47">
        <v>4.93</v>
      </c>
      <c r="H3195" s="47">
        <v>34.3</v>
      </c>
      <c r="I3195" s="47" t="s">
        <v>75</v>
      </c>
    </row>
    <row r="3196" ht="15.75" customHeight="1">
      <c r="A3196" s="47" t="s">
        <v>6605</v>
      </c>
      <c r="B3196" s="47" t="s">
        <v>6606</v>
      </c>
      <c r="C3196" s="47" t="s">
        <v>7759</v>
      </c>
      <c r="D3196" s="47" t="s">
        <v>210</v>
      </c>
      <c r="E3196" s="47" t="s">
        <v>537</v>
      </c>
      <c r="F3196" s="47">
        <v>172.0</v>
      </c>
      <c r="G3196" s="47">
        <v>6.9</v>
      </c>
      <c r="H3196" s="47">
        <v>24.9</v>
      </c>
      <c r="I3196" s="47" t="s">
        <v>75</v>
      </c>
    </row>
    <row r="3197" ht="15.75" customHeight="1">
      <c r="A3197" s="47" t="s">
        <v>6607</v>
      </c>
      <c r="B3197" s="47" t="s">
        <v>6608</v>
      </c>
      <c r="C3197" s="47" t="s">
        <v>7759</v>
      </c>
      <c r="D3197" s="47" t="s">
        <v>148</v>
      </c>
      <c r="E3197" s="47" t="s">
        <v>360</v>
      </c>
      <c r="F3197" s="47">
        <v>158.0</v>
      </c>
      <c r="G3197" s="47">
        <v>7.88</v>
      </c>
      <c r="H3197" s="47">
        <v>20.1</v>
      </c>
      <c r="I3197" s="47" t="s">
        <v>75</v>
      </c>
    </row>
    <row r="3198" ht="15.75" customHeight="1">
      <c r="A3198" s="47" t="s">
        <v>6609</v>
      </c>
      <c r="B3198" s="47" t="s">
        <v>6610</v>
      </c>
      <c r="C3198" s="47" t="s">
        <v>7759</v>
      </c>
      <c r="D3198" s="47" t="s">
        <v>230</v>
      </c>
      <c r="E3198" s="47" t="s">
        <v>402</v>
      </c>
      <c r="F3198" s="47">
        <v>152.0</v>
      </c>
      <c r="G3198" s="47">
        <v>4.61</v>
      </c>
      <c r="H3198" s="47">
        <v>33.0</v>
      </c>
      <c r="I3198" s="47" t="s">
        <v>75</v>
      </c>
    </row>
    <row r="3199" ht="15.75" customHeight="1">
      <c r="A3199" s="47" t="s">
        <v>6611</v>
      </c>
      <c r="B3199" s="47" t="s">
        <v>6612</v>
      </c>
      <c r="C3199" s="47" t="s">
        <v>7759</v>
      </c>
      <c r="D3199" s="47" t="s">
        <v>197</v>
      </c>
      <c r="E3199" s="47" t="s">
        <v>517</v>
      </c>
      <c r="F3199" s="47">
        <v>147.0</v>
      </c>
      <c r="G3199" s="47">
        <v>4.9</v>
      </c>
      <c r="H3199" s="47">
        <v>30.0</v>
      </c>
      <c r="I3199" s="47" t="s">
        <v>75</v>
      </c>
    </row>
    <row r="3200" ht="15.75" customHeight="1">
      <c r="A3200" s="47" t="s">
        <v>6613</v>
      </c>
      <c r="B3200" s="47" t="s">
        <v>6614</v>
      </c>
      <c r="C3200" s="47" t="s">
        <v>7759</v>
      </c>
      <c r="D3200" s="47" t="s">
        <v>121</v>
      </c>
      <c r="E3200" s="47" t="s">
        <v>325</v>
      </c>
      <c r="F3200" s="47">
        <v>240.0</v>
      </c>
      <c r="G3200" s="47">
        <v>6.45</v>
      </c>
      <c r="H3200" s="47">
        <v>37.2</v>
      </c>
      <c r="I3200" s="47" t="s">
        <v>75</v>
      </c>
    </row>
    <row r="3201" ht="15.75" customHeight="1">
      <c r="A3201" s="47" t="s">
        <v>6615</v>
      </c>
      <c r="B3201" s="47" t="s">
        <v>6616</v>
      </c>
      <c r="C3201" s="47" t="s">
        <v>7759</v>
      </c>
      <c r="D3201" s="47" t="s">
        <v>152</v>
      </c>
      <c r="E3201" s="47" t="s">
        <v>417</v>
      </c>
      <c r="F3201" s="47">
        <v>30.0</v>
      </c>
      <c r="G3201" s="47">
        <v>1.82</v>
      </c>
      <c r="H3201" s="47">
        <v>16.5</v>
      </c>
      <c r="I3201" s="47" t="s">
        <v>75</v>
      </c>
    </row>
    <row r="3202" ht="15.75" customHeight="1">
      <c r="A3202" s="47" t="s">
        <v>6617</v>
      </c>
      <c r="B3202" s="47" t="s">
        <v>6618</v>
      </c>
      <c r="C3202" s="47" t="s">
        <v>7759</v>
      </c>
      <c r="D3202" s="47" t="s">
        <v>41</v>
      </c>
      <c r="E3202" s="47" t="s">
        <v>35</v>
      </c>
      <c r="F3202" s="47">
        <v>376.0</v>
      </c>
      <c r="G3202" s="47">
        <v>6.62</v>
      </c>
      <c r="H3202" s="47">
        <v>56.8</v>
      </c>
      <c r="I3202" s="47" t="s">
        <v>75</v>
      </c>
    </row>
    <row r="3203" ht="15.75" customHeight="1">
      <c r="A3203" s="47" t="s">
        <v>6619</v>
      </c>
      <c r="B3203" s="47" t="s">
        <v>6620</v>
      </c>
      <c r="C3203" s="47" t="s">
        <v>7759</v>
      </c>
      <c r="D3203" s="47" t="s">
        <v>158</v>
      </c>
      <c r="E3203" s="47" t="s">
        <v>427</v>
      </c>
      <c r="F3203" s="47">
        <v>516.0</v>
      </c>
      <c r="G3203" s="47">
        <v>18.83</v>
      </c>
      <c r="H3203" s="47">
        <v>27.4</v>
      </c>
      <c r="I3203" s="47" t="s">
        <v>62</v>
      </c>
    </row>
    <row r="3204" ht="15.75" customHeight="1">
      <c r="A3204" s="47" t="s">
        <v>6621</v>
      </c>
      <c r="B3204" s="47" t="s">
        <v>6622</v>
      </c>
      <c r="C3204" s="47" t="s">
        <v>7759</v>
      </c>
      <c r="D3204" s="47" t="s">
        <v>225</v>
      </c>
      <c r="E3204" s="47" t="s">
        <v>387</v>
      </c>
      <c r="F3204" s="47">
        <v>220.0</v>
      </c>
      <c r="G3204" s="47">
        <v>9.63</v>
      </c>
      <c r="H3204" s="47">
        <v>22.8</v>
      </c>
      <c r="I3204" s="47" t="s">
        <v>75</v>
      </c>
    </row>
    <row r="3205" ht="15.75" customHeight="1">
      <c r="A3205" s="47" t="s">
        <v>6623</v>
      </c>
      <c r="B3205" s="47" t="s">
        <v>6624</v>
      </c>
      <c r="C3205" s="47" t="s">
        <v>7759</v>
      </c>
      <c r="D3205" s="47" t="s">
        <v>197</v>
      </c>
      <c r="E3205" s="47" t="s">
        <v>517</v>
      </c>
      <c r="F3205" s="47">
        <v>45.0</v>
      </c>
      <c r="G3205" s="47">
        <v>2.9</v>
      </c>
      <c r="H3205" s="47">
        <v>15.5</v>
      </c>
      <c r="I3205" s="47" t="s">
        <v>75</v>
      </c>
    </row>
    <row r="3206" ht="15.75" customHeight="1">
      <c r="A3206" s="47" t="s">
        <v>6625</v>
      </c>
      <c r="B3206" s="47" t="s">
        <v>6626</v>
      </c>
      <c r="C3206" s="47" t="s">
        <v>7759</v>
      </c>
      <c r="D3206" s="47" t="s">
        <v>207</v>
      </c>
      <c r="E3206" s="47" t="s">
        <v>534</v>
      </c>
      <c r="F3206" s="47">
        <v>387.0</v>
      </c>
      <c r="G3206" s="47">
        <v>6.1</v>
      </c>
      <c r="H3206" s="47">
        <v>63.4</v>
      </c>
      <c r="I3206" s="47" t="s">
        <v>75</v>
      </c>
    </row>
    <row r="3207" ht="15.75" customHeight="1">
      <c r="A3207" s="47" t="s">
        <v>6627</v>
      </c>
      <c r="B3207" s="47" t="s">
        <v>6628</v>
      </c>
      <c r="C3207" s="47" t="s">
        <v>7759</v>
      </c>
      <c r="D3207" s="47" t="s">
        <v>197</v>
      </c>
      <c r="E3207" s="47" t="s">
        <v>517</v>
      </c>
      <c r="F3207" s="47">
        <v>80.0</v>
      </c>
      <c r="G3207" s="47">
        <v>4.44</v>
      </c>
      <c r="H3207" s="47">
        <v>18.0</v>
      </c>
      <c r="I3207" s="47" t="s">
        <v>75</v>
      </c>
    </row>
    <row r="3208" ht="15.75" customHeight="1">
      <c r="A3208" s="47" t="s">
        <v>6629</v>
      </c>
      <c r="B3208" s="47" t="s">
        <v>6630</v>
      </c>
      <c r="C3208" s="47" t="s">
        <v>7759</v>
      </c>
      <c r="D3208" s="47" t="s">
        <v>158</v>
      </c>
      <c r="E3208" s="47" t="s">
        <v>427</v>
      </c>
      <c r="F3208" s="47">
        <v>757.0</v>
      </c>
      <c r="G3208" s="47">
        <v>9.87</v>
      </c>
      <c r="H3208" s="47">
        <v>76.7</v>
      </c>
      <c r="I3208" s="47" t="s">
        <v>62</v>
      </c>
    </row>
    <row r="3209" ht="15.75" customHeight="1">
      <c r="A3209" s="47" t="s">
        <v>6631</v>
      </c>
      <c r="B3209" s="47" t="s">
        <v>6632</v>
      </c>
      <c r="C3209" s="47" t="s">
        <v>7759</v>
      </c>
      <c r="D3209" s="47" t="s">
        <v>121</v>
      </c>
      <c r="E3209" s="47" t="s">
        <v>325</v>
      </c>
      <c r="F3209" s="47">
        <v>865.0</v>
      </c>
      <c r="G3209" s="47">
        <v>10.33</v>
      </c>
      <c r="H3209" s="47">
        <v>83.7</v>
      </c>
      <c r="I3209" s="47" t="s">
        <v>62</v>
      </c>
    </row>
    <row r="3210" ht="15.75" customHeight="1">
      <c r="A3210" s="47" t="s">
        <v>6633</v>
      </c>
      <c r="B3210" s="47" t="s">
        <v>6634</v>
      </c>
      <c r="C3210" s="47" t="s">
        <v>7759</v>
      </c>
      <c r="D3210" s="47" t="s">
        <v>197</v>
      </c>
      <c r="E3210" s="47" t="s">
        <v>517</v>
      </c>
      <c r="F3210" s="47">
        <v>122.0</v>
      </c>
      <c r="G3210" s="47">
        <v>5.74</v>
      </c>
      <c r="H3210" s="47">
        <v>21.3</v>
      </c>
      <c r="I3210" s="47" t="s">
        <v>75</v>
      </c>
    </row>
    <row r="3211" ht="15.75" customHeight="1">
      <c r="A3211" s="47" t="s">
        <v>6635</v>
      </c>
      <c r="B3211" s="47" t="s">
        <v>6636</v>
      </c>
      <c r="C3211" s="47" t="s">
        <v>7759</v>
      </c>
      <c r="D3211" s="47" t="s">
        <v>207</v>
      </c>
      <c r="E3211" s="47" t="s">
        <v>534</v>
      </c>
      <c r="F3211" s="47">
        <v>305.0</v>
      </c>
      <c r="G3211" s="47">
        <v>8.49</v>
      </c>
      <c r="H3211" s="47">
        <v>35.9</v>
      </c>
      <c r="I3211" s="47" t="s">
        <v>75</v>
      </c>
    </row>
    <row r="3212" ht="15.75" customHeight="1">
      <c r="A3212" s="47" t="s">
        <v>6637</v>
      </c>
      <c r="B3212" s="47" t="s">
        <v>3443</v>
      </c>
      <c r="C3212" s="47" t="s">
        <v>7759</v>
      </c>
      <c r="D3212" s="47" t="s">
        <v>207</v>
      </c>
      <c r="E3212" s="47" t="s">
        <v>534</v>
      </c>
      <c r="F3212" s="47">
        <v>210.0</v>
      </c>
      <c r="G3212" s="47">
        <v>6.5</v>
      </c>
      <c r="H3212" s="47">
        <v>32.3</v>
      </c>
      <c r="I3212" s="47" t="s">
        <v>75</v>
      </c>
    </row>
    <row r="3213" ht="15.75" customHeight="1">
      <c r="A3213" s="47" t="s">
        <v>6638</v>
      </c>
      <c r="B3213" s="47" t="s">
        <v>6639</v>
      </c>
      <c r="C3213" s="47" t="s">
        <v>7759</v>
      </c>
      <c r="D3213" s="47" t="s">
        <v>229</v>
      </c>
      <c r="E3213" s="47" t="s">
        <v>400</v>
      </c>
      <c r="F3213" s="47">
        <v>149.0</v>
      </c>
      <c r="G3213" s="47">
        <v>9.77</v>
      </c>
      <c r="H3213" s="47">
        <v>15.3</v>
      </c>
      <c r="I3213" s="47" t="s">
        <v>75</v>
      </c>
    </row>
    <row r="3214" ht="15.75" customHeight="1">
      <c r="A3214" s="47" t="s">
        <v>6640</v>
      </c>
      <c r="B3214" s="47" t="s">
        <v>6641</v>
      </c>
      <c r="C3214" s="47" t="s">
        <v>7759</v>
      </c>
      <c r="D3214" s="47" t="s">
        <v>229</v>
      </c>
      <c r="E3214" s="47" t="s">
        <v>400</v>
      </c>
      <c r="F3214" s="47">
        <v>1660.0</v>
      </c>
      <c r="G3214" s="47">
        <v>23.73</v>
      </c>
      <c r="H3214" s="47">
        <v>70.0</v>
      </c>
      <c r="I3214" s="47" t="s">
        <v>62</v>
      </c>
    </row>
    <row r="3215" ht="15.75" customHeight="1">
      <c r="A3215" s="47" t="s">
        <v>6642</v>
      </c>
      <c r="B3215" s="47" t="s">
        <v>6643</v>
      </c>
      <c r="C3215" s="47" t="s">
        <v>7759</v>
      </c>
      <c r="D3215" s="47" t="s">
        <v>210</v>
      </c>
      <c r="E3215" s="47" t="s">
        <v>537</v>
      </c>
      <c r="F3215" s="47">
        <v>5982.0</v>
      </c>
      <c r="G3215" s="47">
        <v>16.33</v>
      </c>
      <c r="H3215" s="47">
        <v>366.3</v>
      </c>
      <c r="I3215" s="47" t="s">
        <v>142</v>
      </c>
    </row>
    <row r="3216" ht="15.75" customHeight="1">
      <c r="A3216" s="47" t="s">
        <v>6644</v>
      </c>
      <c r="B3216" s="47" t="s">
        <v>6645</v>
      </c>
      <c r="C3216" s="47" t="s">
        <v>7759</v>
      </c>
      <c r="D3216" s="47" t="s">
        <v>148</v>
      </c>
      <c r="E3216" s="47" t="s">
        <v>360</v>
      </c>
      <c r="F3216" s="47">
        <v>566.0</v>
      </c>
      <c r="G3216" s="47">
        <v>10.68</v>
      </c>
      <c r="H3216" s="47">
        <v>53.0</v>
      </c>
      <c r="I3216" s="47" t="s">
        <v>62</v>
      </c>
    </row>
    <row r="3217" ht="15.75" customHeight="1">
      <c r="A3217" s="47" t="s">
        <v>6646</v>
      </c>
      <c r="B3217" s="47" t="s">
        <v>6647</v>
      </c>
      <c r="C3217" s="47" t="s">
        <v>7759</v>
      </c>
      <c r="D3217" s="47" t="s">
        <v>148</v>
      </c>
      <c r="E3217" s="47" t="s">
        <v>360</v>
      </c>
      <c r="F3217" s="47">
        <v>313.0</v>
      </c>
      <c r="G3217" s="47">
        <v>9.38</v>
      </c>
      <c r="H3217" s="47">
        <v>33.4</v>
      </c>
      <c r="I3217" s="47" t="s">
        <v>75</v>
      </c>
    </row>
    <row r="3218" ht="15.75" customHeight="1">
      <c r="A3218" s="47" t="s">
        <v>6648</v>
      </c>
      <c r="B3218" s="47" t="s">
        <v>6649</v>
      </c>
      <c r="C3218" s="47" t="s">
        <v>7759</v>
      </c>
      <c r="D3218" s="47" t="s">
        <v>225</v>
      </c>
      <c r="E3218" s="47" t="s">
        <v>387</v>
      </c>
      <c r="F3218" s="47">
        <v>214.0</v>
      </c>
      <c r="G3218" s="47">
        <v>9.62</v>
      </c>
      <c r="H3218" s="47">
        <v>22.2</v>
      </c>
      <c r="I3218" s="47" t="s">
        <v>75</v>
      </c>
    </row>
    <row r="3219" ht="15.75" customHeight="1">
      <c r="A3219" s="47" t="s">
        <v>6650</v>
      </c>
      <c r="B3219" s="47" t="s">
        <v>6651</v>
      </c>
      <c r="C3219" s="47" t="s">
        <v>7759</v>
      </c>
      <c r="D3219" s="47" t="s">
        <v>197</v>
      </c>
      <c r="E3219" s="47" t="s">
        <v>517</v>
      </c>
      <c r="F3219" s="47">
        <v>152.0</v>
      </c>
      <c r="G3219" s="47">
        <v>4.65</v>
      </c>
      <c r="H3219" s="47">
        <v>32.7</v>
      </c>
      <c r="I3219" s="47" t="s">
        <v>75</v>
      </c>
    </row>
    <row r="3220" ht="15.75" customHeight="1">
      <c r="A3220" s="47" t="s">
        <v>6652</v>
      </c>
      <c r="B3220" s="47" t="s">
        <v>6653</v>
      </c>
      <c r="C3220" s="47" t="s">
        <v>7759</v>
      </c>
      <c r="D3220" s="47" t="s">
        <v>197</v>
      </c>
      <c r="E3220" s="47" t="s">
        <v>517</v>
      </c>
      <c r="F3220" s="47">
        <v>69.0</v>
      </c>
      <c r="G3220" s="47">
        <v>2.03</v>
      </c>
      <c r="H3220" s="47">
        <v>34.0</v>
      </c>
      <c r="I3220" s="47" t="s">
        <v>75</v>
      </c>
    </row>
    <row r="3221" ht="15.75" customHeight="1">
      <c r="A3221" s="47" t="s">
        <v>6654</v>
      </c>
      <c r="B3221" s="47" t="s">
        <v>6655</v>
      </c>
      <c r="C3221" s="47" t="s">
        <v>7759</v>
      </c>
      <c r="D3221" s="47" t="s">
        <v>229</v>
      </c>
      <c r="E3221" s="47" t="s">
        <v>400</v>
      </c>
      <c r="F3221" s="47">
        <v>164.0</v>
      </c>
      <c r="G3221" s="47">
        <v>6.81</v>
      </c>
      <c r="H3221" s="47">
        <v>24.1</v>
      </c>
      <c r="I3221" s="47" t="s">
        <v>75</v>
      </c>
    </row>
    <row r="3222" ht="15.75" customHeight="1">
      <c r="A3222" s="47" t="s">
        <v>6656</v>
      </c>
      <c r="B3222" s="47" t="s">
        <v>6657</v>
      </c>
      <c r="C3222" s="47" t="s">
        <v>7759</v>
      </c>
      <c r="D3222" s="47" t="s">
        <v>229</v>
      </c>
      <c r="E3222" s="47" t="s">
        <v>400</v>
      </c>
      <c r="F3222" s="47">
        <v>65.0</v>
      </c>
      <c r="G3222" s="47">
        <v>4.37</v>
      </c>
      <c r="H3222" s="47">
        <v>14.9</v>
      </c>
      <c r="I3222" s="47" t="s">
        <v>75</v>
      </c>
    </row>
    <row r="3223" ht="15.75" customHeight="1">
      <c r="A3223" s="47" t="s">
        <v>6658</v>
      </c>
      <c r="B3223" s="47" t="s">
        <v>6659</v>
      </c>
      <c r="C3223" s="47" t="s">
        <v>7759</v>
      </c>
      <c r="D3223" s="47" t="s">
        <v>185</v>
      </c>
      <c r="E3223" s="47" t="s">
        <v>485</v>
      </c>
      <c r="F3223" s="47">
        <v>99.0</v>
      </c>
      <c r="G3223" s="47">
        <v>4.14</v>
      </c>
      <c r="H3223" s="47">
        <v>23.9</v>
      </c>
      <c r="I3223" s="47" t="s">
        <v>75</v>
      </c>
    </row>
    <row r="3224" ht="15.75" customHeight="1">
      <c r="A3224" s="47" t="s">
        <v>6660</v>
      </c>
      <c r="B3224" s="47" t="s">
        <v>6661</v>
      </c>
      <c r="C3224" s="47" t="s">
        <v>7759</v>
      </c>
      <c r="D3224" s="47" t="s">
        <v>225</v>
      </c>
      <c r="E3224" s="47" t="s">
        <v>387</v>
      </c>
      <c r="F3224" s="47">
        <v>304.0</v>
      </c>
      <c r="G3224" s="47">
        <v>9.66</v>
      </c>
      <c r="H3224" s="47">
        <v>31.5</v>
      </c>
      <c r="I3224" s="47" t="s">
        <v>75</v>
      </c>
    </row>
    <row r="3225" ht="15.75" customHeight="1">
      <c r="A3225" s="47" t="s">
        <v>6662</v>
      </c>
      <c r="B3225" s="47" t="s">
        <v>6663</v>
      </c>
      <c r="C3225" s="47" t="s">
        <v>7759</v>
      </c>
      <c r="D3225" s="47" t="s">
        <v>225</v>
      </c>
      <c r="E3225" s="47" t="s">
        <v>387</v>
      </c>
      <c r="F3225" s="47">
        <v>1376.0</v>
      </c>
      <c r="G3225" s="47">
        <v>56.76</v>
      </c>
      <c r="H3225" s="47">
        <v>24.2</v>
      </c>
      <c r="I3225" s="47" t="s">
        <v>62</v>
      </c>
    </row>
    <row r="3226" ht="15.75" customHeight="1">
      <c r="A3226" s="47" t="s">
        <v>6664</v>
      </c>
      <c r="B3226" s="47" t="s">
        <v>6665</v>
      </c>
      <c r="C3226" s="47" t="s">
        <v>7759</v>
      </c>
      <c r="D3226" s="47" t="s">
        <v>185</v>
      </c>
      <c r="E3226" s="47" t="s">
        <v>485</v>
      </c>
      <c r="F3226" s="47">
        <v>115.0</v>
      </c>
      <c r="G3226" s="47">
        <v>2.59</v>
      </c>
      <c r="H3226" s="47">
        <v>44.4</v>
      </c>
      <c r="I3226" s="47" t="s">
        <v>75</v>
      </c>
    </row>
    <row r="3227" ht="15.75" customHeight="1">
      <c r="A3227" s="47" t="s">
        <v>6666</v>
      </c>
      <c r="B3227" s="47" t="s">
        <v>6667</v>
      </c>
      <c r="C3227" s="47" t="s">
        <v>7759</v>
      </c>
      <c r="D3227" s="47" t="s">
        <v>185</v>
      </c>
      <c r="E3227" s="47" t="s">
        <v>485</v>
      </c>
      <c r="F3227" s="47">
        <v>127.0</v>
      </c>
      <c r="G3227" s="47">
        <v>7.76</v>
      </c>
      <c r="H3227" s="47">
        <v>16.4</v>
      </c>
      <c r="I3227" s="47" t="s">
        <v>75</v>
      </c>
    </row>
    <row r="3228" ht="15.75" customHeight="1">
      <c r="A3228" s="47" t="s">
        <v>6668</v>
      </c>
      <c r="B3228" s="47" t="s">
        <v>6669</v>
      </c>
      <c r="C3228" s="47" t="s">
        <v>7759</v>
      </c>
      <c r="D3228" s="47" t="s">
        <v>41</v>
      </c>
      <c r="E3228" s="47" t="s">
        <v>35</v>
      </c>
      <c r="F3228" s="47">
        <v>186.0</v>
      </c>
      <c r="G3228" s="47">
        <v>5.08</v>
      </c>
      <c r="H3228" s="47">
        <v>36.6</v>
      </c>
      <c r="I3228" s="47" t="s">
        <v>75</v>
      </c>
    </row>
    <row r="3229" ht="15.75" customHeight="1">
      <c r="A3229" s="47" t="s">
        <v>6670</v>
      </c>
      <c r="B3229" s="47" t="s">
        <v>6671</v>
      </c>
      <c r="C3229" s="47" t="s">
        <v>7759</v>
      </c>
      <c r="D3229" s="47" t="s">
        <v>152</v>
      </c>
      <c r="E3229" s="47" t="s">
        <v>417</v>
      </c>
      <c r="F3229" s="47">
        <v>270.0</v>
      </c>
      <c r="G3229" s="47">
        <v>7.97</v>
      </c>
      <c r="H3229" s="47">
        <v>33.9</v>
      </c>
      <c r="I3229" s="47" t="s">
        <v>75</v>
      </c>
    </row>
    <row r="3230" ht="15.75" customHeight="1">
      <c r="A3230" s="47" t="s">
        <v>6672</v>
      </c>
      <c r="B3230" s="47" t="s">
        <v>6673</v>
      </c>
      <c r="C3230" s="47" t="s">
        <v>7759</v>
      </c>
      <c r="D3230" s="47" t="s">
        <v>229</v>
      </c>
      <c r="E3230" s="47" t="s">
        <v>400</v>
      </c>
      <c r="F3230" s="47">
        <v>460.0</v>
      </c>
      <c r="G3230" s="47">
        <v>8.92</v>
      </c>
      <c r="H3230" s="47">
        <v>51.6</v>
      </c>
      <c r="I3230" s="47" t="s">
        <v>75</v>
      </c>
    </row>
    <row r="3231" ht="15.75" customHeight="1">
      <c r="A3231" s="47" t="s">
        <v>6674</v>
      </c>
      <c r="B3231" s="47" t="s">
        <v>6675</v>
      </c>
      <c r="C3231" s="47" t="s">
        <v>7759</v>
      </c>
      <c r="D3231" s="47" t="s">
        <v>225</v>
      </c>
      <c r="E3231" s="47" t="s">
        <v>387</v>
      </c>
      <c r="F3231" s="47">
        <v>1958.0</v>
      </c>
      <c r="G3231" s="47">
        <v>16.61</v>
      </c>
      <c r="H3231" s="47">
        <v>117.9</v>
      </c>
      <c r="I3231" s="47" t="s">
        <v>62</v>
      </c>
    </row>
    <row r="3232" ht="15.75" customHeight="1">
      <c r="A3232" s="47" t="s">
        <v>6676</v>
      </c>
      <c r="B3232" s="47" t="s">
        <v>6677</v>
      </c>
      <c r="C3232" s="47" t="s">
        <v>7759</v>
      </c>
      <c r="D3232" s="47" t="s">
        <v>218</v>
      </c>
      <c r="E3232" s="47" t="s">
        <v>374</v>
      </c>
      <c r="F3232" s="47">
        <v>374.0</v>
      </c>
      <c r="G3232" s="47">
        <v>10.43</v>
      </c>
      <c r="H3232" s="47">
        <v>35.9</v>
      </c>
      <c r="I3232" s="47" t="s">
        <v>75</v>
      </c>
    </row>
    <row r="3233" ht="15.75" customHeight="1">
      <c r="A3233" s="47" t="s">
        <v>6678</v>
      </c>
      <c r="B3233" s="47" t="s">
        <v>6679</v>
      </c>
      <c r="C3233" s="47" t="s">
        <v>7759</v>
      </c>
      <c r="D3233" s="47" t="s">
        <v>152</v>
      </c>
      <c r="E3233" s="47" t="s">
        <v>417</v>
      </c>
      <c r="F3233" s="47">
        <v>281.0</v>
      </c>
      <c r="G3233" s="47">
        <v>9.69</v>
      </c>
      <c r="H3233" s="47">
        <v>29.0</v>
      </c>
      <c r="I3233" s="47" t="s">
        <v>75</v>
      </c>
    </row>
    <row r="3234" ht="15.75" customHeight="1">
      <c r="A3234" s="47" t="s">
        <v>6680</v>
      </c>
      <c r="B3234" s="47" t="s">
        <v>6681</v>
      </c>
      <c r="C3234" s="47" t="s">
        <v>7759</v>
      </c>
      <c r="D3234" s="47" t="s">
        <v>197</v>
      </c>
      <c r="E3234" s="47" t="s">
        <v>517</v>
      </c>
      <c r="F3234" s="47">
        <v>152.0</v>
      </c>
      <c r="G3234" s="47">
        <v>5.89</v>
      </c>
      <c r="H3234" s="47">
        <v>25.8</v>
      </c>
      <c r="I3234" s="47" t="s">
        <v>75</v>
      </c>
    </row>
    <row r="3235" ht="15.75" customHeight="1">
      <c r="A3235" s="47" t="s">
        <v>6682</v>
      </c>
      <c r="B3235" s="47" t="s">
        <v>6683</v>
      </c>
      <c r="C3235" s="47" t="s">
        <v>7759</v>
      </c>
      <c r="D3235" s="47" t="s">
        <v>185</v>
      </c>
      <c r="E3235" s="47" t="s">
        <v>485</v>
      </c>
      <c r="F3235" s="47">
        <v>215.0</v>
      </c>
      <c r="G3235" s="47">
        <v>4.86</v>
      </c>
      <c r="H3235" s="47">
        <v>44.2</v>
      </c>
      <c r="I3235" s="47" t="s">
        <v>75</v>
      </c>
    </row>
    <row r="3236" ht="15.75" customHeight="1">
      <c r="A3236" s="47" t="s">
        <v>6684</v>
      </c>
      <c r="B3236" s="47" t="s">
        <v>6685</v>
      </c>
      <c r="C3236" s="47" t="s">
        <v>7759</v>
      </c>
      <c r="D3236" s="47" t="s">
        <v>185</v>
      </c>
      <c r="E3236" s="47" t="s">
        <v>485</v>
      </c>
      <c r="F3236" s="47">
        <v>150.0</v>
      </c>
      <c r="G3236" s="47">
        <v>5.91</v>
      </c>
      <c r="H3236" s="47">
        <v>25.4</v>
      </c>
      <c r="I3236" s="47" t="s">
        <v>75</v>
      </c>
    </row>
    <row r="3237" ht="15.75" customHeight="1">
      <c r="A3237" s="47" t="s">
        <v>6686</v>
      </c>
      <c r="B3237" s="47" t="s">
        <v>6687</v>
      </c>
      <c r="C3237" s="47" t="s">
        <v>7759</v>
      </c>
      <c r="D3237" s="47" t="s">
        <v>210</v>
      </c>
      <c r="E3237" s="47" t="s">
        <v>537</v>
      </c>
      <c r="F3237" s="47">
        <v>737.0</v>
      </c>
      <c r="G3237" s="47">
        <v>8.76</v>
      </c>
      <c r="H3237" s="47">
        <v>84.1</v>
      </c>
      <c r="I3237" s="47" t="s">
        <v>62</v>
      </c>
    </row>
    <row r="3238" ht="15.75" customHeight="1">
      <c r="A3238" s="47" t="s">
        <v>6688</v>
      </c>
      <c r="B3238" s="47" t="s">
        <v>6689</v>
      </c>
      <c r="C3238" s="47" t="s">
        <v>7759</v>
      </c>
      <c r="D3238" s="47" t="s">
        <v>178</v>
      </c>
      <c r="E3238" s="47" t="s">
        <v>475</v>
      </c>
      <c r="F3238" s="47">
        <v>1174.0</v>
      </c>
      <c r="G3238" s="47">
        <v>3.72</v>
      </c>
      <c r="H3238" s="47">
        <v>315.6</v>
      </c>
      <c r="I3238" s="47" t="s">
        <v>62</v>
      </c>
    </row>
    <row r="3239" ht="15.75" customHeight="1">
      <c r="A3239" s="47" t="s">
        <v>6690</v>
      </c>
      <c r="B3239" s="47" t="s">
        <v>6691</v>
      </c>
      <c r="C3239" s="47" t="s">
        <v>7759</v>
      </c>
      <c r="D3239" s="47" t="s">
        <v>185</v>
      </c>
      <c r="E3239" s="47" t="s">
        <v>485</v>
      </c>
      <c r="F3239" s="47">
        <v>555.0</v>
      </c>
      <c r="G3239" s="47">
        <v>11.8</v>
      </c>
      <c r="H3239" s="47">
        <v>47.0</v>
      </c>
      <c r="I3239" s="47" t="s">
        <v>62</v>
      </c>
    </row>
    <row r="3240" ht="15.75" customHeight="1">
      <c r="A3240" s="47" t="s">
        <v>6692</v>
      </c>
      <c r="B3240" s="47" t="s">
        <v>6693</v>
      </c>
      <c r="C3240" s="47" t="s">
        <v>7759</v>
      </c>
      <c r="D3240" s="47" t="s">
        <v>148</v>
      </c>
      <c r="E3240" s="47" t="s">
        <v>360</v>
      </c>
      <c r="F3240" s="47">
        <v>524.0</v>
      </c>
      <c r="G3240" s="47">
        <v>11.3</v>
      </c>
      <c r="H3240" s="47">
        <v>46.4</v>
      </c>
      <c r="I3240" s="47" t="s">
        <v>62</v>
      </c>
    </row>
    <row r="3241" ht="15.75" customHeight="1">
      <c r="A3241" s="47" t="s">
        <v>6694</v>
      </c>
      <c r="B3241" s="47" t="s">
        <v>6695</v>
      </c>
      <c r="C3241" s="47" t="s">
        <v>7759</v>
      </c>
      <c r="D3241" s="47" t="s">
        <v>197</v>
      </c>
      <c r="E3241" s="47" t="s">
        <v>517</v>
      </c>
      <c r="F3241" s="47">
        <v>517.0</v>
      </c>
      <c r="G3241" s="47">
        <v>6.48</v>
      </c>
      <c r="H3241" s="47">
        <v>79.8</v>
      </c>
      <c r="I3241" s="47" t="s">
        <v>62</v>
      </c>
    </row>
    <row r="3242" ht="15.75" customHeight="1">
      <c r="A3242" s="47" t="s">
        <v>6696</v>
      </c>
      <c r="B3242" s="47" t="s">
        <v>6697</v>
      </c>
      <c r="C3242" s="47" t="s">
        <v>7759</v>
      </c>
      <c r="D3242" s="47" t="s">
        <v>158</v>
      </c>
      <c r="E3242" s="47" t="s">
        <v>427</v>
      </c>
      <c r="F3242" s="47">
        <v>59.0</v>
      </c>
      <c r="G3242" s="47">
        <v>2.75</v>
      </c>
      <c r="H3242" s="47">
        <v>21.5</v>
      </c>
      <c r="I3242" s="47" t="s">
        <v>75</v>
      </c>
    </row>
    <row r="3243" ht="15.75" customHeight="1">
      <c r="A3243" s="47" t="s">
        <v>6698</v>
      </c>
      <c r="B3243" s="47" t="s">
        <v>6699</v>
      </c>
      <c r="C3243" s="47" t="s">
        <v>7759</v>
      </c>
      <c r="D3243" s="47" t="s">
        <v>158</v>
      </c>
      <c r="E3243" s="47" t="s">
        <v>427</v>
      </c>
      <c r="F3243" s="47">
        <v>1389.0</v>
      </c>
      <c r="G3243" s="47">
        <v>8.66</v>
      </c>
      <c r="H3243" s="47">
        <v>160.4</v>
      </c>
      <c r="I3243" s="47" t="s">
        <v>62</v>
      </c>
    </row>
    <row r="3244" ht="15.75" customHeight="1">
      <c r="A3244" s="47" t="s">
        <v>6700</v>
      </c>
      <c r="B3244" s="47" t="s">
        <v>6701</v>
      </c>
      <c r="C3244" s="47" t="s">
        <v>7759</v>
      </c>
      <c r="D3244" s="47" t="s">
        <v>218</v>
      </c>
      <c r="E3244" s="47" t="s">
        <v>374</v>
      </c>
      <c r="F3244" s="47">
        <v>1081.0</v>
      </c>
      <c r="G3244" s="47">
        <v>17.93</v>
      </c>
      <c r="H3244" s="47">
        <v>60.3</v>
      </c>
      <c r="I3244" s="47" t="s">
        <v>62</v>
      </c>
    </row>
    <row r="3245" ht="15.75" customHeight="1">
      <c r="A3245" s="47" t="s">
        <v>6702</v>
      </c>
      <c r="B3245" s="47" t="s">
        <v>6703</v>
      </c>
      <c r="C3245" s="47" t="s">
        <v>7759</v>
      </c>
      <c r="D3245" s="47" t="s">
        <v>148</v>
      </c>
      <c r="E3245" s="47" t="s">
        <v>360</v>
      </c>
      <c r="F3245" s="47">
        <v>403.0</v>
      </c>
      <c r="G3245" s="47">
        <v>8.63</v>
      </c>
      <c r="H3245" s="47">
        <v>46.7</v>
      </c>
      <c r="I3245" s="47" t="s">
        <v>75</v>
      </c>
    </row>
    <row r="3246" ht="15.75" customHeight="1">
      <c r="A3246" s="47" t="s">
        <v>6704</v>
      </c>
      <c r="B3246" s="47" t="s">
        <v>6705</v>
      </c>
      <c r="C3246" s="47" t="s">
        <v>7759</v>
      </c>
      <c r="D3246" s="47" t="s">
        <v>207</v>
      </c>
      <c r="E3246" s="47" t="s">
        <v>534</v>
      </c>
      <c r="F3246" s="47">
        <v>44.0</v>
      </c>
      <c r="G3246" s="47">
        <v>1.95</v>
      </c>
      <c r="H3246" s="47">
        <v>22.6</v>
      </c>
      <c r="I3246" s="47" t="s">
        <v>75</v>
      </c>
    </row>
    <row r="3247" ht="15.75" customHeight="1">
      <c r="A3247" s="47" t="s">
        <v>6706</v>
      </c>
      <c r="B3247" s="47" t="s">
        <v>6707</v>
      </c>
      <c r="C3247" s="47" t="s">
        <v>7759</v>
      </c>
      <c r="D3247" s="47" t="s">
        <v>225</v>
      </c>
      <c r="E3247" s="47" t="s">
        <v>387</v>
      </c>
      <c r="F3247" s="47">
        <v>168.0</v>
      </c>
      <c r="G3247" s="47">
        <v>6.22</v>
      </c>
      <c r="H3247" s="47">
        <v>27.0</v>
      </c>
      <c r="I3247" s="47" t="s">
        <v>75</v>
      </c>
    </row>
    <row r="3248" ht="15.75" customHeight="1">
      <c r="A3248" s="47" t="s">
        <v>6708</v>
      </c>
      <c r="B3248" s="47" t="s">
        <v>6709</v>
      </c>
      <c r="C3248" s="47" t="s">
        <v>7759</v>
      </c>
      <c r="D3248" s="47" t="s">
        <v>207</v>
      </c>
      <c r="E3248" s="47" t="s">
        <v>534</v>
      </c>
      <c r="F3248" s="47">
        <v>287.0</v>
      </c>
      <c r="G3248" s="47">
        <v>8.95</v>
      </c>
      <c r="H3248" s="47">
        <v>32.1</v>
      </c>
      <c r="I3248" s="47" t="s">
        <v>75</v>
      </c>
    </row>
    <row r="3249" ht="15.75" customHeight="1">
      <c r="A3249" s="47" t="s">
        <v>6710</v>
      </c>
      <c r="B3249" s="47" t="s">
        <v>6711</v>
      </c>
      <c r="C3249" s="47" t="s">
        <v>7759</v>
      </c>
      <c r="D3249" s="47" t="s">
        <v>148</v>
      </c>
      <c r="E3249" s="47" t="s">
        <v>360</v>
      </c>
      <c r="F3249" s="47">
        <v>346.0</v>
      </c>
      <c r="G3249" s="47">
        <v>6.63</v>
      </c>
      <c r="H3249" s="47">
        <v>52.2</v>
      </c>
      <c r="I3249" s="47" t="s">
        <v>75</v>
      </c>
    </row>
    <row r="3250" ht="15.75" customHeight="1">
      <c r="A3250" s="47" t="s">
        <v>6712</v>
      </c>
      <c r="B3250" s="47" t="s">
        <v>6713</v>
      </c>
      <c r="C3250" s="47" t="s">
        <v>7759</v>
      </c>
      <c r="D3250" s="47" t="s">
        <v>230</v>
      </c>
      <c r="E3250" s="47" t="s">
        <v>402</v>
      </c>
      <c r="F3250" s="47">
        <v>709.0</v>
      </c>
      <c r="G3250" s="47">
        <v>11.13</v>
      </c>
      <c r="H3250" s="47">
        <v>63.7</v>
      </c>
      <c r="I3250" s="47" t="s">
        <v>62</v>
      </c>
    </row>
    <row r="3251" ht="15.75" customHeight="1">
      <c r="A3251" s="47" t="s">
        <v>6714</v>
      </c>
      <c r="B3251" s="47" t="s">
        <v>6715</v>
      </c>
      <c r="C3251" s="47" t="s">
        <v>7759</v>
      </c>
      <c r="D3251" s="47" t="s">
        <v>225</v>
      </c>
      <c r="E3251" s="47" t="s">
        <v>387</v>
      </c>
      <c r="F3251" s="47">
        <v>417.0</v>
      </c>
      <c r="G3251" s="47">
        <v>22.84</v>
      </c>
      <c r="H3251" s="47">
        <v>18.3</v>
      </c>
      <c r="I3251" s="47" t="s">
        <v>75</v>
      </c>
    </row>
    <row r="3252" ht="15.75" customHeight="1">
      <c r="A3252" s="47" t="s">
        <v>6716</v>
      </c>
      <c r="B3252" s="47" t="s">
        <v>6717</v>
      </c>
      <c r="C3252" s="47" t="s">
        <v>7759</v>
      </c>
      <c r="D3252" s="47" t="s">
        <v>225</v>
      </c>
      <c r="E3252" s="47" t="s">
        <v>387</v>
      </c>
      <c r="F3252" s="47">
        <v>308.0</v>
      </c>
      <c r="G3252" s="47">
        <v>8.45</v>
      </c>
      <c r="H3252" s="47">
        <v>36.4</v>
      </c>
      <c r="I3252" s="47" t="s">
        <v>75</v>
      </c>
    </row>
    <row r="3253" ht="15.75" customHeight="1">
      <c r="A3253" s="47" t="s">
        <v>6718</v>
      </c>
      <c r="B3253" s="47" t="s">
        <v>6719</v>
      </c>
      <c r="C3253" s="47" t="s">
        <v>7759</v>
      </c>
      <c r="D3253" s="47" t="s">
        <v>225</v>
      </c>
      <c r="E3253" s="47" t="s">
        <v>387</v>
      </c>
      <c r="F3253" s="47">
        <v>333.0</v>
      </c>
      <c r="G3253" s="47">
        <v>12.88</v>
      </c>
      <c r="H3253" s="47">
        <v>25.9</v>
      </c>
      <c r="I3253" s="47" t="s">
        <v>75</v>
      </c>
    </row>
    <row r="3254" ht="15.75" customHeight="1">
      <c r="A3254" s="47" t="s">
        <v>6720</v>
      </c>
      <c r="B3254" s="47" t="s">
        <v>6721</v>
      </c>
      <c r="C3254" s="47" t="s">
        <v>7759</v>
      </c>
      <c r="D3254" s="47" t="s">
        <v>121</v>
      </c>
      <c r="E3254" s="47" t="s">
        <v>325</v>
      </c>
      <c r="F3254" s="47">
        <v>363.0</v>
      </c>
      <c r="G3254" s="47">
        <v>5.0</v>
      </c>
      <c r="H3254" s="47">
        <v>72.6</v>
      </c>
      <c r="I3254" s="47" t="s">
        <v>75</v>
      </c>
    </row>
    <row r="3255" ht="15.75" customHeight="1">
      <c r="A3255" s="47" t="s">
        <v>6722</v>
      </c>
      <c r="B3255" s="47" t="s">
        <v>6723</v>
      </c>
      <c r="C3255" s="47" t="s">
        <v>7759</v>
      </c>
      <c r="D3255" s="47" t="s">
        <v>152</v>
      </c>
      <c r="E3255" s="47" t="s">
        <v>417</v>
      </c>
      <c r="F3255" s="47">
        <v>250.0</v>
      </c>
      <c r="G3255" s="47">
        <v>9.89</v>
      </c>
      <c r="H3255" s="47">
        <v>25.3</v>
      </c>
      <c r="I3255" s="47" t="s">
        <v>75</v>
      </c>
    </row>
    <row r="3256" ht="15.75" customHeight="1">
      <c r="A3256" s="47" t="s">
        <v>6724</v>
      </c>
      <c r="B3256" s="47" t="s">
        <v>6725</v>
      </c>
      <c r="C3256" s="47" t="s">
        <v>7759</v>
      </c>
      <c r="D3256" s="47" t="s">
        <v>207</v>
      </c>
      <c r="E3256" s="47" t="s">
        <v>534</v>
      </c>
      <c r="F3256" s="47">
        <v>5751.0</v>
      </c>
      <c r="G3256" s="47">
        <v>33.3</v>
      </c>
      <c r="H3256" s="47">
        <v>172.7</v>
      </c>
      <c r="I3256" s="47" t="s">
        <v>142</v>
      </c>
    </row>
    <row r="3257" ht="15.75" customHeight="1">
      <c r="A3257" s="47" t="s">
        <v>6726</v>
      </c>
      <c r="B3257" s="47" t="s">
        <v>6727</v>
      </c>
      <c r="C3257" s="47" t="s">
        <v>7759</v>
      </c>
      <c r="D3257" s="47" t="s">
        <v>41</v>
      </c>
      <c r="E3257" s="47" t="s">
        <v>35</v>
      </c>
      <c r="F3257" s="47">
        <v>1576.0</v>
      </c>
      <c r="G3257" s="47">
        <v>3.2</v>
      </c>
      <c r="H3257" s="47">
        <v>492.5</v>
      </c>
      <c r="I3257" s="47" t="s">
        <v>62</v>
      </c>
    </row>
    <row r="3258" ht="15.75" customHeight="1">
      <c r="A3258" s="47" t="s">
        <v>6728</v>
      </c>
      <c r="B3258" s="47" t="s">
        <v>6729</v>
      </c>
      <c r="C3258" s="47" t="s">
        <v>7759</v>
      </c>
      <c r="D3258" s="47" t="s">
        <v>158</v>
      </c>
      <c r="E3258" s="47" t="s">
        <v>427</v>
      </c>
      <c r="F3258" s="47">
        <v>78.0</v>
      </c>
      <c r="G3258" s="47">
        <v>5.04</v>
      </c>
      <c r="H3258" s="47">
        <v>15.5</v>
      </c>
      <c r="I3258" s="47" t="s">
        <v>75</v>
      </c>
    </row>
    <row r="3259" ht="15.75" customHeight="1">
      <c r="A3259" s="47" t="s">
        <v>6730</v>
      </c>
      <c r="B3259" s="47" t="s">
        <v>6731</v>
      </c>
      <c r="C3259" s="47" t="s">
        <v>7759</v>
      </c>
      <c r="D3259" s="47" t="s">
        <v>229</v>
      </c>
      <c r="E3259" s="47" t="s">
        <v>400</v>
      </c>
      <c r="F3259" s="47">
        <v>82.0</v>
      </c>
      <c r="G3259" s="47">
        <v>5.39</v>
      </c>
      <c r="H3259" s="47">
        <v>15.2</v>
      </c>
      <c r="I3259" s="47" t="s">
        <v>75</v>
      </c>
    </row>
    <row r="3260" ht="15.75" customHeight="1">
      <c r="A3260" s="47" t="s">
        <v>6732</v>
      </c>
      <c r="B3260" s="47" t="s">
        <v>6733</v>
      </c>
      <c r="C3260" s="47" t="s">
        <v>7759</v>
      </c>
      <c r="D3260" s="47" t="s">
        <v>121</v>
      </c>
      <c r="E3260" s="47" t="s">
        <v>325</v>
      </c>
      <c r="F3260" s="47">
        <v>887.0</v>
      </c>
      <c r="G3260" s="47">
        <v>11.09</v>
      </c>
      <c r="H3260" s="47">
        <v>80.0</v>
      </c>
      <c r="I3260" s="47" t="s">
        <v>62</v>
      </c>
    </row>
    <row r="3261" ht="15.75" customHeight="1">
      <c r="A3261" s="47" t="s">
        <v>6734</v>
      </c>
      <c r="B3261" s="47" t="s">
        <v>777</v>
      </c>
      <c r="C3261" s="47" t="s">
        <v>7759</v>
      </c>
      <c r="D3261" s="47" t="s">
        <v>41</v>
      </c>
      <c r="E3261" s="47" t="s">
        <v>35</v>
      </c>
      <c r="F3261" s="47">
        <v>1441.0</v>
      </c>
      <c r="G3261" s="47">
        <v>11.03</v>
      </c>
      <c r="H3261" s="47">
        <v>130.6</v>
      </c>
      <c r="I3261" s="47" t="s">
        <v>62</v>
      </c>
    </row>
    <row r="3262" ht="15.75" customHeight="1">
      <c r="A3262" s="47" t="s">
        <v>6735</v>
      </c>
      <c r="B3262" s="47" t="s">
        <v>6736</v>
      </c>
      <c r="C3262" s="47" t="s">
        <v>7759</v>
      </c>
      <c r="D3262" s="47" t="s">
        <v>121</v>
      </c>
      <c r="E3262" s="47" t="s">
        <v>325</v>
      </c>
      <c r="F3262" s="47">
        <v>357.0</v>
      </c>
      <c r="G3262" s="47">
        <v>4.43</v>
      </c>
      <c r="H3262" s="47">
        <v>80.6</v>
      </c>
      <c r="I3262" s="47" t="s">
        <v>75</v>
      </c>
    </row>
    <row r="3263" ht="15.75" customHeight="1">
      <c r="A3263" s="47" t="s">
        <v>6737</v>
      </c>
      <c r="B3263" s="47" t="s">
        <v>6738</v>
      </c>
      <c r="C3263" s="47" t="s">
        <v>7759</v>
      </c>
      <c r="D3263" s="47" t="s">
        <v>185</v>
      </c>
      <c r="E3263" s="47" t="s">
        <v>485</v>
      </c>
      <c r="F3263" s="47">
        <v>43.0</v>
      </c>
      <c r="G3263" s="47">
        <v>5.13</v>
      </c>
      <c r="H3263" s="47">
        <v>8.4</v>
      </c>
      <c r="I3263" s="47" t="s">
        <v>75</v>
      </c>
    </row>
    <row r="3264" ht="15.75" customHeight="1">
      <c r="A3264" s="47" t="s">
        <v>6739</v>
      </c>
      <c r="B3264" s="47" t="s">
        <v>6740</v>
      </c>
      <c r="C3264" s="47" t="s">
        <v>7759</v>
      </c>
      <c r="D3264" s="47" t="s">
        <v>197</v>
      </c>
      <c r="E3264" s="47" t="s">
        <v>517</v>
      </c>
      <c r="F3264" s="47">
        <v>85.0</v>
      </c>
      <c r="G3264" s="47">
        <v>6.35</v>
      </c>
      <c r="H3264" s="47">
        <v>13.4</v>
      </c>
      <c r="I3264" s="47" t="s">
        <v>75</v>
      </c>
    </row>
    <row r="3265" ht="15.75" customHeight="1">
      <c r="A3265" s="47" t="s">
        <v>6741</v>
      </c>
      <c r="B3265" s="47" t="s">
        <v>6742</v>
      </c>
      <c r="C3265" s="47" t="s">
        <v>7759</v>
      </c>
      <c r="D3265" s="47" t="s">
        <v>178</v>
      </c>
      <c r="E3265" s="47" t="s">
        <v>475</v>
      </c>
      <c r="F3265" s="47">
        <v>560.0</v>
      </c>
      <c r="G3265" s="47">
        <v>5.34</v>
      </c>
      <c r="H3265" s="47">
        <v>104.9</v>
      </c>
      <c r="I3265" s="47" t="s">
        <v>62</v>
      </c>
    </row>
    <row r="3266" ht="15.75" customHeight="1">
      <c r="A3266" s="47" t="s">
        <v>6743</v>
      </c>
      <c r="B3266" s="47" t="s">
        <v>6744</v>
      </c>
      <c r="C3266" s="47" t="s">
        <v>7759</v>
      </c>
      <c r="D3266" s="47" t="s">
        <v>197</v>
      </c>
      <c r="E3266" s="47" t="s">
        <v>517</v>
      </c>
      <c r="F3266" s="47">
        <v>282.0</v>
      </c>
      <c r="G3266" s="47">
        <v>9.17</v>
      </c>
      <c r="H3266" s="47">
        <v>30.8</v>
      </c>
      <c r="I3266" s="47" t="s">
        <v>75</v>
      </c>
    </row>
    <row r="3267" ht="15.75" customHeight="1">
      <c r="A3267" s="47" t="s">
        <v>6745</v>
      </c>
      <c r="B3267" s="47" t="s">
        <v>6746</v>
      </c>
      <c r="C3267" s="47" t="s">
        <v>7759</v>
      </c>
      <c r="D3267" s="47" t="s">
        <v>152</v>
      </c>
      <c r="E3267" s="47" t="s">
        <v>417</v>
      </c>
      <c r="F3267" s="47">
        <v>241.0</v>
      </c>
      <c r="G3267" s="47">
        <v>6.61</v>
      </c>
      <c r="H3267" s="47">
        <v>36.5</v>
      </c>
      <c r="I3267" s="47" t="s">
        <v>75</v>
      </c>
    </row>
    <row r="3268" ht="15.75" customHeight="1">
      <c r="A3268" s="47" t="s">
        <v>6747</v>
      </c>
      <c r="B3268" s="47" t="s">
        <v>6748</v>
      </c>
      <c r="C3268" s="47" t="s">
        <v>7759</v>
      </c>
      <c r="D3268" s="47" t="s">
        <v>121</v>
      </c>
      <c r="E3268" s="47" t="s">
        <v>325</v>
      </c>
      <c r="F3268" s="47">
        <v>510.0</v>
      </c>
      <c r="G3268" s="47">
        <v>6.83</v>
      </c>
      <c r="H3268" s="47">
        <v>74.7</v>
      </c>
      <c r="I3268" s="47" t="s">
        <v>62</v>
      </c>
    </row>
    <row r="3269" ht="15.75" customHeight="1">
      <c r="A3269" s="47" t="s">
        <v>6749</v>
      </c>
      <c r="B3269" s="47" t="s">
        <v>6750</v>
      </c>
      <c r="C3269" s="47" t="s">
        <v>7759</v>
      </c>
      <c r="D3269" s="47" t="s">
        <v>229</v>
      </c>
      <c r="E3269" s="47" t="s">
        <v>400</v>
      </c>
      <c r="F3269" s="47">
        <v>104.0</v>
      </c>
      <c r="G3269" s="47">
        <v>4.76</v>
      </c>
      <c r="H3269" s="47">
        <v>21.8</v>
      </c>
      <c r="I3269" s="47" t="s">
        <v>75</v>
      </c>
    </row>
    <row r="3270" ht="15.75" customHeight="1">
      <c r="A3270" s="47" t="s">
        <v>6751</v>
      </c>
      <c r="B3270" s="47" t="s">
        <v>6752</v>
      </c>
      <c r="C3270" s="47" t="s">
        <v>7759</v>
      </c>
      <c r="D3270" s="47" t="s">
        <v>207</v>
      </c>
      <c r="E3270" s="47" t="s">
        <v>534</v>
      </c>
      <c r="F3270" s="47">
        <v>7.0</v>
      </c>
      <c r="G3270" s="47">
        <v>1.61</v>
      </c>
      <c r="H3270" s="47">
        <v>4.3</v>
      </c>
      <c r="I3270" s="47" t="s">
        <v>75</v>
      </c>
    </row>
    <row r="3271" ht="15.75" customHeight="1">
      <c r="A3271" s="47" t="s">
        <v>6753</v>
      </c>
      <c r="B3271" s="47" t="s">
        <v>6754</v>
      </c>
      <c r="C3271" s="47" t="s">
        <v>7759</v>
      </c>
      <c r="D3271" s="47" t="s">
        <v>158</v>
      </c>
      <c r="E3271" s="47" t="s">
        <v>427</v>
      </c>
      <c r="F3271" s="47">
        <v>1099.0</v>
      </c>
      <c r="G3271" s="47">
        <v>17.36</v>
      </c>
      <c r="H3271" s="47">
        <v>63.3</v>
      </c>
      <c r="I3271" s="47" t="s">
        <v>62</v>
      </c>
    </row>
    <row r="3272" ht="15.75" customHeight="1">
      <c r="A3272" s="47" t="s">
        <v>6755</v>
      </c>
      <c r="B3272" s="47" t="s">
        <v>6756</v>
      </c>
      <c r="C3272" s="47" t="s">
        <v>7759</v>
      </c>
      <c r="D3272" s="47" t="s">
        <v>152</v>
      </c>
      <c r="E3272" s="47" t="s">
        <v>417</v>
      </c>
      <c r="F3272" s="47">
        <v>129.0</v>
      </c>
      <c r="G3272" s="47">
        <v>3.48</v>
      </c>
      <c r="H3272" s="47">
        <v>37.1</v>
      </c>
      <c r="I3272" s="47" t="s">
        <v>75</v>
      </c>
    </row>
    <row r="3273" ht="15.75" customHeight="1">
      <c r="A3273" s="47" t="s">
        <v>6757</v>
      </c>
      <c r="B3273" s="47" t="s">
        <v>6758</v>
      </c>
      <c r="C3273" s="47" t="s">
        <v>7759</v>
      </c>
      <c r="D3273" s="47" t="s">
        <v>229</v>
      </c>
      <c r="E3273" s="47" t="s">
        <v>400</v>
      </c>
      <c r="F3273" s="47">
        <v>342.0</v>
      </c>
      <c r="G3273" s="47">
        <v>14.13</v>
      </c>
      <c r="H3273" s="47">
        <v>24.2</v>
      </c>
      <c r="I3273" s="47" t="s">
        <v>75</v>
      </c>
    </row>
    <row r="3274" ht="15.75" customHeight="1">
      <c r="A3274" s="47" t="s">
        <v>6759</v>
      </c>
      <c r="B3274" s="47" t="s">
        <v>6760</v>
      </c>
      <c r="C3274" s="47" t="s">
        <v>7759</v>
      </c>
      <c r="D3274" s="47" t="s">
        <v>152</v>
      </c>
      <c r="E3274" s="47" t="s">
        <v>417</v>
      </c>
      <c r="F3274" s="47">
        <v>1704.0</v>
      </c>
      <c r="G3274" s="47">
        <v>4.94</v>
      </c>
      <c r="H3274" s="47">
        <v>344.9</v>
      </c>
      <c r="I3274" s="47" t="s">
        <v>62</v>
      </c>
    </row>
    <row r="3275" ht="15.75" customHeight="1">
      <c r="A3275" s="47" t="s">
        <v>6761</v>
      </c>
      <c r="B3275" s="47" t="s">
        <v>6762</v>
      </c>
      <c r="C3275" s="47" t="s">
        <v>7759</v>
      </c>
      <c r="D3275" s="47" t="s">
        <v>158</v>
      </c>
      <c r="E3275" s="47" t="s">
        <v>427</v>
      </c>
      <c r="F3275" s="47">
        <v>300.0</v>
      </c>
      <c r="G3275" s="47">
        <v>7.79</v>
      </c>
      <c r="H3275" s="47">
        <v>38.5</v>
      </c>
      <c r="I3275" s="47" t="s">
        <v>75</v>
      </c>
    </row>
    <row r="3276" ht="15.75" customHeight="1">
      <c r="A3276" s="47" t="s">
        <v>6763</v>
      </c>
      <c r="B3276" s="47" t="s">
        <v>6764</v>
      </c>
      <c r="C3276" s="47" t="s">
        <v>7759</v>
      </c>
      <c r="D3276" s="47" t="s">
        <v>229</v>
      </c>
      <c r="E3276" s="47" t="s">
        <v>400</v>
      </c>
      <c r="F3276" s="47">
        <v>276.0</v>
      </c>
      <c r="G3276" s="47">
        <v>9.07</v>
      </c>
      <c r="H3276" s="47">
        <v>30.4</v>
      </c>
      <c r="I3276" s="47" t="s">
        <v>75</v>
      </c>
    </row>
    <row r="3277" ht="15.75" customHeight="1">
      <c r="A3277" s="47" t="s">
        <v>6765</v>
      </c>
      <c r="B3277" s="47" t="s">
        <v>6766</v>
      </c>
      <c r="C3277" s="47" t="s">
        <v>7759</v>
      </c>
      <c r="D3277" s="47" t="s">
        <v>185</v>
      </c>
      <c r="E3277" s="47" t="s">
        <v>485</v>
      </c>
      <c r="F3277" s="47">
        <v>201.0</v>
      </c>
      <c r="G3277" s="47">
        <v>8.26</v>
      </c>
      <c r="H3277" s="47">
        <v>24.3</v>
      </c>
      <c r="I3277" s="47" t="s">
        <v>75</v>
      </c>
    </row>
    <row r="3278" ht="15.75" customHeight="1">
      <c r="A3278" s="47" t="s">
        <v>6767</v>
      </c>
      <c r="B3278" s="47" t="s">
        <v>6768</v>
      </c>
      <c r="C3278" s="47" t="s">
        <v>7759</v>
      </c>
      <c r="D3278" s="47" t="s">
        <v>185</v>
      </c>
      <c r="E3278" s="47" t="s">
        <v>485</v>
      </c>
      <c r="F3278" s="47">
        <v>751.0</v>
      </c>
      <c r="G3278" s="47">
        <v>14.32</v>
      </c>
      <c r="H3278" s="47">
        <v>52.4</v>
      </c>
      <c r="I3278" s="47" t="s">
        <v>62</v>
      </c>
    </row>
    <row r="3279" ht="15.75" customHeight="1">
      <c r="A3279" s="47" t="s">
        <v>6769</v>
      </c>
      <c r="B3279" s="47" t="s">
        <v>6770</v>
      </c>
      <c r="C3279" s="47" t="s">
        <v>7759</v>
      </c>
      <c r="D3279" s="47" t="s">
        <v>212</v>
      </c>
      <c r="E3279" s="47" t="s">
        <v>549</v>
      </c>
      <c r="F3279" s="47">
        <v>132.0</v>
      </c>
      <c r="G3279" s="47">
        <v>4.21</v>
      </c>
      <c r="H3279" s="47">
        <v>31.4</v>
      </c>
      <c r="I3279" s="47" t="s">
        <v>75</v>
      </c>
    </row>
    <row r="3280" ht="15.75" customHeight="1">
      <c r="A3280" s="47" t="s">
        <v>6771</v>
      </c>
      <c r="B3280" s="47" t="s">
        <v>6772</v>
      </c>
      <c r="C3280" s="47" t="s">
        <v>7759</v>
      </c>
      <c r="D3280" s="47" t="s">
        <v>225</v>
      </c>
      <c r="E3280" s="47" t="s">
        <v>387</v>
      </c>
      <c r="F3280" s="47">
        <v>159.0</v>
      </c>
      <c r="G3280" s="47">
        <v>1.97</v>
      </c>
      <c r="H3280" s="47">
        <v>80.7</v>
      </c>
      <c r="I3280" s="47" t="s">
        <v>75</v>
      </c>
    </row>
    <row r="3281" ht="15.75" customHeight="1">
      <c r="A3281" s="47" t="s">
        <v>6773</v>
      </c>
      <c r="B3281" s="47" t="s">
        <v>6774</v>
      </c>
      <c r="C3281" s="47" t="s">
        <v>7759</v>
      </c>
      <c r="D3281" s="47" t="s">
        <v>121</v>
      </c>
      <c r="E3281" s="47" t="s">
        <v>325</v>
      </c>
      <c r="F3281" s="47">
        <v>504.0</v>
      </c>
      <c r="G3281" s="47">
        <v>3.99</v>
      </c>
      <c r="H3281" s="47">
        <v>126.3</v>
      </c>
      <c r="I3281" s="47" t="s">
        <v>62</v>
      </c>
    </row>
    <row r="3282" ht="15.75" customHeight="1">
      <c r="A3282" s="47" t="s">
        <v>6775</v>
      </c>
      <c r="B3282" s="47" t="s">
        <v>6776</v>
      </c>
      <c r="C3282" s="47" t="s">
        <v>7759</v>
      </c>
      <c r="D3282" s="47" t="s">
        <v>148</v>
      </c>
      <c r="E3282" s="47" t="s">
        <v>360</v>
      </c>
      <c r="F3282" s="47">
        <v>159.0</v>
      </c>
      <c r="G3282" s="47">
        <v>5.62</v>
      </c>
      <c r="H3282" s="47">
        <v>28.3</v>
      </c>
      <c r="I3282" s="47" t="s">
        <v>75</v>
      </c>
    </row>
    <row r="3283" ht="15.75" customHeight="1">
      <c r="A3283" s="47" t="s">
        <v>6777</v>
      </c>
      <c r="B3283" s="47" t="s">
        <v>6778</v>
      </c>
      <c r="C3283" s="47" t="s">
        <v>7759</v>
      </c>
      <c r="D3283" s="47" t="s">
        <v>152</v>
      </c>
      <c r="E3283" s="47" t="s">
        <v>417</v>
      </c>
      <c r="F3283" s="47">
        <v>715.0</v>
      </c>
      <c r="G3283" s="47">
        <v>18.86</v>
      </c>
      <c r="H3283" s="47">
        <v>37.9</v>
      </c>
      <c r="I3283" s="47" t="s">
        <v>62</v>
      </c>
    </row>
    <row r="3284" ht="15.75" customHeight="1">
      <c r="A3284" s="47" t="s">
        <v>6779</v>
      </c>
      <c r="B3284" s="47" t="s">
        <v>6780</v>
      </c>
      <c r="C3284" s="47" t="s">
        <v>7759</v>
      </c>
      <c r="D3284" s="47" t="s">
        <v>229</v>
      </c>
      <c r="E3284" s="47" t="s">
        <v>400</v>
      </c>
      <c r="F3284" s="47">
        <v>270.0</v>
      </c>
      <c r="G3284" s="47">
        <v>6.6</v>
      </c>
      <c r="H3284" s="47">
        <v>40.9</v>
      </c>
      <c r="I3284" s="47" t="s">
        <v>75</v>
      </c>
    </row>
    <row r="3285" ht="15.75" customHeight="1">
      <c r="A3285" s="47" t="s">
        <v>6781</v>
      </c>
      <c r="B3285" s="47" t="s">
        <v>6782</v>
      </c>
      <c r="C3285" s="47" t="s">
        <v>7759</v>
      </c>
      <c r="D3285" s="47" t="s">
        <v>121</v>
      </c>
      <c r="E3285" s="47" t="s">
        <v>325</v>
      </c>
      <c r="F3285" s="47">
        <v>244.0</v>
      </c>
      <c r="G3285" s="47">
        <v>6.23</v>
      </c>
      <c r="H3285" s="47">
        <v>39.2</v>
      </c>
      <c r="I3285" s="47" t="s">
        <v>75</v>
      </c>
    </row>
    <row r="3286" ht="15.75" customHeight="1">
      <c r="A3286" s="47" t="s">
        <v>6783</v>
      </c>
      <c r="B3286" s="47" t="s">
        <v>6784</v>
      </c>
      <c r="C3286" s="47" t="s">
        <v>7759</v>
      </c>
      <c r="D3286" s="47" t="s">
        <v>230</v>
      </c>
      <c r="E3286" s="47" t="s">
        <v>402</v>
      </c>
      <c r="F3286" s="47">
        <v>379.0</v>
      </c>
      <c r="G3286" s="47">
        <v>6.52</v>
      </c>
      <c r="H3286" s="47">
        <v>58.1</v>
      </c>
      <c r="I3286" s="47" t="s">
        <v>75</v>
      </c>
    </row>
    <row r="3287" ht="15.75" customHeight="1">
      <c r="A3287" s="47" t="s">
        <v>6785</v>
      </c>
      <c r="B3287" s="47" t="s">
        <v>6786</v>
      </c>
      <c r="C3287" s="47" t="s">
        <v>7759</v>
      </c>
      <c r="D3287" s="47" t="s">
        <v>225</v>
      </c>
      <c r="E3287" s="47" t="s">
        <v>387</v>
      </c>
      <c r="F3287" s="47">
        <v>398.0</v>
      </c>
      <c r="G3287" s="47">
        <v>11.18</v>
      </c>
      <c r="H3287" s="47">
        <v>35.6</v>
      </c>
      <c r="I3287" s="47" t="s">
        <v>75</v>
      </c>
    </row>
    <row r="3288" ht="15.75" customHeight="1">
      <c r="A3288" s="47" t="s">
        <v>6787</v>
      </c>
      <c r="B3288" s="47" t="s">
        <v>6788</v>
      </c>
      <c r="C3288" s="47" t="s">
        <v>7759</v>
      </c>
      <c r="D3288" s="47" t="s">
        <v>41</v>
      </c>
      <c r="E3288" s="47" t="s">
        <v>35</v>
      </c>
      <c r="F3288" s="47">
        <v>287.0</v>
      </c>
      <c r="G3288" s="47">
        <v>6.02</v>
      </c>
      <c r="H3288" s="47">
        <v>47.7</v>
      </c>
      <c r="I3288" s="47" t="s">
        <v>75</v>
      </c>
    </row>
    <row r="3289" ht="15.75" customHeight="1">
      <c r="A3289" s="47" t="s">
        <v>6789</v>
      </c>
      <c r="B3289" s="47" t="s">
        <v>6790</v>
      </c>
      <c r="C3289" s="47" t="s">
        <v>7759</v>
      </c>
      <c r="D3289" s="47" t="s">
        <v>185</v>
      </c>
      <c r="E3289" s="47" t="s">
        <v>485</v>
      </c>
      <c r="F3289" s="47">
        <v>126.0</v>
      </c>
      <c r="G3289" s="47">
        <v>4.6</v>
      </c>
      <c r="H3289" s="47">
        <v>27.4</v>
      </c>
      <c r="I3289" s="47" t="s">
        <v>75</v>
      </c>
    </row>
    <row r="3290" ht="15.75" customHeight="1">
      <c r="A3290" s="47" t="s">
        <v>6791</v>
      </c>
      <c r="B3290" s="47" t="s">
        <v>6792</v>
      </c>
      <c r="C3290" s="47" t="s">
        <v>7759</v>
      </c>
      <c r="D3290" s="47" t="s">
        <v>185</v>
      </c>
      <c r="E3290" s="47" t="s">
        <v>485</v>
      </c>
      <c r="F3290" s="47">
        <v>348.0</v>
      </c>
      <c r="G3290" s="47">
        <v>8.13</v>
      </c>
      <c r="H3290" s="47">
        <v>42.8</v>
      </c>
      <c r="I3290" s="47" t="s">
        <v>75</v>
      </c>
    </row>
    <row r="3291" ht="15.75" customHeight="1">
      <c r="A3291" s="47" t="s">
        <v>6793</v>
      </c>
      <c r="B3291" s="47" t="s">
        <v>5100</v>
      </c>
      <c r="C3291" s="47" t="s">
        <v>7759</v>
      </c>
      <c r="D3291" s="47" t="s">
        <v>158</v>
      </c>
      <c r="E3291" s="47" t="s">
        <v>427</v>
      </c>
      <c r="F3291" s="47">
        <v>166.0</v>
      </c>
      <c r="G3291" s="47">
        <v>4.07</v>
      </c>
      <c r="H3291" s="47">
        <v>40.8</v>
      </c>
      <c r="I3291" s="47" t="s">
        <v>75</v>
      </c>
    </row>
    <row r="3292" ht="15.75" customHeight="1">
      <c r="A3292" s="47" t="s">
        <v>6794</v>
      </c>
      <c r="B3292" s="47" t="s">
        <v>6795</v>
      </c>
      <c r="C3292" s="47" t="s">
        <v>7759</v>
      </c>
      <c r="D3292" s="47" t="s">
        <v>197</v>
      </c>
      <c r="E3292" s="47" t="s">
        <v>517</v>
      </c>
      <c r="F3292" s="47">
        <v>589.0</v>
      </c>
      <c r="G3292" s="47">
        <v>18.24</v>
      </c>
      <c r="H3292" s="47">
        <v>32.3</v>
      </c>
      <c r="I3292" s="47" t="s">
        <v>62</v>
      </c>
    </row>
    <row r="3293" ht="15.75" customHeight="1">
      <c r="A3293" s="47" t="s">
        <v>6796</v>
      </c>
      <c r="B3293" s="47" t="s">
        <v>6797</v>
      </c>
      <c r="C3293" s="47" t="s">
        <v>7759</v>
      </c>
      <c r="D3293" s="47" t="s">
        <v>218</v>
      </c>
      <c r="E3293" s="47" t="s">
        <v>374</v>
      </c>
      <c r="F3293" s="47">
        <v>1128.0</v>
      </c>
      <c r="G3293" s="47">
        <v>7.84</v>
      </c>
      <c r="H3293" s="47">
        <v>143.9</v>
      </c>
      <c r="I3293" s="47" t="s">
        <v>62</v>
      </c>
    </row>
    <row r="3294" ht="15.75" customHeight="1">
      <c r="A3294" s="47" t="s">
        <v>6798</v>
      </c>
      <c r="B3294" s="47" t="s">
        <v>6799</v>
      </c>
      <c r="C3294" s="47" t="s">
        <v>7759</v>
      </c>
      <c r="D3294" s="47" t="s">
        <v>229</v>
      </c>
      <c r="E3294" s="47" t="s">
        <v>400</v>
      </c>
      <c r="F3294" s="47">
        <v>42.0</v>
      </c>
      <c r="G3294" s="47">
        <v>3.79</v>
      </c>
      <c r="H3294" s="47">
        <v>11.1</v>
      </c>
      <c r="I3294" s="47" t="s">
        <v>75</v>
      </c>
    </row>
    <row r="3295" ht="15.75" customHeight="1">
      <c r="A3295" s="47" t="s">
        <v>6800</v>
      </c>
      <c r="B3295" s="47" t="s">
        <v>6801</v>
      </c>
      <c r="C3295" s="47" t="s">
        <v>7759</v>
      </c>
      <c r="D3295" s="47" t="s">
        <v>158</v>
      </c>
      <c r="E3295" s="47" t="s">
        <v>427</v>
      </c>
      <c r="F3295" s="47">
        <v>510.0</v>
      </c>
      <c r="G3295" s="47">
        <v>11.06</v>
      </c>
      <c r="H3295" s="47">
        <v>46.1</v>
      </c>
      <c r="I3295" s="47" t="s">
        <v>62</v>
      </c>
    </row>
    <row r="3296" ht="15.75" customHeight="1">
      <c r="A3296" s="47" t="s">
        <v>6802</v>
      </c>
      <c r="B3296" s="47" t="s">
        <v>6803</v>
      </c>
      <c r="C3296" s="47" t="s">
        <v>7759</v>
      </c>
      <c r="D3296" s="47" t="s">
        <v>148</v>
      </c>
      <c r="E3296" s="47" t="s">
        <v>360</v>
      </c>
      <c r="F3296" s="47">
        <v>204.0</v>
      </c>
      <c r="G3296" s="47">
        <v>9.73</v>
      </c>
      <c r="H3296" s="47">
        <v>21.0</v>
      </c>
      <c r="I3296" s="47" t="s">
        <v>75</v>
      </c>
    </row>
    <row r="3297" ht="15.75" customHeight="1">
      <c r="A3297" s="47" t="s">
        <v>6804</v>
      </c>
      <c r="B3297" s="47" t="s">
        <v>6805</v>
      </c>
      <c r="C3297" s="47" t="s">
        <v>7759</v>
      </c>
      <c r="D3297" s="47" t="s">
        <v>152</v>
      </c>
      <c r="E3297" s="47" t="s">
        <v>417</v>
      </c>
      <c r="F3297" s="47">
        <v>163.0</v>
      </c>
      <c r="G3297" s="47">
        <v>6.35</v>
      </c>
      <c r="H3297" s="47">
        <v>25.7</v>
      </c>
      <c r="I3297" s="47" t="s">
        <v>75</v>
      </c>
    </row>
    <row r="3298" ht="15.75" customHeight="1">
      <c r="A3298" s="47" t="s">
        <v>6806</v>
      </c>
      <c r="B3298" s="47" t="s">
        <v>5106</v>
      </c>
      <c r="C3298" s="47" t="s">
        <v>7759</v>
      </c>
      <c r="D3298" s="47" t="s">
        <v>229</v>
      </c>
      <c r="E3298" s="47" t="s">
        <v>400</v>
      </c>
      <c r="F3298" s="47">
        <v>270.0</v>
      </c>
      <c r="G3298" s="47">
        <v>4.87</v>
      </c>
      <c r="H3298" s="47">
        <v>55.4</v>
      </c>
      <c r="I3298" s="47" t="s">
        <v>75</v>
      </c>
    </row>
    <row r="3299" ht="15.75" customHeight="1">
      <c r="A3299" s="47" t="s">
        <v>6807</v>
      </c>
      <c r="B3299" s="47" t="s">
        <v>829</v>
      </c>
      <c r="C3299" s="47" t="s">
        <v>7759</v>
      </c>
      <c r="D3299" s="47" t="s">
        <v>185</v>
      </c>
      <c r="E3299" s="47" t="s">
        <v>485</v>
      </c>
      <c r="F3299" s="47">
        <v>171.0</v>
      </c>
      <c r="G3299" s="47">
        <v>6.72</v>
      </c>
      <c r="H3299" s="47">
        <v>25.4</v>
      </c>
      <c r="I3299" s="47" t="s">
        <v>75</v>
      </c>
    </row>
    <row r="3300" ht="15.75" customHeight="1">
      <c r="A3300" s="47" t="s">
        <v>6808</v>
      </c>
      <c r="B3300" s="47" t="s">
        <v>6809</v>
      </c>
      <c r="C3300" s="47" t="s">
        <v>7759</v>
      </c>
      <c r="D3300" s="47" t="s">
        <v>225</v>
      </c>
      <c r="E3300" s="47" t="s">
        <v>387</v>
      </c>
      <c r="F3300" s="47">
        <v>453.0</v>
      </c>
      <c r="G3300" s="47">
        <v>12.99</v>
      </c>
      <c r="H3300" s="47">
        <v>34.9</v>
      </c>
      <c r="I3300" s="47" t="s">
        <v>75</v>
      </c>
    </row>
    <row r="3301" ht="15.75" customHeight="1">
      <c r="A3301" s="47" t="s">
        <v>6810</v>
      </c>
      <c r="B3301" s="47" t="s">
        <v>6811</v>
      </c>
      <c r="C3301" s="47" t="s">
        <v>7759</v>
      </c>
      <c r="D3301" s="47" t="s">
        <v>230</v>
      </c>
      <c r="E3301" s="47" t="s">
        <v>402</v>
      </c>
      <c r="F3301" s="47">
        <v>91.0</v>
      </c>
      <c r="G3301" s="47">
        <v>3.91</v>
      </c>
      <c r="H3301" s="47">
        <v>23.3</v>
      </c>
      <c r="I3301" s="47" t="s">
        <v>75</v>
      </c>
    </row>
    <row r="3302" ht="15.75" customHeight="1">
      <c r="A3302" s="47" t="s">
        <v>6812</v>
      </c>
      <c r="B3302" s="47" t="s">
        <v>3583</v>
      </c>
      <c r="C3302" s="47" t="s">
        <v>7759</v>
      </c>
      <c r="D3302" s="47" t="s">
        <v>41</v>
      </c>
      <c r="E3302" s="47" t="s">
        <v>35</v>
      </c>
      <c r="F3302" s="47">
        <v>496.0</v>
      </c>
      <c r="G3302" s="47">
        <v>3.5</v>
      </c>
      <c r="H3302" s="47">
        <v>141.7</v>
      </c>
      <c r="I3302" s="47" t="s">
        <v>75</v>
      </c>
    </row>
    <row r="3303" ht="15.75" customHeight="1">
      <c r="A3303" s="47" t="s">
        <v>6813</v>
      </c>
      <c r="B3303" s="47" t="s">
        <v>6814</v>
      </c>
      <c r="C3303" s="47" t="s">
        <v>7759</v>
      </c>
      <c r="D3303" s="47" t="s">
        <v>185</v>
      </c>
      <c r="E3303" s="47" t="s">
        <v>485</v>
      </c>
      <c r="F3303" s="47">
        <v>136.0</v>
      </c>
      <c r="G3303" s="47">
        <v>5.06</v>
      </c>
      <c r="H3303" s="47">
        <v>26.9</v>
      </c>
      <c r="I3303" s="47" t="s">
        <v>75</v>
      </c>
    </row>
    <row r="3304" ht="15.75" customHeight="1">
      <c r="A3304" s="47" t="s">
        <v>6815</v>
      </c>
      <c r="B3304" s="47" t="s">
        <v>6816</v>
      </c>
      <c r="C3304" s="47" t="s">
        <v>7759</v>
      </c>
      <c r="D3304" s="47" t="s">
        <v>158</v>
      </c>
      <c r="E3304" s="47" t="s">
        <v>427</v>
      </c>
      <c r="F3304" s="47">
        <v>155.0</v>
      </c>
      <c r="G3304" s="47">
        <v>5.94</v>
      </c>
      <c r="H3304" s="47">
        <v>26.1</v>
      </c>
      <c r="I3304" s="47" t="s">
        <v>75</v>
      </c>
    </row>
    <row r="3305" ht="15.75" customHeight="1">
      <c r="A3305" s="47" t="s">
        <v>6817</v>
      </c>
      <c r="B3305" s="47" t="s">
        <v>6818</v>
      </c>
      <c r="C3305" s="47" t="s">
        <v>7759</v>
      </c>
      <c r="D3305" s="47" t="s">
        <v>212</v>
      </c>
      <c r="E3305" s="47" t="s">
        <v>549</v>
      </c>
      <c r="F3305" s="47">
        <v>2414.0</v>
      </c>
      <c r="G3305" s="47">
        <v>7.99</v>
      </c>
      <c r="H3305" s="47">
        <v>302.1</v>
      </c>
      <c r="I3305" s="47" t="s">
        <v>142</v>
      </c>
    </row>
    <row r="3306" ht="15.75" customHeight="1">
      <c r="A3306" s="47" t="s">
        <v>6819</v>
      </c>
      <c r="B3306" s="47" t="s">
        <v>6820</v>
      </c>
      <c r="C3306" s="47" t="s">
        <v>7759</v>
      </c>
      <c r="D3306" s="47" t="s">
        <v>207</v>
      </c>
      <c r="E3306" s="47" t="s">
        <v>534</v>
      </c>
      <c r="F3306" s="47">
        <v>663.0</v>
      </c>
      <c r="G3306" s="47">
        <v>11.7</v>
      </c>
      <c r="H3306" s="47">
        <v>56.7</v>
      </c>
      <c r="I3306" s="47" t="s">
        <v>62</v>
      </c>
    </row>
    <row r="3307" ht="15.75" customHeight="1">
      <c r="A3307" s="47" t="s">
        <v>6821</v>
      </c>
      <c r="B3307" s="47" t="s">
        <v>6822</v>
      </c>
      <c r="C3307" s="47" t="s">
        <v>7759</v>
      </c>
      <c r="D3307" s="47" t="s">
        <v>185</v>
      </c>
      <c r="E3307" s="47" t="s">
        <v>485</v>
      </c>
      <c r="F3307" s="47">
        <v>142.0</v>
      </c>
      <c r="G3307" s="47">
        <v>6.62</v>
      </c>
      <c r="H3307" s="47">
        <v>21.5</v>
      </c>
      <c r="I3307" s="47" t="s">
        <v>75</v>
      </c>
    </row>
    <row r="3308" ht="15.75" customHeight="1">
      <c r="A3308" s="47" t="s">
        <v>6823</v>
      </c>
      <c r="B3308" s="47" t="s">
        <v>6824</v>
      </c>
      <c r="C3308" s="47" t="s">
        <v>7759</v>
      </c>
      <c r="D3308" s="47" t="s">
        <v>158</v>
      </c>
      <c r="E3308" s="47" t="s">
        <v>427</v>
      </c>
      <c r="F3308" s="47">
        <v>278.0</v>
      </c>
      <c r="G3308" s="47">
        <v>6.86</v>
      </c>
      <c r="H3308" s="47">
        <v>40.5</v>
      </c>
      <c r="I3308" s="47" t="s">
        <v>75</v>
      </c>
    </row>
    <row r="3309" ht="15.75" customHeight="1">
      <c r="A3309" s="47" t="s">
        <v>6825</v>
      </c>
      <c r="B3309" s="47" t="s">
        <v>6826</v>
      </c>
      <c r="C3309" s="47" t="s">
        <v>7759</v>
      </c>
      <c r="D3309" s="47" t="s">
        <v>158</v>
      </c>
      <c r="E3309" s="47" t="s">
        <v>427</v>
      </c>
      <c r="F3309" s="47">
        <v>299.0</v>
      </c>
      <c r="G3309" s="47">
        <v>7.4</v>
      </c>
      <c r="H3309" s="47">
        <v>40.4</v>
      </c>
      <c r="I3309" s="47" t="s">
        <v>75</v>
      </c>
    </row>
    <row r="3310" ht="15.75" customHeight="1">
      <c r="A3310" s="47" t="s">
        <v>6827</v>
      </c>
      <c r="B3310" s="47" t="s">
        <v>5136</v>
      </c>
      <c r="C3310" s="47" t="s">
        <v>7759</v>
      </c>
      <c r="D3310" s="47" t="s">
        <v>158</v>
      </c>
      <c r="E3310" s="47" t="s">
        <v>427</v>
      </c>
      <c r="F3310" s="47">
        <v>190.0</v>
      </c>
      <c r="G3310" s="47">
        <v>6.3</v>
      </c>
      <c r="H3310" s="47">
        <v>30.2</v>
      </c>
      <c r="I3310" s="47" t="s">
        <v>75</v>
      </c>
    </row>
    <row r="3311" ht="15.75" customHeight="1">
      <c r="A3311" s="47" t="s">
        <v>6828</v>
      </c>
      <c r="B3311" s="47" t="s">
        <v>6829</v>
      </c>
      <c r="C3311" s="47" t="s">
        <v>7759</v>
      </c>
      <c r="D3311" s="47" t="s">
        <v>148</v>
      </c>
      <c r="E3311" s="47" t="s">
        <v>360</v>
      </c>
      <c r="F3311" s="47">
        <v>531.0</v>
      </c>
      <c r="G3311" s="47">
        <v>4.67</v>
      </c>
      <c r="H3311" s="47">
        <v>113.7</v>
      </c>
      <c r="I3311" s="47" t="s">
        <v>62</v>
      </c>
    </row>
    <row r="3312" ht="15.75" customHeight="1">
      <c r="A3312" s="47" t="s">
        <v>6830</v>
      </c>
      <c r="B3312" s="47" t="s">
        <v>6831</v>
      </c>
      <c r="C3312" s="47" t="s">
        <v>7759</v>
      </c>
      <c r="D3312" s="47" t="s">
        <v>207</v>
      </c>
      <c r="E3312" s="47" t="s">
        <v>534</v>
      </c>
      <c r="F3312" s="47">
        <v>1937.0</v>
      </c>
      <c r="G3312" s="47">
        <v>20.75</v>
      </c>
      <c r="H3312" s="47">
        <v>93.3</v>
      </c>
      <c r="I3312" s="47" t="s">
        <v>62</v>
      </c>
    </row>
    <row r="3313" ht="15.75" customHeight="1">
      <c r="A3313" s="47" t="s">
        <v>6832</v>
      </c>
      <c r="B3313" s="47" t="s">
        <v>853</v>
      </c>
      <c r="C3313" s="47" t="s">
        <v>7759</v>
      </c>
      <c r="D3313" s="47" t="s">
        <v>229</v>
      </c>
      <c r="E3313" s="47" t="s">
        <v>400</v>
      </c>
      <c r="F3313" s="47">
        <v>206.0</v>
      </c>
      <c r="G3313" s="47">
        <v>9.47</v>
      </c>
      <c r="H3313" s="47">
        <v>21.8</v>
      </c>
      <c r="I3313" s="47" t="s">
        <v>75</v>
      </c>
    </row>
    <row r="3314" ht="15.75" customHeight="1">
      <c r="A3314" s="47" t="s">
        <v>6833</v>
      </c>
      <c r="B3314" s="47" t="s">
        <v>6834</v>
      </c>
      <c r="C3314" s="47" t="s">
        <v>7759</v>
      </c>
      <c r="D3314" s="47" t="s">
        <v>218</v>
      </c>
      <c r="E3314" s="47" t="s">
        <v>374</v>
      </c>
      <c r="F3314" s="47">
        <v>3221.0</v>
      </c>
      <c r="G3314" s="47">
        <v>11.85</v>
      </c>
      <c r="H3314" s="47">
        <v>271.8</v>
      </c>
      <c r="I3314" s="47" t="s">
        <v>142</v>
      </c>
    </row>
    <row r="3315" ht="15.75" customHeight="1">
      <c r="A3315" s="47" t="s">
        <v>6835</v>
      </c>
      <c r="B3315" s="47" t="s">
        <v>6836</v>
      </c>
      <c r="C3315" s="47" t="s">
        <v>7759</v>
      </c>
      <c r="D3315" s="47" t="s">
        <v>229</v>
      </c>
      <c r="E3315" s="47" t="s">
        <v>400</v>
      </c>
      <c r="F3315" s="47">
        <v>320.0</v>
      </c>
      <c r="G3315" s="47">
        <v>6.4</v>
      </c>
      <c r="H3315" s="47">
        <v>50.0</v>
      </c>
      <c r="I3315" s="47" t="s">
        <v>75</v>
      </c>
    </row>
    <row r="3316" ht="15.75" customHeight="1">
      <c r="A3316" s="47" t="s">
        <v>6837</v>
      </c>
      <c r="B3316" s="47" t="s">
        <v>6838</v>
      </c>
      <c r="C3316" s="47" t="s">
        <v>7759</v>
      </c>
      <c r="D3316" s="47" t="s">
        <v>230</v>
      </c>
      <c r="E3316" s="47" t="s">
        <v>402</v>
      </c>
      <c r="F3316" s="47">
        <v>152.0</v>
      </c>
      <c r="G3316" s="47">
        <v>5.68</v>
      </c>
      <c r="H3316" s="47">
        <v>26.8</v>
      </c>
      <c r="I3316" s="47" t="s">
        <v>75</v>
      </c>
    </row>
    <row r="3317" ht="15.75" customHeight="1">
      <c r="A3317" s="47" t="s">
        <v>6839</v>
      </c>
      <c r="B3317" s="47" t="s">
        <v>6840</v>
      </c>
      <c r="C3317" s="47" t="s">
        <v>7759</v>
      </c>
      <c r="D3317" s="47" t="s">
        <v>148</v>
      </c>
      <c r="E3317" s="47" t="s">
        <v>360</v>
      </c>
      <c r="F3317" s="47">
        <v>154.0</v>
      </c>
      <c r="G3317" s="47">
        <v>6.07</v>
      </c>
      <c r="H3317" s="47">
        <v>25.4</v>
      </c>
      <c r="I3317" s="47" t="s">
        <v>75</v>
      </c>
    </row>
    <row r="3318" ht="15.75" customHeight="1">
      <c r="A3318" s="47" t="s">
        <v>6841</v>
      </c>
      <c r="B3318" s="47" t="s">
        <v>6842</v>
      </c>
      <c r="C3318" s="47" t="s">
        <v>7759</v>
      </c>
      <c r="D3318" s="47" t="s">
        <v>185</v>
      </c>
      <c r="E3318" s="47" t="s">
        <v>485</v>
      </c>
      <c r="F3318" s="47">
        <v>168.0</v>
      </c>
      <c r="G3318" s="47">
        <v>5.0</v>
      </c>
      <c r="H3318" s="47">
        <v>33.6</v>
      </c>
      <c r="I3318" s="47" t="s">
        <v>75</v>
      </c>
    </row>
    <row r="3319" ht="15.75" customHeight="1">
      <c r="A3319" s="47" t="s">
        <v>6843</v>
      </c>
      <c r="B3319" s="47" t="s">
        <v>6844</v>
      </c>
      <c r="C3319" s="47" t="s">
        <v>7759</v>
      </c>
      <c r="D3319" s="47" t="s">
        <v>229</v>
      </c>
      <c r="E3319" s="47" t="s">
        <v>400</v>
      </c>
      <c r="F3319" s="47">
        <v>143.0</v>
      </c>
      <c r="G3319" s="47">
        <v>7.47</v>
      </c>
      <c r="H3319" s="47">
        <v>19.1</v>
      </c>
      <c r="I3319" s="47" t="s">
        <v>75</v>
      </c>
    </row>
    <row r="3320" ht="15.75" customHeight="1">
      <c r="A3320" s="47" t="s">
        <v>6845</v>
      </c>
      <c r="B3320" s="47" t="s">
        <v>6846</v>
      </c>
      <c r="C3320" s="47" t="s">
        <v>7759</v>
      </c>
      <c r="D3320" s="47" t="s">
        <v>230</v>
      </c>
      <c r="E3320" s="47" t="s">
        <v>402</v>
      </c>
      <c r="F3320" s="47">
        <v>54.0</v>
      </c>
      <c r="G3320" s="47">
        <v>3.48</v>
      </c>
      <c r="H3320" s="47">
        <v>15.5</v>
      </c>
      <c r="I3320" s="47" t="s">
        <v>75</v>
      </c>
    </row>
    <row r="3321" ht="15.75" customHeight="1">
      <c r="A3321" s="47" t="s">
        <v>6847</v>
      </c>
      <c r="B3321" s="47" t="s">
        <v>6848</v>
      </c>
      <c r="C3321" s="47" t="s">
        <v>7759</v>
      </c>
      <c r="D3321" s="47" t="s">
        <v>185</v>
      </c>
      <c r="E3321" s="47" t="s">
        <v>485</v>
      </c>
      <c r="F3321" s="47">
        <v>97.0</v>
      </c>
      <c r="G3321" s="47">
        <v>9.05</v>
      </c>
      <c r="H3321" s="47">
        <v>10.7</v>
      </c>
      <c r="I3321" s="47" t="s">
        <v>75</v>
      </c>
    </row>
    <row r="3322" ht="15.75" customHeight="1">
      <c r="A3322" s="47" t="s">
        <v>6849</v>
      </c>
      <c r="B3322" s="47" t="s">
        <v>6850</v>
      </c>
      <c r="C3322" s="47" t="s">
        <v>7759</v>
      </c>
      <c r="D3322" s="47" t="s">
        <v>225</v>
      </c>
      <c r="E3322" s="47" t="s">
        <v>387</v>
      </c>
      <c r="F3322" s="47">
        <v>162.0</v>
      </c>
      <c r="G3322" s="47">
        <v>5.68</v>
      </c>
      <c r="H3322" s="47">
        <v>28.5</v>
      </c>
      <c r="I3322" s="47" t="s">
        <v>75</v>
      </c>
    </row>
    <row r="3323" ht="15.75" customHeight="1">
      <c r="A3323" s="47" t="s">
        <v>6851</v>
      </c>
      <c r="B3323" s="47" t="s">
        <v>6852</v>
      </c>
      <c r="C3323" s="47" t="s">
        <v>7759</v>
      </c>
      <c r="D3323" s="47" t="s">
        <v>121</v>
      </c>
      <c r="E3323" s="47" t="s">
        <v>325</v>
      </c>
      <c r="F3323" s="47">
        <v>502.0</v>
      </c>
      <c r="G3323" s="47">
        <v>15.17</v>
      </c>
      <c r="H3323" s="47">
        <v>33.1</v>
      </c>
      <c r="I3323" s="47" t="s">
        <v>62</v>
      </c>
    </row>
    <row r="3324" ht="15.75" customHeight="1">
      <c r="A3324" s="47" t="s">
        <v>6853</v>
      </c>
      <c r="B3324" s="47" t="s">
        <v>6854</v>
      </c>
      <c r="C3324" s="47" t="s">
        <v>7759</v>
      </c>
      <c r="D3324" s="47" t="s">
        <v>197</v>
      </c>
      <c r="E3324" s="47" t="s">
        <v>517</v>
      </c>
      <c r="F3324" s="47">
        <v>163.0</v>
      </c>
      <c r="G3324" s="47">
        <v>7.69</v>
      </c>
      <c r="H3324" s="47">
        <v>21.2</v>
      </c>
      <c r="I3324" s="47" t="s">
        <v>75</v>
      </c>
    </row>
    <row r="3325" ht="15.75" customHeight="1">
      <c r="A3325" s="47" t="s">
        <v>6855</v>
      </c>
      <c r="B3325" s="47" t="s">
        <v>6856</v>
      </c>
      <c r="C3325" s="47" t="s">
        <v>7759</v>
      </c>
      <c r="D3325" s="47" t="s">
        <v>229</v>
      </c>
      <c r="E3325" s="47" t="s">
        <v>400</v>
      </c>
      <c r="F3325" s="47">
        <v>226.0</v>
      </c>
      <c r="G3325" s="47">
        <v>2.98</v>
      </c>
      <c r="H3325" s="47">
        <v>75.8</v>
      </c>
      <c r="I3325" s="47" t="s">
        <v>75</v>
      </c>
    </row>
    <row r="3326" ht="15.75" customHeight="1">
      <c r="A3326" s="47" t="s">
        <v>6857</v>
      </c>
      <c r="B3326" s="47" t="s">
        <v>6858</v>
      </c>
      <c r="C3326" s="47" t="s">
        <v>7759</v>
      </c>
      <c r="D3326" s="47" t="s">
        <v>225</v>
      </c>
      <c r="E3326" s="47" t="s">
        <v>387</v>
      </c>
      <c r="F3326" s="47">
        <v>314.0</v>
      </c>
      <c r="G3326" s="47">
        <v>3.32</v>
      </c>
      <c r="H3326" s="47">
        <v>94.6</v>
      </c>
      <c r="I3326" s="47" t="s">
        <v>75</v>
      </c>
    </row>
    <row r="3327" ht="15.75" customHeight="1">
      <c r="A3327" s="47" t="s">
        <v>6859</v>
      </c>
      <c r="B3327" s="47" t="s">
        <v>6860</v>
      </c>
      <c r="C3327" s="47" t="s">
        <v>7759</v>
      </c>
      <c r="D3327" s="47" t="s">
        <v>225</v>
      </c>
      <c r="E3327" s="47" t="s">
        <v>387</v>
      </c>
      <c r="F3327" s="47">
        <v>382.0</v>
      </c>
      <c r="G3327" s="47">
        <v>10.24</v>
      </c>
      <c r="H3327" s="47">
        <v>37.3</v>
      </c>
      <c r="I3327" s="47" t="s">
        <v>75</v>
      </c>
    </row>
    <row r="3328" ht="15.75" customHeight="1">
      <c r="A3328" s="47" t="s">
        <v>6861</v>
      </c>
      <c r="B3328" s="47" t="s">
        <v>6862</v>
      </c>
      <c r="C3328" s="47" t="s">
        <v>7759</v>
      </c>
      <c r="D3328" s="47" t="s">
        <v>225</v>
      </c>
      <c r="E3328" s="47" t="s">
        <v>387</v>
      </c>
      <c r="F3328" s="47">
        <v>1363.0</v>
      </c>
      <c r="G3328" s="47">
        <v>13.47</v>
      </c>
      <c r="H3328" s="47">
        <v>101.2</v>
      </c>
      <c r="I3328" s="47" t="s">
        <v>62</v>
      </c>
    </row>
    <row r="3329" ht="15.75" customHeight="1">
      <c r="A3329" s="47" t="s">
        <v>6863</v>
      </c>
      <c r="B3329" s="47" t="s">
        <v>6864</v>
      </c>
      <c r="C3329" s="47" t="s">
        <v>7759</v>
      </c>
      <c r="D3329" s="47" t="s">
        <v>229</v>
      </c>
      <c r="E3329" s="47" t="s">
        <v>400</v>
      </c>
      <c r="F3329" s="47">
        <v>100.0</v>
      </c>
      <c r="G3329" s="47">
        <v>2.73</v>
      </c>
      <c r="H3329" s="47">
        <v>36.6</v>
      </c>
      <c r="I3329" s="47" t="s">
        <v>75</v>
      </c>
    </row>
    <row r="3330" ht="15.75" customHeight="1">
      <c r="A3330" s="47" t="s">
        <v>6865</v>
      </c>
      <c r="B3330" s="47" t="s">
        <v>6866</v>
      </c>
      <c r="C3330" s="47" t="s">
        <v>7759</v>
      </c>
      <c r="D3330" s="47" t="s">
        <v>230</v>
      </c>
      <c r="E3330" s="47" t="s">
        <v>402</v>
      </c>
      <c r="F3330" s="47">
        <v>235.0</v>
      </c>
      <c r="G3330" s="47">
        <v>6.96</v>
      </c>
      <c r="H3330" s="47">
        <v>33.8</v>
      </c>
      <c r="I3330" s="47" t="s">
        <v>75</v>
      </c>
    </row>
    <row r="3331" ht="15.75" customHeight="1">
      <c r="A3331" s="47" t="s">
        <v>6867</v>
      </c>
      <c r="B3331" s="47" t="s">
        <v>6868</v>
      </c>
      <c r="C3331" s="47" t="s">
        <v>7759</v>
      </c>
      <c r="D3331" s="47" t="s">
        <v>229</v>
      </c>
      <c r="E3331" s="47" t="s">
        <v>400</v>
      </c>
      <c r="F3331" s="47">
        <v>79.0</v>
      </c>
      <c r="G3331" s="47">
        <v>2.97</v>
      </c>
      <c r="H3331" s="47">
        <v>26.6</v>
      </c>
      <c r="I3331" s="47" t="s">
        <v>75</v>
      </c>
    </row>
    <row r="3332" ht="15.75" customHeight="1">
      <c r="A3332" s="47" t="s">
        <v>6869</v>
      </c>
      <c r="B3332" s="47" t="s">
        <v>6870</v>
      </c>
      <c r="C3332" s="47" t="s">
        <v>7759</v>
      </c>
      <c r="D3332" s="47" t="s">
        <v>148</v>
      </c>
      <c r="E3332" s="47" t="s">
        <v>360</v>
      </c>
      <c r="F3332" s="47">
        <v>216.0</v>
      </c>
      <c r="G3332" s="47">
        <v>3.67</v>
      </c>
      <c r="H3332" s="47">
        <v>58.9</v>
      </c>
      <c r="I3332" s="47" t="s">
        <v>75</v>
      </c>
    </row>
    <row r="3333" ht="15.75" customHeight="1">
      <c r="A3333" s="47" t="s">
        <v>6871</v>
      </c>
      <c r="B3333" s="47" t="s">
        <v>3612</v>
      </c>
      <c r="C3333" s="47" t="s">
        <v>7759</v>
      </c>
      <c r="D3333" s="47" t="s">
        <v>210</v>
      </c>
      <c r="E3333" s="47" t="s">
        <v>537</v>
      </c>
      <c r="F3333" s="47">
        <v>1723.0</v>
      </c>
      <c r="G3333" s="47">
        <v>5.73</v>
      </c>
      <c r="H3333" s="47">
        <v>300.7</v>
      </c>
      <c r="I3333" s="47" t="s">
        <v>62</v>
      </c>
    </row>
    <row r="3334" ht="15.75" customHeight="1">
      <c r="A3334" s="47" t="s">
        <v>6872</v>
      </c>
      <c r="B3334" s="47" t="s">
        <v>6873</v>
      </c>
      <c r="C3334" s="47" t="s">
        <v>7759</v>
      </c>
      <c r="D3334" s="47" t="s">
        <v>230</v>
      </c>
      <c r="E3334" s="47" t="s">
        <v>402</v>
      </c>
      <c r="F3334" s="47">
        <v>154.0</v>
      </c>
      <c r="G3334" s="47">
        <v>5.5</v>
      </c>
      <c r="H3334" s="47">
        <v>28.0</v>
      </c>
      <c r="I3334" s="47" t="s">
        <v>75</v>
      </c>
    </row>
    <row r="3335" ht="15.75" customHeight="1">
      <c r="A3335" s="47" t="s">
        <v>6874</v>
      </c>
      <c r="B3335" s="47" t="s">
        <v>6875</v>
      </c>
      <c r="C3335" s="47" t="s">
        <v>7759</v>
      </c>
      <c r="D3335" s="47" t="s">
        <v>229</v>
      </c>
      <c r="E3335" s="47" t="s">
        <v>400</v>
      </c>
      <c r="F3335" s="47">
        <v>181.0</v>
      </c>
      <c r="G3335" s="47">
        <v>4.57</v>
      </c>
      <c r="H3335" s="47">
        <v>39.6</v>
      </c>
      <c r="I3335" s="47" t="s">
        <v>75</v>
      </c>
    </row>
    <row r="3336" ht="15.75" customHeight="1">
      <c r="A3336" s="47" t="s">
        <v>6876</v>
      </c>
      <c r="B3336" s="47" t="s">
        <v>6877</v>
      </c>
      <c r="C3336" s="47" t="s">
        <v>7759</v>
      </c>
      <c r="D3336" s="47" t="s">
        <v>218</v>
      </c>
      <c r="E3336" s="47" t="s">
        <v>374</v>
      </c>
      <c r="F3336" s="47">
        <v>380.0</v>
      </c>
      <c r="G3336" s="47">
        <v>9.14</v>
      </c>
      <c r="H3336" s="47">
        <v>41.6</v>
      </c>
      <c r="I3336" s="47" t="s">
        <v>75</v>
      </c>
    </row>
    <row r="3337" ht="15.75" customHeight="1">
      <c r="A3337" s="47" t="s">
        <v>6878</v>
      </c>
      <c r="B3337" s="47" t="s">
        <v>6879</v>
      </c>
      <c r="C3337" s="47" t="s">
        <v>7759</v>
      </c>
      <c r="D3337" s="47" t="s">
        <v>230</v>
      </c>
      <c r="E3337" s="47" t="s">
        <v>402</v>
      </c>
      <c r="F3337" s="47">
        <v>443.0</v>
      </c>
      <c r="G3337" s="47">
        <v>9.96</v>
      </c>
      <c r="H3337" s="47">
        <v>44.5</v>
      </c>
      <c r="I3337" s="47" t="s">
        <v>75</v>
      </c>
    </row>
    <row r="3338" ht="15.75" customHeight="1">
      <c r="A3338" s="47" t="s">
        <v>6880</v>
      </c>
      <c r="B3338" s="47" t="s">
        <v>6881</v>
      </c>
      <c r="C3338" s="47" t="s">
        <v>7759</v>
      </c>
      <c r="D3338" s="47" t="s">
        <v>229</v>
      </c>
      <c r="E3338" s="47" t="s">
        <v>400</v>
      </c>
      <c r="F3338" s="47">
        <v>151.0</v>
      </c>
      <c r="G3338" s="47">
        <v>5.02</v>
      </c>
      <c r="H3338" s="47">
        <v>30.1</v>
      </c>
      <c r="I3338" s="47" t="s">
        <v>75</v>
      </c>
    </row>
    <row r="3339" ht="15.75" customHeight="1">
      <c r="A3339" s="47" t="s">
        <v>6882</v>
      </c>
      <c r="B3339" s="47" t="s">
        <v>3624</v>
      </c>
      <c r="C3339" s="47" t="s">
        <v>7759</v>
      </c>
      <c r="D3339" s="47" t="s">
        <v>225</v>
      </c>
      <c r="E3339" s="47" t="s">
        <v>387</v>
      </c>
      <c r="F3339" s="47">
        <v>176.0</v>
      </c>
      <c r="G3339" s="47">
        <v>5.85</v>
      </c>
      <c r="H3339" s="47">
        <v>30.1</v>
      </c>
      <c r="I3339" s="47" t="s">
        <v>75</v>
      </c>
    </row>
    <row r="3340" ht="15.75" customHeight="1">
      <c r="A3340" s="47" t="s">
        <v>6883</v>
      </c>
      <c r="B3340" s="47" t="s">
        <v>6884</v>
      </c>
      <c r="C3340" s="47" t="s">
        <v>7759</v>
      </c>
      <c r="D3340" s="47" t="s">
        <v>121</v>
      </c>
      <c r="E3340" s="47" t="s">
        <v>325</v>
      </c>
      <c r="F3340" s="47">
        <v>501.0</v>
      </c>
      <c r="G3340" s="47">
        <v>8.43</v>
      </c>
      <c r="H3340" s="47">
        <v>59.4</v>
      </c>
      <c r="I3340" s="47" t="s">
        <v>62</v>
      </c>
    </row>
    <row r="3341" ht="15.75" customHeight="1">
      <c r="A3341" s="47" t="s">
        <v>6885</v>
      </c>
      <c r="B3341" s="47" t="s">
        <v>881</v>
      </c>
      <c r="C3341" s="47" t="s">
        <v>7759</v>
      </c>
      <c r="D3341" s="47" t="s">
        <v>218</v>
      </c>
      <c r="E3341" s="47" t="s">
        <v>374</v>
      </c>
      <c r="F3341" s="47">
        <v>163.0</v>
      </c>
      <c r="G3341" s="47">
        <v>6.25</v>
      </c>
      <c r="H3341" s="47">
        <v>26.1</v>
      </c>
      <c r="I3341" s="47" t="s">
        <v>75</v>
      </c>
    </row>
    <row r="3342" ht="15.75" customHeight="1">
      <c r="A3342" s="47" t="s">
        <v>6886</v>
      </c>
      <c r="B3342" s="47" t="s">
        <v>6887</v>
      </c>
      <c r="C3342" s="47" t="s">
        <v>7759</v>
      </c>
      <c r="D3342" s="47" t="s">
        <v>230</v>
      </c>
      <c r="E3342" s="47" t="s">
        <v>402</v>
      </c>
      <c r="F3342" s="47">
        <v>163.0</v>
      </c>
      <c r="G3342" s="47">
        <v>3.06</v>
      </c>
      <c r="H3342" s="47">
        <v>53.3</v>
      </c>
      <c r="I3342" s="47" t="s">
        <v>75</v>
      </c>
    </row>
    <row r="3343" ht="15.75" customHeight="1">
      <c r="A3343" s="47" t="s">
        <v>6888</v>
      </c>
      <c r="B3343" s="47" t="s">
        <v>6889</v>
      </c>
      <c r="C3343" s="47" t="s">
        <v>7759</v>
      </c>
      <c r="D3343" s="47" t="s">
        <v>218</v>
      </c>
      <c r="E3343" s="47" t="s">
        <v>374</v>
      </c>
      <c r="F3343" s="47">
        <v>193.0</v>
      </c>
      <c r="G3343" s="47">
        <v>5.66</v>
      </c>
      <c r="H3343" s="47">
        <v>34.1</v>
      </c>
      <c r="I3343" s="47" t="s">
        <v>75</v>
      </c>
    </row>
    <row r="3344" ht="15.75" customHeight="1">
      <c r="A3344" s="47" t="s">
        <v>6890</v>
      </c>
      <c r="B3344" s="47" t="s">
        <v>6891</v>
      </c>
      <c r="C3344" s="47" t="s">
        <v>7759</v>
      </c>
      <c r="D3344" s="47" t="s">
        <v>148</v>
      </c>
      <c r="E3344" s="47" t="s">
        <v>360</v>
      </c>
      <c r="F3344" s="47">
        <v>125.0</v>
      </c>
      <c r="G3344" s="47">
        <v>4.28</v>
      </c>
      <c r="H3344" s="47">
        <v>29.2</v>
      </c>
      <c r="I3344" s="47" t="s">
        <v>75</v>
      </c>
    </row>
    <row r="3345" ht="15.75" customHeight="1">
      <c r="A3345" s="47" t="s">
        <v>6892</v>
      </c>
      <c r="B3345" s="47" t="s">
        <v>6893</v>
      </c>
      <c r="C3345" s="47" t="s">
        <v>7759</v>
      </c>
      <c r="D3345" s="47" t="s">
        <v>210</v>
      </c>
      <c r="E3345" s="47" t="s">
        <v>537</v>
      </c>
      <c r="F3345" s="47">
        <v>558.0</v>
      </c>
      <c r="G3345" s="47">
        <v>4.79</v>
      </c>
      <c r="H3345" s="47">
        <v>116.5</v>
      </c>
      <c r="I3345" s="47" t="s">
        <v>62</v>
      </c>
    </row>
    <row r="3346" ht="15.75" customHeight="1">
      <c r="A3346" s="47" t="s">
        <v>6894</v>
      </c>
      <c r="B3346" s="47" t="s">
        <v>6895</v>
      </c>
      <c r="C3346" s="47" t="s">
        <v>7759</v>
      </c>
      <c r="D3346" s="47" t="s">
        <v>207</v>
      </c>
      <c r="E3346" s="47" t="s">
        <v>534</v>
      </c>
      <c r="F3346" s="47">
        <v>250.0</v>
      </c>
      <c r="G3346" s="47">
        <v>5.64</v>
      </c>
      <c r="H3346" s="47">
        <v>44.3</v>
      </c>
      <c r="I3346" s="47" t="s">
        <v>75</v>
      </c>
    </row>
    <row r="3347" ht="15.75" customHeight="1">
      <c r="A3347" s="47" t="s">
        <v>6896</v>
      </c>
      <c r="B3347" s="47" t="s">
        <v>6897</v>
      </c>
      <c r="C3347" s="47" t="s">
        <v>7759</v>
      </c>
      <c r="D3347" s="47" t="s">
        <v>229</v>
      </c>
      <c r="E3347" s="47" t="s">
        <v>400</v>
      </c>
      <c r="F3347" s="47">
        <v>166.0</v>
      </c>
      <c r="G3347" s="47">
        <v>12.76</v>
      </c>
      <c r="H3347" s="47">
        <v>13.0</v>
      </c>
      <c r="I3347" s="47" t="s">
        <v>75</v>
      </c>
    </row>
    <row r="3348" ht="15.75" customHeight="1">
      <c r="A3348" s="47" t="s">
        <v>6898</v>
      </c>
      <c r="B3348" s="47" t="s">
        <v>6899</v>
      </c>
      <c r="C3348" s="47" t="s">
        <v>7759</v>
      </c>
      <c r="D3348" s="47" t="s">
        <v>230</v>
      </c>
      <c r="E3348" s="47" t="s">
        <v>402</v>
      </c>
      <c r="F3348" s="47">
        <v>158.0</v>
      </c>
      <c r="G3348" s="47">
        <v>5.66</v>
      </c>
      <c r="H3348" s="47">
        <v>27.9</v>
      </c>
      <c r="I3348" s="47" t="s">
        <v>75</v>
      </c>
    </row>
    <row r="3349" ht="15.75" customHeight="1">
      <c r="A3349" s="47" t="s">
        <v>6900</v>
      </c>
      <c r="B3349" s="47" t="s">
        <v>6901</v>
      </c>
      <c r="C3349" s="47" t="s">
        <v>7759</v>
      </c>
      <c r="D3349" s="47" t="s">
        <v>229</v>
      </c>
      <c r="E3349" s="47" t="s">
        <v>400</v>
      </c>
      <c r="F3349" s="47">
        <v>211.0</v>
      </c>
      <c r="G3349" s="47">
        <v>3.53</v>
      </c>
      <c r="H3349" s="47">
        <v>59.8</v>
      </c>
      <c r="I3349" s="47" t="s">
        <v>75</v>
      </c>
    </row>
    <row r="3350" ht="15.75" customHeight="1">
      <c r="A3350" s="47" t="s">
        <v>6902</v>
      </c>
      <c r="B3350" s="47" t="s">
        <v>6903</v>
      </c>
      <c r="C3350" s="47" t="s">
        <v>7759</v>
      </c>
      <c r="D3350" s="47" t="s">
        <v>229</v>
      </c>
      <c r="E3350" s="47" t="s">
        <v>400</v>
      </c>
      <c r="F3350" s="47">
        <v>104.0</v>
      </c>
      <c r="G3350" s="47">
        <v>3.42</v>
      </c>
      <c r="H3350" s="47">
        <v>30.4</v>
      </c>
      <c r="I3350" s="47" t="s">
        <v>75</v>
      </c>
    </row>
    <row r="3351" ht="15.75" customHeight="1">
      <c r="A3351" s="47" t="s">
        <v>6904</v>
      </c>
      <c r="B3351" s="47" t="s">
        <v>6905</v>
      </c>
      <c r="C3351" s="47" t="s">
        <v>7759</v>
      </c>
      <c r="D3351" s="47" t="s">
        <v>229</v>
      </c>
      <c r="E3351" s="47" t="s">
        <v>400</v>
      </c>
      <c r="F3351" s="47">
        <v>96.0</v>
      </c>
      <c r="G3351" s="47">
        <v>3.99</v>
      </c>
      <c r="H3351" s="47">
        <v>24.1</v>
      </c>
      <c r="I3351" s="47" t="s">
        <v>75</v>
      </c>
    </row>
    <row r="3352" ht="15.75" customHeight="1">
      <c r="A3352" s="47" t="s">
        <v>6906</v>
      </c>
      <c r="B3352" s="47" t="s">
        <v>6907</v>
      </c>
      <c r="C3352" s="47" t="s">
        <v>7759</v>
      </c>
      <c r="D3352" s="47" t="s">
        <v>229</v>
      </c>
      <c r="E3352" s="47" t="s">
        <v>400</v>
      </c>
      <c r="F3352" s="47">
        <v>223.0</v>
      </c>
      <c r="G3352" s="47">
        <v>8.12</v>
      </c>
      <c r="H3352" s="47">
        <v>27.5</v>
      </c>
      <c r="I3352" s="47" t="s">
        <v>75</v>
      </c>
    </row>
    <row r="3353" ht="15.75" customHeight="1">
      <c r="A3353" s="47" t="s">
        <v>6908</v>
      </c>
      <c r="B3353" s="47" t="s">
        <v>6909</v>
      </c>
      <c r="C3353" s="47" t="s">
        <v>7759</v>
      </c>
      <c r="D3353" s="47" t="s">
        <v>148</v>
      </c>
      <c r="E3353" s="47" t="s">
        <v>360</v>
      </c>
      <c r="F3353" s="47">
        <v>138.0</v>
      </c>
      <c r="G3353" s="47">
        <v>3.84</v>
      </c>
      <c r="H3353" s="47">
        <v>35.9</v>
      </c>
      <c r="I3353" s="47" t="s">
        <v>75</v>
      </c>
    </row>
    <row r="3354" ht="15.75" customHeight="1">
      <c r="A3354" s="47" t="s">
        <v>6910</v>
      </c>
      <c r="B3354" s="47" t="s">
        <v>6911</v>
      </c>
      <c r="C3354" s="47" t="s">
        <v>7759</v>
      </c>
      <c r="D3354" s="47" t="s">
        <v>185</v>
      </c>
      <c r="E3354" s="47" t="s">
        <v>485</v>
      </c>
      <c r="F3354" s="47">
        <v>286.0</v>
      </c>
      <c r="G3354" s="47">
        <v>7.71</v>
      </c>
      <c r="H3354" s="47">
        <v>37.1</v>
      </c>
      <c r="I3354" s="47" t="s">
        <v>75</v>
      </c>
    </row>
    <row r="3355" ht="15.75" customHeight="1">
      <c r="A3355" s="47" t="s">
        <v>6912</v>
      </c>
      <c r="B3355" s="47" t="s">
        <v>6913</v>
      </c>
      <c r="C3355" s="47" t="s">
        <v>7759</v>
      </c>
      <c r="D3355" s="47" t="s">
        <v>212</v>
      </c>
      <c r="E3355" s="47" t="s">
        <v>549</v>
      </c>
      <c r="F3355" s="47">
        <v>2045.0</v>
      </c>
      <c r="G3355" s="47">
        <v>8.7</v>
      </c>
      <c r="H3355" s="47">
        <v>235.1</v>
      </c>
      <c r="I3355" s="47" t="s">
        <v>142</v>
      </c>
    </row>
    <row r="3356" ht="15.75" customHeight="1">
      <c r="A3356" s="47" t="s">
        <v>6914</v>
      </c>
      <c r="B3356" s="47" t="s">
        <v>6915</v>
      </c>
      <c r="C3356" s="47" t="s">
        <v>7759</v>
      </c>
      <c r="D3356" s="47" t="s">
        <v>229</v>
      </c>
      <c r="E3356" s="47" t="s">
        <v>400</v>
      </c>
      <c r="F3356" s="47">
        <v>69.0</v>
      </c>
      <c r="G3356" s="47">
        <v>5.29</v>
      </c>
      <c r="H3356" s="47">
        <v>13.0</v>
      </c>
      <c r="I3356" s="47" t="s">
        <v>75</v>
      </c>
    </row>
    <row r="3357" ht="15.75" customHeight="1">
      <c r="A3357" s="47" t="s">
        <v>6916</v>
      </c>
      <c r="B3357" s="47" t="s">
        <v>6917</v>
      </c>
      <c r="C3357" s="47" t="s">
        <v>7759</v>
      </c>
      <c r="D3357" s="47" t="s">
        <v>216</v>
      </c>
      <c r="E3357" s="47" t="s">
        <v>371</v>
      </c>
      <c r="F3357" s="47">
        <v>296.0</v>
      </c>
      <c r="G3357" s="47">
        <v>7.46</v>
      </c>
      <c r="H3357" s="47">
        <v>39.7</v>
      </c>
      <c r="I3357" s="47" t="s">
        <v>75</v>
      </c>
    </row>
    <row r="3358" ht="15.75" customHeight="1">
      <c r="A3358" s="47" t="s">
        <v>6918</v>
      </c>
      <c r="B3358" s="47" t="s">
        <v>6919</v>
      </c>
      <c r="C3358" s="47" t="s">
        <v>7759</v>
      </c>
      <c r="D3358" s="47" t="s">
        <v>178</v>
      </c>
      <c r="E3358" s="47" t="s">
        <v>475</v>
      </c>
      <c r="F3358" s="47">
        <v>695.0</v>
      </c>
      <c r="G3358" s="47">
        <v>4.18</v>
      </c>
      <c r="H3358" s="47">
        <v>166.3</v>
      </c>
      <c r="I3358" s="47" t="s">
        <v>62</v>
      </c>
    </row>
    <row r="3359" ht="15.75" customHeight="1">
      <c r="A3359" s="47" t="s">
        <v>6920</v>
      </c>
      <c r="B3359" s="47" t="s">
        <v>6921</v>
      </c>
      <c r="C3359" s="47" t="s">
        <v>7759</v>
      </c>
      <c r="D3359" s="47" t="s">
        <v>229</v>
      </c>
      <c r="E3359" s="47" t="s">
        <v>400</v>
      </c>
      <c r="F3359" s="47">
        <v>177.0</v>
      </c>
      <c r="G3359" s="47">
        <v>5.63</v>
      </c>
      <c r="H3359" s="47">
        <v>31.4</v>
      </c>
      <c r="I3359" s="47" t="s">
        <v>75</v>
      </c>
    </row>
    <row r="3360" ht="15.75" customHeight="1">
      <c r="A3360" s="47" t="s">
        <v>6922</v>
      </c>
      <c r="B3360" s="47" t="s">
        <v>6923</v>
      </c>
      <c r="C3360" s="47" t="s">
        <v>7759</v>
      </c>
      <c r="D3360" s="47" t="s">
        <v>197</v>
      </c>
      <c r="E3360" s="47" t="s">
        <v>517</v>
      </c>
      <c r="F3360" s="47">
        <v>457.0</v>
      </c>
      <c r="G3360" s="47">
        <v>11.38</v>
      </c>
      <c r="H3360" s="47">
        <v>40.2</v>
      </c>
      <c r="I3360" s="47" t="s">
        <v>75</v>
      </c>
    </row>
    <row r="3361" ht="15.75" customHeight="1">
      <c r="A3361" s="47" t="s">
        <v>6924</v>
      </c>
      <c r="B3361" s="47" t="s">
        <v>6925</v>
      </c>
      <c r="C3361" s="47" t="s">
        <v>7759</v>
      </c>
      <c r="D3361" s="47" t="s">
        <v>197</v>
      </c>
      <c r="E3361" s="47" t="s">
        <v>517</v>
      </c>
      <c r="F3361" s="47">
        <v>176.0</v>
      </c>
      <c r="G3361" s="47">
        <v>6.2</v>
      </c>
      <c r="H3361" s="47">
        <v>28.4</v>
      </c>
      <c r="I3361" s="47" t="s">
        <v>75</v>
      </c>
    </row>
    <row r="3362" ht="15.75" customHeight="1">
      <c r="A3362" s="47" t="s">
        <v>6926</v>
      </c>
      <c r="B3362" s="47" t="s">
        <v>6927</v>
      </c>
      <c r="C3362" s="47" t="s">
        <v>7759</v>
      </c>
      <c r="D3362" s="47" t="s">
        <v>212</v>
      </c>
      <c r="E3362" s="47" t="s">
        <v>549</v>
      </c>
      <c r="F3362" s="47">
        <v>4306.0</v>
      </c>
      <c r="G3362" s="47">
        <v>8.83</v>
      </c>
      <c r="H3362" s="47">
        <v>487.7</v>
      </c>
      <c r="I3362" s="47" t="s">
        <v>142</v>
      </c>
    </row>
    <row r="3363" ht="15.75" customHeight="1">
      <c r="A3363" s="47" t="s">
        <v>6928</v>
      </c>
      <c r="B3363" s="47" t="s">
        <v>6929</v>
      </c>
      <c r="C3363" s="47" t="s">
        <v>7759</v>
      </c>
      <c r="D3363" s="47" t="s">
        <v>207</v>
      </c>
      <c r="E3363" s="47" t="s">
        <v>534</v>
      </c>
      <c r="F3363" s="47">
        <v>244.0</v>
      </c>
      <c r="G3363" s="47">
        <v>7.1</v>
      </c>
      <c r="H3363" s="47">
        <v>34.4</v>
      </c>
      <c r="I3363" s="47" t="s">
        <v>75</v>
      </c>
    </row>
    <row r="3364" ht="15.75" customHeight="1">
      <c r="A3364" s="47" t="s">
        <v>6930</v>
      </c>
      <c r="B3364" s="47" t="s">
        <v>6931</v>
      </c>
      <c r="C3364" s="47" t="s">
        <v>7759</v>
      </c>
      <c r="D3364" s="47" t="s">
        <v>225</v>
      </c>
      <c r="E3364" s="47" t="s">
        <v>387</v>
      </c>
      <c r="F3364" s="47">
        <v>96.0</v>
      </c>
      <c r="G3364" s="47">
        <v>2.79</v>
      </c>
      <c r="H3364" s="47">
        <v>34.4</v>
      </c>
      <c r="I3364" s="47" t="s">
        <v>75</v>
      </c>
    </row>
    <row r="3365" ht="15.75" customHeight="1">
      <c r="A3365" s="47" t="s">
        <v>6932</v>
      </c>
      <c r="B3365" s="47" t="s">
        <v>6933</v>
      </c>
      <c r="C3365" s="47" t="s">
        <v>7759</v>
      </c>
      <c r="D3365" s="47" t="s">
        <v>121</v>
      </c>
      <c r="E3365" s="47" t="s">
        <v>325</v>
      </c>
      <c r="F3365" s="47">
        <v>121.0</v>
      </c>
      <c r="G3365" s="47">
        <v>5.2</v>
      </c>
      <c r="H3365" s="47">
        <v>23.3</v>
      </c>
      <c r="I3365" s="47" t="s">
        <v>75</v>
      </c>
    </row>
    <row r="3366" ht="15.75" customHeight="1">
      <c r="A3366" s="47" t="s">
        <v>6934</v>
      </c>
      <c r="B3366" s="47" t="s">
        <v>6935</v>
      </c>
      <c r="C3366" s="47" t="s">
        <v>7759</v>
      </c>
      <c r="D3366" s="47" t="s">
        <v>178</v>
      </c>
      <c r="E3366" s="47" t="s">
        <v>475</v>
      </c>
      <c r="F3366" s="47">
        <v>2397.0</v>
      </c>
      <c r="G3366" s="47">
        <v>9.88</v>
      </c>
      <c r="H3366" s="47">
        <v>242.6</v>
      </c>
      <c r="I3366" s="47" t="s">
        <v>142</v>
      </c>
    </row>
    <row r="3367" ht="15.75" customHeight="1">
      <c r="A3367" s="47" t="s">
        <v>6936</v>
      </c>
      <c r="B3367" s="47" t="s">
        <v>6937</v>
      </c>
      <c r="C3367" s="47" t="s">
        <v>7759</v>
      </c>
      <c r="D3367" s="47" t="s">
        <v>225</v>
      </c>
      <c r="E3367" s="47" t="s">
        <v>387</v>
      </c>
      <c r="F3367" s="47">
        <v>270.0</v>
      </c>
      <c r="G3367" s="47">
        <v>11.39</v>
      </c>
      <c r="H3367" s="47">
        <v>23.7</v>
      </c>
      <c r="I3367" s="47" t="s">
        <v>75</v>
      </c>
    </row>
    <row r="3368" ht="15.75" customHeight="1">
      <c r="A3368" s="47" t="s">
        <v>6938</v>
      </c>
      <c r="B3368" s="47" t="s">
        <v>6939</v>
      </c>
      <c r="C3368" s="47" t="s">
        <v>7759</v>
      </c>
      <c r="D3368" s="47" t="s">
        <v>229</v>
      </c>
      <c r="E3368" s="47" t="s">
        <v>400</v>
      </c>
      <c r="F3368" s="47">
        <v>327.0</v>
      </c>
      <c r="G3368" s="47">
        <v>7.37</v>
      </c>
      <c r="H3368" s="47">
        <v>44.4</v>
      </c>
      <c r="I3368" s="47" t="s">
        <v>75</v>
      </c>
    </row>
    <row r="3369" ht="15.75" customHeight="1">
      <c r="A3369" s="47" t="s">
        <v>6940</v>
      </c>
      <c r="B3369" s="47" t="s">
        <v>6941</v>
      </c>
      <c r="C3369" s="47" t="s">
        <v>7759</v>
      </c>
      <c r="D3369" s="47" t="s">
        <v>210</v>
      </c>
      <c r="E3369" s="47" t="s">
        <v>537</v>
      </c>
      <c r="F3369" s="47">
        <v>627.0</v>
      </c>
      <c r="G3369" s="47">
        <v>5.57</v>
      </c>
      <c r="H3369" s="47">
        <v>112.6</v>
      </c>
      <c r="I3369" s="47" t="s">
        <v>62</v>
      </c>
    </row>
    <row r="3370" ht="15.75" customHeight="1">
      <c r="A3370" s="47" t="s">
        <v>6942</v>
      </c>
      <c r="B3370" s="47" t="s">
        <v>6943</v>
      </c>
      <c r="C3370" s="47" t="s">
        <v>7759</v>
      </c>
      <c r="D3370" s="47" t="s">
        <v>207</v>
      </c>
      <c r="E3370" s="47" t="s">
        <v>534</v>
      </c>
      <c r="F3370" s="47">
        <v>399.0</v>
      </c>
      <c r="G3370" s="47">
        <v>6.99</v>
      </c>
      <c r="H3370" s="47">
        <v>57.1</v>
      </c>
      <c r="I3370" s="47" t="s">
        <v>75</v>
      </c>
    </row>
    <row r="3371" ht="15.75" customHeight="1">
      <c r="A3371" s="47" t="s">
        <v>6944</v>
      </c>
      <c r="B3371" s="47" t="s">
        <v>6945</v>
      </c>
      <c r="C3371" s="47" t="s">
        <v>7759</v>
      </c>
      <c r="D3371" s="47" t="s">
        <v>158</v>
      </c>
      <c r="E3371" s="47" t="s">
        <v>427</v>
      </c>
      <c r="F3371" s="47">
        <v>75.0</v>
      </c>
      <c r="G3371" s="47">
        <v>5.94</v>
      </c>
      <c r="H3371" s="47">
        <v>12.6</v>
      </c>
      <c r="I3371" s="47" t="s">
        <v>75</v>
      </c>
    </row>
    <row r="3372" ht="15.75" customHeight="1">
      <c r="A3372" s="47" t="s">
        <v>6946</v>
      </c>
      <c r="B3372" s="47" t="s">
        <v>6947</v>
      </c>
      <c r="C3372" s="47" t="s">
        <v>7759</v>
      </c>
      <c r="D3372" s="47" t="s">
        <v>41</v>
      </c>
      <c r="E3372" s="47" t="s">
        <v>35</v>
      </c>
      <c r="F3372" s="47">
        <v>791.0</v>
      </c>
      <c r="G3372" s="47">
        <v>5.5</v>
      </c>
      <c r="H3372" s="47">
        <v>143.8</v>
      </c>
      <c r="I3372" s="47" t="s">
        <v>62</v>
      </c>
    </row>
    <row r="3373" ht="15.75" customHeight="1">
      <c r="A3373" s="47" t="s">
        <v>6948</v>
      </c>
      <c r="B3373" s="47" t="s">
        <v>6949</v>
      </c>
      <c r="C3373" s="47" t="s">
        <v>7759</v>
      </c>
      <c r="D3373" s="47" t="s">
        <v>225</v>
      </c>
      <c r="E3373" s="47" t="s">
        <v>387</v>
      </c>
      <c r="F3373" s="47">
        <v>234.0</v>
      </c>
      <c r="G3373" s="47">
        <v>6.25</v>
      </c>
      <c r="H3373" s="47">
        <v>37.4</v>
      </c>
      <c r="I3373" s="47" t="s">
        <v>75</v>
      </c>
    </row>
    <row r="3374" ht="15.75" customHeight="1">
      <c r="A3374" s="47" t="s">
        <v>6950</v>
      </c>
      <c r="B3374" s="47" t="s">
        <v>6951</v>
      </c>
      <c r="C3374" s="47" t="s">
        <v>7759</v>
      </c>
      <c r="D3374" s="47" t="s">
        <v>207</v>
      </c>
      <c r="E3374" s="47" t="s">
        <v>534</v>
      </c>
      <c r="F3374" s="47">
        <v>40.0</v>
      </c>
      <c r="G3374" s="47">
        <v>4.87</v>
      </c>
      <c r="H3374" s="47">
        <v>8.2</v>
      </c>
      <c r="I3374" s="47" t="s">
        <v>75</v>
      </c>
    </row>
    <row r="3375" ht="15.75" customHeight="1">
      <c r="A3375" s="47" t="s">
        <v>6952</v>
      </c>
      <c r="B3375" s="47" t="s">
        <v>6953</v>
      </c>
      <c r="C3375" s="47" t="s">
        <v>7759</v>
      </c>
      <c r="D3375" s="47" t="s">
        <v>185</v>
      </c>
      <c r="E3375" s="47" t="s">
        <v>485</v>
      </c>
      <c r="F3375" s="47">
        <v>99.0</v>
      </c>
      <c r="G3375" s="47">
        <v>5.45</v>
      </c>
      <c r="H3375" s="47">
        <v>18.2</v>
      </c>
      <c r="I3375" s="47" t="s">
        <v>75</v>
      </c>
    </row>
    <row r="3376" ht="15.75" customHeight="1">
      <c r="A3376" s="47" t="s">
        <v>6954</v>
      </c>
      <c r="B3376" s="47" t="s">
        <v>6955</v>
      </c>
      <c r="C3376" s="47" t="s">
        <v>7759</v>
      </c>
      <c r="D3376" s="47" t="s">
        <v>197</v>
      </c>
      <c r="E3376" s="47" t="s">
        <v>517</v>
      </c>
      <c r="F3376" s="47">
        <v>178.0</v>
      </c>
      <c r="G3376" s="47">
        <v>8.39</v>
      </c>
      <c r="H3376" s="47">
        <v>21.2</v>
      </c>
      <c r="I3376" s="47" t="s">
        <v>75</v>
      </c>
    </row>
    <row r="3377" ht="15.75" customHeight="1">
      <c r="A3377" s="47" t="s">
        <v>6956</v>
      </c>
      <c r="B3377" s="47" t="s">
        <v>6957</v>
      </c>
      <c r="C3377" s="47" t="s">
        <v>7759</v>
      </c>
      <c r="D3377" s="47" t="s">
        <v>121</v>
      </c>
      <c r="E3377" s="47" t="s">
        <v>325</v>
      </c>
      <c r="F3377" s="47">
        <v>465.0</v>
      </c>
      <c r="G3377" s="47">
        <v>9.09</v>
      </c>
      <c r="H3377" s="47">
        <v>51.2</v>
      </c>
      <c r="I3377" s="47" t="s">
        <v>75</v>
      </c>
    </row>
    <row r="3378" ht="15.75" customHeight="1">
      <c r="A3378" s="47" t="s">
        <v>6958</v>
      </c>
      <c r="B3378" s="47" t="s">
        <v>6959</v>
      </c>
      <c r="C3378" s="47" t="s">
        <v>7759</v>
      </c>
      <c r="D3378" s="47" t="s">
        <v>185</v>
      </c>
      <c r="E3378" s="47" t="s">
        <v>485</v>
      </c>
      <c r="F3378" s="47">
        <v>175.0</v>
      </c>
      <c r="G3378" s="47">
        <v>5.33</v>
      </c>
      <c r="H3378" s="47">
        <v>32.8</v>
      </c>
      <c r="I3378" s="47" t="s">
        <v>75</v>
      </c>
    </row>
    <row r="3379" ht="15.75" customHeight="1">
      <c r="A3379" s="47" t="s">
        <v>6960</v>
      </c>
      <c r="B3379" s="47" t="s">
        <v>6961</v>
      </c>
      <c r="C3379" s="47" t="s">
        <v>7759</v>
      </c>
      <c r="D3379" s="47" t="s">
        <v>41</v>
      </c>
      <c r="E3379" s="47" t="s">
        <v>35</v>
      </c>
      <c r="F3379" s="47">
        <v>321.0</v>
      </c>
      <c r="G3379" s="47">
        <v>6.4</v>
      </c>
      <c r="H3379" s="47">
        <v>50.2</v>
      </c>
      <c r="I3379" s="47" t="s">
        <v>75</v>
      </c>
    </row>
    <row r="3380" ht="15.75" customHeight="1">
      <c r="A3380" s="47" t="s">
        <v>6962</v>
      </c>
      <c r="B3380" s="47" t="s">
        <v>6963</v>
      </c>
      <c r="C3380" s="47" t="s">
        <v>7759</v>
      </c>
      <c r="D3380" s="47" t="s">
        <v>212</v>
      </c>
      <c r="E3380" s="47" t="s">
        <v>549</v>
      </c>
      <c r="F3380" s="47">
        <v>204.0</v>
      </c>
      <c r="G3380" s="47">
        <v>2.6</v>
      </c>
      <c r="H3380" s="47">
        <v>78.5</v>
      </c>
      <c r="I3380" s="47" t="s">
        <v>75</v>
      </c>
    </row>
    <row r="3381" ht="15.75" customHeight="1">
      <c r="A3381" s="47" t="s">
        <v>6964</v>
      </c>
      <c r="B3381" s="47" t="s">
        <v>6965</v>
      </c>
      <c r="C3381" s="47" t="s">
        <v>7759</v>
      </c>
      <c r="D3381" s="47" t="s">
        <v>148</v>
      </c>
      <c r="E3381" s="47" t="s">
        <v>360</v>
      </c>
      <c r="F3381" s="47">
        <v>409.0</v>
      </c>
      <c r="G3381" s="47">
        <v>18.83</v>
      </c>
      <c r="H3381" s="47">
        <v>21.7</v>
      </c>
      <c r="I3381" s="47" t="s">
        <v>75</v>
      </c>
    </row>
    <row r="3382" ht="15.75" customHeight="1">
      <c r="A3382" s="47" t="s">
        <v>6966</v>
      </c>
      <c r="B3382" s="47" t="s">
        <v>6967</v>
      </c>
      <c r="C3382" s="47" t="s">
        <v>7759</v>
      </c>
      <c r="D3382" s="47" t="s">
        <v>185</v>
      </c>
      <c r="E3382" s="47" t="s">
        <v>485</v>
      </c>
      <c r="F3382" s="47">
        <v>91.0</v>
      </c>
      <c r="G3382" s="47">
        <v>3.41</v>
      </c>
      <c r="H3382" s="47">
        <v>26.7</v>
      </c>
      <c r="I3382" s="47" t="s">
        <v>75</v>
      </c>
    </row>
    <row r="3383" ht="15.75" customHeight="1">
      <c r="A3383" s="47" t="s">
        <v>6968</v>
      </c>
      <c r="B3383" s="47" t="s">
        <v>6969</v>
      </c>
      <c r="C3383" s="47" t="s">
        <v>7759</v>
      </c>
      <c r="D3383" s="47" t="s">
        <v>207</v>
      </c>
      <c r="E3383" s="47" t="s">
        <v>534</v>
      </c>
      <c r="F3383" s="47">
        <v>572.0</v>
      </c>
      <c r="G3383" s="47">
        <v>9.0</v>
      </c>
      <c r="H3383" s="47">
        <v>63.6</v>
      </c>
      <c r="I3383" s="47" t="s">
        <v>62</v>
      </c>
    </row>
    <row r="3384" ht="15.75" customHeight="1">
      <c r="A3384" s="47" t="s">
        <v>6970</v>
      </c>
      <c r="B3384" s="47" t="s">
        <v>6971</v>
      </c>
      <c r="C3384" s="47" t="s">
        <v>7759</v>
      </c>
      <c r="D3384" s="47" t="s">
        <v>185</v>
      </c>
      <c r="E3384" s="47" t="s">
        <v>485</v>
      </c>
      <c r="F3384" s="47">
        <v>303.0</v>
      </c>
      <c r="G3384" s="47">
        <v>7.06</v>
      </c>
      <c r="H3384" s="47">
        <v>42.9</v>
      </c>
      <c r="I3384" s="47" t="s">
        <v>75</v>
      </c>
    </row>
    <row r="3385" ht="15.75" customHeight="1">
      <c r="A3385" s="47" t="s">
        <v>6972</v>
      </c>
      <c r="B3385" s="47" t="s">
        <v>6973</v>
      </c>
      <c r="C3385" s="47" t="s">
        <v>7759</v>
      </c>
      <c r="D3385" s="47" t="s">
        <v>185</v>
      </c>
      <c r="E3385" s="47" t="s">
        <v>485</v>
      </c>
      <c r="F3385" s="47">
        <v>275.0</v>
      </c>
      <c r="G3385" s="47">
        <v>8.31</v>
      </c>
      <c r="H3385" s="47">
        <v>33.1</v>
      </c>
      <c r="I3385" s="47" t="s">
        <v>75</v>
      </c>
    </row>
    <row r="3386" ht="15.75" customHeight="1">
      <c r="A3386" s="47" t="s">
        <v>6974</v>
      </c>
      <c r="B3386" s="47" t="s">
        <v>6975</v>
      </c>
      <c r="C3386" s="47" t="s">
        <v>7759</v>
      </c>
      <c r="D3386" s="47" t="s">
        <v>225</v>
      </c>
      <c r="E3386" s="47" t="s">
        <v>387</v>
      </c>
      <c r="F3386" s="47">
        <v>361.0</v>
      </c>
      <c r="G3386" s="47">
        <v>12.91</v>
      </c>
      <c r="H3386" s="47">
        <v>28.0</v>
      </c>
      <c r="I3386" s="47" t="s">
        <v>75</v>
      </c>
    </row>
    <row r="3387" ht="15.75" customHeight="1">
      <c r="A3387" s="47" t="s">
        <v>6976</v>
      </c>
      <c r="B3387" s="47" t="s">
        <v>6977</v>
      </c>
      <c r="C3387" s="47" t="s">
        <v>7759</v>
      </c>
      <c r="D3387" s="47" t="s">
        <v>158</v>
      </c>
      <c r="E3387" s="47" t="s">
        <v>427</v>
      </c>
      <c r="F3387" s="47">
        <v>101.0</v>
      </c>
      <c r="G3387" s="47">
        <v>4.89</v>
      </c>
      <c r="H3387" s="47">
        <v>20.7</v>
      </c>
      <c r="I3387" s="47" t="s">
        <v>75</v>
      </c>
    </row>
    <row r="3388" ht="15.75" customHeight="1">
      <c r="A3388" s="47" t="s">
        <v>6978</v>
      </c>
      <c r="B3388" s="47" t="s">
        <v>6979</v>
      </c>
      <c r="C3388" s="47" t="s">
        <v>7759</v>
      </c>
      <c r="D3388" s="47" t="s">
        <v>41</v>
      </c>
      <c r="E3388" s="47" t="s">
        <v>35</v>
      </c>
      <c r="F3388" s="47">
        <v>386.0</v>
      </c>
      <c r="G3388" s="47">
        <v>4.54</v>
      </c>
      <c r="H3388" s="47">
        <v>85.0</v>
      </c>
      <c r="I3388" s="47" t="s">
        <v>75</v>
      </c>
    </row>
    <row r="3389" ht="15.75" customHeight="1">
      <c r="A3389" s="47" t="s">
        <v>6980</v>
      </c>
      <c r="B3389" s="47" t="s">
        <v>6981</v>
      </c>
      <c r="C3389" s="47" t="s">
        <v>7759</v>
      </c>
      <c r="D3389" s="47" t="s">
        <v>230</v>
      </c>
      <c r="E3389" s="47" t="s">
        <v>402</v>
      </c>
      <c r="F3389" s="47">
        <v>386.0</v>
      </c>
      <c r="G3389" s="47">
        <v>6.4</v>
      </c>
      <c r="H3389" s="47">
        <v>60.3</v>
      </c>
      <c r="I3389" s="47" t="s">
        <v>75</v>
      </c>
    </row>
    <row r="3390" ht="15.75" customHeight="1">
      <c r="A3390" s="47" t="s">
        <v>6982</v>
      </c>
      <c r="B3390" s="47" t="s">
        <v>6983</v>
      </c>
      <c r="C3390" s="47" t="s">
        <v>7759</v>
      </c>
      <c r="D3390" s="47" t="s">
        <v>158</v>
      </c>
      <c r="E3390" s="47" t="s">
        <v>427</v>
      </c>
      <c r="F3390" s="47">
        <v>126.0</v>
      </c>
      <c r="G3390" s="47">
        <v>3.29</v>
      </c>
      <c r="H3390" s="47">
        <v>38.3</v>
      </c>
      <c r="I3390" s="47" t="s">
        <v>75</v>
      </c>
    </row>
    <row r="3391" ht="15.75" customHeight="1">
      <c r="A3391" s="47" t="s">
        <v>6984</v>
      </c>
      <c r="B3391" s="47" t="s">
        <v>6985</v>
      </c>
      <c r="C3391" s="47" t="s">
        <v>7759</v>
      </c>
      <c r="D3391" s="47" t="s">
        <v>229</v>
      </c>
      <c r="E3391" s="47" t="s">
        <v>400</v>
      </c>
      <c r="F3391" s="47">
        <v>113.0</v>
      </c>
      <c r="G3391" s="47">
        <v>5.94</v>
      </c>
      <c r="H3391" s="47">
        <v>19.0</v>
      </c>
      <c r="I3391" s="47" t="s">
        <v>75</v>
      </c>
    </row>
    <row r="3392" ht="15.75" customHeight="1">
      <c r="A3392" s="47" t="s">
        <v>6986</v>
      </c>
      <c r="B3392" s="47" t="s">
        <v>6987</v>
      </c>
      <c r="C3392" s="47" t="s">
        <v>7759</v>
      </c>
      <c r="D3392" s="47" t="s">
        <v>148</v>
      </c>
      <c r="E3392" s="47" t="s">
        <v>360</v>
      </c>
      <c r="F3392" s="47">
        <v>161.0</v>
      </c>
      <c r="G3392" s="47">
        <v>3.85</v>
      </c>
      <c r="H3392" s="47">
        <v>41.8</v>
      </c>
      <c r="I3392" s="47" t="s">
        <v>75</v>
      </c>
    </row>
    <row r="3393" ht="15.75" customHeight="1">
      <c r="A3393" s="47" t="s">
        <v>6988</v>
      </c>
      <c r="B3393" s="47" t="s">
        <v>6989</v>
      </c>
      <c r="C3393" s="47" t="s">
        <v>7759</v>
      </c>
      <c r="D3393" s="47" t="s">
        <v>158</v>
      </c>
      <c r="E3393" s="47" t="s">
        <v>427</v>
      </c>
      <c r="F3393" s="47">
        <v>145.0</v>
      </c>
      <c r="G3393" s="47">
        <v>5.03</v>
      </c>
      <c r="H3393" s="47">
        <v>28.8</v>
      </c>
      <c r="I3393" s="47" t="s">
        <v>75</v>
      </c>
    </row>
    <row r="3394" ht="15.75" customHeight="1">
      <c r="A3394" s="47" t="s">
        <v>6990</v>
      </c>
      <c r="B3394" s="47" t="s">
        <v>6991</v>
      </c>
      <c r="C3394" s="47" t="s">
        <v>7759</v>
      </c>
      <c r="D3394" s="47" t="s">
        <v>148</v>
      </c>
      <c r="E3394" s="47" t="s">
        <v>360</v>
      </c>
      <c r="F3394" s="47">
        <v>404.0</v>
      </c>
      <c r="G3394" s="47">
        <v>5.1</v>
      </c>
      <c r="H3394" s="47">
        <v>79.2</v>
      </c>
      <c r="I3394" s="47" t="s">
        <v>75</v>
      </c>
    </row>
    <row r="3395" ht="15.75" customHeight="1">
      <c r="A3395" s="47" t="s">
        <v>6992</v>
      </c>
      <c r="B3395" s="47" t="s">
        <v>6993</v>
      </c>
      <c r="C3395" s="47" t="s">
        <v>7759</v>
      </c>
      <c r="D3395" s="47" t="s">
        <v>121</v>
      </c>
      <c r="E3395" s="47" t="s">
        <v>325</v>
      </c>
      <c r="F3395" s="47">
        <v>1351.0</v>
      </c>
      <c r="G3395" s="47">
        <v>20.59</v>
      </c>
      <c r="H3395" s="47">
        <v>65.6</v>
      </c>
      <c r="I3395" s="47" t="s">
        <v>62</v>
      </c>
    </row>
    <row r="3396" ht="15.75" customHeight="1">
      <c r="A3396" s="47" t="s">
        <v>6994</v>
      </c>
      <c r="B3396" s="47" t="s">
        <v>6995</v>
      </c>
      <c r="C3396" s="47" t="s">
        <v>7759</v>
      </c>
      <c r="D3396" s="47" t="s">
        <v>148</v>
      </c>
      <c r="E3396" s="47" t="s">
        <v>360</v>
      </c>
      <c r="F3396" s="47">
        <v>142.0</v>
      </c>
      <c r="G3396" s="47">
        <v>7.13</v>
      </c>
      <c r="H3396" s="47">
        <v>19.9</v>
      </c>
      <c r="I3396" s="47" t="s">
        <v>75</v>
      </c>
    </row>
    <row r="3397" ht="15.75" customHeight="1">
      <c r="A3397" s="47" t="s">
        <v>6996</v>
      </c>
      <c r="B3397" s="47" t="s">
        <v>6997</v>
      </c>
      <c r="C3397" s="47" t="s">
        <v>7759</v>
      </c>
      <c r="D3397" s="47" t="s">
        <v>218</v>
      </c>
      <c r="E3397" s="47" t="s">
        <v>374</v>
      </c>
      <c r="F3397" s="47">
        <v>322.0</v>
      </c>
      <c r="G3397" s="47">
        <v>6.18</v>
      </c>
      <c r="H3397" s="47">
        <v>52.1</v>
      </c>
      <c r="I3397" s="47" t="s">
        <v>75</v>
      </c>
    </row>
    <row r="3398" ht="15.75" customHeight="1">
      <c r="A3398" s="47" t="s">
        <v>6998</v>
      </c>
      <c r="B3398" s="47" t="s">
        <v>6999</v>
      </c>
      <c r="C3398" s="47" t="s">
        <v>7759</v>
      </c>
      <c r="D3398" s="47" t="s">
        <v>230</v>
      </c>
      <c r="E3398" s="47" t="s">
        <v>402</v>
      </c>
      <c r="F3398" s="47">
        <v>143.0</v>
      </c>
      <c r="G3398" s="47">
        <v>3.9</v>
      </c>
      <c r="H3398" s="47">
        <v>36.7</v>
      </c>
      <c r="I3398" s="47" t="s">
        <v>75</v>
      </c>
    </row>
    <row r="3399" ht="15.75" customHeight="1">
      <c r="A3399" s="47" t="s">
        <v>7000</v>
      </c>
      <c r="B3399" s="47" t="s">
        <v>7001</v>
      </c>
      <c r="C3399" s="47" t="s">
        <v>7759</v>
      </c>
      <c r="D3399" s="47" t="s">
        <v>152</v>
      </c>
      <c r="E3399" s="47" t="s">
        <v>417</v>
      </c>
      <c r="F3399" s="47">
        <v>4378.0</v>
      </c>
      <c r="G3399" s="47">
        <v>9.63</v>
      </c>
      <c r="H3399" s="47">
        <v>454.6</v>
      </c>
      <c r="I3399" s="47" t="s">
        <v>142</v>
      </c>
    </row>
    <row r="3400" ht="15.75" customHeight="1">
      <c r="A3400" s="47" t="s">
        <v>7002</v>
      </c>
      <c r="B3400" s="47" t="s">
        <v>3708</v>
      </c>
      <c r="C3400" s="47" t="s">
        <v>7759</v>
      </c>
      <c r="D3400" s="47" t="s">
        <v>210</v>
      </c>
      <c r="E3400" s="47" t="s">
        <v>537</v>
      </c>
      <c r="F3400" s="47">
        <v>492.0</v>
      </c>
      <c r="G3400" s="47">
        <v>9.13</v>
      </c>
      <c r="H3400" s="47">
        <v>53.9</v>
      </c>
      <c r="I3400" s="47" t="s">
        <v>75</v>
      </c>
    </row>
    <row r="3401" ht="15.75" customHeight="1">
      <c r="A3401" s="47" t="s">
        <v>7003</v>
      </c>
      <c r="B3401" s="47" t="s">
        <v>7004</v>
      </c>
      <c r="C3401" s="47" t="s">
        <v>7759</v>
      </c>
      <c r="D3401" s="47" t="s">
        <v>210</v>
      </c>
      <c r="E3401" s="47" t="s">
        <v>537</v>
      </c>
      <c r="F3401" s="47">
        <v>624.0</v>
      </c>
      <c r="G3401" s="47">
        <v>5.92</v>
      </c>
      <c r="H3401" s="47">
        <v>105.4</v>
      </c>
      <c r="I3401" s="47" t="s">
        <v>62</v>
      </c>
    </row>
    <row r="3402" ht="15.75" customHeight="1">
      <c r="A3402" s="47" t="s">
        <v>7005</v>
      </c>
      <c r="B3402" s="47" t="s">
        <v>7006</v>
      </c>
      <c r="C3402" s="47" t="s">
        <v>7759</v>
      </c>
      <c r="D3402" s="47" t="s">
        <v>158</v>
      </c>
      <c r="E3402" s="47" t="s">
        <v>427</v>
      </c>
      <c r="F3402" s="47">
        <v>94.0</v>
      </c>
      <c r="G3402" s="47">
        <v>4.09</v>
      </c>
      <c r="H3402" s="47">
        <v>23.0</v>
      </c>
      <c r="I3402" s="47" t="s">
        <v>75</v>
      </c>
    </row>
    <row r="3403" ht="15.75" customHeight="1">
      <c r="A3403" s="47" t="s">
        <v>7007</v>
      </c>
      <c r="B3403" s="47" t="s">
        <v>7008</v>
      </c>
      <c r="C3403" s="47" t="s">
        <v>7759</v>
      </c>
      <c r="D3403" s="47" t="s">
        <v>148</v>
      </c>
      <c r="E3403" s="47" t="s">
        <v>360</v>
      </c>
      <c r="F3403" s="47">
        <v>115.0</v>
      </c>
      <c r="G3403" s="47">
        <v>6.35</v>
      </c>
      <c r="H3403" s="47">
        <v>18.1</v>
      </c>
      <c r="I3403" s="47" t="s">
        <v>75</v>
      </c>
    </row>
    <row r="3404" ht="15.75" customHeight="1">
      <c r="A3404" s="47" t="s">
        <v>7009</v>
      </c>
      <c r="B3404" s="47" t="s">
        <v>7010</v>
      </c>
      <c r="C3404" s="47" t="s">
        <v>7759</v>
      </c>
      <c r="D3404" s="47" t="s">
        <v>148</v>
      </c>
      <c r="E3404" s="47" t="s">
        <v>360</v>
      </c>
      <c r="F3404" s="47">
        <v>1027.0</v>
      </c>
      <c r="G3404" s="47">
        <v>15.12</v>
      </c>
      <c r="H3404" s="47">
        <v>67.9</v>
      </c>
      <c r="I3404" s="47" t="s">
        <v>62</v>
      </c>
    </row>
    <row r="3405" ht="15.75" customHeight="1">
      <c r="A3405" s="47" t="s">
        <v>7011</v>
      </c>
      <c r="B3405" s="47" t="s">
        <v>7012</v>
      </c>
      <c r="C3405" s="47" t="s">
        <v>7759</v>
      </c>
      <c r="D3405" s="47" t="s">
        <v>218</v>
      </c>
      <c r="E3405" s="47" t="s">
        <v>374</v>
      </c>
      <c r="F3405" s="47">
        <v>760.0</v>
      </c>
      <c r="G3405" s="47">
        <v>12.47</v>
      </c>
      <c r="H3405" s="47">
        <v>60.9</v>
      </c>
      <c r="I3405" s="47" t="s">
        <v>62</v>
      </c>
    </row>
    <row r="3406" ht="15.75" customHeight="1">
      <c r="A3406" s="47" t="s">
        <v>7013</v>
      </c>
      <c r="B3406" s="47" t="s">
        <v>7014</v>
      </c>
      <c r="C3406" s="47" t="s">
        <v>7759</v>
      </c>
      <c r="D3406" s="47" t="s">
        <v>230</v>
      </c>
      <c r="E3406" s="47" t="s">
        <v>402</v>
      </c>
      <c r="F3406" s="47">
        <v>1640.0</v>
      </c>
      <c r="G3406" s="47">
        <v>15.42</v>
      </c>
      <c r="H3406" s="47">
        <v>106.4</v>
      </c>
      <c r="I3406" s="47" t="s">
        <v>62</v>
      </c>
    </row>
    <row r="3407" ht="15.75" customHeight="1">
      <c r="A3407" s="47" t="s">
        <v>7015</v>
      </c>
      <c r="B3407" s="47" t="s">
        <v>7016</v>
      </c>
      <c r="C3407" s="47" t="s">
        <v>7759</v>
      </c>
      <c r="D3407" s="47" t="s">
        <v>158</v>
      </c>
      <c r="E3407" s="47" t="s">
        <v>427</v>
      </c>
      <c r="F3407" s="47">
        <v>84.0</v>
      </c>
      <c r="G3407" s="47">
        <v>5.23</v>
      </c>
      <c r="H3407" s="47">
        <v>16.1</v>
      </c>
      <c r="I3407" s="47" t="s">
        <v>75</v>
      </c>
    </row>
    <row r="3408" ht="15.75" customHeight="1">
      <c r="A3408" s="47" t="s">
        <v>7017</v>
      </c>
      <c r="B3408" s="47" t="s">
        <v>7018</v>
      </c>
      <c r="C3408" s="47" t="s">
        <v>7759</v>
      </c>
      <c r="D3408" s="47" t="s">
        <v>197</v>
      </c>
      <c r="E3408" s="47" t="s">
        <v>517</v>
      </c>
      <c r="F3408" s="47">
        <v>170.0</v>
      </c>
      <c r="G3408" s="47">
        <v>2.79</v>
      </c>
      <c r="H3408" s="47">
        <v>60.9</v>
      </c>
      <c r="I3408" s="47" t="s">
        <v>75</v>
      </c>
    </row>
    <row r="3409" ht="15.75" customHeight="1">
      <c r="A3409" s="47" t="s">
        <v>7019</v>
      </c>
      <c r="B3409" s="47" t="s">
        <v>7020</v>
      </c>
      <c r="C3409" s="47" t="s">
        <v>7759</v>
      </c>
      <c r="D3409" s="47" t="s">
        <v>185</v>
      </c>
      <c r="E3409" s="47" t="s">
        <v>485</v>
      </c>
      <c r="F3409" s="47">
        <v>302.0</v>
      </c>
      <c r="G3409" s="47">
        <v>3.67</v>
      </c>
      <c r="H3409" s="47">
        <v>82.3</v>
      </c>
      <c r="I3409" s="47" t="s">
        <v>75</v>
      </c>
    </row>
    <row r="3410" ht="15.75" customHeight="1">
      <c r="A3410" s="47" t="s">
        <v>7021</v>
      </c>
      <c r="B3410" s="47" t="s">
        <v>7022</v>
      </c>
      <c r="C3410" s="47" t="s">
        <v>7759</v>
      </c>
      <c r="D3410" s="47" t="s">
        <v>225</v>
      </c>
      <c r="E3410" s="47" t="s">
        <v>387</v>
      </c>
      <c r="F3410" s="47">
        <v>527.0</v>
      </c>
      <c r="G3410" s="47">
        <v>6.05</v>
      </c>
      <c r="H3410" s="47">
        <v>87.1</v>
      </c>
      <c r="I3410" s="47" t="s">
        <v>62</v>
      </c>
    </row>
    <row r="3411" ht="15.75" customHeight="1">
      <c r="A3411" s="47" t="s">
        <v>7023</v>
      </c>
      <c r="B3411" s="47" t="s">
        <v>7024</v>
      </c>
      <c r="C3411" s="47" t="s">
        <v>7759</v>
      </c>
      <c r="D3411" s="47" t="s">
        <v>218</v>
      </c>
      <c r="E3411" s="47" t="s">
        <v>374</v>
      </c>
      <c r="F3411" s="47">
        <v>378.0</v>
      </c>
      <c r="G3411" s="47">
        <v>4.48</v>
      </c>
      <c r="H3411" s="47">
        <v>84.4</v>
      </c>
      <c r="I3411" s="47" t="s">
        <v>75</v>
      </c>
    </row>
    <row r="3412" ht="15.75" customHeight="1">
      <c r="A3412" s="47" t="s">
        <v>7025</v>
      </c>
      <c r="B3412" s="47" t="s">
        <v>7026</v>
      </c>
      <c r="C3412" s="47" t="s">
        <v>7759</v>
      </c>
      <c r="D3412" s="47" t="s">
        <v>41</v>
      </c>
      <c r="E3412" s="47" t="s">
        <v>35</v>
      </c>
      <c r="F3412" s="47">
        <v>576.0</v>
      </c>
      <c r="G3412" s="47">
        <v>4.87</v>
      </c>
      <c r="H3412" s="47">
        <v>118.3</v>
      </c>
      <c r="I3412" s="47" t="s">
        <v>62</v>
      </c>
    </row>
    <row r="3413" ht="15.75" customHeight="1">
      <c r="A3413" s="47" t="s">
        <v>7027</v>
      </c>
      <c r="B3413" s="47" t="s">
        <v>7028</v>
      </c>
      <c r="C3413" s="47" t="s">
        <v>7759</v>
      </c>
      <c r="D3413" s="47" t="s">
        <v>197</v>
      </c>
      <c r="E3413" s="47" t="s">
        <v>517</v>
      </c>
      <c r="F3413" s="47">
        <v>106.0</v>
      </c>
      <c r="G3413" s="47">
        <v>4.09</v>
      </c>
      <c r="H3413" s="47">
        <v>25.9</v>
      </c>
      <c r="I3413" s="47" t="s">
        <v>75</v>
      </c>
    </row>
    <row r="3414" ht="15.75" customHeight="1">
      <c r="A3414" s="47" t="s">
        <v>7029</v>
      </c>
      <c r="B3414" s="47" t="s">
        <v>7030</v>
      </c>
      <c r="C3414" s="47" t="s">
        <v>7759</v>
      </c>
      <c r="D3414" s="47" t="s">
        <v>210</v>
      </c>
      <c r="E3414" s="47" t="s">
        <v>537</v>
      </c>
      <c r="F3414" s="47">
        <v>438.0</v>
      </c>
      <c r="G3414" s="47">
        <v>9.42</v>
      </c>
      <c r="H3414" s="47">
        <v>46.5</v>
      </c>
      <c r="I3414" s="47" t="s">
        <v>75</v>
      </c>
    </row>
    <row r="3415" ht="15.75" customHeight="1">
      <c r="A3415" s="47" t="s">
        <v>7031</v>
      </c>
      <c r="B3415" s="47" t="s">
        <v>7032</v>
      </c>
      <c r="C3415" s="47" t="s">
        <v>7759</v>
      </c>
      <c r="D3415" s="47" t="s">
        <v>207</v>
      </c>
      <c r="E3415" s="47" t="s">
        <v>534</v>
      </c>
      <c r="F3415" s="47">
        <v>347.0</v>
      </c>
      <c r="G3415" s="47">
        <v>10.25</v>
      </c>
      <c r="H3415" s="47">
        <v>33.9</v>
      </c>
      <c r="I3415" s="47" t="s">
        <v>75</v>
      </c>
    </row>
    <row r="3416" ht="15.75" customHeight="1">
      <c r="A3416" s="47" t="s">
        <v>7033</v>
      </c>
      <c r="B3416" s="47" t="s">
        <v>7034</v>
      </c>
      <c r="C3416" s="47" t="s">
        <v>7759</v>
      </c>
      <c r="D3416" s="47" t="s">
        <v>158</v>
      </c>
      <c r="E3416" s="47" t="s">
        <v>427</v>
      </c>
      <c r="F3416" s="47">
        <v>137.0</v>
      </c>
      <c r="G3416" s="47">
        <v>3.65</v>
      </c>
      <c r="H3416" s="47">
        <v>37.5</v>
      </c>
      <c r="I3416" s="47" t="s">
        <v>75</v>
      </c>
    </row>
    <row r="3417" ht="15.75" customHeight="1">
      <c r="A3417" s="47" t="s">
        <v>7035</v>
      </c>
      <c r="B3417" s="47" t="s">
        <v>7036</v>
      </c>
      <c r="C3417" s="47" t="s">
        <v>7759</v>
      </c>
      <c r="D3417" s="47" t="s">
        <v>210</v>
      </c>
      <c r="E3417" s="47" t="s">
        <v>537</v>
      </c>
      <c r="F3417" s="47">
        <v>194.0</v>
      </c>
      <c r="G3417" s="47">
        <v>3.25</v>
      </c>
      <c r="H3417" s="47">
        <v>59.7</v>
      </c>
      <c r="I3417" s="47" t="s">
        <v>75</v>
      </c>
    </row>
    <row r="3418" ht="15.75" customHeight="1">
      <c r="A3418" s="47" t="s">
        <v>7037</v>
      </c>
      <c r="B3418" s="47" t="s">
        <v>7038</v>
      </c>
      <c r="C3418" s="47" t="s">
        <v>7759</v>
      </c>
      <c r="D3418" s="47" t="s">
        <v>158</v>
      </c>
      <c r="E3418" s="47" t="s">
        <v>427</v>
      </c>
      <c r="F3418" s="47">
        <v>178.0</v>
      </c>
      <c r="G3418" s="47">
        <v>4.52</v>
      </c>
      <c r="H3418" s="47">
        <v>39.4</v>
      </c>
      <c r="I3418" s="47" t="s">
        <v>75</v>
      </c>
    </row>
    <row r="3419" ht="15.75" customHeight="1">
      <c r="A3419" s="47" t="s">
        <v>7039</v>
      </c>
      <c r="B3419" s="47" t="s">
        <v>7040</v>
      </c>
      <c r="C3419" s="47" t="s">
        <v>7759</v>
      </c>
      <c r="D3419" s="47" t="s">
        <v>197</v>
      </c>
      <c r="E3419" s="47" t="s">
        <v>517</v>
      </c>
      <c r="F3419" s="47">
        <v>764.0</v>
      </c>
      <c r="G3419" s="47">
        <v>7.42</v>
      </c>
      <c r="H3419" s="47">
        <v>103.0</v>
      </c>
      <c r="I3419" s="47" t="s">
        <v>62</v>
      </c>
    </row>
    <row r="3420" ht="15.75" customHeight="1">
      <c r="A3420" s="47" t="s">
        <v>7041</v>
      </c>
      <c r="B3420" s="47" t="s">
        <v>7042</v>
      </c>
      <c r="C3420" s="47" t="s">
        <v>7759</v>
      </c>
      <c r="D3420" s="47" t="s">
        <v>230</v>
      </c>
      <c r="E3420" s="47" t="s">
        <v>402</v>
      </c>
      <c r="F3420" s="47">
        <v>192.0</v>
      </c>
      <c r="G3420" s="47">
        <v>6.13</v>
      </c>
      <c r="H3420" s="47">
        <v>31.3</v>
      </c>
      <c r="I3420" s="47" t="s">
        <v>75</v>
      </c>
    </row>
    <row r="3421" ht="15.75" customHeight="1">
      <c r="A3421" s="47" t="s">
        <v>7043</v>
      </c>
      <c r="B3421" s="47" t="s">
        <v>5324</v>
      </c>
      <c r="C3421" s="47" t="s">
        <v>7759</v>
      </c>
      <c r="D3421" s="47" t="s">
        <v>185</v>
      </c>
      <c r="E3421" s="47" t="s">
        <v>485</v>
      </c>
      <c r="F3421" s="47">
        <v>38.0</v>
      </c>
      <c r="G3421" s="47">
        <v>3.78</v>
      </c>
      <c r="H3421" s="47">
        <v>10.1</v>
      </c>
      <c r="I3421" s="47" t="s">
        <v>75</v>
      </c>
    </row>
    <row r="3422" ht="15.75" customHeight="1">
      <c r="A3422" s="47" t="s">
        <v>7044</v>
      </c>
      <c r="B3422" s="47" t="s">
        <v>7045</v>
      </c>
      <c r="C3422" s="47" t="s">
        <v>7759</v>
      </c>
      <c r="D3422" s="47" t="s">
        <v>158</v>
      </c>
      <c r="E3422" s="47" t="s">
        <v>427</v>
      </c>
      <c r="F3422" s="47">
        <v>184.0</v>
      </c>
      <c r="G3422" s="47">
        <v>6.2</v>
      </c>
      <c r="H3422" s="47">
        <v>29.7</v>
      </c>
      <c r="I3422" s="47" t="s">
        <v>75</v>
      </c>
    </row>
    <row r="3423" ht="15.75" customHeight="1">
      <c r="A3423" s="47" t="s">
        <v>7046</v>
      </c>
      <c r="B3423" s="47" t="s">
        <v>7047</v>
      </c>
      <c r="C3423" s="47" t="s">
        <v>7759</v>
      </c>
      <c r="D3423" s="47" t="s">
        <v>158</v>
      </c>
      <c r="E3423" s="47" t="s">
        <v>427</v>
      </c>
      <c r="F3423" s="47">
        <v>45.0</v>
      </c>
      <c r="G3423" s="47">
        <v>3.63</v>
      </c>
      <c r="H3423" s="47">
        <v>12.4</v>
      </c>
      <c r="I3423" s="47" t="s">
        <v>75</v>
      </c>
    </row>
    <row r="3424" ht="15.75" customHeight="1">
      <c r="A3424" s="47" t="s">
        <v>7048</v>
      </c>
      <c r="B3424" s="47" t="s">
        <v>7049</v>
      </c>
      <c r="C3424" s="47" t="s">
        <v>7759</v>
      </c>
      <c r="D3424" s="47" t="s">
        <v>229</v>
      </c>
      <c r="E3424" s="47" t="s">
        <v>400</v>
      </c>
      <c r="F3424" s="47">
        <v>522.0</v>
      </c>
      <c r="G3424" s="47">
        <v>34.59</v>
      </c>
      <c r="H3424" s="47">
        <v>15.1</v>
      </c>
      <c r="I3424" s="47" t="s">
        <v>62</v>
      </c>
    </row>
    <row r="3425" ht="15.75" customHeight="1">
      <c r="A3425" s="47" t="s">
        <v>7050</v>
      </c>
      <c r="B3425" s="47" t="s">
        <v>7051</v>
      </c>
      <c r="C3425" s="47" t="s">
        <v>7759</v>
      </c>
      <c r="D3425" s="47" t="s">
        <v>229</v>
      </c>
      <c r="E3425" s="47" t="s">
        <v>400</v>
      </c>
      <c r="F3425" s="47">
        <v>108.0</v>
      </c>
      <c r="G3425" s="47">
        <v>5.01</v>
      </c>
      <c r="H3425" s="47">
        <v>21.6</v>
      </c>
      <c r="I3425" s="47" t="s">
        <v>75</v>
      </c>
    </row>
    <row r="3426" ht="15.75" customHeight="1">
      <c r="A3426" s="47" t="s">
        <v>7052</v>
      </c>
      <c r="B3426" s="47" t="s">
        <v>7053</v>
      </c>
      <c r="C3426" s="47" t="s">
        <v>7759</v>
      </c>
      <c r="D3426" s="47" t="s">
        <v>158</v>
      </c>
      <c r="E3426" s="47" t="s">
        <v>427</v>
      </c>
      <c r="F3426" s="47">
        <v>527.0</v>
      </c>
      <c r="G3426" s="47">
        <v>12.63</v>
      </c>
      <c r="H3426" s="47">
        <v>41.7</v>
      </c>
      <c r="I3426" s="47" t="s">
        <v>62</v>
      </c>
    </row>
    <row r="3427" ht="15.75" customHeight="1">
      <c r="A3427" s="47" t="s">
        <v>7054</v>
      </c>
      <c r="B3427" s="47" t="s">
        <v>7055</v>
      </c>
      <c r="C3427" s="47" t="s">
        <v>7759</v>
      </c>
      <c r="D3427" s="47" t="s">
        <v>207</v>
      </c>
      <c r="E3427" s="47" t="s">
        <v>534</v>
      </c>
      <c r="F3427" s="47">
        <v>165.0</v>
      </c>
      <c r="G3427" s="47">
        <v>7.22</v>
      </c>
      <c r="H3427" s="47">
        <v>22.9</v>
      </c>
      <c r="I3427" s="47" t="s">
        <v>75</v>
      </c>
    </row>
    <row r="3428" ht="15.75" customHeight="1">
      <c r="A3428" s="47" t="s">
        <v>7056</v>
      </c>
      <c r="B3428" s="47" t="s">
        <v>7057</v>
      </c>
      <c r="C3428" s="47" t="s">
        <v>7759</v>
      </c>
      <c r="D3428" s="47" t="s">
        <v>207</v>
      </c>
      <c r="E3428" s="47" t="s">
        <v>534</v>
      </c>
      <c r="F3428" s="47">
        <v>150.0</v>
      </c>
      <c r="G3428" s="47">
        <v>5.03</v>
      </c>
      <c r="H3428" s="47">
        <v>29.8</v>
      </c>
      <c r="I3428" s="47" t="s">
        <v>75</v>
      </c>
    </row>
    <row r="3429" ht="15.75" customHeight="1">
      <c r="A3429" s="47" t="s">
        <v>7058</v>
      </c>
      <c r="B3429" s="47" t="s">
        <v>7059</v>
      </c>
      <c r="C3429" s="47" t="s">
        <v>7759</v>
      </c>
      <c r="D3429" s="47" t="s">
        <v>152</v>
      </c>
      <c r="E3429" s="47" t="s">
        <v>417</v>
      </c>
      <c r="F3429" s="47">
        <v>1111.0</v>
      </c>
      <c r="G3429" s="47">
        <v>15.73</v>
      </c>
      <c r="H3429" s="47">
        <v>70.6</v>
      </c>
      <c r="I3429" s="47" t="s">
        <v>62</v>
      </c>
    </row>
    <row r="3430" ht="15.75" customHeight="1">
      <c r="A3430" s="47" t="s">
        <v>7060</v>
      </c>
      <c r="B3430" s="47" t="s">
        <v>7061</v>
      </c>
      <c r="C3430" s="47" t="s">
        <v>7759</v>
      </c>
      <c r="D3430" s="47" t="s">
        <v>229</v>
      </c>
      <c r="E3430" s="47" t="s">
        <v>400</v>
      </c>
      <c r="F3430" s="47">
        <v>1622.0</v>
      </c>
      <c r="G3430" s="47">
        <v>51.49</v>
      </c>
      <c r="H3430" s="47">
        <v>31.5</v>
      </c>
      <c r="I3430" s="47" t="s">
        <v>62</v>
      </c>
    </row>
    <row r="3431" ht="15.75" customHeight="1">
      <c r="A3431" s="47" t="s">
        <v>7062</v>
      </c>
      <c r="B3431" s="47" t="s">
        <v>7063</v>
      </c>
      <c r="C3431" s="47" t="s">
        <v>7759</v>
      </c>
      <c r="D3431" s="47" t="s">
        <v>212</v>
      </c>
      <c r="E3431" s="47" t="s">
        <v>549</v>
      </c>
      <c r="F3431" s="47">
        <v>679.0</v>
      </c>
      <c r="G3431" s="47">
        <v>11.51</v>
      </c>
      <c r="H3431" s="47">
        <v>59.0</v>
      </c>
      <c r="I3431" s="47" t="s">
        <v>62</v>
      </c>
    </row>
    <row r="3432" ht="15.75" customHeight="1">
      <c r="A3432" s="47" t="s">
        <v>7064</v>
      </c>
      <c r="B3432" s="47" t="s">
        <v>7065</v>
      </c>
      <c r="C3432" s="47" t="s">
        <v>7759</v>
      </c>
      <c r="D3432" s="47" t="s">
        <v>207</v>
      </c>
      <c r="E3432" s="47" t="s">
        <v>534</v>
      </c>
      <c r="F3432" s="47">
        <v>247.0</v>
      </c>
      <c r="G3432" s="47">
        <v>8.33</v>
      </c>
      <c r="H3432" s="47">
        <v>29.7</v>
      </c>
      <c r="I3432" s="47" t="s">
        <v>75</v>
      </c>
    </row>
    <row r="3433" ht="15.75" customHeight="1">
      <c r="A3433" s="47" t="s">
        <v>7066</v>
      </c>
      <c r="B3433" s="47" t="s">
        <v>7067</v>
      </c>
      <c r="C3433" s="47" t="s">
        <v>7759</v>
      </c>
      <c r="D3433" s="47" t="s">
        <v>121</v>
      </c>
      <c r="E3433" s="47" t="s">
        <v>325</v>
      </c>
      <c r="F3433" s="47">
        <v>749.0</v>
      </c>
      <c r="G3433" s="47">
        <v>10.8</v>
      </c>
      <c r="H3433" s="47">
        <v>69.4</v>
      </c>
      <c r="I3433" s="47" t="s">
        <v>62</v>
      </c>
    </row>
    <row r="3434" ht="15.75" customHeight="1">
      <c r="A3434" s="47" t="s">
        <v>7068</v>
      </c>
      <c r="B3434" s="47" t="s">
        <v>7069</v>
      </c>
      <c r="C3434" s="47" t="s">
        <v>7759</v>
      </c>
      <c r="D3434" s="47" t="s">
        <v>148</v>
      </c>
      <c r="E3434" s="47" t="s">
        <v>360</v>
      </c>
      <c r="F3434" s="47">
        <v>65.0</v>
      </c>
      <c r="G3434" s="47">
        <v>4.05</v>
      </c>
      <c r="H3434" s="47">
        <v>16.0</v>
      </c>
      <c r="I3434" s="47" t="s">
        <v>75</v>
      </c>
    </row>
    <row r="3435" ht="15.75" customHeight="1">
      <c r="A3435" s="47" t="s">
        <v>7070</v>
      </c>
      <c r="B3435" s="47" t="s">
        <v>7071</v>
      </c>
      <c r="C3435" s="47" t="s">
        <v>7759</v>
      </c>
      <c r="D3435" s="47" t="s">
        <v>229</v>
      </c>
      <c r="E3435" s="47" t="s">
        <v>400</v>
      </c>
      <c r="F3435" s="47">
        <v>118.0</v>
      </c>
      <c r="G3435" s="47">
        <v>3.35</v>
      </c>
      <c r="H3435" s="47">
        <v>35.2</v>
      </c>
      <c r="I3435" s="47" t="s">
        <v>75</v>
      </c>
    </row>
    <row r="3436" ht="15.75" customHeight="1">
      <c r="A3436" s="47" t="s">
        <v>7072</v>
      </c>
      <c r="B3436" s="47" t="s">
        <v>7073</v>
      </c>
      <c r="C3436" s="47" t="s">
        <v>7759</v>
      </c>
      <c r="D3436" s="47" t="s">
        <v>197</v>
      </c>
      <c r="E3436" s="47" t="s">
        <v>517</v>
      </c>
      <c r="F3436" s="47">
        <v>111.0</v>
      </c>
      <c r="G3436" s="47">
        <v>5.39</v>
      </c>
      <c r="H3436" s="47">
        <v>20.6</v>
      </c>
      <c r="I3436" s="47" t="s">
        <v>75</v>
      </c>
    </row>
    <row r="3437" ht="15.75" customHeight="1">
      <c r="A3437" s="47" t="s">
        <v>7074</v>
      </c>
      <c r="B3437" s="47" t="s">
        <v>7075</v>
      </c>
      <c r="C3437" s="47" t="s">
        <v>7759</v>
      </c>
      <c r="D3437" s="47" t="s">
        <v>148</v>
      </c>
      <c r="E3437" s="47" t="s">
        <v>360</v>
      </c>
      <c r="F3437" s="47">
        <v>532.0</v>
      </c>
      <c r="G3437" s="47">
        <v>8.94</v>
      </c>
      <c r="H3437" s="47">
        <v>59.5</v>
      </c>
      <c r="I3437" s="47" t="s">
        <v>62</v>
      </c>
    </row>
    <row r="3438" ht="15.75" customHeight="1">
      <c r="A3438" s="47" t="s">
        <v>7076</v>
      </c>
      <c r="B3438" s="47" t="s">
        <v>7077</v>
      </c>
      <c r="C3438" s="47" t="s">
        <v>7759</v>
      </c>
      <c r="D3438" s="47" t="s">
        <v>185</v>
      </c>
      <c r="E3438" s="47" t="s">
        <v>485</v>
      </c>
      <c r="F3438" s="47">
        <v>134.0</v>
      </c>
      <c r="G3438" s="47">
        <v>7.21</v>
      </c>
      <c r="H3438" s="47">
        <v>18.6</v>
      </c>
      <c r="I3438" s="47" t="s">
        <v>75</v>
      </c>
    </row>
    <row r="3439" ht="15.75" customHeight="1">
      <c r="A3439" s="47" t="s">
        <v>7078</v>
      </c>
      <c r="B3439" s="47" t="s">
        <v>7079</v>
      </c>
      <c r="C3439" s="47" t="s">
        <v>7759</v>
      </c>
      <c r="D3439" s="47" t="s">
        <v>229</v>
      </c>
      <c r="E3439" s="47" t="s">
        <v>400</v>
      </c>
      <c r="F3439" s="47">
        <v>87.0</v>
      </c>
      <c r="G3439" s="47">
        <v>2.53</v>
      </c>
      <c r="H3439" s="47">
        <v>34.4</v>
      </c>
      <c r="I3439" s="47" t="s">
        <v>75</v>
      </c>
    </row>
    <row r="3440" ht="15.75" customHeight="1">
      <c r="A3440" s="47" t="s">
        <v>7080</v>
      </c>
      <c r="B3440" s="47" t="s">
        <v>7081</v>
      </c>
      <c r="C3440" s="47" t="s">
        <v>7759</v>
      </c>
      <c r="D3440" s="47" t="s">
        <v>229</v>
      </c>
      <c r="E3440" s="47" t="s">
        <v>400</v>
      </c>
      <c r="F3440" s="47">
        <v>553.0</v>
      </c>
      <c r="G3440" s="47">
        <v>26.74</v>
      </c>
      <c r="H3440" s="47">
        <v>20.7</v>
      </c>
      <c r="I3440" s="47" t="s">
        <v>62</v>
      </c>
    </row>
    <row r="3441" ht="15.75" customHeight="1">
      <c r="A3441" s="47" t="s">
        <v>7082</v>
      </c>
      <c r="B3441" s="47" t="s">
        <v>7083</v>
      </c>
      <c r="C3441" s="47" t="s">
        <v>7759</v>
      </c>
      <c r="D3441" s="47" t="s">
        <v>210</v>
      </c>
      <c r="E3441" s="47" t="s">
        <v>537</v>
      </c>
      <c r="F3441" s="47">
        <v>442.0</v>
      </c>
      <c r="G3441" s="47">
        <v>4.1</v>
      </c>
      <c r="H3441" s="47">
        <v>107.8</v>
      </c>
      <c r="I3441" s="47" t="s">
        <v>75</v>
      </c>
    </row>
    <row r="3442" ht="15.75" customHeight="1">
      <c r="A3442" s="47" t="s">
        <v>7084</v>
      </c>
      <c r="B3442" s="47" t="s">
        <v>7085</v>
      </c>
      <c r="C3442" s="47" t="s">
        <v>7759</v>
      </c>
      <c r="D3442" s="47" t="s">
        <v>229</v>
      </c>
      <c r="E3442" s="47" t="s">
        <v>400</v>
      </c>
      <c r="F3442" s="47">
        <v>98.0</v>
      </c>
      <c r="G3442" s="47">
        <v>1.57</v>
      </c>
      <c r="H3442" s="47">
        <v>62.4</v>
      </c>
      <c r="I3442" s="47" t="s">
        <v>75</v>
      </c>
    </row>
    <row r="3443" ht="15.75" customHeight="1">
      <c r="A3443" s="47" t="s">
        <v>7086</v>
      </c>
      <c r="B3443" s="47" t="s">
        <v>7087</v>
      </c>
      <c r="C3443" s="47" t="s">
        <v>7759</v>
      </c>
      <c r="D3443" s="47" t="s">
        <v>229</v>
      </c>
      <c r="E3443" s="47" t="s">
        <v>400</v>
      </c>
      <c r="F3443" s="47">
        <v>51.0</v>
      </c>
      <c r="G3443" s="47">
        <v>2.53</v>
      </c>
      <c r="H3443" s="47">
        <v>20.2</v>
      </c>
      <c r="I3443" s="47" t="s">
        <v>75</v>
      </c>
    </row>
    <row r="3444" ht="15.75" customHeight="1">
      <c r="A3444" s="47" t="s">
        <v>7088</v>
      </c>
      <c r="B3444" s="47" t="s">
        <v>7089</v>
      </c>
      <c r="C3444" s="47" t="s">
        <v>7759</v>
      </c>
      <c r="D3444" s="47" t="s">
        <v>210</v>
      </c>
      <c r="E3444" s="47" t="s">
        <v>537</v>
      </c>
      <c r="F3444" s="47">
        <v>260.0</v>
      </c>
      <c r="G3444" s="47">
        <v>4.29</v>
      </c>
      <c r="H3444" s="47">
        <v>60.6</v>
      </c>
      <c r="I3444" s="47" t="s">
        <v>75</v>
      </c>
    </row>
    <row r="3445" ht="15.75" customHeight="1">
      <c r="A3445" s="47" t="s">
        <v>7090</v>
      </c>
      <c r="B3445" s="47" t="s">
        <v>7091</v>
      </c>
      <c r="C3445" s="47" t="s">
        <v>7759</v>
      </c>
      <c r="D3445" s="47" t="s">
        <v>225</v>
      </c>
      <c r="E3445" s="47" t="s">
        <v>387</v>
      </c>
      <c r="F3445" s="47">
        <v>328.0</v>
      </c>
      <c r="G3445" s="47">
        <v>6.18</v>
      </c>
      <c r="H3445" s="47">
        <v>53.1</v>
      </c>
      <c r="I3445" s="47" t="s">
        <v>75</v>
      </c>
    </row>
    <row r="3446" ht="15.75" customHeight="1">
      <c r="A3446" s="47" t="s">
        <v>7092</v>
      </c>
      <c r="B3446" s="47" t="s">
        <v>7093</v>
      </c>
      <c r="C3446" s="47" t="s">
        <v>7759</v>
      </c>
      <c r="D3446" s="47" t="s">
        <v>210</v>
      </c>
      <c r="E3446" s="47" t="s">
        <v>537</v>
      </c>
      <c r="F3446" s="47">
        <v>725.0</v>
      </c>
      <c r="G3446" s="47">
        <v>9.43</v>
      </c>
      <c r="H3446" s="47">
        <v>76.9</v>
      </c>
      <c r="I3446" s="47" t="s">
        <v>62</v>
      </c>
    </row>
    <row r="3447" ht="15.75" customHeight="1">
      <c r="A3447" s="47" t="s">
        <v>7094</v>
      </c>
      <c r="B3447" s="47" t="s">
        <v>7095</v>
      </c>
      <c r="C3447" s="47" t="s">
        <v>7759</v>
      </c>
      <c r="D3447" s="47" t="s">
        <v>121</v>
      </c>
      <c r="E3447" s="47" t="s">
        <v>325</v>
      </c>
      <c r="F3447" s="47">
        <v>859.0</v>
      </c>
      <c r="G3447" s="47">
        <v>15.25</v>
      </c>
      <c r="H3447" s="47">
        <v>56.3</v>
      </c>
      <c r="I3447" s="47" t="s">
        <v>62</v>
      </c>
    </row>
    <row r="3448" ht="15.75" customHeight="1">
      <c r="A3448" s="47" t="s">
        <v>7096</v>
      </c>
      <c r="B3448" s="47" t="s">
        <v>7097</v>
      </c>
      <c r="C3448" s="47" t="s">
        <v>7759</v>
      </c>
      <c r="D3448" s="47" t="s">
        <v>152</v>
      </c>
      <c r="E3448" s="47" t="s">
        <v>417</v>
      </c>
      <c r="F3448" s="47">
        <v>192.0</v>
      </c>
      <c r="G3448" s="47">
        <v>4.86</v>
      </c>
      <c r="H3448" s="47">
        <v>39.5</v>
      </c>
      <c r="I3448" s="47" t="s">
        <v>75</v>
      </c>
    </row>
    <row r="3449" ht="15.75" customHeight="1">
      <c r="A3449" s="47" t="s">
        <v>7098</v>
      </c>
      <c r="B3449" s="47" t="s">
        <v>7099</v>
      </c>
      <c r="C3449" s="47" t="s">
        <v>7759</v>
      </c>
      <c r="D3449" s="47" t="s">
        <v>218</v>
      </c>
      <c r="E3449" s="47" t="s">
        <v>374</v>
      </c>
      <c r="F3449" s="47">
        <v>133.0</v>
      </c>
      <c r="G3449" s="47">
        <v>5.46</v>
      </c>
      <c r="H3449" s="47">
        <v>24.4</v>
      </c>
      <c r="I3449" s="47" t="s">
        <v>75</v>
      </c>
    </row>
    <row r="3450" ht="15.75" customHeight="1">
      <c r="A3450" s="47" t="s">
        <v>7100</v>
      </c>
      <c r="B3450" s="47" t="s">
        <v>7101</v>
      </c>
      <c r="C3450" s="47" t="s">
        <v>7759</v>
      </c>
      <c r="D3450" s="47" t="s">
        <v>185</v>
      </c>
      <c r="E3450" s="47" t="s">
        <v>485</v>
      </c>
      <c r="F3450" s="47">
        <v>183.0</v>
      </c>
      <c r="G3450" s="47">
        <v>6.36</v>
      </c>
      <c r="H3450" s="47">
        <v>28.8</v>
      </c>
      <c r="I3450" s="47" t="s">
        <v>75</v>
      </c>
    </row>
    <row r="3451" ht="15.75" customHeight="1">
      <c r="A3451" s="47" t="s">
        <v>7102</v>
      </c>
      <c r="B3451" s="47" t="s">
        <v>7103</v>
      </c>
      <c r="C3451" s="47" t="s">
        <v>7759</v>
      </c>
      <c r="D3451" s="47" t="s">
        <v>197</v>
      </c>
      <c r="E3451" s="47" t="s">
        <v>517</v>
      </c>
      <c r="F3451" s="47">
        <v>170.0</v>
      </c>
      <c r="G3451" s="47">
        <v>2.17</v>
      </c>
      <c r="H3451" s="47">
        <v>78.3</v>
      </c>
      <c r="I3451" s="47" t="s">
        <v>75</v>
      </c>
    </row>
    <row r="3452" ht="15.75" customHeight="1">
      <c r="A3452" s="47" t="s">
        <v>7104</v>
      </c>
      <c r="B3452" s="47" t="s">
        <v>7105</v>
      </c>
      <c r="C3452" s="47" t="s">
        <v>7759</v>
      </c>
      <c r="D3452" s="47" t="s">
        <v>148</v>
      </c>
      <c r="E3452" s="47" t="s">
        <v>360</v>
      </c>
      <c r="F3452" s="47">
        <v>154.0</v>
      </c>
      <c r="G3452" s="47">
        <v>9.35</v>
      </c>
      <c r="H3452" s="47">
        <v>16.5</v>
      </c>
      <c r="I3452" s="47" t="s">
        <v>75</v>
      </c>
    </row>
    <row r="3453" ht="15.75" customHeight="1">
      <c r="A3453" s="47" t="s">
        <v>7106</v>
      </c>
      <c r="B3453" s="47" t="s">
        <v>7107</v>
      </c>
      <c r="C3453" s="47" t="s">
        <v>7759</v>
      </c>
      <c r="D3453" s="47" t="s">
        <v>197</v>
      </c>
      <c r="E3453" s="47" t="s">
        <v>517</v>
      </c>
      <c r="F3453" s="47">
        <v>156.0</v>
      </c>
      <c r="G3453" s="47">
        <v>2.23</v>
      </c>
      <c r="H3453" s="47">
        <v>70.0</v>
      </c>
      <c r="I3453" s="47" t="s">
        <v>75</v>
      </c>
    </row>
    <row r="3454" ht="15.75" customHeight="1">
      <c r="A3454" s="47" t="s">
        <v>7108</v>
      </c>
      <c r="B3454" s="47" t="s">
        <v>7109</v>
      </c>
      <c r="C3454" s="47" t="s">
        <v>7759</v>
      </c>
      <c r="D3454" s="47" t="s">
        <v>158</v>
      </c>
      <c r="E3454" s="47" t="s">
        <v>427</v>
      </c>
      <c r="F3454" s="47">
        <v>166.0</v>
      </c>
      <c r="G3454" s="47">
        <v>5.99</v>
      </c>
      <c r="H3454" s="47">
        <v>27.7</v>
      </c>
      <c r="I3454" s="47" t="s">
        <v>75</v>
      </c>
    </row>
    <row r="3455" ht="15.75" customHeight="1">
      <c r="A3455" s="47" t="s">
        <v>7110</v>
      </c>
      <c r="B3455" s="47" t="s">
        <v>7111</v>
      </c>
      <c r="C3455" s="47" t="s">
        <v>7759</v>
      </c>
      <c r="D3455" s="47" t="s">
        <v>185</v>
      </c>
      <c r="E3455" s="47" t="s">
        <v>485</v>
      </c>
      <c r="F3455" s="47">
        <v>292.0</v>
      </c>
      <c r="G3455" s="47">
        <v>6.47</v>
      </c>
      <c r="H3455" s="47">
        <v>45.1</v>
      </c>
      <c r="I3455" s="47" t="s">
        <v>75</v>
      </c>
    </row>
    <row r="3456" ht="15.75" customHeight="1">
      <c r="A3456" s="47" t="s">
        <v>7112</v>
      </c>
      <c r="B3456" s="47" t="s">
        <v>7113</v>
      </c>
      <c r="C3456" s="47" t="s">
        <v>7759</v>
      </c>
      <c r="D3456" s="47" t="s">
        <v>152</v>
      </c>
      <c r="E3456" s="47" t="s">
        <v>417</v>
      </c>
      <c r="F3456" s="47">
        <v>395.0</v>
      </c>
      <c r="G3456" s="47">
        <v>6.95</v>
      </c>
      <c r="H3456" s="47">
        <v>56.8</v>
      </c>
      <c r="I3456" s="47" t="s">
        <v>75</v>
      </c>
    </row>
    <row r="3457" ht="15.75" customHeight="1">
      <c r="A3457" s="47" t="s">
        <v>7114</v>
      </c>
      <c r="B3457" s="47" t="s">
        <v>7115</v>
      </c>
      <c r="C3457" s="47" t="s">
        <v>7759</v>
      </c>
      <c r="D3457" s="47" t="s">
        <v>158</v>
      </c>
      <c r="E3457" s="47" t="s">
        <v>427</v>
      </c>
      <c r="F3457" s="47">
        <v>217.0</v>
      </c>
      <c r="G3457" s="47">
        <v>7.32</v>
      </c>
      <c r="H3457" s="47">
        <v>29.6</v>
      </c>
      <c r="I3457" s="47" t="s">
        <v>75</v>
      </c>
    </row>
    <row r="3458" ht="15.75" customHeight="1">
      <c r="A3458" s="47" t="s">
        <v>7116</v>
      </c>
      <c r="B3458" s="47" t="s">
        <v>7117</v>
      </c>
      <c r="C3458" s="47" t="s">
        <v>7759</v>
      </c>
      <c r="D3458" s="47" t="s">
        <v>121</v>
      </c>
      <c r="E3458" s="47" t="s">
        <v>325</v>
      </c>
      <c r="F3458" s="47">
        <v>327.0</v>
      </c>
      <c r="G3458" s="47">
        <v>5.51</v>
      </c>
      <c r="H3458" s="47">
        <v>59.3</v>
      </c>
      <c r="I3458" s="47" t="s">
        <v>75</v>
      </c>
    </row>
    <row r="3459" ht="15.75" customHeight="1">
      <c r="A3459" s="47" t="s">
        <v>7118</v>
      </c>
      <c r="B3459" s="47" t="s">
        <v>7119</v>
      </c>
      <c r="C3459" s="47" t="s">
        <v>7759</v>
      </c>
      <c r="D3459" s="47" t="s">
        <v>225</v>
      </c>
      <c r="E3459" s="47" t="s">
        <v>387</v>
      </c>
      <c r="F3459" s="47">
        <v>223.0</v>
      </c>
      <c r="G3459" s="47">
        <v>5.14</v>
      </c>
      <c r="H3459" s="47">
        <v>43.4</v>
      </c>
      <c r="I3459" s="47" t="s">
        <v>75</v>
      </c>
    </row>
    <row r="3460" ht="15.75" customHeight="1">
      <c r="A3460" s="47" t="s">
        <v>7120</v>
      </c>
      <c r="B3460" s="47" t="s">
        <v>7121</v>
      </c>
      <c r="C3460" s="47" t="s">
        <v>7759</v>
      </c>
      <c r="D3460" s="47" t="s">
        <v>185</v>
      </c>
      <c r="E3460" s="47" t="s">
        <v>485</v>
      </c>
      <c r="F3460" s="47">
        <v>142.0</v>
      </c>
      <c r="G3460" s="47">
        <v>6.37</v>
      </c>
      <c r="H3460" s="47">
        <v>22.3</v>
      </c>
      <c r="I3460" s="47" t="s">
        <v>75</v>
      </c>
    </row>
    <row r="3461" ht="15.75" customHeight="1">
      <c r="A3461" s="47" t="s">
        <v>7122</v>
      </c>
      <c r="B3461" s="47" t="s">
        <v>7123</v>
      </c>
      <c r="C3461" s="47" t="s">
        <v>7759</v>
      </c>
      <c r="D3461" s="47" t="s">
        <v>229</v>
      </c>
      <c r="E3461" s="47" t="s">
        <v>400</v>
      </c>
      <c r="F3461" s="47">
        <v>346.0</v>
      </c>
      <c r="G3461" s="47">
        <v>6.56</v>
      </c>
      <c r="H3461" s="47">
        <v>52.7</v>
      </c>
      <c r="I3461" s="47" t="s">
        <v>75</v>
      </c>
    </row>
    <row r="3462" ht="15.75" customHeight="1">
      <c r="A3462" s="47" t="s">
        <v>7124</v>
      </c>
      <c r="B3462" s="47" t="s">
        <v>7125</v>
      </c>
      <c r="C3462" s="47" t="s">
        <v>7759</v>
      </c>
      <c r="D3462" s="47" t="s">
        <v>229</v>
      </c>
      <c r="E3462" s="47" t="s">
        <v>400</v>
      </c>
      <c r="F3462" s="47">
        <v>108.0</v>
      </c>
      <c r="G3462" s="47">
        <v>3.31</v>
      </c>
      <c r="H3462" s="47">
        <v>32.6</v>
      </c>
      <c r="I3462" s="47" t="s">
        <v>75</v>
      </c>
    </row>
    <row r="3463" ht="15.75" customHeight="1">
      <c r="A3463" s="47" t="s">
        <v>7126</v>
      </c>
      <c r="B3463" s="47" t="s">
        <v>7127</v>
      </c>
      <c r="C3463" s="47" t="s">
        <v>7759</v>
      </c>
      <c r="D3463" s="47" t="s">
        <v>230</v>
      </c>
      <c r="E3463" s="47" t="s">
        <v>402</v>
      </c>
      <c r="F3463" s="47">
        <v>463.0</v>
      </c>
      <c r="G3463" s="47">
        <v>12.47</v>
      </c>
      <c r="H3463" s="47">
        <v>37.1</v>
      </c>
      <c r="I3463" s="47" t="s">
        <v>75</v>
      </c>
    </row>
    <row r="3464" ht="15.75" customHeight="1">
      <c r="A3464" s="47" t="s">
        <v>7128</v>
      </c>
      <c r="B3464" s="47" t="s">
        <v>7129</v>
      </c>
      <c r="C3464" s="47" t="s">
        <v>7759</v>
      </c>
      <c r="D3464" s="47" t="s">
        <v>121</v>
      </c>
      <c r="E3464" s="47" t="s">
        <v>325</v>
      </c>
      <c r="F3464" s="47">
        <v>142.0</v>
      </c>
      <c r="G3464" s="47">
        <v>8.62</v>
      </c>
      <c r="H3464" s="47">
        <v>16.5</v>
      </c>
      <c r="I3464" s="47" t="s">
        <v>75</v>
      </c>
    </row>
    <row r="3465" ht="15.75" customHeight="1">
      <c r="A3465" s="47" t="s">
        <v>7130</v>
      </c>
      <c r="B3465" s="47" t="s">
        <v>7131</v>
      </c>
      <c r="C3465" s="47" t="s">
        <v>7759</v>
      </c>
      <c r="D3465" s="47" t="s">
        <v>229</v>
      </c>
      <c r="E3465" s="47" t="s">
        <v>400</v>
      </c>
      <c r="F3465" s="47">
        <v>374.0</v>
      </c>
      <c r="G3465" s="47">
        <v>3.92</v>
      </c>
      <c r="H3465" s="47">
        <v>95.4</v>
      </c>
      <c r="I3465" s="47" t="s">
        <v>75</v>
      </c>
    </row>
    <row r="3466" ht="15.75" customHeight="1">
      <c r="A3466" s="47" t="s">
        <v>7132</v>
      </c>
      <c r="B3466" s="47" t="s">
        <v>7133</v>
      </c>
      <c r="C3466" s="47" t="s">
        <v>7759</v>
      </c>
      <c r="D3466" s="47" t="s">
        <v>229</v>
      </c>
      <c r="E3466" s="47" t="s">
        <v>400</v>
      </c>
      <c r="F3466" s="47">
        <v>1148.0</v>
      </c>
      <c r="G3466" s="47">
        <v>26.94</v>
      </c>
      <c r="H3466" s="47">
        <v>42.6</v>
      </c>
      <c r="I3466" s="47" t="s">
        <v>62</v>
      </c>
    </row>
    <row r="3467" ht="15.75" customHeight="1">
      <c r="A3467" s="47" t="s">
        <v>7134</v>
      </c>
      <c r="B3467" s="47" t="s">
        <v>7135</v>
      </c>
      <c r="C3467" s="47" t="s">
        <v>7759</v>
      </c>
      <c r="D3467" s="47" t="s">
        <v>225</v>
      </c>
      <c r="E3467" s="47" t="s">
        <v>387</v>
      </c>
      <c r="F3467" s="47">
        <v>590.0</v>
      </c>
      <c r="G3467" s="47">
        <v>9.26</v>
      </c>
      <c r="H3467" s="47">
        <v>63.7</v>
      </c>
      <c r="I3467" s="47" t="s">
        <v>62</v>
      </c>
    </row>
    <row r="3468" ht="15.75" customHeight="1">
      <c r="A3468" s="47" t="s">
        <v>7136</v>
      </c>
      <c r="B3468" s="47" t="s">
        <v>7137</v>
      </c>
      <c r="C3468" s="47" t="s">
        <v>7759</v>
      </c>
      <c r="D3468" s="47" t="s">
        <v>158</v>
      </c>
      <c r="E3468" s="47" t="s">
        <v>427</v>
      </c>
      <c r="F3468" s="47">
        <v>77.0</v>
      </c>
      <c r="G3468" s="47">
        <v>4.1</v>
      </c>
      <c r="H3468" s="47">
        <v>18.8</v>
      </c>
      <c r="I3468" s="47" t="s">
        <v>75</v>
      </c>
    </row>
    <row r="3469" ht="15.75" customHeight="1">
      <c r="A3469" s="47" t="s">
        <v>7138</v>
      </c>
      <c r="B3469" s="47" t="s">
        <v>7139</v>
      </c>
      <c r="C3469" s="47" t="s">
        <v>7759</v>
      </c>
      <c r="D3469" s="47" t="s">
        <v>121</v>
      </c>
      <c r="E3469" s="47" t="s">
        <v>325</v>
      </c>
      <c r="F3469" s="47">
        <v>1500.0</v>
      </c>
      <c r="G3469" s="47">
        <v>8.04</v>
      </c>
      <c r="H3469" s="47">
        <v>186.6</v>
      </c>
      <c r="I3469" s="47" t="s">
        <v>62</v>
      </c>
    </row>
    <row r="3470" ht="15.75" customHeight="1">
      <c r="A3470" s="47" t="s">
        <v>7140</v>
      </c>
      <c r="B3470" s="47" t="s">
        <v>7141</v>
      </c>
      <c r="C3470" s="47" t="s">
        <v>7759</v>
      </c>
      <c r="D3470" s="47" t="s">
        <v>41</v>
      </c>
      <c r="E3470" s="47" t="s">
        <v>35</v>
      </c>
      <c r="F3470" s="47">
        <v>5680.0</v>
      </c>
      <c r="G3470" s="47">
        <v>3.44</v>
      </c>
      <c r="H3470" s="47">
        <v>1651.2</v>
      </c>
      <c r="I3470" s="47" t="s">
        <v>142</v>
      </c>
    </row>
    <row r="3471" ht="15.75" customHeight="1">
      <c r="A3471" s="47" t="s">
        <v>7142</v>
      </c>
      <c r="B3471" s="47" t="s">
        <v>7143</v>
      </c>
      <c r="C3471" s="47" t="s">
        <v>7759</v>
      </c>
      <c r="D3471" s="47" t="s">
        <v>158</v>
      </c>
      <c r="E3471" s="47" t="s">
        <v>427</v>
      </c>
      <c r="F3471" s="47">
        <v>292.0</v>
      </c>
      <c r="G3471" s="47">
        <v>8.53</v>
      </c>
      <c r="H3471" s="47">
        <v>34.2</v>
      </c>
      <c r="I3471" s="47" t="s">
        <v>75</v>
      </c>
    </row>
    <row r="3472" ht="15.75" customHeight="1">
      <c r="A3472" s="47" t="s">
        <v>7144</v>
      </c>
      <c r="B3472" s="47" t="s">
        <v>7145</v>
      </c>
      <c r="C3472" s="47" t="s">
        <v>7759</v>
      </c>
      <c r="D3472" s="47" t="s">
        <v>207</v>
      </c>
      <c r="E3472" s="47" t="s">
        <v>534</v>
      </c>
      <c r="F3472" s="47">
        <v>67.0</v>
      </c>
      <c r="G3472" s="47">
        <v>2.07</v>
      </c>
      <c r="H3472" s="47">
        <v>32.4</v>
      </c>
      <c r="I3472" s="47" t="s">
        <v>75</v>
      </c>
    </row>
    <row r="3473" ht="15.75" customHeight="1">
      <c r="A3473" s="47" t="s">
        <v>7146</v>
      </c>
      <c r="B3473" s="47" t="s">
        <v>7147</v>
      </c>
      <c r="C3473" s="47" t="s">
        <v>7759</v>
      </c>
      <c r="D3473" s="47" t="s">
        <v>197</v>
      </c>
      <c r="E3473" s="47" t="s">
        <v>517</v>
      </c>
      <c r="F3473" s="47">
        <v>289.0</v>
      </c>
      <c r="G3473" s="47">
        <v>7.77</v>
      </c>
      <c r="H3473" s="47">
        <v>37.2</v>
      </c>
      <c r="I3473" s="47" t="s">
        <v>75</v>
      </c>
    </row>
    <row r="3474" ht="15.75" customHeight="1">
      <c r="A3474" s="47" t="s">
        <v>7148</v>
      </c>
      <c r="B3474" s="47" t="s">
        <v>7149</v>
      </c>
      <c r="C3474" s="47" t="s">
        <v>7759</v>
      </c>
      <c r="D3474" s="47" t="s">
        <v>148</v>
      </c>
      <c r="E3474" s="47" t="s">
        <v>360</v>
      </c>
      <c r="F3474" s="47">
        <v>197.0</v>
      </c>
      <c r="G3474" s="47">
        <v>5.77</v>
      </c>
      <c r="H3474" s="47">
        <v>34.1</v>
      </c>
      <c r="I3474" s="47" t="s">
        <v>75</v>
      </c>
    </row>
    <row r="3475" ht="15.75" customHeight="1">
      <c r="A3475" s="47" t="s">
        <v>7150</v>
      </c>
      <c r="B3475" s="47" t="s">
        <v>7151</v>
      </c>
      <c r="C3475" s="47" t="s">
        <v>7759</v>
      </c>
      <c r="D3475" s="47" t="s">
        <v>207</v>
      </c>
      <c r="E3475" s="47" t="s">
        <v>534</v>
      </c>
      <c r="F3475" s="47">
        <v>521.0</v>
      </c>
      <c r="G3475" s="47">
        <v>27.94</v>
      </c>
      <c r="H3475" s="47">
        <v>18.6</v>
      </c>
      <c r="I3475" s="47" t="s">
        <v>62</v>
      </c>
    </row>
    <row r="3476" ht="15.75" customHeight="1">
      <c r="A3476" s="47" t="s">
        <v>7152</v>
      </c>
      <c r="B3476" s="47" t="s">
        <v>7153</v>
      </c>
      <c r="C3476" s="47" t="s">
        <v>7759</v>
      </c>
      <c r="D3476" s="47" t="s">
        <v>225</v>
      </c>
      <c r="E3476" s="47" t="s">
        <v>387</v>
      </c>
      <c r="F3476" s="47">
        <v>151.0</v>
      </c>
      <c r="G3476" s="47">
        <v>6.67</v>
      </c>
      <c r="H3476" s="47">
        <v>22.6</v>
      </c>
      <c r="I3476" s="47" t="s">
        <v>75</v>
      </c>
    </row>
    <row r="3477" ht="15.75" customHeight="1">
      <c r="A3477" s="47" t="s">
        <v>7154</v>
      </c>
      <c r="B3477" s="47" t="s">
        <v>7155</v>
      </c>
      <c r="C3477" s="47" t="s">
        <v>7759</v>
      </c>
      <c r="D3477" s="47" t="s">
        <v>225</v>
      </c>
      <c r="E3477" s="47" t="s">
        <v>387</v>
      </c>
      <c r="F3477" s="47">
        <v>117.0</v>
      </c>
      <c r="G3477" s="47">
        <v>3.31</v>
      </c>
      <c r="H3477" s="47">
        <v>35.3</v>
      </c>
      <c r="I3477" s="47" t="s">
        <v>75</v>
      </c>
    </row>
    <row r="3478" ht="15.75" customHeight="1">
      <c r="A3478" s="47" t="s">
        <v>7156</v>
      </c>
      <c r="B3478" s="47" t="s">
        <v>7157</v>
      </c>
      <c r="C3478" s="47" t="s">
        <v>7759</v>
      </c>
      <c r="D3478" s="47" t="s">
        <v>197</v>
      </c>
      <c r="E3478" s="47" t="s">
        <v>517</v>
      </c>
      <c r="F3478" s="47">
        <v>628.0</v>
      </c>
      <c r="G3478" s="47">
        <v>11.25</v>
      </c>
      <c r="H3478" s="47">
        <v>55.8</v>
      </c>
      <c r="I3478" s="47" t="s">
        <v>62</v>
      </c>
    </row>
    <row r="3479" ht="15.75" customHeight="1">
      <c r="A3479" s="47" t="s">
        <v>7158</v>
      </c>
      <c r="B3479" s="47" t="s">
        <v>7159</v>
      </c>
      <c r="C3479" s="47" t="s">
        <v>7759</v>
      </c>
      <c r="D3479" s="47" t="s">
        <v>148</v>
      </c>
      <c r="E3479" s="47" t="s">
        <v>360</v>
      </c>
      <c r="F3479" s="47">
        <v>290.0</v>
      </c>
      <c r="G3479" s="47">
        <v>14.38</v>
      </c>
      <c r="H3479" s="47">
        <v>20.2</v>
      </c>
      <c r="I3479" s="47" t="s">
        <v>75</v>
      </c>
    </row>
    <row r="3480" ht="15.75" customHeight="1">
      <c r="A3480" s="47" t="s">
        <v>7160</v>
      </c>
      <c r="B3480" s="47" t="s">
        <v>7161</v>
      </c>
      <c r="C3480" s="47" t="s">
        <v>7759</v>
      </c>
      <c r="D3480" s="47" t="s">
        <v>216</v>
      </c>
      <c r="E3480" s="47" t="s">
        <v>371</v>
      </c>
      <c r="F3480" s="47">
        <v>472.0</v>
      </c>
      <c r="G3480" s="47">
        <v>12.72</v>
      </c>
      <c r="H3480" s="47">
        <v>37.1</v>
      </c>
      <c r="I3480" s="47" t="s">
        <v>75</v>
      </c>
    </row>
    <row r="3481" ht="15.75" customHeight="1">
      <c r="A3481" s="47" t="s">
        <v>7162</v>
      </c>
      <c r="B3481" s="47" t="s">
        <v>7163</v>
      </c>
      <c r="C3481" s="47" t="s">
        <v>7759</v>
      </c>
      <c r="D3481" s="47" t="s">
        <v>225</v>
      </c>
      <c r="E3481" s="47" t="s">
        <v>387</v>
      </c>
      <c r="F3481" s="47">
        <v>280.0</v>
      </c>
      <c r="G3481" s="47">
        <v>10.95</v>
      </c>
      <c r="H3481" s="47">
        <v>25.6</v>
      </c>
      <c r="I3481" s="47" t="s">
        <v>75</v>
      </c>
    </row>
    <row r="3482" ht="15.75" customHeight="1">
      <c r="A3482" s="47" t="s">
        <v>7164</v>
      </c>
      <c r="B3482" s="47" t="s">
        <v>7165</v>
      </c>
      <c r="C3482" s="47" t="s">
        <v>7759</v>
      </c>
      <c r="D3482" s="47" t="s">
        <v>225</v>
      </c>
      <c r="E3482" s="47" t="s">
        <v>387</v>
      </c>
      <c r="F3482" s="47">
        <v>97.0</v>
      </c>
      <c r="G3482" s="47">
        <v>5.0</v>
      </c>
      <c r="H3482" s="47">
        <v>19.4</v>
      </c>
      <c r="I3482" s="47" t="s">
        <v>75</v>
      </c>
    </row>
    <row r="3483" ht="15.75" customHeight="1">
      <c r="A3483" s="47" t="s">
        <v>7166</v>
      </c>
      <c r="B3483" s="47" t="s">
        <v>7167</v>
      </c>
      <c r="C3483" s="47" t="s">
        <v>7759</v>
      </c>
      <c r="D3483" s="47" t="s">
        <v>207</v>
      </c>
      <c r="E3483" s="47" t="s">
        <v>534</v>
      </c>
      <c r="F3483" s="47">
        <v>182.0</v>
      </c>
      <c r="G3483" s="47">
        <v>5.81</v>
      </c>
      <c r="H3483" s="47">
        <v>31.3</v>
      </c>
      <c r="I3483" s="47" t="s">
        <v>75</v>
      </c>
    </row>
    <row r="3484" ht="15.75" customHeight="1">
      <c r="A3484" s="47" t="s">
        <v>7168</v>
      </c>
      <c r="B3484" s="47" t="s">
        <v>7169</v>
      </c>
      <c r="C3484" s="47" t="s">
        <v>7759</v>
      </c>
      <c r="D3484" s="47" t="s">
        <v>185</v>
      </c>
      <c r="E3484" s="47" t="s">
        <v>485</v>
      </c>
      <c r="F3484" s="47">
        <v>70.0</v>
      </c>
      <c r="G3484" s="47">
        <v>4.26</v>
      </c>
      <c r="H3484" s="47">
        <v>16.4</v>
      </c>
      <c r="I3484" s="47" t="s">
        <v>75</v>
      </c>
    </row>
    <row r="3485" ht="15.75" customHeight="1">
      <c r="A3485" s="47" t="s">
        <v>7170</v>
      </c>
      <c r="B3485" s="47" t="s">
        <v>7171</v>
      </c>
      <c r="C3485" s="47" t="s">
        <v>7759</v>
      </c>
      <c r="D3485" s="47" t="s">
        <v>197</v>
      </c>
      <c r="E3485" s="47" t="s">
        <v>517</v>
      </c>
      <c r="F3485" s="47">
        <v>255.0</v>
      </c>
      <c r="G3485" s="47">
        <v>10.26</v>
      </c>
      <c r="H3485" s="47">
        <v>24.9</v>
      </c>
      <c r="I3485" s="47" t="s">
        <v>75</v>
      </c>
    </row>
    <row r="3486" ht="15.75" customHeight="1">
      <c r="A3486" s="47" t="s">
        <v>7172</v>
      </c>
      <c r="B3486" s="47" t="s">
        <v>7173</v>
      </c>
      <c r="C3486" s="47" t="s">
        <v>7759</v>
      </c>
      <c r="D3486" s="47" t="s">
        <v>210</v>
      </c>
      <c r="E3486" s="47" t="s">
        <v>537</v>
      </c>
      <c r="F3486" s="47">
        <v>1302.0</v>
      </c>
      <c r="G3486" s="47">
        <v>12.54</v>
      </c>
      <c r="H3486" s="47">
        <v>103.8</v>
      </c>
      <c r="I3486" s="47" t="s">
        <v>62</v>
      </c>
    </row>
    <row r="3487" ht="15.75" customHeight="1">
      <c r="A3487" s="47" t="s">
        <v>7174</v>
      </c>
      <c r="B3487" s="47" t="s">
        <v>7175</v>
      </c>
      <c r="C3487" s="47" t="s">
        <v>7759</v>
      </c>
      <c r="D3487" s="47" t="s">
        <v>185</v>
      </c>
      <c r="E3487" s="47" t="s">
        <v>485</v>
      </c>
      <c r="F3487" s="47">
        <v>51.0</v>
      </c>
      <c r="G3487" s="47">
        <v>2.07</v>
      </c>
      <c r="H3487" s="47">
        <v>24.6</v>
      </c>
      <c r="I3487" s="47" t="s">
        <v>75</v>
      </c>
    </row>
    <row r="3488" ht="15.75" customHeight="1">
      <c r="A3488" s="47" t="s">
        <v>7176</v>
      </c>
      <c r="B3488" s="47" t="s">
        <v>7177</v>
      </c>
      <c r="C3488" s="47" t="s">
        <v>7759</v>
      </c>
      <c r="D3488" s="47" t="s">
        <v>230</v>
      </c>
      <c r="E3488" s="47" t="s">
        <v>402</v>
      </c>
      <c r="F3488" s="47">
        <v>575.0</v>
      </c>
      <c r="G3488" s="47">
        <v>8.62</v>
      </c>
      <c r="H3488" s="47">
        <v>66.7</v>
      </c>
      <c r="I3488" s="47" t="s">
        <v>62</v>
      </c>
    </row>
    <row r="3489" ht="15.75" customHeight="1">
      <c r="A3489" s="47" t="s">
        <v>7178</v>
      </c>
      <c r="B3489" s="47" t="s">
        <v>7179</v>
      </c>
      <c r="C3489" s="47" t="s">
        <v>7759</v>
      </c>
      <c r="D3489" s="47" t="s">
        <v>185</v>
      </c>
      <c r="E3489" s="47" t="s">
        <v>485</v>
      </c>
      <c r="F3489" s="47">
        <v>120.0</v>
      </c>
      <c r="G3489" s="47">
        <v>2.48</v>
      </c>
      <c r="H3489" s="47">
        <v>48.4</v>
      </c>
      <c r="I3489" s="47" t="s">
        <v>75</v>
      </c>
    </row>
    <row r="3490" ht="15.75" customHeight="1">
      <c r="A3490" s="47" t="s">
        <v>7180</v>
      </c>
      <c r="B3490" s="47" t="s">
        <v>7181</v>
      </c>
      <c r="C3490" s="47" t="s">
        <v>7759</v>
      </c>
      <c r="D3490" s="47" t="s">
        <v>121</v>
      </c>
      <c r="E3490" s="47" t="s">
        <v>325</v>
      </c>
      <c r="F3490" s="47">
        <v>840.0</v>
      </c>
      <c r="G3490" s="47">
        <v>9.14</v>
      </c>
      <c r="H3490" s="47">
        <v>91.9</v>
      </c>
      <c r="I3490" s="47" t="s">
        <v>62</v>
      </c>
    </row>
    <row r="3491" ht="15.75" customHeight="1">
      <c r="A3491" s="47" t="s">
        <v>7182</v>
      </c>
      <c r="B3491" s="47" t="s">
        <v>7183</v>
      </c>
      <c r="C3491" s="47" t="s">
        <v>7759</v>
      </c>
      <c r="D3491" s="47" t="s">
        <v>197</v>
      </c>
      <c r="E3491" s="47" t="s">
        <v>517</v>
      </c>
      <c r="F3491" s="47">
        <v>184.0</v>
      </c>
      <c r="G3491" s="47">
        <v>7.56</v>
      </c>
      <c r="H3491" s="47">
        <v>24.3</v>
      </c>
      <c r="I3491" s="47" t="s">
        <v>75</v>
      </c>
    </row>
    <row r="3492" ht="15.75" customHeight="1">
      <c r="A3492" s="47" t="s">
        <v>7184</v>
      </c>
      <c r="B3492" s="47" t="s">
        <v>7185</v>
      </c>
      <c r="C3492" s="47" t="s">
        <v>7759</v>
      </c>
      <c r="D3492" s="47" t="s">
        <v>197</v>
      </c>
      <c r="E3492" s="47" t="s">
        <v>517</v>
      </c>
      <c r="F3492" s="47">
        <v>128.0</v>
      </c>
      <c r="G3492" s="47">
        <v>4.07</v>
      </c>
      <c r="H3492" s="47">
        <v>31.4</v>
      </c>
      <c r="I3492" s="47" t="s">
        <v>75</v>
      </c>
    </row>
    <row r="3493" ht="15.75" customHeight="1">
      <c r="A3493" s="47" t="s">
        <v>7186</v>
      </c>
      <c r="B3493" s="47" t="s">
        <v>7187</v>
      </c>
      <c r="C3493" s="47" t="s">
        <v>7759</v>
      </c>
      <c r="D3493" s="47" t="s">
        <v>229</v>
      </c>
      <c r="E3493" s="47" t="s">
        <v>400</v>
      </c>
      <c r="F3493" s="47">
        <v>149.0</v>
      </c>
      <c r="G3493" s="47">
        <v>3.93</v>
      </c>
      <c r="H3493" s="47">
        <v>37.9</v>
      </c>
      <c r="I3493" s="47" t="s">
        <v>75</v>
      </c>
    </row>
    <row r="3494" ht="15.75" customHeight="1">
      <c r="A3494" s="47" t="s">
        <v>7188</v>
      </c>
      <c r="B3494" s="47" t="s">
        <v>7189</v>
      </c>
      <c r="C3494" s="47" t="s">
        <v>7759</v>
      </c>
      <c r="D3494" s="47" t="s">
        <v>158</v>
      </c>
      <c r="E3494" s="47" t="s">
        <v>427</v>
      </c>
      <c r="F3494" s="47">
        <v>190.0</v>
      </c>
      <c r="G3494" s="47">
        <v>5.31</v>
      </c>
      <c r="H3494" s="47">
        <v>35.8</v>
      </c>
      <c r="I3494" s="47" t="s">
        <v>75</v>
      </c>
    </row>
    <row r="3495" ht="15.75" customHeight="1">
      <c r="A3495" s="47" t="s">
        <v>7190</v>
      </c>
      <c r="B3495" s="47" t="s">
        <v>7191</v>
      </c>
      <c r="C3495" s="47" t="s">
        <v>7759</v>
      </c>
      <c r="D3495" s="47" t="s">
        <v>185</v>
      </c>
      <c r="E3495" s="47" t="s">
        <v>485</v>
      </c>
      <c r="F3495" s="47">
        <v>189.0</v>
      </c>
      <c r="G3495" s="47">
        <v>5.79</v>
      </c>
      <c r="H3495" s="47">
        <v>32.6</v>
      </c>
      <c r="I3495" s="47" t="s">
        <v>75</v>
      </c>
    </row>
    <row r="3496" ht="15.75" customHeight="1">
      <c r="A3496" s="47" t="s">
        <v>7192</v>
      </c>
      <c r="B3496" s="47" t="s">
        <v>7193</v>
      </c>
      <c r="C3496" s="47" t="s">
        <v>7759</v>
      </c>
      <c r="D3496" s="47" t="s">
        <v>216</v>
      </c>
      <c r="E3496" s="47" t="s">
        <v>371</v>
      </c>
      <c r="F3496" s="47">
        <v>410.0</v>
      </c>
      <c r="G3496" s="47">
        <v>7.48</v>
      </c>
      <c r="H3496" s="47">
        <v>54.8</v>
      </c>
      <c r="I3496" s="47" t="s">
        <v>75</v>
      </c>
    </row>
    <row r="3497" ht="15.75" customHeight="1">
      <c r="A3497" s="47" t="s">
        <v>7194</v>
      </c>
      <c r="B3497" s="47" t="s">
        <v>7195</v>
      </c>
      <c r="C3497" s="47" t="s">
        <v>7759</v>
      </c>
      <c r="D3497" s="47" t="s">
        <v>152</v>
      </c>
      <c r="E3497" s="47" t="s">
        <v>417</v>
      </c>
      <c r="F3497" s="47">
        <v>505.0</v>
      </c>
      <c r="G3497" s="47">
        <v>7.04</v>
      </c>
      <c r="H3497" s="47">
        <v>71.7</v>
      </c>
      <c r="I3497" s="47" t="s">
        <v>62</v>
      </c>
    </row>
    <row r="3498" ht="15.75" customHeight="1">
      <c r="A3498" s="47" t="s">
        <v>7196</v>
      </c>
      <c r="B3498" s="47" t="s">
        <v>3886</v>
      </c>
      <c r="C3498" s="47" t="s">
        <v>7759</v>
      </c>
      <c r="D3498" s="47" t="s">
        <v>230</v>
      </c>
      <c r="E3498" s="47" t="s">
        <v>402</v>
      </c>
      <c r="F3498" s="47">
        <v>205.0</v>
      </c>
      <c r="G3498" s="47">
        <v>3.71</v>
      </c>
      <c r="H3498" s="47">
        <v>55.3</v>
      </c>
      <c r="I3498" s="47" t="s">
        <v>75</v>
      </c>
    </row>
    <row r="3499" ht="15.75" customHeight="1">
      <c r="A3499" s="47" t="s">
        <v>7197</v>
      </c>
      <c r="B3499" s="47" t="s">
        <v>7198</v>
      </c>
      <c r="C3499" s="47" t="s">
        <v>7759</v>
      </c>
      <c r="D3499" s="47" t="s">
        <v>158</v>
      </c>
      <c r="E3499" s="47" t="s">
        <v>427</v>
      </c>
      <c r="F3499" s="47">
        <v>216.0</v>
      </c>
      <c r="G3499" s="47">
        <v>10.93</v>
      </c>
      <c r="H3499" s="47">
        <v>19.8</v>
      </c>
      <c r="I3499" s="47" t="s">
        <v>75</v>
      </c>
    </row>
    <row r="3500" ht="15.75" customHeight="1">
      <c r="A3500" s="47" t="s">
        <v>7199</v>
      </c>
      <c r="B3500" s="47" t="s">
        <v>7200</v>
      </c>
      <c r="C3500" s="47" t="s">
        <v>7759</v>
      </c>
      <c r="D3500" s="47" t="s">
        <v>229</v>
      </c>
      <c r="E3500" s="47" t="s">
        <v>400</v>
      </c>
      <c r="F3500" s="47">
        <v>107.0</v>
      </c>
      <c r="G3500" s="47">
        <v>3.83</v>
      </c>
      <c r="H3500" s="47">
        <v>27.9</v>
      </c>
      <c r="I3500" s="47" t="s">
        <v>75</v>
      </c>
    </row>
    <row r="3501" ht="15.75" customHeight="1">
      <c r="A3501" s="47" t="s">
        <v>7201</v>
      </c>
      <c r="B3501" s="47" t="s">
        <v>7202</v>
      </c>
      <c r="C3501" s="47" t="s">
        <v>7759</v>
      </c>
      <c r="D3501" s="47" t="s">
        <v>197</v>
      </c>
      <c r="E3501" s="47" t="s">
        <v>517</v>
      </c>
      <c r="F3501" s="47">
        <v>1285.0</v>
      </c>
      <c r="G3501" s="47">
        <v>10.77</v>
      </c>
      <c r="H3501" s="47">
        <v>119.3</v>
      </c>
      <c r="I3501" s="47" t="s">
        <v>62</v>
      </c>
    </row>
    <row r="3502" ht="15.75" customHeight="1">
      <c r="A3502" s="47" t="s">
        <v>7203</v>
      </c>
      <c r="B3502" s="47" t="s">
        <v>7204</v>
      </c>
      <c r="C3502" s="47" t="s">
        <v>7759</v>
      </c>
      <c r="D3502" s="47" t="s">
        <v>230</v>
      </c>
      <c r="E3502" s="47" t="s">
        <v>402</v>
      </c>
      <c r="F3502" s="47">
        <v>546.0</v>
      </c>
      <c r="G3502" s="47">
        <v>7.06</v>
      </c>
      <c r="H3502" s="47">
        <v>77.3</v>
      </c>
      <c r="I3502" s="47" t="s">
        <v>62</v>
      </c>
    </row>
    <row r="3503" ht="15.75" customHeight="1">
      <c r="A3503" s="47" t="s">
        <v>7205</v>
      </c>
      <c r="B3503" s="47" t="s">
        <v>7206</v>
      </c>
      <c r="C3503" s="47" t="s">
        <v>7759</v>
      </c>
      <c r="D3503" s="47" t="s">
        <v>229</v>
      </c>
      <c r="E3503" s="47" t="s">
        <v>400</v>
      </c>
      <c r="F3503" s="47">
        <v>183.0</v>
      </c>
      <c r="G3503" s="47">
        <v>3.99</v>
      </c>
      <c r="H3503" s="47">
        <v>45.9</v>
      </c>
      <c r="I3503" s="47" t="s">
        <v>75</v>
      </c>
    </row>
    <row r="3504" ht="15.75" customHeight="1">
      <c r="A3504" s="47" t="s">
        <v>7207</v>
      </c>
      <c r="B3504" s="47" t="s">
        <v>7208</v>
      </c>
      <c r="C3504" s="47" t="s">
        <v>7759</v>
      </c>
      <c r="D3504" s="47" t="s">
        <v>207</v>
      </c>
      <c r="E3504" s="47" t="s">
        <v>534</v>
      </c>
      <c r="F3504" s="47">
        <v>154.0</v>
      </c>
      <c r="G3504" s="47">
        <v>6.99</v>
      </c>
      <c r="H3504" s="47">
        <v>22.0</v>
      </c>
      <c r="I3504" s="47" t="s">
        <v>75</v>
      </c>
    </row>
    <row r="3505" ht="15.75" customHeight="1">
      <c r="A3505" s="47" t="s">
        <v>7209</v>
      </c>
      <c r="B3505" s="47" t="s">
        <v>7210</v>
      </c>
      <c r="C3505" s="47" t="s">
        <v>7759</v>
      </c>
      <c r="D3505" s="47" t="s">
        <v>212</v>
      </c>
      <c r="E3505" s="47" t="s">
        <v>549</v>
      </c>
      <c r="F3505" s="47">
        <v>298.0</v>
      </c>
      <c r="G3505" s="47">
        <v>4.03</v>
      </c>
      <c r="H3505" s="47">
        <v>73.9</v>
      </c>
      <c r="I3505" s="47" t="s">
        <v>75</v>
      </c>
    </row>
    <row r="3506" ht="15.75" customHeight="1">
      <c r="A3506" s="47" t="s">
        <v>7211</v>
      </c>
      <c r="B3506" s="47" t="s">
        <v>7212</v>
      </c>
      <c r="C3506" s="47" t="s">
        <v>7759</v>
      </c>
      <c r="D3506" s="47" t="s">
        <v>229</v>
      </c>
      <c r="E3506" s="47" t="s">
        <v>400</v>
      </c>
      <c r="F3506" s="47">
        <v>9.0</v>
      </c>
      <c r="G3506" s="47">
        <v>3.05</v>
      </c>
      <c r="H3506" s="47">
        <v>3.0</v>
      </c>
      <c r="I3506" s="47" t="s">
        <v>75</v>
      </c>
    </row>
    <row r="3507" ht="15.75" customHeight="1">
      <c r="A3507" s="47" t="s">
        <v>7213</v>
      </c>
      <c r="B3507" s="47" t="s">
        <v>7214</v>
      </c>
      <c r="C3507" s="47" t="s">
        <v>7759</v>
      </c>
      <c r="D3507" s="47" t="s">
        <v>121</v>
      </c>
      <c r="E3507" s="47" t="s">
        <v>325</v>
      </c>
      <c r="F3507" s="47">
        <v>183.0</v>
      </c>
      <c r="G3507" s="47">
        <v>3.75</v>
      </c>
      <c r="H3507" s="47">
        <v>48.8</v>
      </c>
      <c r="I3507" s="47" t="s">
        <v>75</v>
      </c>
    </row>
    <row r="3508" ht="15.75" customHeight="1">
      <c r="A3508" s="47" t="s">
        <v>7215</v>
      </c>
      <c r="B3508" s="47" t="s">
        <v>7216</v>
      </c>
      <c r="C3508" s="47" t="s">
        <v>7759</v>
      </c>
      <c r="D3508" s="47" t="s">
        <v>210</v>
      </c>
      <c r="E3508" s="47" t="s">
        <v>537</v>
      </c>
      <c r="F3508" s="47">
        <v>587.0</v>
      </c>
      <c r="G3508" s="47">
        <v>6.95</v>
      </c>
      <c r="H3508" s="47">
        <v>84.5</v>
      </c>
      <c r="I3508" s="47" t="s">
        <v>62</v>
      </c>
    </row>
    <row r="3509" ht="15.75" customHeight="1">
      <c r="A3509" s="47" t="s">
        <v>7217</v>
      </c>
      <c r="B3509" s="47" t="s">
        <v>7218</v>
      </c>
      <c r="C3509" s="47" t="s">
        <v>7759</v>
      </c>
      <c r="D3509" s="47" t="s">
        <v>229</v>
      </c>
      <c r="E3509" s="47" t="s">
        <v>400</v>
      </c>
      <c r="F3509" s="47">
        <v>106.0</v>
      </c>
      <c r="G3509" s="47">
        <v>3.32</v>
      </c>
      <c r="H3509" s="47">
        <v>31.9</v>
      </c>
      <c r="I3509" s="47" t="s">
        <v>75</v>
      </c>
    </row>
    <row r="3510" ht="15.75" customHeight="1">
      <c r="A3510" s="47" t="s">
        <v>7219</v>
      </c>
      <c r="B3510" s="47" t="s">
        <v>7220</v>
      </c>
      <c r="C3510" s="47" t="s">
        <v>7759</v>
      </c>
      <c r="D3510" s="47" t="s">
        <v>178</v>
      </c>
      <c r="E3510" s="47" t="s">
        <v>475</v>
      </c>
      <c r="F3510" s="47">
        <v>2540.0</v>
      </c>
      <c r="G3510" s="47">
        <v>5.43</v>
      </c>
      <c r="H3510" s="47">
        <v>467.8</v>
      </c>
      <c r="I3510" s="47" t="s">
        <v>142</v>
      </c>
    </row>
    <row r="3511" ht="15.75" customHeight="1">
      <c r="A3511" s="47" t="s">
        <v>7221</v>
      </c>
      <c r="B3511" s="47" t="s">
        <v>7222</v>
      </c>
      <c r="C3511" s="47" t="s">
        <v>7759</v>
      </c>
      <c r="D3511" s="47" t="s">
        <v>218</v>
      </c>
      <c r="E3511" s="47" t="s">
        <v>374</v>
      </c>
      <c r="F3511" s="47">
        <v>144.0</v>
      </c>
      <c r="G3511" s="47">
        <v>8.72</v>
      </c>
      <c r="H3511" s="47">
        <v>16.5</v>
      </c>
      <c r="I3511" s="47" t="s">
        <v>75</v>
      </c>
    </row>
    <row r="3512" ht="15.75" customHeight="1">
      <c r="A3512" s="47" t="s">
        <v>7223</v>
      </c>
      <c r="B3512" s="47" t="s">
        <v>7224</v>
      </c>
      <c r="C3512" s="47" t="s">
        <v>7759</v>
      </c>
      <c r="D3512" s="47" t="s">
        <v>158</v>
      </c>
      <c r="E3512" s="47" t="s">
        <v>427</v>
      </c>
      <c r="F3512" s="47">
        <v>290.0</v>
      </c>
      <c r="G3512" s="47">
        <v>7.36</v>
      </c>
      <c r="H3512" s="47">
        <v>39.4</v>
      </c>
      <c r="I3512" s="47" t="s">
        <v>75</v>
      </c>
    </row>
    <row r="3513" ht="15.75" customHeight="1">
      <c r="A3513" s="47" t="s">
        <v>7225</v>
      </c>
      <c r="B3513" s="47" t="s">
        <v>7226</v>
      </c>
      <c r="C3513" s="47" t="s">
        <v>7759</v>
      </c>
      <c r="D3513" s="47" t="s">
        <v>225</v>
      </c>
      <c r="E3513" s="47" t="s">
        <v>387</v>
      </c>
      <c r="F3513" s="47">
        <v>88.0</v>
      </c>
      <c r="G3513" s="47">
        <v>3.56</v>
      </c>
      <c r="H3513" s="47">
        <v>24.7</v>
      </c>
      <c r="I3513" s="47" t="s">
        <v>75</v>
      </c>
    </row>
    <row r="3514" ht="15.75" customHeight="1">
      <c r="A3514" s="47" t="s">
        <v>7227</v>
      </c>
      <c r="B3514" s="47" t="s">
        <v>7228</v>
      </c>
      <c r="C3514" s="47" t="s">
        <v>7759</v>
      </c>
      <c r="D3514" s="47" t="s">
        <v>158</v>
      </c>
      <c r="E3514" s="47" t="s">
        <v>427</v>
      </c>
      <c r="F3514" s="47">
        <v>105.0</v>
      </c>
      <c r="G3514" s="47">
        <v>6.5</v>
      </c>
      <c r="H3514" s="47">
        <v>16.2</v>
      </c>
      <c r="I3514" s="47" t="s">
        <v>75</v>
      </c>
    </row>
    <row r="3515" ht="15.75" customHeight="1">
      <c r="A3515" s="47" t="s">
        <v>7229</v>
      </c>
      <c r="B3515" s="47" t="s">
        <v>7230</v>
      </c>
      <c r="C3515" s="47" t="s">
        <v>7759</v>
      </c>
      <c r="D3515" s="47" t="s">
        <v>197</v>
      </c>
      <c r="E3515" s="47" t="s">
        <v>517</v>
      </c>
      <c r="F3515" s="47">
        <v>237.0</v>
      </c>
      <c r="G3515" s="47">
        <v>8.74</v>
      </c>
      <c r="H3515" s="47">
        <v>27.1</v>
      </c>
      <c r="I3515" s="47" t="s">
        <v>75</v>
      </c>
    </row>
    <row r="3516" ht="15.75" customHeight="1">
      <c r="A3516" s="47" t="s">
        <v>7231</v>
      </c>
      <c r="B3516" s="47" t="s">
        <v>7232</v>
      </c>
      <c r="C3516" s="47" t="s">
        <v>7759</v>
      </c>
      <c r="D3516" s="47" t="s">
        <v>185</v>
      </c>
      <c r="E3516" s="47" t="s">
        <v>485</v>
      </c>
      <c r="F3516" s="47">
        <v>217.0</v>
      </c>
      <c r="G3516" s="47">
        <v>6.05</v>
      </c>
      <c r="H3516" s="47">
        <v>35.9</v>
      </c>
      <c r="I3516" s="47" t="s">
        <v>75</v>
      </c>
    </row>
    <row r="3517" ht="15.75" customHeight="1">
      <c r="A3517" s="47" t="s">
        <v>7233</v>
      </c>
      <c r="B3517" s="47" t="s">
        <v>7234</v>
      </c>
      <c r="C3517" s="47" t="s">
        <v>7759</v>
      </c>
      <c r="D3517" s="47" t="s">
        <v>152</v>
      </c>
      <c r="E3517" s="47" t="s">
        <v>417</v>
      </c>
      <c r="F3517" s="47">
        <v>569.0</v>
      </c>
      <c r="G3517" s="47">
        <v>6.82</v>
      </c>
      <c r="H3517" s="47">
        <v>83.4</v>
      </c>
      <c r="I3517" s="47" t="s">
        <v>62</v>
      </c>
    </row>
    <row r="3518" ht="15.75" customHeight="1">
      <c r="A3518" s="47" t="s">
        <v>7235</v>
      </c>
      <c r="B3518" s="47" t="s">
        <v>7236</v>
      </c>
      <c r="C3518" s="47" t="s">
        <v>7759</v>
      </c>
      <c r="D3518" s="47" t="s">
        <v>229</v>
      </c>
      <c r="E3518" s="47" t="s">
        <v>400</v>
      </c>
      <c r="F3518" s="47">
        <v>122.0</v>
      </c>
      <c r="G3518" s="47">
        <v>6.72</v>
      </c>
      <c r="H3518" s="47">
        <v>18.2</v>
      </c>
      <c r="I3518" s="47" t="s">
        <v>75</v>
      </c>
    </row>
    <row r="3519" ht="15.75" customHeight="1">
      <c r="A3519" s="47" t="s">
        <v>7237</v>
      </c>
      <c r="B3519" s="47" t="s">
        <v>7238</v>
      </c>
      <c r="C3519" s="47" t="s">
        <v>7759</v>
      </c>
      <c r="D3519" s="47" t="s">
        <v>207</v>
      </c>
      <c r="E3519" s="47" t="s">
        <v>534</v>
      </c>
      <c r="F3519" s="47">
        <v>184.0</v>
      </c>
      <c r="G3519" s="47">
        <v>6.47</v>
      </c>
      <c r="H3519" s="47">
        <v>28.4</v>
      </c>
      <c r="I3519" s="47" t="s">
        <v>75</v>
      </c>
    </row>
    <row r="3520" ht="15.75" customHeight="1">
      <c r="A3520" s="47" t="s">
        <v>7239</v>
      </c>
      <c r="B3520" s="47" t="s">
        <v>7240</v>
      </c>
      <c r="C3520" s="47" t="s">
        <v>7759</v>
      </c>
      <c r="D3520" s="47" t="s">
        <v>148</v>
      </c>
      <c r="E3520" s="47" t="s">
        <v>360</v>
      </c>
      <c r="F3520" s="47">
        <v>521.0</v>
      </c>
      <c r="G3520" s="47">
        <v>10.8</v>
      </c>
      <c r="H3520" s="47">
        <v>48.2</v>
      </c>
      <c r="I3520" s="47" t="s">
        <v>62</v>
      </c>
    </row>
    <row r="3521" ht="15.75" customHeight="1">
      <c r="A3521" s="47" t="s">
        <v>7241</v>
      </c>
      <c r="B3521" s="47" t="s">
        <v>7242</v>
      </c>
      <c r="C3521" s="47" t="s">
        <v>7759</v>
      </c>
      <c r="D3521" s="47" t="s">
        <v>212</v>
      </c>
      <c r="E3521" s="47" t="s">
        <v>549</v>
      </c>
      <c r="F3521" s="47">
        <v>604.0</v>
      </c>
      <c r="G3521" s="47">
        <v>8.79</v>
      </c>
      <c r="H3521" s="47">
        <v>68.7</v>
      </c>
      <c r="I3521" s="47" t="s">
        <v>62</v>
      </c>
    </row>
    <row r="3522" ht="15.75" customHeight="1">
      <c r="A3522" s="47" t="s">
        <v>7243</v>
      </c>
      <c r="B3522" s="47" t="s">
        <v>7244</v>
      </c>
      <c r="C3522" s="47" t="s">
        <v>7759</v>
      </c>
      <c r="D3522" s="47" t="s">
        <v>197</v>
      </c>
      <c r="E3522" s="47" t="s">
        <v>517</v>
      </c>
      <c r="F3522" s="47">
        <v>202.0</v>
      </c>
      <c r="G3522" s="47">
        <v>5.86</v>
      </c>
      <c r="H3522" s="47">
        <v>34.5</v>
      </c>
      <c r="I3522" s="47" t="s">
        <v>75</v>
      </c>
    </row>
    <row r="3523" ht="15.75" customHeight="1">
      <c r="A3523" s="47" t="s">
        <v>7245</v>
      </c>
      <c r="B3523" s="47" t="s">
        <v>7246</v>
      </c>
      <c r="C3523" s="47" t="s">
        <v>7759</v>
      </c>
      <c r="D3523" s="47" t="s">
        <v>225</v>
      </c>
      <c r="E3523" s="47" t="s">
        <v>387</v>
      </c>
      <c r="F3523" s="47">
        <v>337.0</v>
      </c>
      <c r="G3523" s="47">
        <v>8.63</v>
      </c>
      <c r="H3523" s="47">
        <v>39.0</v>
      </c>
      <c r="I3523" s="47" t="s">
        <v>75</v>
      </c>
    </row>
    <row r="3524" ht="15.75" customHeight="1">
      <c r="A3524" s="47" t="s">
        <v>7247</v>
      </c>
      <c r="B3524" s="47" t="s">
        <v>7248</v>
      </c>
      <c r="C3524" s="47" t="s">
        <v>7759</v>
      </c>
      <c r="D3524" s="47" t="s">
        <v>197</v>
      </c>
      <c r="E3524" s="47" t="s">
        <v>517</v>
      </c>
      <c r="F3524" s="47">
        <v>620.0</v>
      </c>
      <c r="G3524" s="47">
        <v>14.02</v>
      </c>
      <c r="H3524" s="47">
        <v>44.2</v>
      </c>
      <c r="I3524" s="47" t="s">
        <v>62</v>
      </c>
    </row>
    <row r="3525" ht="15.75" customHeight="1">
      <c r="A3525" s="47" t="s">
        <v>7249</v>
      </c>
      <c r="B3525" s="47" t="s">
        <v>7250</v>
      </c>
      <c r="C3525" s="47" t="s">
        <v>7759</v>
      </c>
      <c r="D3525" s="47" t="s">
        <v>207</v>
      </c>
      <c r="E3525" s="47" t="s">
        <v>534</v>
      </c>
      <c r="F3525" s="47">
        <v>121.0</v>
      </c>
      <c r="G3525" s="47">
        <v>2.32</v>
      </c>
      <c r="H3525" s="47">
        <v>52.2</v>
      </c>
      <c r="I3525" s="47" t="s">
        <v>75</v>
      </c>
    </row>
    <row r="3526" ht="15.75" customHeight="1">
      <c r="A3526" s="47" t="s">
        <v>7251</v>
      </c>
      <c r="B3526" s="47" t="s">
        <v>7252</v>
      </c>
      <c r="C3526" s="47" t="s">
        <v>7759</v>
      </c>
      <c r="D3526" s="47" t="s">
        <v>158</v>
      </c>
      <c r="E3526" s="47" t="s">
        <v>427</v>
      </c>
      <c r="F3526" s="47">
        <v>1109.0</v>
      </c>
      <c r="G3526" s="47">
        <v>20.7</v>
      </c>
      <c r="H3526" s="47">
        <v>53.6</v>
      </c>
      <c r="I3526" s="47" t="s">
        <v>62</v>
      </c>
    </row>
    <row r="3527" ht="15.75" customHeight="1">
      <c r="A3527" s="47" t="s">
        <v>7253</v>
      </c>
      <c r="B3527" s="47" t="s">
        <v>7254</v>
      </c>
      <c r="C3527" s="47" t="s">
        <v>7759</v>
      </c>
      <c r="D3527" s="47" t="s">
        <v>207</v>
      </c>
      <c r="E3527" s="47" t="s">
        <v>534</v>
      </c>
      <c r="F3527" s="47">
        <v>349.0</v>
      </c>
      <c r="G3527" s="47">
        <v>7.32</v>
      </c>
      <c r="H3527" s="47">
        <v>47.7</v>
      </c>
      <c r="I3527" s="47" t="s">
        <v>75</v>
      </c>
    </row>
    <row r="3528" ht="15.75" customHeight="1">
      <c r="A3528" s="47" t="s">
        <v>7255</v>
      </c>
      <c r="B3528" s="47" t="s">
        <v>7256</v>
      </c>
      <c r="C3528" s="47" t="s">
        <v>7759</v>
      </c>
      <c r="D3528" s="47" t="s">
        <v>229</v>
      </c>
      <c r="E3528" s="47" t="s">
        <v>400</v>
      </c>
      <c r="F3528" s="47">
        <v>921.0</v>
      </c>
      <c r="G3528" s="47">
        <v>22.87</v>
      </c>
      <c r="H3528" s="47">
        <v>40.3</v>
      </c>
      <c r="I3528" s="47" t="s">
        <v>62</v>
      </c>
    </row>
    <row r="3529" ht="15.75" customHeight="1">
      <c r="A3529" s="47" t="s">
        <v>7257</v>
      </c>
      <c r="B3529" s="47" t="s">
        <v>7258</v>
      </c>
      <c r="C3529" s="47" t="s">
        <v>7759</v>
      </c>
      <c r="D3529" s="47" t="s">
        <v>152</v>
      </c>
      <c r="E3529" s="47" t="s">
        <v>417</v>
      </c>
      <c r="F3529" s="47">
        <v>593.0</v>
      </c>
      <c r="G3529" s="47">
        <v>15.46</v>
      </c>
      <c r="H3529" s="47">
        <v>38.4</v>
      </c>
      <c r="I3529" s="47" t="s">
        <v>62</v>
      </c>
    </row>
    <row r="3530" ht="15.75" customHeight="1">
      <c r="A3530" s="47" t="s">
        <v>7259</v>
      </c>
      <c r="B3530" s="47" t="s">
        <v>7260</v>
      </c>
      <c r="C3530" s="47" t="s">
        <v>7759</v>
      </c>
      <c r="D3530" s="47" t="s">
        <v>121</v>
      </c>
      <c r="E3530" s="47" t="s">
        <v>325</v>
      </c>
      <c r="F3530" s="47">
        <v>585.0</v>
      </c>
      <c r="G3530" s="47">
        <v>9.56</v>
      </c>
      <c r="H3530" s="47">
        <v>61.2</v>
      </c>
      <c r="I3530" s="47" t="s">
        <v>62</v>
      </c>
    </row>
    <row r="3531" ht="15.75" customHeight="1">
      <c r="A3531" s="47" t="s">
        <v>7261</v>
      </c>
      <c r="B3531" s="47" t="s">
        <v>7262</v>
      </c>
      <c r="C3531" s="47" t="s">
        <v>7759</v>
      </c>
      <c r="D3531" s="47" t="s">
        <v>158</v>
      </c>
      <c r="E3531" s="47" t="s">
        <v>427</v>
      </c>
      <c r="F3531" s="47">
        <v>594.0</v>
      </c>
      <c r="G3531" s="47">
        <v>15.38</v>
      </c>
      <c r="H3531" s="47">
        <v>38.6</v>
      </c>
      <c r="I3531" s="47" t="s">
        <v>62</v>
      </c>
    </row>
    <row r="3532" ht="15.75" customHeight="1">
      <c r="A3532" s="47" t="s">
        <v>7263</v>
      </c>
      <c r="B3532" s="47" t="s">
        <v>7264</v>
      </c>
      <c r="C3532" s="47" t="s">
        <v>7759</v>
      </c>
      <c r="D3532" s="47" t="s">
        <v>229</v>
      </c>
      <c r="E3532" s="47" t="s">
        <v>400</v>
      </c>
      <c r="F3532" s="47">
        <v>216.0</v>
      </c>
      <c r="G3532" s="47">
        <v>9.0</v>
      </c>
      <c r="H3532" s="47">
        <v>24.0</v>
      </c>
      <c r="I3532" s="47" t="s">
        <v>75</v>
      </c>
    </row>
    <row r="3533" ht="15.75" customHeight="1">
      <c r="A3533" s="47" t="s">
        <v>7265</v>
      </c>
      <c r="B3533" s="47" t="s">
        <v>7266</v>
      </c>
      <c r="C3533" s="47" t="s">
        <v>7759</v>
      </c>
      <c r="D3533" s="47" t="s">
        <v>229</v>
      </c>
      <c r="E3533" s="47" t="s">
        <v>400</v>
      </c>
      <c r="F3533" s="47">
        <v>146.0</v>
      </c>
      <c r="G3533" s="47">
        <v>6.99</v>
      </c>
      <c r="H3533" s="47">
        <v>20.9</v>
      </c>
      <c r="I3533" s="47" t="s">
        <v>75</v>
      </c>
    </row>
    <row r="3534" ht="15.75" customHeight="1">
      <c r="A3534" s="47" t="s">
        <v>7267</v>
      </c>
      <c r="B3534" s="47" t="s">
        <v>7268</v>
      </c>
      <c r="C3534" s="47" t="s">
        <v>7759</v>
      </c>
      <c r="D3534" s="47" t="s">
        <v>197</v>
      </c>
      <c r="E3534" s="47" t="s">
        <v>517</v>
      </c>
      <c r="F3534" s="47">
        <v>217.0</v>
      </c>
      <c r="G3534" s="47">
        <v>7.69</v>
      </c>
      <c r="H3534" s="47">
        <v>28.2</v>
      </c>
      <c r="I3534" s="47" t="s">
        <v>75</v>
      </c>
    </row>
    <row r="3535" ht="15.75" customHeight="1">
      <c r="A3535" s="47" t="s">
        <v>7269</v>
      </c>
      <c r="B3535" s="47" t="s">
        <v>7270</v>
      </c>
      <c r="C3535" s="47" t="s">
        <v>7759</v>
      </c>
      <c r="D3535" s="47" t="s">
        <v>185</v>
      </c>
      <c r="E3535" s="47" t="s">
        <v>485</v>
      </c>
      <c r="F3535" s="47">
        <v>5935.0</v>
      </c>
      <c r="G3535" s="47">
        <v>12.62</v>
      </c>
      <c r="H3535" s="47">
        <v>470.3</v>
      </c>
      <c r="I3535" s="47" t="s">
        <v>142</v>
      </c>
    </row>
    <row r="3536" ht="15.75" customHeight="1">
      <c r="A3536" s="47" t="s">
        <v>7271</v>
      </c>
      <c r="B3536" s="47" t="s">
        <v>7272</v>
      </c>
      <c r="C3536" s="47" t="s">
        <v>7759</v>
      </c>
      <c r="D3536" s="47" t="s">
        <v>207</v>
      </c>
      <c r="E3536" s="47" t="s">
        <v>534</v>
      </c>
      <c r="F3536" s="47">
        <v>175.0</v>
      </c>
      <c r="G3536" s="47">
        <v>4.89</v>
      </c>
      <c r="H3536" s="47">
        <v>35.8</v>
      </c>
      <c r="I3536" s="47" t="s">
        <v>75</v>
      </c>
    </row>
    <row r="3537" ht="15.75" customHeight="1">
      <c r="A3537" s="47" t="s">
        <v>7273</v>
      </c>
      <c r="B3537" s="47" t="s">
        <v>7274</v>
      </c>
      <c r="C3537" s="47" t="s">
        <v>7759</v>
      </c>
      <c r="D3537" s="47" t="s">
        <v>207</v>
      </c>
      <c r="E3537" s="47" t="s">
        <v>534</v>
      </c>
      <c r="F3537" s="47">
        <v>102.0</v>
      </c>
      <c r="G3537" s="47">
        <v>5.01</v>
      </c>
      <c r="H3537" s="47">
        <v>20.4</v>
      </c>
      <c r="I3537" s="47" t="s">
        <v>75</v>
      </c>
    </row>
    <row r="3538" ht="15.75" customHeight="1">
      <c r="A3538" s="47" t="s">
        <v>7275</v>
      </c>
      <c r="B3538" s="47" t="s">
        <v>7276</v>
      </c>
      <c r="C3538" s="47" t="s">
        <v>7759</v>
      </c>
      <c r="D3538" s="47" t="s">
        <v>207</v>
      </c>
      <c r="E3538" s="47" t="s">
        <v>534</v>
      </c>
      <c r="F3538" s="47">
        <v>93.0</v>
      </c>
      <c r="G3538" s="47">
        <v>1.49</v>
      </c>
      <c r="H3538" s="47">
        <v>62.4</v>
      </c>
      <c r="I3538" s="47" t="s">
        <v>75</v>
      </c>
    </row>
    <row r="3539" ht="15.75" customHeight="1">
      <c r="A3539" s="47" t="s">
        <v>7277</v>
      </c>
      <c r="B3539" s="47" t="s">
        <v>7278</v>
      </c>
      <c r="C3539" s="47" t="s">
        <v>7759</v>
      </c>
      <c r="D3539" s="47" t="s">
        <v>207</v>
      </c>
      <c r="E3539" s="47" t="s">
        <v>534</v>
      </c>
      <c r="F3539" s="47">
        <v>339.0</v>
      </c>
      <c r="G3539" s="47">
        <v>9.68</v>
      </c>
      <c r="H3539" s="47">
        <v>35.0</v>
      </c>
      <c r="I3539" s="47" t="s">
        <v>75</v>
      </c>
    </row>
    <row r="3540" ht="15.75" customHeight="1">
      <c r="A3540" s="47" t="s">
        <v>7279</v>
      </c>
      <c r="B3540" s="47" t="s">
        <v>7280</v>
      </c>
      <c r="C3540" s="47" t="s">
        <v>7759</v>
      </c>
      <c r="D3540" s="47" t="s">
        <v>152</v>
      </c>
      <c r="E3540" s="47" t="s">
        <v>417</v>
      </c>
      <c r="F3540" s="47">
        <v>362.0</v>
      </c>
      <c r="G3540" s="47">
        <v>5.88</v>
      </c>
      <c r="H3540" s="47">
        <v>61.6</v>
      </c>
      <c r="I3540" s="47" t="s">
        <v>75</v>
      </c>
    </row>
    <row r="3541" ht="15.75" customHeight="1">
      <c r="A3541" s="47" t="s">
        <v>7281</v>
      </c>
      <c r="B3541" s="47" t="s">
        <v>1251</v>
      </c>
      <c r="C3541" s="47" t="s">
        <v>7759</v>
      </c>
      <c r="D3541" s="47" t="s">
        <v>210</v>
      </c>
      <c r="E3541" s="47" t="s">
        <v>537</v>
      </c>
      <c r="F3541" s="47">
        <v>327.0</v>
      </c>
      <c r="G3541" s="47">
        <v>7.6</v>
      </c>
      <c r="H3541" s="47">
        <v>43.0</v>
      </c>
      <c r="I3541" s="47" t="s">
        <v>75</v>
      </c>
    </row>
    <row r="3542" ht="15.75" customHeight="1">
      <c r="A3542" s="47" t="s">
        <v>7282</v>
      </c>
      <c r="B3542" s="47" t="s">
        <v>7283</v>
      </c>
      <c r="C3542" s="47" t="s">
        <v>7759</v>
      </c>
      <c r="D3542" s="47" t="s">
        <v>148</v>
      </c>
      <c r="E3542" s="47" t="s">
        <v>360</v>
      </c>
      <c r="F3542" s="47">
        <v>3936.0</v>
      </c>
      <c r="G3542" s="47">
        <v>23.66</v>
      </c>
      <c r="H3542" s="47">
        <v>166.4</v>
      </c>
      <c r="I3542" s="47" t="s">
        <v>142</v>
      </c>
    </row>
    <row r="3543" ht="15.75" customHeight="1">
      <c r="A3543" s="47" t="s">
        <v>7284</v>
      </c>
      <c r="B3543" s="47" t="s">
        <v>7285</v>
      </c>
      <c r="C3543" s="47" t="s">
        <v>7759</v>
      </c>
      <c r="D3543" s="47" t="s">
        <v>148</v>
      </c>
      <c r="E3543" s="47" t="s">
        <v>360</v>
      </c>
      <c r="F3543" s="47">
        <v>469.0</v>
      </c>
      <c r="G3543" s="47">
        <v>6.48</v>
      </c>
      <c r="H3543" s="47">
        <v>72.4</v>
      </c>
      <c r="I3543" s="47" t="s">
        <v>75</v>
      </c>
    </row>
    <row r="3544" ht="15.75" customHeight="1">
      <c r="A3544" s="47" t="s">
        <v>7286</v>
      </c>
      <c r="B3544" s="47" t="s">
        <v>7287</v>
      </c>
      <c r="C3544" s="47" t="s">
        <v>7759</v>
      </c>
      <c r="D3544" s="47" t="s">
        <v>197</v>
      </c>
      <c r="E3544" s="47" t="s">
        <v>517</v>
      </c>
      <c r="F3544" s="47">
        <v>382.0</v>
      </c>
      <c r="G3544" s="47">
        <v>11.88</v>
      </c>
      <c r="H3544" s="47">
        <v>32.2</v>
      </c>
      <c r="I3544" s="47" t="s">
        <v>75</v>
      </c>
    </row>
    <row r="3545" ht="15.75" customHeight="1">
      <c r="A3545" s="47" t="s">
        <v>7288</v>
      </c>
      <c r="B3545" s="47" t="s">
        <v>7289</v>
      </c>
      <c r="C3545" s="47" t="s">
        <v>7759</v>
      </c>
      <c r="D3545" s="47" t="s">
        <v>229</v>
      </c>
      <c r="E3545" s="47" t="s">
        <v>400</v>
      </c>
      <c r="F3545" s="47">
        <v>372.0</v>
      </c>
      <c r="G3545" s="47">
        <v>12.8</v>
      </c>
      <c r="H3545" s="47">
        <v>29.1</v>
      </c>
      <c r="I3545" s="47" t="s">
        <v>75</v>
      </c>
    </row>
    <row r="3546" ht="15.75" customHeight="1">
      <c r="A3546" s="47" t="s">
        <v>7290</v>
      </c>
      <c r="B3546" s="47" t="s">
        <v>7291</v>
      </c>
      <c r="C3546" s="47" t="s">
        <v>7759</v>
      </c>
      <c r="D3546" s="47" t="s">
        <v>225</v>
      </c>
      <c r="E3546" s="47" t="s">
        <v>387</v>
      </c>
      <c r="F3546" s="47">
        <v>96.0</v>
      </c>
      <c r="G3546" s="47">
        <v>3.56</v>
      </c>
      <c r="H3546" s="47">
        <v>27.0</v>
      </c>
      <c r="I3546" s="47" t="s">
        <v>75</v>
      </c>
    </row>
    <row r="3547" ht="15.75" customHeight="1">
      <c r="A3547" s="47" t="s">
        <v>7292</v>
      </c>
      <c r="B3547" s="47" t="s">
        <v>7293</v>
      </c>
      <c r="C3547" s="47" t="s">
        <v>7759</v>
      </c>
      <c r="D3547" s="47" t="s">
        <v>229</v>
      </c>
      <c r="E3547" s="47" t="s">
        <v>400</v>
      </c>
      <c r="F3547" s="47">
        <v>75.0</v>
      </c>
      <c r="G3547" s="47">
        <v>2.77</v>
      </c>
      <c r="H3547" s="47">
        <v>27.1</v>
      </c>
      <c r="I3547" s="47" t="s">
        <v>75</v>
      </c>
    </row>
    <row r="3548" ht="15.75" customHeight="1">
      <c r="A3548" s="47" t="s">
        <v>7294</v>
      </c>
      <c r="B3548" s="47" t="s">
        <v>7295</v>
      </c>
      <c r="C3548" s="47" t="s">
        <v>7759</v>
      </c>
      <c r="D3548" s="47" t="s">
        <v>152</v>
      </c>
      <c r="E3548" s="47" t="s">
        <v>417</v>
      </c>
      <c r="F3548" s="47">
        <v>314.0</v>
      </c>
      <c r="G3548" s="47">
        <v>4.17</v>
      </c>
      <c r="H3548" s="47">
        <v>75.3</v>
      </c>
      <c r="I3548" s="47" t="s">
        <v>75</v>
      </c>
    </row>
    <row r="3549" ht="15.75" customHeight="1">
      <c r="A3549" s="47" t="s">
        <v>7296</v>
      </c>
      <c r="B3549" s="47" t="s">
        <v>7297</v>
      </c>
      <c r="C3549" s="47" t="s">
        <v>7759</v>
      </c>
      <c r="D3549" s="47" t="s">
        <v>229</v>
      </c>
      <c r="E3549" s="47" t="s">
        <v>400</v>
      </c>
      <c r="F3549" s="47">
        <v>165.0</v>
      </c>
      <c r="G3549" s="47">
        <v>10.47</v>
      </c>
      <c r="H3549" s="47">
        <v>15.8</v>
      </c>
      <c r="I3549" s="47" t="s">
        <v>75</v>
      </c>
    </row>
    <row r="3550" ht="15.75" customHeight="1">
      <c r="A3550" s="47" t="s">
        <v>7298</v>
      </c>
      <c r="B3550" s="47" t="s">
        <v>3983</v>
      </c>
      <c r="C3550" s="47" t="s">
        <v>7759</v>
      </c>
      <c r="D3550" s="47" t="s">
        <v>212</v>
      </c>
      <c r="E3550" s="47" t="s">
        <v>549</v>
      </c>
      <c r="F3550" s="47">
        <v>693.0</v>
      </c>
      <c r="G3550" s="47">
        <v>14.11</v>
      </c>
      <c r="H3550" s="47">
        <v>49.1</v>
      </c>
      <c r="I3550" s="47" t="s">
        <v>62</v>
      </c>
    </row>
    <row r="3551" ht="15.75" customHeight="1">
      <c r="A3551" s="47" t="s">
        <v>7299</v>
      </c>
      <c r="B3551" s="47" t="s">
        <v>7300</v>
      </c>
      <c r="C3551" s="47" t="s">
        <v>7759</v>
      </c>
      <c r="D3551" s="47" t="s">
        <v>152</v>
      </c>
      <c r="E3551" s="47" t="s">
        <v>417</v>
      </c>
      <c r="F3551" s="47">
        <v>789.0</v>
      </c>
      <c r="G3551" s="47">
        <v>6.59</v>
      </c>
      <c r="H3551" s="47">
        <v>119.7</v>
      </c>
      <c r="I3551" s="47" t="s">
        <v>62</v>
      </c>
    </row>
    <row r="3552" ht="15.75" customHeight="1">
      <c r="A3552" s="47" t="s">
        <v>7301</v>
      </c>
      <c r="B3552" s="47" t="s">
        <v>7302</v>
      </c>
      <c r="C3552" s="47" t="s">
        <v>7759</v>
      </c>
      <c r="D3552" s="47" t="s">
        <v>225</v>
      </c>
      <c r="E3552" s="47" t="s">
        <v>387</v>
      </c>
      <c r="F3552" s="47">
        <v>261.0</v>
      </c>
      <c r="G3552" s="47">
        <v>19.52</v>
      </c>
      <c r="H3552" s="47">
        <v>13.4</v>
      </c>
      <c r="I3552" s="47" t="s">
        <v>75</v>
      </c>
    </row>
    <row r="3553" ht="15.75" customHeight="1">
      <c r="A3553" s="47" t="s">
        <v>7303</v>
      </c>
      <c r="B3553" s="47" t="s">
        <v>7304</v>
      </c>
      <c r="C3553" s="47" t="s">
        <v>7759</v>
      </c>
      <c r="D3553" s="47" t="s">
        <v>229</v>
      </c>
      <c r="E3553" s="47" t="s">
        <v>400</v>
      </c>
      <c r="F3553" s="47">
        <v>1013.0</v>
      </c>
      <c r="G3553" s="47">
        <v>22.0</v>
      </c>
      <c r="H3553" s="47">
        <v>46.0</v>
      </c>
      <c r="I3553" s="47" t="s">
        <v>62</v>
      </c>
    </row>
    <row r="3554" ht="15.75" customHeight="1">
      <c r="A3554" s="47" t="s">
        <v>7305</v>
      </c>
      <c r="B3554" s="47" t="s">
        <v>7306</v>
      </c>
      <c r="C3554" s="47" t="s">
        <v>7759</v>
      </c>
      <c r="D3554" s="47" t="s">
        <v>229</v>
      </c>
      <c r="E3554" s="47" t="s">
        <v>400</v>
      </c>
      <c r="F3554" s="47">
        <v>277.0</v>
      </c>
      <c r="G3554" s="47">
        <v>5.27</v>
      </c>
      <c r="H3554" s="47">
        <v>52.6</v>
      </c>
      <c r="I3554" s="47" t="s">
        <v>75</v>
      </c>
    </row>
    <row r="3555" ht="15.75" customHeight="1">
      <c r="A3555" s="47" t="s">
        <v>7307</v>
      </c>
      <c r="B3555" s="47" t="s">
        <v>7308</v>
      </c>
      <c r="C3555" s="47" t="s">
        <v>7759</v>
      </c>
      <c r="D3555" s="47" t="s">
        <v>207</v>
      </c>
      <c r="E3555" s="47" t="s">
        <v>534</v>
      </c>
      <c r="F3555" s="47">
        <v>1047.0</v>
      </c>
      <c r="G3555" s="47">
        <v>16.53</v>
      </c>
      <c r="H3555" s="47">
        <v>63.3</v>
      </c>
      <c r="I3555" s="47" t="s">
        <v>62</v>
      </c>
    </row>
    <row r="3556" ht="15.75" customHeight="1">
      <c r="A3556" s="47" t="s">
        <v>7309</v>
      </c>
      <c r="B3556" s="47" t="s">
        <v>7310</v>
      </c>
      <c r="C3556" s="47" t="s">
        <v>7759</v>
      </c>
      <c r="D3556" s="47" t="s">
        <v>152</v>
      </c>
      <c r="E3556" s="47" t="s">
        <v>417</v>
      </c>
      <c r="F3556" s="47">
        <v>2284.0</v>
      </c>
      <c r="G3556" s="47">
        <v>7.8</v>
      </c>
      <c r="H3556" s="47">
        <v>292.8</v>
      </c>
      <c r="I3556" s="47" t="s">
        <v>142</v>
      </c>
    </row>
    <row r="3557" ht="15.75" customHeight="1">
      <c r="A3557" s="47" t="s">
        <v>7311</v>
      </c>
      <c r="B3557" s="47" t="s">
        <v>7312</v>
      </c>
      <c r="C3557" s="47" t="s">
        <v>7759</v>
      </c>
      <c r="D3557" s="47" t="s">
        <v>229</v>
      </c>
      <c r="E3557" s="47" t="s">
        <v>400</v>
      </c>
      <c r="F3557" s="47">
        <v>174.0</v>
      </c>
      <c r="G3557" s="47">
        <v>4.79</v>
      </c>
      <c r="H3557" s="47">
        <v>36.3</v>
      </c>
      <c r="I3557" s="47" t="s">
        <v>75</v>
      </c>
    </row>
    <row r="3558" ht="15.75" customHeight="1">
      <c r="A3558" s="47" t="s">
        <v>7313</v>
      </c>
      <c r="B3558" s="47" t="s">
        <v>7314</v>
      </c>
      <c r="C3558" s="47" t="s">
        <v>7759</v>
      </c>
      <c r="D3558" s="47" t="s">
        <v>229</v>
      </c>
      <c r="E3558" s="47" t="s">
        <v>400</v>
      </c>
      <c r="F3558" s="47">
        <v>89.0</v>
      </c>
      <c r="G3558" s="47">
        <v>2.04</v>
      </c>
      <c r="H3558" s="47">
        <v>43.6</v>
      </c>
      <c r="I3558" s="47" t="s">
        <v>75</v>
      </c>
    </row>
    <row r="3559" ht="15.75" customHeight="1">
      <c r="A3559" s="47" t="s">
        <v>7315</v>
      </c>
      <c r="B3559" s="47" t="s">
        <v>7316</v>
      </c>
      <c r="C3559" s="47" t="s">
        <v>7759</v>
      </c>
      <c r="D3559" s="47" t="s">
        <v>121</v>
      </c>
      <c r="E3559" s="47" t="s">
        <v>325</v>
      </c>
      <c r="F3559" s="47">
        <v>368.0</v>
      </c>
      <c r="G3559" s="47">
        <v>4.46</v>
      </c>
      <c r="H3559" s="47">
        <v>82.5</v>
      </c>
      <c r="I3559" s="47" t="s">
        <v>75</v>
      </c>
    </row>
    <row r="3560" ht="15.75" customHeight="1">
      <c r="A3560" s="47" t="s">
        <v>7317</v>
      </c>
      <c r="B3560" s="47" t="s">
        <v>7318</v>
      </c>
      <c r="C3560" s="47" t="s">
        <v>7759</v>
      </c>
      <c r="D3560" s="47" t="s">
        <v>225</v>
      </c>
      <c r="E3560" s="47" t="s">
        <v>387</v>
      </c>
      <c r="F3560" s="47">
        <v>106.0</v>
      </c>
      <c r="G3560" s="47">
        <v>4.89</v>
      </c>
      <c r="H3560" s="47">
        <v>21.7</v>
      </c>
      <c r="I3560" s="47" t="s">
        <v>75</v>
      </c>
    </row>
    <row r="3561" ht="15.75" customHeight="1">
      <c r="A3561" s="47" t="s">
        <v>7319</v>
      </c>
      <c r="B3561" s="47" t="s">
        <v>7320</v>
      </c>
      <c r="C3561" s="47" t="s">
        <v>7759</v>
      </c>
      <c r="D3561" s="47" t="s">
        <v>225</v>
      </c>
      <c r="E3561" s="47" t="s">
        <v>387</v>
      </c>
      <c r="F3561" s="47">
        <v>334.0</v>
      </c>
      <c r="G3561" s="47">
        <v>7.69</v>
      </c>
      <c r="H3561" s="47">
        <v>43.4</v>
      </c>
      <c r="I3561" s="47" t="s">
        <v>75</v>
      </c>
    </row>
    <row r="3562" ht="15.75" customHeight="1">
      <c r="A3562" s="47" t="s">
        <v>7321</v>
      </c>
      <c r="B3562" s="47" t="s">
        <v>7322</v>
      </c>
      <c r="C3562" s="47" t="s">
        <v>7759</v>
      </c>
      <c r="D3562" s="47" t="s">
        <v>229</v>
      </c>
      <c r="E3562" s="47" t="s">
        <v>400</v>
      </c>
      <c r="F3562" s="47">
        <v>144.0</v>
      </c>
      <c r="G3562" s="47">
        <v>2.95</v>
      </c>
      <c r="H3562" s="47">
        <v>48.8</v>
      </c>
      <c r="I3562" s="47" t="s">
        <v>75</v>
      </c>
    </row>
    <row r="3563" ht="15.75" customHeight="1">
      <c r="A3563" s="47" t="s">
        <v>7323</v>
      </c>
      <c r="B3563" s="47" t="s">
        <v>7324</v>
      </c>
      <c r="C3563" s="47" t="s">
        <v>7759</v>
      </c>
      <c r="D3563" s="47" t="s">
        <v>229</v>
      </c>
      <c r="E3563" s="47" t="s">
        <v>400</v>
      </c>
      <c r="F3563" s="47">
        <v>509.0</v>
      </c>
      <c r="G3563" s="47">
        <v>8.65</v>
      </c>
      <c r="H3563" s="47">
        <v>58.8</v>
      </c>
      <c r="I3563" s="47" t="s">
        <v>62</v>
      </c>
    </row>
    <row r="3564" ht="15.75" customHeight="1">
      <c r="A3564" s="47" t="s">
        <v>7325</v>
      </c>
      <c r="B3564" s="47" t="s">
        <v>7326</v>
      </c>
      <c r="C3564" s="47" t="s">
        <v>7759</v>
      </c>
      <c r="D3564" s="47" t="s">
        <v>197</v>
      </c>
      <c r="E3564" s="47" t="s">
        <v>517</v>
      </c>
      <c r="F3564" s="47">
        <v>263.0</v>
      </c>
      <c r="G3564" s="47">
        <v>4.03</v>
      </c>
      <c r="H3564" s="47">
        <v>65.3</v>
      </c>
      <c r="I3564" s="47" t="s">
        <v>75</v>
      </c>
    </row>
    <row r="3565" ht="15.75" customHeight="1">
      <c r="A3565" s="47" t="s">
        <v>7327</v>
      </c>
      <c r="B3565" s="47" t="s">
        <v>7328</v>
      </c>
      <c r="C3565" s="47" t="s">
        <v>7759</v>
      </c>
      <c r="D3565" s="47" t="s">
        <v>148</v>
      </c>
      <c r="E3565" s="47" t="s">
        <v>360</v>
      </c>
      <c r="F3565" s="47">
        <v>263.0</v>
      </c>
      <c r="G3565" s="47">
        <v>4.39</v>
      </c>
      <c r="H3565" s="47">
        <v>59.9</v>
      </c>
      <c r="I3565" s="47" t="s">
        <v>75</v>
      </c>
    </row>
    <row r="3566" ht="15.75" customHeight="1">
      <c r="A3566" s="47" t="s">
        <v>7329</v>
      </c>
      <c r="B3566" s="47" t="s">
        <v>1305</v>
      </c>
      <c r="C3566" s="47" t="s">
        <v>7759</v>
      </c>
      <c r="D3566" s="47" t="s">
        <v>207</v>
      </c>
      <c r="E3566" s="47" t="s">
        <v>534</v>
      </c>
      <c r="F3566" s="47">
        <v>212.0</v>
      </c>
      <c r="G3566" s="47">
        <v>3.16</v>
      </c>
      <c r="H3566" s="47">
        <v>67.1</v>
      </c>
      <c r="I3566" s="47" t="s">
        <v>75</v>
      </c>
    </row>
    <row r="3567" ht="15.75" customHeight="1">
      <c r="A3567" s="47" t="s">
        <v>7330</v>
      </c>
      <c r="B3567" s="47" t="s">
        <v>7331</v>
      </c>
      <c r="C3567" s="47" t="s">
        <v>7759</v>
      </c>
      <c r="D3567" s="47" t="s">
        <v>212</v>
      </c>
      <c r="E3567" s="47" t="s">
        <v>549</v>
      </c>
      <c r="F3567" s="47">
        <v>828.0</v>
      </c>
      <c r="G3567" s="47">
        <v>12.53</v>
      </c>
      <c r="H3567" s="47">
        <v>66.1</v>
      </c>
      <c r="I3567" s="47" t="s">
        <v>62</v>
      </c>
    </row>
    <row r="3568" ht="15.75" customHeight="1">
      <c r="A3568" s="47" t="s">
        <v>7332</v>
      </c>
      <c r="B3568" s="47" t="s">
        <v>7333</v>
      </c>
      <c r="C3568" s="47" t="s">
        <v>7759</v>
      </c>
      <c r="D3568" s="47" t="s">
        <v>225</v>
      </c>
      <c r="E3568" s="47" t="s">
        <v>387</v>
      </c>
      <c r="F3568" s="47">
        <v>1196.0</v>
      </c>
      <c r="G3568" s="47">
        <v>15.79</v>
      </c>
      <c r="H3568" s="47">
        <v>75.7</v>
      </c>
      <c r="I3568" s="47" t="s">
        <v>62</v>
      </c>
    </row>
    <row r="3569" ht="15.75" customHeight="1">
      <c r="A3569" s="47" t="s">
        <v>7334</v>
      </c>
      <c r="B3569" s="47" t="s">
        <v>7335</v>
      </c>
      <c r="C3569" s="47" t="s">
        <v>7759</v>
      </c>
      <c r="D3569" s="47" t="s">
        <v>225</v>
      </c>
      <c r="E3569" s="47" t="s">
        <v>387</v>
      </c>
      <c r="F3569" s="47">
        <v>242.0</v>
      </c>
      <c r="G3569" s="47">
        <v>10.53</v>
      </c>
      <c r="H3569" s="47">
        <v>23.0</v>
      </c>
      <c r="I3569" s="47" t="s">
        <v>75</v>
      </c>
    </row>
    <row r="3570" ht="15.75" customHeight="1">
      <c r="A3570" s="47" t="s">
        <v>7336</v>
      </c>
      <c r="B3570" s="47" t="s">
        <v>7337</v>
      </c>
      <c r="C3570" s="47" t="s">
        <v>7759</v>
      </c>
      <c r="D3570" s="47" t="s">
        <v>225</v>
      </c>
      <c r="E3570" s="47" t="s">
        <v>387</v>
      </c>
      <c r="F3570" s="47">
        <v>636.0</v>
      </c>
      <c r="G3570" s="47">
        <v>19.62</v>
      </c>
      <c r="H3570" s="47">
        <v>32.4</v>
      </c>
      <c r="I3570" s="47" t="s">
        <v>62</v>
      </c>
    </row>
    <row r="3571" ht="15.75" customHeight="1">
      <c r="A3571" s="47" t="s">
        <v>7338</v>
      </c>
      <c r="B3571" s="47" t="s">
        <v>7339</v>
      </c>
      <c r="C3571" s="47" t="s">
        <v>7759</v>
      </c>
      <c r="D3571" s="47" t="s">
        <v>158</v>
      </c>
      <c r="E3571" s="47" t="s">
        <v>427</v>
      </c>
      <c r="F3571" s="47">
        <v>373.0</v>
      </c>
      <c r="G3571" s="47">
        <v>6.73</v>
      </c>
      <c r="H3571" s="47">
        <v>55.4</v>
      </c>
      <c r="I3571" s="47" t="s">
        <v>75</v>
      </c>
    </row>
    <row r="3572" ht="15.75" customHeight="1">
      <c r="A3572" s="47" t="s">
        <v>7340</v>
      </c>
      <c r="B3572" s="47" t="s">
        <v>7341</v>
      </c>
      <c r="C3572" s="47" t="s">
        <v>7759</v>
      </c>
      <c r="D3572" s="47" t="s">
        <v>207</v>
      </c>
      <c r="E3572" s="47" t="s">
        <v>534</v>
      </c>
      <c r="F3572" s="47">
        <v>121.0</v>
      </c>
      <c r="G3572" s="47">
        <v>7.09</v>
      </c>
      <c r="H3572" s="47">
        <v>17.1</v>
      </c>
      <c r="I3572" s="47" t="s">
        <v>75</v>
      </c>
    </row>
    <row r="3573" ht="15.75" customHeight="1">
      <c r="A3573" s="47" t="s">
        <v>7342</v>
      </c>
      <c r="B3573" s="47" t="s">
        <v>7343</v>
      </c>
      <c r="C3573" s="47" t="s">
        <v>7759</v>
      </c>
      <c r="D3573" s="47" t="s">
        <v>212</v>
      </c>
      <c r="E3573" s="47" t="s">
        <v>549</v>
      </c>
      <c r="F3573" s="47">
        <v>322.0</v>
      </c>
      <c r="G3573" s="47">
        <v>3.99</v>
      </c>
      <c r="H3573" s="47">
        <v>80.7</v>
      </c>
      <c r="I3573" s="47" t="s">
        <v>75</v>
      </c>
    </row>
    <row r="3574" ht="15.75" customHeight="1">
      <c r="A3574" s="47" t="s">
        <v>7344</v>
      </c>
      <c r="B3574" s="47" t="s">
        <v>7345</v>
      </c>
      <c r="C3574" s="47" t="s">
        <v>7759</v>
      </c>
      <c r="D3574" s="47" t="s">
        <v>229</v>
      </c>
      <c r="E3574" s="47" t="s">
        <v>400</v>
      </c>
      <c r="F3574" s="47">
        <v>83.0</v>
      </c>
      <c r="G3574" s="47">
        <v>4.5</v>
      </c>
      <c r="H3574" s="47">
        <v>18.4</v>
      </c>
      <c r="I3574" s="47" t="s">
        <v>75</v>
      </c>
    </row>
    <row r="3575" ht="15.75" customHeight="1">
      <c r="A3575" s="47" t="s">
        <v>7346</v>
      </c>
      <c r="B3575" s="47" t="s">
        <v>4041</v>
      </c>
      <c r="C3575" s="47" t="s">
        <v>7759</v>
      </c>
      <c r="D3575" s="47" t="s">
        <v>152</v>
      </c>
      <c r="E3575" s="47" t="s">
        <v>417</v>
      </c>
      <c r="F3575" s="47">
        <v>196.0</v>
      </c>
      <c r="G3575" s="47">
        <v>7.15</v>
      </c>
      <c r="H3575" s="47">
        <v>27.4</v>
      </c>
      <c r="I3575" s="47" t="s">
        <v>75</v>
      </c>
    </row>
    <row r="3576" ht="15.75" customHeight="1">
      <c r="A3576" s="47" t="s">
        <v>7347</v>
      </c>
      <c r="B3576" s="47" t="s">
        <v>7348</v>
      </c>
      <c r="C3576" s="47" t="s">
        <v>7759</v>
      </c>
      <c r="D3576" s="47" t="s">
        <v>229</v>
      </c>
      <c r="E3576" s="47" t="s">
        <v>400</v>
      </c>
      <c r="F3576" s="47">
        <v>1127.0</v>
      </c>
      <c r="G3576" s="47">
        <v>8.09</v>
      </c>
      <c r="H3576" s="47">
        <v>139.3</v>
      </c>
      <c r="I3576" s="47" t="s">
        <v>62</v>
      </c>
    </row>
    <row r="3577" ht="15.75" customHeight="1">
      <c r="A3577" s="47" t="s">
        <v>7349</v>
      </c>
      <c r="B3577" s="47" t="s">
        <v>7350</v>
      </c>
      <c r="C3577" s="47" t="s">
        <v>7759</v>
      </c>
      <c r="D3577" s="47" t="s">
        <v>229</v>
      </c>
      <c r="E3577" s="47" t="s">
        <v>400</v>
      </c>
      <c r="F3577" s="47">
        <v>206.0</v>
      </c>
      <c r="G3577" s="47">
        <v>5.56</v>
      </c>
      <c r="H3577" s="47">
        <v>37.1</v>
      </c>
      <c r="I3577" s="47" t="s">
        <v>75</v>
      </c>
    </row>
    <row r="3578" ht="15.75" customHeight="1">
      <c r="A3578" s="47" t="s">
        <v>7351</v>
      </c>
      <c r="B3578" s="47" t="s">
        <v>7352</v>
      </c>
      <c r="C3578" s="47" t="s">
        <v>7759</v>
      </c>
      <c r="D3578" s="47" t="s">
        <v>225</v>
      </c>
      <c r="E3578" s="47" t="s">
        <v>387</v>
      </c>
      <c r="F3578" s="47">
        <v>434.0</v>
      </c>
      <c r="G3578" s="47">
        <v>12.44</v>
      </c>
      <c r="H3578" s="47">
        <v>34.9</v>
      </c>
      <c r="I3578" s="47" t="s">
        <v>75</v>
      </c>
    </row>
    <row r="3579" ht="15.75" customHeight="1">
      <c r="A3579" s="47" t="s">
        <v>7353</v>
      </c>
      <c r="B3579" s="47" t="s">
        <v>7354</v>
      </c>
      <c r="C3579" s="47" t="s">
        <v>7759</v>
      </c>
      <c r="D3579" s="47" t="s">
        <v>229</v>
      </c>
      <c r="E3579" s="47" t="s">
        <v>400</v>
      </c>
      <c r="F3579" s="47">
        <v>998.0</v>
      </c>
      <c r="G3579" s="47">
        <v>11.04</v>
      </c>
      <c r="H3579" s="47">
        <v>90.4</v>
      </c>
      <c r="I3579" s="47" t="s">
        <v>62</v>
      </c>
    </row>
    <row r="3580" ht="15.75" customHeight="1">
      <c r="A3580" s="47" t="s">
        <v>7355</v>
      </c>
      <c r="B3580" s="47" t="s">
        <v>7356</v>
      </c>
      <c r="C3580" s="47" t="s">
        <v>7759</v>
      </c>
      <c r="D3580" s="47" t="s">
        <v>178</v>
      </c>
      <c r="E3580" s="47" t="s">
        <v>475</v>
      </c>
      <c r="F3580" s="47">
        <v>608.0</v>
      </c>
      <c r="G3580" s="47">
        <v>5.88</v>
      </c>
      <c r="H3580" s="47">
        <v>103.4</v>
      </c>
      <c r="I3580" s="47" t="s">
        <v>62</v>
      </c>
    </row>
    <row r="3581" ht="15.75" customHeight="1">
      <c r="A3581" s="47" t="s">
        <v>7357</v>
      </c>
      <c r="B3581" s="47" t="s">
        <v>7358</v>
      </c>
      <c r="C3581" s="47" t="s">
        <v>7759</v>
      </c>
      <c r="D3581" s="47" t="s">
        <v>207</v>
      </c>
      <c r="E3581" s="47" t="s">
        <v>534</v>
      </c>
      <c r="F3581" s="47">
        <v>313.0</v>
      </c>
      <c r="G3581" s="47">
        <v>9.57</v>
      </c>
      <c r="H3581" s="47">
        <v>32.7</v>
      </c>
      <c r="I3581" s="47" t="s">
        <v>75</v>
      </c>
    </row>
    <row r="3582" ht="15.75" customHeight="1">
      <c r="A3582" s="47" t="s">
        <v>7359</v>
      </c>
      <c r="B3582" s="47" t="s">
        <v>7360</v>
      </c>
      <c r="C3582" s="47" t="s">
        <v>7759</v>
      </c>
      <c r="D3582" s="47" t="s">
        <v>197</v>
      </c>
      <c r="E3582" s="47" t="s">
        <v>517</v>
      </c>
      <c r="F3582" s="47">
        <v>431.0</v>
      </c>
      <c r="G3582" s="47">
        <v>9.6</v>
      </c>
      <c r="H3582" s="47">
        <v>44.9</v>
      </c>
      <c r="I3582" s="47" t="s">
        <v>75</v>
      </c>
    </row>
    <row r="3583" ht="15.75" customHeight="1">
      <c r="A3583" s="47" t="s">
        <v>7361</v>
      </c>
      <c r="B3583" s="47" t="s">
        <v>7362</v>
      </c>
      <c r="C3583" s="47" t="s">
        <v>7759</v>
      </c>
      <c r="D3583" s="47" t="s">
        <v>152</v>
      </c>
      <c r="E3583" s="47" t="s">
        <v>417</v>
      </c>
      <c r="F3583" s="47">
        <v>198.0</v>
      </c>
      <c r="G3583" s="47">
        <v>3.71</v>
      </c>
      <c r="H3583" s="47">
        <v>53.4</v>
      </c>
      <c r="I3583" s="47" t="s">
        <v>75</v>
      </c>
    </row>
    <row r="3584" ht="15.75" customHeight="1">
      <c r="A3584" s="47" t="s">
        <v>7363</v>
      </c>
      <c r="B3584" s="47" t="s">
        <v>7364</v>
      </c>
      <c r="C3584" s="47" t="s">
        <v>7759</v>
      </c>
      <c r="D3584" s="47" t="s">
        <v>230</v>
      </c>
      <c r="E3584" s="47" t="s">
        <v>402</v>
      </c>
      <c r="F3584" s="47">
        <v>244.0</v>
      </c>
      <c r="G3584" s="47">
        <v>9.57</v>
      </c>
      <c r="H3584" s="47">
        <v>25.5</v>
      </c>
      <c r="I3584" s="47" t="s">
        <v>75</v>
      </c>
    </row>
    <row r="3585" ht="15.75" customHeight="1">
      <c r="A3585" s="47" t="s">
        <v>7365</v>
      </c>
      <c r="B3585" s="47" t="s">
        <v>7366</v>
      </c>
      <c r="C3585" s="47" t="s">
        <v>7759</v>
      </c>
      <c r="D3585" s="47" t="s">
        <v>121</v>
      </c>
      <c r="E3585" s="47" t="s">
        <v>325</v>
      </c>
      <c r="F3585" s="47">
        <v>1025.0</v>
      </c>
      <c r="G3585" s="47">
        <v>16.09</v>
      </c>
      <c r="H3585" s="47">
        <v>63.7</v>
      </c>
      <c r="I3585" s="47" t="s">
        <v>62</v>
      </c>
    </row>
    <row r="3586" ht="15.75" customHeight="1">
      <c r="A3586" s="47" t="s">
        <v>7367</v>
      </c>
      <c r="B3586" s="47" t="s">
        <v>7368</v>
      </c>
      <c r="C3586" s="47" t="s">
        <v>7759</v>
      </c>
      <c r="D3586" s="47" t="s">
        <v>218</v>
      </c>
      <c r="E3586" s="47" t="s">
        <v>374</v>
      </c>
      <c r="F3586" s="47">
        <v>686.0</v>
      </c>
      <c r="G3586" s="47">
        <v>8.85</v>
      </c>
      <c r="H3586" s="47">
        <v>77.5</v>
      </c>
      <c r="I3586" s="47" t="s">
        <v>62</v>
      </c>
    </row>
    <row r="3587" ht="15.75" customHeight="1">
      <c r="A3587" s="47" t="s">
        <v>7369</v>
      </c>
      <c r="B3587" s="47" t="s">
        <v>7370</v>
      </c>
      <c r="C3587" s="47" t="s">
        <v>7759</v>
      </c>
      <c r="D3587" s="47" t="s">
        <v>158</v>
      </c>
      <c r="E3587" s="47" t="s">
        <v>427</v>
      </c>
      <c r="F3587" s="47">
        <v>7090.0</v>
      </c>
      <c r="G3587" s="47">
        <v>14.21</v>
      </c>
      <c r="H3587" s="47">
        <v>498.9</v>
      </c>
      <c r="I3587" s="47" t="s">
        <v>142</v>
      </c>
    </row>
    <row r="3588" ht="15.75" customHeight="1">
      <c r="A3588" s="47" t="s">
        <v>7371</v>
      </c>
      <c r="B3588" s="47" t="s">
        <v>7372</v>
      </c>
      <c r="C3588" s="47" t="s">
        <v>7759</v>
      </c>
      <c r="D3588" s="47" t="s">
        <v>230</v>
      </c>
      <c r="E3588" s="47" t="s">
        <v>402</v>
      </c>
      <c r="F3588" s="47">
        <v>679.0</v>
      </c>
      <c r="G3588" s="47">
        <v>16.38</v>
      </c>
      <c r="H3588" s="47">
        <v>41.5</v>
      </c>
      <c r="I3588" s="47" t="s">
        <v>62</v>
      </c>
    </row>
    <row r="3589" ht="15.75" customHeight="1">
      <c r="A3589" s="47" t="s">
        <v>7373</v>
      </c>
      <c r="B3589" s="47" t="s">
        <v>7374</v>
      </c>
      <c r="C3589" s="47" t="s">
        <v>7759</v>
      </c>
      <c r="D3589" s="47" t="s">
        <v>218</v>
      </c>
      <c r="E3589" s="47" t="s">
        <v>374</v>
      </c>
      <c r="F3589" s="47">
        <v>1273.0</v>
      </c>
      <c r="G3589" s="47">
        <v>10.29</v>
      </c>
      <c r="H3589" s="47">
        <v>123.7</v>
      </c>
      <c r="I3589" s="47" t="s">
        <v>62</v>
      </c>
    </row>
    <row r="3590" ht="15.75" customHeight="1">
      <c r="A3590" s="47" t="s">
        <v>7375</v>
      </c>
      <c r="B3590" s="47" t="s">
        <v>7376</v>
      </c>
      <c r="C3590" s="47" t="s">
        <v>7759</v>
      </c>
      <c r="D3590" s="47" t="s">
        <v>185</v>
      </c>
      <c r="E3590" s="47" t="s">
        <v>485</v>
      </c>
      <c r="F3590" s="47">
        <v>391.0</v>
      </c>
      <c r="G3590" s="47">
        <v>12.28</v>
      </c>
      <c r="H3590" s="47">
        <v>31.8</v>
      </c>
      <c r="I3590" s="47" t="s">
        <v>75</v>
      </c>
    </row>
    <row r="3591" ht="15.75" customHeight="1">
      <c r="A3591" s="47" t="s">
        <v>7377</v>
      </c>
      <c r="B3591" s="47" t="s">
        <v>7378</v>
      </c>
      <c r="C3591" s="47" t="s">
        <v>7759</v>
      </c>
      <c r="D3591" s="47" t="s">
        <v>207</v>
      </c>
      <c r="E3591" s="47" t="s">
        <v>534</v>
      </c>
      <c r="F3591" s="47">
        <v>280.0</v>
      </c>
      <c r="G3591" s="47">
        <v>2.5</v>
      </c>
      <c r="H3591" s="47">
        <v>112.0</v>
      </c>
      <c r="I3591" s="47" t="s">
        <v>75</v>
      </c>
    </row>
    <row r="3592" ht="15.75" customHeight="1">
      <c r="A3592" s="47" t="s">
        <v>7379</v>
      </c>
      <c r="B3592" s="47" t="s">
        <v>7380</v>
      </c>
      <c r="C3592" s="47" t="s">
        <v>7759</v>
      </c>
      <c r="D3592" s="47" t="s">
        <v>185</v>
      </c>
      <c r="E3592" s="47" t="s">
        <v>485</v>
      </c>
      <c r="F3592" s="47">
        <v>1482.0</v>
      </c>
      <c r="G3592" s="47">
        <v>16.83</v>
      </c>
      <c r="H3592" s="47">
        <v>88.1</v>
      </c>
      <c r="I3592" s="47" t="s">
        <v>62</v>
      </c>
    </row>
    <row r="3593" ht="15.75" customHeight="1">
      <c r="A3593" s="47" t="s">
        <v>7381</v>
      </c>
      <c r="B3593" s="47" t="s">
        <v>7382</v>
      </c>
      <c r="C3593" s="47" t="s">
        <v>7759</v>
      </c>
      <c r="D3593" s="47" t="s">
        <v>41</v>
      </c>
      <c r="E3593" s="47" t="s">
        <v>35</v>
      </c>
      <c r="F3593" s="47">
        <v>284.0</v>
      </c>
      <c r="G3593" s="47">
        <v>6.69</v>
      </c>
      <c r="H3593" s="47">
        <v>42.5</v>
      </c>
      <c r="I3593" s="47" t="s">
        <v>75</v>
      </c>
    </row>
    <row r="3594" ht="15.75" customHeight="1">
      <c r="A3594" s="47" t="s">
        <v>7383</v>
      </c>
      <c r="B3594" s="47" t="s">
        <v>7384</v>
      </c>
      <c r="C3594" s="47" t="s">
        <v>7759</v>
      </c>
      <c r="D3594" s="47" t="s">
        <v>229</v>
      </c>
      <c r="E3594" s="47" t="s">
        <v>400</v>
      </c>
      <c r="F3594" s="47">
        <v>897.0</v>
      </c>
      <c r="G3594" s="47">
        <v>10.17</v>
      </c>
      <c r="H3594" s="47">
        <v>88.2</v>
      </c>
      <c r="I3594" s="47" t="s">
        <v>62</v>
      </c>
    </row>
    <row r="3595" ht="15.75" customHeight="1">
      <c r="A3595" s="47" t="s">
        <v>7385</v>
      </c>
      <c r="B3595" s="47" t="s">
        <v>7386</v>
      </c>
      <c r="C3595" s="47" t="s">
        <v>7759</v>
      </c>
      <c r="D3595" s="47" t="s">
        <v>148</v>
      </c>
      <c r="E3595" s="47" t="s">
        <v>360</v>
      </c>
      <c r="F3595" s="47">
        <v>753.0</v>
      </c>
      <c r="G3595" s="47">
        <v>10.25</v>
      </c>
      <c r="H3595" s="47">
        <v>73.5</v>
      </c>
      <c r="I3595" s="47" t="s">
        <v>62</v>
      </c>
    </row>
    <row r="3596" ht="15.75" customHeight="1">
      <c r="A3596" s="47" t="s">
        <v>7387</v>
      </c>
      <c r="B3596" s="47" t="s">
        <v>7388</v>
      </c>
      <c r="C3596" s="47" t="s">
        <v>7759</v>
      </c>
      <c r="D3596" s="47" t="s">
        <v>158</v>
      </c>
      <c r="E3596" s="47" t="s">
        <v>427</v>
      </c>
      <c r="F3596" s="47">
        <v>107.0</v>
      </c>
      <c r="G3596" s="47">
        <v>6.22</v>
      </c>
      <c r="H3596" s="47">
        <v>17.2</v>
      </c>
      <c r="I3596" s="47" t="s">
        <v>75</v>
      </c>
    </row>
    <row r="3597" ht="15.75" customHeight="1">
      <c r="A3597" s="47" t="s">
        <v>7389</v>
      </c>
      <c r="B3597" s="47" t="s">
        <v>7390</v>
      </c>
      <c r="C3597" s="47" t="s">
        <v>7759</v>
      </c>
      <c r="D3597" s="47" t="s">
        <v>229</v>
      </c>
      <c r="E3597" s="47" t="s">
        <v>400</v>
      </c>
      <c r="F3597" s="47">
        <v>2282.0</v>
      </c>
      <c r="G3597" s="47">
        <v>11.67</v>
      </c>
      <c r="H3597" s="47">
        <v>195.5</v>
      </c>
      <c r="I3597" s="47" t="s">
        <v>142</v>
      </c>
    </row>
    <row r="3598" ht="15.75" customHeight="1">
      <c r="A3598" s="47" t="s">
        <v>7391</v>
      </c>
      <c r="B3598" s="47" t="s">
        <v>7392</v>
      </c>
      <c r="C3598" s="47" t="s">
        <v>7759</v>
      </c>
      <c r="D3598" s="47" t="s">
        <v>225</v>
      </c>
      <c r="E3598" s="47" t="s">
        <v>387</v>
      </c>
      <c r="F3598" s="47">
        <v>127.0</v>
      </c>
      <c r="G3598" s="47">
        <v>7.13</v>
      </c>
      <c r="H3598" s="47">
        <v>17.8</v>
      </c>
      <c r="I3598" s="47" t="s">
        <v>75</v>
      </c>
    </row>
    <row r="3599" ht="15.75" customHeight="1">
      <c r="A3599" s="47" t="s">
        <v>7393</v>
      </c>
      <c r="B3599" s="47" t="s">
        <v>7394</v>
      </c>
      <c r="C3599" s="47" t="s">
        <v>7759</v>
      </c>
      <c r="D3599" s="47" t="s">
        <v>41</v>
      </c>
      <c r="E3599" s="47" t="s">
        <v>35</v>
      </c>
      <c r="F3599" s="47">
        <v>2425.0</v>
      </c>
      <c r="G3599" s="47">
        <v>7.78</v>
      </c>
      <c r="H3599" s="47">
        <v>311.7</v>
      </c>
      <c r="I3599" s="47" t="s">
        <v>142</v>
      </c>
    </row>
    <row r="3600" ht="15.75" customHeight="1">
      <c r="A3600" s="47" t="s">
        <v>7395</v>
      </c>
      <c r="B3600" s="47" t="s">
        <v>7396</v>
      </c>
      <c r="C3600" s="47" t="s">
        <v>7759</v>
      </c>
      <c r="D3600" s="47" t="s">
        <v>225</v>
      </c>
      <c r="E3600" s="47" t="s">
        <v>387</v>
      </c>
      <c r="F3600" s="47">
        <v>563.0</v>
      </c>
      <c r="G3600" s="47">
        <v>17.95</v>
      </c>
      <c r="H3600" s="47">
        <v>31.4</v>
      </c>
      <c r="I3600" s="47" t="s">
        <v>62</v>
      </c>
    </row>
    <row r="3601" ht="15.75" customHeight="1">
      <c r="A3601" s="47" t="s">
        <v>7397</v>
      </c>
      <c r="B3601" s="47" t="s">
        <v>7398</v>
      </c>
      <c r="C3601" s="47" t="s">
        <v>7759</v>
      </c>
      <c r="D3601" s="47" t="s">
        <v>210</v>
      </c>
      <c r="E3601" s="47" t="s">
        <v>537</v>
      </c>
      <c r="F3601" s="47">
        <v>826.0</v>
      </c>
      <c r="G3601" s="47">
        <v>8.62</v>
      </c>
      <c r="H3601" s="47">
        <v>95.8</v>
      </c>
      <c r="I3601" s="47" t="s">
        <v>62</v>
      </c>
    </row>
    <row r="3602" ht="15.75" customHeight="1">
      <c r="A3602" s="47" t="s">
        <v>7399</v>
      </c>
      <c r="B3602" s="47" t="s">
        <v>7400</v>
      </c>
      <c r="C3602" s="47" t="s">
        <v>7759</v>
      </c>
      <c r="D3602" s="47" t="s">
        <v>225</v>
      </c>
      <c r="E3602" s="47" t="s">
        <v>387</v>
      </c>
      <c r="F3602" s="47">
        <v>1438.0</v>
      </c>
      <c r="G3602" s="47">
        <v>10.0</v>
      </c>
      <c r="H3602" s="47">
        <v>143.8</v>
      </c>
      <c r="I3602" s="47" t="s">
        <v>62</v>
      </c>
    </row>
    <row r="3603" ht="15.75" customHeight="1">
      <c r="A3603" s="47" t="s">
        <v>7401</v>
      </c>
      <c r="B3603" s="47" t="s">
        <v>7402</v>
      </c>
      <c r="C3603" s="47" t="s">
        <v>7759</v>
      </c>
      <c r="D3603" s="47" t="s">
        <v>225</v>
      </c>
      <c r="E3603" s="47" t="s">
        <v>387</v>
      </c>
      <c r="F3603" s="47">
        <v>268.0</v>
      </c>
      <c r="G3603" s="47">
        <v>11.32</v>
      </c>
      <c r="H3603" s="47">
        <v>23.7</v>
      </c>
      <c r="I3603" s="47" t="s">
        <v>75</v>
      </c>
    </row>
    <row r="3604" ht="15.75" customHeight="1">
      <c r="A3604" s="47" t="s">
        <v>7403</v>
      </c>
      <c r="B3604" s="47" t="s">
        <v>7404</v>
      </c>
      <c r="C3604" s="47" t="s">
        <v>7759</v>
      </c>
      <c r="D3604" s="47" t="s">
        <v>152</v>
      </c>
      <c r="E3604" s="47" t="s">
        <v>417</v>
      </c>
      <c r="F3604" s="47">
        <v>111.0</v>
      </c>
      <c r="G3604" s="47">
        <v>3.29</v>
      </c>
      <c r="H3604" s="47">
        <v>33.7</v>
      </c>
      <c r="I3604" s="47" t="s">
        <v>75</v>
      </c>
    </row>
    <row r="3605" ht="15.75" customHeight="1">
      <c r="A3605" s="47" t="s">
        <v>7405</v>
      </c>
      <c r="B3605" s="47" t="s">
        <v>7406</v>
      </c>
      <c r="C3605" s="47" t="s">
        <v>7759</v>
      </c>
      <c r="D3605" s="47" t="s">
        <v>41</v>
      </c>
      <c r="E3605" s="47" t="s">
        <v>35</v>
      </c>
      <c r="F3605" s="47">
        <v>1335.0</v>
      </c>
      <c r="G3605" s="47">
        <v>12.54</v>
      </c>
      <c r="H3605" s="47">
        <v>106.5</v>
      </c>
      <c r="I3605" s="47" t="s">
        <v>62</v>
      </c>
    </row>
    <row r="3606" ht="15.75" customHeight="1">
      <c r="A3606" s="47" t="s">
        <v>7407</v>
      </c>
      <c r="B3606" s="47" t="s">
        <v>7408</v>
      </c>
      <c r="C3606" s="47" t="s">
        <v>7759</v>
      </c>
      <c r="D3606" s="47" t="s">
        <v>197</v>
      </c>
      <c r="E3606" s="47" t="s">
        <v>517</v>
      </c>
      <c r="F3606" s="47">
        <v>263.0</v>
      </c>
      <c r="G3606" s="47">
        <v>3.25</v>
      </c>
      <c r="H3606" s="47">
        <v>80.9</v>
      </c>
      <c r="I3606" s="47" t="s">
        <v>75</v>
      </c>
    </row>
    <row r="3607" ht="15.75" customHeight="1">
      <c r="A3607" s="47" t="s">
        <v>7409</v>
      </c>
      <c r="B3607" s="47" t="s">
        <v>7410</v>
      </c>
      <c r="C3607" s="47" t="s">
        <v>7759</v>
      </c>
      <c r="D3607" s="47" t="s">
        <v>207</v>
      </c>
      <c r="E3607" s="47" t="s">
        <v>534</v>
      </c>
      <c r="F3607" s="47">
        <v>304.0</v>
      </c>
      <c r="G3607" s="47">
        <v>8.8</v>
      </c>
      <c r="H3607" s="47">
        <v>34.5</v>
      </c>
      <c r="I3607" s="47" t="s">
        <v>75</v>
      </c>
    </row>
    <row r="3608" ht="15.75" customHeight="1">
      <c r="A3608" s="47" t="s">
        <v>7411</v>
      </c>
      <c r="B3608" s="47" t="s">
        <v>7412</v>
      </c>
      <c r="C3608" s="47" t="s">
        <v>7759</v>
      </c>
      <c r="D3608" s="47" t="s">
        <v>229</v>
      </c>
      <c r="E3608" s="47" t="s">
        <v>400</v>
      </c>
      <c r="F3608" s="47">
        <v>572.0</v>
      </c>
      <c r="G3608" s="47">
        <v>5.23</v>
      </c>
      <c r="H3608" s="47">
        <v>109.4</v>
      </c>
      <c r="I3608" s="47" t="s">
        <v>62</v>
      </c>
    </row>
    <row r="3609" ht="15.75" customHeight="1">
      <c r="A3609" s="47" t="s">
        <v>7413</v>
      </c>
      <c r="B3609" s="47" t="s">
        <v>7414</v>
      </c>
      <c r="C3609" s="47" t="s">
        <v>7759</v>
      </c>
      <c r="D3609" s="47" t="s">
        <v>230</v>
      </c>
      <c r="E3609" s="47" t="s">
        <v>402</v>
      </c>
      <c r="F3609" s="47">
        <v>761.0</v>
      </c>
      <c r="G3609" s="47">
        <v>9.87</v>
      </c>
      <c r="H3609" s="47">
        <v>77.1</v>
      </c>
      <c r="I3609" s="47" t="s">
        <v>62</v>
      </c>
    </row>
    <row r="3610" ht="15.75" customHeight="1">
      <c r="A3610" s="47" t="s">
        <v>7415</v>
      </c>
      <c r="B3610" s="47" t="s">
        <v>7416</v>
      </c>
      <c r="C3610" s="47" t="s">
        <v>7759</v>
      </c>
      <c r="D3610" s="47" t="s">
        <v>197</v>
      </c>
      <c r="E3610" s="47" t="s">
        <v>517</v>
      </c>
      <c r="F3610" s="47">
        <v>572.0</v>
      </c>
      <c r="G3610" s="47">
        <v>14.38</v>
      </c>
      <c r="H3610" s="47">
        <v>39.8</v>
      </c>
      <c r="I3610" s="47" t="s">
        <v>62</v>
      </c>
    </row>
    <row r="3611" ht="15.75" customHeight="1">
      <c r="A3611" s="47" t="s">
        <v>7417</v>
      </c>
      <c r="B3611" s="47" t="s">
        <v>7418</v>
      </c>
      <c r="C3611" s="47" t="s">
        <v>7759</v>
      </c>
      <c r="D3611" s="47" t="s">
        <v>230</v>
      </c>
      <c r="E3611" s="47" t="s">
        <v>402</v>
      </c>
      <c r="F3611" s="47">
        <v>79.0</v>
      </c>
      <c r="G3611" s="47">
        <v>3.06</v>
      </c>
      <c r="H3611" s="47">
        <v>25.8</v>
      </c>
      <c r="I3611" s="47" t="s">
        <v>75</v>
      </c>
    </row>
    <row r="3612" ht="15.75" customHeight="1">
      <c r="A3612" s="47" t="s">
        <v>7419</v>
      </c>
      <c r="B3612" s="47" t="s">
        <v>7420</v>
      </c>
      <c r="C3612" s="47" t="s">
        <v>7759</v>
      </c>
      <c r="D3612" s="47" t="s">
        <v>230</v>
      </c>
      <c r="E3612" s="47" t="s">
        <v>402</v>
      </c>
      <c r="F3612" s="47">
        <v>278.0</v>
      </c>
      <c r="G3612" s="47">
        <v>3.77</v>
      </c>
      <c r="H3612" s="47">
        <v>73.7</v>
      </c>
      <c r="I3612" s="47" t="s">
        <v>75</v>
      </c>
    </row>
    <row r="3613" ht="15.75" customHeight="1">
      <c r="A3613" s="47" t="s">
        <v>7421</v>
      </c>
      <c r="B3613" s="47" t="s">
        <v>7422</v>
      </c>
      <c r="C3613" s="47" t="s">
        <v>7759</v>
      </c>
      <c r="D3613" s="47" t="s">
        <v>197</v>
      </c>
      <c r="E3613" s="47" t="s">
        <v>517</v>
      </c>
      <c r="F3613" s="47">
        <v>125.0</v>
      </c>
      <c r="G3613" s="47">
        <v>5.06</v>
      </c>
      <c r="H3613" s="47">
        <v>24.7</v>
      </c>
      <c r="I3613" s="47" t="s">
        <v>75</v>
      </c>
    </row>
    <row r="3614" ht="15.75" customHeight="1">
      <c r="A3614" s="47" t="s">
        <v>7423</v>
      </c>
      <c r="B3614" s="47" t="s">
        <v>7424</v>
      </c>
      <c r="C3614" s="47" t="s">
        <v>7759</v>
      </c>
      <c r="D3614" s="47" t="s">
        <v>225</v>
      </c>
      <c r="E3614" s="47" t="s">
        <v>387</v>
      </c>
      <c r="F3614" s="47">
        <v>1280.0</v>
      </c>
      <c r="G3614" s="47">
        <v>37.53</v>
      </c>
      <c r="H3614" s="47">
        <v>34.1</v>
      </c>
      <c r="I3614" s="47" t="s">
        <v>62</v>
      </c>
    </row>
    <row r="3615" ht="15.75" customHeight="1">
      <c r="A3615" s="47" t="s">
        <v>7425</v>
      </c>
      <c r="B3615" s="47" t="s">
        <v>7426</v>
      </c>
      <c r="C3615" s="47" t="s">
        <v>7759</v>
      </c>
      <c r="D3615" s="47" t="s">
        <v>41</v>
      </c>
      <c r="E3615" s="47" t="s">
        <v>35</v>
      </c>
      <c r="F3615" s="47">
        <v>626.0</v>
      </c>
      <c r="G3615" s="47">
        <v>10.11</v>
      </c>
      <c r="H3615" s="47">
        <v>61.9</v>
      </c>
      <c r="I3615" s="47" t="s">
        <v>62</v>
      </c>
    </row>
    <row r="3616" ht="15.75" customHeight="1">
      <c r="A3616" s="47" t="s">
        <v>7427</v>
      </c>
      <c r="B3616" s="47" t="s">
        <v>7428</v>
      </c>
      <c r="C3616" s="47" t="s">
        <v>7759</v>
      </c>
      <c r="D3616" s="47" t="s">
        <v>229</v>
      </c>
      <c r="E3616" s="47" t="s">
        <v>400</v>
      </c>
      <c r="F3616" s="47">
        <v>233.0</v>
      </c>
      <c r="G3616" s="47">
        <v>1.43</v>
      </c>
      <c r="H3616" s="47">
        <v>162.9</v>
      </c>
      <c r="I3616" s="47" t="s">
        <v>75</v>
      </c>
    </row>
    <row r="3617" ht="15.75" customHeight="1">
      <c r="A3617" s="47" t="s">
        <v>7429</v>
      </c>
      <c r="B3617" s="47" t="s">
        <v>7430</v>
      </c>
      <c r="C3617" s="47" t="s">
        <v>7759</v>
      </c>
      <c r="D3617" s="47" t="s">
        <v>148</v>
      </c>
      <c r="E3617" s="47" t="s">
        <v>360</v>
      </c>
      <c r="F3617" s="47">
        <v>764.0</v>
      </c>
      <c r="G3617" s="47">
        <v>11.58</v>
      </c>
      <c r="H3617" s="47">
        <v>66.0</v>
      </c>
      <c r="I3617" s="47" t="s">
        <v>62</v>
      </c>
    </row>
    <row r="3618" ht="15.75" customHeight="1">
      <c r="A3618" s="47" t="s">
        <v>7431</v>
      </c>
      <c r="B3618" s="47" t="s">
        <v>7432</v>
      </c>
      <c r="C3618" s="47" t="s">
        <v>7759</v>
      </c>
      <c r="D3618" s="47" t="s">
        <v>212</v>
      </c>
      <c r="E3618" s="47" t="s">
        <v>549</v>
      </c>
      <c r="F3618" s="47">
        <v>514.0</v>
      </c>
      <c r="G3618" s="47">
        <v>7.04</v>
      </c>
      <c r="H3618" s="47">
        <v>73.0</v>
      </c>
      <c r="I3618" s="47" t="s">
        <v>62</v>
      </c>
    </row>
    <row r="3619" ht="15.75" customHeight="1">
      <c r="A3619" s="47" t="s">
        <v>7433</v>
      </c>
      <c r="B3619" s="47" t="s">
        <v>7434</v>
      </c>
      <c r="C3619" s="47" t="s">
        <v>7759</v>
      </c>
      <c r="D3619" s="47" t="s">
        <v>229</v>
      </c>
      <c r="E3619" s="47" t="s">
        <v>400</v>
      </c>
      <c r="F3619" s="47">
        <v>427.0</v>
      </c>
      <c r="G3619" s="47">
        <v>16.22</v>
      </c>
      <c r="H3619" s="47">
        <v>26.3</v>
      </c>
      <c r="I3619" s="47" t="s">
        <v>75</v>
      </c>
    </row>
    <row r="3620" ht="15.75" customHeight="1">
      <c r="A3620" s="47" t="s">
        <v>7435</v>
      </c>
      <c r="B3620" s="47" t="s">
        <v>7436</v>
      </c>
      <c r="C3620" s="47" t="s">
        <v>7759</v>
      </c>
      <c r="D3620" s="47" t="s">
        <v>229</v>
      </c>
      <c r="E3620" s="47" t="s">
        <v>400</v>
      </c>
      <c r="F3620" s="47">
        <v>1102.0</v>
      </c>
      <c r="G3620" s="47">
        <v>8.85</v>
      </c>
      <c r="H3620" s="47">
        <v>124.5</v>
      </c>
      <c r="I3620" s="47" t="s">
        <v>62</v>
      </c>
    </row>
    <row r="3621" ht="15.75" customHeight="1">
      <c r="A3621" s="47" t="s">
        <v>7437</v>
      </c>
      <c r="B3621" s="47" t="s">
        <v>7438</v>
      </c>
      <c r="C3621" s="47" t="s">
        <v>7759</v>
      </c>
      <c r="D3621" s="47" t="s">
        <v>148</v>
      </c>
      <c r="E3621" s="47" t="s">
        <v>360</v>
      </c>
      <c r="F3621" s="47">
        <v>311.0</v>
      </c>
      <c r="G3621" s="47">
        <v>6.83</v>
      </c>
      <c r="H3621" s="47">
        <v>45.5</v>
      </c>
      <c r="I3621" s="47" t="s">
        <v>75</v>
      </c>
    </row>
    <row r="3622" ht="15.75" customHeight="1">
      <c r="A3622" s="47" t="s">
        <v>7439</v>
      </c>
      <c r="B3622" s="47" t="s">
        <v>7440</v>
      </c>
      <c r="C3622" s="47" t="s">
        <v>7759</v>
      </c>
      <c r="D3622" s="47" t="s">
        <v>152</v>
      </c>
      <c r="E3622" s="47" t="s">
        <v>417</v>
      </c>
      <c r="F3622" s="47">
        <v>139.0</v>
      </c>
      <c r="G3622" s="47">
        <v>6.88</v>
      </c>
      <c r="H3622" s="47">
        <v>20.2</v>
      </c>
      <c r="I3622" s="47" t="s">
        <v>75</v>
      </c>
    </row>
    <row r="3623" ht="15.75" customHeight="1">
      <c r="A3623" s="47" t="s">
        <v>7441</v>
      </c>
      <c r="B3623" s="47" t="s">
        <v>7442</v>
      </c>
      <c r="C3623" s="47" t="s">
        <v>7759</v>
      </c>
      <c r="D3623" s="47" t="s">
        <v>197</v>
      </c>
      <c r="E3623" s="47" t="s">
        <v>517</v>
      </c>
      <c r="F3623" s="47">
        <v>269.0</v>
      </c>
      <c r="G3623" s="47">
        <v>6.89</v>
      </c>
      <c r="H3623" s="47">
        <v>39.0</v>
      </c>
      <c r="I3623" s="47" t="s">
        <v>75</v>
      </c>
    </row>
    <row r="3624" ht="15.75" customHeight="1">
      <c r="A3624" s="47" t="s">
        <v>7443</v>
      </c>
      <c r="B3624" s="47" t="s">
        <v>7444</v>
      </c>
      <c r="C3624" s="47" t="s">
        <v>7759</v>
      </c>
      <c r="D3624" s="47" t="s">
        <v>207</v>
      </c>
      <c r="E3624" s="47" t="s">
        <v>534</v>
      </c>
      <c r="F3624" s="47">
        <v>1123.0</v>
      </c>
      <c r="G3624" s="47">
        <v>7.15</v>
      </c>
      <c r="H3624" s="47">
        <v>157.1</v>
      </c>
      <c r="I3624" s="47" t="s">
        <v>62</v>
      </c>
    </row>
    <row r="3625" ht="15.75" customHeight="1">
      <c r="A3625" s="47" t="s">
        <v>7445</v>
      </c>
      <c r="B3625" s="47" t="s">
        <v>7446</v>
      </c>
      <c r="C3625" s="47" t="s">
        <v>7759</v>
      </c>
      <c r="D3625" s="47" t="s">
        <v>216</v>
      </c>
      <c r="E3625" s="47" t="s">
        <v>371</v>
      </c>
      <c r="F3625" s="47">
        <v>262.0</v>
      </c>
      <c r="G3625" s="47">
        <v>4.61</v>
      </c>
      <c r="H3625" s="47">
        <v>56.8</v>
      </c>
      <c r="I3625" s="47" t="s">
        <v>75</v>
      </c>
    </row>
    <row r="3626" ht="15.75" customHeight="1">
      <c r="A3626" s="47" t="s">
        <v>7447</v>
      </c>
      <c r="B3626" s="47" t="s">
        <v>7448</v>
      </c>
      <c r="C3626" s="47" t="s">
        <v>7759</v>
      </c>
      <c r="D3626" s="47" t="s">
        <v>229</v>
      </c>
      <c r="E3626" s="47" t="s">
        <v>400</v>
      </c>
      <c r="F3626" s="47">
        <v>379.0</v>
      </c>
      <c r="G3626" s="47">
        <v>9.92</v>
      </c>
      <c r="H3626" s="47">
        <v>38.2</v>
      </c>
      <c r="I3626" s="47" t="s">
        <v>75</v>
      </c>
    </row>
    <row r="3627" ht="15.75" customHeight="1">
      <c r="A3627" s="47" t="s">
        <v>7449</v>
      </c>
      <c r="B3627" s="47" t="s">
        <v>7450</v>
      </c>
      <c r="C3627" s="47" t="s">
        <v>7759</v>
      </c>
      <c r="D3627" s="47" t="s">
        <v>158</v>
      </c>
      <c r="E3627" s="47" t="s">
        <v>427</v>
      </c>
      <c r="F3627" s="47">
        <v>188.0</v>
      </c>
      <c r="G3627" s="47">
        <v>2.91</v>
      </c>
      <c r="H3627" s="47">
        <v>64.6</v>
      </c>
      <c r="I3627" s="47" t="s">
        <v>75</v>
      </c>
    </row>
    <row r="3628" ht="15.75" customHeight="1">
      <c r="A3628" s="47" t="s">
        <v>7451</v>
      </c>
      <c r="B3628" s="47" t="s">
        <v>7452</v>
      </c>
      <c r="C3628" s="47" t="s">
        <v>7759</v>
      </c>
      <c r="D3628" s="47" t="s">
        <v>225</v>
      </c>
      <c r="E3628" s="47" t="s">
        <v>387</v>
      </c>
      <c r="F3628" s="47">
        <v>139.0</v>
      </c>
      <c r="G3628" s="47">
        <v>9.61</v>
      </c>
      <c r="H3628" s="47">
        <v>14.5</v>
      </c>
      <c r="I3628" s="47" t="s">
        <v>75</v>
      </c>
    </row>
    <row r="3629" ht="15.75" customHeight="1">
      <c r="A3629" s="47" t="s">
        <v>7453</v>
      </c>
      <c r="B3629" s="47" t="s">
        <v>7454</v>
      </c>
      <c r="C3629" s="47" t="s">
        <v>7759</v>
      </c>
      <c r="D3629" s="47" t="s">
        <v>207</v>
      </c>
      <c r="E3629" s="47" t="s">
        <v>534</v>
      </c>
      <c r="F3629" s="47">
        <v>28.0</v>
      </c>
      <c r="G3629" s="47">
        <v>2.93</v>
      </c>
      <c r="H3629" s="47">
        <v>9.6</v>
      </c>
      <c r="I3629" s="47" t="s">
        <v>75</v>
      </c>
    </row>
    <row r="3630" ht="15.75" customHeight="1">
      <c r="A3630" s="47" t="s">
        <v>7455</v>
      </c>
      <c r="B3630" s="47" t="s">
        <v>7456</v>
      </c>
      <c r="C3630" s="47" t="s">
        <v>7759</v>
      </c>
      <c r="D3630" s="47" t="s">
        <v>185</v>
      </c>
      <c r="E3630" s="47" t="s">
        <v>485</v>
      </c>
      <c r="F3630" s="47">
        <v>137.0</v>
      </c>
      <c r="G3630" s="47">
        <v>4.17</v>
      </c>
      <c r="H3630" s="47">
        <v>32.9</v>
      </c>
      <c r="I3630" s="47" t="s">
        <v>75</v>
      </c>
    </row>
    <row r="3631" ht="15.75" customHeight="1">
      <c r="A3631" s="47" t="s">
        <v>7457</v>
      </c>
      <c r="B3631" s="47" t="s">
        <v>7458</v>
      </c>
      <c r="C3631" s="47" t="s">
        <v>7759</v>
      </c>
      <c r="D3631" s="47" t="s">
        <v>41</v>
      </c>
      <c r="E3631" s="47" t="s">
        <v>35</v>
      </c>
      <c r="F3631" s="47">
        <v>164.0</v>
      </c>
      <c r="G3631" s="47">
        <v>4.84</v>
      </c>
      <c r="H3631" s="47">
        <v>33.9</v>
      </c>
      <c r="I3631" s="47" t="s">
        <v>75</v>
      </c>
    </row>
    <row r="3632" ht="15.75" customHeight="1">
      <c r="A3632" s="47" t="s">
        <v>7459</v>
      </c>
      <c r="B3632" s="47" t="s">
        <v>7460</v>
      </c>
      <c r="C3632" s="47" t="s">
        <v>7759</v>
      </c>
      <c r="D3632" s="47" t="s">
        <v>152</v>
      </c>
      <c r="E3632" s="47" t="s">
        <v>417</v>
      </c>
      <c r="F3632" s="47">
        <v>346.0</v>
      </c>
      <c r="G3632" s="47">
        <v>7.14</v>
      </c>
      <c r="H3632" s="47">
        <v>48.5</v>
      </c>
      <c r="I3632" s="47" t="s">
        <v>75</v>
      </c>
    </row>
    <row r="3633" ht="15.75" customHeight="1">
      <c r="A3633" s="47" t="s">
        <v>7461</v>
      </c>
      <c r="B3633" s="47" t="s">
        <v>7462</v>
      </c>
      <c r="C3633" s="47" t="s">
        <v>7759</v>
      </c>
      <c r="D3633" s="47" t="s">
        <v>41</v>
      </c>
      <c r="E3633" s="47" t="s">
        <v>35</v>
      </c>
      <c r="F3633" s="47">
        <v>530.0</v>
      </c>
      <c r="G3633" s="47">
        <v>14.57</v>
      </c>
      <c r="H3633" s="47">
        <v>36.4</v>
      </c>
      <c r="I3633" s="47" t="s">
        <v>62</v>
      </c>
    </row>
    <row r="3634" ht="15.75" customHeight="1">
      <c r="A3634" s="47" t="s">
        <v>7464</v>
      </c>
      <c r="B3634" s="47" t="s">
        <v>7465</v>
      </c>
      <c r="C3634" s="47" t="s">
        <v>7759</v>
      </c>
      <c r="D3634" s="47" t="s">
        <v>218</v>
      </c>
      <c r="E3634" s="47" t="s">
        <v>374</v>
      </c>
      <c r="F3634" s="47">
        <v>223.0</v>
      </c>
      <c r="G3634" s="47">
        <v>5.44</v>
      </c>
      <c r="H3634" s="47">
        <v>41.0</v>
      </c>
      <c r="I3634" s="47" t="s">
        <v>75</v>
      </c>
    </row>
    <row r="3635" ht="15.75" customHeight="1">
      <c r="A3635" s="47" t="s">
        <v>7466</v>
      </c>
      <c r="B3635" s="47" t="s">
        <v>7467</v>
      </c>
      <c r="C3635" s="47" t="s">
        <v>7759</v>
      </c>
      <c r="D3635" s="47" t="s">
        <v>210</v>
      </c>
      <c r="E3635" s="47" t="s">
        <v>537</v>
      </c>
      <c r="F3635" s="47">
        <v>609.0</v>
      </c>
      <c r="G3635" s="47">
        <v>9.3</v>
      </c>
      <c r="H3635" s="47">
        <v>65.5</v>
      </c>
      <c r="I3635" s="47" t="s">
        <v>62</v>
      </c>
    </row>
    <row r="3636" ht="15.75" customHeight="1">
      <c r="A3636" s="47" t="s">
        <v>7468</v>
      </c>
      <c r="B3636" s="47" t="s">
        <v>7469</v>
      </c>
      <c r="C3636" s="47" t="s">
        <v>7759</v>
      </c>
      <c r="D3636" s="47" t="s">
        <v>229</v>
      </c>
      <c r="E3636" s="47" t="s">
        <v>400</v>
      </c>
      <c r="F3636" s="47">
        <v>181.0</v>
      </c>
      <c r="G3636" s="47">
        <v>10.22</v>
      </c>
      <c r="H3636" s="47">
        <v>17.7</v>
      </c>
      <c r="I3636" s="47" t="s">
        <v>75</v>
      </c>
    </row>
    <row r="3637" ht="15.75" customHeight="1">
      <c r="A3637" s="47" t="s">
        <v>7470</v>
      </c>
      <c r="B3637" s="47" t="s">
        <v>7471</v>
      </c>
      <c r="C3637" s="47" t="s">
        <v>7759</v>
      </c>
      <c r="D3637" s="47" t="s">
        <v>41</v>
      </c>
      <c r="E3637" s="47" t="s">
        <v>35</v>
      </c>
      <c r="F3637" s="47">
        <v>3636.0</v>
      </c>
      <c r="G3637" s="47">
        <v>6.46</v>
      </c>
      <c r="H3637" s="47">
        <v>562.8</v>
      </c>
      <c r="I3637" s="47" t="s">
        <v>142</v>
      </c>
    </row>
    <row r="3638" ht="15.75" customHeight="1">
      <c r="A3638" s="47" t="s">
        <v>7472</v>
      </c>
      <c r="B3638" s="47" t="s">
        <v>7473</v>
      </c>
      <c r="C3638" s="47" t="s">
        <v>7759</v>
      </c>
      <c r="D3638" s="47" t="s">
        <v>148</v>
      </c>
      <c r="E3638" s="47" t="s">
        <v>360</v>
      </c>
      <c r="F3638" s="47">
        <v>149.0</v>
      </c>
      <c r="G3638" s="47">
        <v>6.75</v>
      </c>
      <c r="H3638" s="47">
        <v>22.1</v>
      </c>
      <c r="I3638" s="47" t="s">
        <v>75</v>
      </c>
    </row>
    <row r="3639" ht="15.75" customHeight="1">
      <c r="A3639" s="47" t="s">
        <v>7474</v>
      </c>
      <c r="B3639" s="47" t="s">
        <v>7475</v>
      </c>
      <c r="C3639" s="47" t="s">
        <v>7759</v>
      </c>
      <c r="D3639" s="47" t="s">
        <v>185</v>
      </c>
      <c r="E3639" s="47" t="s">
        <v>485</v>
      </c>
      <c r="F3639" s="47">
        <v>152.0</v>
      </c>
      <c r="G3639" s="47">
        <v>5.74</v>
      </c>
      <c r="H3639" s="47">
        <v>26.5</v>
      </c>
      <c r="I3639" s="47" t="s">
        <v>75</v>
      </c>
    </row>
    <row r="3640" ht="15.75" customHeight="1">
      <c r="A3640" s="47" t="s">
        <v>7476</v>
      </c>
      <c r="B3640" s="47" t="s">
        <v>7477</v>
      </c>
      <c r="C3640" s="47" t="s">
        <v>7759</v>
      </c>
      <c r="D3640" s="47" t="s">
        <v>158</v>
      </c>
      <c r="E3640" s="47" t="s">
        <v>427</v>
      </c>
      <c r="F3640" s="47">
        <v>1626.0</v>
      </c>
      <c r="G3640" s="47">
        <v>10.14</v>
      </c>
      <c r="H3640" s="47">
        <v>160.4</v>
      </c>
      <c r="I3640" s="47" t="s">
        <v>62</v>
      </c>
    </row>
    <row r="3641" ht="15.75" customHeight="1">
      <c r="A3641" s="47" t="s">
        <v>7478</v>
      </c>
      <c r="B3641" s="47" t="s">
        <v>7479</v>
      </c>
      <c r="C3641" s="47" t="s">
        <v>7759</v>
      </c>
      <c r="D3641" s="47" t="s">
        <v>185</v>
      </c>
      <c r="E3641" s="47" t="s">
        <v>485</v>
      </c>
      <c r="F3641" s="47">
        <v>755.0</v>
      </c>
      <c r="G3641" s="47">
        <v>12.08</v>
      </c>
      <c r="H3641" s="47">
        <v>62.5</v>
      </c>
      <c r="I3641" s="47" t="s">
        <v>62</v>
      </c>
    </row>
    <row r="3642" ht="15.75" customHeight="1">
      <c r="A3642" s="47" t="s">
        <v>7480</v>
      </c>
      <c r="B3642" s="47" t="s">
        <v>7481</v>
      </c>
      <c r="C3642" s="47" t="s">
        <v>7759</v>
      </c>
      <c r="D3642" s="47" t="s">
        <v>158</v>
      </c>
      <c r="E3642" s="47" t="s">
        <v>427</v>
      </c>
      <c r="F3642" s="47">
        <v>577.0</v>
      </c>
      <c r="G3642" s="47">
        <v>7.51</v>
      </c>
      <c r="H3642" s="47">
        <v>76.8</v>
      </c>
      <c r="I3642" s="47" t="s">
        <v>62</v>
      </c>
    </row>
    <row r="3643" ht="15.75" customHeight="1">
      <c r="A3643" s="47" t="s">
        <v>7482</v>
      </c>
      <c r="B3643" s="47" t="s">
        <v>7483</v>
      </c>
      <c r="C3643" s="47" t="s">
        <v>7759</v>
      </c>
      <c r="D3643" s="47" t="s">
        <v>230</v>
      </c>
      <c r="E3643" s="47" t="s">
        <v>402</v>
      </c>
      <c r="F3643" s="47">
        <v>2894.0</v>
      </c>
      <c r="G3643" s="47">
        <v>13.44</v>
      </c>
      <c r="H3643" s="47">
        <v>215.3</v>
      </c>
      <c r="I3643" s="47" t="s">
        <v>142</v>
      </c>
    </row>
    <row r="3644" ht="15.75" customHeight="1">
      <c r="A3644" s="47" t="s">
        <v>7484</v>
      </c>
      <c r="B3644" s="47" t="s">
        <v>7485</v>
      </c>
      <c r="C3644" s="47" t="s">
        <v>7759</v>
      </c>
      <c r="D3644" s="47" t="s">
        <v>148</v>
      </c>
      <c r="E3644" s="47" t="s">
        <v>360</v>
      </c>
      <c r="F3644" s="47">
        <v>304.0</v>
      </c>
      <c r="G3644" s="47">
        <v>7.16</v>
      </c>
      <c r="H3644" s="47">
        <v>42.5</v>
      </c>
      <c r="I3644" s="47" t="s">
        <v>75</v>
      </c>
    </row>
    <row r="3645" ht="15.75" customHeight="1">
      <c r="A3645" s="47" t="s">
        <v>7486</v>
      </c>
      <c r="B3645" s="47" t="s">
        <v>7487</v>
      </c>
      <c r="C3645" s="47" t="s">
        <v>7759</v>
      </c>
      <c r="D3645" s="47" t="s">
        <v>230</v>
      </c>
      <c r="E3645" s="47" t="s">
        <v>402</v>
      </c>
      <c r="F3645" s="47">
        <v>209.0</v>
      </c>
      <c r="G3645" s="47">
        <v>7.43</v>
      </c>
      <c r="H3645" s="47">
        <v>28.1</v>
      </c>
      <c r="I3645" s="47" t="s">
        <v>75</v>
      </c>
    </row>
    <row r="3646" ht="15.75" customHeight="1">
      <c r="A3646" s="47" t="s">
        <v>7488</v>
      </c>
      <c r="B3646" s="47" t="s">
        <v>7489</v>
      </c>
      <c r="C3646" s="47" t="s">
        <v>7759</v>
      </c>
      <c r="D3646" s="47" t="s">
        <v>152</v>
      </c>
      <c r="E3646" s="47" t="s">
        <v>417</v>
      </c>
      <c r="F3646" s="47">
        <v>100.0</v>
      </c>
      <c r="G3646" s="47">
        <v>3.85</v>
      </c>
      <c r="H3646" s="47">
        <v>26.0</v>
      </c>
      <c r="I3646" s="47" t="s">
        <v>75</v>
      </c>
    </row>
    <row r="3647" ht="15.75" customHeight="1">
      <c r="A3647" s="47" t="s">
        <v>7490</v>
      </c>
      <c r="B3647" s="47" t="s">
        <v>7491</v>
      </c>
      <c r="C3647" s="47" t="s">
        <v>7759</v>
      </c>
      <c r="D3647" s="47" t="s">
        <v>152</v>
      </c>
      <c r="E3647" s="47" t="s">
        <v>417</v>
      </c>
      <c r="F3647" s="47">
        <v>101.0</v>
      </c>
      <c r="G3647" s="47">
        <v>3.29</v>
      </c>
      <c r="H3647" s="47">
        <v>30.7</v>
      </c>
      <c r="I3647" s="47" t="s">
        <v>75</v>
      </c>
    </row>
    <row r="3648" ht="15.75" customHeight="1">
      <c r="A3648" s="47" t="s">
        <v>7492</v>
      </c>
      <c r="B3648" s="47" t="s">
        <v>7493</v>
      </c>
      <c r="C3648" s="47" t="s">
        <v>7759</v>
      </c>
      <c r="D3648" s="47" t="s">
        <v>185</v>
      </c>
      <c r="E3648" s="47" t="s">
        <v>485</v>
      </c>
      <c r="F3648" s="47">
        <v>5833.0</v>
      </c>
      <c r="G3648" s="47">
        <v>15.53</v>
      </c>
      <c r="H3648" s="47">
        <v>375.6</v>
      </c>
      <c r="I3648" s="47" t="s">
        <v>142</v>
      </c>
    </row>
    <row r="3649" ht="15.75" customHeight="1">
      <c r="A3649" s="47" t="s">
        <v>7494</v>
      </c>
      <c r="B3649" s="47" t="s">
        <v>7495</v>
      </c>
      <c r="C3649" s="47" t="s">
        <v>7759</v>
      </c>
      <c r="D3649" s="47" t="s">
        <v>207</v>
      </c>
      <c r="E3649" s="47" t="s">
        <v>534</v>
      </c>
      <c r="F3649" s="47">
        <v>720.0</v>
      </c>
      <c r="G3649" s="47">
        <v>10.18</v>
      </c>
      <c r="H3649" s="47">
        <v>70.7</v>
      </c>
      <c r="I3649" s="47" t="s">
        <v>62</v>
      </c>
    </row>
    <row r="3650" ht="15.75" customHeight="1">
      <c r="A3650" s="47" t="s">
        <v>7496</v>
      </c>
      <c r="B3650" s="47" t="s">
        <v>7497</v>
      </c>
      <c r="C3650" s="47" t="s">
        <v>7759</v>
      </c>
      <c r="D3650" s="47" t="s">
        <v>185</v>
      </c>
      <c r="E3650" s="47" t="s">
        <v>485</v>
      </c>
      <c r="F3650" s="47">
        <v>129.0</v>
      </c>
      <c r="G3650" s="47">
        <v>3.98</v>
      </c>
      <c r="H3650" s="47">
        <v>32.4</v>
      </c>
      <c r="I3650" s="47" t="s">
        <v>75</v>
      </c>
    </row>
    <row r="3651" ht="15.75" customHeight="1">
      <c r="A3651" s="47" t="s">
        <v>7498</v>
      </c>
      <c r="B3651" s="47" t="s">
        <v>7499</v>
      </c>
      <c r="C3651" s="47" t="s">
        <v>7759</v>
      </c>
      <c r="D3651" s="47" t="s">
        <v>225</v>
      </c>
      <c r="E3651" s="47" t="s">
        <v>387</v>
      </c>
      <c r="F3651" s="47">
        <v>2987.0</v>
      </c>
      <c r="G3651" s="47">
        <v>29.26</v>
      </c>
      <c r="H3651" s="47">
        <v>102.1</v>
      </c>
      <c r="I3651" s="47" t="s">
        <v>142</v>
      </c>
    </row>
    <row r="3652" ht="15.75" customHeight="1">
      <c r="A3652" s="47" t="s">
        <v>7500</v>
      </c>
      <c r="B3652" s="47" t="s">
        <v>7501</v>
      </c>
      <c r="C3652" s="47" t="s">
        <v>7759</v>
      </c>
      <c r="D3652" s="47" t="s">
        <v>41</v>
      </c>
      <c r="E3652" s="47" t="s">
        <v>35</v>
      </c>
      <c r="F3652" s="47">
        <v>613.0</v>
      </c>
      <c r="G3652" s="47">
        <v>8.13</v>
      </c>
      <c r="H3652" s="47">
        <v>75.4</v>
      </c>
      <c r="I3652" s="47" t="s">
        <v>62</v>
      </c>
    </row>
    <row r="3653" ht="15.75" customHeight="1">
      <c r="A3653" s="47" t="s">
        <v>7502</v>
      </c>
      <c r="B3653" s="47" t="s">
        <v>7503</v>
      </c>
      <c r="C3653" s="47" t="s">
        <v>7759</v>
      </c>
      <c r="D3653" s="47" t="s">
        <v>121</v>
      </c>
      <c r="E3653" s="47" t="s">
        <v>325</v>
      </c>
      <c r="F3653" s="47">
        <v>344.0</v>
      </c>
      <c r="G3653" s="47">
        <v>12.69</v>
      </c>
      <c r="H3653" s="47">
        <v>27.1</v>
      </c>
      <c r="I3653" s="47" t="s">
        <v>75</v>
      </c>
    </row>
    <row r="3654" ht="15.75" customHeight="1">
      <c r="A3654" s="47" t="s">
        <v>7504</v>
      </c>
      <c r="B3654" s="47" t="s">
        <v>7505</v>
      </c>
      <c r="C3654" s="47" t="s">
        <v>7759</v>
      </c>
      <c r="D3654" s="47" t="s">
        <v>225</v>
      </c>
      <c r="E3654" s="47" t="s">
        <v>387</v>
      </c>
      <c r="F3654" s="47">
        <v>991.0</v>
      </c>
      <c r="G3654" s="47">
        <v>10.63</v>
      </c>
      <c r="H3654" s="47">
        <v>93.2</v>
      </c>
      <c r="I3654" s="47" t="s">
        <v>62</v>
      </c>
    </row>
    <row r="3655" ht="15.75" customHeight="1">
      <c r="A3655" s="47" t="s">
        <v>7506</v>
      </c>
      <c r="B3655" s="47" t="s">
        <v>7507</v>
      </c>
      <c r="C3655" s="47" t="s">
        <v>7759</v>
      </c>
      <c r="D3655" s="47" t="s">
        <v>210</v>
      </c>
      <c r="E3655" s="47" t="s">
        <v>537</v>
      </c>
      <c r="F3655" s="47">
        <v>333.0</v>
      </c>
      <c r="G3655" s="47">
        <v>6.5</v>
      </c>
      <c r="H3655" s="47">
        <v>51.2</v>
      </c>
      <c r="I3655" s="47" t="s">
        <v>75</v>
      </c>
    </row>
    <row r="3656" ht="15.75" customHeight="1">
      <c r="A3656" s="47" t="s">
        <v>7508</v>
      </c>
      <c r="B3656" s="47" t="s">
        <v>7509</v>
      </c>
      <c r="C3656" s="47" t="s">
        <v>7759</v>
      </c>
      <c r="D3656" s="47" t="s">
        <v>210</v>
      </c>
      <c r="E3656" s="47" t="s">
        <v>537</v>
      </c>
      <c r="F3656" s="47">
        <v>351.0</v>
      </c>
      <c r="G3656" s="47">
        <v>6.73</v>
      </c>
      <c r="H3656" s="47">
        <v>52.2</v>
      </c>
      <c r="I3656" s="47" t="s">
        <v>75</v>
      </c>
    </row>
    <row r="3657" ht="15.75" customHeight="1">
      <c r="A3657" s="47" t="s">
        <v>7510</v>
      </c>
      <c r="B3657" s="47" t="s">
        <v>7511</v>
      </c>
      <c r="C3657" s="47" t="s">
        <v>7759</v>
      </c>
      <c r="D3657" s="47" t="s">
        <v>158</v>
      </c>
      <c r="E3657" s="47" t="s">
        <v>427</v>
      </c>
      <c r="F3657" s="47">
        <v>469.0</v>
      </c>
      <c r="G3657" s="47">
        <v>9.4</v>
      </c>
      <c r="H3657" s="47">
        <v>49.9</v>
      </c>
      <c r="I3657" s="47" t="s">
        <v>75</v>
      </c>
    </row>
    <row r="3658" ht="15.75" customHeight="1">
      <c r="A3658" s="47" t="s">
        <v>7512</v>
      </c>
      <c r="B3658" s="47" t="s">
        <v>7513</v>
      </c>
      <c r="C3658" s="47" t="s">
        <v>7759</v>
      </c>
      <c r="D3658" s="47" t="s">
        <v>41</v>
      </c>
      <c r="E3658" s="47" t="s">
        <v>35</v>
      </c>
      <c r="F3658" s="47">
        <v>1187.0</v>
      </c>
      <c r="G3658" s="47">
        <v>9.94</v>
      </c>
      <c r="H3658" s="47">
        <v>119.4</v>
      </c>
      <c r="I3658" s="47" t="s">
        <v>62</v>
      </c>
    </row>
    <row r="3659" ht="15.75" customHeight="1">
      <c r="A3659" s="47" t="s">
        <v>7514</v>
      </c>
      <c r="B3659" s="47" t="s">
        <v>7515</v>
      </c>
      <c r="C3659" s="47" t="s">
        <v>7759</v>
      </c>
      <c r="D3659" s="47" t="s">
        <v>207</v>
      </c>
      <c r="E3659" s="47" t="s">
        <v>534</v>
      </c>
      <c r="F3659" s="47">
        <v>36.0</v>
      </c>
      <c r="G3659" s="47">
        <v>3.04</v>
      </c>
      <c r="H3659" s="47">
        <v>11.8</v>
      </c>
      <c r="I3659" s="47" t="s">
        <v>75</v>
      </c>
    </row>
    <row r="3660" ht="15.75" customHeight="1">
      <c r="A3660" s="47" t="s">
        <v>7516</v>
      </c>
      <c r="B3660" s="47" t="s">
        <v>7517</v>
      </c>
      <c r="C3660" s="47" t="s">
        <v>7759</v>
      </c>
      <c r="D3660" s="47" t="s">
        <v>229</v>
      </c>
      <c r="E3660" s="47" t="s">
        <v>400</v>
      </c>
      <c r="F3660" s="47">
        <v>218.0</v>
      </c>
      <c r="G3660" s="47">
        <v>10.41</v>
      </c>
      <c r="H3660" s="47">
        <v>20.9</v>
      </c>
      <c r="I3660" s="47" t="s">
        <v>75</v>
      </c>
    </row>
    <row r="3661" ht="15.75" customHeight="1">
      <c r="A3661" s="47" t="s">
        <v>7518</v>
      </c>
      <c r="B3661" s="47" t="s">
        <v>7519</v>
      </c>
      <c r="C3661" s="47" t="s">
        <v>7759</v>
      </c>
      <c r="D3661" s="47" t="s">
        <v>229</v>
      </c>
      <c r="E3661" s="47" t="s">
        <v>400</v>
      </c>
      <c r="F3661" s="47">
        <v>116.0</v>
      </c>
      <c r="G3661" s="47">
        <v>3.11</v>
      </c>
      <c r="H3661" s="47">
        <v>37.3</v>
      </c>
      <c r="I3661" s="47" t="s">
        <v>75</v>
      </c>
    </row>
    <row r="3662" ht="15.75" customHeight="1">
      <c r="A3662" s="47" t="s">
        <v>7520</v>
      </c>
      <c r="B3662" s="47" t="s">
        <v>7521</v>
      </c>
      <c r="C3662" s="47" t="s">
        <v>7759</v>
      </c>
      <c r="D3662" s="47" t="s">
        <v>121</v>
      </c>
      <c r="E3662" s="47" t="s">
        <v>325</v>
      </c>
      <c r="F3662" s="47">
        <v>883.0</v>
      </c>
      <c r="G3662" s="47">
        <v>6.67</v>
      </c>
      <c r="H3662" s="47">
        <v>132.4</v>
      </c>
      <c r="I3662" s="47" t="s">
        <v>62</v>
      </c>
    </row>
    <row r="3663" ht="15.75" customHeight="1">
      <c r="A3663" s="47" t="s">
        <v>7522</v>
      </c>
      <c r="B3663" s="47" t="s">
        <v>7523</v>
      </c>
      <c r="C3663" s="47" t="s">
        <v>7759</v>
      </c>
      <c r="D3663" s="47" t="s">
        <v>152</v>
      </c>
      <c r="E3663" s="47" t="s">
        <v>417</v>
      </c>
      <c r="F3663" s="47">
        <v>425.0</v>
      </c>
      <c r="G3663" s="47">
        <v>7.85</v>
      </c>
      <c r="H3663" s="47">
        <v>54.1</v>
      </c>
      <c r="I3663" s="47" t="s">
        <v>75</v>
      </c>
    </row>
    <row r="3664" ht="15.75" customHeight="1">
      <c r="A3664" s="47" t="s">
        <v>7524</v>
      </c>
      <c r="B3664" s="47" t="s">
        <v>7525</v>
      </c>
      <c r="C3664" s="47" t="s">
        <v>7759</v>
      </c>
      <c r="D3664" s="47" t="s">
        <v>41</v>
      </c>
      <c r="E3664" s="47" t="s">
        <v>35</v>
      </c>
      <c r="F3664" s="47">
        <v>1409.0</v>
      </c>
      <c r="G3664" s="47">
        <v>10.01</v>
      </c>
      <c r="H3664" s="47">
        <v>140.8</v>
      </c>
      <c r="I3664" s="47" t="s">
        <v>62</v>
      </c>
    </row>
    <row r="3665" ht="15.75" customHeight="1">
      <c r="A3665" s="47" t="s">
        <v>7526</v>
      </c>
      <c r="B3665" s="47" t="s">
        <v>7527</v>
      </c>
      <c r="C3665" s="47" t="s">
        <v>7759</v>
      </c>
      <c r="D3665" s="47" t="s">
        <v>229</v>
      </c>
      <c r="E3665" s="47" t="s">
        <v>400</v>
      </c>
      <c r="F3665" s="47">
        <v>224.0</v>
      </c>
      <c r="G3665" s="47">
        <v>8.75</v>
      </c>
      <c r="H3665" s="47">
        <v>25.6</v>
      </c>
      <c r="I3665" s="47" t="s">
        <v>75</v>
      </c>
    </row>
    <row r="3666" ht="15.75" customHeight="1">
      <c r="A3666" s="47" t="s">
        <v>7528</v>
      </c>
      <c r="B3666" s="47" t="s">
        <v>7529</v>
      </c>
      <c r="C3666" s="47" t="s">
        <v>7759</v>
      </c>
      <c r="D3666" s="47" t="s">
        <v>207</v>
      </c>
      <c r="E3666" s="47" t="s">
        <v>534</v>
      </c>
      <c r="F3666" s="47">
        <v>383.0</v>
      </c>
      <c r="G3666" s="47">
        <v>7.01</v>
      </c>
      <c r="H3666" s="47">
        <v>54.6</v>
      </c>
      <c r="I3666" s="47" t="s">
        <v>75</v>
      </c>
    </row>
    <row r="3667" ht="15.75" customHeight="1">
      <c r="A3667" s="47" t="s">
        <v>7530</v>
      </c>
      <c r="B3667" s="47" t="s">
        <v>7531</v>
      </c>
      <c r="C3667" s="47" t="s">
        <v>7759</v>
      </c>
      <c r="D3667" s="47" t="s">
        <v>197</v>
      </c>
      <c r="E3667" s="47" t="s">
        <v>517</v>
      </c>
      <c r="F3667" s="47">
        <v>79.0</v>
      </c>
      <c r="G3667" s="47">
        <v>4.32</v>
      </c>
      <c r="H3667" s="47">
        <v>18.3</v>
      </c>
      <c r="I3667" s="47" t="s">
        <v>75</v>
      </c>
    </row>
    <row r="3668" ht="15.75" customHeight="1">
      <c r="A3668" s="47" t="s">
        <v>7532</v>
      </c>
      <c r="B3668" s="47" t="s">
        <v>7533</v>
      </c>
      <c r="C3668" s="47" t="s">
        <v>7759</v>
      </c>
      <c r="D3668" s="47" t="s">
        <v>218</v>
      </c>
      <c r="E3668" s="47" t="s">
        <v>374</v>
      </c>
      <c r="F3668" s="47">
        <v>1809.0</v>
      </c>
      <c r="G3668" s="47">
        <v>7.05</v>
      </c>
      <c r="H3668" s="47">
        <v>256.6</v>
      </c>
      <c r="I3668" s="47" t="s">
        <v>62</v>
      </c>
    </row>
    <row r="3669" ht="15.75" customHeight="1">
      <c r="A3669" s="47" t="s">
        <v>7534</v>
      </c>
      <c r="B3669" s="47" t="s">
        <v>7535</v>
      </c>
      <c r="C3669" s="47" t="s">
        <v>7759</v>
      </c>
      <c r="D3669" s="47" t="s">
        <v>229</v>
      </c>
      <c r="E3669" s="47" t="s">
        <v>400</v>
      </c>
      <c r="F3669" s="47">
        <v>80.0</v>
      </c>
      <c r="G3669" s="47">
        <v>1.1</v>
      </c>
      <c r="H3669" s="47">
        <v>72.7</v>
      </c>
      <c r="I3669" s="47" t="s">
        <v>75</v>
      </c>
    </row>
    <row r="3670" ht="15.75" customHeight="1">
      <c r="A3670" s="47" t="s">
        <v>7536</v>
      </c>
      <c r="B3670" s="47" t="s">
        <v>1553</v>
      </c>
      <c r="C3670" s="47" t="s">
        <v>7759</v>
      </c>
      <c r="D3670" s="47" t="s">
        <v>185</v>
      </c>
      <c r="E3670" s="47" t="s">
        <v>485</v>
      </c>
      <c r="F3670" s="47">
        <v>155.0</v>
      </c>
      <c r="G3670" s="47">
        <v>4.18</v>
      </c>
      <c r="H3670" s="47">
        <v>37.1</v>
      </c>
      <c r="I3670" s="47" t="s">
        <v>75</v>
      </c>
    </row>
    <row r="3671" ht="15.75" customHeight="1">
      <c r="A3671" s="47" t="s">
        <v>7537</v>
      </c>
      <c r="B3671" s="47" t="s">
        <v>7538</v>
      </c>
      <c r="C3671" s="47" t="s">
        <v>7759</v>
      </c>
      <c r="D3671" s="47" t="s">
        <v>229</v>
      </c>
      <c r="E3671" s="47" t="s">
        <v>400</v>
      </c>
      <c r="F3671" s="47">
        <v>279.0</v>
      </c>
      <c r="G3671" s="47">
        <v>6.22</v>
      </c>
      <c r="H3671" s="47">
        <v>44.9</v>
      </c>
      <c r="I3671" s="47" t="s">
        <v>75</v>
      </c>
    </row>
    <row r="3672" ht="15.75" customHeight="1">
      <c r="A3672" s="47" t="s">
        <v>7539</v>
      </c>
      <c r="B3672" s="47" t="s">
        <v>7540</v>
      </c>
      <c r="C3672" s="47" t="s">
        <v>7759</v>
      </c>
      <c r="D3672" s="47" t="s">
        <v>216</v>
      </c>
      <c r="E3672" s="47" t="s">
        <v>371</v>
      </c>
      <c r="F3672" s="47">
        <v>390.0</v>
      </c>
      <c r="G3672" s="47">
        <v>6.39</v>
      </c>
      <c r="H3672" s="47">
        <v>61.0</v>
      </c>
      <c r="I3672" s="47" t="s">
        <v>75</v>
      </c>
    </row>
    <row r="3673" ht="15.75" customHeight="1">
      <c r="A3673" s="47" t="s">
        <v>7541</v>
      </c>
      <c r="B3673" s="47" t="s">
        <v>7542</v>
      </c>
      <c r="C3673" s="47" t="s">
        <v>7759</v>
      </c>
      <c r="D3673" s="47" t="s">
        <v>218</v>
      </c>
      <c r="E3673" s="47" t="s">
        <v>374</v>
      </c>
      <c r="F3673" s="47">
        <v>1772.0</v>
      </c>
      <c r="G3673" s="47">
        <v>4.34</v>
      </c>
      <c r="H3673" s="47">
        <v>408.3</v>
      </c>
      <c r="I3673" s="47" t="s">
        <v>62</v>
      </c>
    </row>
    <row r="3674" ht="15.75" customHeight="1">
      <c r="A3674" s="47" t="s">
        <v>7543</v>
      </c>
      <c r="B3674" s="47" t="s">
        <v>7544</v>
      </c>
      <c r="C3674" s="47" t="s">
        <v>7759</v>
      </c>
      <c r="D3674" s="47" t="s">
        <v>225</v>
      </c>
      <c r="E3674" s="47" t="s">
        <v>387</v>
      </c>
      <c r="F3674" s="47">
        <v>302.0</v>
      </c>
      <c r="G3674" s="47">
        <v>26.95</v>
      </c>
      <c r="H3674" s="47">
        <v>11.2</v>
      </c>
      <c r="I3674" s="47" t="s">
        <v>75</v>
      </c>
    </row>
    <row r="3675" ht="15.75" customHeight="1">
      <c r="A3675" s="47" t="s">
        <v>7545</v>
      </c>
      <c r="B3675" s="47" t="s">
        <v>7546</v>
      </c>
      <c r="C3675" s="47" t="s">
        <v>7759</v>
      </c>
      <c r="D3675" s="47" t="s">
        <v>178</v>
      </c>
      <c r="E3675" s="47" t="s">
        <v>475</v>
      </c>
      <c r="F3675" s="47">
        <v>1252.0</v>
      </c>
      <c r="G3675" s="47">
        <v>6.56</v>
      </c>
      <c r="H3675" s="47">
        <v>190.9</v>
      </c>
      <c r="I3675" s="47" t="s">
        <v>62</v>
      </c>
    </row>
    <row r="3676" ht="15.75" customHeight="1">
      <c r="A3676" s="47" t="s">
        <v>7547</v>
      </c>
      <c r="B3676" s="47" t="s">
        <v>7548</v>
      </c>
      <c r="C3676" s="47" t="s">
        <v>7759</v>
      </c>
      <c r="D3676" s="47" t="s">
        <v>225</v>
      </c>
      <c r="E3676" s="47" t="s">
        <v>387</v>
      </c>
      <c r="F3676" s="47">
        <v>1279.0</v>
      </c>
      <c r="G3676" s="47">
        <v>14.7</v>
      </c>
      <c r="H3676" s="47">
        <v>87.0</v>
      </c>
      <c r="I3676" s="47" t="s">
        <v>62</v>
      </c>
    </row>
    <row r="3677" ht="15.75" customHeight="1">
      <c r="A3677" s="47" t="s">
        <v>7549</v>
      </c>
      <c r="B3677" s="47" t="s">
        <v>7550</v>
      </c>
      <c r="C3677" s="47" t="s">
        <v>7759</v>
      </c>
      <c r="D3677" s="47" t="s">
        <v>41</v>
      </c>
      <c r="E3677" s="47" t="s">
        <v>35</v>
      </c>
      <c r="F3677" s="47">
        <v>976.0</v>
      </c>
      <c r="G3677" s="47">
        <v>7.86</v>
      </c>
      <c r="H3677" s="47">
        <v>124.2</v>
      </c>
      <c r="I3677" s="47" t="s">
        <v>62</v>
      </c>
    </row>
    <row r="3678" ht="15.75" customHeight="1">
      <c r="A3678" s="47" t="s">
        <v>7551</v>
      </c>
      <c r="B3678" s="47" t="s">
        <v>4283</v>
      </c>
      <c r="C3678" s="47" t="s">
        <v>7759</v>
      </c>
      <c r="D3678" s="47" t="s">
        <v>218</v>
      </c>
      <c r="E3678" s="47" t="s">
        <v>374</v>
      </c>
      <c r="F3678" s="47">
        <v>1344.0</v>
      </c>
      <c r="G3678" s="47">
        <v>9.16</v>
      </c>
      <c r="H3678" s="47">
        <v>146.7</v>
      </c>
      <c r="I3678" s="47" t="s">
        <v>62</v>
      </c>
    </row>
    <row r="3679" ht="15.75" customHeight="1">
      <c r="A3679" s="47" t="s">
        <v>7552</v>
      </c>
      <c r="B3679" s="47" t="s">
        <v>7553</v>
      </c>
      <c r="C3679" s="47" t="s">
        <v>7759</v>
      </c>
      <c r="D3679" s="47" t="s">
        <v>229</v>
      </c>
      <c r="E3679" s="47" t="s">
        <v>400</v>
      </c>
      <c r="F3679" s="47">
        <v>47.0</v>
      </c>
      <c r="G3679" s="47">
        <v>2.29</v>
      </c>
      <c r="H3679" s="47">
        <v>20.5</v>
      </c>
      <c r="I3679" s="47" t="s">
        <v>75</v>
      </c>
    </row>
    <row r="3680" ht="15.75" customHeight="1">
      <c r="A3680" s="47" t="s">
        <v>7554</v>
      </c>
      <c r="B3680" s="47" t="s">
        <v>7555</v>
      </c>
      <c r="C3680" s="47" t="s">
        <v>7759</v>
      </c>
      <c r="D3680" s="47" t="s">
        <v>121</v>
      </c>
      <c r="E3680" s="47" t="s">
        <v>325</v>
      </c>
      <c r="F3680" s="47">
        <v>2306.0</v>
      </c>
      <c r="G3680" s="47">
        <v>10.48</v>
      </c>
      <c r="H3680" s="47">
        <v>220.0</v>
      </c>
      <c r="I3680" s="47" t="s">
        <v>142</v>
      </c>
    </row>
    <row r="3681" ht="15.75" customHeight="1">
      <c r="A3681" s="47" t="s">
        <v>7556</v>
      </c>
      <c r="B3681" s="47" t="s">
        <v>7557</v>
      </c>
      <c r="C3681" s="47" t="s">
        <v>7759</v>
      </c>
      <c r="D3681" s="47" t="s">
        <v>41</v>
      </c>
      <c r="E3681" s="47" t="s">
        <v>35</v>
      </c>
      <c r="F3681" s="47">
        <v>504.0</v>
      </c>
      <c r="G3681" s="47">
        <v>4.82</v>
      </c>
      <c r="H3681" s="47">
        <v>104.6</v>
      </c>
      <c r="I3681" s="47" t="s">
        <v>62</v>
      </c>
    </row>
    <row r="3682" ht="15.75" customHeight="1">
      <c r="A3682" s="47" t="s">
        <v>7558</v>
      </c>
      <c r="B3682" s="47" t="s">
        <v>7559</v>
      </c>
      <c r="C3682" s="47" t="s">
        <v>7759</v>
      </c>
      <c r="D3682" s="47" t="s">
        <v>218</v>
      </c>
      <c r="E3682" s="47" t="s">
        <v>374</v>
      </c>
      <c r="F3682" s="47">
        <v>263.0</v>
      </c>
      <c r="G3682" s="47">
        <v>7.34</v>
      </c>
      <c r="H3682" s="47">
        <v>35.8</v>
      </c>
      <c r="I3682" s="47" t="s">
        <v>75</v>
      </c>
    </row>
    <row r="3683" ht="15.75" customHeight="1">
      <c r="A3683" s="47" t="s">
        <v>7560</v>
      </c>
      <c r="B3683" s="47" t="s">
        <v>7561</v>
      </c>
      <c r="C3683" s="47" t="s">
        <v>7759</v>
      </c>
      <c r="D3683" s="47" t="s">
        <v>41</v>
      </c>
      <c r="E3683" s="47" t="s">
        <v>35</v>
      </c>
      <c r="F3683" s="47">
        <v>2739.0</v>
      </c>
      <c r="G3683" s="47">
        <v>7.97</v>
      </c>
      <c r="H3683" s="47">
        <v>343.7</v>
      </c>
      <c r="I3683" s="47" t="s">
        <v>142</v>
      </c>
    </row>
    <row r="3684" ht="15.75" customHeight="1">
      <c r="A3684" s="47" t="s">
        <v>7562</v>
      </c>
      <c r="B3684" s="47" t="s">
        <v>7563</v>
      </c>
      <c r="C3684" s="47" t="s">
        <v>7759</v>
      </c>
      <c r="D3684" s="47" t="s">
        <v>41</v>
      </c>
      <c r="E3684" s="47" t="s">
        <v>35</v>
      </c>
      <c r="F3684" s="47">
        <v>4179.0</v>
      </c>
      <c r="G3684" s="47">
        <v>4.33</v>
      </c>
      <c r="H3684" s="47">
        <v>965.1</v>
      </c>
      <c r="I3684" s="47" t="s">
        <v>142</v>
      </c>
    </row>
    <row r="3685" ht="15.75" customHeight="1">
      <c r="A3685" s="47" t="s">
        <v>7564</v>
      </c>
      <c r="B3685" s="47" t="s">
        <v>2901</v>
      </c>
      <c r="C3685" s="47" t="s">
        <v>7759</v>
      </c>
      <c r="D3685" s="47" t="s">
        <v>152</v>
      </c>
      <c r="E3685" s="47" t="s">
        <v>417</v>
      </c>
      <c r="F3685" s="47">
        <v>269.0</v>
      </c>
      <c r="G3685" s="47">
        <v>7.28</v>
      </c>
      <c r="H3685" s="47">
        <v>37.0</v>
      </c>
      <c r="I3685" s="47" t="s">
        <v>75</v>
      </c>
    </row>
    <row r="3686" ht="15.75" customHeight="1">
      <c r="A3686" s="47" t="s">
        <v>7565</v>
      </c>
      <c r="B3686" s="47" t="s">
        <v>7566</v>
      </c>
      <c r="C3686" s="47" t="s">
        <v>7759</v>
      </c>
      <c r="D3686" s="47" t="s">
        <v>229</v>
      </c>
      <c r="E3686" s="47" t="s">
        <v>400</v>
      </c>
      <c r="F3686" s="47">
        <v>74.0</v>
      </c>
      <c r="G3686" s="47">
        <v>3.72</v>
      </c>
      <c r="H3686" s="47">
        <v>19.9</v>
      </c>
      <c r="I3686" s="47" t="s">
        <v>75</v>
      </c>
    </row>
    <row r="3687" ht="15.75" customHeight="1">
      <c r="A3687" s="47" t="s">
        <v>7567</v>
      </c>
      <c r="B3687" s="47" t="s">
        <v>7568</v>
      </c>
      <c r="C3687" s="47" t="s">
        <v>7759</v>
      </c>
      <c r="D3687" s="47" t="s">
        <v>148</v>
      </c>
      <c r="E3687" s="47" t="s">
        <v>360</v>
      </c>
      <c r="F3687" s="47">
        <v>178.0</v>
      </c>
      <c r="G3687" s="47">
        <v>5.19</v>
      </c>
      <c r="H3687" s="47">
        <v>34.3</v>
      </c>
      <c r="I3687" s="47" t="s">
        <v>75</v>
      </c>
    </row>
    <row r="3688" ht="15.75" customHeight="1">
      <c r="A3688" s="47" t="s">
        <v>7569</v>
      </c>
      <c r="B3688" s="47" t="s">
        <v>7570</v>
      </c>
      <c r="C3688" s="47" t="s">
        <v>7759</v>
      </c>
      <c r="D3688" s="47" t="s">
        <v>41</v>
      </c>
      <c r="E3688" s="47" t="s">
        <v>35</v>
      </c>
      <c r="F3688" s="47">
        <v>1096.0</v>
      </c>
      <c r="G3688" s="47">
        <v>4.04</v>
      </c>
      <c r="H3688" s="47">
        <v>271.3</v>
      </c>
      <c r="I3688" s="47" t="s">
        <v>62</v>
      </c>
    </row>
    <row r="3689" ht="15.75" customHeight="1">
      <c r="A3689" s="47" t="s">
        <v>7571</v>
      </c>
      <c r="B3689" s="47" t="s">
        <v>7572</v>
      </c>
      <c r="C3689" s="47" t="s">
        <v>7759</v>
      </c>
      <c r="D3689" s="47" t="s">
        <v>229</v>
      </c>
      <c r="E3689" s="47" t="s">
        <v>400</v>
      </c>
      <c r="F3689" s="47">
        <v>623.0</v>
      </c>
      <c r="G3689" s="47">
        <v>7.06</v>
      </c>
      <c r="H3689" s="47">
        <v>88.2</v>
      </c>
      <c r="I3689" s="47" t="s">
        <v>62</v>
      </c>
    </row>
    <row r="3690" ht="15.75" customHeight="1">
      <c r="A3690" s="47" t="s">
        <v>7573</v>
      </c>
      <c r="B3690" s="47" t="s">
        <v>7574</v>
      </c>
      <c r="C3690" s="47" t="s">
        <v>7759</v>
      </c>
      <c r="D3690" s="47" t="s">
        <v>197</v>
      </c>
      <c r="E3690" s="47" t="s">
        <v>517</v>
      </c>
      <c r="F3690" s="47">
        <v>324.0</v>
      </c>
      <c r="G3690" s="47">
        <v>8.35</v>
      </c>
      <c r="H3690" s="47">
        <v>38.8</v>
      </c>
      <c r="I3690" s="47" t="s">
        <v>75</v>
      </c>
    </row>
    <row r="3691" ht="15.75" customHeight="1">
      <c r="A3691" s="47" t="s">
        <v>7575</v>
      </c>
      <c r="B3691" s="47" t="s">
        <v>7576</v>
      </c>
      <c r="C3691" s="47" t="s">
        <v>7759</v>
      </c>
      <c r="D3691" s="47" t="s">
        <v>229</v>
      </c>
      <c r="E3691" s="47" t="s">
        <v>400</v>
      </c>
      <c r="F3691" s="47">
        <v>217.0</v>
      </c>
      <c r="G3691" s="47">
        <v>5.53</v>
      </c>
      <c r="H3691" s="47">
        <v>39.2</v>
      </c>
      <c r="I3691" s="47" t="s">
        <v>75</v>
      </c>
    </row>
    <row r="3692" ht="15.75" customHeight="1">
      <c r="A3692" s="47" t="s">
        <v>7577</v>
      </c>
      <c r="B3692" s="47" t="s">
        <v>7578</v>
      </c>
      <c r="C3692" s="47" t="s">
        <v>7759</v>
      </c>
      <c r="D3692" s="47" t="s">
        <v>41</v>
      </c>
      <c r="E3692" s="47" t="s">
        <v>35</v>
      </c>
      <c r="F3692" s="47">
        <v>162.0</v>
      </c>
      <c r="G3692" s="47">
        <v>3.53</v>
      </c>
      <c r="H3692" s="47">
        <v>45.9</v>
      </c>
      <c r="I3692" s="47" t="s">
        <v>75</v>
      </c>
    </row>
    <row r="3693" ht="15.75" customHeight="1">
      <c r="A3693" s="47" t="s">
        <v>7579</v>
      </c>
      <c r="B3693" s="47" t="s">
        <v>7580</v>
      </c>
      <c r="C3693" s="47" t="s">
        <v>7759</v>
      </c>
      <c r="D3693" s="47" t="s">
        <v>121</v>
      </c>
      <c r="E3693" s="47" t="s">
        <v>325</v>
      </c>
      <c r="F3693" s="47">
        <v>235.0</v>
      </c>
      <c r="G3693" s="47">
        <v>4.1</v>
      </c>
      <c r="H3693" s="47">
        <v>57.3</v>
      </c>
      <c r="I3693" s="47" t="s">
        <v>75</v>
      </c>
    </row>
    <row r="3694" ht="15.75" customHeight="1">
      <c r="A3694" s="47" t="s">
        <v>7581</v>
      </c>
      <c r="B3694" s="47" t="s">
        <v>7582</v>
      </c>
      <c r="C3694" s="47" t="s">
        <v>7759</v>
      </c>
      <c r="D3694" s="47" t="s">
        <v>158</v>
      </c>
      <c r="E3694" s="47" t="s">
        <v>427</v>
      </c>
      <c r="F3694" s="47">
        <v>162.0</v>
      </c>
      <c r="G3694" s="47">
        <v>7.92</v>
      </c>
      <c r="H3694" s="47">
        <v>20.5</v>
      </c>
      <c r="I3694" s="47" t="s">
        <v>75</v>
      </c>
    </row>
    <row r="3695" ht="15.75" customHeight="1">
      <c r="A3695" s="47" t="s">
        <v>7583</v>
      </c>
      <c r="B3695" s="47" t="s">
        <v>7584</v>
      </c>
      <c r="C3695" s="47" t="s">
        <v>7759</v>
      </c>
      <c r="D3695" s="47" t="s">
        <v>218</v>
      </c>
      <c r="E3695" s="47" t="s">
        <v>374</v>
      </c>
      <c r="F3695" s="47">
        <v>124.0</v>
      </c>
      <c r="G3695" s="47">
        <v>8.65</v>
      </c>
      <c r="H3695" s="47">
        <v>14.3</v>
      </c>
      <c r="I3695" s="47" t="s">
        <v>75</v>
      </c>
    </row>
    <row r="3696" ht="15.75" customHeight="1">
      <c r="A3696" s="47" t="s">
        <v>7585</v>
      </c>
      <c r="B3696" s="47" t="s">
        <v>7586</v>
      </c>
      <c r="C3696" s="47" t="s">
        <v>7759</v>
      </c>
      <c r="D3696" s="47" t="s">
        <v>148</v>
      </c>
      <c r="E3696" s="47" t="s">
        <v>360</v>
      </c>
      <c r="F3696" s="47">
        <v>288.0</v>
      </c>
      <c r="G3696" s="47">
        <v>5.13</v>
      </c>
      <c r="H3696" s="47">
        <v>56.1</v>
      </c>
      <c r="I3696" s="47" t="s">
        <v>75</v>
      </c>
    </row>
    <row r="3697" ht="15.75" customHeight="1">
      <c r="A3697" s="47" t="s">
        <v>7587</v>
      </c>
      <c r="B3697" s="47" t="s">
        <v>7588</v>
      </c>
      <c r="C3697" s="47" t="s">
        <v>7759</v>
      </c>
      <c r="D3697" s="47" t="s">
        <v>230</v>
      </c>
      <c r="E3697" s="47" t="s">
        <v>402</v>
      </c>
      <c r="F3697" s="47">
        <v>186.0</v>
      </c>
      <c r="G3697" s="47">
        <v>5.2</v>
      </c>
      <c r="H3697" s="47">
        <v>35.8</v>
      </c>
      <c r="I3697" s="47" t="s">
        <v>75</v>
      </c>
    </row>
    <row r="3698" ht="15.75" customHeight="1">
      <c r="A3698" s="47" t="s">
        <v>7589</v>
      </c>
      <c r="B3698" s="47" t="s">
        <v>7590</v>
      </c>
      <c r="C3698" s="47" t="s">
        <v>7759</v>
      </c>
      <c r="D3698" s="47" t="s">
        <v>218</v>
      </c>
      <c r="E3698" s="47" t="s">
        <v>374</v>
      </c>
      <c r="F3698" s="47">
        <v>84.0</v>
      </c>
      <c r="G3698" s="47">
        <v>2.99</v>
      </c>
      <c r="H3698" s="47">
        <v>28.1</v>
      </c>
      <c r="I3698" s="47" t="s">
        <v>75</v>
      </c>
    </row>
    <row r="3699" ht="15.75" customHeight="1">
      <c r="A3699" s="47" t="s">
        <v>7591</v>
      </c>
      <c r="B3699" s="47" t="s">
        <v>7592</v>
      </c>
      <c r="C3699" s="47" t="s">
        <v>7759</v>
      </c>
      <c r="D3699" s="47" t="s">
        <v>197</v>
      </c>
      <c r="E3699" s="47" t="s">
        <v>517</v>
      </c>
      <c r="F3699" s="47">
        <v>190.0</v>
      </c>
      <c r="G3699" s="47">
        <v>8.66</v>
      </c>
      <c r="H3699" s="47">
        <v>21.9</v>
      </c>
      <c r="I3699" s="47" t="s">
        <v>75</v>
      </c>
    </row>
    <row r="3700" ht="15.75" customHeight="1">
      <c r="A3700" s="47" t="s">
        <v>7593</v>
      </c>
      <c r="B3700" s="47" t="s">
        <v>7594</v>
      </c>
      <c r="C3700" s="47" t="s">
        <v>7759</v>
      </c>
      <c r="D3700" s="47" t="s">
        <v>229</v>
      </c>
      <c r="E3700" s="47" t="s">
        <v>400</v>
      </c>
      <c r="F3700" s="47">
        <v>58.0</v>
      </c>
      <c r="G3700" s="47">
        <v>4.06</v>
      </c>
      <c r="H3700" s="47">
        <v>14.3</v>
      </c>
      <c r="I3700" s="47" t="s">
        <v>75</v>
      </c>
    </row>
    <row r="3701" ht="15.75" customHeight="1">
      <c r="A3701" s="47" t="s">
        <v>7595</v>
      </c>
      <c r="B3701" s="47" t="s">
        <v>7596</v>
      </c>
      <c r="C3701" s="47" t="s">
        <v>7759</v>
      </c>
      <c r="D3701" s="47" t="s">
        <v>207</v>
      </c>
      <c r="E3701" s="47" t="s">
        <v>534</v>
      </c>
      <c r="F3701" s="47">
        <v>1085.0</v>
      </c>
      <c r="G3701" s="47">
        <v>19.17</v>
      </c>
      <c r="H3701" s="47">
        <v>56.6</v>
      </c>
      <c r="I3701" s="47" t="s">
        <v>62</v>
      </c>
    </row>
    <row r="3702" ht="15.75" customHeight="1">
      <c r="A3702" s="47" t="s">
        <v>7597</v>
      </c>
      <c r="B3702" s="47" t="s">
        <v>7598</v>
      </c>
      <c r="C3702" s="47" t="s">
        <v>7759</v>
      </c>
      <c r="D3702" s="47" t="s">
        <v>158</v>
      </c>
      <c r="E3702" s="47" t="s">
        <v>427</v>
      </c>
      <c r="F3702" s="47">
        <v>139.0</v>
      </c>
      <c r="G3702" s="47">
        <v>7.25</v>
      </c>
      <c r="H3702" s="47">
        <v>19.2</v>
      </c>
      <c r="I3702" s="47" t="s">
        <v>75</v>
      </c>
    </row>
    <row r="3703" ht="15.75" customHeight="1">
      <c r="A3703" s="47" t="s">
        <v>7599</v>
      </c>
      <c r="B3703" s="47" t="s">
        <v>7600</v>
      </c>
      <c r="C3703" s="47" t="s">
        <v>7759</v>
      </c>
      <c r="D3703" s="47" t="s">
        <v>158</v>
      </c>
      <c r="E3703" s="47" t="s">
        <v>427</v>
      </c>
      <c r="F3703" s="47">
        <v>198.0</v>
      </c>
      <c r="G3703" s="47">
        <v>6.49</v>
      </c>
      <c r="H3703" s="47">
        <v>30.5</v>
      </c>
      <c r="I3703" s="47" t="s">
        <v>75</v>
      </c>
    </row>
    <row r="3704" ht="15.75" customHeight="1">
      <c r="A3704" s="47" t="s">
        <v>7601</v>
      </c>
      <c r="B3704" s="47" t="s">
        <v>7602</v>
      </c>
      <c r="C3704" s="47" t="s">
        <v>7759</v>
      </c>
      <c r="D3704" s="47" t="s">
        <v>207</v>
      </c>
      <c r="E3704" s="47" t="s">
        <v>534</v>
      </c>
      <c r="F3704" s="47">
        <v>323.0</v>
      </c>
      <c r="G3704" s="47">
        <v>2.67</v>
      </c>
      <c r="H3704" s="47">
        <v>121.0</v>
      </c>
      <c r="I3704" s="47" t="s">
        <v>75</v>
      </c>
    </row>
    <row r="3705" ht="15.75" customHeight="1">
      <c r="A3705" s="47" t="s">
        <v>7603</v>
      </c>
      <c r="B3705" s="47" t="s">
        <v>7604</v>
      </c>
      <c r="C3705" s="47" t="s">
        <v>7759</v>
      </c>
      <c r="D3705" s="47" t="s">
        <v>152</v>
      </c>
      <c r="E3705" s="47" t="s">
        <v>417</v>
      </c>
      <c r="F3705" s="47">
        <v>145.0</v>
      </c>
      <c r="G3705" s="47">
        <v>4.93</v>
      </c>
      <c r="H3705" s="47">
        <v>29.4</v>
      </c>
      <c r="I3705" s="47" t="s">
        <v>75</v>
      </c>
    </row>
    <row r="3706" ht="15.75" customHeight="1">
      <c r="A3706" s="47" t="s">
        <v>7605</v>
      </c>
      <c r="B3706" s="47" t="s">
        <v>7606</v>
      </c>
      <c r="C3706" s="47" t="s">
        <v>7759</v>
      </c>
      <c r="D3706" s="47" t="s">
        <v>148</v>
      </c>
      <c r="E3706" s="47" t="s">
        <v>360</v>
      </c>
      <c r="F3706" s="47">
        <v>552.0</v>
      </c>
      <c r="G3706" s="47">
        <v>8.12</v>
      </c>
      <c r="H3706" s="47">
        <v>68.0</v>
      </c>
      <c r="I3706" s="47" t="s">
        <v>62</v>
      </c>
    </row>
    <row r="3707" ht="15.75" customHeight="1">
      <c r="A3707" s="47" t="s">
        <v>7607</v>
      </c>
      <c r="B3707" s="47" t="s">
        <v>7608</v>
      </c>
      <c r="C3707" s="47" t="s">
        <v>7759</v>
      </c>
      <c r="D3707" s="47" t="s">
        <v>41</v>
      </c>
      <c r="E3707" s="47" t="s">
        <v>35</v>
      </c>
      <c r="F3707" s="47">
        <v>661.0</v>
      </c>
      <c r="G3707" s="47">
        <v>6.74</v>
      </c>
      <c r="H3707" s="47">
        <v>98.1</v>
      </c>
      <c r="I3707" s="47" t="s">
        <v>62</v>
      </c>
    </row>
    <row r="3708" ht="15.75" customHeight="1">
      <c r="A3708" s="47" t="s">
        <v>7609</v>
      </c>
      <c r="B3708" s="47" t="s">
        <v>7610</v>
      </c>
      <c r="C3708" s="47" t="s">
        <v>7759</v>
      </c>
      <c r="D3708" s="47" t="s">
        <v>197</v>
      </c>
      <c r="E3708" s="47" t="s">
        <v>517</v>
      </c>
      <c r="F3708" s="47">
        <v>124.0</v>
      </c>
      <c r="G3708" s="47">
        <v>4.42</v>
      </c>
      <c r="H3708" s="47">
        <v>28.1</v>
      </c>
      <c r="I3708" s="47" t="s">
        <v>75</v>
      </c>
    </row>
    <row r="3709" ht="15.75" customHeight="1">
      <c r="A3709" s="47" t="s">
        <v>7611</v>
      </c>
      <c r="B3709" s="47" t="s">
        <v>7612</v>
      </c>
      <c r="C3709" s="47" t="s">
        <v>7759</v>
      </c>
      <c r="D3709" s="47" t="s">
        <v>229</v>
      </c>
      <c r="E3709" s="47" t="s">
        <v>400</v>
      </c>
      <c r="F3709" s="47">
        <v>380.0</v>
      </c>
      <c r="G3709" s="47">
        <v>14.76</v>
      </c>
      <c r="H3709" s="47">
        <v>25.7</v>
      </c>
      <c r="I3709" s="47" t="s">
        <v>75</v>
      </c>
    </row>
    <row r="3710" ht="15.75" customHeight="1">
      <c r="A3710" s="47" t="s">
        <v>7613</v>
      </c>
      <c r="B3710" s="47" t="s">
        <v>7614</v>
      </c>
      <c r="C3710" s="47" t="s">
        <v>7759</v>
      </c>
      <c r="D3710" s="47" t="s">
        <v>229</v>
      </c>
      <c r="E3710" s="47" t="s">
        <v>400</v>
      </c>
      <c r="F3710" s="47">
        <v>141.0</v>
      </c>
      <c r="G3710" s="47">
        <v>3.29</v>
      </c>
      <c r="H3710" s="47">
        <v>42.9</v>
      </c>
      <c r="I3710" s="47" t="s">
        <v>75</v>
      </c>
    </row>
    <row r="3711" ht="15.75" customHeight="1">
      <c r="A3711" s="47" t="s">
        <v>7615</v>
      </c>
      <c r="B3711" s="47" t="s">
        <v>6057</v>
      </c>
      <c r="C3711" s="47" t="s">
        <v>7759</v>
      </c>
      <c r="D3711" s="47" t="s">
        <v>197</v>
      </c>
      <c r="E3711" s="47" t="s">
        <v>517</v>
      </c>
      <c r="F3711" s="47">
        <v>54.0</v>
      </c>
      <c r="G3711" s="47">
        <v>3.72</v>
      </c>
      <c r="H3711" s="47">
        <v>14.5</v>
      </c>
      <c r="I3711" s="47" t="s">
        <v>75</v>
      </c>
    </row>
    <row r="3712" ht="15.75" customHeight="1">
      <c r="A3712" s="47" t="s">
        <v>7616</v>
      </c>
      <c r="B3712" s="47" t="s">
        <v>7617</v>
      </c>
      <c r="C3712" s="47" t="s">
        <v>7759</v>
      </c>
      <c r="D3712" s="47" t="s">
        <v>229</v>
      </c>
      <c r="E3712" s="47" t="s">
        <v>400</v>
      </c>
      <c r="F3712" s="47">
        <v>147.0</v>
      </c>
      <c r="G3712" s="47">
        <v>11.16</v>
      </c>
      <c r="H3712" s="47">
        <v>13.2</v>
      </c>
      <c r="I3712" s="47" t="s">
        <v>75</v>
      </c>
    </row>
    <row r="3713" ht="15.75" customHeight="1">
      <c r="A3713" s="47" t="s">
        <v>7618</v>
      </c>
      <c r="B3713" s="47" t="s">
        <v>7619</v>
      </c>
      <c r="C3713" s="47" t="s">
        <v>7759</v>
      </c>
      <c r="D3713" s="47" t="s">
        <v>148</v>
      </c>
      <c r="E3713" s="47" t="s">
        <v>360</v>
      </c>
      <c r="F3713" s="47">
        <v>207.0</v>
      </c>
      <c r="G3713" s="47">
        <v>5.18</v>
      </c>
      <c r="H3713" s="47">
        <v>40.0</v>
      </c>
      <c r="I3713" s="47" t="s">
        <v>75</v>
      </c>
    </row>
    <row r="3714" ht="15.75" customHeight="1">
      <c r="A3714" s="47" t="s">
        <v>7620</v>
      </c>
      <c r="B3714" s="47" t="s">
        <v>7621</v>
      </c>
      <c r="C3714" s="47" t="s">
        <v>7759</v>
      </c>
      <c r="D3714" s="47" t="s">
        <v>185</v>
      </c>
      <c r="E3714" s="47" t="s">
        <v>485</v>
      </c>
      <c r="F3714" s="47">
        <v>318.0</v>
      </c>
      <c r="G3714" s="47">
        <v>6.42</v>
      </c>
      <c r="H3714" s="47">
        <v>49.5</v>
      </c>
      <c r="I3714" s="47" t="s">
        <v>75</v>
      </c>
    </row>
    <row r="3715" ht="15.75" customHeight="1">
      <c r="A3715" s="47" t="s">
        <v>7622</v>
      </c>
      <c r="B3715" s="47" t="s">
        <v>7623</v>
      </c>
      <c r="C3715" s="47" t="s">
        <v>7759</v>
      </c>
      <c r="D3715" s="47" t="s">
        <v>216</v>
      </c>
      <c r="E3715" s="47" t="s">
        <v>371</v>
      </c>
      <c r="F3715" s="47">
        <v>353.0</v>
      </c>
      <c r="G3715" s="47">
        <v>8.08</v>
      </c>
      <c r="H3715" s="47">
        <v>43.7</v>
      </c>
      <c r="I3715" s="47" t="s">
        <v>75</v>
      </c>
    </row>
    <row r="3716" ht="15.75" customHeight="1">
      <c r="A3716" s="47" t="s">
        <v>7624</v>
      </c>
      <c r="B3716" s="47" t="s">
        <v>7625</v>
      </c>
      <c r="C3716" s="47" t="s">
        <v>7759</v>
      </c>
      <c r="D3716" s="47" t="s">
        <v>158</v>
      </c>
      <c r="E3716" s="47" t="s">
        <v>427</v>
      </c>
      <c r="F3716" s="47">
        <v>334.0</v>
      </c>
      <c r="G3716" s="47">
        <v>12.84</v>
      </c>
      <c r="H3716" s="47">
        <v>26.0</v>
      </c>
      <c r="I3716" s="47" t="s">
        <v>75</v>
      </c>
    </row>
    <row r="3717" ht="15.75" customHeight="1">
      <c r="A3717" s="47" t="s">
        <v>7626</v>
      </c>
      <c r="B3717" s="47" t="s">
        <v>7627</v>
      </c>
      <c r="C3717" s="47" t="s">
        <v>7759</v>
      </c>
      <c r="D3717" s="47" t="s">
        <v>225</v>
      </c>
      <c r="E3717" s="47" t="s">
        <v>387</v>
      </c>
      <c r="F3717" s="47">
        <v>332.0</v>
      </c>
      <c r="G3717" s="47">
        <v>4.54</v>
      </c>
      <c r="H3717" s="47">
        <v>73.1</v>
      </c>
      <c r="I3717" s="47" t="s">
        <v>75</v>
      </c>
    </row>
    <row r="3718" ht="15.75" customHeight="1">
      <c r="A3718" s="47" t="s">
        <v>7628</v>
      </c>
      <c r="B3718" s="47" t="s">
        <v>7629</v>
      </c>
      <c r="C3718" s="47" t="s">
        <v>7759</v>
      </c>
      <c r="D3718" s="47" t="s">
        <v>212</v>
      </c>
      <c r="E3718" s="47" t="s">
        <v>549</v>
      </c>
      <c r="F3718" s="47">
        <v>308.0</v>
      </c>
      <c r="G3718" s="47">
        <v>8.86</v>
      </c>
      <c r="H3718" s="47">
        <v>34.8</v>
      </c>
      <c r="I3718" s="47" t="s">
        <v>75</v>
      </c>
    </row>
    <row r="3719" ht="15.75" customHeight="1">
      <c r="A3719" s="47" t="s">
        <v>7630</v>
      </c>
      <c r="B3719" s="47" t="s">
        <v>7631</v>
      </c>
      <c r="C3719" s="47" t="s">
        <v>7759</v>
      </c>
      <c r="D3719" s="47" t="s">
        <v>212</v>
      </c>
      <c r="E3719" s="47" t="s">
        <v>549</v>
      </c>
      <c r="F3719" s="47">
        <v>805.0</v>
      </c>
      <c r="G3719" s="47">
        <v>13.39</v>
      </c>
      <c r="H3719" s="47">
        <v>60.1</v>
      </c>
      <c r="I3719" s="47" t="s">
        <v>62</v>
      </c>
    </row>
    <row r="3720" ht="15.75" customHeight="1">
      <c r="A3720" s="47" t="s">
        <v>7632</v>
      </c>
      <c r="B3720" s="47" t="s">
        <v>7633</v>
      </c>
      <c r="C3720" s="47" t="s">
        <v>7759</v>
      </c>
      <c r="D3720" s="47" t="s">
        <v>197</v>
      </c>
      <c r="E3720" s="47" t="s">
        <v>517</v>
      </c>
      <c r="F3720" s="47">
        <v>435.0</v>
      </c>
      <c r="G3720" s="47">
        <v>14.53</v>
      </c>
      <c r="H3720" s="47">
        <v>29.9</v>
      </c>
      <c r="I3720" s="47" t="s">
        <v>75</v>
      </c>
    </row>
    <row r="3721" ht="15.75" customHeight="1">
      <c r="A3721" s="47" t="s">
        <v>7634</v>
      </c>
      <c r="B3721" s="47" t="s">
        <v>7635</v>
      </c>
      <c r="C3721" s="47" t="s">
        <v>7759</v>
      </c>
      <c r="D3721" s="47" t="s">
        <v>229</v>
      </c>
      <c r="E3721" s="47" t="s">
        <v>400</v>
      </c>
      <c r="F3721" s="47">
        <v>234.0</v>
      </c>
      <c r="G3721" s="47">
        <v>5.62</v>
      </c>
      <c r="H3721" s="47">
        <v>41.6</v>
      </c>
      <c r="I3721" s="47" t="s">
        <v>75</v>
      </c>
    </row>
    <row r="3722" ht="15.75" customHeight="1">
      <c r="A3722" s="47" t="s">
        <v>7636</v>
      </c>
      <c r="B3722" s="47" t="s">
        <v>7637</v>
      </c>
      <c r="C3722" s="47" t="s">
        <v>7759</v>
      </c>
      <c r="D3722" s="47" t="s">
        <v>210</v>
      </c>
      <c r="E3722" s="47" t="s">
        <v>537</v>
      </c>
      <c r="F3722" s="47">
        <v>220.0</v>
      </c>
      <c r="G3722" s="47">
        <v>2.25</v>
      </c>
      <c r="H3722" s="47">
        <v>97.8</v>
      </c>
      <c r="I3722" s="47" t="s">
        <v>75</v>
      </c>
    </row>
    <row r="3723" ht="15.75" customHeight="1">
      <c r="A3723" s="47" t="s">
        <v>7638</v>
      </c>
      <c r="B3723" s="47" t="s">
        <v>7639</v>
      </c>
      <c r="C3723" s="47" t="s">
        <v>7759</v>
      </c>
      <c r="D3723" s="47" t="s">
        <v>212</v>
      </c>
      <c r="E3723" s="47" t="s">
        <v>549</v>
      </c>
      <c r="F3723" s="47">
        <v>549.0</v>
      </c>
      <c r="G3723" s="47">
        <v>1.88</v>
      </c>
      <c r="H3723" s="47">
        <v>292.0</v>
      </c>
      <c r="I3723" s="47" t="s">
        <v>62</v>
      </c>
    </row>
    <row r="3724" ht="15.75" customHeight="1">
      <c r="A3724" s="47" t="s">
        <v>7640</v>
      </c>
      <c r="B3724" s="47" t="s">
        <v>7641</v>
      </c>
      <c r="C3724" s="47" t="s">
        <v>7759</v>
      </c>
      <c r="D3724" s="47" t="s">
        <v>152</v>
      </c>
      <c r="E3724" s="47" t="s">
        <v>417</v>
      </c>
      <c r="F3724" s="47">
        <v>29.0</v>
      </c>
      <c r="G3724" s="47">
        <v>2.87</v>
      </c>
      <c r="H3724" s="47">
        <v>10.1</v>
      </c>
      <c r="I3724" s="47" t="s">
        <v>75</v>
      </c>
    </row>
    <row r="3725" ht="15.75" customHeight="1">
      <c r="A3725" s="47" t="s">
        <v>7642</v>
      </c>
      <c r="B3725" s="47" t="s">
        <v>1695</v>
      </c>
      <c r="C3725" s="47" t="s">
        <v>7759</v>
      </c>
      <c r="D3725" s="47" t="s">
        <v>207</v>
      </c>
      <c r="E3725" s="47" t="s">
        <v>534</v>
      </c>
      <c r="F3725" s="47">
        <v>98.0</v>
      </c>
      <c r="G3725" s="47">
        <v>4.97</v>
      </c>
      <c r="H3725" s="47">
        <v>19.7</v>
      </c>
      <c r="I3725" s="47" t="s">
        <v>75</v>
      </c>
    </row>
    <row r="3726" ht="15.75" customHeight="1">
      <c r="A3726" s="47" t="s">
        <v>7643</v>
      </c>
      <c r="B3726" s="47" t="s">
        <v>7644</v>
      </c>
      <c r="C3726" s="47" t="s">
        <v>7759</v>
      </c>
      <c r="D3726" s="47" t="s">
        <v>210</v>
      </c>
      <c r="E3726" s="47" t="s">
        <v>537</v>
      </c>
      <c r="F3726" s="47">
        <v>288.0</v>
      </c>
      <c r="G3726" s="47">
        <v>6.8</v>
      </c>
      <c r="H3726" s="47">
        <v>42.4</v>
      </c>
      <c r="I3726" s="47" t="s">
        <v>75</v>
      </c>
    </row>
    <row r="3727" ht="15.75" customHeight="1">
      <c r="A3727" s="47" t="s">
        <v>7645</v>
      </c>
      <c r="B3727" s="47" t="s">
        <v>7646</v>
      </c>
      <c r="C3727" s="47" t="s">
        <v>7759</v>
      </c>
      <c r="D3727" s="47" t="s">
        <v>212</v>
      </c>
      <c r="E3727" s="47" t="s">
        <v>549</v>
      </c>
      <c r="F3727" s="47">
        <v>655.0</v>
      </c>
      <c r="G3727" s="47">
        <v>5.23</v>
      </c>
      <c r="H3727" s="47">
        <v>125.2</v>
      </c>
      <c r="I3727" s="47" t="s">
        <v>62</v>
      </c>
    </row>
    <row r="3728" ht="15.75" customHeight="1">
      <c r="A3728" s="47" t="s">
        <v>7647</v>
      </c>
      <c r="B3728" s="47" t="s">
        <v>7648</v>
      </c>
      <c r="C3728" s="47" t="s">
        <v>7759</v>
      </c>
      <c r="D3728" s="47" t="s">
        <v>197</v>
      </c>
      <c r="E3728" s="47" t="s">
        <v>517</v>
      </c>
      <c r="F3728" s="47">
        <v>222.0</v>
      </c>
      <c r="G3728" s="47">
        <v>7.31</v>
      </c>
      <c r="H3728" s="47">
        <v>30.4</v>
      </c>
      <c r="I3728" s="47" t="s">
        <v>75</v>
      </c>
    </row>
    <row r="3729" ht="15.75" customHeight="1">
      <c r="A3729" s="47" t="s">
        <v>7649</v>
      </c>
      <c r="B3729" s="47" t="s">
        <v>7650</v>
      </c>
      <c r="C3729" s="47" t="s">
        <v>7759</v>
      </c>
      <c r="D3729" s="47" t="s">
        <v>197</v>
      </c>
      <c r="E3729" s="47" t="s">
        <v>517</v>
      </c>
      <c r="F3729" s="47">
        <v>132.0</v>
      </c>
      <c r="G3729" s="47">
        <v>4.77</v>
      </c>
      <c r="H3729" s="47">
        <v>27.7</v>
      </c>
      <c r="I3729" s="47" t="s">
        <v>75</v>
      </c>
    </row>
    <row r="3730" ht="15.75" customHeight="1">
      <c r="A3730" s="47" t="s">
        <v>7651</v>
      </c>
      <c r="B3730" s="47" t="s">
        <v>7652</v>
      </c>
      <c r="C3730" s="47" t="s">
        <v>7759</v>
      </c>
      <c r="D3730" s="47" t="s">
        <v>218</v>
      </c>
      <c r="E3730" s="47" t="s">
        <v>374</v>
      </c>
      <c r="F3730" s="47">
        <v>120.0</v>
      </c>
      <c r="G3730" s="47">
        <v>3.93</v>
      </c>
      <c r="H3730" s="47">
        <v>30.5</v>
      </c>
      <c r="I3730" s="47" t="s">
        <v>75</v>
      </c>
    </row>
    <row r="3731" ht="15.75" customHeight="1">
      <c r="A3731" s="47" t="s">
        <v>7653</v>
      </c>
      <c r="B3731" s="47" t="s">
        <v>7654</v>
      </c>
      <c r="C3731" s="47" t="s">
        <v>7759</v>
      </c>
      <c r="D3731" s="47" t="s">
        <v>121</v>
      </c>
      <c r="E3731" s="47" t="s">
        <v>325</v>
      </c>
      <c r="F3731" s="47">
        <v>815.0</v>
      </c>
      <c r="G3731" s="47">
        <v>6.2</v>
      </c>
      <c r="H3731" s="47">
        <v>131.5</v>
      </c>
      <c r="I3731" s="47" t="s">
        <v>62</v>
      </c>
    </row>
    <row r="3732" ht="15.75" customHeight="1">
      <c r="A3732" s="47" t="s">
        <v>7655</v>
      </c>
      <c r="B3732" s="47" t="s">
        <v>6101</v>
      </c>
      <c r="C3732" s="47" t="s">
        <v>7759</v>
      </c>
      <c r="D3732" s="47" t="s">
        <v>121</v>
      </c>
      <c r="E3732" s="47" t="s">
        <v>325</v>
      </c>
      <c r="F3732" s="47">
        <v>414.0</v>
      </c>
      <c r="G3732" s="47">
        <v>3.01</v>
      </c>
      <c r="H3732" s="47">
        <v>137.5</v>
      </c>
      <c r="I3732" s="47" t="s">
        <v>75</v>
      </c>
    </row>
    <row r="3733" ht="15.75" customHeight="1">
      <c r="A3733" s="47" t="s">
        <v>7656</v>
      </c>
      <c r="B3733" s="47" t="s">
        <v>7657</v>
      </c>
      <c r="C3733" s="47" t="s">
        <v>7759</v>
      </c>
      <c r="D3733" s="47" t="s">
        <v>230</v>
      </c>
      <c r="E3733" s="47" t="s">
        <v>402</v>
      </c>
      <c r="F3733" s="47">
        <v>233.0</v>
      </c>
      <c r="G3733" s="47">
        <v>6.21</v>
      </c>
      <c r="H3733" s="47">
        <v>37.5</v>
      </c>
      <c r="I3733" s="47" t="s">
        <v>75</v>
      </c>
    </row>
    <row r="3734" ht="15.75" customHeight="1">
      <c r="A3734" s="47" t="s">
        <v>7658</v>
      </c>
      <c r="B3734" s="47" t="s">
        <v>7659</v>
      </c>
      <c r="C3734" s="47" t="s">
        <v>7759</v>
      </c>
      <c r="D3734" s="47" t="s">
        <v>41</v>
      </c>
      <c r="E3734" s="47" t="s">
        <v>35</v>
      </c>
      <c r="F3734" s="47">
        <v>444.0</v>
      </c>
      <c r="G3734" s="47">
        <v>11.27</v>
      </c>
      <c r="H3734" s="47">
        <v>39.4</v>
      </c>
      <c r="I3734" s="47" t="s">
        <v>75</v>
      </c>
    </row>
    <row r="3735" ht="15.75" customHeight="1">
      <c r="A3735" s="47" t="s">
        <v>7660</v>
      </c>
      <c r="B3735" s="47" t="s">
        <v>7661</v>
      </c>
      <c r="C3735" s="47" t="s">
        <v>7759</v>
      </c>
      <c r="D3735" s="47" t="s">
        <v>121</v>
      </c>
      <c r="E3735" s="47" t="s">
        <v>325</v>
      </c>
      <c r="F3735" s="47">
        <v>79.0</v>
      </c>
      <c r="G3735" s="47">
        <v>3.99</v>
      </c>
      <c r="H3735" s="47">
        <v>19.8</v>
      </c>
      <c r="I3735" s="47" t="s">
        <v>75</v>
      </c>
    </row>
    <row r="3736" ht="15.75" customHeight="1">
      <c r="A3736" s="47" t="s">
        <v>7662</v>
      </c>
      <c r="B3736" s="47" t="s">
        <v>7663</v>
      </c>
      <c r="C3736" s="47" t="s">
        <v>7759</v>
      </c>
      <c r="D3736" s="47" t="s">
        <v>210</v>
      </c>
      <c r="E3736" s="47" t="s">
        <v>537</v>
      </c>
      <c r="F3736" s="47">
        <v>268.0</v>
      </c>
      <c r="G3736" s="47">
        <v>5.14</v>
      </c>
      <c r="H3736" s="47">
        <v>52.1</v>
      </c>
      <c r="I3736" s="47" t="s">
        <v>75</v>
      </c>
    </row>
    <row r="3737" ht="15.75" customHeight="1">
      <c r="A3737" s="47" t="s">
        <v>7664</v>
      </c>
      <c r="B3737" s="47" t="s">
        <v>7665</v>
      </c>
      <c r="C3737" s="47" t="s">
        <v>7759</v>
      </c>
      <c r="D3737" s="47" t="s">
        <v>210</v>
      </c>
      <c r="E3737" s="47" t="s">
        <v>537</v>
      </c>
      <c r="F3737" s="47">
        <v>531.0</v>
      </c>
      <c r="G3737" s="47">
        <v>1.85</v>
      </c>
      <c r="H3737" s="47">
        <v>287.0</v>
      </c>
      <c r="I3737" s="47" t="s">
        <v>62</v>
      </c>
    </row>
    <row r="3738" ht="15.75" customHeight="1">
      <c r="A3738" s="47" t="s">
        <v>7666</v>
      </c>
      <c r="B3738" s="47" t="s">
        <v>4409</v>
      </c>
      <c r="C3738" s="47" t="s">
        <v>7759</v>
      </c>
      <c r="D3738" s="47" t="s">
        <v>229</v>
      </c>
      <c r="E3738" s="47" t="s">
        <v>400</v>
      </c>
      <c r="F3738" s="47">
        <v>141.0</v>
      </c>
      <c r="G3738" s="47">
        <v>3.97</v>
      </c>
      <c r="H3738" s="47">
        <v>35.5</v>
      </c>
      <c r="I3738" s="47" t="s">
        <v>75</v>
      </c>
    </row>
    <row r="3739" ht="15.75" customHeight="1">
      <c r="A3739" s="47" t="s">
        <v>7667</v>
      </c>
      <c r="B3739" s="47" t="s">
        <v>7668</v>
      </c>
      <c r="C3739" s="47" t="s">
        <v>7759</v>
      </c>
      <c r="D3739" s="47" t="s">
        <v>225</v>
      </c>
      <c r="E3739" s="47" t="s">
        <v>387</v>
      </c>
      <c r="F3739" s="47">
        <v>97.0</v>
      </c>
      <c r="G3739" s="47">
        <v>4.7</v>
      </c>
      <c r="H3739" s="47">
        <v>20.6</v>
      </c>
      <c r="I3739" s="47" t="s">
        <v>75</v>
      </c>
    </row>
    <row r="3740" ht="15.75" customHeight="1">
      <c r="A3740" s="47" t="s">
        <v>7669</v>
      </c>
      <c r="B3740" s="47" t="s">
        <v>7670</v>
      </c>
      <c r="C3740" s="47" t="s">
        <v>7759</v>
      </c>
      <c r="D3740" s="47" t="s">
        <v>229</v>
      </c>
      <c r="E3740" s="47" t="s">
        <v>400</v>
      </c>
      <c r="F3740" s="47">
        <v>174.0</v>
      </c>
      <c r="G3740" s="47">
        <v>8.02</v>
      </c>
      <c r="H3740" s="47">
        <v>21.7</v>
      </c>
      <c r="I3740" s="47" t="s">
        <v>75</v>
      </c>
    </row>
    <row r="3741" ht="15.75" customHeight="1">
      <c r="A3741" s="47" t="s">
        <v>7671</v>
      </c>
      <c r="B3741" s="47" t="s">
        <v>7672</v>
      </c>
      <c r="C3741" s="47" t="s">
        <v>7759</v>
      </c>
      <c r="D3741" s="47" t="s">
        <v>230</v>
      </c>
      <c r="E3741" s="47" t="s">
        <v>402</v>
      </c>
      <c r="F3741" s="47">
        <v>147.0</v>
      </c>
      <c r="G3741" s="47">
        <v>5.88</v>
      </c>
      <c r="H3741" s="47">
        <v>25.0</v>
      </c>
      <c r="I3741" s="47" t="s">
        <v>75</v>
      </c>
    </row>
    <row r="3742" ht="15.75" customHeight="1">
      <c r="A3742" s="47" t="s">
        <v>7673</v>
      </c>
      <c r="B3742" s="47" t="s">
        <v>7674</v>
      </c>
      <c r="C3742" s="47" t="s">
        <v>7759</v>
      </c>
      <c r="D3742" s="47" t="s">
        <v>185</v>
      </c>
      <c r="E3742" s="47" t="s">
        <v>485</v>
      </c>
      <c r="F3742" s="47">
        <v>168.0</v>
      </c>
      <c r="G3742" s="47">
        <v>4.87</v>
      </c>
      <c r="H3742" s="47">
        <v>34.5</v>
      </c>
      <c r="I3742" s="47" t="s">
        <v>75</v>
      </c>
    </row>
    <row r="3743" ht="15.75" customHeight="1">
      <c r="A3743" s="47" t="s">
        <v>7675</v>
      </c>
      <c r="B3743" s="47" t="s">
        <v>7676</v>
      </c>
      <c r="C3743" s="47" t="s">
        <v>7759</v>
      </c>
      <c r="D3743" s="47" t="s">
        <v>41</v>
      </c>
      <c r="E3743" s="47" t="s">
        <v>35</v>
      </c>
      <c r="F3743" s="47">
        <v>929.0</v>
      </c>
      <c r="G3743" s="47">
        <v>11.33</v>
      </c>
      <c r="H3743" s="47">
        <v>82.0</v>
      </c>
      <c r="I3743" s="47" t="s">
        <v>62</v>
      </c>
    </row>
    <row r="3744" ht="15.75" customHeight="1">
      <c r="A3744" s="47" t="s">
        <v>7677</v>
      </c>
      <c r="B3744" s="47" t="s">
        <v>7678</v>
      </c>
      <c r="C3744" s="47" t="s">
        <v>7759</v>
      </c>
      <c r="D3744" s="47" t="s">
        <v>207</v>
      </c>
      <c r="E3744" s="47" t="s">
        <v>534</v>
      </c>
      <c r="F3744" s="47">
        <v>241.0</v>
      </c>
      <c r="G3744" s="47">
        <v>4.84</v>
      </c>
      <c r="H3744" s="47">
        <v>49.8</v>
      </c>
      <c r="I3744" s="47" t="s">
        <v>75</v>
      </c>
    </row>
    <row r="3745" ht="15.75" customHeight="1">
      <c r="A3745" s="47" t="s">
        <v>7679</v>
      </c>
      <c r="B3745" s="47" t="s">
        <v>7680</v>
      </c>
      <c r="C3745" s="47" t="s">
        <v>7759</v>
      </c>
      <c r="D3745" s="47" t="s">
        <v>218</v>
      </c>
      <c r="E3745" s="47" t="s">
        <v>374</v>
      </c>
      <c r="F3745" s="47">
        <v>2263.0</v>
      </c>
      <c r="G3745" s="47">
        <v>29.0</v>
      </c>
      <c r="H3745" s="47">
        <v>78.0</v>
      </c>
      <c r="I3745" s="47" t="s">
        <v>142</v>
      </c>
    </row>
    <row r="3746" ht="15.75" customHeight="1">
      <c r="A3746" s="47" t="s">
        <v>7681</v>
      </c>
      <c r="B3746" s="47" t="s">
        <v>7682</v>
      </c>
      <c r="C3746" s="47" t="s">
        <v>7759</v>
      </c>
      <c r="D3746" s="47" t="s">
        <v>152</v>
      </c>
      <c r="E3746" s="47" t="s">
        <v>417</v>
      </c>
      <c r="F3746" s="47">
        <v>46.0</v>
      </c>
      <c r="G3746" s="47">
        <v>2.15</v>
      </c>
      <c r="H3746" s="47">
        <v>21.4</v>
      </c>
      <c r="I3746" s="47" t="s">
        <v>75</v>
      </c>
    </row>
    <row r="3747" ht="15.75" customHeight="1">
      <c r="A3747" s="47" t="s">
        <v>7683</v>
      </c>
      <c r="B3747" s="47" t="s">
        <v>7684</v>
      </c>
      <c r="C3747" s="47" t="s">
        <v>7759</v>
      </c>
      <c r="D3747" s="47" t="s">
        <v>218</v>
      </c>
      <c r="E3747" s="47" t="s">
        <v>374</v>
      </c>
      <c r="F3747" s="47">
        <v>461.0</v>
      </c>
      <c r="G3747" s="47">
        <v>8.94</v>
      </c>
      <c r="H3747" s="47">
        <v>51.6</v>
      </c>
      <c r="I3747" s="47" t="s">
        <v>75</v>
      </c>
    </row>
    <row r="3748" ht="15.75" customHeight="1">
      <c r="A3748" s="47" t="s">
        <v>7685</v>
      </c>
      <c r="B3748" s="47" t="s">
        <v>7686</v>
      </c>
      <c r="C3748" s="47" t="s">
        <v>7759</v>
      </c>
      <c r="D3748" s="47" t="s">
        <v>229</v>
      </c>
      <c r="E3748" s="47" t="s">
        <v>400</v>
      </c>
      <c r="F3748" s="47">
        <v>177.0</v>
      </c>
      <c r="G3748" s="47">
        <v>6.05</v>
      </c>
      <c r="H3748" s="47">
        <v>29.3</v>
      </c>
      <c r="I3748" s="47" t="s">
        <v>75</v>
      </c>
    </row>
    <row r="3749" ht="15.75" customHeight="1">
      <c r="A3749" s="47" t="s">
        <v>7687</v>
      </c>
      <c r="B3749" s="47" t="s">
        <v>7688</v>
      </c>
      <c r="C3749" s="47" t="s">
        <v>7759</v>
      </c>
      <c r="D3749" s="47" t="s">
        <v>148</v>
      </c>
      <c r="E3749" s="47" t="s">
        <v>360</v>
      </c>
      <c r="F3749" s="47">
        <v>137.0</v>
      </c>
      <c r="G3749" s="47">
        <v>4.38</v>
      </c>
      <c r="H3749" s="47">
        <v>31.3</v>
      </c>
      <c r="I3749" s="47" t="s">
        <v>75</v>
      </c>
    </row>
    <row r="3750" ht="15.75" customHeight="1">
      <c r="A3750" s="47" t="s">
        <v>7689</v>
      </c>
      <c r="B3750" s="47" t="s">
        <v>7690</v>
      </c>
      <c r="C3750" s="47" t="s">
        <v>7759</v>
      </c>
      <c r="D3750" s="47" t="s">
        <v>207</v>
      </c>
      <c r="E3750" s="47" t="s">
        <v>534</v>
      </c>
      <c r="F3750" s="47">
        <v>1545.0</v>
      </c>
      <c r="G3750" s="47">
        <v>14.22</v>
      </c>
      <c r="H3750" s="47">
        <v>108.6</v>
      </c>
      <c r="I3750" s="47" t="s">
        <v>62</v>
      </c>
    </row>
    <row r="3751" ht="15.75" customHeight="1">
      <c r="A3751" s="47" t="s">
        <v>7691</v>
      </c>
      <c r="B3751" s="47" t="s">
        <v>7692</v>
      </c>
      <c r="C3751" s="47" t="s">
        <v>7759</v>
      </c>
      <c r="D3751" s="47" t="s">
        <v>210</v>
      </c>
      <c r="E3751" s="47" t="s">
        <v>537</v>
      </c>
      <c r="F3751" s="47">
        <v>4647.0</v>
      </c>
      <c r="G3751" s="47">
        <v>14.45</v>
      </c>
      <c r="H3751" s="47">
        <v>321.6</v>
      </c>
      <c r="I3751" s="47" t="s">
        <v>142</v>
      </c>
    </row>
    <row r="3752" ht="15.75" customHeight="1">
      <c r="A3752" s="47" t="s">
        <v>7693</v>
      </c>
      <c r="B3752" s="47" t="s">
        <v>7694</v>
      </c>
      <c r="C3752" s="47" t="s">
        <v>7759</v>
      </c>
      <c r="D3752" s="47" t="s">
        <v>229</v>
      </c>
      <c r="E3752" s="47" t="s">
        <v>400</v>
      </c>
      <c r="F3752" s="47">
        <v>138.0</v>
      </c>
      <c r="G3752" s="47">
        <v>4.48</v>
      </c>
      <c r="H3752" s="47">
        <v>30.8</v>
      </c>
      <c r="I3752" s="47" t="s">
        <v>75</v>
      </c>
    </row>
    <row r="3753" ht="15.75" customHeight="1">
      <c r="A3753" s="47" t="s">
        <v>7695</v>
      </c>
      <c r="B3753" s="47" t="s">
        <v>7696</v>
      </c>
      <c r="C3753" s="47" t="s">
        <v>7759</v>
      </c>
      <c r="D3753" s="47" t="s">
        <v>158</v>
      </c>
      <c r="E3753" s="47" t="s">
        <v>427</v>
      </c>
      <c r="F3753" s="47">
        <v>294.0</v>
      </c>
      <c r="G3753" s="47">
        <v>7.7</v>
      </c>
      <c r="H3753" s="47">
        <v>38.2</v>
      </c>
      <c r="I3753" s="47" t="s">
        <v>75</v>
      </c>
    </row>
    <row r="3754" ht="15.75" customHeight="1">
      <c r="A3754" s="47" t="s">
        <v>7697</v>
      </c>
      <c r="B3754" s="47" t="s">
        <v>7698</v>
      </c>
      <c r="C3754" s="47" t="s">
        <v>7759</v>
      </c>
      <c r="D3754" s="47" t="s">
        <v>158</v>
      </c>
      <c r="E3754" s="47" t="s">
        <v>427</v>
      </c>
      <c r="F3754" s="47">
        <v>530.0</v>
      </c>
      <c r="G3754" s="47">
        <v>11.46</v>
      </c>
      <c r="H3754" s="47">
        <v>46.2</v>
      </c>
      <c r="I3754" s="47" t="s">
        <v>62</v>
      </c>
    </row>
    <row r="3755" ht="15.75" customHeight="1">
      <c r="A3755" s="47" t="s">
        <v>7699</v>
      </c>
      <c r="B3755" s="47" t="s">
        <v>7700</v>
      </c>
      <c r="C3755" s="47" t="s">
        <v>7759</v>
      </c>
      <c r="D3755" s="47" t="s">
        <v>185</v>
      </c>
      <c r="E3755" s="47" t="s">
        <v>485</v>
      </c>
      <c r="F3755" s="47">
        <v>288.0</v>
      </c>
      <c r="G3755" s="47">
        <v>6.3</v>
      </c>
      <c r="H3755" s="47">
        <v>45.7</v>
      </c>
      <c r="I3755" s="47" t="s">
        <v>75</v>
      </c>
    </row>
    <row r="3756" ht="15.75" customHeight="1">
      <c r="A3756" s="47" t="s">
        <v>7701</v>
      </c>
      <c r="B3756" s="47" t="s">
        <v>7702</v>
      </c>
      <c r="C3756" s="47" t="s">
        <v>7759</v>
      </c>
      <c r="D3756" s="47" t="s">
        <v>225</v>
      </c>
      <c r="E3756" s="47" t="s">
        <v>387</v>
      </c>
      <c r="F3756" s="47">
        <v>167.0</v>
      </c>
      <c r="G3756" s="47">
        <v>6.3</v>
      </c>
      <c r="H3756" s="47">
        <v>26.5</v>
      </c>
      <c r="I3756" s="47" t="s">
        <v>75</v>
      </c>
    </row>
    <row r="3757" ht="15.75" customHeight="1">
      <c r="A3757" s="47" t="s">
        <v>7703</v>
      </c>
      <c r="B3757" s="47" t="s">
        <v>7704</v>
      </c>
      <c r="C3757" s="47" t="s">
        <v>7759</v>
      </c>
      <c r="D3757" s="47" t="s">
        <v>185</v>
      </c>
      <c r="E3757" s="47" t="s">
        <v>485</v>
      </c>
      <c r="F3757" s="47">
        <v>160.0</v>
      </c>
      <c r="G3757" s="47">
        <v>5.93</v>
      </c>
      <c r="H3757" s="47">
        <v>27.0</v>
      </c>
      <c r="I3757" s="47" t="s">
        <v>75</v>
      </c>
    </row>
    <row r="3758" ht="15.75" customHeight="1">
      <c r="A3758" s="47" t="s">
        <v>7705</v>
      </c>
      <c r="B3758" s="47" t="s">
        <v>7706</v>
      </c>
      <c r="C3758" s="47" t="s">
        <v>7759</v>
      </c>
      <c r="D3758" s="47" t="s">
        <v>225</v>
      </c>
      <c r="E3758" s="47" t="s">
        <v>387</v>
      </c>
      <c r="F3758" s="47">
        <v>468.0</v>
      </c>
      <c r="G3758" s="47">
        <v>12.13</v>
      </c>
      <c r="H3758" s="47">
        <v>38.6</v>
      </c>
      <c r="I3758" s="47" t="s">
        <v>75</v>
      </c>
    </row>
    <row r="3759" ht="15.75" customHeight="1">
      <c r="A3759" s="47" t="s">
        <v>7707</v>
      </c>
      <c r="B3759" s="47" t="s">
        <v>7708</v>
      </c>
      <c r="C3759" s="47" t="s">
        <v>7759</v>
      </c>
      <c r="D3759" s="47" t="s">
        <v>197</v>
      </c>
      <c r="E3759" s="47" t="s">
        <v>517</v>
      </c>
      <c r="F3759" s="47">
        <v>281.0</v>
      </c>
      <c r="G3759" s="47">
        <v>5.95</v>
      </c>
      <c r="H3759" s="47">
        <v>47.2</v>
      </c>
      <c r="I3759" s="47" t="s">
        <v>75</v>
      </c>
    </row>
    <row r="3760" ht="15.75" customHeight="1">
      <c r="A3760" s="47" t="s">
        <v>7709</v>
      </c>
      <c r="B3760" s="47" t="s">
        <v>7710</v>
      </c>
      <c r="C3760" s="47" t="s">
        <v>7759</v>
      </c>
      <c r="D3760" s="47" t="s">
        <v>225</v>
      </c>
      <c r="E3760" s="47" t="s">
        <v>387</v>
      </c>
      <c r="F3760" s="47">
        <v>503.0</v>
      </c>
      <c r="G3760" s="47">
        <v>16.2</v>
      </c>
      <c r="H3760" s="47">
        <v>31.0</v>
      </c>
      <c r="I3760" s="47" t="s">
        <v>62</v>
      </c>
    </row>
    <row r="3761" ht="15.75" customHeight="1">
      <c r="A3761" s="47" t="s">
        <v>7711</v>
      </c>
      <c r="B3761" s="47" t="s">
        <v>7712</v>
      </c>
      <c r="C3761" s="47" t="s">
        <v>7759</v>
      </c>
      <c r="D3761" s="47" t="s">
        <v>216</v>
      </c>
      <c r="E3761" s="47" t="s">
        <v>371</v>
      </c>
      <c r="F3761" s="47">
        <v>474.0</v>
      </c>
      <c r="G3761" s="47">
        <v>13.6</v>
      </c>
      <c r="H3761" s="47">
        <v>34.9</v>
      </c>
      <c r="I3761" s="47" t="s">
        <v>75</v>
      </c>
    </row>
    <row r="3762" ht="15.75" customHeight="1">
      <c r="A3762" s="47" t="s">
        <v>7713</v>
      </c>
      <c r="B3762" s="47" t="s">
        <v>7714</v>
      </c>
      <c r="C3762" s="47" t="s">
        <v>7759</v>
      </c>
      <c r="D3762" s="47" t="s">
        <v>206</v>
      </c>
      <c r="E3762" s="47" t="s">
        <v>533</v>
      </c>
      <c r="F3762" s="47">
        <v>136.0</v>
      </c>
      <c r="G3762" s="47">
        <v>4.69</v>
      </c>
      <c r="H3762" s="47">
        <v>29.0</v>
      </c>
      <c r="I3762" s="47" t="s">
        <v>75</v>
      </c>
    </row>
    <row r="3763" ht="15.75" customHeight="1">
      <c r="A3763" s="47" t="s">
        <v>7715</v>
      </c>
      <c r="B3763" s="47" t="s">
        <v>7716</v>
      </c>
      <c r="C3763" s="47" t="s">
        <v>7759</v>
      </c>
      <c r="D3763" s="47" t="s">
        <v>152</v>
      </c>
      <c r="E3763" s="47" t="s">
        <v>417</v>
      </c>
      <c r="F3763" s="47">
        <v>595.0</v>
      </c>
      <c r="G3763" s="47">
        <v>9.22</v>
      </c>
      <c r="H3763" s="47">
        <v>64.5</v>
      </c>
      <c r="I3763" s="47" t="s">
        <v>62</v>
      </c>
    </row>
    <row r="3764" ht="15.75" customHeight="1">
      <c r="A3764" s="47" t="s">
        <v>7717</v>
      </c>
      <c r="B3764" s="47" t="s">
        <v>7718</v>
      </c>
      <c r="C3764" s="47" t="s">
        <v>7759</v>
      </c>
      <c r="D3764" s="47" t="s">
        <v>158</v>
      </c>
      <c r="E3764" s="47" t="s">
        <v>427</v>
      </c>
      <c r="F3764" s="47">
        <v>130.0</v>
      </c>
      <c r="G3764" s="47">
        <v>4.23</v>
      </c>
      <c r="H3764" s="47">
        <v>30.7</v>
      </c>
      <c r="I3764" s="47" t="s">
        <v>75</v>
      </c>
    </row>
    <row r="3765" ht="15.75" customHeight="1">
      <c r="A3765" s="47" t="s">
        <v>7719</v>
      </c>
      <c r="B3765" s="47" t="s">
        <v>7720</v>
      </c>
      <c r="C3765" s="47" t="s">
        <v>7759</v>
      </c>
      <c r="D3765" s="47" t="s">
        <v>229</v>
      </c>
      <c r="E3765" s="47" t="s">
        <v>400</v>
      </c>
      <c r="F3765" s="47">
        <v>96.0</v>
      </c>
      <c r="G3765" s="47">
        <v>5.71</v>
      </c>
      <c r="H3765" s="47">
        <v>16.8</v>
      </c>
      <c r="I3765" s="47" t="s">
        <v>75</v>
      </c>
    </row>
    <row r="3766" ht="15.75" customHeight="1">
      <c r="A3766" s="47" t="s">
        <v>7721</v>
      </c>
      <c r="B3766" s="47" t="s">
        <v>7722</v>
      </c>
      <c r="C3766" s="47" t="s">
        <v>7759</v>
      </c>
      <c r="D3766" s="47" t="s">
        <v>230</v>
      </c>
      <c r="E3766" s="47" t="s">
        <v>402</v>
      </c>
      <c r="F3766" s="47">
        <v>459.0</v>
      </c>
      <c r="G3766" s="47">
        <v>5.68</v>
      </c>
      <c r="H3766" s="47">
        <v>80.8</v>
      </c>
      <c r="I3766" s="47" t="s">
        <v>75</v>
      </c>
    </row>
    <row r="3767" ht="15.75" customHeight="1">
      <c r="A3767" s="47" t="s">
        <v>7723</v>
      </c>
      <c r="B3767" s="47" t="s">
        <v>7724</v>
      </c>
      <c r="C3767" s="47" t="s">
        <v>7759</v>
      </c>
      <c r="D3767" s="47" t="s">
        <v>225</v>
      </c>
      <c r="E3767" s="47" t="s">
        <v>387</v>
      </c>
      <c r="F3767" s="47">
        <v>839.0</v>
      </c>
      <c r="G3767" s="47">
        <v>20.64</v>
      </c>
      <c r="H3767" s="47">
        <v>40.6</v>
      </c>
      <c r="I3767" s="47" t="s">
        <v>62</v>
      </c>
    </row>
    <row r="3768" ht="15.75" customHeight="1">
      <c r="A3768" s="47" t="s">
        <v>7725</v>
      </c>
      <c r="B3768" s="47" t="s">
        <v>7726</v>
      </c>
      <c r="C3768" s="47" t="s">
        <v>7759</v>
      </c>
      <c r="D3768" s="47" t="s">
        <v>207</v>
      </c>
      <c r="E3768" s="47" t="s">
        <v>534</v>
      </c>
      <c r="F3768" s="47">
        <v>78.0</v>
      </c>
      <c r="G3768" s="47">
        <v>2.82</v>
      </c>
      <c r="H3768" s="47">
        <v>27.7</v>
      </c>
      <c r="I3768" s="47" t="s">
        <v>75</v>
      </c>
    </row>
    <row r="3769" ht="15.75" customHeight="1">
      <c r="A3769" s="47" t="s">
        <v>7727</v>
      </c>
      <c r="B3769" s="47" t="s">
        <v>7728</v>
      </c>
      <c r="C3769" s="47" t="s">
        <v>7759</v>
      </c>
      <c r="D3769" s="47" t="s">
        <v>210</v>
      </c>
      <c r="E3769" s="47" t="s">
        <v>537</v>
      </c>
      <c r="F3769" s="47">
        <v>743.0</v>
      </c>
      <c r="G3769" s="47">
        <v>15.33</v>
      </c>
      <c r="H3769" s="47">
        <v>48.5</v>
      </c>
      <c r="I3769" s="47" t="s">
        <v>62</v>
      </c>
    </row>
    <row r="3770" ht="15.75" customHeight="1">
      <c r="A3770" s="47" t="s">
        <v>7729</v>
      </c>
      <c r="B3770" s="47" t="s">
        <v>6185</v>
      </c>
      <c r="C3770" s="47" t="s">
        <v>7759</v>
      </c>
      <c r="D3770" s="47" t="s">
        <v>229</v>
      </c>
      <c r="E3770" s="47" t="s">
        <v>400</v>
      </c>
      <c r="F3770" s="47">
        <v>230.0</v>
      </c>
      <c r="G3770" s="47">
        <v>8.18</v>
      </c>
      <c r="H3770" s="47">
        <v>28.1</v>
      </c>
      <c r="I3770" s="47" t="s">
        <v>75</v>
      </c>
    </row>
    <row r="3771" ht="15.75" customHeight="1">
      <c r="A3771" s="47" t="s">
        <v>7730</v>
      </c>
      <c r="B3771" s="47" t="s">
        <v>7731</v>
      </c>
      <c r="C3771" s="47" t="s">
        <v>7759</v>
      </c>
      <c r="D3771" s="47" t="s">
        <v>185</v>
      </c>
      <c r="E3771" s="47" t="s">
        <v>485</v>
      </c>
      <c r="F3771" s="47">
        <v>139.0</v>
      </c>
      <c r="G3771" s="47">
        <v>3.01</v>
      </c>
      <c r="H3771" s="47">
        <v>46.2</v>
      </c>
      <c r="I3771" s="47" t="s">
        <v>75</v>
      </c>
    </row>
    <row r="3772" ht="15.75" customHeight="1">
      <c r="A3772" s="47" t="s">
        <v>7732</v>
      </c>
      <c r="B3772" s="47" t="s">
        <v>7733</v>
      </c>
      <c r="C3772" s="47" t="s">
        <v>7759</v>
      </c>
      <c r="D3772" s="47" t="s">
        <v>230</v>
      </c>
      <c r="E3772" s="47" t="s">
        <v>402</v>
      </c>
      <c r="F3772" s="47">
        <v>121.0</v>
      </c>
      <c r="G3772" s="47">
        <v>4.22</v>
      </c>
      <c r="H3772" s="47">
        <v>28.7</v>
      </c>
      <c r="I3772" s="47" t="s">
        <v>75</v>
      </c>
    </row>
    <row r="3773" ht="15.75" customHeight="1">
      <c r="A3773" s="47" t="s">
        <v>7734</v>
      </c>
      <c r="B3773" s="47" t="s">
        <v>7735</v>
      </c>
      <c r="C3773" s="47" t="s">
        <v>7759</v>
      </c>
      <c r="D3773" s="47" t="s">
        <v>230</v>
      </c>
      <c r="E3773" s="47" t="s">
        <v>402</v>
      </c>
      <c r="F3773" s="47">
        <v>249.0</v>
      </c>
      <c r="G3773" s="47">
        <v>5.89</v>
      </c>
      <c r="H3773" s="47">
        <v>42.3</v>
      </c>
      <c r="I3773" s="47" t="s">
        <v>75</v>
      </c>
    </row>
    <row r="3774" ht="15.75" customHeight="1">
      <c r="A3774" s="47" t="s">
        <v>7736</v>
      </c>
      <c r="B3774" s="47" t="s">
        <v>7737</v>
      </c>
      <c r="C3774" s="47" t="s">
        <v>7759</v>
      </c>
      <c r="D3774" s="47" t="s">
        <v>121</v>
      </c>
      <c r="E3774" s="47" t="s">
        <v>325</v>
      </c>
      <c r="F3774" s="47">
        <v>103.0</v>
      </c>
      <c r="G3774" s="47">
        <v>4.81</v>
      </c>
      <c r="H3774" s="47">
        <v>21.4</v>
      </c>
      <c r="I3774" s="47" t="s">
        <v>75</v>
      </c>
    </row>
    <row r="3775" ht="15.75" customHeight="1">
      <c r="A3775" s="47" t="s">
        <v>7738</v>
      </c>
      <c r="B3775" s="47" t="s">
        <v>7739</v>
      </c>
      <c r="C3775" s="47" t="s">
        <v>7759</v>
      </c>
      <c r="D3775" s="47" t="s">
        <v>178</v>
      </c>
      <c r="E3775" s="47" t="s">
        <v>475</v>
      </c>
      <c r="F3775" s="47">
        <v>732.0</v>
      </c>
      <c r="G3775" s="47">
        <v>16.26</v>
      </c>
      <c r="H3775" s="47">
        <v>45.0</v>
      </c>
      <c r="I3775" s="47" t="s">
        <v>62</v>
      </c>
    </row>
    <row r="3776" ht="15.75" customHeight="1">
      <c r="A3776" s="47" t="s">
        <v>7740</v>
      </c>
      <c r="B3776" s="47" t="s">
        <v>7741</v>
      </c>
      <c r="C3776" s="47" t="s">
        <v>7759</v>
      </c>
      <c r="D3776" s="47" t="s">
        <v>212</v>
      </c>
      <c r="E3776" s="47" t="s">
        <v>549</v>
      </c>
      <c r="F3776" s="47">
        <v>1302.0</v>
      </c>
      <c r="G3776" s="47">
        <v>4.22</v>
      </c>
      <c r="H3776" s="47">
        <v>308.5</v>
      </c>
      <c r="I3776" s="47" t="s">
        <v>62</v>
      </c>
    </row>
    <row r="3777" ht="15.75" customHeight="1">
      <c r="A3777" s="47" t="s">
        <v>7742</v>
      </c>
      <c r="B3777" s="47" t="s">
        <v>7743</v>
      </c>
      <c r="C3777" s="47" t="s">
        <v>7759</v>
      </c>
      <c r="D3777" s="47" t="s">
        <v>229</v>
      </c>
      <c r="E3777" s="47" t="s">
        <v>400</v>
      </c>
      <c r="F3777" s="47">
        <v>46.0</v>
      </c>
      <c r="G3777" s="47">
        <v>1.87</v>
      </c>
      <c r="H3777" s="47">
        <v>24.6</v>
      </c>
      <c r="I3777" s="47" t="s">
        <v>75</v>
      </c>
    </row>
    <row r="3778" ht="15.75" customHeight="1">
      <c r="A3778" s="47" t="s">
        <v>7744</v>
      </c>
      <c r="B3778" s="47" t="s">
        <v>7745</v>
      </c>
      <c r="C3778" s="47" t="s">
        <v>7759</v>
      </c>
      <c r="D3778" s="47" t="s">
        <v>152</v>
      </c>
      <c r="E3778" s="47" t="s">
        <v>417</v>
      </c>
      <c r="F3778" s="47">
        <v>87.0</v>
      </c>
      <c r="G3778" s="47">
        <v>2.76</v>
      </c>
      <c r="H3778" s="47">
        <v>31.5</v>
      </c>
      <c r="I3778" s="47" t="s">
        <v>75</v>
      </c>
    </row>
    <row r="3779" ht="15.75" customHeight="1">
      <c r="A3779" s="47" t="s">
        <v>7746</v>
      </c>
      <c r="B3779" s="47" t="s">
        <v>7747</v>
      </c>
      <c r="C3779" s="47" t="s">
        <v>7759</v>
      </c>
      <c r="D3779" s="47" t="s">
        <v>225</v>
      </c>
      <c r="E3779" s="47" t="s">
        <v>387</v>
      </c>
      <c r="F3779" s="47">
        <v>296.0</v>
      </c>
      <c r="G3779" s="47">
        <v>9.29</v>
      </c>
      <c r="H3779" s="47">
        <v>31.9</v>
      </c>
      <c r="I3779" s="47" t="s">
        <v>75</v>
      </c>
    </row>
    <row r="3780" ht="15.75" customHeight="1">
      <c r="A3780" s="47" t="s">
        <v>7748</v>
      </c>
      <c r="B3780" s="47" t="s">
        <v>7749</v>
      </c>
      <c r="C3780" s="47" t="s">
        <v>7759</v>
      </c>
      <c r="D3780" s="47" t="s">
        <v>225</v>
      </c>
      <c r="E3780" s="47" t="s">
        <v>387</v>
      </c>
      <c r="F3780" s="47">
        <v>130.0</v>
      </c>
      <c r="G3780" s="47">
        <v>6.08</v>
      </c>
      <c r="H3780" s="47">
        <v>21.4</v>
      </c>
      <c r="I3780" s="47" t="s">
        <v>75</v>
      </c>
    </row>
    <row r="3781" ht="15.75" customHeight="1">
      <c r="A3781" s="47" t="s">
        <v>7750</v>
      </c>
      <c r="B3781" s="47" t="s">
        <v>7751</v>
      </c>
      <c r="C3781" s="47" t="s">
        <v>7759</v>
      </c>
      <c r="D3781" s="47" t="s">
        <v>212</v>
      </c>
      <c r="E3781" s="47" t="s">
        <v>549</v>
      </c>
      <c r="F3781" s="47">
        <v>490.0</v>
      </c>
      <c r="G3781" s="47">
        <v>3.44</v>
      </c>
      <c r="H3781" s="47">
        <v>142.4</v>
      </c>
      <c r="I3781" s="47" t="s">
        <v>75</v>
      </c>
    </row>
    <row r="3782" ht="15.75" customHeight="1">
      <c r="A3782" s="47" t="s">
        <v>7752</v>
      </c>
      <c r="B3782" s="47" t="s">
        <v>7753</v>
      </c>
      <c r="C3782" s="47" t="s">
        <v>7759</v>
      </c>
      <c r="D3782" s="47" t="s">
        <v>218</v>
      </c>
      <c r="E3782" s="47" t="s">
        <v>374</v>
      </c>
      <c r="F3782" s="47">
        <v>264.0</v>
      </c>
      <c r="G3782" s="47">
        <v>5.04</v>
      </c>
      <c r="H3782" s="47">
        <v>52.4</v>
      </c>
      <c r="I3782" s="47" t="s">
        <v>75</v>
      </c>
    </row>
    <row r="3783" ht="15.75" customHeight="1">
      <c r="A3783" s="47" t="s">
        <v>7754</v>
      </c>
      <c r="B3783" s="47" t="s">
        <v>7755</v>
      </c>
      <c r="C3783" s="47" t="s">
        <v>7759</v>
      </c>
      <c r="D3783" s="47" t="s">
        <v>121</v>
      </c>
      <c r="E3783" s="47" t="s">
        <v>325</v>
      </c>
      <c r="F3783" s="47">
        <v>243.0</v>
      </c>
      <c r="G3783" s="47">
        <v>3.99</v>
      </c>
      <c r="H3783" s="47">
        <v>60.9</v>
      </c>
      <c r="I3783" s="47" t="s">
        <v>75</v>
      </c>
    </row>
  </sheetData>
  <autoFilter ref="$A$1:$I$3783">
    <sortState ref="A1:I3783">
      <sortCondition ref="A1:A3783"/>
    </sortState>
  </autoFilter>
  <printOptions/>
  <pageMargins bottom="1.0" footer="0.0" header="0.0" left="0.75" right="0.75" top="1.0"/>
  <pageSetup orientation="landscape"/>
  <drawing r:id="rId1"/>
</worksheet>
</file>